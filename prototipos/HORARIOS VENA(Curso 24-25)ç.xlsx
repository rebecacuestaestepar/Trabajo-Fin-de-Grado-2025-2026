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showInkAnnotation="0" defaultThemeVersion="124226"/>
  <mc:AlternateContent xmlns:mc="http://schemas.openxmlformats.org/markup-compatibility/2006">
    <mc:Choice Requires="x15">
      <x15ac:absPath xmlns:x15ac="http://schemas.microsoft.com/office/spreadsheetml/2010/11/ac" url="C:\Users\usuario\Desktop\Ingeniería informática\4º Trabajo de Fin de Grado\Trabajo-Fin-de-Grado-2025-2026\prototipos\"/>
    </mc:Choice>
  </mc:AlternateContent>
  <xr:revisionPtr revIDLastSave="0" documentId="8_{5B574042-172C-40AF-A6DC-45ACE82B7AAC}" xr6:coauthVersionLast="47" xr6:coauthVersionMax="47" xr10:uidLastSave="{00000000-0000-0000-0000-000000000000}"/>
  <bookViews>
    <workbookView xWindow="28680" yWindow="-120" windowWidth="29040" windowHeight="15720" tabRatio="854" activeTab="3" xr2:uid="{00000000-000D-0000-FFFF-FFFF00000000}"/>
  </bookViews>
  <sheets>
    <sheet name="GIEIA" sheetId="62" r:id="rId1"/>
    <sheet name="GIM" sheetId="74" r:id="rId2"/>
    <sheet name="GIOI" sheetId="63" r:id="rId3"/>
    <sheet name="D_GIM-GIEIA " sheetId="73" r:id="rId4"/>
    <sheet name="GII (primero)" sheetId="75" r:id="rId5"/>
    <sheet name="GII " sheetId="85" r:id="rId6"/>
    <sheet name="MINFORM" sheetId="66" r:id="rId7"/>
    <sheet name="MINDUST" sheetId="52" r:id="rId8"/>
    <sheet name="MDURAB" sheetId="69" r:id="rId9"/>
    <sheet name="MESO" sheetId="89" r:id="rId10"/>
    <sheet name="ASIGNATURAS" sheetId="1" r:id="rId11"/>
    <sheet name="Aulas" sheetId="46" r:id="rId12"/>
    <sheet name="GIS" sheetId="80" r:id="rId13"/>
    <sheet name="Hoja1" sheetId="70" r:id="rId14"/>
    <sheet name="Reglas" sheetId="90" r:id="rId15"/>
  </sheets>
  <externalReferences>
    <externalReference r:id="rId16"/>
    <externalReference r:id="rId17"/>
    <externalReference r:id="rId18"/>
  </externalReferences>
  <definedNames>
    <definedName name="_xlnm._FilterDatabase" localSheetId="10" hidden="1">ASIGNATURAS!$F$1:$R$311</definedName>
    <definedName name="_xlnm.Print_Area" localSheetId="3">'D_GIM-GIEIA '!$A$1:$AE$349</definedName>
    <definedName name="_xlnm.Print_Area" localSheetId="0">GIEIA!$A$1:$AE$256</definedName>
    <definedName name="_xlnm.Print_Area" localSheetId="5">'GII '!$A$1:$AY$217</definedName>
    <definedName name="_xlnm.Print_Area" localSheetId="4">'GII (primero)'!$A$1:$BC$59</definedName>
    <definedName name="_xlnm.Print_Area" localSheetId="1">GIM!$A$1:$AZ$248</definedName>
    <definedName name="_xlnm.Print_Area" localSheetId="2">GIOI!$A$1:$AE$257</definedName>
    <definedName name="_xlnm.Print_Area" localSheetId="12">GIS!$A$1:$AE$315</definedName>
    <definedName name="_xlnm.Print_Area" localSheetId="8">MDURAB!$A$1:$AE$63</definedName>
    <definedName name="_xlnm.Print_Area" localSheetId="9">MESO!$A$1:$AE$101</definedName>
    <definedName name="_xlnm.Print_Area" localSheetId="7">MINDUST!$A$1:$AE$101</definedName>
    <definedName name="_xlnm.Print_Area" localSheetId="6">MINFORM!$A$1:$AE$108</definedName>
    <definedName name="Asignaturas2" localSheetId="12">[1]ASIGNATURAS!$D$2:$D$55</definedName>
    <definedName name="Asignaturas2">ASIGNATURAS!$D$2:$D$55</definedName>
    <definedName name="AULAS" localSheetId="12">[1]Aulas!$A$2:$A$172</definedName>
    <definedName name="AULAS">Aulas!$A$2:$A$198</definedName>
    <definedName name="Aulas_C">Aulas!$A$75:$A$90</definedName>
    <definedName name="CAGIE__1">ASIGNATURAS!$F$269:$F$273</definedName>
    <definedName name="CAGIE__2">ASIGNATURAS!$F$274:$F$275</definedName>
    <definedName name="CAGIE_1">ASIGNATURAS!$H$269:$H$273</definedName>
    <definedName name="CAGIE_2">ASIGNATURAS!$H$274:$H$275</definedName>
    <definedName name="CAGII__1">ASIGNATURAS!$F$278:$F$286</definedName>
    <definedName name="CAGII__2">ASIGNATURAS!$F$291:$F$311</definedName>
    <definedName name="CAGII_1">ASIGNATURAS!$H$278:$H$286</definedName>
    <definedName name="CAGII_2">ASIGNATURAS!$H$291:$H$311</definedName>
    <definedName name="CAGIM__1">ASIGNATURAS!$F$260:$F$264</definedName>
    <definedName name="CAGIM__2">ASIGNATURAS!$F$265:$F$266</definedName>
    <definedName name="CAGIM_1">ASIGNATURAS!$H$260:$H$264</definedName>
    <definedName name="CAGIM_2">ASIGNATURAS!$H$265:$H$266</definedName>
    <definedName name="dg_3">ASIGNATURAS!$I$314:$I$319</definedName>
    <definedName name="dg_4">ASIGNATURAS!$J$314:$J$318</definedName>
    <definedName name="DGME">ASIGNATURAS!$F$313:$F$322</definedName>
    <definedName name="DGME_1" localSheetId="12">[1]ASIGNATURAS!$G$281:$G$289</definedName>
    <definedName name="DGME_1">ASIGNATURAS!$G$314:$G$322</definedName>
    <definedName name="DGME_10">ASIGNATURAS!$P$314:$P$322</definedName>
    <definedName name="DGME_2" localSheetId="12">[1]ASIGNATURAS!$H$281:$H$289</definedName>
    <definedName name="DGME_2">ASIGNATURAS!$H$314:$H$322</definedName>
    <definedName name="DGME_3">ASIGNATURAS!$I$314:$I$322</definedName>
    <definedName name="DGME_4">ASIGNATURAS!$J$314:$J$322</definedName>
    <definedName name="DGME_5">ASIGNATURAS!$K$314:$K$322</definedName>
    <definedName name="DGME_6">ASIGNATURAS!$L$314:$L$322</definedName>
    <definedName name="DGME_7">ASIGNATURAS!$M$315:$M$323</definedName>
    <definedName name="DGME_8">ASIGNATURAS!$N$314:$N$322</definedName>
    <definedName name="DGME_9">ASIGNATURAS!$O$314:$O$322</definedName>
    <definedName name="e" localSheetId="12">[1]Aulas!$G$2:$G$4</definedName>
    <definedName name="e">Aulas!$G$2:$G$4</definedName>
    <definedName name="GIE">ASIGNATURAS!$A$11:$A$18</definedName>
    <definedName name="GIE__1">ASIGNATURAS!$F$46:$F$51</definedName>
    <definedName name="GIE__2">ASIGNATURAS!$F$52:$F$57</definedName>
    <definedName name="GIE__3">ASIGNATURAS!$F$58:$F$62</definedName>
    <definedName name="GIE__4">ASIGNATURAS!$F$63:$F$67</definedName>
    <definedName name="GIE__5">ASIGNATURAS!$F$68:$F$72</definedName>
    <definedName name="GIE__6">ASIGNATURAS!$F$73:$F$77</definedName>
    <definedName name="GIE__7">ASIGNATURAS!$F$78:$F$86</definedName>
    <definedName name="GIE__8">ASIGNATURAS!$F$87:$F$88</definedName>
    <definedName name="GIE_1">ASIGNATURAS!$H$46:$H$51</definedName>
    <definedName name="GIE_2">ASIGNATURAS!$H$52:$H$57</definedName>
    <definedName name="GIE_3">ASIGNATURAS!$H$58:$H$62</definedName>
    <definedName name="GIE_4">ASIGNATURAS!$H$63:$H$67</definedName>
    <definedName name="GIE_5">ASIGNATURAS!$H$68:$H$72</definedName>
    <definedName name="GIE_6">ASIGNATURAS!$H$73:$H$77</definedName>
    <definedName name="GIE_7" localSheetId="12">[1]ASIGNATURAS!$H$78:$H$86</definedName>
    <definedName name="GIE_7">ASIGNATURAS!$H$78:$H$86</definedName>
    <definedName name="GIE_8">ASIGNATURAS!$H$87:$H$88</definedName>
    <definedName name="GII">ASIGNATURAS!$A$29:$A$36</definedName>
    <definedName name="GII__1">ASIGNATURAS!$F$152:$F$156</definedName>
    <definedName name="GII__2">ASIGNATURAS!$F$157:$F$161</definedName>
    <definedName name="GII__3">ASIGNATURAS!$F$162:$F$166</definedName>
    <definedName name="GII__4">ASIGNATURAS!$F$167:$F$171</definedName>
    <definedName name="GII__5">ASIGNATURAS!$F$172:$F$176</definedName>
    <definedName name="GII__6" localSheetId="12">[1]ASIGNATURAS!$F$170:$F$174</definedName>
    <definedName name="GII__6">ASIGNATURAS!$F$177:$F$181</definedName>
    <definedName name="GII__7">ASIGNATURAS!$F$182:$F$191</definedName>
    <definedName name="GII__8">ASIGNATURAS!$F$192:$F$197</definedName>
    <definedName name="GII_1">ASIGNATURAS!$H$152:$H$156</definedName>
    <definedName name="GII_2">ASIGNATURAS!$H$157:$H$161</definedName>
    <definedName name="GII_3">ASIGNATURAS!$H$162:$H$166</definedName>
    <definedName name="GII_4">ASIGNATURAS!$H$167:$H$171</definedName>
    <definedName name="GII_5">ASIGNATURAS!$H$172:$H$176</definedName>
    <definedName name="GII_6">ASIGNATURAS!$H$177:$H$181</definedName>
    <definedName name="GII_7">ASIGNATURAS!$H$182:$H$191</definedName>
    <definedName name="GII_8">ASIGNATURAS!$H$192:$H$197</definedName>
    <definedName name="GIM" localSheetId="12">[1]ASIGNATURAS!$A$2:$A$461</definedName>
    <definedName name="GIM">ASIGNATURAS!$A$2:$A$494</definedName>
    <definedName name="GIM__1">ASIGNATURAS!$F$3:$F$8</definedName>
    <definedName name="GIM__2">ASIGNATURAS!$F$9:$F$13</definedName>
    <definedName name="GIM__3">ASIGNATURAS!$F$14:$F$18</definedName>
    <definedName name="GIM__4">ASIGNATURAS!$F$19:$F$23</definedName>
    <definedName name="GIM__5">ASIGNATURAS!$F$24:$F$28</definedName>
    <definedName name="GIM__6">ASIGNATURAS!$F$29:$F$33</definedName>
    <definedName name="GIM__7">ASIGNATURAS!$F$34:$F$38</definedName>
    <definedName name="GIM__8">ASIGNATURAS!$F$39:$F$43</definedName>
    <definedName name="GIM_1">ASIGNATURAS!$H$3:$H$8</definedName>
    <definedName name="GIM_2">ASIGNATURAS!$H$9:$H$13</definedName>
    <definedName name="GIM_3">ASIGNATURAS!$H$14:$H$18</definedName>
    <definedName name="GIM_4">ASIGNATURAS!$H$19:$H$23</definedName>
    <definedName name="GIM_5">ASIGNATURAS!$H$24:$H$28</definedName>
    <definedName name="GIM_6">ASIGNATURAS!$H$29:$H$33</definedName>
    <definedName name="GIM_7">ASIGNATURAS!$H$34:$H$38</definedName>
    <definedName name="GIM_8">ASIGNATURAS!$H$39:$H$43</definedName>
    <definedName name="GIO__1">ASIGNATURAS!$F$91:$F$97</definedName>
    <definedName name="GIO__2">ASIGNATURAS!$F$98:$F$104</definedName>
    <definedName name="GIO__3">ASIGNATURAS!$F$105:$F$109</definedName>
    <definedName name="GIO__4">ASIGNATURAS!$F$114:$F$118</definedName>
    <definedName name="GIO__5">ASIGNATURAS!$F$120:$F$127</definedName>
    <definedName name="GIO__6">ASIGNATURAS!$F$128:$F$135</definedName>
    <definedName name="GIO__7">ASIGNATURAS!$F$136:$F$143</definedName>
    <definedName name="GIO__8">ASIGNATURAS!$F$145:$F$145</definedName>
    <definedName name="GIO_1">ASIGNATURAS!$H$91:$H$97</definedName>
    <definedName name="GIO_2">ASIGNATURAS!$H$98:$H$104</definedName>
    <definedName name="GIO_3">ASIGNATURAS!$H$105:$H$109</definedName>
    <definedName name="GIO_4">ASIGNATURAS!$H$114:$H$118</definedName>
    <definedName name="GIO_5">ASIGNATURAS!$H$120:$H$127</definedName>
    <definedName name="GIO_6">ASIGNATURAS!$H$128:$H$135</definedName>
    <definedName name="GIO_7">ASIGNATURAS!$H$136:$H$143</definedName>
    <definedName name="GIO_8">ASIGNATURAS!$H$145</definedName>
    <definedName name="gis_1">ASIGNATURAS!$H$78:$H$86</definedName>
    <definedName name="GIS_11">Aulas!$B$2:$B$21</definedName>
    <definedName name="GRUPO" localSheetId="12">[1]Aulas!$C$2:$C$6</definedName>
    <definedName name="GRUPO">Aulas!$C$2:$C$6</definedName>
    <definedName name="grupos" localSheetId="12">[1]Aulas!$B$2:$B$20</definedName>
    <definedName name="grupos">Aulas!$B$2:$B$21</definedName>
    <definedName name="HORARIO" localSheetId="12">[1]Aulas!$E$2:$E$26</definedName>
    <definedName name="HORARIO">Aulas!$E$2:$E$33</definedName>
    <definedName name="MDUR__1">ASIGNATURAS!$F$245:$F$251</definedName>
    <definedName name="MDUR__2">ASIGNATURAS!$F$252:$F$256</definedName>
    <definedName name="MDURAB_1">ASIGNATURAS!$H$245:$H$251</definedName>
    <definedName name="MDURAB_2">ASIGNATURAS!$H$252:$H$256</definedName>
    <definedName name="MII__1">ASIGNATURAS!$F$225:$F$229</definedName>
    <definedName name="MII__2">ASIGNATURAS!$F$230:$F$234</definedName>
    <definedName name="MII__3">ASIGNATURAS!$F$235:$F$242</definedName>
    <definedName name="MIND__1">ASIGNATURAS!$F$200:$F$205</definedName>
    <definedName name="MIND__2">ASIGNATURAS!$F$206:$F$210</definedName>
    <definedName name="MIND__3">ASIGNATURAS!$F$211:$F$222</definedName>
    <definedName name="MIND_1">ASIGNATURAS!$H$200:$H$205</definedName>
    <definedName name="MIND_2">ASIGNATURAS!$H$206:$H$210</definedName>
    <definedName name="MIND_3">ASIGNATURAS!$H$211:$H$222</definedName>
    <definedName name="MINF_1">ASIGNATURAS!$H$225:$H$229</definedName>
    <definedName name="MINF_2">ASIGNATURAS!$H$230:$H$234</definedName>
    <definedName name="MINF_3">ASIGNATURAS!$H$235:$H$242</definedName>
    <definedName name="notas" localSheetId="12">[1]Aulas!$G$2:$G$4</definedName>
    <definedName name="notas">Aulas!$G$2:$G$4</definedName>
    <definedName name="Print_Area" localSheetId="5">'GII '!$A$1:$AY$215</definedName>
    <definedName name="Print_Area" localSheetId="4">'GII (primero)'!$A$1:$BC$59</definedName>
    <definedName name="Print_Area" localSheetId="1">GIM!$A$1:$AY$249</definedName>
    <definedName name="Print_Area" localSheetId="8">MDURAB!$A$1:$AE$67</definedName>
    <definedName name="Print_Area" localSheetId="9">MESO!$A$1:$AE$101</definedName>
    <definedName name="Print_Area" localSheetId="7">MINDUST!$A$1:$AE$101</definedName>
    <definedName name="Print_Area" localSheetId="6">MINFORM!$A$1:$AE$108</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4" i="75" l="1"/>
  <c r="U244" i="74"/>
  <c r="A160" i="74" l="1"/>
  <c r="C160" i="74"/>
  <c r="S160" i="74"/>
  <c r="A161" i="74"/>
  <c r="C161" i="74"/>
  <c r="S161" i="74"/>
  <c r="G28" i="70" l="1"/>
  <c r="D28" i="70"/>
  <c r="G27" i="70"/>
  <c r="D27" i="70"/>
  <c r="G24" i="70"/>
  <c r="D24" i="70"/>
  <c r="G23" i="70"/>
  <c r="D23" i="70"/>
  <c r="Q314" i="80"/>
  <c r="C314" i="80"/>
  <c r="C313" i="80"/>
  <c r="Q312" i="80"/>
  <c r="C312" i="80"/>
  <c r="C311" i="80"/>
  <c r="C310" i="80"/>
  <c r="C309" i="80"/>
  <c r="Q252" i="80"/>
  <c r="C252" i="80"/>
  <c r="Q251" i="80"/>
  <c r="C251" i="80"/>
  <c r="C250" i="80"/>
  <c r="Q249" i="80"/>
  <c r="C249" i="80"/>
  <c r="C248" i="80"/>
  <c r="C187" i="80"/>
  <c r="C186" i="80"/>
  <c r="C185" i="80"/>
  <c r="C184" i="80"/>
  <c r="C183" i="80"/>
  <c r="C142" i="80"/>
  <c r="C141" i="80"/>
  <c r="C140" i="80"/>
  <c r="C139" i="80"/>
  <c r="C138" i="80"/>
  <c r="C91" i="80"/>
  <c r="C90" i="80"/>
  <c r="C89" i="80"/>
  <c r="C88" i="80"/>
  <c r="C87" i="80"/>
  <c r="C86" i="80"/>
  <c r="C41" i="80"/>
  <c r="C40" i="80"/>
  <c r="C39" i="80"/>
  <c r="C38" i="80"/>
  <c r="C37" i="80"/>
  <c r="Z1" i="80"/>
  <c r="Z52" i="80" s="1"/>
  <c r="S379" i="1"/>
  <c r="Q379" i="1"/>
  <c r="O379" i="1"/>
  <c r="S378" i="1"/>
  <c r="Q378" i="1"/>
  <c r="O378" i="1"/>
  <c r="M378" i="1"/>
  <c r="S377" i="1"/>
  <c r="Q377" i="1"/>
  <c r="O377" i="1"/>
  <c r="M377" i="1"/>
  <c r="S376" i="1"/>
  <c r="Q376" i="1"/>
  <c r="O376" i="1"/>
  <c r="S375" i="1"/>
  <c r="Q375" i="1"/>
  <c r="M375" i="1"/>
  <c r="S374" i="1"/>
  <c r="Q374" i="1"/>
  <c r="O374" i="1"/>
  <c r="M374" i="1"/>
  <c r="S373" i="1"/>
  <c r="Q373" i="1"/>
  <c r="O373" i="1"/>
  <c r="M373" i="1"/>
  <c r="S372" i="1"/>
  <c r="Q372" i="1"/>
  <c r="O372" i="1"/>
  <c r="M372" i="1"/>
  <c r="S371" i="1"/>
  <c r="Q371" i="1"/>
  <c r="O371" i="1"/>
  <c r="M371" i="1"/>
  <c r="S370" i="1"/>
  <c r="Q370" i="1"/>
  <c r="O370" i="1"/>
  <c r="M370" i="1"/>
  <c r="S369" i="1"/>
  <c r="Q369" i="1"/>
  <c r="O369" i="1"/>
  <c r="M369" i="1"/>
  <c r="S368" i="1"/>
  <c r="Q368" i="1"/>
  <c r="O368" i="1"/>
  <c r="M368" i="1"/>
  <c r="S367" i="1"/>
  <c r="Q367" i="1"/>
  <c r="O367" i="1"/>
  <c r="M367" i="1"/>
  <c r="S366" i="1"/>
  <c r="Q366" i="1"/>
  <c r="O366" i="1"/>
  <c r="M366" i="1"/>
  <c r="K365" i="1" s="1"/>
  <c r="S365" i="1"/>
  <c r="Q365" i="1"/>
  <c r="O365" i="1"/>
  <c r="M365" i="1"/>
  <c r="K364" i="1" s="1"/>
  <c r="S364" i="1"/>
  <c r="Q364" i="1"/>
  <c r="O364" i="1"/>
  <c r="M364" i="1"/>
  <c r="S363" i="1"/>
  <c r="Q363" i="1"/>
  <c r="O363" i="1"/>
  <c r="M363" i="1"/>
  <c r="S362" i="1"/>
  <c r="Q362" i="1"/>
  <c r="O362" i="1"/>
  <c r="M362" i="1"/>
  <c r="S361" i="1"/>
  <c r="Q361" i="1"/>
  <c r="O361" i="1"/>
  <c r="M361" i="1"/>
  <c r="S360" i="1"/>
  <c r="Q360" i="1"/>
  <c r="O360" i="1"/>
  <c r="M360" i="1"/>
  <c r="S359" i="1"/>
  <c r="Q359" i="1"/>
  <c r="O359" i="1"/>
  <c r="M359" i="1"/>
  <c r="S358" i="1"/>
  <c r="Q358" i="1"/>
  <c r="O358" i="1"/>
  <c r="S357" i="1"/>
  <c r="Q357" i="1"/>
  <c r="O357" i="1"/>
  <c r="K357" i="1" s="1"/>
  <c r="M357" i="1"/>
  <c r="K356" i="1" s="1"/>
  <c r="S356" i="1"/>
  <c r="Q356" i="1"/>
  <c r="O356" i="1"/>
  <c r="M356" i="1"/>
  <c r="K343" i="1"/>
  <c r="Q313" i="80" s="1"/>
  <c r="K342" i="1"/>
  <c r="O341" i="1"/>
  <c r="M341" i="1"/>
  <c r="K341" i="1"/>
  <c r="Q311" i="80" s="1"/>
  <c r="M340" i="1"/>
  <c r="K340" i="1"/>
  <c r="Q310" i="80" s="1"/>
  <c r="M339" i="1"/>
  <c r="K338" i="1" s="1"/>
  <c r="K339" i="1"/>
  <c r="Q309" i="80" s="1"/>
  <c r="M338" i="1"/>
  <c r="K337" i="1" s="1"/>
  <c r="M337" i="1"/>
  <c r="M336" i="1"/>
  <c r="K336" i="1"/>
  <c r="Q250" i="80" s="1"/>
  <c r="M335" i="1"/>
  <c r="K334" i="1" s="1"/>
  <c r="Q248" i="80" s="1"/>
  <c r="K335" i="1"/>
  <c r="M334" i="1"/>
  <c r="M333" i="1"/>
  <c r="K333" i="1"/>
  <c r="Q187" i="80" s="1"/>
  <c r="M332" i="1"/>
  <c r="K331" i="1" s="1"/>
  <c r="Q185" i="80" s="1"/>
  <c r="K332" i="1"/>
  <c r="Q186" i="80" s="1"/>
  <c r="M331" i="1"/>
  <c r="K330" i="1" s="1"/>
  <c r="Q184" i="80" s="1"/>
  <c r="M330" i="1"/>
  <c r="O329" i="1"/>
  <c r="M329" i="1"/>
  <c r="K328" i="1" s="1"/>
  <c r="Q142" i="80" s="1"/>
  <c r="O328" i="1"/>
  <c r="M328" i="1"/>
  <c r="K327" i="1" s="1"/>
  <c r="Q141" i="80" s="1"/>
  <c r="O327" i="1"/>
  <c r="M327" i="1"/>
  <c r="O326" i="1"/>
  <c r="M326" i="1"/>
  <c r="K326" i="1"/>
  <c r="Q140" i="80" s="1"/>
  <c r="O325" i="1"/>
  <c r="K325" i="1" s="1"/>
  <c r="Q139" i="80" s="1"/>
  <c r="M325" i="1"/>
  <c r="O324" i="1"/>
  <c r="M324" i="1"/>
  <c r="K324" i="1"/>
  <c r="Q138" i="80" s="1"/>
  <c r="O323" i="1"/>
  <c r="M323" i="1"/>
  <c r="K323" i="1"/>
  <c r="Q91" i="80" s="1"/>
  <c r="O322" i="1"/>
  <c r="M322" i="1"/>
  <c r="K321" i="1" s="1"/>
  <c r="Q89" i="80" s="1"/>
  <c r="O321" i="1"/>
  <c r="M321" i="1"/>
  <c r="O320" i="1"/>
  <c r="M320" i="1"/>
  <c r="K319" i="1" s="1"/>
  <c r="Q87" i="80" s="1"/>
  <c r="O319" i="1"/>
  <c r="M319" i="1"/>
  <c r="O318" i="1"/>
  <c r="M318" i="1"/>
  <c r="K318" i="1"/>
  <c r="Q41" i="80" s="1"/>
  <c r="O317" i="1"/>
  <c r="K317" i="1" s="1"/>
  <c r="Q40" i="80" s="1"/>
  <c r="M317" i="1"/>
  <c r="O316" i="1"/>
  <c r="M316" i="1"/>
  <c r="K315" i="1" s="1"/>
  <c r="Q38" i="80" s="1"/>
  <c r="K316" i="1"/>
  <c r="Q39" i="80" s="1"/>
  <c r="O315" i="1"/>
  <c r="M315" i="1"/>
  <c r="O314" i="1"/>
  <c r="M308" i="1"/>
  <c r="K308" i="1"/>
  <c r="M307" i="1"/>
  <c r="K307" i="1" s="1"/>
  <c r="Q307" i="73" s="1"/>
  <c r="M306" i="1"/>
  <c r="K305" i="1" s="1"/>
  <c r="Q305" i="73" s="1"/>
  <c r="K306" i="1"/>
  <c r="M305" i="1"/>
  <c r="M304" i="1"/>
  <c r="K303" i="1" s="1"/>
  <c r="Q303" i="73" s="1"/>
  <c r="K304" i="1"/>
  <c r="M303" i="1"/>
  <c r="K302" i="1" s="1"/>
  <c r="Q275" i="73" s="1"/>
  <c r="O302" i="1"/>
  <c r="M302" i="1"/>
  <c r="K301" i="1" s="1"/>
  <c r="Q274" i="73" s="1"/>
  <c r="M301" i="1"/>
  <c r="M300" i="1"/>
  <c r="K300" i="1"/>
  <c r="M299" i="1"/>
  <c r="K299" i="1"/>
  <c r="M298" i="1"/>
  <c r="K298" i="1" s="1"/>
  <c r="Q271" i="73" s="1"/>
  <c r="M297" i="1"/>
  <c r="K297" i="1" s="1"/>
  <c r="Q270" i="73" s="1"/>
  <c r="M296" i="1"/>
  <c r="K295" i="1" s="1"/>
  <c r="Q239" i="73" s="1"/>
  <c r="K296" i="1"/>
  <c r="M295" i="1"/>
  <c r="M294" i="1"/>
  <c r="K293" i="1" s="1"/>
  <c r="Q237" i="73" s="1"/>
  <c r="K294" i="1"/>
  <c r="M293" i="1"/>
  <c r="M292" i="1"/>
  <c r="K292" i="1"/>
  <c r="S291" i="1"/>
  <c r="Q291" i="1"/>
  <c r="O291" i="1"/>
  <c r="M291" i="1"/>
  <c r="S290" i="1"/>
  <c r="Q290" i="1"/>
  <c r="O290" i="1"/>
  <c r="M290" i="1"/>
  <c r="K290" i="1" s="1"/>
  <c r="Q205" i="73" s="1"/>
  <c r="S289" i="1"/>
  <c r="Q289" i="1"/>
  <c r="O289" i="1"/>
  <c r="M289" i="1"/>
  <c r="K289" i="1"/>
  <c r="S288" i="1"/>
  <c r="Q288" i="1"/>
  <c r="O288" i="1"/>
  <c r="K288" i="1" s="1"/>
  <c r="Q203" i="73" s="1"/>
  <c r="M288" i="1"/>
  <c r="S287" i="1"/>
  <c r="Q287" i="1"/>
  <c r="O287" i="1"/>
  <c r="M287" i="1"/>
  <c r="M286" i="1"/>
  <c r="K285" i="1" s="1"/>
  <c r="Q172" i="73" s="1"/>
  <c r="K286" i="1"/>
  <c r="M285" i="1"/>
  <c r="K284" i="1" s="1"/>
  <c r="Q171" i="73" s="1"/>
  <c r="M284" i="1"/>
  <c r="K283" i="1" s="1"/>
  <c r="Q170" i="73" s="1"/>
  <c r="O283" i="1"/>
  <c r="M283" i="1"/>
  <c r="K282" i="1" s="1"/>
  <c r="Q169" i="73" s="1"/>
  <c r="M282" i="1"/>
  <c r="K281" i="1" s="1"/>
  <c r="Q168" i="73" s="1"/>
  <c r="M281" i="1"/>
  <c r="K280" i="1" s="1"/>
  <c r="Q132" i="73" s="1"/>
  <c r="O280" i="1"/>
  <c r="M280" i="1"/>
  <c r="K279" i="1" s="1"/>
  <c r="Q131" i="73" s="1"/>
  <c r="O279" i="1"/>
  <c r="M279" i="1"/>
  <c r="K278" i="1" s="1"/>
  <c r="Q130" i="73" s="1"/>
  <c r="O278" i="1"/>
  <c r="M278" i="1"/>
  <c r="K277" i="1" s="1"/>
  <c r="Q129" i="73" s="1"/>
  <c r="O277" i="1"/>
  <c r="M277" i="1"/>
  <c r="O276" i="1"/>
  <c r="M276" i="1"/>
  <c r="O275" i="1"/>
  <c r="M275" i="1"/>
  <c r="K275" i="1"/>
  <c r="O274" i="1"/>
  <c r="M274" i="1"/>
  <c r="K274" i="1" s="1"/>
  <c r="Q96" i="73" s="1"/>
  <c r="O273" i="1"/>
  <c r="M273" i="1"/>
  <c r="O272" i="1"/>
  <c r="M272" i="1"/>
  <c r="K272" i="1" s="1"/>
  <c r="Q94" i="73" s="1"/>
  <c r="O271" i="1"/>
  <c r="M271" i="1"/>
  <c r="O270" i="1"/>
  <c r="M270" i="1"/>
  <c r="K270" i="1" s="1"/>
  <c r="Q92" i="73" s="1"/>
  <c r="M269" i="1"/>
  <c r="K269" i="1" s="1"/>
  <c r="Q58" i="73" s="1"/>
  <c r="M268" i="1"/>
  <c r="K268" i="1" s="1"/>
  <c r="Q57" i="73" s="1"/>
  <c r="M267" i="1"/>
  <c r="K267" i="1" s="1"/>
  <c r="Q56" i="73" s="1"/>
  <c r="M266" i="1"/>
  <c r="K266" i="1" s="1"/>
  <c r="Q55" i="73" s="1"/>
  <c r="M265" i="1"/>
  <c r="K265" i="1" s="1"/>
  <c r="Q54" i="73" s="1"/>
  <c r="M264" i="1"/>
  <c r="K264" i="1" s="1"/>
  <c r="Q53" i="73" s="1"/>
  <c r="M263" i="1"/>
  <c r="K263" i="1" s="1"/>
  <c r="Q25" i="73" s="1"/>
  <c r="O262" i="1"/>
  <c r="M262" i="1"/>
  <c r="K262" i="1"/>
  <c r="M261" i="1"/>
  <c r="K261" i="1"/>
  <c r="Q23" i="73" s="1"/>
  <c r="M260" i="1"/>
  <c r="K259" i="1" s="1"/>
  <c r="Q21" i="73" s="1"/>
  <c r="K260" i="1"/>
  <c r="M259" i="1"/>
  <c r="M257" i="1"/>
  <c r="S256" i="1"/>
  <c r="Q256" i="1"/>
  <c r="O256" i="1"/>
  <c r="M256" i="1"/>
  <c r="S255" i="1"/>
  <c r="Q255" i="1"/>
  <c r="O255" i="1"/>
  <c r="M255" i="1"/>
  <c r="S254" i="1"/>
  <c r="Q254" i="1"/>
  <c r="O254" i="1"/>
  <c r="M254" i="1"/>
  <c r="K253" i="1" s="1"/>
  <c r="Q50" i="69" s="1"/>
  <c r="S253" i="1"/>
  <c r="Q253" i="1"/>
  <c r="M253" i="1"/>
  <c r="S252" i="1"/>
  <c r="Q252" i="1"/>
  <c r="O252" i="1"/>
  <c r="M252" i="1"/>
  <c r="K252" i="1"/>
  <c r="S251" i="1"/>
  <c r="Q251" i="1"/>
  <c r="O251" i="1"/>
  <c r="M251" i="1"/>
  <c r="K250" i="1" s="1"/>
  <c r="Q23" i="69" s="1"/>
  <c r="S250" i="1"/>
  <c r="Q250" i="1"/>
  <c r="O250" i="1"/>
  <c r="M250" i="1"/>
  <c r="S249" i="1"/>
  <c r="Q249" i="1"/>
  <c r="O249" i="1"/>
  <c r="M249" i="1"/>
  <c r="S248" i="1"/>
  <c r="Q248" i="1"/>
  <c r="O248" i="1"/>
  <c r="M248" i="1"/>
  <c r="K247" i="1" s="1"/>
  <c r="Q20" i="69" s="1"/>
  <c r="K248" i="1"/>
  <c r="Q21" i="69" s="1"/>
  <c r="S247" i="1"/>
  <c r="Q247" i="1"/>
  <c r="O247" i="1"/>
  <c r="M247" i="1"/>
  <c r="S246" i="1"/>
  <c r="Q246" i="1"/>
  <c r="O246" i="1"/>
  <c r="M246" i="1"/>
  <c r="K245" i="1" s="1"/>
  <c r="Q18" i="69" s="1"/>
  <c r="S245" i="1"/>
  <c r="Q245" i="1"/>
  <c r="O245" i="1"/>
  <c r="M245" i="1"/>
  <c r="K244" i="1" s="1"/>
  <c r="S244" i="1"/>
  <c r="Q244" i="1"/>
  <c r="O244" i="1"/>
  <c r="M244" i="1"/>
  <c r="O243" i="1"/>
  <c r="K243" i="1" s="1"/>
  <c r="S235" i="1"/>
  <c r="Q235" i="1"/>
  <c r="M235" i="1"/>
  <c r="S234" i="1"/>
  <c r="Q234" i="1"/>
  <c r="O234" i="1"/>
  <c r="M234" i="1"/>
  <c r="S233" i="1"/>
  <c r="Q233" i="1"/>
  <c r="O233" i="1"/>
  <c r="M233" i="1"/>
  <c r="S232" i="1"/>
  <c r="Q232" i="1"/>
  <c r="O232" i="1"/>
  <c r="M232" i="1"/>
  <c r="K231" i="1" s="1"/>
  <c r="K232" i="1"/>
  <c r="S231" i="1"/>
  <c r="Q231" i="1"/>
  <c r="O231" i="1"/>
  <c r="M231" i="1"/>
  <c r="S230" i="1"/>
  <c r="Q230" i="1"/>
  <c r="O230" i="1"/>
  <c r="M230" i="1"/>
  <c r="S229" i="1"/>
  <c r="Q229" i="1"/>
  <c r="O229" i="1"/>
  <c r="M229" i="1"/>
  <c r="K228" i="1" s="1"/>
  <c r="K229" i="1"/>
  <c r="S228" i="1"/>
  <c r="Q228" i="1"/>
  <c r="O228" i="1"/>
  <c r="M228" i="1"/>
  <c r="S227" i="1"/>
  <c r="Q227" i="1"/>
  <c r="O227" i="1"/>
  <c r="K227" i="1" s="1"/>
  <c r="M227" i="1"/>
  <c r="S226" i="1"/>
  <c r="Q226" i="1"/>
  <c r="O226" i="1"/>
  <c r="M226" i="1"/>
  <c r="S225" i="1"/>
  <c r="Q225" i="1"/>
  <c r="O225" i="1"/>
  <c r="M225" i="1"/>
  <c r="S224" i="1"/>
  <c r="Q224" i="1"/>
  <c r="O224" i="1"/>
  <c r="K224" i="1" s="1"/>
  <c r="M224" i="1"/>
  <c r="S223" i="1"/>
  <c r="Q223" i="1"/>
  <c r="O223" i="1"/>
  <c r="M223" i="1"/>
  <c r="S222" i="1"/>
  <c r="Q222" i="1"/>
  <c r="O222" i="1"/>
  <c r="S221" i="1"/>
  <c r="Q221" i="1"/>
  <c r="O221" i="1"/>
  <c r="K221" i="1" s="1"/>
  <c r="M221" i="1"/>
  <c r="S220" i="1"/>
  <c r="Q220" i="1"/>
  <c r="O220" i="1"/>
  <c r="M220" i="1"/>
  <c r="S219" i="1"/>
  <c r="Q219" i="1"/>
  <c r="O219" i="1"/>
  <c r="K219" i="1" s="1"/>
  <c r="Q92" i="89" s="1"/>
  <c r="S218" i="1"/>
  <c r="Q218" i="1"/>
  <c r="K218" i="1" s="1"/>
  <c r="M218" i="1"/>
  <c r="K217" i="1" s="1"/>
  <c r="Q90" i="89" s="1"/>
  <c r="S217" i="1"/>
  <c r="Q217" i="1"/>
  <c r="O217" i="1"/>
  <c r="M217" i="1"/>
  <c r="K216" i="1" s="1"/>
  <c r="S216" i="1"/>
  <c r="Q216" i="1"/>
  <c r="O216" i="1"/>
  <c r="M216" i="1"/>
  <c r="S215" i="1"/>
  <c r="Q215" i="1"/>
  <c r="O215" i="1"/>
  <c r="M215" i="1"/>
  <c r="K214" i="1" s="1"/>
  <c r="Q87" i="89" s="1"/>
  <c r="S214" i="1"/>
  <c r="Q214" i="1"/>
  <c r="O214" i="1"/>
  <c r="M214" i="1"/>
  <c r="S213" i="1"/>
  <c r="Q213" i="1"/>
  <c r="O213" i="1"/>
  <c r="M213" i="1"/>
  <c r="K213" i="1"/>
  <c r="S212" i="1"/>
  <c r="Q212" i="1"/>
  <c r="O212" i="1"/>
  <c r="M212" i="1"/>
  <c r="K211" i="1" s="1"/>
  <c r="S211" i="1"/>
  <c r="Q211" i="1"/>
  <c r="O211" i="1"/>
  <c r="M211" i="1"/>
  <c r="S210" i="1"/>
  <c r="Q210" i="1"/>
  <c r="O210" i="1"/>
  <c r="M210" i="1"/>
  <c r="S209" i="1"/>
  <c r="Q209" i="1"/>
  <c r="O209" i="1"/>
  <c r="M209" i="1"/>
  <c r="K208" i="1" s="1"/>
  <c r="K209" i="1"/>
  <c r="S208" i="1"/>
  <c r="Q208" i="1"/>
  <c r="O208" i="1"/>
  <c r="M208" i="1"/>
  <c r="S207" i="1"/>
  <c r="Q207" i="1"/>
  <c r="O207" i="1"/>
  <c r="M207" i="1"/>
  <c r="K206" i="1" s="1"/>
  <c r="Q52" i="89" s="1"/>
  <c r="S206" i="1"/>
  <c r="Q206" i="1"/>
  <c r="O206" i="1"/>
  <c r="M206" i="1"/>
  <c r="K205" i="1" s="1"/>
  <c r="S205" i="1"/>
  <c r="Q205" i="1"/>
  <c r="O205" i="1"/>
  <c r="M205" i="1"/>
  <c r="S204" i="1"/>
  <c r="Q204" i="1"/>
  <c r="O204" i="1"/>
  <c r="M204" i="1"/>
  <c r="S203" i="1"/>
  <c r="Q203" i="1"/>
  <c r="O203" i="1"/>
  <c r="M203" i="1"/>
  <c r="S202" i="1"/>
  <c r="Q202" i="1"/>
  <c r="O202" i="1"/>
  <c r="M202" i="1"/>
  <c r="K201" i="1" s="1"/>
  <c r="S201" i="1"/>
  <c r="Q201" i="1"/>
  <c r="O201" i="1"/>
  <c r="S200" i="1"/>
  <c r="Q200" i="1"/>
  <c r="K200" i="1" s="1"/>
  <c r="O200" i="1"/>
  <c r="M200" i="1"/>
  <c r="S199" i="1"/>
  <c r="Q199" i="1"/>
  <c r="O199" i="1"/>
  <c r="K199" i="1" s="1"/>
  <c r="M199" i="1"/>
  <c r="S198" i="1"/>
  <c r="Q198" i="1"/>
  <c r="O198" i="1"/>
  <c r="M198" i="1"/>
  <c r="K197" i="1" s="1"/>
  <c r="AA209" i="85" s="1"/>
  <c r="S197" i="1"/>
  <c r="Q197" i="1"/>
  <c r="O197" i="1"/>
  <c r="M197" i="1"/>
  <c r="S196" i="1"/>
  <c r="Q196" i="1"/>
  <c r="O196" i="1"/>
  <c r="M196" i="1"/>
  <c r="K196" i="1"/>
  <c r="S195" i="1"/>
  <c r="Q195" i="1"/>
  <c r="O195" i="1"/>
  <c r="M195" i="1"/>
  <c r="K194" i="1" s="1"/>
  <c r="S194" i="1"/>
  <c r="Q194" i="1"/>
  <c r="O194" i="1"/>
  <c r="M194" i="1"/>
  <c r="S193" i="1"/>
  <c r="Q193" i="1"/>
  <c r="O193" i="1"/>
  <c r="M193" i="1"/>
  <c r="K193" i="1" s="1"/>
  <c r="S192" i="1"/>
  <c r="Q192" i="1"/>
  <c r="O192" i="1"/>
  <c r="M192" i="1"/>
  <c r="K192" i="1" s="1"/>
  <c r="AA204" i="85" s="1"/>
  <c r="S191" i="1"/>
  <c r="Q191" i="1"/>
  <c r="O191" i="1"/>
  <c r="M191" i="1"/>
  <c r="K191" i="1" s="1"/>
  <c r="S190" i="1"/>
  <c r="Q190" i="1"/>
  <c r="O190" i="1"/>
  <c r="M190" i="1"/>
  <c r="S189" i="1"/>
  <c r="Q189" i="1"/>
  <c r="O189" i="1"/>
  <c r="M189" i="1"/>
  <c r="S188" i="1"/>
  <c r="Q188" i="1"/>
  <c r="O188" i="1"/>
  <c r="M188" i="1"/>
  <c r="K188" i="1" s="1"/>
  <c r="AA174" i="85" s="1"/>
  <c r="S187" i="1"/>
  <c r="Q187" i="1"/>
  <c r="O187" i="1"/>
  <c r="M187" i="1"/>
  <c r="K187" i="1"/>
  <c r="S186" i="1"/>
  <c r="Q186" i="1"/>
  <c r="O186" i="1"/>
  <c r="M186" i="1"/>
  <c r="K186" i="1" s="1"/>
  <c r="AA172" i="85" s="1"/>
  <c r="S185" i="1"/>
  <c r="Q185" i="1"/>
  <c r="O185" i="1"/>
  <c r="K185" i="1" s="1"/>
  <c r="AA171" i="85" s="1"/>
  <c r="M185" i="1"/>
  <c r="S184" i="1"/>
  <c r="Q184" i="1"/>
  <c r="O184" i="1"/>
  <c r="M184" i="1"/>
  <c r="K184" i="1" s="1"/>
  <c r="AA170" i="85" s="1"/>
  <c r="S183" i="1"/>
  <c r="Q183" i="1"/>
  <c r="O183" i="1"/>
  <c r="M183" i="1"/>
  <c r="S182" i="1"/>
  <c r="Q182" i="1"/>
  <c r="O182" i="1"/>
  <c r="M182" i="1"/>
  <c r="S181" i="1"/>
  <c r="Q181" i="1"/>
  <c r="O181" i="1"/>
  <c r="M181" i="1"/>
  <c r="S180" i="1"/>
  <c r="Q180" i="1"/>
  <c r="O180" i="1"/>
  <c r="M180" i="1"/>
  <c r="S179" i="1"/>
  <c r="Q179" i="1"/>
  <c r="O179" i="1"/>
  <c r="M179" i="1"/>
  <c r="K179" i="1" s="1"/>
  <c r="AA130" i="85" s="1"/>
  <c r="S178" i="1"/>
  <c r="Q178" i="1"/>
  <c r="O178" i="1"/>
  <c r="M178" i="1"/>
  <c r="S177" i="1"/>
  <c r="Q177" i="1"/>
  <c r="O177" i="1"/>
  <c r="M177" i="1"/>
  <c r="K177" i="1" s="1"/>
  <c r="AA128" i="85" s="1"/>
  <c r="S176" i="1"/>
  <c r="Q176" i="1"/>
  <c r="O176" i="1"/>
  <c r="M176" i="1"/>
  <c r="K176" i="1"/>
  <c r="S175" i="1"/>
  <c r="Q175" i="1"/>
  <c r="O175" i="1"/>
  <c r="M175" i="1"/>
  <c r="S174" i="1"/>
  <c r="Q174" i="1"/>
  <c r="O174" i="1"/>
  <c r="M174" i="1"/>
  <c r="S173" i="1"/>
  <c r="Q173" i="1"/>
  <c r="O173" i="1"/>
  <c r="M173" i="1"/>
  <c r="K173" i="1" s="1"/>
  <c r="AA86" i="85" s="1"/>
  <c r="S172" i="1"/>
  <c r="Q172" i="1"/>
  <c r="O172" i="1"/>
  <c r="M172" i="1"/>
  <c r="S171" i="1"/>
  <c r="Q171" i="1"/>
  <c r="O171" i="1"/>
  <c r="M171" i="1"/>
  <c r="K171" i="1" s="1"/>
  <c r="AA57" i="85" s="1"/>
  <c r="S170" i="1"/>
  <c r="Q170" i="1"/>
  <c r="O170" i="1"/>
  <c r="M170" i="1"/>
  <c r="S169" i="1"/>
  <c r="Q169" i="1"/>
  <c r="O169" i="1"/>
  <c r="M169" i="1"/>
  <c r="K169" i="1"/>
  <c r="S168" i="1"/>
  <c r="Q168" i="1"/>
  <c r="O168" i="1"/>
  <c r="M168" i="1"/>
  <c r="K168" i="1"/>
  <c r="S167" i="1"/>
  <c r="Q167" i="1"/>
  <c r="O167" i="1"/>
  <c r="M167" i="1"/>
  <c r="K167" i="1" s="1"/>
  <c r="AA53" i="85" s="1"/>
  <c r="S166" i="1"/>
  <c r="Q166" i="1"/>
  <c r="O166" i="1"/>
  <c r="M166" i="1"/>
  <c r="S165" i="1"/>
  <c r="Q165" i="1"/>
  <c r="O165" i="1"/>
  <c r="M165" i="1"/>
  <c r="K165" i="1" s="1"/>
  <c r="AA23" i="85" s="1"/>
  <c r="S164" i="1"/>
  <c r="Q164" i="1"/>
  <c r="O164" i="1"/>
  <c r="M164" i="1"/>
  <c r="K164" i="1" s="1"/>
  <c r="AA22" i="85" s="1"/>
  <c r="S163" i="1"/>
  <c r="Q163" i="1"/>
  <c r="O163" i="1"/>
  <c r="K163" i="1" s="1"/>
  <c r="AA21" i="85" s="1"/>
  <c r="M163" i="1"/>
  <c r="S162" i="1"/>
  <c r="Q162" i="1"/>
  <c r="O162" i="1"/>
  <c r="M162" i="1"/>
  <c r="K162" i="1" s="1"/>
  <c r="AA20" i="85" s="1"/>
  <c r="S161" i="1"/>
  <c r="Q161" i="1"/>
  <c r="O161" i="1"/>
  <c r="M161" i="1"/>
  <c r="K161" i="1" s="1"/>
  <c r="AH57" i="75" s="1"/>
  <c r="S160" i="1"/>
  <c r="Q160" i="1"/>
  <c r="O160" i="1"/>
  <c r="M160" i="1"/>
  <c r="K160" i="1" s="1"/>
  <c r="AH56" i="75" s="1"/>
  <c r="S159" i="1"/>
  <c r="Q159" i="1"/>
  <c r="O159" i="1"/>
  <c r="M159" i="1"/>
  <c r="O158" i="1"/>
  <c r="M158" i="1"/>
  <c r="K158" i="1" s="1"/>
  <c r="AH54" i="75" s="1"/>
  <c r="O157" i="1"/>
  <c r="K157" i="1" s="1"/>
  <c r="AH53" i="75" s="1"/>
  <c r="M157" i="1"/>
  <c r="S156" i="1"/>
  <c r="Q156" i="1"/>
  <c r="O156" i="1"/>
  <c r="M156" i="1"/>
  <c r="K156" i="1" s="1"/>
  <c r="AH29" i="75" s="1"/>
  <c r="S155" i="1"/>
  <c r="Q155" i="1"/>
  <c r="O155" i="1"/>
  <c r="M155" i="1"/>
  <c r="S154" i="1"/>
  <c r="Q154" i="1"/>
  <c r="O154" i="1"/>
  <c r="M154" i="1"/>
  <c r="S153" i="1"/>
  <c r="Q153" i="1"/>
  <c r="O153" i="1"/>
  <c r="M153" i="1"/>
  <c r="S152" i="1"/>
  <c r="Q152" i="1"/>
  <c r="O152" i="1"/>
  <c r="M152" i="1"/>
  <c r="S151" i="1"/>
  <c r="Q151" i="1"/>
  <c r="O151" i="1"/>
  <c r="M151" i="1"/>
  <c r="K151" i="1" s="1"/>
  <c r="K148" i="1"/>
  <c r="S147" i="1"/>
  <c r="Q147" i="1"/>
  <c r="O147" i="1"/>
  <c r="S146" i="1"/>
  <c r="Q146" i="1"/>
  <c r="O146" i="1"/>
  <c r="S140" i="1"/>
  <c r="Q140" i="1"/>
  <c r="O140" i="1"/>
  <c r="M140" i="1"/>
  <c r="S139" i="1"/>
  <c r="Q139" i="1"/>
  <c r="M139" i="1"/>
  <c r="K139" i="1" s="1"/>
  <c r="Q227" i="63" s="1"/>
  <c r="S138" i="1"/>
  <c r="Q138" i="1"/>
  <c r="O138" i="1"/>
  <c r="M138" i="1"/>
  <c r="K138" i="1"/>
  <c r="S137" i="1"/>
  <c r="Q137" i="1"/>
  <c r="O137" i="1"/>
  <c r="M137" i="1"/>
  <c r="S136" i="1"/>
  <c r="Q136" i="1"/>
  <c r="O136" i="1"/>
  <c r="M136" i="1"/>
  <c r="S135" i="1"/>
  <c r="Q135" i="1"/>
  <c r="O135" i="1"/>
  <c r="O133" i="1"/>
  <c r="K133" i="1" s="1"/>
  <c r="O132" i="1"/>
  <c r="M132" i="1"/>
  <c r="K132" i="1" s="1"/>
  <c r="Q196" i="63" s="1"/>
  <c r="S131" i="1"/>
  <c r="Q131" i="1"/>
  <c r="K131" i="1" s="1"/>
  <c r="Q195" i="63" s="1"/>
  <c r="O131" i="1"/>
  <c r="M131" i="1"/>
  <c r="S130" i="1"/>
  <c r="Q130" i="1"/>
  <c r="O130" i="1"/>
  <c r="M130" i="1"/>
  <c r="S129" i="1"/>
  <c r="Q129" i="1"/>
  <c r="O129" i="1"/>
  <c r="M129" i="1"/>
  <c r="K129" i="1" s="1"/>
  <c r="Q193" i="63" s="1"/>
  <c r="S128" i="1"/>
  <c r="Q128" i="1"/>
  <c r="O128" i="1"/>
  <c r="M128" i="1"/>
  <c r="K128" i="1" s="1"/>
  <c r="Q192" i="63" s="1"/>
  <c r="S127" i="1"/>
  <c r="Q127" i="1"/>
  <c r="O127" i="1"/>
  <c r="M127" i="1"/>
  <c r="O126" i="1"/>
  <c r="K126" i="1" s="1"/>
  <c r="O125" i="1"/>
  <c r="K125" i="1" s="1"/>
  <c r="O124" i="1"/>
  <c r="M124" i="1"/>
  <c r="K124" i="1" s="1"/>
  <c r="Q164" i="63" s="1"/>
  <c r="S123" i="1"/>
  <c r="Q123" i="1"/>
  <c r="O123" i="1"/>
  <c r="M123" i="1"/>
  <c r="K123" i="1"/>
  <c r="S122" i="1"/>
  <c r="Q122" i="1"/>
  <c r="O122" i="1"/>
  <c r="M122" i="1"/>
  <c r="S121" i="1"/>
  <c r="Q121" i="1"/>
  <c r="O121" i="1"/>
  <c r="M121" i="1"/>
  <c r="S120" i="1"/>
  <c r="Q120" i="1"/>
  <c r="O120" i="1"/>
  <c r="M120" i="1"/>
  <c r="K120" i="1" s="1"/>
  <c r="Q160" i="63" s="1"/>
  <c r="O119" i="1"/>
  <c r="M119" i="1"/>
  <c r="K119" i="1" s="1"/>
  <c r="S118" i="1"/>
  <c r="Q118" i="1"/>
  <c r="O118" i="1"/>
  <c r="M118" i="1"/>
  <c r="K118" i="1" s="1"/>
  <c r="Q131" i="63" s="1"/>
  <c r="S117" i="1"/>
  <c r="Q117" i="1"/>
  <c r="M117" i="1"/>
  <c r="K117" i="1" s="1"/>
  <c r="Q130" i="63" s="1"/>
  <c r="S116" i="1"/>
  <c r="Q116" i="1"/>
  <c r="O116" i="1"/>
  <c r="M116" i="1"/>
  <c r="K116" i="1" s="1"/>
  <c r="Q129" i="63" s="1"/>
  <c r="S115" i="1"/>
  <c r="Q115" i="1"/>
  <c r="O115" i="1"/>
  <c r="M115" i="1"/>
  <c r="S114" i="1"/>
  <c r="Q114" i="1"/>
  <c r="O114" i="1"/>
  <c r="M114" i="1"/>
  <c r="O113" i="1"/>
  <c r="M113" i="1"/>
  <c r="O112" i="1"/>
  <c r="M112" i="1"/>
  <c r="M111" i="1"/>
  <c r="M110" i="1"/>
  <c r="K110" i="1" s="1"/>
  <c r="S109" i="1"/>
  <c r="Q109" i="1"/>
  <c r="O109" i="1"/>
  <c r="M109" i="1"/>
  <c r="K109" i="1" s="1"/>
  <c r="S108" i="1"/>
  <c r="Q108" i="1"/>
  <c r="O108" i="1"/>
  <c r="M108" i="1"/>
  <c r="S107" i="1"/>
  <c r="Q107" i="1"/>
  <c r="O107" i="1"/>
  <c r="M107" i="1"/>
  <c r="K107" i="1"/>
  <c r="S106" i="1"/>
  <c r="Q106" i="1"/>
  <c r="O106" i="1"/>
  <c r="M106" i="1"/>
  <c r="S105" i="1"/>
  <c r="Q105" i="1"/>
  <c r="O105" i="1"/>
  <c r="M105" i="1"/>
  <c r="K105" i="1" s="1"/>
  <c r="Q94" i="63" s="1"/>
  <c r="S104" i="1"/>
  <c r="Q104" i="1"/>
  <c r="O104" i="1"/>
  <c r="M104" i="1"/>
  <c r="K104" i="1" s="1"/>
  <c r="O103" i="1"/>
  <c r="M103" i="1"/>
  <c r="K103" i="1" s="1"/>
  <c r="O102" i="1"/>
  <c r="M102" i="1"/>
  <c r="S101" i="1"/>
  <c r="Q101" i="1"/>
  <c r="O101" i="1"/>
  <c r="M101" i="1"/>
  <c r="K101" i="1"/>
  <c r="S100" i="1"/>
  <c r="Q100" i="1"/>
  <c r="O100" i="1"/>
  <c r="M100" i="1"/>
  <c r="K100" i="1" s="1"/>
  <c r="Q62" i="63" s="1"/>
  <c r="S99" i="1"/>
  <c r="Q99" i="1"/>
  <c r="O99" i="1"/>
  <c r="M99" i="1"/>
  <c r="S98" i="1"/>
  <c r="Q98" i="1"/>
  <c r="O98" i="1"/>
  <c r="M98" i="1"/>
  <c r="S97" i="1"/>
  <c r="Q97" i="1"/>
  <c r="O97" i="1"/>
  <c r="M97" i="1"/>
  <c r="S95" i="1"/>
  <c r="Q95" i="1"/>
  <c r="O95" i="1"/>
  <c r="M95" i="1"/>
  <c r="S94" i="1"/>
  <c r="Q94" i="1"/>
  <c r="O94" i="1"/>
  <c r="K94" i="1" s="1"/>
  <c r="Q23" i="63" s="1"/>
  <c r="S93" i="1"/>
  <c r="Q93" i="1"/>
  <c r="O93" i="1"/>
  <c r="M93" i="1"/>
  <c r="S92" i="1"/>
  <c r="Q92" i="1"/>
  <c r="O92" i="1"/>
  <c r="M92" i="1"/>
  <c r="S91" i="1"/>
  <c r="Q91" i="1"/>
  <c r="O91" i="1"/>
  <c r="M91" i="1"/>
  <c r="S90" i="1"/>
  <c r="Q90" i="1"/>
  <c r="O90" i="1"/>
  <c r="M90" i="1"/>
  <c r="S89" i="1"/>
  <c r="Q89" i="1"/>
  <c r="O89" i="1"/>
  <c r="M89" i="1"/>
  <c r="K89" i="1" s="1"/>
  <c r="S88" i="1"/>
  <c r="Q88" i="1"/>
  <c r="O88" i="1"/>
  <c r="M88" i="1"/>
  <c r="S87" i="1"/>
  <c r="Q87" i="1"/>
  <c r="O87" i="1"/>
  <c r="M87" i="1"/>
  <c r="K87" i="1" s="1"/>
  <c r="Q249" i="62" s="1"/>
  <c r="S86" i="1"/>
  <c r="Q86" i="1"/>
  <c r="O86" i="1"/>
  <c r="M86" i="1"/>
  <c r="K86" i="1"/>
  <c r="S85" i="1"/>
  <c r="Q85" i="1"/>
  <c r="O85" i="1"/>
  <c r="M85" i="1"/>
  <c r="S84" i="1"/>
  <c r="Q84" i="1"/>
  <c r="O84" i="1"/>
  <c r="M84" i="1"/>
  <c r="S83" i="1"/>
  <c r="Q83" i="1"/>
  <c r="O83" i="1"/>
  <c r="M83" i="1"/>
  <c r="K83" i="1" s="1"/>
  <c r="Q221" i="62" s="1"/>
  <c r="S82" i="1"/>
  <c r="Q82" i="1"/>
  <c r="O82" i="1"/>
  <c r="M82" i="1"/>
  <c r="S81" i="1"/>
  <c r="Q81" i="1"/>
  <c r="O81" i="1"/>
  <c r="M81" i="1"/>
  <c r="K81" i="1" s="1"/>
  <c r="Q219" i="62" s="1"/>
  <c r="S80" i="1"/>
  <c r="Q80" i="1"/>
  <c r="O80" i="1"/>
  <c r="M80" i="1"/>
  <c r="S79" i="1"/>
  <c r="Q79" i="1"/>
  <c r="O79" i="1"/>
  <c r="M79" i="1"/>
  <c r="K79" i="1"/>
  <c r="S78" i="1"/>
  <c r="Q78" i="1"/>
  <c r="O78" i="1"/>
  <c r="M78" i="1"/>
  <c r="K78" i="1"/>
  <c r="S77" i="1"/>
  <c r="Q77" i="1"/>
  <c r="O77" i="1"/>
  <c r="M77" i="1"/>
  <c r="K77" i="1" s="1"/>
  <c r="Q181" i="62" s="1"/>
  <c r="S76" i="1"/>
  <c r="Q76" i="1"/>
  <c r="O76" i="1"/>
  <c r="M76" i="1"/>
  <c r="S75" i="1"/>
  <c r="Q75" i="1"/>
  <c r="O75" i="1"/>
  <c r="M75" i="1"/>
  <c r="K75" i="1" s="1"/>
  <c r="Q179" i="62" s="1"/>
  <c r="S74" i="1"/>
  <c r="Q74" i="1"/>
  <c r="O74" i="1"/>
  <c r="K74" i="1"/>
  <c r="S73" i="1"/>
  <c r="Q73" i="1"/>
  <c r="O73" i="1"/>
  <c r="K73" i="1" s="1"/>
  <c r="Q177" i="62" s="1"/>
  <c r="M73" i="1"/>
  <c r="S72" i="1"/>
  <c r="Q72" i="1"/>
  <c r="O72" i="1"/>
  <c r="M72" i="1"/>
  <c r="K72" i="1" s="1"/>
  <c r="Q151" i="62" s="1"/>
  <c r="S71" i="1"/>
  <c r="Q71" i="1"/>
  <c r="O71" i="1"/>
  <c r="M71" i="1"/>
  <c r="S70" i="1"/>
  <c r="Q70" i="1"/>
  <c r="O70" i="1"/>
  <c r="M70" i="1"/>
  <c r="S69" i="1"/>
  <c r="Q69" i="1"/>
  <c r="O69" i="1"/>
  <c r="M69" i="1"/>
  <c r="K69" i="1" s="1"/>
  <c r="Q148" i="62" s="1"/>
  <c r="S68" i="1"/>
  <c r="Q68" i="1"/>
  <c r="O68" i="1"/>
  <c r="M68" i="1"/>
  <c r="K68" i="1" s="1"/>
  <c r="Q147" i="62" s="1"/>
  <c r="S67" i="1"/>
  <c r="Q67" i="1"/>
  <c r="O67" i="1"/>
  <c r="M67" i="1"/>
  <c r="S66" i="1"/>
  <c r="Q66" i="1"/>
  <c r="O66" i="1"/>
  <c r="M66" i="1"/>
  <c r="K66" i="1" s="1"/>
  <c r="Q118" i="62" s="1"/>
  <c r="S65" i="1"/>
  <c r="Q65" i="1"/>
  <c r="O65" i="1"/>
  <c r="M65" i="1"/>
  <c r="K65" i="1" s="1"/>
  <c r="Q117" i="62" s="1"/>
  <c r="S64" i="1"/>
  <c r="Q64" i="1"/>
  <c r="O64" i="1"/>
  <c r="M64" i="1"/>
  <c r="K64" i="1" s="1"/>
  <c r="Q116" i="62" s="1"/>
  <c r="S63" i="1"/>
  <c r="Q63" i="1"/>
  <c r="O63" i="1"/>
  <c r="M63" i="1"/>
  <c r="K63" i="1" s="1"/>
  <c r="Q115" i="62" s="1"/>
  <c r="S62" i="1"/>
  <c r="Q62" i="1"/>
  <c r="O62" i="1"/>
  <c r="M62" i="1"/>
  <c r="S61" i="1"/>
  <c r="Q61" i="1"/>
  <c r="O61" i="1"/>
  <c r="M61" i="1"/>
  <c r="K61" i="1" s="1"/>
  <c r="Q86" i="62" s="1"/>
  <c r="S60" i="1"/>
  <c r="Q60" i="1"/>
  <c r="O60" i="1"/>
  <c r="M60" i="1"/>
  <c r="K60" i="1" s="1"/>
  <c r="Q85" i="62" s="1"/>
  <c r="S59" i="1"/>
  <c r="Q59" i="1"/>
  <c r="O59" i="1"/>
  <c r="M59" i="1"/>
  <c r="S58" i="1"/>
  <c r="Q58" i="1"/>
  <c r="O58" i="1"/>
  <c r="M58" i="1"/>
  <c r="K58" i="1" s="1"/>
  <c r="Q83" i="62" s="1"/>
  <c r="K57" i="1"/>
  <c r="S56" i="1"/>
  <c r="Q56" i="1"/>
  <c r="O56" i="1"/>
  <c r="M56" i="1"/>
  <c r="K56" i="1" s="1"/>
  <c r="Q56" i="62" s="1"/>
  <c r="S55" i="1"/>
  <c r="Q55" i="1"/>
  <c r="O55" i="1"/>
  <c r="M55" i="1"/>
  <c r="K55" i="1" s="1"/>
  <c r="Q55" i="62" s="1"/>
  <c r="S54" i="1"/>
  <c r="Q54" i="1"/>
  <c r="O54" i="1"/>
  <c r="M54" i="1"/>
  <c r="K54" i="1" s="1"/>
  <c r="Q54" i="62" s="1"/>
  <c r="S53" i="1"/>
  <c r="Q53" i="1"/>
  <c r="O53" i="1"/>
  <c r="M53" i="1"/>
  <c r="K53" i="1" s="1"/>
  <c r="Q53" i="62" s="1"/>
  <c r="S52" i="1"/>
  <c r="Q52" i="1"/>
  <c r="O52" i="1"/>
  <c r="M52" i="1"/>
  <c r="S51" i="1"/>
  <c r="Q51" i="1"/>
  <c r="O51" i="1"/>
  <c r="M51" i="1"/>
  <c r="S50" i="1"/>
  <c r="Q50" i="1"/>
  <c r="O50" i="1"/>
  <c r="K50" i="1" s="1"/>
  <c r="Q24" i="62" s="1"/>
  <c r="S49" i="1"/>
  <c r="Q49" i="1"/>
  <c r="O49" i="1"/>
  <c r="M49" i="1"/>
  <c r="K49" i="1" s="1"/>
  <c r="Q23" i="62" s="1"/>
  <c r="S48" i="1"/>
  <c r="Q48" i="1"/>
  <c r="O48" i="1"/>
  <c r="M48" i="1"/>
  <c r="K48" i="1"/>
  <c r="S47" i="1"/>
  <c r="Q47" i="1"/>
  <c r="O47" i="1"/>
  <c r="M47" i="1"/>
  <c r="S46" i="1"/>
  <c r="Q46" i="1"/>
  <c r="O46" i="1"/>
  <c r="M46" i="1"/>
  <c r="S45" i="1"/>
  <c r="Q45" i="1"/>
  <c r="O45" i="1"/>
  <c r="M45" i="1"/>
  <c r="K45" i="1" s="1"/>
  <c r="S44" i="1"/>
  <c r="Q44" i="1"/>
  <c r="O44" i="1"/>
  <c r="M44" i="1"/>
  <c r="S43" i="1"/>
  <c r="Q43" i="1"/>
  <c r="K43" i="1" s="1"/>
  <c r="U246" i="74" s="1"/>
  <c r="O43" i="1"/>
  <c r="M43" i="1"/>
  <c r="S42" i="1"/>
  <c r="Q42" i="1"/>
  <c r="O42" i="1"/>
  <c r="M42" i="1"/>
  <c r="S41" i="1"/>
  <c r="Q41" i="1"/>
  <c r="O41" i="1"/>
  <c r="M41" i="1"/>
  <c r="S40" i="1"/>
  <c r="Q40" i="1"/>
  <c r="O40" i="1"/>
  <c r="M40" i="1"/>
  <c r="S39" i="1"/>
  <c r="Q39" i="1"/>
  <c r="O39" i="1"/>
  <c r="M39" i="1"/>
  <c r="S38" i="1"/>
  <c r="Q38" i="1"/>
  <c r="O38" i="1"/>
  <c r="M38" i="1"/>
  <c r="K38" i="1" s="1"/>
  <c r="U218" i="74" s="1"/>
  <c r="S37" i="1"/>
  <c r="Q37" i="1"/>
  <c r="O37" i="1"/>
  <c r="M37" i="1"/>
  <c r="K37" i="1" s="1"/>
  <c r="U217" i="74" s="1"/>
  <c r="S36" i="1"/>
  <c r="Q36" i="1"/>
  <c r="O36" i="1"/>
  <c r="K36" i="1" s="1"/>
  <c r="U216" i="74" s="1"/>
  <c r="S35" i="1"/>
  <c r="Q35" i="1"/>
  <c r="O35" i="1"/>
  <c r="M35" i="1"/>
  <c r="K35" i="1" s="1"/>
  <c r="U215" i="74" s="1"/>
  <c r="S34" i="1"/>
  <c r="Q34" i="1"/>
  <c r="O34" i="1"/>
  <c r="M34" i="1"/>
  <c r="K34" i="1" s="1"/>
  <c r="U214" i="74" s="1"/>
  <c r="S33" i="1"/>
  <c r="Q33" i="1"/>
  <c r="O33" i="1"/>
  <c r="M33" i="1"/>
  <c r="S32" i="1"/>
  <c r="Q32" i="1"/>
  <c r="O32" i="1"/>
  <c r="M32" i="1"/>
  <c r="K32" i="1" s="1"/>
  <c r="U190" i="74" s="1"/>
  <c r="S31" i="1"/>
  <c r="Q31" i="1"/>
  <c r="O31" i="1"/>
  <c r="M31" i="1"/>
  <c r="K31" i="1" s="1"/>
  <c r="U189" i="74" s="1"/>
  <c r="S30" i="1"/>
  <c r="Q30" i="1"/>
  <c r="O30" i="1"/>
  <c r="M30" i="1"/>
  <c r="S29" i="1"/>
  <c r="Q29" i="1"/>
  <c r="O29" i="1"/>
  <c r="K29" i="1" s="1"/>
  <c r="U187" i="74" s="1"/>
  <c r="S28" i="1"/>
  <c r="Q28" i="1"/>
  <c r="O28" i="1"/>
  <c r="M28" i="1"/>
  <c r="K28" i="1" s="1"/>
  <c r="U164" i="74" s="1"/>
  <c r="S27" i="1"/>
  <c r="Q27" i="1"/>
  <c r="O27" i="1"/>
  <c r="M27" i="1"/>
  <c r="S26" i="1"/>
  <c r="Q26" i="1"/>
  <c r="O26" i="1"/>
  <c r="M26" i="1"/>
  <c r="K26" i="1"/>
  <c r="S25" i="1"/>
  <c r="Q25" i="1"/>
  <c r="O25" i="1"/>
  <c r="M25" i="1"/>
  <c r="S24" i="1"/>
  <c r="Q24" i="1"/>
  <c r="O24" i="1"/>
  <c r="M24" i="1"/>
  <c r="K24" i="1" s="1"/>
  <c r="U160" i="74" s="1"/>
  <c r="S23" i="1"/>
  <c r="Q23" i="1"/>
  <c r="O23" i="1"/>
  <c r="K23" i="1" s="1"/>
  <c r="U131" i="74" s="1"/>
  <c r="M23" i="1"/>
  <c r="S22" i="1"/>
  <c r="Q22" i="1"/>
  <c r="O22" i="1"/>
  <c r="M22" i="1"/>
  <c r="K22" i="1" s="1"/>
  <c r="U130" i="74" s="1"/>
  <c r="S21" i="1"/>
  <c r="Q21" i="1"/>
  <c r="O21" i="1"/>
  <c r="M21" i="1"/>
  <c r="S20" i="1"/>
  <c r="Q20" i="1"/>
  <c r="O20" i="1"/>
  <c r="M20" i="1"/>
  <c r="S19" i="1"/>
  <c r="Q19" i="1"/>
  <c r="O19" i="1"/>
  <c r="M19" i="1"/>
  <c r="K19" i="1" s="1"/>
  <c r="U127" i="74" s="1"/>
  <c r="S18" i="1"/>
  <c r="Q18" i="1"/>
  <c r="O18" i="1"/>
  <c r="M18" i="1"/>
  <c r="K18" i="1"/>
  <c r="S17" i="1"/>
  <c r="Q17" i="1"/>
  <c r="O17" i="1"/>
  <c r="M17" i="1"/>
  <c r="K17" i="1" s="1"/>
  <c r="U96" i="74" s="1"/>
  <c r="S16" i="1"/>
  <c r="Q16" i="1"/>
  <c r="O16" i="1"/>
  <c r="K16" i="1" s="1"/>
  <c r="U95" i="74" s="1"/>
  <c r="M16" i="1"/>
  <c r="S15" i="1"/>
  <c r="Q15" i="1"/>
  <c r="O15" i="1"/>
  <c r="M15" i="1"/>
  <c r="K15" i="1" s="1"/>
  <c r="U94" i="74" s="1"/>
  <c r="S14" i="1"/>
  <c r="Q14" i="1"/>
  <c r="O14" i="1"/>
  <c r="M14" i="1"/>
  <c r="S13" i="1"/>
  <c r="Q13" i="1"/>
  <c r="O13" i="1"/>
  <c r="M13" i="1"/>
  <c r="S12" i="1"/>
  <c r="Q12" i="1"/>
  <c r="O12" i="1"/>
  <c r="M12" i="1"/>
  <c r="S11" i="1"/>
  <c r="Q11" i="1"/>
  <c r="O11" i="1"/>
  <c r="M11" i="1"/>
  <c r="S10" i="1"/>
  <c r="Q10" i="1"/>
  <c r="O10" i="1"/>
  <c r="M10" i="1"/>
  <c r="K10" i="1" s="1"/>
  <c r="V65" i="74" s="1"/>
  <c r="S9" i="1"/>
  <c r="Q9" i="1"/>
  <c r="O9" i="1"/>
  <c r="M9" i="1"/>
  <c r="S8" i="1"/>
  <c r="Q8" i="1"/>
  <c r="O8" i="1"/>
  <c r="M8" i="1"/>
  <c r="K8" i="1" s="1"/>
  <c r="S7" i="1"/>
  <c r="Q7" i="1"/>
  <c r="O7" i="1"/>
  <c r="M7" i="1"/>
  <c r="K7" i="1"/>
  <c r="S6" i="1"/>
  <c r="Q6" i="1"/>
  <c r="O6" i="1"/>
  <c r="M6" i="1"/>
  <c r="S5" i="1"/>
  <c r="Q5" i="1"/>
  <c r="O5" i="1"/>
  <c r="M5" i="1"/>
  <c r="S4" i="1"/>
  <c r="Q4" i="1"/>
  <c r="O4" i="1"/>
  <c r="M4" i="1"/>
  <c r="K4" i="1" s="1"/>
  <c r="S3" i="1"/>
  <c r="Q3" i="1"/>
  <c r="O3" i="1"/>
  <c r="M3" i="1"/>
  <c r="O95" i="89"/>
  <c r="C95" i="89"/>
  <c r="A95" i="89"/>
  <c r="O94" i="89"/>
  <c r="C94" i="89"/>
  <c r="A94" i="89"/>
  <c r="O93" i="89"/>
  <c r="C93" i="89"/>
  <c r="A93" i="89"/>
  <c r="O92" i="89"/>
  <c r="C92" i="89"/>
  <c r="A92" i="89"/>
  <c r="O91" i="89"/>
  <c r="C91" i="89"/>
  <c r="A91" i="89"/>
  <c r="O90" i="89"/>
  <c r="C90" i="89"/>
  <c r="A90" i="89"/>
  <c r="O89" i="89"/>
  <c r="C89" i="89"/>
  <c r="A89" i="89"/>
  <c r="O88" i="89"/>
  <c r="C88" i="89"/>
  <c r="A88" i="89"/>
  <c r="O87" i="89"/>
  <c r="C87" i="89"/>
  <c r="A87" i="89"/>
  <c r="Q86" i="89"/>
  <c r="O86" i="89"/>
  <c r="C86" i="89"/>
  <c r="A86" i="89"/>
  <c r="O85" i="89"/>
  <c r="C85" i="89"/>
  <c r="A85" i="89"/>
  <c r="O84" i="89"/>
  <c r="C84" i="89"/>
  <c r="A84" i="89"/>
  <c r="A66" i="89"/>
  <c r="A65" i="89"/>
  <c r="O56" i="89"/>
  <c r="C56" i="89"/>
  <c r="A56" i="89"/>
  <c r="Q55" i="89"/>
  <c r="O55" i="89"/>
  <c r="C55" i="89"/>
  <c r="A55" i="89"/>
  <c r="O54" i="89"/>
  <c r="C54" i="89"/>
  <c r="A54" i="89"/>
  <c r="O53" i="89"/>
  <c r="C53" i="89"/>
  <c r="A53" i="89"/>
  <c r="O52" i="89"/>
  <c r="C52" i="89"/>
  <c r="A52" i="89"/>
  <c r="A33" i="89"/>
  <c r="O25" i="89"/>
  <c r="C25" i="89"/>
  <c r="A25" i="89"/>
  <c r="O24" i="89"/>
  <c r="C24" i="89"/>
  <c r="A24" i="89"/>
  <c r="O23" i="89"/>
  <c r="C23" i="89"/>
  <c r="A23" i="89"/>
  <c r="O22" i="89"/>
  <c r="C22" i="89"/>
  <c r="A22" i="89"/>
  <c r="O21" i="89"/>
  <c r="C21" i="89"/>
  <c r="A21" i="89"/>
  <c r="O20" i="89"/>
  <c r="C20" i="89"/>
  <c r="A20" i="89"/>
  <c r="Z1" i="89"/>
  <c r="Z65" i="89" s="1"/>
  <c r="O53" i="69"/>
  <c r="C53" i="69"/>
  <c r="A53" i="69"/>
  <c r="O52" i="69"/>
  <c r="C52" i="69"/>
  <c r="A52" i="69"/>
  <c r="O51" i="69"/>
  <c r="C51" i="69"/>
  <c r="A51" i="69"/>
  <c r="O50" i="69"/>
  <c r="C50" i="69"/>
  <c r="A50" i="69"/>
  <c r="Q49" i="69"/>
  <c r="O49" i="69"/>
  <c r="C49" i="69"/>
  <c r="A49" i="69"/>
  <c r="A33" i="69"/>
  <c r="A32" i="69"/>
  <c r="O24" i="69"/>
  <c r="C24" i="69"/>
  <c r="A24" i="69"/>
  <c r="O23" i="69"/>
  <c r="C23" i="69"/>
  <c r="A23" i="69"/>
  <c r="O22" i="69"/>
  <c r="C22" i="69"/>
  <c r="A22" i="69"/>
  <c r="O21" i="69"/>
  <c r="C21" i="69"/>
  <c r="A21" i="69"/>
  <c r="O20" i="69"/>
  <c r="C20" i="69"/>
  <c r="A20" i="69"/>
  <c r="O19" i="69"/>
  <c r="C19" i="69"/>
  <c r="A19" i="69"/>
  <c r="O18" i="69"/>
  <c r="C18" i="69"/>
  <c r="A18" i="69"/>
  <c r="A2" i="69"/>
  <c r="Z1" i="69"/>
  <c r="Z32" i="69" s="1"/>
  <c r="A1" i="69"/>
  <c r="O95" i="52"/>
  <c r="C95" i="52"/>
  <c r="A95" i="52"/>
  <c r="O94" i="52"/>
  <c r="C94" i="52"/>
  <c r="A94" i="52"/>
  <c r="O93" i="52"/>
  <c r="C93" i="52"/>
  <c r="A93" i="52"/>
  <c r="O92" i="52"/>
  <c r="C92" i="52"/>
  <c r="A92" i="52"/>
  <c r="O91" i="52"/>
  <c r="C91" i="52"/>
  <c r="A91" i="52"/>
  <c r="O90" i="52"/>
  <c r="C90" i="52"/>
  <c r="A90" i="52"/>
  <c r="O89" i="52"/>
  <c r="C89" i="52"/>
  <c r="A89" i="52"/>
  <c r="O88" i="52"/>
  <c r="C88" i="52"/>
  <c r="A88" i="52"/>
  <c r="O87" i="52"/>
  <c r="C87" i="52"/>
  <c r="A87" i="52"/>
  <c r="Q86" i="52"/>
  <c r="O86" i="52"/>
  <c r="C86" i="52"/>
  <c r="A86" i="52"/>
  <c r="O85" i="52"/>
  <c r="C85" i="52"/>
  <c r="A85" i="52"/>
  <c r="O84" i="52"/>
  <c r="C84" i="52"/>
  <c r="A84" i="52"/>
  <c r="A66" i="52"/>
  <c r="A65" i="52"/>
  <c r="O56" i="52"/>
  <c r="C56" i="52"/>
  <c r="A56" i="52"/>
  <c r="Q55" i="52"/>
  <c r="O55" i="52"/>
  <c r="C55" i="52"/>
  <c r="A55" i="52"/>
  <c r="O54" i="52"/>
  <c r="C54" i="52"/>
  <c r="A54" i="52"/>
  <c r="O53" i="52"/>
  <c r="C53" i="52"/>
  <c r="A53" i="52"/>
  <c r="O52" i="52"/>
  <c r="C52" i="52"/>
  <c r="A52" i="52"/>
  <c r="A34" i="52"/>
  <c r="A33" i="52"/>
  <c r="O25" i="52"/>
  <c r="C25" i="52"/>
  <c r="A25" i="52"/>
  <c r="O24" i="52"/>
  <c r="C24" i="52"/>
  <c r="A24" i="52"/>
  <c r="O23" i="52"/>
  <c r="C23" i="52"/>
  <c r="A23" i="52"/>
  <c r="O22" i="52"/>
  <c r="C22" i="52"/>
  <c r="A22" i="52"/>
  <c r="O21" i="52"/>
  <c r="C21" i="52"/>
  <c r="A21" i="52"/>
  <c r="O20" i="52"/>
  <c r="C20" i="52"/>
  <c r="A20" i="52"/>
  <c r="A2" i="52"/>
  <c r="Z1" i="52"/>
  <c r="Z65" i="52" s="1"/>
  <c r="A1" i="52"/>
  <c r="Q104" i="66"/>
  <c r="O104" i="66"/>
  <c r="C104" i="66"/>
  <c r="A104" i="66"/>
  <c r="Q103" i="66"/>
  <c r="O103" i="66"/>
  <c r="C103" i="66"/>
  <c r="A103" i="66"/>
  <c r="Q102" i="66"/>
  <c r="O102" i="66"/>
  <c r="C102" i="66"/>
  <c r="A102" i="66"/>
  <c r="Q101" i="66"/>
  <c r="O101" i="66"/>
  <c r="C101" i="66"/>
  <c r="A101" i="66"/>
  <c r="Q100" i="66"/>
  <c r="O100" i="66"/>
  <c r="C100" i="66"/>
  <c r="A100" i="66"/>
  <c r="Q99" i="66"/>
  <c r="O99" i="66"/>
  <c r="C99" i="66"/>
  <c r="A99" i="66"/>
  <c r="Q98" i="66"/>
  <c r="O98" i="66"/>
  <c r="C98" i="66"/>
  <c r="A98" i="66"/>
  <c r="Q97" i="66"/>
  <c r="O97" i="66"/>
  <c r="C97" i="66"/>
  <c r="A97" i="66"/>
  <c r="A65" i="66"/>
  <c r="A64" i="66"/>
  <c r="Q55" i="66"/>
  <c r="O55" i="66"/>
  <c r="C55" i="66"/>
  <c r="A55" i="66"/>
  <c r="Q54" i="66"/>
  <c r="O54" i="66"/>
  <c r="C54" i="66"/>
  <c r="A54" i="66"/>
  <c r="Q53" i="66"/>
  <c r="O53" i="66"/>
  <c r="C53" i="66"/>
  <c r="A53" i="66"/>
  <c r="Q52" i="66"/>
  <c r="O52" i="66"/>
  <c r="C52" i="66"/>
  <c r="A52" i="66"/>
  <c r="Q51" i="66"/>
  <c r="O51" i="66"/>
  <c r="C51" i="66"/>
  <c r="A51" i="66"/>
  <c r="A33" i="66"/>
  <c r="A32" i="66"/>
  <c r="Q24" i="66"/>
  <c r="O24" i="66"/>
  <c r="C24" i="66"/>
  <c r="A24" i="66"/>
  <c r="Q23" i="66"/>
  <c r="O23" i="66"/>
  <c r="C23" i="66"/>
  <c r="A23" i="66"/>
  <c r="Q22" i="66"/>
  <c r="O22" i="66"/>
  <c r="C22" i="66"/>
  <c r="A22" i="66"/>
  <c r="Q21" i="66"/>
  <c r="O21" i="66"/>
  <c r="C21" i="66"/>
  <c r="A21" i="66"/>
  <c r="Q20" i="66"/>
  <c r="O20" i="66"/>
  <c r="C20" i="66"/>
  <c r="A20" i="66"/>
  <c r="A2" i="66"/>
  <c r="Z1" i="66"/>
  <c r="Z32" i="66" s="1"/>
  <c r="A1" i="66"/>
  <c r="W209" i="85"/>
  <c r="C209" i="85"/>
  <c r="A209" i="85"/>
  <c r="AA208" i="85"/>
  <c r="W208" i="85"/>
  <c r="C208" i="85"/>
  <c r="A208" i="85"/>
  <c r="W207" i="85"/>
  <c r="C207" i="85"/>
  <c r="A207" i="85"/>
  <c r="W206" i="85"/>
  <c r="C206" i="85"/>
  <c r="A206" i="85"/>
  <c r="W205" i="85"/>
  <c r="C205" i="85"/>
  <c r="A205" i="85"/>
  <c r="W204" i="85"/>
  <c r="C204" i="85"/>
  <c r="A204" i="85"/>
  <c r="A186" i="85"/>
  <c r="A185" i="85"/>
  <c r="W177" i="85"/>
  <c r="C177" i="85"/>
  <c r="A177" i="85"/>
  <c r="W176" i="85"/>
  <c r="C176" i="85"/>
  <c r="A176" i="85"/>
  <c r="W175" i="85"/>
  <c r="C175" i="85"/>
  <c r="A175" i="85"/>
  <c r="W174" i="85"/>
  <c r="C174" i="85"/>
  <c r="A174" i="85"/>
  <c r="AA173" i="85"/>
  <c r="W173" i="85"/>
  <c r="C173" i="85"/>
  <c r="A173" i="85"/>
  <c r="W172" i="85"/>
  <c r="C172" i="85"/>
  <c r="A172" i="85"/>
  <c r="W171" i="85"/>
  <c r="C171" i="85"/>
  <c r="A171" i="85"/>
  <c r="W170" i="85"/>
  <c r="C170" i="85"/>
  <c r="A170" i="85"/>
  <c r="W169" i="85"/>
  <c r="C169" i="85"/>
  <c r="A169" i="85"/>
  <c r="W168" i="85"/>
  <c r="C168" i="85"/>
  <c r="A168" i="85"/>
  <c r="A141" i="85"/>
  <c r="A140" i="85"/>
  <c r="W132" i="85"/>
  <c r="C132" i="85"/>
  <c r="A132" i="85"/>
  <c r="W131" i="85"/>
  <c r="C131" i="85"/>
  <c r="A131" i="85"/>
  <c r="W130" i="85"/>
  <c r="C130" i="85"/>
  <c r="A130" i="85"/>
  <c r="W129" i="85"/>
  <c r="C129" i="85"/>
  <c r="A129" i="85"/>
  <c r="W128" i="85"/>
  <c r="C128" i="85"/>
  <c r="A128" i="85"/>
  <c r="A99" i="85"/>
  <c r="A98" i="85"/>
  <c r="AA89" i="85"/>
  <c r="W89" i="85"/>
  <c r="C89" i="85"/>
  <c r="A89" i="85"/>
  <c r="W88" i="85"/>
  <c r="C88" i="85"/>
  <c r="A88" i="85"/>
  <c r="W87" i="85"/>
  <c r="C87" i="85"/>
  <c r="A87" i="85"/>
  <c r="W86" i="85"/>
  <c r="C86" i="85"/>
  <c r="A86" i="85"/>
  <c r="W85" i="85"/>
  <c r="C85" i="85"/>
  <c r="A85" i="85"/>
  <c r="A67" i="85"/>
  <c r="A66" i="85"/>
  <c r="W57" i="85"/>
  <c r="C57" i="85"/>
  <c r="A57" i="85"/>
  <c r="W56" i="85"/>
  <c r="C56" i="85"/>
  <c r="A56" i="85"/>
  <c r="AA55" i="85"/>
  <c r="W55" i="85"/>
  <c r="C55" i="85"/>
  <c r="A55" i="85"/>
  <c r="AA54" i="85"/>
  <c r="W54" i="85"/>
  <c r="C54" i="85"/>
  <c r="A54" i="85"/>
  <c r="W53" i="85"/>
  <c r="C53" i="85"/>
  <c r="A53" i="85"/>
  <c r="A35" i="85"/>
  <c r="A34" i="85"/>
  <c r="W24" i="85"/>
  <c r="C24" i="85"/>
  <c r="A24" i="85"/>
  <c r="W23" i="85"/>
  <c r="C23" i="85"/>
  <c r="A23" i="85"/>
  <c r="W22" i="85"/>
  <c r="C22" i="85"/>
  <c r="A22" i="85"/>
  <c r="W21" i="85"/>
  <c r="C21" i="85"/>
  <c r="A21" i="85"/>
  <c r="W20" i="85"/>
  <c r="C20" i="85"/>
  <c r="A20" i="85"/>
  <c r="A2" i="85"/>
  <c r="A1" i="85"/>
  <c r="AD57" i="75"/>
  <c r="F57" i="75"/>
  <c r="A57" i="75"/>
  <c r="AD56" i="75"/>
  <c r="F56" i="75"/>
  <c r="A56" i="75"/>
  <c r="AD55" i="75"/>
  <c r="F55" i="75"/>
  <c r="A55" i="75"/>
  <c r="AD54" i="75"/>
  <c r="F54" i="75"/>
  <c r="AD53" i="75"/>
  <c r="F53" i="75"/>
  <c r="A53" i="75"/>
  <c r="A35" i="75"/>
  <c r="A34" i="75"/>
  <c r="AD29" i="75"/>
  <c r="F29" i="75"/>
  <c r="AD28" i="75"/>
  <c r="F28" i="75"/>
  <c r="AD27" i="75"/>
  <c r="F27" i="75"/>
  <c r="AD26" i="75"/>
  <c r="F26" i="75"/>
  <c r="AD25" i="75"/>
  <c r="F25" i="75"/>
  <c r="A2" i="75"/>
  <c r="AT1" i="75"/>
  <c r="AT34" i="75" s="1"/>
  <c r="AP1" i="85" s="1"/>
  <c r="A1" i="75"/>
  <c r="Q337" i="73"/>
  <c r="C337" i="73"/>
  <c r="Z318" i="73"/>
  <c r="C307" i="73"/>
  <c r="Q306" i="73"/>
  <c r="C306" i="73"/>
  <c r="C305" i="73"/>
  <c r="Q304" i="73"/>
  <c r="C304" i="73"/>
  <c r="C303" i="73"/>
  <c r="Z284" i="73"/>
  <c r="C275" i="73"/>
  <c r="C274" i="73"/>
  <c r="Q273" i="73"/>
  <c r="C273" i="73"/>
  <c r="Q272" i="73"/>
  <c r="C272" i="73"/>
  <c r="C271" i="73"/>
  <c r="C270" i="73"/>
  <c r="Z251" i="73"/>
  <c r="Q240" i="73"/>
  <c r="C240" i="73"/>
  <c r="C239" i="73"/>
  <c r="Q238" i="73"/>
  <c r="C238" i="73"/>
  <c r="C237" i="73"/>
  <c r="Q236" i="73"/>
  <c r="C236" i="73"/>
  <c r="Z217" i="73"/>
  <c r="C206" i="73"/>
  <c r="C205" i="73"/>
  <c r="Q204" i="73"/>
  <c r="C204" i="73"/>
  <c r="C203" i="73"/>
  <c r="C202" i="73"/>
  <c r="Z183" i="73"/>
  <c r="Q173" i="73"/>
  <c r="C173" i="73"/>
  <c r="C172" i="73"/>
  <c r="C171" i="73"/>
  <c r="C170" i="73"/>
  <c r="C169" i="73"/>
  <c r="C168" i="73"/>
  <c r="Z144" i="73"/>
  <c r="C132" i="73"/>
  <c r="C131" i="73"/>
  <c r="C130" i="73"/>
  <c r="C129" i="73"/>
  <c r="C128" i="73"/>
  <c r="Z109" i="73"/>
  <c r="Q97" i="73"/>
  <c r="C97" i="73"/>
  <c r="C96" i="73"/>
  <c r="C95" i="73"/>
  <c r="C94" i="73"/>
  <c r="C93" i="73"/>
  <c r="C92" i="73"/>
  <c r="Z68" i="73"/>
  <c r="C58" i="73"/>
  <c r="C57" i="73"/>
  <c r="C56" i="73"/>
  <c r="C55" i="73"/>
  <c r="C54" i="73"/>
  <c r="C53" i="73"/>
  <c r="C52" i="73"/>
  <c r="C25" i="73"/>
  <c r="Q24" i="73"/>
  <c r="C24" i="73"/>
  <c r="C23" i="73"/>
  <c r="Q22" i="73"/>
  <c r="C22" i="73"/>
  <c r="C21" i="73"/>
  <c r="Z1" i="73"/>
  <c r="Z34" i="73" s="1"/>
  <c r="Q255" i="63"/>
  <c r="O255" i="63"/>
  <c r="C255" i="63"/>
  <c r="A255" i="63"/>
  <c r="O254" i="63"/>
  <c r="C254" i="63"/>
  <c r="A254" i="63"/>
  <c r="O253" i="63"/>
  <c r="C253" i="63"/>
  <c r="A253" i="63"/>
  <c r="A235" i="63"/>
  <c r="A234" i="63"/>
  <c r="O228" i="63"/>
  <c r="C228" i="63"/>
  <c r="A228" i="63"/>
  <c r="O227" i="63"/>
  <c r="C227" i="63"/>
  <c r="A227" i="63"/>
  <c r="Q226" i="63"/>
  <c r="O226" i="63"/>
  <c r="C226" i="63"/>
  <c r="A226" i="63"/>
  <c r="O225" i="63"/>
  <c r="C225" i="63"/>
  <c r="A225" i="63"/>
  <c r="O224" i="63"/>
  <c r="C224" i="63"/>
  <c r="A224" i="63"/>
  <c r="A206" i="63"/>
  <c r="A205" i="63"/>
  <c r="O196" i="63"/>
  <c r="C196" i="63"/>
  <c r="A196" i="63"/>
  <c r="O195" i="63"/>
  <c r="C195" i="63"/>
  <c r="A195" i="63"/>
  <c r="O194" i="63"/>
  <c r="C194" i="63"/>
  <c r="A194" i="63"/>
  <c r="O193" i="63"/>
  <c r="C193" i="63"/>
  <c r="A193" i="63"/>
  <c r="O192" i="63"/>
  <c r="C192" i="63"/>
  <c r="A192" i="63"/>
  <c r="A174" i="63"/>
  <c r="A173" i="63"/>
  <c r="O164" i="63"/>
  <c r="C164" i="63"/>
  <c r="A164" i="63"/>
  <c r="Q163" i="63"/>
  <c r="O163" i="63"/>
  <c r="C163" i="63"/>
  <c r="A163" i="63"/>
  <c r="O162" i="63"/>
  <c r="C162" i="63"/>
  <c r="A162" i="63"/>
  <c r="O161" i="63"/>
  <c r="C161" i="63"/>
  <c r="A161" i="63"/>
  <c r="O160" i="63"/>
  <c r="C160" i="63"/>
  <c r="A160" i="63"/>
  <c r="A142" i="63"/>
  <c r="A141" i="63"/>
  <c r="O131" i="63"/>
  <c r="C131" i="63"/>
  <c r="A131" i="63"/>
  <c r="O130" i="63"/>
  <c r="C130" i="63"/>
  <c r="A130" i="63"/>
  <c r="O129" i="63"/>
  <c r="C129" i="63"/>
  <c r="A129" i="63"/>
  <c r="O128" i="63"/>
  <c r="C128" i="63"/>
  <c r="A128" i="63"/>
  <c r="O127" i="63"/>
  <c r="C127" i="63"/>
  <c r="A127" i="63"/>
  <c r="A109" i="63"/>
  <c r="A108" i="63"/>
  <c r="O98" i="63"/>
  <c r="C98" i="63"/>
  <c r="A98" i="63"/>
  <c r="O97" i="63"/>
  <c r="C97" i="63"/>
  <c r="A97" i="63"/>
  <c r="O96" i="63"/>
  <c r="C96" i="63"/>
  <c r="A96" i="63"/>
  <c r="O95" i="63"/>
  <c r="C95" i="63"/>
  <c r="A95" i="63"/>
  <c r="O94" i="63"/>
  <c r="C94" i="63"/>
  <c r="A94" i="63"/>
  <c r="A74" i="63"/>
  <c r="A73" i="63"/>
  <c r="O64" i="63"/>
  <c r="C64" i="63"/>
  <c r="A64" i="63"/>
  <c r="Q63" i="63"/>
  <c r="O63" i="63"/>
  <c r="C63" i="63"/>
  <c r="A63" i="63"/>
  <c r="O62" i="63"/>
  <c r="C62" i="63"/>
  <c r="A62" i="63"/>
  <c r="O61" i="63"/>
  <c r="C61" i="63"/>
  <c r="A61" i="63"/>
  <c r="O60" i="63"/>
  <c r="C60" i="63"/>
  <c r="A60" i="63"/>
  <c r="A35" i="63"/>
  <c r="A34" i="63"/>
  <c r="O24" i="63"/>
  <c r="C24" i="63"/>
  <c r="A24" i="63"/>
  <c r="O23" i="63"/>
  <c r="C23" i="63"/>
  <c r="A23" i="63"/>
  <c r="O22" i="63"/>
  <c r="C22" i="63"/>
  <c r="A22" i="63"/>
  <c r="O21" i="63"/>
  <c r="C21" i="63"/>
  <c r="A21" i="63"/>
  <c r="O20" i="63"/>
  <c r="C20" i="63"/>
  <c r="A20" i="63"/>
  <c r="A2" i="63"/>
  <c r="Z1" i="63"/>
  <c r="Z141" i="63" s="1"/>
  <c r="A1" i="63"/>
  <c r="S246" i="74"/>
  <c r="C246" i="74"/>
  <c r="A246" i="74"/>
  <c r="S245" i="74"/>
  <c r="C245" i="74"/>
  <c r="A245" i="74"/>
  <c r="S244" i="74"/>
  <c r="C244" i="74"/>
  <c r="A244" i="74"/>
  <c r="U243" i="74"/>
  <c r="S243" i="74"/>
  <c r="C243" i="74"/>
  <c r="A243" i="74"/>
  <c r="U242" i="74"/>
  <c r="S242" i="74"/>
  <c r="C242" i="74"/>
  <c r="A242" i="74"/>
  <c r="A223" i="74"/>
  <c r="AP222" i="74"/>
  <c r="A222" i="74"/>
  <c r="S218" i="74"/>
  <c r="C218" i="74"/>
  <c r="A218" i="74"/>
  <c r="S217" i="74"/>
  <c r="C217" i="74"/>
  <c r="A217" i="74"/>
  <c r="S216" i="74"/>
  <c r="C216" i="74"/>
  <c r="A216" i="74"/>
  <c r="S215" i="74"/>
  <c r="C215" i="74"/>
  <c r="A215" i="74"/>
  <c r="S214" i="74"/>
  <c r="C214" i="74"/>
  <c r="A214" i="74"/>
  <c r="A196" i="74"/>
  <c r="AP195" i="74"/>
  <c r="A195" i="74"/>
  <c r="S191" i="74"/>
  <c r="C191" i="74"/>
  <c r="A191" i="74"/>
  <c r="S190" i="74"/>
  <c r="C190" i="74"/>
  <c r="A190" i="74"/>
  <c r="S189" i="74"/>
  <c r="C189" i="74"/>
  <c r="A189" i="74"/>
  <c r="S188" i="74"/>
  <c r="C188" i="74"/>
  <c r="A188" i="74"/>
  <c r="S187" i="74"/>
  <c r="C187" i="74"/>
  <c r="A187" i="74"/>
  <c r="A169" i="74"/>
  <c r="AP168" i="74"/>
  <c r="A168" i="74"/>
  <c r="S164" i="74"/>
  <c r="C164" i="74"/>
  <c r="A164" i="74"/>
  <c r="S163" i="74"/>
  <c r="C163" i="74"/>
  <c r="A163" i="74"/>
  <c r="U162" i="74"/>
  <c r="S162" i="74"/>
  <c r="C162" i="74"/>
  <c r="A162" i="74"/>
  <c r="A138" i="74"/>
  <c r="AP137" i="74"/>
  <c r="A137" i="74"/>
  <c r="S131" i="74"/>
  <c r="C131" i="74"/>
  <c r="A131" i="74"/>
  <c r="S130" i="74"/>
  <c r="C130" i="74"/>
  <c r="A130" i="74"/>
  <c r="S129" i="74"/>
  <c r="C129" i="74"/>
  <c r="A129" i="74"/>
  <c r="S128" i="74"/>
  <c r="C128" i="74"/>
  <c r="A128" i="74"/>
  <c r="S127" i="74"/>
  <c r="C127" i="74"/>
  <c r="A127" i="74"/>
  <c r="A104" i="74"/>
  <c r="AP103" i="74"/>
  <c r="A103" i="74"/>
  <c r="U97" i="74"/>
  <c r="S97" i="74"/>
  <c r="C97" i="74"/>
  <c r="A97" i="74"/>
  <c r="S96" i="74"/>
  <c r="C96" i="74"/>
  <c r="A96" i="74"/>
  <c r="S95" i="74"/>
  <c r="C95" i="74"/>
  <c r="A95" i="74"/>
  <c r="S94" i="74"/>
  <c r="C94" i="74"/>
  <c r="A94" i="74"/>
  <c r="S93" i="74"/>
  <c r="C93" i="74"/>
  <c r="A93" i="74"/>
  <c r="A70" i="74"/>
  <c r="AP69" i="74"/>
  <c r="A69" i="74"/>
  <c r="T67" i="74"/>
  <c r="C67" i="74"/>
  <c r="A67" i="74"/>
  <c r="T66" i="74"/>
  <c r="C66" i="74"/>
  <c r="A66" i="74"/>
  <c r="T65" i="74"/>
  <c r="C65" i="74"/>
  <c r="A65" i="74"/>
  <c r="T64" i="74"/>
  <c r="C64" i="74"/>
  <c r="A64" i="74"/>
  <c r="T63" i="74"/>
  <c r="C63" i="74"/>
  <c r="A63" i="74"/>
  <c r="A35" i="74"/>
  <c r="AP34" i="74"/>
  <c r="A34" i="74"/>
  <c r="U32" i="74"/>
  <c r="S32" i="74"/>
  <c r="C32" i="74"/>
  <c r="A32" i="74"/>
  <c r="U31" i="74"/>
  <c r="S31" i="74"/>
  <c r="C31" i="74"/>
  <c r="A31" i="74"/>
  <c r="U30" i="74"/>
  <c r="S30" i="74"/>
  <c r="C30" i="74"/>
  <c r="A30" i="74"/>
  <c r="U29" i="74"/>
  <c r="S29" i="74"/>
  <c r="C29" i="74"/>
  <c r="A29" i="74"/>
  <c r="U28" i="74"/>
  <c r="S28" i="74"/>
  <c r="C28" i="74"/>
  <c r="A28" i="74"/>
  <c r="A2" i="74"/>
  <c r="AP1" i="74"/>
  <c r="A1" i="74"/>
  <c r="O250" i="62"/>
  <c r="C250" i="62"/>
  <c r="A250" i="62"/>
  <c r="O249" i="62"/>
  <c r="C249" i="62"/>
  <c r="A249" i="62"/>
  <c r="A231" i="62"/>
  <c r="A230" i="62"/>
  <c r="Q224" i="62"/>
  <c r="O224" i="62"/>
  <c r="C224" i="62"/>
  <c r="A224" i="62"/>
  <c r="O223" i="62"/>
  <c r="C223" i="62"/>
  <c r="A223" i="62"/>
  <c r="O222" i="62"/>
  <c r="C222" i="62"/>
  <c r="A222" i="62"/>
  <c r="O221" i="62"/>
  <c r="C221" i="62"/>
  <c r="A221" i="62"/>
  <c r="O220" i="62"/>
  <c r="C220" i="62"/>
  <c r="A220" i="62"/>
  <c r="O219" i="62"/>
  <c r="C219" i="62"/>
  <c r="A219" i="62"/>
  <c r="O218" i="62"/>
  <c r="C218" i="62"/>
  <c r="A218" i="62"/>
  <c r="Q217" i="62"/>
  <c r="O217" i="62"/>
  <c r="C217" i="62"/>
  <c r="A217" i="62"/>
  <c r="Q216" i="62"/>
  <c r="O216" i="62"/>
  <c r="C216" i="62"/>
  <c r="A216" i="62"/>
  <c r="A190" i="62"/>
  <c r="A189" i="62"/>
  <c r="O181" i="62"/>
  <c r="C181" i="62"/>
  <c r="A181" i="62"/>
  <c r="O180" i="62"/>
  <c r="C180" i="62"/>
  <c r="A180" i="62"/>
  <c r="O179" i="62"/>
  <c r="C179" i="62"/>
  <c r="A179" i="62"/>
  <c r="Q178" i="62"/>
  <c r="O178" i="62"/>
  <c r="C178" i="62"/>
  <c r="A178" i="62"/>
  <c r="O177" i="62"/>
  <c r="C177" i="62"/>
  <c r="A177" i="62"/>
  <c r="A159" i="62"/>
  <c r="A158" i="62"/>
  <c r="O151" i="62"/>
  <c r="C151" i="62"/>
  <c r="A151" i="62"/>
  <c r="O150" i="62"/>
  <c r="C150" i="62"/>
  <c r="A150" i="62"/>
  <c r="O149" i="62"/>
  <c r="C149" i="62"/>
  <c r="A149" i="62"/>
  <c r="O148" i="62"/>
  <c r="C148" i="62"/>
  <c r="A148" i="62"/>
  <c r="O147" i="62"/>
  <c r="C147" i="62"/>
  <c r="A147" i="62"/>
  <c r="A128" i="62"/>
  <c r="A127" i="62"/>
  <c r="O119" i="62"/>
  <c r="C119" i="62"/>
  <c r="A119" i="62"/>
  <c r="O118" i="62"/>
  <c r="C118" i="62"/>
  <c r="A118" i="62"/>
  <c r="O117" i="62"/>
  <c r="C117" i="62"/>
  <c r="A117" i="62"/>
  <c r="O116" i="62"/>
  <c r="C116" i="62"/>
  <c r="A116" i="62"/>
  <c r="O115" i="62"/>
  <c r="C115" i="62"/>
  <c r="A115" i="62"/>
  <c r="A97" i="62"/>
  <c r="A96" i="62"/>
  <c r="O87" i="62"/>
  <c r="C87" i="62"/>
  <c r="A87" i="62"/>
  <c r="O86" i="62"/>
  <c r="C86" i="62"/>
  <c r="A86" i="62"/>
  <c r="O85" i="62"/>
  <c r="C85" i="62"/>
  <c r="A85" i="62"/>
  <c r="O84" i="62"/>
  <c r="C84" i="62"/>
  <c r="A84" i="62"/>
  <c r="O83" i="62"/>
  <c r="C83" i="62"/>
  <c r="A83" i="62"/>
  <c r="A65" i="62"/>
  <c r="A64" i="62"/>
  <c r="O56" i="62"/>
  <c r="C56" i="62"/>
  <c r="A56" i="62"/>
  <c r="O55" i="62"/>
  <c r="C55" i="62"/>
  <c r="A55" i="62"/>
  <c r="O54" i="62"/>
  <c r="C54" i="62"/>
  <c r="A54" i="62"/>
  <c r="O53" i="62"/>
  <c r="C53" i="62"/>
  <c r="A53" i="62"/>
  <c r="O52" i="62"/>
  <c r="C52" i="62"/>
  <c r="A52" i="62"/>
  <c r="A34" i="62"/>
  <c r="A33" i="62"/>
  <c r="O24" i="62"/>
  <c r="C24" i="62"/>
  <c r="A24" i="62"/>
  <c r="O23" i="62"/>
  <c r="C23" i="62"/>
  <c r="A23" i="62"/>
  <c r="Q22" i="62"/>
  <c r="O22" i="62"/>
  <c r="C22" i="62"/>
  <c r="A22" i="62"/>
  <c r="O21" i="62"/>
  <c r="C21" i="62"/>
  <c r="A21" i="62"/>
  <c r="O20" i="62"/>
  <c r="C20" i="62"/>
  <c r="A20" i="62"/>
  <c r="A2" i="62"/>
  <c r="Z1" i="62"/>
  <c r="Z33" i="62" s="1"/>
  <c r="Z64" i="62" s="1"/>
  <c r="Z96" i="62" s="1"/>
  <c r="Z127" i="62" s="1"/>
  <c r="Z158" i="62" s="1"/>
  <c r="Z189" i="62" s="1"/>
  <c r="Z230" i="62" s="1"/>
  <c r="A1" i="62"/>
  <c r="Z33" i="89" l="1"/>
  <c r="Z108" i="63"/>
  <c r="Z64" i="66"/>
  <c r="Q20" i="89"/>
  <c r="Q20" i="52"/>
  <c r="Q25" i="89"/>
  <c r="Q25" i="52"/>
  <c r="Q21" i="89"/>
  <c r="Q21" i="52"/>
  <c r="K21" i="1"/>
  <c r="U129" i="74" s="1"/>
  <c r="K44" i="1"/>
  <c r="K47" i="1"/>
  <c r="Q21" i="62" s="1"/>
  <c r="K122" i="1"/>
  <c r="Q162" i="63" s="1"/>
  <c r="K137" i="1"/>
  <c r="Q225" i="63" s="1"/>
  <c r="K190" i="1"/>
  <c r="AA176" i="85" s="1"/>
  <c r="K203" i="1"/>
  <c r="K212" i="1"/>
  <c r="K234" i="1"/>
  <c r="K251" i="1"/>
  <c r="Q24" i="69" s="1"/>
  <c r="K256" i="1"/>
  <c r="Q53" i="69" s="1"/>
  <c r="K273" i="1"/>
  <c r="Q95" i="73" s="1"/>
  <c r="K359" i="1"/>
  <c r="K13" i="1"/>
  <c r="V66" i="74" s="1"/>
  <c r="K67" i="1"/>
  <c r="Q119" i="62" s="1"/>
  <c r="K92" i="1"/>
  <c r="Q21" i="63" s="1"/>
  <c r="K95" i="1"/>
  <c r="Q24" i="63" s="1"/>
  <c r="K99" i="1"/>
  <c r="Q61" i="63" s="1"/>
  <c r="K140" i="1"/>
  <c r="Q228" i="63" s="1"/>
  <c r="K154" i="1"/>
  <c r="AH27" i="75" s="1"/>
  <c r="K182" i="1"/>
  <c r="K204" i="1"/>
  <c r="Q24" i="52" s="1"/>
  <c r="K220" i="1"/>
  <c r="K223" i="1"/>
  <c r="K226" i="1"/>
  <c r="K363" i="1"/>
  <c r="K5" i="1"/>
  <c r="K30" i="1"/>
  <c r="U188" i="74" s="1"/>
  <c r="K59" i="1"/>
  <c r="Q84" i="62" s="1"/>
  <c r="K70" i="1"/>
  <c r="Q149" i="62" s="1"/>
  <c r="K84" i="1"/>
  <c r="Q222" i="62" s="1"/>
  <c r="K174" i="1"/>
  <c r="AA87" i="85" s="1"/>
  <c r="K27" i="1"/>
  <c r="U163" i="74" s="1"/>
  <c r="K33" i="1"/>
  <c r="U191" i="74" s="1"/>
  <c r="K42" i="1"/>
  <c r="U245" i="74" s="1"/>
  <c r="K62" i="1"/>
  <c r="Q87" i="62" s="1"/>
  <c r="K76" i="1"/>
  <c r="Q180" i="62" s="1"/>
  <c r="K102" i="1"/>
  <c r="Q64" i="63" s="1"/>
  <c r="K108" i="1"/>
  <c r="K113" i="1"/>
  <c r="K127" i="1"/>
  <c r="K130" i="1"/>
  <c r="Q194" i="63" s="1"/>
  <c r="K166" i="1"/>
  <c r="AA24" i="85" s="1"/>
  <c r="K195" i="1"/>
  <c r="AA207" i="85" s="1"/>
  <c r="K198" i="1"/>
  <c r="K254" i="1"/>
  <c r="Q51" i="69" s="1"/>
  <c r="K291" i="1"/>
  <c r="Q206" i="73" s="1"/>
  <c r="K322" i="1"/>
  <c r="Q90" i="80" s="1"/>
  <c r="K11" i="1"/>
  <c r="V64" i="74" s="1"/>
  <c r="K14" i="1"/>
  <c r="U93" i="74" s="1"/>
  <c r="K51" i="1"/>
  <c r="K90" i="1"/>
  <c r="K93" i="1"/>
  <c r="Q22" i="63" s="1"/>
  <c r="K97" i="1"/>
  <c r="K114" i="1"/>
  <c r="Q127" i="63" s="1"/>
  <c r="K135" i="1"/>
  <c r="K146" i="1"/>
  <c r="Q253" i="63" s="1"/>
  <c r="K152" i="1"/>
  <c r="AH25" i="75" s="1"/>
  <c r="K155" i="1"/>
  <c r="AH28" i="75" s="1"/>
  <c r="K180" i="1"/>
  <c r="AA131" i="85" s="1"/>
  <c r="K183" i="1"/>
  <c r="AA169" i="85" s="1"/>
  <c r="K215" i="1"/>
  <c r="K358" i="1"/>
  <c r="K3" i="1"/>
  <c r="K6" i="1"/>
  <c r="K25" i="1"/>
  <c r="U161" i="74" s="1"/>
  <c r="K71" i="1"/>
  <c r="Q150" i="62" s="1"/>
  <c r="K82" i="1"/>
  <c r="Q220" i="62" s="1"/>
  <c r="K85" i="1"/>
  <c r="Q223" i="62" s="1"/>
  <c r="K106" i="1"/>
  <c r="Q95" i="63" s="1"/>
  <c r="K172" i="1"/>
  <c r="AA85" i="85" s="1"/>
  <c r="K175" i="1"/>
  <c r="AA88" i="85" s="1"/>
  <c r="K207" i="1"/>
  <c r="Q53" i="89" s="1"/>
  <c r="K246" i="1"/>
  <c r="Q19" i="69" s="1"/>
  <c r="Q96" i="63"/>
  <c r="K210" i="1"/>
  <c r="K230" i="1"/>
  <c r="K249" i="1"/>
  <c r="Q22" i="69" s="1"/>
  <c r="Z33" i="52"/>
  <c r="K9" i="1"/>
  <c r="V63" i="74" s="1"/>
  <c r="K20" i="1"/>
  <c r="U128" i="74" s="1"/>
  <c r="K46" i="1"/>
  <c r="Q20" i="62" s="1"/>
  <c r="K88" i="1"/>
  <c r="Q250" i="62" s="1"/>
  <c r="K121" i="1"/>
  <c r="Q161" i="63" s="1"/>
  <c r="K136" i="1"/>
  <c r="Q224" i="63" s="1"/>
  <c r="K147" i="1"/>
  <c r="Q254" i="63" s="1"/>
  <c r="K159" i="1"/>
  <c r="AH55" i="75" s="1"/>
  <c r="K178" i="1"/>
  <c r="AA129" i="85" s="1"/>
  <c r="K189" i="1"/>
  <c r="AA175" i="85" s="1"/>
  <c r="K202" i="1"/>
  <c r="K222" i="1"/>
  <c r="Q95" i="89" s="1"/>
  <c r="K233" i="1"/>
  <c r="K255" i="1"/>
  <c r="Q52" i="69" s="1"/>
  <c r="K271" i="1"/>
  <c r="Q93" i="73" s="1"/>
  <c r="K276" i="1"/>
  <c r="Q128" i="73" s="1"/>
  <c r="K329" i="1"/>
  <c r="Q183" i="80" s="1"/>
  <c r="Z195" i="80"/>
  <c r="K12" i="1"/>
  <c r="V67" i="74" s="1"/>
  <c r="K52" i="1"/>
  <c r="Q52" i="62" s="1"/>
  <c r="K80" i="1"/>
  <c r="Q218" i="62" s="1"/>
  <c r="K91" i="1"/>
  <c r="Q20" i="63" s="1"/>
  <c r="K98" i="1"/>
  <c r="Q60" i="63" s="1"/>
  <c r="K115" i="1"/>
  <c r="Q128" i="63" s="1"/>
  <c r="K153" i="1"/>
  <c r="AH26" i="75" s="1"/>
  <c r="K170" i="1"/>
  <c r="AA56" i="85" s="1"/>
  <c r="K181" i="1"/>
  <c r="AA132" i="85" s="1"/>
  <c r="K225" i="1"/>
  <c r="K287" i="1"/>
  <c r="Q202" i="73" s="1"/>
  <c r="K314" i="1"/>
  <c r="Q37" i="80" s="1"/>
  <c r="K320" i="1"/>
  <c r="Q88" i="80" s="1"/>
  <c r="AP140" i="85"/>
  <c r="AP34" i="85"/>
  <c r="AP66" i="85"/>
  <c r="AP185" i="85"/>
  <c r="AP98" i="85"/>
  <c r="Q89" i="89"/>
  <c r="Q89" i="52"/>
  <c r="Q23" i="89"/>
  <c r="Q23" i="52"/>
  <c r="Q84" i="89"/>
  <c r="Q84" i="52"/>
  <c r="Q93" i="89"/>
  <c r="Q93" i="52"/>
  <c r="Q22" i="52"/>
  <c r="Q22" i="89"/>
  <c r="Q85" i="89"/>
  <c r="Q85" i="52"/>
  <c r="Q94" i="89"/>
  <c r="Q94" i="52"/>
  <c r="Q88" i="89"/>
  <c r="Q88" i="52"/>
  <c r="Q54" i="89"/>
  <c r="Q54" i="52"/>
  <c r="Q56" i="89"/>
  <c r="Q56" i="52"/>
  <c r="Q91" i="89"/>
  <c r="Q91" i="52"/>
  <c r="Z234" i="63"/>
  <c r="Z99" i="80"/>
  <c r="Q90" i="52"/>
  <c r="Q92" i="52"/>
  <c r="Q52" i="52"/>
  <c r="Z149" i="80"/>
  <c r="Z262" i="80" s="1"/>
  <c r="Q87" i="52"/>
  <c r="Z73" i="63"/>
  <c r="Z205" i="63"/>
  <c r="Z34" i="63"/>
  <c r="Z173" i="63"/>
  <c r="Q53" i="52" l="1"/>
  <c r="Q24" i="89"/>
  <c r="Q95" i="52"/>
  <c r="Q98" i="63"/>
  <c r="Q97" i="63"/>
</calcChain>
</file>

<file path=xl/sharedStrings.xml><?xml version="1.0" encoding="utf-8"?>
<sst xmlns="http://schemas.openxmlformats.org/spreadsheetml/2006/main" count="6636" uniqueCount="1385">
  <si>
    <t>AULAS</t>
  </si>
  <si>
    <t>Hora</t>
  </si>
  <si>
    <t>LUNES</t>
  </si>
  <si>
    <t>MARTES</t>
  </si>
  <si>
    <t>JUEVES</t>
  </si>
  <si>
    <t>VIERNES</t>
  </si>
  <si>
    <t>10:30 - 11:30</t>
  </si>
  <si>
    <t>11:30 - 12:30</t>
  </si>
  <si>
    <t>12:30 - 13:30</t>
  </si>
  <si>
    <t>13:30 - 14:30</t>
  </si>
  <si>
    <t>08:30 - 09:30</t>
  </si>
  <si>
    <t>09:30 - 10:30</t>
  </si>
  <si>
    <t>CALCULO</t>
  </si>
  <si>
    <t>ALGEBRA</t>
  </si>
  <si>
    <t>GIM_1</t>
  </si>
  <si>
    <t>GIM_2</t>
  </si>
  <si>
    <t>GIM_3</t>
  </si>
  <si>
    <t>GIM_4</t>
  </si>
  <si>
    <t>GIM_5</t>
  </si>
  <si>
    <t>GIM_6</t>
  </si>
  <si>
    <t>GIM_7</t>
  </si>
  <si>
    <t>GIM_8</t>
  </si>
  <si>
    <t>EXP. GRAF. I</t>
  </si>
  <si>
    <t>QUIMICA</t>
  </si>
  <si>
    <t>AMP. CALCULO</t>
  </si>
  <si>
    <t>FISICA II</t>
  </si>
  <si>
    <t>ECONOMIA</t>
  </si>
  <si>
    <t>MATERIALES</t>
  </si>
  <si>
    <t>ING. ELECTRICA</t>
  </si>
  <si>
    <t>AUTOMATISMOS</t>
  </si>
  <si>
    <t>ELECTRONICA</t>
  </si>
  <si>
    <t>MECANISMOS</t>
  </si>
  <si>
    <t>ESTADISTICA</t>
  </si>
  <si>
    <t>ORGANIZACIÓN</t>
  </si>
  <si>
    <t>RESISTENCIA II</t>
  </si>
  <si>
    <t>ING. GRAFICA</t>
  </si>
  <si>
    <t>MECANISMOS II</t>
  </si>
  <si>
    <t>MAQ. HIDRAUL.</t>
  </si>
  <si>
    <t>TERMICA II</t>
  </si>
  <si>
    <t>ESTRUCTURAS I</t>
  </si>
  <si>
    <t>TECN. MEC. I</t>
  </si>
  <si>
    <t>INSTALACIONES I</t>
  </si>
  <si>
    <t>ESTRUCTURAS II</t>
  </si>
  <si>
    <t>MAQ. TERMICAS</t>
  </si>
  <si>
    <t>TECN. MEC. II</t>
  </si>
  <si>
    <t>EQUILIBRADO</t>
  </si>
  <si>
    <t>INGLES</t>
  </si>
  <si>
    <t>DISEÑO MAQ. II</t>
  </si>
  <si>
    <t>DISEÑO MAQ. I</t>
  </si>
  <si>
    <t>FLUIDOMEC.</t>
  </si>
  <si>
    <t>INFORMATICA</t>
  </si>
  <si>
    <t>GIE_1</t>
  </si>
  <si>
    <t>GIE_2</t>
  </si>
  <si>
    <t>GIE_3</t>
  </si>
  <si>
    <t>GIE_4</t>
  </si>
  <si>
    <t>GIE_5</t>
  </si>
  <si>
    <t>GIE_6</t>
  </si>
  <si>
    <t>GIE_7</t>
  </si>
  <si>
    <t>GIE_8</t>
  </si>
  <si>
    <t>GIO_1</t>
  </si>
  <si>
    <t>GIO_2</t>
  </si>
  <si>
    <t>GIO_3</t>
  </si>
  <si>
    <t>GIO_4</t>
  </si>
  <si>
    <t>GIO_5</t>
  </si>
  <si>
    <t>GIO_6</t>
  </si>
  <si>
    <t>GIO_7</t>
  </si>
  <si>
    <t>GIO_8</t>
  </si>
  <si>
    <t>GII_1</t>
  </si>
  <si>
    <t>GII_2</t>
  </si>
  <si>
    <t>GII_3</t>
  </si>
  <si>
    <t>GII_4</t>
  </si>
  <si>
    <t>GII_5</t>
  </si>
  <si>
    <t>GII_6</t>
  </si>
  <si>
    <t>GII_7</t>
  </si>
  <si>
    <t>GII_8</t>
  </si>
  <si>
    <t>CAGIM_1</t>
  </si>
  <si>
    <t>CAGIM_2</t>
  </si>
  <si>
    <t>CAGIE_1</t>
  </si>
  <si>
    <t>CAGIE_2</t>
  </si>
  <si>
    <t>FISICA I</t>
  </si>
  <si>
    <t>EXP. GRAF.</t>
  </si>
  <si>
    <t>CIRCUITOS</t>
  </si>
  <si>
    <t>REG. AUTOMAT.</t>
  </si>
  <si>
    <t>SIST. MICRO.</t>
  </si>
  <si>
    <t>INSTR. ELECT.</t>
  </si>
  <si>
    <t>CONTROL PROC.</t>
  </si>
  <si>
    <t>OFICINA</t>
  </si>
  <si>
    <t>INSTAL. ELEC.</t>
  </si>
  <si>
    <t>DAO</t>
  </si>
  <si>
    <t>ROBOTICA</t>
  </si>
  <si>
    <t>MAQUINAS ELEC.</t>
  </si>
  <si>
    <t>ELECT. DIGITAL</t>
  </si>
  <si>
    <t>ELECT. ANALOG.</t>
  </si>
  <si>
    <t>ELECT. POTENCIA</t>
  </si>
  <si>
    <t>EXP. GRAF. II</t>
  </si>
  <si>
    <t>ORG. TRABAJO</t>
  </si>
  <si>
    <t>MARKETING</t>
  </si>
  <si>
    <t>ESTRATEGIA</t>
  </si>
  <si>
    <t>CALIDAD</t>
  </si>
  <si>
    <t>TERMICA I</t>
  </si>
  <si>
    <t>FUND. FISICOS</t>
  </si>
  <si>
    <t>COMPUTADORES</t>
  </si>
  <si>
    <t>SOFTWARE</t>
  </si>
  <si>
    <t>BASES DATOS</t>
  </si>
  <si>
    <t>ARQUITEC. COMP.</t>
  </si>
  <si>
    <t>EST. DATOS</t>
  </si>
  <si>
    <t>REDES</t>
  </si>
  <si>
    <t>HOMBRE-MAQ.</t>
  </si>
  <si>
    <t>ARQ. PARALELAS</t>
  </si>
  <si>
    <t>SIST. INTELIG.</t>
  </si>
  <si>
    <t>SIST. Y REDES</t>
  </si>
  <si>
    <t>PROC. LENGUAJE</t>
  </si>
  <si>
    <t>ALGORITMIA</t>
  </si>
  <si>
    <t>APL. BASES DAT.</t>
  </si>
  <si>
    <t>PROG. CONCUR.</t>
  </si>
  <si>
    <t>SEGURIDAD</t>
  </si>
  <si>
    <t>CONTROL</t>
  </si>
  <si>
    <t>COMP. NEURONAL</t>
  </si>
  <si>
    <t>SIST. DIGITALES</t>
  </si>
  <si>
    <t>MET. FORMALES</t>
  </si>
  <si>
    <t>RENOVABLES</t>
  </si>
  <si>
    <t>MIND_1</t>
  </si>
  <si>
    <t>MIND_2</t>
  </si>
  <si>
    <t>MIND_3</t>
  </si>
  <si>
    <t>DERECHO</t>
  </si>
  <si>
    <t>ING. ENERGÉTICA</t>
  </si>
  <si>
    <t>CONT. PROCESOS</t>
  </si>
  <si>
    <t>GESTIÓN</t>
  </si>
  <si>
    <t>CONST. Y EDIFIC.</t>
  </si>
  <si>
    <t>DIRECCIÓN PROD.</t>
  </si>
  <si>
    <t>MINF_1</t>
  </si>
  <si>
    <t>MINF_2</t>
  </si>
  <si>
    <t>MINF_3</t>
  </si>
  <si>
    <t>GESTION TIC</t>
  </si>
  <si>
    <t>SIST. INFORM.</t>
  </si>
  <si>
    <t>AUDITORIA</t>
  </si>
  <si>
    <t>SIST. EMPOT.</t>
  </si>
  <si>
    <t>TECN. ESTRUCT.</t>
  </si>
  <si>
    <t>GRADO EN INGENIERIA MECANICA</t>
  </si>
  <si>
    <t>MIÉRCOLES</t>
  </si>
  <si>
    <t>GRUPOS</t>
  </si>
  <si>
    <t>3º Grado en Ingeniería Mecánica</t>
  </si>
  <si>
    <t>Grupo: MANAÑA</t>
  </si>
  <si>
    <t>ECTS</t>
  </si>
  <si>
    <t>OFICINA TECNICA</t>
  </si>
  <si>
    <t>Aula Inf. 1 B</t>
  </si>
  <si>
    <t>Aula Inf. 2 B</t>
  </si>
  <si>
    <t>Aula 53-A2 (CAD)</t>
  </si>
  <si>
    <t>Aula 52-A2 (Inf.)</t>
  </si>
  <si>
    <t>Aula 51-A2 (Inf.)</t>
  </si>
  <si>
    <t>Aula 21-A1</t>
  </si>
  <si>
    <t>Aula 51-A1</t>
  </si>
  <si>
    <t>Aula 52-A1</t>
  </si>
  <si>
    <t>Aula 53-A1</t>
  </si>
  <si>
    <t>Aula 31-A2</t>
  </si>
  <si>
    <t>Aula 33-A2</t>
  </si>
  <si>
    <t>Aula 35-A2</t>
  </si>
  <si>
    <t>Aula 32-A2</t>
  </si>
  <si>
    <t>Aula 34-A2</t>
  </si>
  <si>
    <t>Aula 36-A2</t>
  </si>
  <si>
    <t>Aula 42-A2</t>
  </si>
  <si>
    <t>Aula 44-A2</t>
  </si>
  <si>
    <t>Aula 46-A2</t>
  </si>
  <si>
    <t>Lab. Ing. Eléctrica</t>
  </si>
  <si>
    <t>Lab. Materiales</t>
  </si>
  <si>
    <t>Lab. Química</t>
  </si>
  <si>
    <t>Lab. Fisica</t>
  </si>
  <si>
    <t>Profesor / es</t>
  </si>
  <si>
    <t>Semestre temporal: 1º        (5º Semestre Académico)</t>
  </si>
  <si>
    <t>GRUPOS TEORICOS = 1</t>
  </si>
  <si>
    <t>GRUPOS PRACTICOS = 1</t>
  </si>
  <si>
    <t>PROD. Y FABR.</t>
  </si>
  <si>
    <t>3º Grado en Ingeniería de Organización Industrial</t>
  </si>
  <si>
    <t>3º Grado en Ingeniería Electrónica Industrial y Automática</t>
  </si>
  <si>
    <t>Semestre temporal: 1º        (1º Semestre Académico)</t>
  </si>
  <si>
    <t>Semestre temporal: 2º        (2º Semestre Académico)</t>
  </si>
  <si>
    <t>Semestre temporal: 1º        (3º Semestre Académico)</t>
  </si>
  <si>
    <t>Semestre temporal: 2º        (4º Semestre Académico)</t>
  </si>
  <si>
    <t>Semestre temporal: 2º        (6º Semestre Académico)</t>
  </si>
  <si>
    <t>Semestre temporal: 1º        (7º Semestre Académico)</t>
  </si>
  <si>
    <t>Semestre temporal: 2º        (8º Semestre Académico)</t>
  </si>
  <si>
    <t>Grupo: TARDE</t>
  </si>
  <si>
    <t>GRUPO</t>
  </si>
  <si>
    <t>4º Grado en Ingeniería Mecánica</t>
  </si>
  <si>
    <t>1º Grado en Ingeniería Mecánica</t>
  </si>
  <si>
    <t>2º Grado en Ingeniería Mecánica</t>
  </si>
  <si>
    <t>16:30 - 17:30</t>
  </si>
  <si>
    <t>15:30 - 16:30</t>
  </si>
  <si>
    <t>17:30 - 18:30</t>
  </si>
  <si>
    <t>18:30 - 19:30</t>
  </si>
  <si>
    <t>19:30 - 20:30</t>
  </si>
  <si>
    <t>20:30 - 21:30</t>
  </si>
  <si>
    <t>1º Grado en Ingeniería Electrónica Industrial y Automática</t>
  </si>
  <si>
    <t>2º Grado en Ingeniería Electrónica Industrial y Automática</t>
  </si>
  <si>
    <t>4º Grado en Ingeniería Electrónica Industrial y Automática</t>
  </si>
  <si>
    <t>1º Grado en Ingeniería de Organización Industrial</t>
  </si>
  <si>
    <t>2º Grado en Ingeniería de Organización Industrial</t>
  </si>
  <si>
    <t>4º Grado en Ingeniería de Organización Industrial</t>
  </si>
  <si>
    <t>1º Grado en Ingeniería Informática</t>
  </si>
  <si>
    <t>2º Grado en Ingeniería Informática</t>
  </si>
  <si>
    <t>3º Grado en Ingeniería Informática</t>
  </si>
  <si>
    <t>4º Grado en Ingeniería Informática</t>
  </si>
  <si>
    <t>1º Máster en Ingeniería Industrial</t>
  </si>
  <si>
    <t>2º Máster en Ingeniería Industrial</t>
  </si>
  <si>
    <t>1º Máster en Ingeniería Informática</t>
  </si>
  <si>
    <t>2º Máster en Ingeniería Informática</t>
  </si>
  <si>
    <t>Curso de Adaptación al Grado de Ingeniería Mecánica</t>
  </si>
  <si>
    <t>Horario</t>
  </si>
  <si>
    <t>MASTER DE INGENIERIA INDUSTRIAL</t>
  </si>
  <si>
    <t>Gestión de Empresas</t>
  </si>
  <si>
    <t>Fabricación y Máquinas</t>
  </si>
  <si>
    <t>Sistemas Eléctricos de Potencia</t>
  </si>
  <si>
    <t>Derecho Mercantil y Laboral</t>
  </si>
  <si>
    <t>Química Industrial</t>
  </si>
  <si>
    <t>Ingeniería Energética</t>
  </si>
  <si>
    <t>Control Avanzado de Procesos</t>
  </si>
  <si>
    <t>Ingeniería Electrónica</t>
  </si>
  <si>
    <t>Nota: Estos horarios podrán ser modificados por necesidades docentes (desdoble de grupos, ocupación de laboratorios, contratación de profesorado…)</t>
  </si>
  <si>
    <t>Nombre abreviado</t>
  </si>
  <si>
    <t>Nombre completo</t>
  </si>
  <si>
    <t>GRADO EN INGENIERIA DE ORGANIZACIÓN</t>
  </si>
  <si>
    <t>DISEÑO</t>
  </si>
  <si>
    <t>MANT. INDUST</t>
  </si>
  <si>
    <t>Centrales de Producción de Energía</t>
  </si>
  <si>
    <t>Ingeniería de Automoción</t>
  </si>
  <si>
    <t>Tecnología de Materiales</t>
  </si>
  <si>
    <t>Ergonomía y Psicosociología</t>
  </si>
  <si>
    <t>Instalaciones Térmicas</t>
  </si>
  <si>
    <t>Calidad y Productividad</t>
  </si>
  <si>
    <t>Teoría e Instituciones Económicas</t>
  </si>
  <si>
    <t>Instalaciones Eléctricas</t>
  </si>
  <si>
    <t>Cálculo Dinámico de Estructuras</t>
  </si>
  <si>
    <t>CENTRALES</t>
  </si>
  <si>
    <t>CALIDAD Y PROD.</t>
  </si>
  <si>
    <t>INST. ECON.</t>
  </si>
  <si>
    <t>DISEÑO PLANT.</t>
  </si>
  <si>
    <t>Tecnologías Industriales</t>
  </si>
  <si>
    <t>Gestión</t>
  </si>
  <si>
    <t xml:space="preserve">BLOQUES </t>
  </si>
  <si>
    <t>notas</t>
  </si>
  <si>
    <t>NOTAS</t>
  </si>
  <si>
    <t>Informática Básica</t>
  </si>
  <si>
    <t>AMP. CALC.</t>
  </si>
  <si>
    <t>Arturo de Román Miguel</t>
  </si>
  <si>
    <t>Cálculo</t>
  </si>
  <si>
    <t>Expresión Gráfica I</t>
  </si>
  <si>
    <t>Química</t>
  </si>
  <si>
    <t>Francisco Javier Gómez Gil</t>
  </si>
  <si>
    <t>RENOV. Y M.AMB</t>
  </si>
  <si>
    <t>Oficina Técnica</t>
  </si>
  <si>
    <t>M.AMB Y RENOV.</t>
  </si>
  <si>
    <t>ING. ELECT.</t>
  </si>
  <si>
    <t>FLUIDOMEC</t>
  </si>
  <si>
    <t>AUTOMAT</t>
  </si>
  <si>
    <t>ERMAT - I</t>
  </si>
  <si>
    <t>TERMICA - I</t>
  </si>
  <si>
    <t>ERMAT</t>
  </si>
  <si>
    <t>GRADO EN INGENIERIA ELECTRONICA</t>
  </si>
  <si>
    <t>GRADO EN INGENIERIA INFORMATICA</t>
  </si>
  <si>
    <t>SIST. ELECTRON.</t>
  </si>
  <si>
    <t>Miguel Angel Lozano Pérez</t>
  </si>
  <si>
    <t>José María Vela Castresana</t>
  </si>
  <si>
    <t>José Mª Cámara Nebreda</t>
  </si>
  <si>
    <t>EXPRESION GRAFICA</t>
  </si>
  <si>
    <t>PROD. Y FABRIC.</t>
  </si>
  <si>
    <t>Cristina Alonso Tristán</t>
  </si>
  <si>
    <t>Ingeniería Térmica I</t>
  </si>
  <si>
    <t>Ingeniería Fluidomecánica</t>
  </si>
  <si>
    <t>Automatismos y Control Industrial</t>
  </si>
  <si>
    <t>Jose Antonio Barón Aguado</t>
  </si>
  <si>
    <t>Fundamentos de Ingeniería Eléctrica</t>
  </si>
  <si>
    <t>Expresión Gráfica II</t>
  </si>
  <si>
    <t>Fundamentos de Electrónica</t>
  </si>
  <si>
    <t>Mecanismos</t>
  </si>
  <si>
    <t>Estadística y Cálculo Numérico</t>
  </si>
  <si>
    <t>Organización de la Producción</t>
  </si>
  <si>
    <t>María Isabel Dieste Velasco</t>
  </si>
  <si>
    <t>Alberto Martínez Martínez</t>
  </si>
  <si>
    <t>Sistemas de Producción y Fabricación</t>
  </si>
  <si>
    <t>Ingeniería de Materiales</t>
  </si>
  <si>
    <t>Resistencia de Materiales II</t>
  </si>
  <si>
    <t>Ingeniería Gráfica</t>
  </si>
  <si>
    <t>Mecanismos II</t>
  </si>
  <si>
    <t>Ingeniería Térmica II</t>
  </si>
  <si>
    <t>Diseño de Máquinas I</t>
  </si>
  <si>
    <t>Estructuras I</t>
  </si>
  <si>
    <t>Tecnología Mecánica I</t>
  </si>
  <si>
    <t>Fernando Aguilar Romero</t>
  </si>
  <si>
    <t>Instalaciones Industriales I</t>
  </si>
  <si>
    <t>Diseño de Máquinas II</t>
  </si>
  <si>
    <t>Estructuras II</t>
  </si>
  <si>
    <t>Máquinas Térmicas</t>
  </si>
  <si>
    <t>Tecnología Mecánica II</t>
  </si>
  <si>
    <t>Equilibrado de Máquinas</t>
  </si>
  <si>
    <t>Energías Renovables y Medio Ambiente</t>
  </si>
  <si>
    <t>Inglés Aplicado a la Ingeniería Mecánica</t>
  </si>
  <si>
    <t>SEMESTRE</t>
  </si>
  <si>
    <t>NOMBRE CORTO</t>
  </si>
  <si>
    <t>NOMBRE COMPLETO</t>
  </si>
  <si>
    <t>CODIGO</t>
  </si>
  <si>
    <t>MASTER EN INGENIERIA INFORMATICA</t>
  </si>
  <si>
    <t>PROFESORES</t>
  </si>
  <si>
    <t>GIM__1</t>
  </si>
  <si>
    <t>GIM__2</t>
  </si>
  <si>
    <t>GIM__3</t>
  </si>
  <si>
    <t>GIM__4</t>
  </si>
  <si>
    <t>GIM__5</t>
  </si>
  <si>
    <t>GIM__6</t>
  </si>
  <si>
    <t>GIM__7</t>
  </si>
  <si>
    <t>GIM__8</t>
  </si>
  <si>
    <t>GIE__1</t>
  </si>
  <si>
    <t>GIE__2</t>
  </si>
  <si>
    <t>GIE__3</t>
  </si>
  <si>
    <t>GIE__4</t>
  </si>
  <si>
    <t>GIE__5</t>
  </si>
  <si>
    <t>GIE__6</t>
  </si>
  <si>
    <t>GIE__7</t>
  </si>
  <si>
    <t>GIE__8</t>
  </si>
  <si>
    <t>GIO__1</t>
  </si>
  <si>
    <t>GIO__2</t>
  </si>
  <si>
    <t>GIO__3</t>
  </si>
  <si>
    <t>GIO__4</t>
  </si>
  <si>
    <t>GIO__5</t>
  </si>
  <si>
    <t>GIO__6</t>
  </si>
  <si>
    <t>GIO__7</t>
  </si>
  <si>
    <t>GIO__8</t>
  </si>
  <si>
    <t>GII__1</t>
  </si>
  <si>
    <t>GII__2</t>
  </si>
  <si>
    <t>GII__3</t>
  </si>
  <si>
    <t>GII__4</t>
  </si>
  <si>
    <t>GII__5</t>
  </si>
  <si>
    <t>GII__6</t>
  </si>
  <si>
    <t>GII__7</t>
  </si>
  <si>
    <t>GII__8</t>
  </si>
  <si>
    <t>MIND__1</t>
  </si>
  <si>
    <t>MIND__2</t>
  </si>
  <si>
    <t>MIND__3</t>
  </si>
  <si>
    <t>MII__1</t>
  </si>
  <si>
    <t>MII__2</t>
  </si>
  <si>
    <t>MII__3</t>
  </si>
  <si>
    <t>CAGIM__1</t>
  </si>
  <si>
    <t>CAGIM__2</t>
  </si>
  <si>
    <t>CAGIE__1</t>
  </si>
  <si>
    <t>CAGIE__2</t>
  </si>
  <si>
    <t>Curso de Adaptación al Grado de Ingeniería Electrónica Ind y Automática</t>
  </si>
  <si>
    <t>Ampliación de Cálculo y Geometría</t>
  </si>
  <si>
    <t>Ciencia de Materiales: Est. y propiedades</t>
  </si>
  <si>
    <t>Elasticidad y Resistencia de Materiales</t>
  </si>
  <si>
    <t>Física I</t>
  </si>
  <si>
    <t>Expresión Gráfica</t>
  </si>
  <si>
    <t>Física II</t>
  </si>
  <si>
    <t>Economía de la Empresa</t>
  </si>
  <si>
    <t>Ingeniería Térmica</t>
  </si>
  <si>
    <t>Teoría de Circuitos</t>
  </si>
  <si>
    <t>Electrónica Analógica</t>
  </si>
  <si>
    <t>Electrónica Digital</t>
  </si>
  <si>
    <t>Regulación Automática</t>
  </si>
  <si>
    <t>Tecnología de los Sistemas Electrónicos</t>
  </si>
  <si>
    <t>Máquinas Eléctricas</t>
  </si>
  <si>
    <t>PREV. RIESGOS</t>
  </si>
  <si>
    <t>Diseño Asistido por Ordenador</t>
  </si>
  <si>
    <t>Automatización Industrial</t>
  </si>
  <si>
    <t>Electrónica de Potencia</t>
  </si>
  <si>
    <t>Sistemas Basados en Microprocesad.</t>
  </si>
  <si>
    <t>Instrumentación Electrónica</t>
  </si>
  <si>
    <t>Control de Procesos Industriales</t>
  </si>
  <si>
    <t>Informática Industrial</t>
  </si>
  <si>
    <t>Aplicación de la Electrónica Industrial</t>
  </si>
  <si>
    <t>ELECTRON. IND.</t>
  </si>
  <si>
    <t>Energías Renovables</t>
  </si>
  <si>
    <t>Seguridad y Prevención de Riesgos</t>
  </si>
  <si>
    <t>Integración de los Sist. Electron.</t>
  </si>
  <si>
    <t>Maria Felicidad Bogalo Roman</t>
  </si>
  <si>
    <t>Ignacio Moreno Velasco</t>
  </si>
  <si>
    <t>Daniel Sarabia Ortiz</t>
  </si>
  <si>
    <t>Manuel Iván González Martín</t>
  </si>
  <si>
    <t>Estrategia y Política de Empresa</t>
  </si>
  <si>
    <t>Sistemas de Producción y Fab. Indust.</t>
  </si>
  <si>
    <t>Medio Ambiente y Energías Renovables</t>
  </si>
  <si>
    <t>M. Esther Baños García</t>
  </si>
  <si>
    <t>Carlos Melgosa Pedrosa</t>
  </si>
  <si>
    <t>Susana García Herrero</t>
  </si>
  <si>
    <t>Ignacio Fontaneda González</t>
  </si>
  <si>
    <t>Ana María Lara Palma</t>
  </si>
  <si>
    <t>Carlos Alonso de Armiño Pérez</t>
  </si>
  <si>
    <t xml:space="preserve">Álgebra Lineal </t>
  </si>
  <si>
    <t xml:space="preserve">Informática Básica </t>
  </si>
  <si>
    <t xml:space="preserve">Fundamentos Físicos de la Informática </t>
  </si>
  <si>
    <t xml:space="preserve">Matemática Discreta </t>
  </si>
  <si>
    <t xml:space="preserve">Inglés Aplicado a la Informática </t>
  </si>
  <si>
    <t xml:space="preserve">Programación </t>
  </si>
  <si>
    <t xml:space="preserve">Fundamentos de Computadores </t>
  </si>
  <si>
    <t xml:space="preserve">Sistemas Operativos </t>
  </si>
  <si>
    <t xml:space="preserve">Metodología de la Programación </t>
  </si>
  <si>
    <t>Estadística</t>
  </si>
  <si>
    <t>Ingeniería del Software</t>
  </si>
  <si>
    <t>Bases de Datos</t>
  </si>
  <si>
    <t>Arquitectura de Computadores</t>
  </si>
  <si>
    <t>Estructuras de Datos</t>
  </si>
  <si>
    <t>Redes</t>
  </si>
  <si>
    <t>Interacción Hombre-Máquina</t>
  </si>
  <si>
    <t>Fundamentos de Organización y Gestión de Empresas</t>
  </si>
  <si>
    <t>Análisis y Diseño de Sistemas</t>
  </si>
  <si>
    <t>Arquitecturas Paralelas</t>
  </si>
  <si>
    <t>Sistemas Inteligentes</t>
  </si>
  <si>
    <t>Gestión de Proyectos</t>
  </si>
  <si>
    <t>Diseño y Admin. de Sistemas y Redes</t>
  </si>
  <si>
    <t>Procesadores del Lenguaje</t>
  </si>
  <si>
    <t>Algorítmia</t>
  </si>
  <si>
    <t>Aplicaciones de Bases de Datos</t>
  </si>
  <si>
    <t>Métodos Numéricos y Optimización</t>
  </si>
  <si>
    <t>Programación Concurrente y de Tiempo Real</t>
  </si>
  <si>
    <t>Seguridad Informática</t>
  </si>
  <si>
    <t>MET. PROG.</t>
  </si>
  <si>
    <t>GEST. PROYECTOS</t>
  </si>
  <si>
    <t>Carlos Pardo Aguilar</t>
  </si>
  <si>
    <t>Raúl Marticorena Sánchez</t>
  </si>
  <si>
    <t>César Represa Pérez</t>
  </si>
  <si>
    <t>Jose Manuel Saiz Diez</t>
  </si>
  <si>
    <t>Juan José Rodríguez Diez</t>
  </si>
  <si>
    <t>Control por Computador</t>
  </si>
  <si>
    <t>Diseño e Implementación de Sistemas Dig.</t>
  </si>
  <si>
    <t>Validación y Pruebas</t>
  </si>
  <si>
    <t>Gestión de la Información</t>
  </si>
  <si>
    <t>Diseño y Mantenimiento del Software</t>
  </si>
  <si>
    <t>Organización y Gestión de Empresas</t>
  </si>
  <si>
    <t>Mantenimiento de Equipos Informáticos</t>
  </si>
  <si>
    <t>Hardware de Aplicación Específica</t>
  </si>
  <si>
    <t>Computación Neuronal y Evolutiva</t>
  </si>
  <si>
    <t>Programación de Sistemas Operativos</t>
  </si>
  <si>
    <t>Sistemas Distribuidos</t>
  </si>
  <si>
    <t>Sistemas Empotrados y de Tiempo Real</t>
  </si>
  <si>
    <t>Métodos Formales</t>
  </si>
  <si>
    <t>Nuevas Tecnologías y Empresa</t>
  </si>
  <si>
    <t>Minería de Datos</t>
  </si>
  <si>
    <t>Desarrollo Avanzado de Sistemas Software</t>
  </si>
  <si>
    <t>GESTION INFO</t>
  </si>
  <si>
    <t>DIS-MAN SOFT</t>
  </si>
  <si>
    <t>ORG. Y GEST.</t>
  </si>
  <si>
    <t>MANT. EQUIPOS</t>
  </si>
  <si>
    <t>HARD ESP</t>
  </si>
  <si>
    <t>PROG. S.O.</t>
  </si>
  <si>
    <t>SIST. DISTRIB.</t>
  </si>
  <si>
    <t>NUEVAS TECN.</t>
  </si>
  <si>
    <t>D.A.SISTEMAS</t>
  </si>
  <si>
    <t>VALID. Y PRUEB.</t>
  </si>
  <si>
    <t>Tecnología  de Estructuras</t>
  </si>
  <si>
    <t>Dirección de la Producción y Proyectos</t>
  </si>
  <si>
    <t>Manutención y Mantenimiento Industrial</t>
  </si>
  <si>
    <t>Métodos Avanzados en Ingeniería de Organización</t>
  </si>
  <si>
    <t>Diseño y Ejecución de Plantas Industriales</t>
  </si>
  <si>
    <t>INT. ARTIFICIAL</t>
  </si>
  <si>
    <t>Inteligencia Artifiicial</t>
  </si>
  <si>
    <t>ARQ. Y SERV. INT.</t>
  </si>
  <si>
    <t>Arquitectura y Servicios de Internet</t>
  </si>
  <si>
    <t>Sistemas de Información Avanzados</t>
  </si>
  <si>
    <t xml:space="preserve">Dirección de Proyectos Informáticos y Gestión de I+D+i </t>
  </si>
  <si>
    <t>Ingeniería de Instalaciones Informáticas</t>
  </si>
  <si>
    <t>INFORM. GRAF.</t>
  </si>
  <si>
    <t>Informática Gráfica</t>
  </si>
  <si>
    <t>SIST. EMPOTRAD.</t>
  </si>
  <si>
    <t>Sistemas Empotrados y Ubicuos</t>
  </si>
  <si>
    <t>Auditoría, Calidad y Seguridad</t>
  </si>
  <si>
    <t>APLICACIONES I.A.</t>
  </si>
  <si>
    <t>PERIFERICOS AV</t>
  </si>
  <si>
    <t>MASTER EN INTEGRIDAD Y DURABILIDAD DE MATERIALES</t>
  </si>
  <si>
    <t>Materiales Estructurales</t>
  </si>
  <si>
    <t>Teoría de la Elasticidad y Plasticidad</t>
  </si>
  <si>
    <t>Mecánica de la Fractura</t>
  </si>
  <si>
    <t>Fatiga, Corrosión Bajo Tensión y Fluencia</t>
  </si>
  <si>
    <t>Corrosión, Oxidación, Desgaste y Protección</t>
  </si>
  <si>
    <t>FATIGA</t>
  </si>
  <si>
    <t>FRACTURA</t>
  </si>
  <si>
    <t>ELAST-PLAS</t>
  </si>
  <si>
    <t>CORROSION</t>
  </si>
  <si>
    <t>SOLDADURA</t>
  </si>
  <si>
    <t>Soldadura y Tecnologías de Unión</t>
  </si>
  <si>
    <t>Técnicas de Inspección y END</t>
  </si>
  <si>
    <t>Simulación Numérica de Mat, Comp y Est.</t>
  </si>
  <si>
    <t>Procedimientos de Integridad Estructural</t>
  </si>
  <si>
    <t>Seminario Especializado I</t>
  </si>
  <si>
    <t>Seminario Especializado II</t>
  </si>
  <si>
    <t>SEMINARIO I</t>
  </si>
  <si>
    <t>SEMINARIO II</t>
  </si>
  <si>
    <t>ORG. PROD.</t>
  </si>
  <si>
    <t>Construcción y Edificación de Plantas Industriales</t>
  </si>
  <si>
    <t>Lab. Tecn. Mecánica</t>
  </si>
  <si>
    <t>Lab. Quimica / Lab. Fisica</t>
  </si>
  <si>
    <t>PRUEBAS</t>
  </si>
  <si>
    <t>Pruebas de Evaluacion Continua</t>
  </si>
  <si>
    <t>DIRECCION PROY.</t>
  </si>
  <si>
    <t>Carlos López Nozal</t>
  </si>
  <si>
    <t>César Ignacio García Osorio</t>
  </si>
  <si>
    <t>Juan Cruz Monje Santillana</t>
  </si>
  <si>
    <t>Jesús Sagredo González</t>
  </si>
  <si>
    <t>Pedro Burgos</t>
  </si>
  <si>
    <t>Alejandro Merino Gómez</t>
  </si>
  <si>
    <t xml:space="preserve">Gestión Téc. y Estratégica de las TIC </t>
  </si>
  <si>
    <t>Arquit. Avanzadas de Computadores</t>
  </si>
  <si>
    <t>Juan José Villalaín</t>
  </si>
  <si>
    <t>Juan José Lavios Villahoz</t>
  </si>
  <si>
    <t>Esteban García Maté</t>
  </si>
  <si>
    <t>Mónica Preciado</t>
  </si>
  <si>
    <t>Miguel Angel Mariscal</t>
  </si>
  <si>
    <t>Luis Marcos Naveira</t>
  </si>
  <si>
    <t>Bruno Baruque Zanón</t>
  </si>
  <si>
    <t>César García Osorio</t>
  </si>
  <si>
    <t>José Manuel Sáiz</t>
  </si>
  <si>
    <t>Fco. Javier Rodríguez Vidal</t>
  </si>
  <si>
    <t>Elena Cebrián de Barrio</t>
  </si>
  <si>
    <t>Manuel Iván González</t>
  </si>
  <si>
    <t xml:space="preserve">Mónica Preciado Calzada </t>
  </si>
  <si>
    <t>Álvaro Herrero Cosio</t>
  </si>
  <si>
    <t>Carlos Armiño</t>
  </si>
  <si>
    <t>Esther Baños García</t>
  </si>
  <si>
    <t>PROFESOR 1</t>
  </si>
  <si>
    <t>PROFESOR 2</t>
  </si>
  <si>
    <t>PROFESOR 3</t>
  </si>
  <si>
    <t>PROFESOR 4</t>
  </si>
  <si>
    <t>Luis Alfredo Suárez Vivar</t>
  </si>
  <si>
    <t>AUTIND</t>
  </si>
  <si>
    <t>INFIND</t>
  </si>
  <si>
    <t>6 (OP)</t>
  </si>
  <si>
    <t>FABRIC. Y MAQ.</t>
  </si>
  <si>
    <t>INST. INF.</t>
  </si>
  <si>
    <t>SIST. OPERATIV.</t>
  </si>
  <si>
    <t>ARQUIT. COMP.</t>
  </si>
  <si>
    <t xml:space="preserve">Fund. Deont. y Jurídicos de las TICs </t>
  </si>
  <si>
    <t>FUND. TICS</t>
  </si>
  <si>
    <t>MDURAB_1</t>
  </si>
  <si>
    <t>MDURAB_2</t>
  </si>
  <si>
    <t>Máster en Integridad y Durabilidad de Materiales</t>
  </si>
  <si>
    <t>MDUR__1</t>
  </si>
  <si>
    <t>MDUR__2</t>
  </si>
  <si>
    <t>Mención INGENIERIA DE COMPUTADORES</t>
  </si>
  <si>
    <t>Mención COMPUTACIÓN
Mención INGENIERIA DEL SOFTWARE
Mención SISTEMAS DE INFORMACIÓN</t>
  </si>
  <si>
    <t>Menciones: TODAS</t>
  </si>
  <si>
    <t>DESARROLLO AGIL</t>
  </si>
  <si>
    <t>Aula 55-A2 (CAD)</t>
  </si>
  <si>
    <t>ARQ. AVANZADAS</t>
  </si>
  <si>
    <t>18:00 - 19:00</t>
  </si>
  <si>
    <t>19:00 - 20:00</t>
  </si>
  <si>
    <t>20:00 - 21:00</t>
  </si>
  <si>
    <t>17:00 - 18:00</t>
  </si>
  <si>
    <t>16:00 - 17:00</t>
  </si>
  <si>
    <t>Laboratorio MMC</t>
  </si>
  <si>
    <t>INTEGRIDAD ESTRUCTURAL</t>
  </si>
  <si>
    <t>SIMULACION NUMERICA</t>
  </si>
  <si>
    <t>Fco. Javier Belzunce (UNIOVI)</t>
  </si>
  <si>
    <t>Ivan Cuesta Segura (UBU)</t>
  </si>
  <si>
    <t>Pedro Bravo Diez (UBU)</t>
  </si>
  <si>
    <t>Cristina Rodriguez (UNIOVI)</t>
  </si>
  <si>
    <t>Pedro Bravo (UBU)</t>
  </si>
  <si>
    <t>Sergio Cicero (UNICAN)</t>
  </si>
  <si>
    <t>Los Seminarios especializados se impartirán durante los meses de Mayo-Junio.</t>
  </si>
  <si>
    <t>Lab. de Ing. Mecánica</t>
  </si>
  <si>
    <t>Instalaciones, Plantas y Construcciones Complement.</t>
  </si>
  <si>
    <t>Monica Preciado (UBU)</t>
  </si>
  <si>
    <t>Jesús Manuel Alegre (UBU)</t>
  </si>
  <si>
    <t>Jose Alberto Alvarez (UNICAN)</t>
  </si>
  <si>
    <t>Lab. Fisica / Aula 42-A2</t>
  </si>
  <si>
    <t>Lab. Fisica / Aula 33-A2</t>
  </si>
  <si>
    <t>Lab. Fisica / Aula 46-A2</t>
  </si>
  <si>
    <t>Aula 54-A1</t>
  </si>
  <si>
    <t>Lab. 22-A1</t>
  </si>
  <si>
    <t>Lab. 24-A1</t>
  </si>
  <si>
    <t>Lab. 26-A1</t>
  </si>
  <si>
    <t>Lab. 32-A1</t>
  </si>
  <si>
    <t>Lab. 34-A1</t>
  </si>
  <si>
    <t>Lab. Fisica / Aula 34-A2</t>
  </si>
  <si>
    <t>Lab. Fisica / Aula 44-A2</t>
  </si>
  <si>
    <t>Aula 34-A1</t>
  </si>
  <si>
    <t>Aula 36-A1</t>
  </si>
  <si>
    <t>,</t>
  </si>
  <si>
    <t>Alfonso Blasco Sanz</t>
  </si>
  <si>
    <t>Jesus Sagredo</t>
  </si>
  <si>
    <t>Fernando Manuel García Reguera</t>
  </si>
  <si>
    <t>Lab. Automatica 2</t>
  </si>
  <si>
    <t>Antonio Manzano Rodríguez</t>
  </si>
  <si>
    <t>(101)</t>
  </si>
  <si>
    <t>(102)</t>
  </si>
  <si>
    <t>(103)</t>
  </si>
  <si>
    <t>(104)</t>
  </si>
  <si>
    <t>(201)</t>
  </si>
  <si>
    <t>(202)</t>
  </si>
  <si>
    <t>SISTEMAS</t>
  </si>
  <si>
    <t>Miriam Lorenzo Bañuelos</t>
  </si>
  <si>
    <t>Jesus Moreno Revilla</t>
  </si>
  <si>
    <t>Victoria Abad</t>
  </si>
  <si>
    <t>Pedro Renedo Fernandez</t>
  </si>
  <si>
    <t>Wilco Verbeeten (UBU)</t>
  </si>
  <si>
    <t>Fco. J. Belzunce (UNIOVI)</t>
  </si>
  <si>
    <t>CHEMISTRY</t>
  </si>
  <si>
    <t>Química (English Group)</t>
  </si>
  <si>
    <t>6400-E</t>
  </si>
  <si>
    <t>PROGRAMACION</t>
  </si>
  <si>
    <t>Grupo 1: MANAÑA</t>
  </si>
  <si>
    <t>51-A1</t>
  </si>
  <si>
    <t>CAL (102)</t>
  </si>
  <si>
    <t>51-A2</t>
  </si>
  <si>
    <t>QUI (101)</t>
  </si>
  <si>
    <t>FIS (103)</t>
  </si>
  <si>
    <t>CAL (104)</t>
  </si>
  <si>
    <t>52-A2</t>
  </si>
  <si>
    <t>L. Quim.</t>
  </si>
  <si>
    <t>52-A3</t>
  </si>
  <si>
    <t>52-A4</t>
  </si>
  <si>
    <t>52-A5</t>
  </si>
  <si>
    <t>52-A6</t>
  </si>
  <si>
    <t>QUI (1)</t>
  </si>
  <si>
    <t>FIS (2)</t>
  </si>
  <si>
    <t>08:30 - 10:00</t>
  </si>
  <si>
    <t>10:00 - 11:30</t>
  </si>
  <si>
    <t xml:space="preserve">Practicas </t>
  </si>
  <si>
    <t>Teoria</t>
  </si>
  <si>
    <t>Semana</t>
  </si>
  <si>
    <t>20 horas</t>
  </si>
  <si>
    <t>Pruebas</t>
  </si>
  <si>
    <t>Practicas</t>
  </si>
  <si>
    <t>Teoría</t>
  </si>
  <si>
    <t>30 horas</t>
  </si>
  <si>
    <t>20:00-20:30</t>
  </si>
  <si>
    <t>20:30-21:00</t>
  </si>
  <si>
    <t>21:00-21:30</t>
  </si>
  <si>
    <t>Work Organization</t>
  </si>
  <si>
    <t>Jesús Sagredo</t>
  </si>
  <si>
    <t>EXP GRAF II</t>
  </si>
  <si>
    <t>Semestre temporal: 1º (PRIMER SEMESTRE ACADEMICO)</t>
  </si>
  <si>
    <t>ING. TERMICA I</t>
  </si>
  <si>
    <t>Codigo</t>
  </si>
  <si>
    <t>Lab. MMC</t>
  </si>
  <si>
    <t>1º Doble Grado en Ingeniería Mecánica e Ingeniería Electrónica Industrial y Automática</t>
  </si>
  <si>
    <t>Lab. Química / Aula 33-A2</t>
  </si>
  <si>
    <t xml:space="preserve"> Lab. Automatica
Aula 34-A1</t>
  </si>
  <si>
    <t>Lab. Automatica
Aula 34-A1</t>
  </si>
  <si>
    <t>Aula EMPRESA</t>
  </si>
  <si>
    <t>(801)</t>
  </si>
  <si>
    <t>Lab. Tecn- Electronica 2</t>
  </si>
  <si>
    <t>2º Doble Grado en Ingeniería Mecánica e Ingeniería Electrónica Industrial y Automática</t>
  </si>
  <si>
    <t>PRODUCCIÓN</t>
  </si>
  <si>
    <t>FLUIDOMECANICA</t>
  </si>
  <si>
    <t>Teoria de Circuitos</t>
  </si>
  <si>
    <t>E- FLUID</t>
  </si>
  <si>
    <t>E-AUTOM</t>
  </si>
  <si>
    <t>Ricardo Martínez Rayón</t>
  </si>
  <si>
    <t>Lab. Automatica 1</t>
  </si>
  <si>
    <t>David González</t>
  </si>
  <si>
    <t xml:space="preserve">CIENCIA DE MATERIALES </t>
  </si>
  <si>
    <t>Ciencia de Materiales, Estrucutura y Propiedades</t>
  </si>
  <si>
    <t xml:space="preserve"> CIRCUITOS</t>
  </si>
  <si>
    <t xml:space="preserve">Fundamentos de Electrónica </t>
  </si>
  <si>
    <t xml:space="preserve">, </t>
  </si>
  <si>
    <t>José Calaf Chica</t>
  </si>
  <si>
    <t xml:space="preserve">Wilco Verbeeten </t>
  </si>
  <si>
    <t>Arturo de Roman Miguel</t>
  </si>
  <si>
    <t>Miguel Angel Manzanedo</t>
  </si>
  <si>
    <t>Oscar González</t>
  </si>
  <si>
    <t>Rafael Alcalde García</t>
  </si>
  <si>
    <t>Santiago Aparicio Martínez</t>
  </si>
  <si>
    <t>Juan Vicente Martín Fraile</t>
  </si>
  <si>
    <t>Álvar Arnaiz González</t>
  </si>
  <si>
    <t>ERMAT-I</t>
  </si>
  <si>
    <t xml:space="preserve">Cálculo </t>
  </si>
  <si>
    <t>Aula 4114</t>
  </si>
  <si>
    <t>Santiago Arcos Arcos</t>
  </si>
  <si>
    <t>(203)</t>
  </si>
  <si>
    <t>(204)</t>
  </si>
  <si>
    <t>Lab. Ing. Energetica 2</t>
  </si>
  <si>
    <t>Natalia Muñoz Rujas</t>
  </si>
  <si>
    <t>Roberto Lacalle (UNICAM)</t>
  </si>
  <si>
    <t>(205)</t>
  </si>
  <si>
    <t>Miguel Angel Camino</t>
  </si>
  <si>
    <t>E-ELASTICITY</t>
  </si>
  <si>
    <t>E-THERMODYNAMIC</t>
  </si>
  <si>
    <t>Lab. Fisica / Aula 31-A2</t>
  </si>
  <si>
    <t>3º Doble Grado en Ingeniería Mecánica e Ingeniería Electrónica Industrial y Automática</t>
  </si>
  <si>
    <t>DOBLE GRADO INGENIERIA MECANICA -ELECTRONICA AUTOMATICA</t>
  </si>
  <si>
    <t>ANALOGICA</t>
  </si>
  <si>
    <t>DIGITAL</t>
  </si>
  <si>
    <t>MICROS</t>
  </si>
  <si>
    <t>Sistemas Basados en Microprocesadores</t>
  </si>
  <si>
    <t>FABRICACION</t>
  </si>
  <si>
    <t>Lab. Electrónica 1</t>
  </si>
  <si>
    <t>Lab. Ing. Energetica 1</t>
  </si>
  <si>
    <t>Lab. Ing. Eléctrica 1</t>
  </si>
  <si>
    <t>Lab. Electrónica 3</t>
  </si>
  <si>
    <t>E-THERMO</t>
  </si>
  <si>
    <t>1º Grado en Ingeniería de la Salud</t>
  </si>
  <si>
    <t>GRADO INGENIERIA DE LA SALUD</t>
  </si>
  <si>
    <t>BIOLOGÍA</t>
  </si>
  <si>
    <t>Biología Celular y Genética</t>
  </si>
  <si>
    <t>Física Aplicada a la Salud</t>
  </si>
  <si>
    <t>Algebra</t>
  </si>
  <si>
    <t>BIOQUIMICA</t>
  </si>
  <si>
    <t>Bioquímica Estructural y Metabólica</t>
  </si>
  <si>
    <t>Estructura y Función del Cuerpo Humano I</t>
  </si>
  <si>
    <t>ELECTRICIDAD</t>
  </si>
  <si>
    <t>Fundamentos de Electricdad en Medicina</t>
  </si>
  <si>
    <t xml:space="preserve">PROGRAMACION </t>
  </si>
  <si>
    <t xml:space="preserve">Fundamentos de Programación </t>
  </si>
  <si>
    <t>2º Grado en Ingeniería de la Salud</t>
  </si>
  <si>
    <t>Lab. Fisica / Aula 36-A2</t>
  </si>
  <si>
    <t xml:space="preserve">REGULACION </t>
  </si>
  <si>
    <t>M ELECTRICAS</t>
  </si>
  <si>
    <t>D MAQUINAS I</t>
  </si>
  <si>
    <t>DOB_1</t>
  </si>
  <si>
    <t>DOB_2</t>
  </si>
  <si>
    <t>DOB_3</t>
  </si>
  <si>
    <t>DOB_6</t>
  </si>
  <si>
    <t>DOB_5</t>
  </si>
  <si>
    <t>DOB_4</t>
  </si>
  <si>
    <t>Lab Biologia Fac CC</t>
  </si>
  <si>
    <t>Lab Fisiología Fac CS</t>
  </si>
  <si>
    <t>F CUERPO  I</t>
  </si>
  <si>
    <t>GIS_1</t>
  </si>
  <si>
    <t>GIS_3</t>
  </si>
  <si>
    <t>GIS_2</t>
  </si>
  <si>
    <t>GIS_4</t>
  </si>
  <si>
    <t>GIS_5</t>
  </si>
  <si>
    <t>GIS_6</t>
  </si>
  <si>
    <t>GIS_7</t>
  </si>
  <si>
    <t>GIS_8</t>
  </si>
  <si>
    <t>1º Grado en Ingeniería  de la Salud</t>
  </si>
  <si>
    <t>2º Grado en Ingeniería  de la Salud</t>
  </si>
  <si>
    <t>3º Grado en Ingeniería  de la Salud</t>
  </si>
  <si>
    <t>4º Grado en Ingeniería  de la Salud</t>
  </si>
  <si>
    <t>4º Grado en Ingeniería de la Salud</t>
  </si>
  <si>
    <t>GIS__1</t>
  </si>
  <si>
    <t>GIS__2</t>
  </si>
  <si>
    <t>GIS__3</t>
  </si>
  <si>
    <t>GIS__4</t>
  </si>
  <si>
    <t>GIS__5</t>
  </si>
  <si>
    <t>GIS__6</t>
  </si>
  <si>
    <t>GIS__7</t>
  </si>
  <si>
    <t>GIS__8</t>
  </si>
  <si>
    <t>Nota: Estos horarios podrán ser modificados por necesidades docentes</t>
  </si>
  <si>
    <t>GRUPOS PRACTICOS = 2/3</t>
  </si>
  <si>
    <t>Design and Planning</t>
  </si>
  <si>
    <t>Natividad Ortega</t>
  </si>
  <si>
    <t>David Palacios</t>
  </si>
  <si>
    <t>Virginia Ahedo</t>
  </si>
  <si>
    <t>F. Bioéticos, Deontológicos y Jurídicos de la Salud</t>
  </si>
  <si>
    <t>Jesús Manuel Alegre</t>
  </si>
  <si>
    <t>Carlos Alonso</t>
  </si>
  <si>
    <t>Sistemas de Producción y Fabricación Industrial</t>
  </si>
  <si>
    <t>Javier González</t>
  </si>
  <si>
    <t>Ricardo del Olmo</t>
  </si>
  <si>
    <t>Jesús Marcos García</t>
  </si>
  <si>
    <t>José Antonio Barón</t>
  </si>
  <si>
    <t>Lab. 32-A1 MAT</t>
  </si>
  <si>
    <t>Lab 44-A1</t>
  </si>
  <si>
    <t>Lab 42-A1</t>
  </si>
  <si>
    <t>Lab 46-A1</t>
  </si>
  <si>
    <t>Wilco M.H. Verbeeten</t>
  </si>
  <si>
    <t>Mario Martínez</t>
  </si>
  <si>
    <t>Beatriz Gil</t>
  </si>
  <si>
    <t>Juan Mª Espinosa</t>
  </si>
  <si>
    <t xml:space="preserve"> David González</t>
  </si>
  <si>
    <t>Ana Isabel Gómez</t>
  </si>
  <si>
    <t>Carlos Pardo</t>
  </si>
  <si>
    <t>Alfredo Bol</t>
  </si>
  <si>
    <t>Jesús Enrique Sierra</t>
  </si>
  <si>
    <t>José Ignacio Santos</t>
  </si>
  <si>
    <t>José Manuel Galán</t>
  </si>
  <si>
    <t>Alvar Arnáiz</t>
  </si>
  <si>
    <t>Natalia Muñoz</t>
  </si>
  <si>
    <t xml:space="preserve"> Covadonga Betegón Biempica (UNIOVI)</t>
  </si>
  <si>
    <t>Carlos López</t>
  </si>
  <si>
    <t>INST SOLARES</t>
  </si>
  <si>
    <t>Antonio Manzano</t>
  </si>
  <si>
    <t>Wilco Verbeeten</t>
  </si>
  <si>
    <t>E-ELECT</t>
  </si>
  <si>
    <t>Lab Mecanismos</t>
  </si>
  <si>
    <t>(101+102)</t>
  </si>
  <si>
    <t>Guzmán Moreno</t>
  </si>
  <si>
    <t>Semestre temporal: 3 (TERCER SEMESTRE ACADEMICO)</t>
  </si>
  <si>
    <t xml:space="preserve">GENETICA </t>
  </si>
  <si>
    <t>Genética Molecular</t>
  </si>
  <si>
    <t>F CUERPO II</t>
  </si>
  <si>
    <t>Estructura y Función del Cuerpo Humano II</t>
  </si>
  <si>
    <t>BIOESTADÍSTICA</t>
  </si>
  <si>
    <t>Bioestadística</t>
  </si>
  <si>
    <t>BASES DE DATOS</t>
  </si>
  <si>
    <t>Bases de datos</t>
  </si>
  <si>
    <t>Metodología de la Programación</t>
  </si>
  <si>
    <t>Fisiopatología Humana</t>
  </si>
  <si>
    <t>Electrónica</t>
  </si>
  <si>
    <t>Estructura de Datos y Algoritmos</t>
  </si>
  <si>
    <t>Ing. Y Gestión de Proyectos de Software Clínico</t>
  </si>
  <si>
    <t>Semestre temporal: 4º (CUARTO SEMESTRE ACADEMICO)</t>
  </si>
  <si>
    <t>METODOLOGIA PRO</t>
  </si>
  <si>
    <t>4º Doble Grado en Ingeniería Mecánica e Ingeniería Electrónica Industrial y Automática</t>
  </si>
  <si>
    <t>ELECTRÓNICA</t>
  </si>
  <si>
    <t>DOB_8</t>
  </si>
  <si>
    <t>DOB_7</t>
  </si>
  <si>
    <t>TEC MECANICA I</t>
  </si>
  <si>
    <t>D MAQUINAS II</t>
  </si>
  <si>
    <t>INSTRUMENTACION</t>
  </si>
  <si>
    <t>ING GRAFICA</t>
  </si>
  <si>
    <t>POTENCIA</t>
  </si>
  <si>
    <t>INF INDUSTRIAL</t>
  </si>
  <si>
    <t>Máquinas Hidráulicas</t>
  </si>
  <si>
    <t>M HIDRAULICAS</t>
  </si>
  <si>
    <t>SISTEMAS ELEC</t>
  </si>
  <si>
    <t>Raul Zamora</t>
  </si>
  <si>
    <t>CONTROL PROC</t>
  </si>
  <si>
    <t>12:30-15:30</t>
  </si>
  <si>
    <t>14:30-15:30</t>
  </si>
  <si>
    <t>Lab Fac CC</t>
  </si>
  <si>
    <t>Lab Fac CS</t>
  </si>
  <si>
    <t>ALGORITMOS</t>
  </si>
  <si>
    <t>FISIO</t>
  </si>
  <si>
    <t>Ignacio Velázquez</t>
  </si>
  <si>
    <t xml:space="preserve">Mª Concepción Pilar </t>
  </si>
  <si>
    <t xml:space="preserve">Mónica Cavia </t>
  </si>
  <si>
    <t>Jose Manuel Galán</t>
  </si>
  <si>
    <t>Jesús Mínguez</t>
  </si>
  <si>
    <t>Miguel Ángel Lozano Pérez</t>
  </si>
  <si>
    <t>José M. Galan Ordax</t>
  </si>
  <si>
    <t>Alejandro Merino</t>
  </si>
  <si>
    <t>José Manuel Luis</t>
  </si>
  <si>
    <t>Esteban García</t>
  </si>
  <si>
    <t>Jesús Moreno</t>
  </si>
  <si>
    <t>Montserrat Díez</t>
  </si>
  <si>
    <t>Daniel Urda Muñoz</t>
  </si>
  <si>
    <t>Dario Fernández</t>
  </si>
  <si>
    <t xml:space="preserve">Manuel Solaguren-Beascoa </t>
  </si>
  <si>
    <t xml:space="preserve">Raúl Zamora </t>
  </si>
  <si>
    <t>INTEG S.E.</t>
  </si>
  <si>
    <t>SALA DE JUNTAS 2</t>
  </si>
  <si>
    <t>Sala Juntas 2</t>
  </si>
  <si>
    <t>Sala Juntas 1</t>
  </si>
  <si>
    <t>Aula 41-A2</t>
  </si>
  <si>
    <t>08:20 - 09:20</t>
  </si>
  <si>
    <t>09:20 - 10:20</t>
  </si>
  <si>
    <t>11:20 - 12:20</t>
  </si>
  <si>
    <t>12:20 - 13:20</t>
  </si>
  <si>
    <t>15:20 - 16:20</t>
  </si>
  <si>
    <t>16:20 - 17:20</t>
  </si>
  <si>
    <t>17:20 - 18:20</t>
  </si>
  <si>
    <t>20:20 - 21:20</t>
  </si>
  <si>
    <t>13:20 - 14:20</t>
  </si>
  <si>
    <t>10:20 - 11:20</t>
  </si>
  <si>
    <t>18:20 - 19:20</t>
  </si>
  <si>
    <t>19:20 - 20:20</t>
  </si>
  <si>
    <t>14:20 - 15:20</t>
  </si>
  <si>
    <t>Aula 52A1/32 A2</t>
  </si>
  <si>
    <t>Aula 24-A1/34 A2</t>
  </si>
  <si>
    <t>Ana García</t>
  </si>
  <si>
    <t>Fco. Javier Rodríguez</t>
  </si>
  <si>
    <t>Rosario González</t>
  </si>
  <si>
    <t>Victoria Abad San Martín</t>
  </si>
  <si>
    <t>Óscar Jesus González Alcántara</t>
  </si>
  <si>
    <t>David Cárdenas</t>
  </si>
  <si>
    <t>Jose Calaf</t>
  </si>
  <si>
    <t>Andrés Díaz</t>
  </si>
  <si>
    <t>Rosario Moradillo</t>
  </si>
  <si>
    <t>Álvaro Mena</t>
  </si>
  <si>
    <t>Luis Antonio Marcos</t>
  </si>
  <si>
    <t>Sergio Martín Marquina</t>
  </si>
  <si>
    <t>Beatriz Gil Arroyo</t>
  </si>
  <si>
    <t>Santiago Aparicio</t>
  </si>
  <si>
    <t>María Teresa Peña Pérez</t>
  </si>
  <si>
    <t xml:space="preserve">Miriam Lorenzo </t>
  </si>
  <si>
    <t>Jose Luis Fernández</t>
  </si>
  <si>
    <t>Ángel Arroyo Puente</t>
  </si>
  <si>
    <t>Carlos Melgosa</t>
  </si>
  <si>
    <t>Diego Sedano</t>
  </si>
  <si>
    <t>Ignacio Fontaneda</t>
  </si>
  <si>
    <t>Oscar Manuel Carrasco Saiz</t>
  </si>
  <si>
    <t>Luis Santiago García</t>
  </si>
  <si>
    <t>Mª del Rosario González</t>
  </si>
  <si>
    <t>Rosa Sánchez</t>
  </si>
  <si>
    <t>Mª Begoña Torres</t>
  </si>
  <si>
    <t>PROFESOR 5</t>
  </si>
  <si>
    <t>Virginia Martínez</t>
  </si>
  <si>
    <t>Fernando Manuel García</t>
  </si>
  <si>
    <t>Mª Pilar de las Heras</t>
  </si>
  <si>
    <t>María Saez-Royuela</t>
  </si>
  <si>
    <t>Pedro Luis Sánchez</t>
  </si>
  <si>
    <t>José Manuel Sáiz Díez</t>
  </si>
  <si>
    <t xml:space="preserve">Alvaro Díez </t>
  </si>
  <si>
    <t>Jesús Manuel Maudes Raedo</t>
  </si>
  <si>
    <t>Mª Teresa Peña Pérez</t>
  </si>
  <si>
    <t>José Cámara Nebreda</t>
  </si>
  <si>
    <t>Pedro Latorre Carmona</t>
  </si>
  <si>
    <t>Daniel Urda</t>
  </si>
  <si>
    <t>Ignacio Pardo Aguilar</t>
  </si>
  <si>
    <t>César Ignacio García</t>
  </si>
  <si>
    <t>Mª José Zapatero</t>
  </si>
  <si>
    <t>Jose Manuel Saiz Díez</t>
  </si>
  <si>
    <t>Jesús Alonso Abad</t>
  </si>
  <si>
    <t>J. Manuel Galan Ordax</t>
  </si>
  <si>
    <t>Jesus Enrique Sierra</t>
  </si>
  <si>
    <t>Jose Ignacio Santos Martín</t>
  </si>
  <si>
    <t>Juan José Rodríguez Díez</t>
  </si>
  <si>
    <t>Luis Suarez Vivar</t>
  </si>
  <si>
    <t>Ricardo del Olmo Martínez</t>
  </si>
  <si>
    <t>Miguel Ángel Camino López</t>
  </si>
  <si>
    <t>Mª Felicidad Bogalo Román</t>
  </si>
  <si>
    <t>Mónica Preciado Calzada</t>
  </si>
  <si>
    <t>Fco Javier Rodríguez</t>
  </si>
  <si>
    <t>David Cardenas</t>
  </si>
  <si>
    <t>Fernando Rívas</t>
  </si>
  <si>
    <t>Miriam Lorenzo</t>
  </si>
  <si>
    <t>Jesús Enrique Sierra García</t>
  </si>
  <si>
    <t>Elías Martínez</t>
  </si>
  <si>
    <t>Luís Alfredo Suarez Vivar</t>
  </si>
  <si>
    <t>Rosa María Sanchez</t>
  </si>
  <si>
    <t>Juan Ayllon Barasoain</t>
  </si>
  <si>
    <t>Jose Francisco Díez</t>
  </si>
  <si>
    <t>Silvia Sevillano</t>
  </si>
  <si>
    <t>Elena Cebrian de Barrio</t>
  </si>
  <si>
    <t>Idoya Rodríguez Alonso</t>
  </si>
  <si>
    <t>José Francisco Díez Pastor</t>
  </si>
  <si>
    <t>Jonatan Rojo</t>
  </si>
  <si>
    <t>Miriam Saíz</t>
  </si>
  <si>
    <t>Juan Valencia</t>
  </si>
  <si>
    <t>Alfredo Marcos Reguero</t>
  </si>
  <si>
    <t>Sonia Ramos Gómez</t>
  </si>
  <si>
    <t>Olga Valencia García</t>
  </si>
  <si>
    <t>Antonio Jesús Canepa</t>
  </si>
  <si>
    <t>Jesús Manuel Maudes</t>
  </si>
  <si>
    <t>Mª Isabel Dieste Velasco</t>
  </si>
  <si>
    <t>Álgebra y Ecuaciones Diferenciales</t>
  </si>
  <si>
    <t>Análisis de Fallos</t>
  </si>
  <si>
    <t>Logística</t>
  </si>
  <si>
    <t>Robótica Industrial</t>
  </si>
  <si>
    <t>ÁLGEBRA</t>
  </si>
  <si>
    <t>AMP. CÁLCULO</t>
  </si>
  <si>
    <t>ANÁLISIS DE FALLOS</t>
  </si>
  <si>
    <t>AUDITORÍA</t>
  </si>
  <si>
    <t>AUTOMOCIÓN</t>
  </si>
  <si>
    <t>C. DINÁMICO</t>
  </si>
  <si>
    <t>CÁLCULO</t>
  </si>
  <si>
    <t>CORROSIÓN</t>
  </si>
  <si>
    <t>DIRECCIÓN PROY.</t>
  </si>
  <si>
    <t>ECONOMÍA</t>
  </si>
  <si>
    <t>ERGONOMÍA</t>
  </si>
  <si>
    <t>ESTADISTÍCA</t>
  </si>
  <si>
    <t>EXP. GRÁFICA</t>
  </si>
  <si>
    <t>EXP. GRÁFICA II</t>
  </si>
  <si>
    <t>FÍSICA I</t>
  </si>
  <si>
    <t>FÍSICA II</t>
  </si>
  <si>
    <t>FUND. FÍSICOS</t>
  </si>
  <si>
    <t>GESTIÓN INFO</t>
  </si>
  <si>
    <t>GESTIÓN TIC</t>
  </si>
  <si>
    <t>I. TÉRMICAS</t>
  </si>
  <si>
    <t>I. ELÉCTRICAS</t>
  </si>
  <si>
    <t>INFORMÁTICA</t>
  </si>
  <si>
    <t>ING. ELÉCTRICA</t>
  </si>
  <si>
    <t>ING. ELECTRÓN.</t>
  </si>
  <si>
    <t>INGLÉS</t>
  </si>
  <si>
    <t>INSPECCIÓN Y END</t>
  </si>
  <si>
    <t>INSTRUMENTACIÓN</t>
  </si>
  <si>
    <t>LOGÍSTICA</t>
  </si>
  <si>
    <t>MAQUINAS ELÉC.</t>
  </si>
  <si>
    <t>MÁRKETING</t>
  </si>
  <si>
    <t>MINERÍA</t>
  </si>
  <si>
    <t>OFICINA TÉCNICA</t>
  </si>
  <si>
    <t>PREVENCIÓN</t>
  </si>
  <si>
    <t>QUÍMICA</t>
  </si>
  <si>
    <t>QUÍMICA IND.</t>
  </si>
  <si>
    <t>PROGRAMACIÓN</t>
  </si>
  <si>
    <t>ROBÓTICA</t>
  </si>
  <si>
    <t>SIMULACIÓN NÚMERICA</t>
  </si>
  <si>
    <t>SIST. ELECTRÓN.</t>
  </si>
  <si>
    <t>SIST. ELÉCTRIC.</t>
  </si>
  <si>
    <t>TECN. ELÉCTRI</t>
  </si>
  <si>
    <t>TÉRMICA II</t>
  </si>
  <si>
    <t>TÉRMICA I</t>
  </si>
  <si>
    <t>TÉRMICA</t>
  </si>
  <si>
    <t>L. Automatica 2</t>
  </si>
  <si>
    <t>I GENÉTICA</t>
  </si>
  <si>
    <t>Ing. Genética y Terapia Genética</t>
  </si>
  <si>
    <t>Pipios de Comunicaciones y Redes</t>
  </si>
  <si>
    <t>I CONTROL</t>
  </si>
  <si>
    <t>Ing. De Control</t>
  </si>
  <si>
    <t>FUENTES</t>
  </si>
  <si>
    <t>Fuentes de Datos Biomédicas y Web Semánficas</t>
  </si>
  <si>
    <t>Sistemas Inteligentes Aplicados a Salud</t>
  </si>
  <si>
    <t>BIOINFORMÁTICA</t>
  </si>
  <si>
    <t>Bioinformática</t>
  </si>
  <si>
    <t>Diseño Mecánico</t>
  </si>
  <si>
    <t>Instrumentación y Señales Biomédicas</t>
  </si>
  <si>
    <t xml:space="preserve">MINERÍA </t>
  </si>
  <si>
    <t>Minería de Datos Clínicos y Biológicos</t>
  </si>
  <si>
    <t>ARQUITECTURA</t>
  </si>
  <si>
    <t>TELEMEDICINA</t>
  </si>
  <si>
    <t>Telemedicina</t>
  </si>
  <si>
    <t>Prácticas en Hospitales /Empresas</t>
  </si>
  <si>
    <t xml:space="preserve">OFICINA </t>
  </si>
  <si>
    <t>ESTRUCTIRAS II</t>
  </si>
  <si>
    <t xml:space="preserve">Máquinas Térmicas </t>
  </si>
  <si>
    <t>Inglés Aplicado a la Ing Mecánica</t>
  </si>
  <si>
    <t>5º Doble Grado en Ingeniería Mecánica e Ingeniería Electrónica Industrial y Automática</t>
  </si>
  <si>
    <t>DOB_9</t>
  </si>
  <si>
    <t>DOB_10</t>
  </si>
  <si>
    <t>Semestre temporal: 1º        (9º Semestre Académico)</t>
  </si>
  <si>
    <t>Semestre temporal: 1º        (10º Semestre Académico)</t>
  </si>
  <si>
    <t>1º DOBLE GIM-GIEIA</t>
  </si>
  <si>
    <t>5º DOBLE GIM-GIEIA</t>
  </si>
  <si>
    <t>4º DOBLE GIM-GIEIA</t>
  </si>
  <si>
    <t>3º DOBLE GIM-GIEIA</t>
  </si>
  <si>
    <t>2º DOBLE GIM-GIEIA</t>
  </si>
  <si>
    <t>3º Grado en Ingeniería de la Salud</t>
  </si>
  <si>
    <t>Semestre temporal: 5º ( QUINTO SEMESTRE ACADÉMICO)</t>
  </si>
  <si>
    <t>Semestre temporal: 6º ( SEXTO SEMESTRE ACADÉMICO)</t>
  </si>
  <si>
    <t>Semestre temporal: 10º (DÉCIMO SEMESTRE ACADÉMICO)</t>
  </si>
  <si>
    <t>tercero de gis va a ser de TARde</t>
  </si>
  <si>
    <t>Las prácticas por la mañana</t>
  </si>
  <si>
    <t>Seminarios (aula ordenadores Politécnica): 15/09, 22/09, 06/10, 03/11, 17/11 y 24/11</t>
  </si>
  <si>
    <t>Prácticas (Fac. Ciencias): 29/09, 20/10, 27/10 y 10/11</t>
  </si>
  <si>
    <t>I. MATERIALES</t>
  </si>
  <si>
    <r>
      <t xml:space="preserve">8 seminarios de </t>
    </r>
    <r>
      <rPr>
        <b/>
        <sz val="10"/>
        <color rgb="FFFF0000"/>
        <rFont val="Arial"/>
        <family val="2"/>
      </rPr>
      <t>Estructura y F del Cuerpo Humano II</t>
    </r>
    <r>
      <rPr>
        <sz val="10"/>
        <color rgb="FFFF0000"/>
        <rFont val="Arial"/>
        <family val="2"/>
      </rPr>
      <t xml:space="preserve"> de 2 horas en Aula 21A1/informática.resto de días. En la EPS 15:30 a 17:30 y 17:30 a 19:30</t>
    </r>
  </si>
  <si>
    <r>
      <t xml:space="preserve">6 seminarios de 2 horas de </t>
    </r>
    <r>
      <rPr>
        <b/>
        <sz val="10"/>
        <color rgb="FFFF0000"/>
        <rFont val="Arial"/>
        <family val="2"/>
      </rPr>
      <t>Genética Molecular</t>
    </r>
    <r>
      <rPr>
        <sz val="10"/>
        <color rgb="FFFF0000"/>
        <rFont val="Arial"/>
        <family val="2"/>
      </rPr>
      <t xml:space="preserve"> en aula 1B, 15/9, 22/9 ,06/10 ,03/11, 10/11, 17/11 en la EPS 15:30 a17:30 y 17:30 a 19:30</t>
    </r>
  </si>
  <si>
    <r>
      <t xml:space="preserve">4 prácticas de 3 horas de </t>
    </r>
    <r>
      <rPr>
        <b/>
        <sz val="10"/>
        <color rgb="FFFF0000"/>
        <rFont val="Arial"/>
        <family val="2"/>
      </rPr>
      <t xml:space="preserve">Genética Molecular </t>
    </r>
    <r>
      <rPr>
        <sz val="10"/>
        <color rgb="FFFF0000"/>
        <rFont val="Arial"/>
        <family val="2"/>
      </rPr>
      <t>en la facultad de Ciencias 29/9, 20/10 ,27/10, 24/11. de 15:00 a 18:00 y 18:00 a 21:00</t>
    </r>
  </si>
  <si>
    <r>
      <t xml:space="preserve">4 prácticas de 2 horas de </t>
    </r>
    <r>
      <rPr>
        <b/>
        <sz val="10"/>
        <color rgb="FFFF0000"/>
        <rFont val="Arial"/>
        <family val="2"/>
      </rPr>
      <t>Estructura y F del Cuerpo H. II</t>
    </r>
    <r>
      <rPr>
        <sz val="10"/>
        <color rgb="FFFF0000"/>
        <rFont val="Arial"/>
        <family val="2"/>
      </rPr>
      <t xml:space="preserve"> en la fac de Ciencias de la Salud. 29/9, 20/10 ,27/10, 24/11de 15:30 a 17:30 y 18:30 a 20:30</t>
    </r>
  </si>
  <si>
    <t xml:space="preserve">Francisco Javier Rodriguez </t>
  </si>
  <si>
    <t xml:space="preserve">9:30 - 10:30 </t>
  </si>
  <si>
    <t xml:space="preserve">10:30 - 11:30 </t>
  </si>
  <si>
    <t xml:space="preserve">14:30 - 15:30 </t>
  </si>
  <si>
    <t>Lb. Electrónica 1</t>
  </si>
  <si>
    <t>HOSPITAL</t>
  </si>
  <si>
    <t>Automatismos y Control Industrial I/E</t>
  </si>
  <si>
    <t>Ciencia de Materiales: Est. y propiedades E/I</t>
  </si>
  <si>
    <t>Elasticidad Resistencia de Materialese E/I</t>
  </si>
  <si>
    <t>Fund de Ingeniería Eléctrica E/I</t>
  </si>
  <si>
    <t>Organización del Trabajo y RRHH E/I</t>
  </si>
  <si>
    <t xml:space="preserve">Márketing Industrial </t>
  </si>
  <si>
    <t>Prevención de Riesgos Laborales E/I</t>
  </si>
  <si>
    <t xml:space="preserve">Expresión Gráfica E/I (Español/Inglés) </t>
  </si>
  <si>
    <t>Docencia en Español, aula 52A1/ docencia en Inglés  aula 32A2</t>
  </si>
  <si>
    <t>Ricardo Martínez</t>
  </si>
  <si>
    <t>MÉTODOS NUM.</t>
  </si>
  <si>
    <t>FUND BIOÉTICOS</t>
  </si>
  <si>
    <t>FÍSICA</t>
  </si>
  <si>
    <t xml:space="preserve">PROGRAMACIÓN </t>
  </si>
  <si>
    <t>BIOQUÍMICA</t>
  </si>
  <si>
    <t xml:space="preserve">GENÉTICA </t>
  </si>
  <si>
    <t>METODOLOGÍA</t>
  </si>
  <si>
    <t>PRÁCTICAS</t>
  </si>
  <si>
    <t>Semestre temporal: 2º (SEGUNDO SEMESTRE ACADÉMICO)</t>
  </si>
  <si>
    <t>MÉTODOS IOI</t>
  </si>
  <si>
    <t>GRUPOS TEÓRICOS = 1</t>
  </si>
  <si>
    <t>GRUPOS PRÁCTICOS = 1</t>
  </si>
  <si>
    <t>GRUPOS PRÁCTICOS = 2</t>
  </si>
  <si>
    <t>GR. PRÁCTICOS</t>
  </si>
  <si>
    <t>GRUPOS PRÁCTICOS = 1/2</t>
  </si>
  <si>
    <t>GRUPOS PRÁCTICOS = 3</t>
  </si>
  <si>
    <t>GRUPOS TEÓRICOS = 1/2</t>
  </si>
  <si>
    <t>GRUPO TEÓRICO
(1)</t>
  </si>
  <si>
    <t>Semestre temporal: 5º (QUINTO SEMESTRE ACADÉMICO)</t>
  </si>
  <si>
    <t>Semestre temporal: 6º (SEXTO SEMESTRE ACADÉMICO)</t>
  </si>
  <si>
    <t>Semestre temporal: 7º (SEPTIMO SEMESTRE ACADÉMICO)</t>
  </si>
  <si>
    <t>Semestre temporal: 8º (OCTAVO SEMESTRE ACADÉMICO)</t>
  </si>
  <si>
    <t>Semestre temporal: 9º (NOVENO SEMESTRE ACADÉMICO)</t>
  </si>
  <si>
    <t>Semestre temporal: 1º (PRIMER SEMESTRE ACADÉMICO)</t>
  </si>
  <si>
    <t>Semestre temporal: 3º (TERCERO SEMESTRE ACADÉMICO)</t>
  </si>
  <si>
    <t>Semestre temporal: 4º (CUARTO SEMESTRE ACADÉMICO)</t>
  </si>
  <si>
    <t>Los alumnos bilingües tienen que coger el grupo de prácticas 102 para las asignaturas en español</t>
  </si>
  <si>
    <t>Flavio Mercati</t>
  </si>
  <si>
    <t>María José García</t>
  </si>
  <si>
    <t>Grupo: Mañana</t>
  </si>
  <si>
    <t>Jesús H. Lucio</t>
  </si>
  <si>
    <t>Mª José García</t>
  </si>
  <si>
    <t>Mirian Lorenzo</t>
  </si>
  <si>
    <t>Aula 34 A2</t>
  </si>
  <si>
    <t xml:space="preserve">Miguel Angel Lozano </t>
  </si>
  <si>
    <t>FLUIDOMECÁNICA</t>
  </si>
  <si>
    <t>José Antonio Martinez</t>
  </si>
  <si>
    <t>Alberto Estébanez</t>
  </si>
  <si>
    <t>Matalia Muñoz</t>
  </si>
  <si>
    <t>Fernando Aguilar</t>
  </si>
  <si>
    <t>José Antonio Martínez</t>
  </si>
  <si>
    <t>GENE (101) 1B</t>
  </si>
  <si>
    <t>GENE (102) 1B</t>
  </si>
  <si>
    <t>Indalecio Peñacoba</t>
  </si>
  <si>
    <t>F.BIOÉTICOS</t>
  </si>
  <si>
    <t>"6 seminarios de 2 horas de Ing. Genética los jueves, en aula 1B, en la EPS 23/09, 30/09, 14/10, 28/10, 02/12 y 09/12 de 08:30 a 10:30 y 12:30 a 14:30”</t>
  </si>
  <si>
    <t>(105)*</t>
  </si>
  <si>
    <t>(102 / 104)</t>
  </si>
  <si>
    <t>Prueba de evaluación de prácticas y seminarios en aula informática de EPS  2,3 de diciembre (por confirmar)</t>
  </si>
  <si>
    <t>GRUPOS PRACTICOS =3/4</t>
  </si>
  <si>
    <t>Seminarios en Aula de EPS 52 A1, 29 Octubre, 5/12/19 noviembre (101+102) de 8:30 a 11:30 - (103+104) de 11:30 a 14:30</t>
  </si>
  <si>
    <t>Labo de Facultad de Ciencias: Grupo (101)y (103) 8/15/12 Octubre, (102)23 Septiembre7/14 Octubre, (104)21/28 Octubre 11Noviembre, (105) 5/6/13 Octubre</t>
  </si>
  <si>
    <t xml:space="preserve">Biología Celular y Genética: 3 laboratorios y 4 seminarios (el grupo 105* se formará en clase) </t>
  </si>
  <si>
    <t>Aula 31A2 / Aula Inf1B</t>
  </si>
  <si>
    <t>Aula 31 A2/ Lab 22-A1</t>
  </si>
  <si>
    <t xml:space="preserve">“4 prácticas de 3 horas de Ing. Genética los martes, en la Facultad de Ciencias. 09/11, 18/11, 23/11 y 30/11, de 15:00 a 18:00 y 18:00 a 21:00 </t>
  </si>
  <si>
    <t>Luis Suárez</t>
  </si>
  <si>
    <t>Aula espejo</t>
  </si>
  <si>
    <t>Prácticas en hospitales y/o empresas</t>
  </si>
  <si>
    <t>Aula 53A1</t>
  </si>
  <si>
    <t>Aula 51 A2/46 A2</t>
  </si>
  <si>
    <t>Aula 46A2/Infor 1B</t>
  </si>
  <si>
    <t>Aula 52A2/46 A2</t>
  </si>
  <si>
    <t>Aula 44A2/Infor 1B</t>
  </si>
  <si>
    <t>Aula 51 A2/33A2</t>
  </si>
  <si>
    <t>Jorge San Miguel Navazo</t>
  </si>
  <si>
    <t>FCH II (102) 32 A2</t>
  </si>
  <si>
    <t>FCH II (101) 32A2</t>
  </si>
  <si>
    <t>Lab. I. Eléctrica 1</t>
  </si>
  <si>
    <t>Lab. I. Eléctrica 2</t>
  </si>
  <si>
    <t>Daniel Sarabia</t>
  </si>
  <si>
    <t>Alberto Maestro</t>
  </si>
  <si>
    <t>Antonio Canepa</t>
  </si>
  <si>
    <t>4 prácticas de Bioquioquíca E y M en laboratorio de la Facultad de Ciencias 23-24-25/2; 30-31/3-1/4; 20-21-22/4 y 4-5-6/5</t>
  </si>
  <si>
    <t>1 prácticas de Bioquioquíca E y M en aula ordenadores EPS Vena 9-10-11/03 Aula 32A1</t>
  </si>
  <si>
    <t>8 seminarios de Estructura y Función del Cuerpo Humano en la EPS</t>
  </si>
  <si>
    <t>4 prácticas de Estructura y Función del Cuerpo Humano eI en laboratorio de Ciencias de la salud</t>
  </si>
  <si>
    <t>GuirguisZaqui</t>
  </si>
  <si>
    <t>Carlos Cambra</t>
  </si>
  <si>
    <t>INSTRUMENTACIÓN 101</t>
  </si>
  <si>
    <t>INSTRUMENTACIÓN 102</t>
  </si>
  <si>
    <t>ARQUITEC-TELEME</t>
  </si>
  <si>
    <t>GRUPOS PRACTICOS = 1/2</t>
  </si>
  <si>
    <t>José Francisco Díez</t>
  </si>
  <si>
    <t xml:space="preserve"> Juan José Rodríguez</t>
  </si>
  <si>
    <t>Lab. Química / Aula 44-A2</t>
  </si>
  <si>
    <t>L. Automática 1</t>
  </si>
  <si>
    <t>Aula 51/53 A1</t>
  </si>
  <si>
    <t>Aula 36A2</t>
  </si>
  <si>
    <t>3 prácticas de Bioquioquíca E y M en aula EPS Vena  23-24-25/3; 11-12-13/5 y 18-19-20/5_Aulas 46 A2 miercoles/ 21 A1 viernes/ 31 A2 Jueves</t>
  </si>
  <si>
    <t>Aula 33A2 / Aula Inf 2B</t>
  </si>
  <si>
    <t>Ángel Arroyo</t>
  </si>
  <si>
    <t>Rubén Ruiz</t>
  </si>
  <si>
    <t xml:space="preserve">La docencia en la EPS es de 7 semanas, las otras 5 semanas serán prácticas en el Hospital </t>
  </si>
  <si>
    <t>Juan Marcos de las Heras</t>
  </si>
  <si>
    <t>MASTER SECUNDARIA</t>
  </si>
  <si>
    <t>MASTER DE PROFESORADO EN EDUCACIÓN</t>
  </si>
  <si>
    <t>14:30 - 15:30</t>
  </si>
  <si>
    <t>:</t>
  </si>
  <si>
    <t>Aula 51A1</t>
  </si>
  <si>
    <t>Infraestructuras y tecnologías de la información en centros educativos</t>
  </si>
  <si>
    <t>Tecnología de la informaqción, las comunicaciones y la robótica</t>
  </si>
  <si>
    <t xml:space="preserve">T. información </t>
  </si>
  <si>
    <t>T. Industriales</t>
  </si>
  <si>
    <t>TICRobótica</t>
  </si>
  <si>
    <t>MESO 1</t>
  </si>
  <si>
    <t>MESO 2</t>
  </si>
  <si>
    <t>FOL</t>
  </si>
  <si>
    <t>AB PROYECTOS</t>
  </si>
  <si>
    <t>INNOVACIÓN</t>
  </si>
  <si>
    <t>Estructura y gestión de la formación profesional</t>
  </si>
  <si>
    <t>Aprendizaje basado en proyectos</t>
  </si>
  <si>
    <t>Innovación docente e iniciación a la investigación educativa en tecnología</t>
  </si>
  <si>
    <t>Fernando Rivas</t>
  </si>
  <si>
    <t>Roberto Casado</t>
  </si>
  <si>
    <t>Alfonso Blasco</t>
  </si>
  <si>
    <t>Belen Vaquerizo</t>
  </si>
  <si>
    <t>Isidoro Iván Cuesta</t>
  </si>
  <si>
    <t xml:space="preserve">Isidoro Ivan Cuesta </t>
  </si>
  <si>
    <t>Guirguis Zaki</t>
  </si>
  <si>
    <t>Miguel Ángel Cantera</t>
  </si>
  <si>
    <t xml:space="preserve">Guzmán Moreno </t>
  </si>
  <si>
    <t>8:30-12:30</t>
  </si>
  <si>
    <t>Juan Vicente Martín</t>
  </si>
  <si>
    <t>José Luis Jabato</t>
  </si>
  <si>
    <t>Francisco José González</t>
  </si>
  <si>
    <t>Aula31A2</t>
  </si>
  <si>
    <t>Roberto Arce</t>
  </si>
  <si>
    <t>Cristina Alonso</t>
  </si>
  <si>
    <t>Rocio Barros</t>
  </si>
  <si>
    <t>Sonia Martel</t>
  </si>
  <si>
    <t>Simulación Numérica de Componentes y Estructuras</t>
  </si>
  <si>
    <t>* La asignatura Gestión de proyectos a partir de la 7ª semana cambia al laboratorio 42 A1 según horario</t>
  </si>
  <si>
    <t>José Javier Relancio</t>
  </si>
  <si>
    <t>Raúl del Barrio</t>
  </si>
  <si>
    <t>Los alumnos bilingües y los repetidores,tienen que coger el grupo de prácticas 102 para las asignaturas "solo" en español</t>
  </si>
  <si>
    <t xml:space="preserve"> Jesús Manuel Alegre</t>
  </si>
  <si>
    <t>Manuel Solaguren-Beascoa</t>
  </si>
  <si>
    <t>Aula 35-A2/Lab Física</t>
  </si>
  <si>
    <t>MAT DISCRETA</t>
  </si>
  <si>
    <t>Leticia Sainz</t>
  </si>
  <si>
    <t>Javier Relancio</t>
  </si>
  <si>
    <t>Pedro Miguel Bravo</t>
  </si>
  <si>
    <t xml:space="preserve">José Calaf </t>
  </si>
  <si>
    <t>José Ángel Zapatero</t>
  </si>
  <si>
    <t>Eduardo Pérez Colina</t>
  </si>
  <si>
    <t>Lab 24-A1</t>
  </si>
  <si>
    <t>Vanesa Fernández Cavero</t>
  </si>
  <si>
    <t xml:space="preserve">Arturo de Román </t>
  </si>
  <si>
    <t>María del Mar Chichón</t>
  </si>
  <si>
    <t>Aula 42-A1</t>
  </si>
  <si>
    <t>(105)</t>
  </si>
  <si>
    <t>Por necesidades docentes las clases de Cálculo pasan a horario de tarde</t>
  </si>
  <si>
    <t>Aula 32-A1 (Inf.)/Aula 54-A1</t>
  </si>
  <si>
    <t>Jose Mª Cámara</t>
  </si>
  <si>
    <t>Aula 32-A1 (Inf.)/Aula 42-A2</t>
  </si>
  <si>
    <t>no se imparte curso 24-25</t>
  </si>
  <si>
    <t>Lab. Fisica / Aula -31A2</t>
  </si>
  <si>
    <t xml:space="preserve">Química </t>
  </si>
  <si>
    <t>Ingeniería Fluidomecánica E/I (Español/Inglés)</t>
  </si>
  <si>
    <t>Teoría de Mecanismos y Máquinas</t>
  </si>
  <si>
    <t>Investigación operativa I  E/I (Español/Inglés)</t>
  </si>
  <si>
    <t>INVESTIGACIÓN I</t>
  </si>
  <si>
    <t>Investigación operativa II</t>
  </si>
  <si>
    <t>INVESTIGACIÓN II</t>
  </si>
  <si>
    <t>Gestion de proyectos</t>
  </si>
  <si>
    <t>PROYECTOS</t>
  </si>
  <si>
    <t>SIST. INFORMACIÓN</t>
  </si>
  <si>
    <t>ENERGÍA Y ECONOMIA</t>
  </si>
  <si>
    <t>DIR. FINANCIERA</t>
  </si>
  <si>
    <t>Automatización de instalaciones solares y eólicas</t>
  </si>
  <si>
    <t>TECHNOLOGY</t>
  </si>
  <si>
    <t>INTELLIGENCE</t>
  </si>
  <si>
    <t>E-INFORMATION</t>
  </si>
  <si>
    <t>E-PREVENTION</t>
  </si>
  <si>
    <t>Santiago  García</t>
  </si>
  <si>
    <t>Esteban Marcos</t>
  </si>
  <si>
    <t xml:space="preserve">Sistemas de información gerencial </t>
  </si>
  <si>
    <t>Dirección financiera (Español/Inglés)</t>
  </si>
  <si>
    <t>Tecnología eléctrica (Español/Inglés)</t>
  </si>
  <si>
    <t xml:space="preserve">Parisa del Shad </t>
  </si>
  <si>
    <t>Sol García</t>
  </si>
  <si>
    <t>Ana Searrano</t>
  </si>
  <si>
    <t>Belén Vaquerizo</t>
  </si>
  <si>
    <t>Ana Serna</t>
  </si>
  <si>
    <t>Ramón Moreno</t>
  </si>
  <si>
    <t>Francisco Godoy</t>
  </si>
  <si>
    <t>Diego Granados</t>
  </si>
  <si>
    <t>Mª Teresa Vicente</t>
  </si>
  <si>
    <t>Rubén Lesmes</t>
  </si>
  <si>
    <t>Curso 2024-2025</t>
  </si>
  <si>
    <t>Corporate finance</t>
  </si>
  <si>
    <t>Quality</t>
  </si>
  <si>
    <t>Mª Felicidad Bógalo</t>
  </si>
  <si>
    <t>Mª Isabel Blanco</t>
  </si>
  <si>
    <t>Luis R. Izquierdo</t>
  </si>
  <si>
    <t>Juan José Lavios</t>
  </si>
  <si>
    <t>Business intelligence (Inglés)</t>
  </si>
  <si>
    <t>BUSINESS</t>
  </si>
  <si>
    <t>QUALITY</t>
  </si>
  <si>
    <t>DESIGN AND PLANING</t>
  </si>
  <si>
    <t>CORPORATE FINANCE</t>
  </si>
  <si>
    <t>José Manuel Aroca Fernández</t>
  </si>
  <si>
    <t>María del Mar Chichón González</t>
  </si>
  <si>
    <t xml:space="preserve">Juan José Villalaín </t>
  </si>
  <si>
    <t>Silvia Alvárez de Eulate</t>
  </si>
  <si>
    <t>Gabriel  Rubio Pérez</t>
  </si>
  <si>
    <t>Miguel Ángel Cantera Cuartango</t>
  </si>
  <si>
    <t>Gabriel Rubio Pérez</t>
  </si>
  <si>
    <t>Aula 33 / 35-A2</t>
  </si>
  <si>
    <t>Docencia en Español, aula 34A2/ docencia en Inglés  aula 44A2</t>
  </si>
  <si>
    <t>Aula 35 / 36-A2</t>
  </si>
  <si>
    <t>Aula 31/42-A2</t>
  </si>
  <si>
    <t>Zaíra Pérez</t>
  </si>
  <si>
    <t>Iván Gutiérrez</t>
  </si>
  <si>
    <t>Alvaro Díez-Labín</t>
  </si>
  <si>
    <t>E.C.N.</t>
  </si>
  <si>
    <t>GRUPOS TEORICOS = 2</t>
  </si>
  <si>
    <t>GRUPOS PRÁCTICOS = 4/5</t>
  </si>
  <si>
    <t>GRUPOS PRÁCTICOS = 3/4/5</t>
  </si>
  <si>
    <t>(103)(104)(105)</t>
  </si>
  <si>
    <t>Grupos prácticos en la Matrícula y en horarios: 104 matrícula  equivale al 201 en horarios, 105 equivale al 202, el 103 en matrícula solo está en horario para bases de datos, arquitectura de ccomputadores y metodología de la programación</t>
  </si>
  <si>
    <t>Alfredo Gordillo</t>
  </si>
  <si>
    <t>Aula 53,54A1</t>
  </si>
  <si>
    <t>AR PARALELAS</t>
  </si>
  <si>
    <t>Aula 33-A2/Aula 22-A1</t>
  </si>
  <si>
    <t>Aula 33-A2/Aula 24-A1</t>
  </si>
  <si>
    <t>Operational Reseach I</t>
  </si>
  <si>
    <t xml:space="preserve">Diseño, Plan y Control de Sist Prod E/I
Design, Planning and Control of Productive Systems </t>
  </si>
  <si>
    <t>Calidad (Español/inglés)</t>
  </si>
  <si>
    <t>Tecnología Eléctrica en inglés no se imparte en el curso 24-25</t>
  </si>
  <si>
    <t>Energía y economía circular (Español)</t>
  </si>
  <si>
    <t xml:space="preserve">TECN. MEC. II </t>
  </si>
  <si>
    <t xml:space="preserve">EQUILIBRADO </t>
  </si>
  <si>
    <t>No se imparte curso 24-25</t>
  </si>
  <si>
    <t>Aula 34-A2/46-A2</t>
  </si>
  <si>
    <t xml:space="preserve">Grupos prácticos en la Matrícula y en horarios: 104 matrícula  equivale al 201 en horarios, 105 equivale al 202, </t>
  </si>
  <si>
    <t>La permuta de Ampliación de cálculo y Fisica II de los vidernes será, unicaménte, en las semanas en las 2 primeras semanas de marzo</t>
  </si>
  <si>
    <t xml:space="preserve">TÉRMICA </t>
  </si>
  <si>
    <t>Ingeniería Térmica (Español/Inglés)</t>
  </si>
  <si>
    <t>Lab. Ing. Energetica 1/Aula 33 A2</t>
  </si>
  <si>
    <t>Aula 36-A2/42-A2</t>
  </si>
  <si>
    <t>Aula 52-A2 (Inf.)/36-A2</t>
  </si>
  <si>
    <t>Color grupo teórico inglés</t>
  </si>
  <si>
    <t>Color grupo práctico 2</t>
  </si>
  <si>
    <t>Color grupo práctico 1</t>
  </si>
  <si>
    <t>Color grupo práctico inglés</t>
  </si>
  <si>
    <t>Color grupo teórico 1</t>
  </si>
  <si>
    <t>COLORES CLASES</t>
  </si>
  <si>
    <t>Color grupo teórico 2</t>
  </si>
  <si>
    <t>DRAWING I</t>
  </si>
  <si>
    <t>Aula 0</t>
  </si>
  <si>
    <t>Lab Electrónica 3</t>
  </si>
  <si>
    <t>Lab. Automática 1</t>
  </si>
  <si>
    <t>Aula 32-A2 / Aula 32-A1(Inf.)</t>
  </si>
  <si>
    <t>Aula 21-A1 / Aula 51-A2(Inf.)</t>
  </si>
  <si>
    <t>Aula 31-A2 / Aula 52-A2(Inf.)</t>
  </si>
  <si>
    <t>Aula 32-A2 / Aula 52-A2(Inf.)</t>
  </si>
  <si>
    <t>Aula 32-A2 /  Aula 51-A2(Inf.)</t>
  </si>
  <si>
    <t>Aula 33-A2 / Aula 52-A2(Inf.)</t>
  </si>
  <si>
    <t>Aula 42-A1 / Aula 55-A2</t>
  </si>
  <si>
    <t>Aula 41-A2 / Aula 55-A2</t>
  </si>
  <si>
    <t>Lab. 22-A1 / Lab. 36-A1</t>
  </si>
  <si>
    <t>Aula 34-A2 / Lab. MMC</t>
  </si>
  <si>
    <t>Lab. Fisica / Aula 35-A2</t>
  </si>
  <si>
    <t>Lab. Fisica / Aula 51-A1</t>
  </si>
  <si>
    <t>Lab Quimica / Aula 31-A2</t>
  </si>
  <si>
    <t>Lab. Fisica / Aula 32-A2</t>
  </si>
  <si>
    <t>Lab Quimica / Aula 46-A2</t>
  </si>
  <si>
    <t>Aula 32-A2 / Aula Inf. 1B</t>
  </si>
  <si>
    <t>Aula Inf. 1A</t>
  </si>
  <si>
    <t>Aula Inf. 1B</t>
  </si>
  <si>
    <t>Aula Inf. 2A</t>
  </si>
  <si>
    <t>Aula Inf. 2B</t>
  </si>
  <si>
    <t>Aula Inf. 2A / Aula 34-A2</t>
  </si>
  <si>
    <t>Aula Inf. 1B / Aula 46-A2</t>
  </si>
  <si>
    <t>Aula Inf. 1B / Aula 34-A2</t>
  </si>
  <si>
    <t>Aula 34-A1 /  Lab Automatica</t>
  </si>
  <si>
    <t>Aula 32-A1 / Lab. Automatica</t>
  </si>
  <si>
    <t>Aula EMPRESA / Lab 24-A1</t>
  </si>
  <si>
    <t>Aula EMPRESA / Lab 22-A1</t>
  </si>
  <si>
    <t>Aula 21-A1 / Lab 24-A1</t>
  </si>
  <si>
    <t>Aula 42-A2 / Lab MMC</t>
  </si>
  <si>
    <t>Aula 33-A2 / Lab 22-A1</t>
  </si>
  <si>
    <t>Aula 34-A2 / Lab 22-A1</t>
  </si>
  <si>
    <t>Lab Electrónica1 / Sala Juntas 1</t>
  </si>
  <si>
    <t>Lab.Electrónica3 / Aula 1A</t>
  </si>
  <si>
    <t>Aula 35-A2 / Aula 52-A2</t>
  </si>
  <si>
    <t>Aula 34-A2 / Aula 52-A2</t>
  </si>
  <si>
    <t>Aula Inf. 2B / Lab. Tecn. Mecánica</t>
  </si>
  <si>
    <t>Aula 32-A2 /  Lab. Tecn. Mecánica</t>
  </si>
  <si>
    <t>Lab Mecanismos / 36-A2</t>
  </si>
  <si>
    <t>Aula 36-A2 / Lab. MMC</t>
  </si>
  <si>
    <t>Aula 42-A2 /Aula Inf. 1B</t>
  </si>
  <si>
    <t>Aula 36-A2 / Aula Inf. 1B</t>
  </si>
  <si>
    <t>Aula 33-A2 /Aula Inf. 2B</t>
  </si>
  <si>
    <t>Aula 35-A2 / Aula Inf. 1B</t>
  </si>
  <si>
    <t>Aula 33-A2 / Aula Inf. 1B</t>
  </si>
  <si>
    <t>Aula 34-A2 / Aula Inf. 1B</t>
  </si>
  <si>
    <t>Lab Eléctrica 2 / Aula 32-A2</t>
  </si>
  <si>
    <t>Lab.Automá 1 / aula 1A</t>
  </si>
  <si>
    <t>Lab.Automática 1 / aula 32-A</t>
  </si>
  <si>
    <t>Aula 55-A2 (CAD) / 41-A2 (Tab)</t>
  </si>
  <si>
    <t>Aula 53-A2 (CAD) / 41-A2 (Tab)</t>
  </si>
  <si>
    <t>Aula Inf. 2B / 31-A2</t>
  </si>
  <si>
    <t>Aula 52-A2 (Inf.) / 32-A2</t>
  </si>
  <si>
    <t>Aula 52-A2 (Inf.) / 44-A2</t>
  </si>
  <si>
    <t>Aula 41-A2 (Tab) / Inf 1B (CAD)</t>
  </si>
  <si>
    <t>Aula Inf. 2B / Aula 42-A2</t>
  </si>
  <si>
    <t>Aula 33-A2 / 32-A1(Inf.)</t>
  </si>
  <si>
    <t>Aula 34-A2 / 32-A1(Inf.)</t>
  </si>
  <si>
    <t>Aula 42-A2 / 32-A1(Inf.)</t>
  </si>
  <si>
    <t>Aula 51-A2 / Aula 31-A2</t>
  </si>
  <si>
    <t>Lab. 24-A1 / 34-A2</t>
  </si>
  <si>
    <t>Aula 51-A2 (Inf.)  / 33-A2</t>
  </si>
  <si>
    <t>Aula 44-A2 / Lab MMC</t>
  </si>
  <si>
    <t>Aula 44-A2 / Aula Inf 1B</t>
  </si>
  <si>
    <t>Lab Mecanismos / 32-A2</t>
  </si>
  <si>
    <t xml:space="preserve">Lab. Electrónica 1 / Aula 32-A2 </t>
  </si>
  <si>
    <t>Aula Inf. 2B / Lab. Tecn. Mecánica / 32-A2</t>
  </si>
  <si>
    <t>Lab. 22-A1 / 42-A1</t>
  </si>
  <si>
    <t>Lab Eléctrica 2 / 46-A2</t>
  </si>
  <si>
    <t>Lab 22-A1 / Lab. Tecn. Mecánica</t>
  </si>
  <si>
    <t>Aula 52-A2 (Inf.) / Aula 42-A2</t>
  </si>
  <si>
    <t>EXP. GRAFICA I</t>
  </si>
  <si>
    <t>ERMAT I</t>
  </si>
  <si>
    <t>EXP. GRAFICA II</t>
  </si>
  <si>
    <t>ORGANIZACION</t>
  </si>
  <si>
    <t>SIMULACION</t>
  </si>
  <si>
    <t>ENG. MATERIALS</t>
  </si>
  <si>
    <t>ESTRUCTURAS DE LAS CLASES TEÓRICAS</t>
  </si>
  <si>
    <t>ESTRUCTURAS DE LAS CLASES PRÁCTICAS</t>
  </si>
  <si>
    <t>ASIGNATURA</t>
  </si>
  <si>
    <t>AULA</t>
  </si>
  <si>
    <t>G</t>
  </si>
  <si>
    <t>REGLAS</t>
  </si>
  <si>
    <t>1. Unificación de la abreviatura de las asignaturas en teóricas y prácticas con la que aparece en Asignaturas (incluidas tildes)</t>
  </si>
  <si>
    <t>2. Nombre de las aulas y laboratorios como en base de datos</t>
  </si>
  <si>
    <t>3. Cuando se añado combinación de aulas, se añadirá en la pestaña de Aulas, teniendo estas el mismo nombre que el aula</t>
  </si>
  <si>
    <t>individual, y separándose por una barra /</t>
  </si>
  <si>
    <t>4. Si hay un desplegable, NO modificar el valor a mano seleccionar del desplegable, y sino crear o modificar en la celda</t>
  </si>
  <si>
    <t>correspondiente al desplegable</t>
  </si>
  <si>
    <t>5. Seguir la estructura de colores de las clases, para facilitar errores copiar el estilo</t>
  </si>
  <si>
    <t>PRODUCCION</t>
  </si>
  <si>
    <t>FUND. ELECTRONICA</t>
  </si>
  <si>
    <t xml:space="preserve"> FLUIDOMECANICA</t>
  </si>
  <si>
    <t>TEC. MECANICA I</t>
  </si>
  <si>
    <t xml:space="preserve">AUTOMATIZACION </t>
  </si>
  <si>
    <t>M TERMICAS</t>
  </si>
  <si>
    <t xml:space="preserve">ROBOTICA </t>
  </si>
  <si>
    <t>Lab. 24-A1/ 44-A2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</si>
</sst>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43" formatCode="_-* #,##0.00_-;\-* #,##0.00_-;_-* &quot;-&quot;??_-;_-@_-"/>
  </numFmts>
  <fonts count="98" x14ac:knownFonts="1">
    <font>
      <sz val="10"/>
      <name val="Arial"/>
    </font>
    <font>
      <sz val="11"/>
      <color theme="1"/>
      <name val="Calibri"/>
      <family val="2"/>
      <scheme val="minor"/>
    </font>
    <font>
      <sz val="18"/>
      <name val="Arial"/>
      <family val="2"/>
    </font>
    <font>
      <sz val="12"/>
      <name val="Arial"/>
      <family val="2"/>
    </font>
    <font>
      <sz val="10"/>
      <name val="Arial"/>
      <family val="2"/>
    </font>
    <font>
      <b/>
      <sz val="14"/>
      <name val="Arial"/>
      <family val="2"/>
    </font>
    <font>
      <b/>
      <sz val="12"/>
      <name val="Arial"/>
      <family val="2"/>
    </font>
    <font>
      <b/>
      <sz val="15"/>
      <color theme="3"/>
      <name val="Calibri"/>
      <family val="2"/>
      <scheme val="minor"/>
    </font>
    <font>
      <b/>
      <sz val="11"/>
      <color rgb="FF3F3F3F"/>
      <name val="Calibri"/>
      <family val="2"/>
      <scheme val="minor"/>
    </font>
    <font>
      <b/>
      <sz val="18"/>
      <name val="Arial"/>
      <family val="2"/>
    </font>
    <font>
      <sz val="11"/>
      <name val="Arial"/>
      <family val="2"/>
    </font>
    <font>
      <b/>
      <sz val="14"/>
      <color theme="9" tint="0.39997558519241921"/>
      <name val="Arial"/>
      <family val="2"/>
    </font>
    <font>
      <sz val="14"/>
      <color theme="0"/>
      <name val="Arial"/>
      <family val="2"/>
    </font>
    <font>
      <b/>
      <sz val="14"/>
      <color theme="0"/>
      <name val="Arial"/>
      <family val="2"/>
    </font>
    <font>
      <b/>
      <i/>
      <sz val="22"/>
      <color theme="0"/>
      <name val="Times New Roman"/>
      <family val="1"/>
    </font>
    <font>
      <b/>
      <sz val="16"/>
      <name val="Arial"/>
      <family val="2"/>
    </font>
    <font>
      <sz val="12"/>
      <color theme="0"/>
      <name val="Arial"/>
      <family val="2"/>
    </font>
    <font>
      <sz val="8"/>
      <name val="Arial"/>
      <family val="2"/>
    </font>
    <font>
      <sz val="10"/>
      <color rgb="FFFF0000"/>
      <name val="Arial"/>
      <family val="2"/>
    </font>
    <font>
      <b/>
      <sz val="10"/>
      <name val="Arial"/>
      <family val="2"/>
    </font>
    <font>
      <b/>
      <sz val="10"/>
      <color rgb="FF3F3F3F"/>
      <name val="Arial"/>
      <family val="2"/>
    </font>
    <font>
      <sz val="10"/>
      <color theme="3"/>
      <name val="Arial"/>
      <family val="2"/>
    </font>
    <font>
      <sz val="9"/>
      <color theme="0"/>
      <name val="Arial"/>
      <family val="2"/>
    </font>
    <font>
      <b/>
      <sz val="11"/>
      <name val="Arial"/>
      <family val="2"/>
    </font>
    <font>
      <sz val="14"/>
      <name val="Arial"/>
      <family val="2"/>
    </font>
    <font>
      <b/>
      <sz val="12"/>
      <color theme="0" tint="-0.14999847407452621"/>
      <name val="Arial"/>
      <family val="2"/>
    </font>
    <font>
      <sz val="10"/>
      <color theme="0" tint="-0.14999847407452621"/>
      <name val="Arial"/>
      <family val="2"/>
    </font>
    <font>
      <sz val="20"/>
      <color rgb="FFFF0000"/>
      <name val="Arial"/>
      <family val="2"/>
    </font>
    <font>
      <sz val="9"/>
      <name val="Arial"/>
      <family val="2"/>
    </font>
    <font>
      <sz val="11"/>
      <color theme="1"/>
      <name val="Arial"/>
      <family val="2"/>
    </font>
    <font>
      <b/>
      <sz val="12"/>
      <color theme="2"/>
      <name val="Arial"/>
      <family val="2"/>
    </font>
    <font>
      <sz val="10"/>
      <color theme="2"/>
      <name val="Arial"/>
      <family val="2"/>
    </font>
    <font>
      <b/>
      <sz val="12"/>
      <color theme="0" tint="-4.9989318521683403E-2"/>
      <name val="Arial"/>
      <family val="2"/>
    </font>
    <font>
      <sz val="11"/>
      <color theme="0" tint="-4.9989318521683403E-2"/>
      <name val="Arial"/>
      <family val="2"/>
    </font>
    <font>
      <sz val="10"/>
      <color theme="0" tint="-4.9989318521683403E-2"/>
      <name val="Arial"/>
      <family val="2"/>
    </font>
    <font>
      <sz val="22"/>
      <color rgb="FFFF0000"/>
      <name val="Arial"/>
      <family val="2"/>
    </font>
    <font>
      <sz val="12"/>
      <color theme="0" tint="-4.9989318521683403E-2"/>
      <name val="Arial"/>
      <family val="2"/>
    </font>
    <font>
      <sz val="12"/>
      <color theme="1"/>
      <name val="Arial"/>
      <family val="2"/>
    </font>
    <font>
      <sz val="12"/>
      <color rgb="FFFF0000"/>
      <name val="Arial"/>
      <family val="2"/>
    </font>
    <font>
      <sz val="11"/>
      <color theme="0"/>
      <name val="Arial"/>
      <family val="2"/>
    </font>
    <font>
      <sz val="11"/>
      <color rgb="FFFF0000"/>
      <name val="Arial"/>
      <family val="2"/>
    </font>
    <font>
      <b/>
      <sz val="12"/>
      <color rgb="FFFF0000"/>
      <name val="Arial"/>
      <family val="2"/>
    </font>
    <font>
      <b/>
      <sz val="14"/>
      <color rgb="FFFF0000"/>
      <name val="Arial"/>
      <family val="2"/>
    </font>
    <font>
      <sz val="14"/>
      <color rgb="FFFF0000"/>
      <name val="Arial"/>
      <family val="2"/>
    </font>
    <font>
      <b/>
      <sz val="14"/>
      <color theme="1"/>
      <name val="Arial"/>
      <family val="2"/>
    </font>
    <font>
      <sz val="14"/>
      <color theme="1"/>
      <name val="Arial"/>
      <family val="2"/>
    </font>
    <font>
      <b/>
      <sz val="12"/>
      <color theme="1"/>
      <name val="Arial"/>
      <family val="2"/>
    </font>
    <font>
      <sz val="10"/>
      <color theme="1"/>
      <name val="Arial"/>
      <family val="2"/>
    </font>
    <font>
      <b/>
      <sz val="10"/>
      <color rgb="FFFF0000"/>
      <name val="Arial"/>
      <family val="2"/>
    </font>
    <font>
      <b/>
      <sz val="11"/>
      <color theme="0" tint="-4.9989318521683403E-2"/>
      <name val="Arial"/>
      <family val="2"/>
    </font>
    <font>
      <b/>
      <i/>
      <sz val="24"/>
      <color theme="0"/>
      <name val="Times New Roman"/>
      <family val="1"/>
    </font>
    <font>
      <b/>
      <sz val="11"/>
      <color rgb="FFFF0000"/>
      <name val="Arial"/>
      <family val="2"/>
    </font>
    <font>
      <sz val="12"/>
      <color theme="0" tint="-0.14999847407452621"/>
      <name val="Arial"/>
      <family val="2"/>
    </font>
    <font>
      <b/>
      <sz val="14"/>
      <color theme="0" tint="-0.14999847407452621"/>
      <name val="Arial"/>
      <family val="2"/>
    </font>
    <font>
      <sz val="8"/>
      <color theme="0" tint="-0.14999847407452621"/>
      <name val="Arial"/>
      <family val="2"/>
    </font>
    <font>
      <sz val="10"/>
      <color rgb="FF000000"/>
      <name val="Open Sans"/>
      <family val="2"/>
    </font>
    <font>
      <b/>
      <sz val="14"/>
      <color theme="0" tint="-4.9989318521683403E-2"/>
      <name val="Arial"/>
      <family val="2"/>
    </font>
    <font>
      <sz val="10"/>
      <name val="Arial"/>
      <family val="2"/>
    </font>
    <font>
      <sz val="11"/>
      <color theme="2"/>
      <name val="Arial"/>
      <family val="2"/>
    </font>
    <font>
      <b/>
      <sz val="12"/>
      <color theme="0"/>
      <name val="Arial"/>
      <family val="2"/>
    </font>
    <font>
      <b/>
      <sz val="11"/>
      <color theme="0"/>
      <name val="Arial"/>
      <family val="2"/>
    </font>
    <font>
      <sz val="10"/>
      <color theme="0"/>
      <name val="Arial"/>
      <family val="2"/>
    </font>
    <font>
      <sz val="8"/>
      <color theme="0"/>
      <name val="Arial"/>
      <family val="2"/>
    </font>
    <font>
      <sz val="13"/>
      <name val="Arial"/>
      <family val="2"/>
    </font>
    <font>
      <sz val="10"/>
      <name val="Arial"/>
      <family val="2"/>
    </font>
    <font>
      <sz val="12"/>
      <color theme="2"/>
      <name val="Arial"/>
      <family val="2"/>
    </font>
    <font>
      <b/>
      <sz val="14"/>
      <color theme="2"/>
      <name val="Arial"/>
      <family val="2"/>
    </font>
    <font>
      <b/>
      <sz val="10"/>
      <color theme="0"/>
      <name val="Arial"/>
      <family val="2"/>
    </font>
    <font>
      <sz val="10"/>
      <name val="Arial"/>
      <family val="2"/>
    </font>
    <font>
      <b/>
      <sz val="16"/>
      <color rgb="FFFF0000"/>
      <name val="Arial"/>
      <family val="2"/>
    </font>
    <font>
      <sz val="10"/>
      <name val="Arial"/>
      <family val="2"/>
    </font>
    <font>
      <sz val="12"/>
      <color rgb="FF000000"/>
      <name val="Calibri"/>
      <family val="2"/>
    </font>
    <font>
      <sz val="12"/>
      <color rgb="FFFF0000"/>
      <name val="Calibri"/>
      <family val="2"/>
    </font>
    <font>
      <b/>
      <sz val="13"/>
      <name val="Arial"/>
      <family val="2"/>
    </font>
    <font>
      <sz val="11"/>
      <name val="Calibri"/>
      <family val="2"/>
    </font>
    <font>
      <u/>
      <sz val="10"/>
      <name val="Arial"/>
      <family val="2"/>
    </font>
    <font>
      <sz val="10"/>
      <color rgb="FFFF0000"/>
      <name val="Arial"/>
      <family val="2"/>
    </font>
    <font>
      <b/>
      <sz val="16"/>
      <color theme="1"/>
      <name val="Arial"/>
      <family val="2"/>
    </font>
    <font>
      <b/>
      <sz val="9"/>
      <name val="Arial"/>
      <family val="2"/>
    </font>
    <font>
      <strike/>
      <sz val="11"/>
      <name val="Arial"/>
      <family val="2"/>
    </font>
    <font>
      <b/>
      <strike/>
      <sz val="14"/>
      <name val="Arial"/>
      <family val="2"/>
    </font>
    <font>
      <strike/>
      <sz val="12"/>
      <name val="Arial"/>
      <family val="2"/>
    </font>
    <font>
      <b/>
      <strike/>
      <sz val="12"/>
      <color rgb="FFFF0000"/>
      <name val="Arial"/>
      <family val="2"/>
    </font>
    <font>
      <strike/>
      <sz val="12"/>
      <color rgb="FFFF0000"/>
      <name val="Arial"/>
      <family val="2"/>
    </font>
    <font>
      <b/>
      <strike/>
      <sz val="14"/>
      <color rgb="FFFF0000"/>
      <name val="Arial"/>
      <family val="2"/>
    </font>
    <font>
      <sz val="10"/>
      <color rgb="FFC00000"/>
      <name val="Arial"/>
      <family val="2"/>
    </font>
    <font>
      <b/>
      <sz val="15"/>
      <name val="Arial"/>
      <family val="2"/>
    </font>
    <font>
      <b/>
      <sz val="14"/>
      <color rgb="FF92D050"/>
      <name val="Arial"/>
      <family val="2"/>
    </font>
    <font>
      <b/>
      <strike/>
      <sz val="12"/>
      <name val="Arial"/>
      <family val="2"/>
    </font>
    <font>
      <b/>
      <strike/>
      <sz val="12"/>
      <color theme="1"/>
      <name val="Arial"/>
      <family val="2"/>
    </font>
    <font>
      <strike/>
      <sz val="12"/>
      <color theme="1"/>
      <name val="Arial"/>
      <family val="2"/>
    </font>
    <font>
      <b/>
      <strike/>
      <sz val="10"/>
      <name val="Arial"/>
      <family val="2"/>
    </font>
    <font>
      <strike/>
      <sz val="10"/>
      <name val="Arial"/>
      <family val="2"/>
    </font>
    <font>
      <b/>
      <strike/>
      <sz val="11"/>
      <name val="Arial"/>
      <family val="2"/>
    </font>
    <font>
      <strike/>
      <sz val="11"/>
      <color theme="1"/>
      <name val="Arial"/>
      <family val="2"/>
    </font>
    <font>
      <sz val="8"/>
      <color rgb="FFFF0000"/>
      <name val="Arial"/>
      <family val="2"/>
    </font>
    <font>
      <sz val="9"/>
      <color rgb="FFFF0000"/>
      <name val="Arial"/>
      <family val="2"/>
    </font>
    <font>
      <b/>
      <u/>
      <sz val="12"/>
      <color theme="5" tint="-0.249977111117893"/>
      <name val="Arial"/>
      <family val="2"/>
    </font>
  </fonts>
  <fills count="31">
    <fill>
      <patternFill patternType="none"/>
    </fill>
    <fill>
      <patternFill patternType="gray125"/>
    </fill>
    <fill>
      <patternFill patternType="solid">
        <fgColor rgb="FFF2F2F2"/>
      </patternFill>
    </fill>
    <fill>
      <patternFill patternType="solid">
        <fgColor theme="9" tint="0.79998168889431442"/>
        <bgColor indexed="64"/>
      </patternFill>
    </fill>
    <fill>
      <patternFill patternType="solid">
        <fgColor theme="0"/>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BAE18F"/>
        <bgColor indexed="64"/>
      </patternFill>
    </fill>
    <fill>
      <patternFill patternType="solid">
        <fgColor rgb="FFF1FA78"/>
        <bgColor indexed="64"/>
      </patternFill>
    </fill>
    <fill>
      <patternFill patternType="solid">
        <fgColor theme="8" tint="0.79998168889431442"/>
        <bgColor theme="8" tint="0.59996337778862885"/>
      </patternFill>
    </fill>
    <fill>
      <patternFill patternType="solid">
        <fgColor theme="9" tint="0.59999389629810485"/>
        <bgColor theme="9" tint="0.59996337778862885"/>
      </patternFill>
    </fill>
    <fill>
      <patternFill patternType="solid">
        <fgColor theme="0"/>
        <bgColor theme="9" tint="0.59996337778862885"/>
      </patternFill>
    </fill>
    <fill>
      <patternFill patternType="solid">
        <fgColor theme="0"/>
        <bgColor theme="8" tint="0.59996337778862885"/>
      </patternFill>
    </fill>
    <fill>
      <patternFill patternType="solid">
        <fgColor theme="9" tint="0.59999389629810485"/>
        <bgColor theme="8" tint="0.59996337778862885"/>
      </patternFill>
    </fill>
    <fill>
      <patternFill patternType="solid">
        <fgColor theme="2"/>
        <bgColor indexed="64"/>
      </patternFill>
    </fill>
    <fill>
      <patternFill patternType="solid">
        <fgColor theme="6"/>
        <bgColor indexed="64"/>
      </patternFill>
    </fill>
    <fill>
      <patternFill patternType="solid">
        <fgColor theme="8" tint="0.59999389629810485"/>
        <bgColor indexed="64"/>
      </patternFill>
    </fill>
    <fill>
      <patternFill patternType="solid">
        <fgColor theme="8" tint="0.79998168889431442"/>
        <bgColor theme="9" tint="0.59996337778862885"/>
      </patternFill>
    </fill>
    <fill>
      <patternFill patternType="solid">
        <fgColor theme="0" tint="-0.14999847407452621"/>
        <bgColor indexed="64"/>
      </patternFill>
    </fill>
  </fills>
  <borders count="9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medium">
        <color indexed="64"/>
      </bottom>
      <diagonal/>
    </border>
    <border>
      <left/>
      <right/>
      <top style="medium">
        <color indexed="64"/>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dotted">
        <color indexed="64"/>
      </right>
      <top style="medium">
        <color indexed="64"/>
      </top>
      <bottom style="thin">
        <color indexed="64"/>
      </bottom>
      <diagonal/>
    </border>
    <border>
      <left style="dotted">
        <color indexed="64"/>
      </left>
      <right style="medium">
        <color indexed="64"/>
      </right>
      <top style="medium">
        <color indexed="64"/>
      </top>
      <bottom style="thin">
        <color indexed="64"/>
      </bottom>
      <diagonal/>
    </border>
    <border>
      <left style="medium">
        <color indexed="64"/>
      </left>
      <right style="dotted">
        <color indexed="64"/>
      </right>
      <top style="thin">
        <color indexed="64"/>
      </top>
      <bottom style="thin">
        <color indexed="64"/>
      </bottom>
      <diagonal/>
    </border>
    <border>
      <left style="dotted">
        <color indexed="64"/>
      </left>
      <right style="medium">
        <color indexed="64"/>
      </right>
      <top style="thin">
        <color indexed="64"/>
      </top>
      <bottom style="thin">
        <color indexed="64"/>
      </bottom>
      <diagonal/>
    </border>
    <border>
      <left style="medium">
        <color indexed="64"/>
      </left>
      <right style="dotted">
        <color indexed="64"/>
      </right>
      <top style="thin">
        <color indexed="64"/>
      </top>
      <bottom style="medium">
        <color indexed="64"/>
      </bottom>
      <diagonal/>
    </border>
    <border>
      <left style="dotted">
        <color indexed="64"/>
      </left>
      <right style="medium">
        <color indexed="64"/>
      </right>
      <top style="thin">
        <color indexed="64"/>
      </top>
      <bottom style="medium">
        <color indexed="64"/>
      </bottom>
      <diagonal/>
    </border>
    <border>
      <left style="medium">
        <color indexed="64"/>
      </left>
      <right style="dotted">
        <color indexed="64"/>
      </right>
      <top style="medium">
        <color indexed="64"/>
      </top>
      <bottom/>
      <diagonal/>
    </border>
    <border>
      <left style="medium">
        <color indexed="64"/>
      </left>
      <right style="dotted">
        <color indexed="64"/>
      </right>
      <top/>
      <bottom style="thin">
        <color indexed="64"/>
      </bottom>
      <diagonal/>
    </border>
    <border>
      <left style="dotted">
        <color indexed="64"/>
      </left>
      <right style="medium">
        <color indexed="64"/>
      </right>
      <top style="medium">
        <color indexed="64"/>
      </top>
      <bottom/>
      <diagonal/>
    </border>
    <border>
      <left style="dotted">
        <color indexed="64"/>
      </left>
      <right style="medium">
        <color indexed="64"/>
      </right>
      <top/>
      <bottom style="thin">
        <color indexed="64"/>
      </bottom>
      <diagonal/>
    </border>
    <border>
      <left style="medium">
        <color indexed="64"/>
      </left>
      <right style="dotted">
        <color indexed="64"/>
      </right>
      <top style="thin">
        <color indexed="64"/>
      </top>
      <bottom/>
      <diagonal/>
    </border>
    <border>
      <left style="medium">
        <color indexed="64"/>
      </left>
      <right style="dotted">
        <color indexed="64"/>
      </right>
      <top/>
      <bottom style="medium">
        <color indexed="64"/>
      </bottom>
      <diagonal/>
    </border>
    <border>
      <left style="dotted">
        <color indexed="64"/>
      </left>
      <right style="medium">
        <color indexed="64"/>
      </right>
      <top style="thin">
        <color indexed="64"/>
      </top>
      <bottom/>
      <diagonal/>
    </border>
    <border>
      <left style="dotted">
        <color indexed="64"/>
      </left>
      <right style="medium">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s>
  <cellStyleXfs count="8">
    <xf numFmtId="0" fontId="0" fillId="0" borderId="0"/>
    <xf numFmtId="0" fontId="7" fillId="0" borderId="6" applyNumberFormat="0" applyFill="0" applyAlignment="0" applyProtection="0"/>
    <xf numFmtId="0" fontId="8" fillId="2" borderId="7" applyNumberFormat="0" applyAlignment="0" applyProtection="0"/>
    <xf numFmtId="0" fontId="1" fillId="0" borderId="0"/>
    <xf numFmtId="0" fontId="57" fillId="0" borderId="0"/>
    <xf numFmtId="0" fontId="4" fillId="0" borderId="0"/>
    <xf numFmtId="43" fontId="68" fillId="0" borderId="0" applyFont="0" applyFill="0" applyBorder="0" applyAlignment="0" applyProtection="0"/>
    <xf numFmtId="44" fontId="70" fillId="0" borderId="0" applyFont="0" applyFill="0" applyBorder="0" applyAlignment="0" applyProtection="0"/>
  </cellStyleXfs>
  <cellXfs count="3093">
    <xf numFmtId="0" fontId="0" fillId="0" borderId="0" xfId="0"/>
    <xf numFmtId="0" fontId="2" fillId="0" borderId="0" xfId="0" applyFont="1"/>
    <xf numFmtId="0" fontId="0" fillId="0" borderId="0" xfId="0" applyAlignment="1">
      <alignment horizontal="center" vertical="center"/>
    </xf>
    <xf numFmtId="0" fontId="0" fillId="0" borderId="1" xfId="0" applyBorder="1"/>
    <xf numFmtId="0" fontId="4" fillId="0" borderId="0" xfId="0" applyFont="1" applyAlignment="1">
      <alignment horizontal="center"/>
    </xf>
    <xf numFmtId="0" fontId="4" fillId="0" borderId="1" xfId="0" applyFont="1" applyBorder="1"/>
    <xf numFmtId="0" fontId="4" fillId="0" borderId="1" xfId="0" applyFont="1" applyBorder="1" applyAlignment="1">
      <alignment horizontal="center" vertical="center"/>
    </xf>
    <xf numFmtId="0" fontId="5" fillId="0" borderId="0" xfId="0" applyFont="1" applyAlignment="1">
      <alignment horizontal="center"/>
    </xf>
    <xf numFmtId="0" fontId="9" fillId="0" borderId="0" xfId="0" applyFont="1"/>
    <xf numFmtId="0" fontId="11" fillId="0" borderId="17" xfId="0" applyFont="1" applyBorder="1" applyAlignment="1">
      <alignment horizontal="center" vertical="center"/>
    </xf>
    <xf numFmtId="0" fontId="0" fillId="4" borderId="0" xfId="0" applyFill="1"/>
    <xf numFmtId="0" fontId="0" fillId="6" borderId="12" xfId="0" applyFill="1" applyBorder="1"/>
    <xf numFmtId="0" fontId="0" fillId="6" borderId="5" xfId="0" applyFill="1" applyBorder="1"/>
    <xf numFmtId="0" fontId="0" fillId="6" borderId="15" xfId="0" applyFill="1" applyBorder="1"/>
    <xf numFmtId="0" fontId="0" fillId="6" borderId="0" xfId="0" applyFill="1"/>
    <xf numFmtId="0" fontId="0" fillId="6" borderId="16" xfId="0" applyFill="1" applyBorder="1"/>
    <xf numFmtId="0" fontId="0" fillId="6" borderId="14" xfId="0" applyFill="1" applyBorder="1"/>
    <xf numFmtId="0" fontId="0" fillId="6" borderId="17" xfId="0" applyFill="1" applyBorder="1"/>
    <xf numFmtId="0" fontId="0" fillId="6" borderId="18" xfId="0" applyFill="1" applyBorder="1"/>
    <xf numFmtId="0" fontId="12" fillId="8" borderId="2" xfId="0" applyFont="1" applyFill="1" applyBorder="1" applyAlignment="1">
      <alignment horizontal="center" vertical="center"/>
    </xf>
    <xf numFmtId="0" fontId="4" fillId="0" borderId="0" xfId="0" applyFont="1"/>
    <xf numFmtId="0" fontId="0" fillId="0" borderId="1" xfId="0" applyBorder="1" applyAlignment="1">
      <alignment horizontal="center" vertical="center"/>
    </xf>
    <xf numFmtId="0" fontId="4" fillId="0" borderId="41" xfId="0" applyFont="1" applyBorder="1" applyAlignment="1">
      <alignment horizontal="center"/>
    </xf>
    <xf numFmtId="0" fontId="11" fillId="0" borderId="0" xfId="0" applyFont="1" applyAlignment="1">
      <alignment horizontal="center" vertical="center"/>
    </xf>
    <xf numFmtId="0" fontId="12" fillId="8" borderId="44" xfId="0" applyFont="1" applyFill="1" applyBorder="1" applyAlignment="1">
      <alignment horizontal="center" vertical="center"/>
    </xf>
    <xf numFmtId="0" fontId="17" fillId="0" borderId="0" xfId="0" applyFont="1"/>
    <xf numFmtId="0" fontId="0" fillId="0" borderId="1" xfId="0" applyBorder="1" applyAlignment="1">
      <alignment wrapText="1"/>
    </xf>
    <xf numFmtId="0" fontId="17" fillId="0" borderId="1" xfId="0" applyFont="1" applyBorder="1" applyAlignment="1">
      <alignment horizontal="left" wrapText="1"/>
    </xf>
    <xf numFmtId="0" fontId="4" fillId="0" borderId="1" xfId="0" applyFont="1" applyBorder="1" applyAlignment="1">
      <alignment wrapText="1"/>
    </xf>
    <xf numFmtId="0" fontId="4" fillId="0" borderId="1" xfId="0" quotePrefix="1" applyFont="1" applyBorder="1" applyAlignment="1">
      <alignment horizontal="center"/>
    </xf>
    <xf numFmtId="0" fontId="4" fillId="0" borderId="1" xfId="0" quotePrefix="1" applyFont="1" applyBorder="1" applyAlignment="1">
      <alignment horizontal="center" vertical="center"/>
    </xf>
    <xf numFmtId="0" fontId="0" fillId="0" borderId="5" xfId="0" applyBorder="1"/>
    <xf numFmtId="0" fontId="0" fillId="0" borderId="16" xfId="0" applyBorder="1"/>
    <xf numFmtId="0" fontId="0" fillId="0" borderId="13" xfId="0" applyBorder="1"/>
    <xf numFmtId="0" fontId="0" fillId="0" borderId="14" xfId="0" applyBorder="1"/>
    <xf numFmtId="0" fontId="0" fillId="0" borderId="17" xfId="0" applyBorder="1"/>
    <xf numFmtId="0" fontId="0" fillId="0" borderId="18" xfId="0" applyBorder="1"/>
    <xf numFmtId="0" fontId="0" fillId="0" borderId="15" xfId="0" applyBorder="1"/>
    <xf numFmtId="0" fontId="4" fillId="4" borderId="17" xfId="0" applyFont="1" applyFill="1" applyBorder="1" applyAlignment="1">
      <alignment vertical="top" wrapText="1"/>
    </xf>
    <xf numFmtId="0" fontId="4" fillId="4" borderId="18" xfId="0" applyFont="1" applyFill="1" applyBorder="1" applyAlignment="1">
      <alignment vertical="top" wrapText="1"/>
    </xf>
    <xf numFmtId="0" fontId="4" fillId="0" borderId="0" xfId="0" applyFont="1" applyAlignment="1">
      <alignment horizontal="left"/>
    </xf>
    <xf numFmtId="0" fontId="4" fillId="0" borderId="0" xfId="0" applyFont="1" applyAlignment="1">
      <alignment horizontal="left" vertical="top"/>
    </xf>
    <xf numFmtId="0" fontId="4" fillId="0" borderId="2" xfId="0" applyFont="1" applyBorder="1" applyAlignment="1">
      <alignment horizontal="center"/>
    </xf>
    <xf numFmtId="0" fontId="4" fillId="0" borderId="42" xfId="0" applyFont="1" applyBorder="1" applyAlignment="1">
      <alignment horizontal="center"/>
    </xf>
    <xf numFmtId="0" fontId="4" fillId="0" borderId="0" xfId="0" applyFont="1" applyAlignment="1">
      <alignment horizontal="left" wrapText="1"/>
    </xf>
    <xf numFmtId="0" fontId="20" fillId="2" borderId="1" xfId="2" applyFont="1" applyBorder="1" applyAlignment="1">
      <alignment horizontal="center"/>
    </xf>
    <xf numFmtId="0" fontId="20" fillId="2" borderId="1" xfId="2" applyFont="1" applyBorder="1" applyAlignment="1">
      <alignment horizontal="center" wrapText="1"/>
    </xf>
    <xf numFmtId="0" fontId="20" fillId="2" borderId="8" xfId="2" applyFont="1" applyBorder="1" applyAlignment="1">
      <alignment horizontal="center"/>
    </xf>
    <xf numFmtId="0" fontId="4" fillId="0" borderId="0" xfId="0" applyFont="1" applyAlignment="1">
      <alignment horizontal="center" wrapText="1"/>
    </xf>
    <xf numFmtId="0" fontId="20" fillId="2" borderId="41" xfId="2" applyFont="1" applyBorder="1" applyAlignment="1">
      <alignment horizontal="center"/>
    </xf>
    <xf numFmtId="0" fontId="19" fillId="0" borderId="0" xfId="0" applyFont="1" applyAlignment="1">
      <alignment horizontal="left"/>
    </xf>
    <xf numFmtId="0" fontId="21" fillId="0" borderId="0" xfId="1" applyFont="1" applyBorder="1" applyAlignment="1">
      <alignment horizontal="center"/>
    </xf>
    <xf numFmtId="0" fontId="4" fillId="14" borderId="1" xfId="0" applyFont="1" applyFill="1" applyBorder="1" applyAlignment="1">
      <alignment horizontal="center"/>
    </xf>
    <xf numFmtId="0" fontId="18" fillId="14" borderId="1" xfId="0" applyFont="1" applyFill="1" applyBorder="1" applyAlignment="1">
      <alignment horizontal="center"/>
    </xf>
    <xf numFmtId="0" fontId="4" fillId="12" borderId="1" xfId="0" applyFont="1" applyFill="1" applyBorder="1" applyAlignment="1">
      <alignment horizontal="center"/>
    </xf>
    <xf numFmtId="0" fontId="4" fillId="0" borderId="0" xfId="0" applyFont="1" applyAlignment="1">
      <alignment horizontal="left" vertical="center"/>
    </xf>
    <xf numFmtId="0" fontId="4" fillId="0" borderId="16" xfId="0" applyFont="1" applyBorder="1" applyAlignment="1">
      <alignment horizontal="center"/>
    </xf>
    <xf numFmtId="0" fontId="20" fillId="2" borderId="16" xfId="2" applyFont="1" applyBorder="1" applyAlignment="1">
      <alignment horizontal="center"/>
    </xf>
    <xf numFmtId="0" fontId="16" fillId="8" borderId="15" xfId="0" applyFont="1" applyFill="1" applyBorder="1" applyAlignment="1">
      <alignment vertical="center"/>
    </xf>
    <xf numFmtId="0" fontId="21" fillId="0" borderId="0" xfId="1" applyFont="1" applyBorder="1" applyAlignment="1">
      <alignment horizontal="left" vertical="center"/>
    </xf>
    <xf numFmtId="0" fontId="4" fillId="14" borderId="1" xfId="0" applyFont="1" applyFill="1" applyBorder="1" applyAlignment="1">
      <alignment horizontal="left" vertical="center"/>
    </xf>
    <xf numFmtId="0" fontId="18" fillId="14" borderId="1" xfId="0" applyFont="1" applyFill="1" applyBorder="1" applyAlignment="1">
      <alignment horizontal="left" vertical="center"/>
    </xf>
    <xf numFmtId="0" fontId="4" fillId="12" borderId="1" xfId="0" applyFont="1" applyFill="1" applyBorder="1" applyAlignment="1">
      <alignment horizontal="left" vertical="center"/>
    </xf>
    <xf numFmtId="0" fontId="19" fillId="0" borderId="0" xfId="0" applyFont="1" applyAlignment="1">
      <alignment horizontal="left" vertical="top"/>
    </xf>
    <xf numFmtId="0" fontId="19" fillId="0" borderId="0" xfId="0" applyFont="1" applyAlignment="1">
      <alignment horizontal="left" vertical="center"/>
    </xf>
    <xf numFmtId="0" fontId="4" fillId="14" borderId="1" xfId="0" applyFont="1" applyFill="1" applyBorder="1" applyAlignment="1">
      <alignment horizontal="left" vertical="center" wrapText="1"/>
    </xf>
    <xf numFmtId="0" fontId="4" fillId="14" borderId="1" xfId="0" applyFont="1" applyFill="1" applyBorder="1" applyAlignment="1">
      <alignment horizontal="left"/>
    </xf>
    <xf numFmtId="0" fontId="0" fillId="0" borderId="0" xfId="0" applyAlignment="1">
      <alignment horizontal="left"/>
    </xf>
    <xf numFmtId="0" fontId="0" fillId="0" borderId="12" xfId="0" applyBorder="1"/>
    <xf numFmtId="0" fontId="6" fillId="4" borderId="0" xfId="0" applyFont="1" applyFill="1" applyAlignment="1">
      <alignment vertical="center" textRotation="90" wrapText="1"/>
    </xf>
    <xf numFmtId="0" fontId="18" fillId="12" borderId="1" xfId="0" applyFont="1" applyFill="1" applyBorder="1" applyAlignment="1">
      <alignment horizontal="left" vertical="center"/>
    </xf>
    <xf numFmtId="0" fontId="18" fillId="14" borderId="1" xfId="0" applyFont="1" applyFill="1" applyBorder="1" applyAlignment="1">
      <alignment horizontal="left"/>
    </xf>
    <xf numFmtId="0" fontId="4" fillId="0" borderId="0" xfId="1" applyFont="1" applyBorder="1" applyAlignment="1">
      <alignment horizontal="left" vertical="center"/>
    </xf>
    <xf numFmtId="0" fontId="4" fillId="6" borderId="13" xfId="0" applyFont="1" applyFill="1" applyBorder="1"/>
    <xf numFmtId="0" fontId="4" fillId="4" borderId="0" xfId="0" applyFont="1" applyFill="1" applyAlignment="1">
      <alignment vertical="top" wrapText="1"/>
    </xf>
    <xf numFmtId="0" fontId="4" fillId="4" borderId="16" xfId="0" applyFont="1" applyFill="1" applyBorder="1" applyAlignment="1">
      <alignment vertical="top" wrapText="1"/>
    </xf>
    <xf numFmtId="0" fontId="0" fillId="0" borderId="0" xfId="0" applyAlignment="1">
      <alignment wrapText="1"/>
    </xf>
    <xf numFmtId="0" fontId="4" fillId="0" borderId="59" xfId="0" applyFont="1" applyBorder="1"/>
    <xf numFmtId="0" fontId="6" fillId="4" borderId="22" xfId="0" applyFont="1" applyFill="1" applyBorder="1" applyAlignment="1">
      <alignment vertical="center" textRotation="90" wrapText="1"/>
    </xf>
    <xf numFmtId="0" fontId="3" fillId="4" borderId="0" xfId="0" applyFont="1" applyFill="1" applyAlignment="1">
      <alignment vertical="center" wrapText="1"/>
    </xf>
    <xf numFmtId="0" fontId="3" fillId="4" borderId="17" xfId="0" applyFont="1" applyFill="1" applyBorder="1" applyAlignment="1">
      <alignment vertical="center" wrapText="1"/>
    </xf>
    <xf numFmtId="0" fontId="27" fillId="0" borderId="0" xfId="0" applyFont="1"/>
    <xf numFmtId="0" fontId="6" fillId="4" borderId="12" xfId="0" applyFont="1" applyFill="1" applyBorder="1" applyAlignment="1">
      <alignment vertical="center" textRotation="90" wrapText="1"/>
    </xf>
    <xf numFmtId="0" fontId="6" fillId="4" borderId="5" xfId="0" applyFont="1" applyFill="1" applyBorder="1" applyAlignment="1">
      <alignment vertical="center" textRotation="90" wrapText="1"/>
    </xf>
    <xf numFmtId="0" fontId="6" fillId="4" borderId="0" xfId="0" applyFont="1" applyFill="1" applyAlignment="1">
      <alignment wrapText="1"/>
    </xf>
    <xf numFmtId="0" fontId="6" fillId="4" borderId="16" xfId="0" applyFont="1" applyFill="1" applyBorder="1" applyAlignment="1">
      <alignment wrapText="1"/>
    </xf>
    <xf numFmtId="0" fontId="0" fillId="4" borderId="0" xfId="0" applyFill="1" applyAlignment="1">
      <alignment horizontal="center"/>
    </xf>
    <xf numFmtId="0" fontId="32" fillId="4" borderId="0" xfId="0" applyFont="1" applyFill="1" applyAlignment="1">
      <alignment vertical="center" textRotation="90" wrapText="1"/>
    </xf>
    <xf numFmtId="0" fontId="32" fillId="4" borderId="37" xfId="0" applyFont="1" applyFill="1" applyBorder="1" applyAlignment="1">
      <alignment vertical="center" textRotation="90" wrapText="1"/>
    </xf>
    <xf numFmtId="0" fontId="12" fillId="8" borderId="12" xfId="0" applyFont="1" applyFill="1" applyBorder="1" applyAlignment="1">
      <alignment horizontal="center" vertical="center"/>
    </xf>
    <xf numFmtId="0" fontId="11" fillId="0" borderId="14" xfId="0" applyFont="1" applyBorder="1" applyAlignment="1">
      <alignment horizontal="center" vertical="center"/>
    </xf>
    <xf numFmtId="0" fontId="16" fillId="8" borderId="28" xfId="0" applyFont="1" applyFill="1" applyBorder="1" applyAlignment="1">
      <alignment vertical="center"/>
    </xf>
    <xf numFmtId="0" fontId="35" fillId="0" borderId="0" xfId="0" applyFont="1"/>
    <xf numFmtId="0" fontId="3" fillId="0" borderId="0" xfId="0" applyFont="1"/>
    <xf numFmtId="0" fontId="6" fillId="14" borderId="12" xfId="0" applyFont="1" applyFill="1" applyBorder="1" applyAlignment="1">
      <alignment vertical="center" textRotation="90" wrapText="1"/>
    </xf>
    <xf numFmtId="0" fontId="6" fillId="14" borderId="22" xfId="0" applyFont="1" applyFill="1" applyBorder="1" applyAlignment="1">
      <alignment vertical="center" textRotation="90" wrapText="1"/>
    </xf>
    <xf numFmtId="0" fontId="6" fillId="4" borderId="13" xfId="0" applyFont="1" applyFill="1" applyBorder="1" applyAlignment="1">
      <alignment wrapText="1"/>
    </xf>
    <xf numFmtId="0" fontId="4" fillId="14" borderId="1" xfId="0" applyFont="1" applyFill="1" applyBorder="1" applyAlignment="1">
      <alignment horizontal="center" wrapText="1"/>
    </xf>
    <xf numFmtId="0" fontId="4" fillId="12" borderId="1" xfId="0" applyFont="1" applyFill="1" applyBorder="1" applyAlignment="1">
      <alignment horizontal="center" wrapText="1"/>
    </xf>
    <xf numFmtId="0" fontId="4" fillId="12" borderId="1" xfId="0" applyFont="1" applyFill="1" applyBorder="1" applyAlignment="1">
      <alignment horizontal="left" vertical="center" wrapText="1"/>
    </xf>
    <xf numFmtId="49" fontId="4" fillId="0" borderId="1" xfId="0" applyNumberFormat="1" applyFont="1" applyBorder="1"/>
    <xf numFmtId="0" fontId="0" fillId="0" borderId="36" xfId="0" applyBorder="1"/>
    <xf numFmtId="0" fontId="0" fillId="0" borderId="26" xfId="0" applyBorder="1"/>
    <xf numFmtId="0" fontId="0" fillId="0" borderId="33" xfId="0" applyBorder="1"/>
    <xf numFmtId="0" fontId="10" fillId="0" borderId="0" xfId="0" applyFont="1"/>
    <xf numFmtId="0" fontId="3" fillId="0" borderId="40" xfId="0" applyFont="1" applyBorder="1" applyAlignment="1">
      <alignment horizontal="center" vertical="center"/>
    </xf>
    <xf numFmtId="0" fontId="24" fillId="0" borderId="0" xfId="0" applyFont="1"/>
    <xf numFmtId="0" fontId="5" fillId="12" borderId="29" xfId="0" applyFont="1" applyFill="1" applyBorder="1" applyAlignment="1">
      <alignment vertical="center" textRotation="255" wrapText="1"/>
    </xf>
    <xf numFmtId="0" fontId="23" fillId="14" borderId="22" xfId="0" applyFont="1" applyFill="1" applyBorder="1" applyAlignment="1">
      <alignment horizontal="center" vertical="center" textRotation="90" wrapText="1"/>
    </xf>
    <xf numFmtId="0" fontId="4" fillId="12" borderId="1" xfId="0" applyFont="1" applyFill="1" applyBorder="1" applyAlignment="1">
      <alignment horizontal="left"/>
    </xf>
    <xf numFmtId="0" fontId="3" fillId="0" borderId="0" xfId="0" applyFont="1" applyAlignment="1">
      <alignment horizontal="center" vertical="center"/>
    </xf>
    <xf numFmtId="0" fontId="3" fillId="0" borderId="0" xfId="0" applyFont="1" applyAlignment="1">
      <alignment horizontal="center" vertical="center" wrapText="1"/>
    </xf>
    <xf numFmtId="0" fontId="4" fillId="0" borderId="0" xfId="0" applyFont="1" applyAlignment="1">
      <alignment horizontal="center" vertical="top" wrapText="1"/>
    </xf>
    <xf numFmtId="0" fontId="30" fillId="4" borderId="23" xfId="0" applyFont="1" applyFill="1" applyBorder="1" applyAlignment="1">
      <alignment vertical="center" textRotation="90" wrapText="1"/>
    </xf>
    <xf numFmtId="0" fontId="4" fillId="11" borderId="69" xfId="0" applyFont="1" applyFill="1" applyBorder="1" applyAlignment="1">
      <alignment horizontal="center" vertical="center"/>
    </xf>
    <xf numFmtId="0" fontId="4" fillId="11" borderId="70" xfId="0" applyFont="1" applyFill="1" applyBorder="1" applyAlignment="1">
      <alignment horizontal="center" vertical="center"/>
    </xf>
    <xf numFmtId="0" fontId="4" fillId="18" borderId="71" xfId="0" applyFont="1" applyFill="1" applyBorder="1" applyAlignment="1">
      <alignment horizontal="center" vertical="center"/>
    </xf>
    <xf numFmtId="0" fontId="4" fillId="18" borderId="72" xfId="0" applyFont="1" applyFill="1" applyBorder="1" applyAlignment="1">
      <alignment horizontal="center" vertical="center"/>
    </xf>
    <xf numFmtId="0" fontId="4" fillId="12" borderId="71" xfId="0" applyFont="1" applyFill="1" applyBorder="1" applyAlignment="1">
      <alignment horizontal="center"/>
    </xf>
    <xf numFmtId="0" fontId="4" fillId="12" borderId="72" xfId="0" applyFont="1" applyFill="1" applyBorder="1" applyAlignment="1">
      <alignment horizontal="center" vertical="center"/>
    </xf>
    <xf numFmtId="0" fontId="4" fillId="17" borderId="73" xfId="0" applyFont="1" applyFill="1" applyBorder="1" applyAlignment="1">
      <alignment horizontal="center"/>
    </xf>
    <xf numFmtId="0" fontId="4" fillId="17" borderId="74" xfId="0" applyFont="1" applyFill="1" applyBorder="1" applyAlignment="1">
      <alignment horizontal="center" vertical="center"/>
    </xf>
    <xf numFmtId="0" fontId="19" fillId="0" borderId="0" xfId="0" applyFont="1"/>
    <xf numFmtId="0" fontId="30" fillId="4" borderId="0" xfId="0" applyFont="1" applyFill="1" applyAlignment="1">
      <alignment vertical="center" textRotation="90" wrapText="1"/>
    </xf>
    <xf numFmtId="0" fontId="6" fillId="7" borderId="0" xfId="0" applyFont="1" applyFill="1" applyAlignment="1">
      <alignment vertical="center" textRotation="90" wrapText="1"/>
    </xf>
    <xf numFmtId="0" fontId="6" fillId="4" borderId="38" xfId="0" applyFont="1" applyFill="1" applyBorder="1" applyAlignment="1">
      <alignment vertical="center" textRotation="90" wrapText="1"/>
    </xf>
    <xf numFmtId="0" fontId="4" fillId="19" borderId="1" xfId="0" applyFont="1" applyFill="1" applyBorder="1" applyAlignment="1">
      <alignment horizontal="center"/>
    </xf>
    <xf numFmtId="0" fontId="0" fillId="0" borderId="17" xfId="0" applyBorder="1" applyAlignment="1">
      <alignment horizontal="center" vertical="center"/>
    </xf>
    <xf numFmtId="0" fontId="0" fillId="0" borderId="16" xfId="0" applyBorder="1" applyAlignment="1">
      <alignment horizontal="center" vertical="center"/>
    </xf>
    <xf numFmtId="0" fontId="6" fillId="20" borderId="22" xfId="0" applyFont="1" applyFill="1" applyBorder="1" applyAlignment="1">
      <alignment vertical="center" textRotation="90" wrapText="1"/>
    </xf>
    <xf numFmtId="0" fontId="5" fillId="18" borderId="18" xfId="0" applyFont="1" applyFill="1" applyBorder="1" applyAlignment="1">
      <alignment horizontal="center" vertical="center" textRotation="255" wrapText="1"/>
    </xf>
    <xf numFmtId="0" fontId="32" fillId="4" borderId="12" xfId="0" applyFont="1" applyFill="1" applyBorder="1" applyAlignment="1">
      <alignment horizontal="center" vertical="center" textRotation="90" wrapText="1"/>
    </xf>
    <xf numFmtId="0" fontId="32" fillId="4" borderId="22" xfId="0" applyFont="1" applyFill="1" applyBorder="1" applyAlignment="1">
      <alignment horizontal="center" vertical="center" textRotation="90" wrapText="1"/>
    </xf>
    <xf numFmtId="0" fontId="32" fillId="4" borderId="5" xfId="0" applyFont="1" applyFill="1" applyBorder="1" applyAlignment="1">
      <alignment horizontal="center" vertical="center" textRotation="90" wrapText="1"/>
    </xf>
    <xf numFmtId="0" fontId="36" fillId="4" borderId="5" xfId="0" applyFont="1" applyFill="1" applyBorder="1" applyAlignment="1">
      <alignment horizontal="center" vertical="center" textRotation="90" wrapText="1"/>
    </xf>
    <xf numFmtId="0" fontId="36" fillId="4" borderId="0" xfId="0" applyFont="1" applyFill="1" applyAlignment="1">
      <alignment horizontal="center" vertical="center" textRotation="90" wrapText="1"/>
    </xf>
    <xf numFmtId="0" fontId="36" fillId="4" borderId="17" xfId="0" applyFont="1" applyFill="1" applyBorder="1" applyAlignment="1">
      <alignment horizontal="center" vertical="center" textRotation="90" wrapText="1"/>
    </xf>
    <xf numFmtId="0" fontId="41" fillId="4" borderId="23" xfId="0" applyFont="1" applyFill="1" applyBorder="1" applyAlignment="1">
      <alignment vertical="center" textRotation="90" wrapText="1"/>
    </xf>
    <xf numFmtId="0" fontId="41" fillId="4" borderId="13" xfId="0" applyFont="1" applyFill="1" applyBorder="1" applyAlignment="1">
      <alignment vertical="center" textRotation="90" wrapText="1"/>
    </xf>
    <xf numFmtId="0" fontId="41" fillId="4" borderId="0" xfId="0" applyFont="1" applyFill="1" applyAlignment="1">
      <alignment vertical="center" textRotation="90" wrapText="1"/>
    </xf>
    <xf numFmtId="0" fontId="4" fillId="0" borderId="1" xfId="0" applyFont="1" applyBorder="1" applyAlignment="1">
      <alignment horizontal="center"/>
    </xf>
    <xf numFmtId="0" fontId="5" fillId="14" borderId="12" xfId="0" applyFont="1" applyFill="1" applyBorder="1" applyAlignment="1">
      <alignment horizontal="center" vertical="center" textRotation="90" wrapText="1"/>
    </xf>
    <xf numFmtId="0" fontId="5" fillId="14" borderId="22" xfId="0" applyFont="1" applyFill="1" applyBorder="1" applyAlignment="1">
      <alignment horizontal="center" vertical="center" textRotation="90" wrapText="1"/>
    </xf>
    <xf numFmtId="0" fontId="5" fillId="14" borderId="5" xfId="0" applyFont="1" applyFill="1" applyBorder="1" applyAlignment="1">
      <alignment horizontal="center" vertical="center" textRotation="90" wrapText="1"/>
    </xf>
    <xf numFmtId="0" fontId="5" fillId="14" borderId="38" xfId="0" applyFont="1" applyFill="1" applyBorder="1" applyAlignment="1">
      <alignment horizontal="center" vertical="center" textRotation="90" wrapText="1"/>
    </xf>
    <xf numFmtId="0" fontId="5" fillId="14" borderId="37" xfId="0" applyFont="1" applyFill="1" applyBorder="1" applyAlignment="1">
      <alignment horizontal="center" vertical="center" textRotation="90" wrapText="1"/>
    </xf>
    <xf numFmtId="0" fontId="5" fillId="4" borderId="38" xfId="0" applyFont="1" applyFill="1" applyBorder="1" applyAlignment="1">
      <alignment horizontal="center" vertical="center" textRotation="90" wrapText="1"/>
    </xf>
    <xf numFmtId="0" fontId="5" fillId="4" borderId="37" xfId="0" applyFont="1" applyFill="1" applyBorder="1" applyAlignment="1">
      <alignment horizontal="center" vertical="center" textRotation="90" wrapText="1"/>
    </xf>
    <xf numFmtId="0" fontId="5" fillId="14" borderId="50" xfId="0" applyFont="1" applyFill="1" applyBorder="1" applyAlignment="1">
      <alignment horizontal="center" vertical="center" textRotation="90" wrapText="1"/>
    </xf>
    <xf numFmtId="0" fontId="24" fillId="4" borderId="37" xfId="0" applyFont="1" applyFill="1" applyBorder="1" applyAlignment="1">
      <alignment horizontal="center" vertical="center" textRotation="90" wrapText="1"/>
    </xf>
    <xf numFmtId="0" fontId="24" fillId="0" borderId="37" xfId="0" applyFont="1" applyBorder="1" applyAlignment="1">
      <alignment horizontal="center" vertical="center"/>
    </xf>
    <xf numFmtId="0" fontId="24" fillId="0" borderId="39" xfId="0" applyFont="1" applyBorder="1" applyAlignment="1">
      <alignment horizontal="center" vertical="center"/>
    </xf>
    <xf numFmtId="0" fontId="24" fillId="0" borderId="38" xfId="0" applyFont="1" applyBorder="1" applyAlignment="1">
      <alignment horizontal="center" vertical="center"/>
    </xf>
    <xf numFmtId="0" fontId="24" fillId="0" borderId="48" xfId="0" applyFont="1" applyBorder="1" applyAlignment="1">
      <alignment horizontal="center" vertical="center"/>
    </xf>
    <xf numFmtId="0" fontId="24" fillId="0" borderId="17" xfId="0" applyFont="1" applyBorder="1" applyAlignment="1">
      <alignment horizontal="center" vertical="center"/>
    </xf>
    <xf numFmtId="0" fontId="24" fillId="4" borderId="24" xfId="0" applyFont="1" applyFill="1" applyBorder="1" applyAlignment="1">
      <alignment horizontal="center" vertical="center" textRotation="90" wrapText="1"/>
    </xf>
    <xf numFmtId="0" fontId="24" fillId="0" borderId="24" xfId="0" applyFont="1" applyBorder="1" applyAlignment="1">
      <alignment horizontal="center" vertical="center"/>
    </xf>
    <xf numFmtId="0" fontId="24" fillId="0" borderId="21" xfId="0" applyFont="1" applyBorder="1" applyAlignment="1">
      <alignment horizontal="center" vertical="center"/>
    </xf>
    <xf numFmtId="0" fontId="24" fillId="0" borderId="18" xfId="0" applyFont="1" applyBorder="1" applyAlignment="1">
      <alignment horizontal="center" vertical="center"/>
    </xf>
    <xf numFmtId="0" fontId="41" fillId="4" borderId="38" xfId="0" applyFont="1" applyFill="1" applyBorder="1" applyAlignment="1">
      <alignment vertical="center" textRotation="90" wrapText="1"/>
    </xf>
    <xf numFmtId="0" fontId="19" fillId="14" borderId="23" xfId="0" applyFont="1" applyFill="1" applyBorder="1" applyAlignment="1">
      <alignment horizontal="center" vertical="center" textRotation="90" wrapText="1"/>
    </xf>
    <xf numFmtId="0" fontId="19" fillId="14" borderId="13" xfId="0" applyFont="1" applyFill="1" applyBorder="1" applyAlignment="1">
      <alignment horizontal="center" vertical="center" textRotation="90" wrapText="1"/>
    </xf>
    <xf numFmtId="0" fontId="6" fillId="14" borderId="50" xfId="0" applyFont="1" applyFill="1" applyBorder="1" applyAlignment="1">
      <alignment vertical="center" textRotation="90" wrapText="1"/>
    </xf>
    <xf numFmtId="0" fontId="6" fillId="14" borderId="37" xfId="0" applyFont="1" applyFill="1" applyBorder="1" applyAlignment="1">
      <alignment vertical="center" textRotation="90" wrapText="1"/>
    </xf>
    <xf numFmtId="0" fontId="23" fillId="14" borderId="13" xfId="0" applyFont="1" applyFill="1" applyBorder="1" applyAlignment="1">
      <alignment vertical="center" textRotation="90" wrapText="1"/>
    </xf>
    <xf numFmtId="0" fontId="23" fillId="14" borderId="23" xfId="0" applyFont="1" applyFill="1" applyBorder="1" applyAlignment="1">
      <alignment vertical="center" textRotation="90" wrapText="1"/>
    </xf>
    <xf numFmtId="0" fontId="23" fillId="14" borderId="0" xfId="0" applyFont="1" applyFill="1" applyAlignment="1">
      <alignment vertical="center" textRotation="90" wrapText="1"/>
    </xf>
    <xf numFmtId="0" fontId="12" fillId="8" borderId="1" xfId="0" applyFont="1" applyFill="1" applyBorder="1" applyAlignment="1">
      <alignment horizontal="center" vertical="center"/>
    </xf>
    <xf numFmtId="0" fontId="16" fillId="8" borderId="52" xfId="0" applyFont="1" applyFill="1" applyBorder="1" applyAlignment="1">
      <alignment vertical="center"/>
    </xf>
    <xf numFmtId="0" fontId="41" fillId="4" borderId="23" xfId="0" applyFont="1" applyFill="1" applyBorder="1" applyAlignment="1">
      <alignment horizontal="center" vertical="center" textRotation="90" wrapText="1"/>
    </xf>
    <xf numFmtId="0" fontId="5" fillId="4" borderId="23" xfId="0" applyFont="1" applyFill="1" applyBorder="1" applyAlignment="1">
      <alignment horizontal="center" vertical="center" textRotation="90" wrapText="1"/>
    </xf>
    <xf numFmtId="0" fontId="42" fillId="4" borderId="13" xfId="0" applyFont="1" applyFill="1" applyBorder="1" applyAlignment="1">
      <alignment horizontal="center" vertical="center" textRotation="90" wrapText="1"/>
    </xf>
    <xf numFmtId="0" fontId="42" fillId="4" borderId="23" xfId="0" applyFont="1" applyFill="1" applyBorder="1" applyAlignment="1">
      <alignment horizontal="center" vertical="center" textRotation="90" wrapText="1"/>
    </xf>
    <xf numFmtId="0" fontId="6" fillId="4" borderId="0" xfId="0" applyFont="1" applyFill="1" applyAlignment="1">
      <alignment horizontal="center" vertical="center" textRotation="90" wrapText="1"/>
    </xf>
    <xf numFmtId="0" fontId="5" fillId="4" borderId="50" xfId="0" applyFont="1" applyFill="1" applyBorder="1" applyAlignment="1">
      <alignment horizontal="center" vertical="center" textRotation="90" wrapText="1"/>
    </xf>
    <xf numFmtId="0" fontId="6" fillId="4" borderId="0" xfId="0" applyFont="1" applyFill="1" applyAlignment="1">
      <alignment horizontal="left" vertical="center" textRotation="90" wrapText="1"/>
    </xf>
    <xf numFmtId="0" fontId="10" fillId="4" borderId="0" xfId="0" applyFont="1" applyFill="1" applyAlignment="1">
      <alignment horizontal="left" vertical="center" textRotation="90" wrapText="1"/>
    </xf>
    <xf numFmtId="0" fontId="36" fillId="4" borderId="19" xfId="0" applyFont="1" applyFill="1" applyBorder="1" applyAlignment="1">
      <alignment horizontal="center" vertical="center" textRotation="90" wrapText="1"/>
    </xf>
    <xf numFmtId="0" fontId="36" fillId="4" borderId="20" xfId="0" applyFont="1" applyFill="1" applyBorder="1" applyAlignment="1">
      <alignment horizontal="center" vertical="center" textRotation="90" wrapText="1"/>
    </xf>
    <xf numFmtId="0" fontId="36" fillId="4" borderId="21" xfId="0" applyFont="1" applyFill="1" applyBorder="1" applyAlignment="1">
      <alignment horizontal="center" vertical="center" textRotation="90" wrapText="1"/>
    </xf>
    <xf numFmtId="0" fontId="32" fillId="4" borderId="13" xfId="0" applyFont="1" applyFill="1" applyBorder="1" applyAlignment="1">
      <alignment horizontal="center" vertical="center" textRotation="90" wrapText="1"/>
    </xf>
    <xf numFmtId="0" fontId="32" fillId="4" borderId="14" xfId="0" applyFont="1" applyFill="1" applyBorder="1" applyAlignment="1">
      <alignment horizontal="center" vertical="center" textRotation="90" wrapText="1"/>
    </xf>
    <xf numFmtId="0" fontId="32" fillId="4" borderId="23" xfId="0" applyFont="1" applyFill="1" applyBorder="1" applyAlignment="1">
      <alignment horizontal="center" vertical="center" textRotation="90" wrapText="1"/>
    </xf>
    <xf numFmtId="0" fontId="32" fillId="4" borderId="24" xfId="0" applyFont="1" applyFill="1" applyBorder="1" applyAlignment="1">
      <alignment horizontal="center" vertical="center" textRotation="90" wrapText="1"/>
    </xf>
    <xf numFmtId="0" fontId="10" fillId="0" borderId="83" xfId="0" applyFont="1" applyBorder="1" applyAlignment="1">
      <alignment horizontal="left" vertical="center"/>
    </xf>
    <xf numFmtId="0" fontId="10" fillId="0" borderId="57" xfId="0" applyFont="1" applyBorder="1" applyAlignment="1">
      <alignment horizontal="left" vertical="center"/>
    </xf>
    <xf numFmtId="0" fontId="39" fillId="8" borderId="5" xfId="0" applyFont="1" applyFill="1" applyBorder="1" applyAlignment="1">
      <alignment horizontal="center" vertical="center"/>
    </xf>
    <xf numFmtId="0" fontId="6" fillId="4" borderId="50" xfId="0" applyFont="1" applyFill="1" applyBorder="1" applyAlignment="1">
      <alignment horizontal="center" vertical="center" textRotation="90" wrapText="1"/>
    </xf>
    <xf numFmtId="0" fontId="0" fillId="0" borderId="13" xfId="0" applyBorder="1" applyAlignment="1">
      <alignment horizontal="center" vertical="center"/>
    </xf>
    <xf numFmtId="0" fontId="0" fillId="0" borderId="18" xfId="0" applyBorder="1" applyAlignment="1">
      <alignment horizontal="center" vertical="center"/>
    </xf>
    <xf numFmtId="0" fontId="6" fillId="4" borderId="23" xfId="0" applyFont="1" applyFill="1" applyBorder="1" applyAlignment="1">
      <alignment horizontal="center" vertical="center" textRotation="90" wrapText="1"/>
    </xf>
    <xf numFmtId="0" fontId="6" fillId="4" borderId="13" xfId="0" applyFont="1" applyFill="1" applyBorder="1" applyAlignment="1">
      <alignment horizontal="center" vertical="center" textRotation="90" wrapText="1"/>
    </xf>
    <xf numFmtId="0" fontId="0" fillId="0" borderId="5" xfId="0" applyBorder="1" applyAlignment="1">
      <alignment horizontal="center" vertical="center"/>
    </xf>
    <xf numFmtId="0" fontId="0" fillId="0" borderId="15" xfId="0" applyBorder="1" applyAlignment="1">
      <alignment horizontal="center" vertical="center"/>
    </xf>
    <xf numFmtId="0" fontId="0" fillId="0" borderId="14" xfId="0" applyBorder="1" applyAlignment="1">
      <alignment horizontal="center" vertical="center"/>
    </xf>
    <xf numFmtId="0" fontId="5" fillId="18" borderId="16" xfId="0" applyFont="1" applyFill="1" applyBorder="1" applyAlignment="1">
      <alignment horizontal="center" vertical="center" textRotation="255" wrapText="1"/>
    </xf>
    <xf numFmtId="0" fontId="6" fillId="4" borderId="37" xfId="0" applyFont="1" applyFill="1" applyBorder="1" applyAlignment="1">
      <alignment vertical="center" textRotation="90" wrapText="1"/>
    </xf>
    <xf numFmtId="0" fontId="0" fillId="0" borderId="50" xfId="0" applyBorder="1"/>
    <xf numFmtId="0" fontId="0" fillId="0" borderId="38" xfId="0" applyBorder="1"/>
    <xf numFmtId="0" fontId="0" fillId="0" borderId="37" xfId="0" applyBorder="1"/>
    <xf numFmtId="0" fontId="0" fillId="0" borderId="39" xfId="0" applyBorder="1"/>
    <xf numFmtId="0" fontId="0" fillId="0" borderId="25" xfId="0" applyBorder="1"/>
    <xf numFmtId="0" fontId="0" fillId="0" borderId="40" xfId="0" applyBorder="1"/>
    <xf numFmtId="0" fontId="41" fillId="4" borderId="0" xfId="0" applyFont="1" applyFill="1" applyAlignment="1">
      <alignment horizontal="center" vertical="center" textRotation="90" wrapText="1"/>
    </xf>
    <xf numFmtId="0" fontId="6" fillId="4" borderId="5" xfId="0" applyFont="1" applyFill="1" applyBorder="1" applyAlignment="1">
      <alignment horizontal="center" vertical="center" textRotation="90" wrapText="1"/>
    </xf>
    <xf numFmtId="0" fontId="4" fillId="0" borderId="16" xfId="0" applyFont="1" applyBorder="1"/>
    <xf numFmtId="0" fontId="23" fillId="14" borderId="37" xfId="0" applyFont="1" applyFill="1" applyBorder="1" applyAlignment="1">
      <alignment vertical="center" textRotation="90" wrapText="1"/>
    </xf>
    <xf numFmtId="0" fontId="23" fillId="14" borderId="50" xfId="0" applyFont="1" applyFill="1" applyBorder="1" applyAlignment="1">
      <alignment vertical="center" textRotation="90" wrapText="1"/>
    </xf>
    <xf numFmtId="0" fontId="38" fillId="4" borderId="0" xfId="0" applyFont="1" applyFill="1" applyAlignment="1">
      <alignment horizontal="left" vertical="center" textRotation="90" wrapText="1"/>
    </xf>
    <xf numFmtId="0" fontId="38" fillId="4" borderId="26" xfId="0" applyFont="1" applyFill="1" applyBorder="1" applyAlignment="1">
      <alignment horizontal="left" vertical="center" textRotation="90" wrapText="1"/>
    </xf>
    <xf numFmtId="0" fontId="46" fillId="4" borderId="13" xfId="0" applyFont="1" applyFill="1" applyBorder="1" applyAlignment="1">
      <alignment horizontal="center" wrapText="1"/>
    </xf>
    <xf numFmtId="0" fontId="46" fillId="4" borderId="0" xfId="0" applyFont="1" applyFill="1" applyAlignment="1">
      <alignment horizontal="center" wrapText="1"/>
    </xf>
    <xf numFmtId="0" fontId="46" fillId="4" borderId="16" xfId="0" applyFont="1" applyFill="1" applyBorder="1" applyAlignment="1">
      <alignment horizontal="center" wrapText="1"/>
    </xf>
    <xf numFmtId="0" fontId="46" fillId="4" borderId="14" xfId="0" applyFont="1" applyFill="1" applyBorder="1" applyAlignment="1">
      <alignment horizontal="center" wrapText="1"/>
    </xf>
    <xf numFmtId="0" fontId="46" fillId="4" borderId="17" xfId="0" applyFont="1" applyFill="1" applyBorder="1" applyAlignment="1">
      <alignment horizontal="center" wrapText="1"/>
    </xf>
    <xf numFmtId="0" fontId="46" fillId="4" borderId="18" xfId="0" applyFont="1" applyFill="1" applyBorder="1" applyAlignment="1">
      <alignment horizontal="center" wrapText="1"/>
    </xf>
    <xf numFmtId="0" fontId="23" fillId="4" borderId="22" xfId="0" applyFont="1" applyFill="1" applyBorder="1" applyAlignment="1">
      <alignment horizontal="center" vertical="center" textRotation="90" wrapText="1"/>
    </xf>
    <xf numFmtId="0" fontId="5" fillId="4" borderId="22" xfId="0" applyFont="1" applyFill="1" applyBorder="1" applyAlignment="1">
      <alignment horizontal="center" vertical="center" textRotation="90" wrapText="1"/>
    </xf>
    <xf numFmtId="0" fontId="6" fillId="20" borderId="23" xfId="0" applyFont="1" applyFill="1" applyBorder="1" applyAlignment="1">
      <alignment vertical="center" textRotation="90" wrapText="1"/>
    </xf>
    <xf numFmtId="0" fontId="3" fillId="4" borderId="23" xfId="0" applyFont="1" applyFill="1" applyBorder="1" applyAlignment="1">
      <alignment horizontal="left" vertical="center" textRotation="90" wrapText="1"/>
    </xf>
    <xf numFmtId="0" fontId="3" fillId="4" borderId="24" xfId="0" applyFont="1" applyFill="1" applyBorder="1" applyAlignment="1">
      <alignment horizontal="left" vertical="center" textRotation="90" wrapText="1"/>
    </xf>
    <xf numFmtId="0" fontId="5" fillId="4" borderId="50" xfId="0" applyFont="1" applyFill="1" applyBorder="1" applyAlignment="1">
      <alignment horizontal="center" wrapText="1"/>
    </xf>
    <xf numFmtId="0" fontId="5" fillId="4" borderId="38" xfId="0" applyFont="1" applyFill="1" applyBorder="1" applyAlignment="1">
      <alignment horizontal="center" wrapText="1"/>
    </xf>
    <xf numFmtId="0" fontId="5" fillId="4" borderId="48" xfId="0" applyFont="1" applyFill="1" applyBorder="1" applyAlignment="1">
      <alignment horizontal="center" wrapText="1"/>
    </xf>
    <xf numFmtId="0" fontId="6" fillId="4" borderId="17" xfId="0" applyFont="1" applyFill="1" applyBorder="1" applyAlignment="1">
      <alignment vertical="center" textRotation="90" wrapText="1"/>
    </xf>
    <xf numFmtId="0" fontId="0" fillId="0" borderId="21" xfId="0" applyBorder="1"/>
    <xf numFmtId="0" fontId="4" fillId="12" borderId="63" xfId="0" applyFont="1" applyFill="1" applyBorder="1" applyAlignment="1">
      <alignment horizontal="center"/>
    </xf>
    <xf numFmtId="0" fontId="4" fillId="12" borderId="63" xfId="0" applyFont="1" applyFill="1" applyBorder="1" applyAlignment="1">
      <alignment horizontal="left" vertical="center"/>
    </xf>
    <xf numFmtId="0" fontId="6" fillId="14" borderId="22" xfId="0" applyFont="1" applyFill="1" applyBorder="1" applyAlignment="1">
      <alignment horizontal="center" vertical="center" textRotation="90" wrapText="1"/>
    </xf>
    <xf numFmtId="0" fontId="41" fillId="4" borderId="50" xfId="0" applyFont="1" applyFill="1" applyBorder="1" applyAlignment="1">
      <alignment vertical="center" textRotation="90" wrapText="1"/>
    </xf>
    <xf numFmtId="0" fontId="19" fillId="14" borderId="50" xfId="0" applyFont="1" applyFill="1" applyBorder="1" applyAlignment="1">
      <alignment horizontal="center" vertical="center" textRotation="90" wrapText="1"/>
    </xf>
    <xf numFmtId="0" fontId="0" fillId="0" borderId="4" xfId="0" applyBorder="1"/>
    <xf numFmtId="0" fontId="5" fillId="14" borderId="23" xfId="0" applyFont="1" applyFill="1" applyBorder="1" applyAlignment="1">
      <alignment horizontal="center" vertical="center" textRotation="90" wrapText="1"/>
    </xf>
    <xf numFmtId="0" fontId="5" fillId="4" borderId="23" xfId="0" applyFont="1" applyFill="1" applyBorder="1" applyAlignment="1">
      <alignment vertical="center" textRotation="90" wrapText="1"/>
    </xf>
    <xf numFmtId="0" fontId="5" fillId="4" borderId="24" xfId="0" applyFont="1" applyFill="1" applyBorder="1" applyAlignment="1">
      <alignment vertical="center" textRotation="90" wrapText="1"/>
    </xf>
    <xf numFmtId="0" fontId="6" fillId="4" borderId="22" xfId="0" applyFont="1" applyFill="1" applyBorder="1" applyAlignment="1">
      <alignment horizontal="center" vertical="center" textRotation="90" wrapText="1"/>
    </xf>
    <xf numFmtId="0" fontId="43" fillId="4" borderId="20" xfId="0" applyFont="1" applyFill="1" applyBorder="1" applyAlignment="1">
      <alignment vertical="center" textRotation="90" wrapText="1"/>
    </xf>
    <xf numFmtId="0" fontId="37" fillId="4" borderId="15" xfId="0" applyFont="1" applyFill="1" applyBorder="1" applyAlignment="1">
      <alignment vertical="center" textRotation="90" wrapText="1"/>
    </xf>
    <xf numFmtId="0" fontId="37" fillId="4" borderId="16" xfId="0" applyFont="1" applyFill="1" applyBorder="1" applyAlignment="1">
      <alignment vertical="center" textRotation="90" wrapText="1"/>
    </xf>
    <xf numFmtId="0" fontId="37" fillId="4" borderId="33" xfId="0" applyFont="1" applyFill="1" applyBorder="1" applyAlignment="1">
      <alignment vertical="center" textRotation="90" wrapText="1"/>
    </xf>
    <xf numFmtId="0" fontId="44" fillId="4" borderId="23" xfId="0" applyFont="1" applyFill="1" applyBorder="1" applyAlignment="1">
      <alignment vertical="center" textRotation="90" wrapText="1"/>
    </xf>
    <xf numFmtId="0" fontId="44" fillId="4" borderId="24" xfId="0" applyFont="1" applyFill="1" applyBorder="1" applyAlignment="1">
      <alignment vertical="center" textRotation="90" wrapText="1"/>
    </xf>
    <xf numFmtId="0" fontId="37" fillId="4" borderId="18" xfId="0" applyFont="1" applyFill="1" applyBorder="1" applyAlignment="1">
      <alignment vertical="center" textRotation="90" wrapText="1"/>
    </xf>
    <xf numFmtId="0" fontId="41" fillId="4" borderId="22" xfId="0" applyFont="1" applyFill="1" applyBorder="1" applyAlignment="1">
      <alignment horizontal="center" vertical="center" textRotation="90" wrapText="1"/>
    </xf>
    <xf numFmtId="0" fontId="42" fillId="4" borderId="22" xfId="0" applyFont="1" applyFill="1" applyBorder="1" applyAlignment="1">
      <alignment horizontal="center" vertical="center" textRotation="90" wrapText="1"/>
    </xf>
    <xf numFmtId="0" fontId="0" fillId="0" borderId="20" xfId="0" applyBorder="1"/>
    <xf numFmtId="0" fontId="42" fillId="4" borderId="0" xfId="0" applyFont="1" applyFill="1" applyAlignment="1">
      <alignment vertical="center" textRotation="90" wrapText="1"/>
    </xf>
    <xf numFmtId="0" fontId="46" fillId="4" borderId="23" xfId="0" applyFont="1" applyFill="1" applyBorder="1" applyAlignment="1">
      <alignment vertical="center" textRotation="90" wrapText="1"/>
    </xf>
    <xf numFmtId="0" fontId="46" fillId="4" borderId="25" xfId="0" applyFont="1" applyFill="1" applyBorder="1" applyAlignment="1">
      <alignment vertical="center" textRotation="90" wrapText="1"/>
    </xf>
    <xf numFmtId="0" fontId="46" fillId="4" borderId="22" xfId="0" applyFont="1" applyFill="1" applyBorder="1" applyAlignment="1">
      <alignment horizontal="center" vertical="center" textRotation="90" wrapText="1"/>
    </xf>
    <xf numFmtId="0" fontId="4" fillId="12" borderId="1" xfId="0" applyFont="1" applyFill="1" applyBorder="1" applyAlignment="1">
      <alignment vertical="center"/>
    </xf>
    <xf numFmtId="0" fontId="4" fillId="4" borderId="0" xfId="0" applyFont="1" applyFill="1" applyAlignment="1">
      <alignment horizontal="center"/>
    </xf>
    <xf numFmtId="0" fontId="4" fillId="4" borderId="0" xfId="0" applyFont="1" applyFill="1" applyAlignment="1">
      <alignment horizontal="center" wrapText="1"/>
    </xf>
    <xf numFmtId="0" fontId="4" fillId="4" borderId="0" xfId="0" applyFont="1" applyFill="1" applyAlignment="1">
      <alignment horizontal="left"/>
    </xf>
    <xf numFmtId="0" fontId="4" fillId="4" borderId="1" xfId="0" applyFont="1" applyFill="1" applyBorder="1" applyAlignment="1">
      <alignment horizontal="left" vertical="center"/>
    </xf>
    <xf numFmtId="0" fontId="4" fillId="4" borderId="0" xfId="0" applyFont="1" applyFill="1"/>
    <xf numFmtId="0" fontId="4" fillId="4" borderId="87" xfId="0" applyFont="1" applyFill="1" applyBorder="1" applyAlignment="1">
      <alignment horizontal="left" vertical="center"/>
    </xf>
    <xf numFmtId="0" fontId="19" fillId="0" borderId="1" xfId="0" applyFont="1" applyBorder="1" applyAlignment="1">
      <alignment horizontal="left" vertical="center"/>
    </xf>
    <xf numFmtId="0" fontId="4" fillId="0" borderId="1" xfId="0" applyFont="1" applyBorder="1" applyAlignment="1">
      <alignment horizontal="left" vertical="center"/>
    </xf>
    <xf numFmtId="0" fontId="4" fillId="4" borderId="1" xfId="0" applyFont="1" applyFill="1" applyBorder="1" applyAlignment="1">
      <alignment horizontal="center"/>
    </xf>
    <xf numFmtId="0" fontId="4" fillId="12" borderId="1" xfId="0" applyFont="1" applyFill="1" applyBorder="1"/>
    <xf numFmtId="0" fontId="4" fillId="14" borderId="1" xfId="0" applyFont="1" applyFill="1" applyBorder="1"/>
    <xf numFmtId="0" fontId="4" fillId="14" borderId="52" xfId="0" applyFont="1" applyFill="1" applyBorder="1" applyAlignment="1">
      <alignment horizontal="left" vertical="center"/>
    </xf>
    <xf numFmtId="0" fontId="4" fillId="14" borderId="1" xfId="0" applyFont="1" applyFill="1" applyBorder="1" applyAlignment="1">
      <alignment vertical="center"/>
    </xf>
    <xf numFmtId="0" fontId="41" fillId="4" borderId="37" xfId="0" applyFont="1" applyFill="1" applyBorder="1" applyAlignment="1">
      <alignment vertical="center" textRotation="90" wrapText="1"/>
    </xf>
    <xf numFmtId="0" fontId="3" fillId="0" borderId="13" xfId="0" applyFont="1" applyBorder="1"/>
    <xf numFmtId="0" fontId="6" fillId="4" borderId="23" xfId="0" applyFont="1" applyFill="1" applyBorder="1" applyAlignment="1">
      <alignment vertical="center" textRotation="90" wrapText="1"/>
    </xf>
    <xf numFmtId="0" fontId="3" fillId="4" borderId="20" xfId="0" applyFont="1" applyFill="1" applyBorder="1" applyAlignment="1">
      <alignment horizontal="left" vertical="center" textRotation="90" wrapText="1"/>
    </xf>
    <xf numFmtId="0" fontId="3" fillId="4" borderId="21" xfId="0" applyFont="1" applyFill="1" applyBorder="1" applyAlignment="1">
      <alignment horizontal="left" vertical="center" textRotation="90" wrapText="1"/>
    </xf>
    <xf numFmtId="0" fontId="6" fillId="20" borderId="37" xfId="0" applyFont="1" applyFill="1" applyBorder="1" applyAlignment="1">
      <alignment vertical="center" textRotation="90" wrapText="1"/>
    </xf>
    <xf numFmtId="0" fontId="41" fillId="4" borderId="22" xfId="0" applyFont="1" applyFill="1" applyBorder="1" applyAlignment="1">
      <alignment vertical="center" textRotation="90" wrapText="1"/>
    </xf>
    <xf numFmtId="0" fontId="41" fillId="4" borderId="12" xfId="0" applyFont="1" applyFill="1" applyBorder="1" applyAlignment="1">
      <alignment horizontal="center" vertical="center" textRotation="90" wrapText="1"/>
    </xf>
    <xf numFmtId="0" fontId="6" fillId="4" borderId="0" xfId="0" applyFont="1" applyFill="1" applyAlignment="1">
      <alignment horizontal="right" vertical="center" textRotation="90" wrapText="1"/>
    </xf>
    <xf numFmtId="0" fontId="10" fillId="4" borderId="0" xfId="0" applyFont="1" applyFill="1" applyAlignment="1">
      <alignment vertical="center" textRotation="90" wrapText="1"/>
    </xf>
    <xf numFmtId="0" fontId="47" fillId="4" borderId="0" xfId="0" applyFont="1" applyFill="1" applyAlignment="1">
      <alignment horizontal="center" vertical="center" wrapText="1"/>
    </xf>
    <xf numFmtId="0" fontId="3" fillId="4" borderId="0" xfId="0" applyFont="1" applyFill="1" applyAlignment="1">
      <alignment horizontal="center" vertical="center"/>
    </xf>
    <xf numFmtId="0" fontId="10" fillId="4" borderId="0" xfId="0" applyFont="1" applyFill="1" applyAlignment="1">
      <alignment horizontal="center" vertical="center" textRotation="90" wrapText="1"/>
    </xf>
    <xf numFmtId="0" fontId="10" fillId="4" borderId="16" xfId="0" applyFont="1" applyFill="1" applyBorder="1" applyAlignment="1">
      <alignment horizontal="center" vertical="center" textRotation="90" wrapText="1"/>
    </xf>
    <xf numFmtId="0" fontId="41" fillId="4" borderId="38" xfId="0" applyFont="1" applyFill="1" applyBorder="1" applyAlignment="1">
      <alignment horizontal="center" vertical="center" textRotation="90" wrapText="1"/>
    </xf>
    <xf numFmtId="0" fontId="6" fillId="4" borderId="38" xfId="0" applyFont="1" applyFill="1" applyBorder="1" applyAlignment="1">
      <alignment horizontal="center" vertical="center" textRotation="90" wrapText="1"/>
    </xf>
    <xf numFmtId="0" fontId="6" fillId="4" borderId="26" xfId="0" applyFont="1" applyFill="1" applyBorder="1" applyAlignment="1">
      <alignment horizontal="center" vertical="center" textRotation="90" wrapText="1"/>
    </xf>
    <xf numFmtId="49" fontId="4" fillId="0" borderId="59" xfId="0" applyNumberFormat="1" applyFont="1" applyBorder="1"/>
    <xf numFmtId="0" fontId="0" fillId="4" borderId="0" xfId="0" applyFill="1" applyAlignment="1">
      <alignment horizontal="center" vertical="center"/>
    </xf>
    <xf numFmtId="0" fontId="0" fillId="4" borderId="13" xfId="0" applyFill="1" applyBorder="1"/>
    <xf numFmtId="0" fontId="0" fillId="0" borderId="23" xfId="0" applyBorder="1"/>
    <xf numFmtId="0" fontId="10" fillId="4" borderId="16" xfId="0" applyFont="1" applyFill="1" applyBorder="1" applyAlignment="1">
      <alignment vertical="center" textRotation="90" wrapText="1"/>
    </xf>
    <xf numFmtId="0" fontId="10" fillId="4" borderId="18" xfId="0" applyFont="1" applyFill="1" applyBorder="1" applyAlignment="1">
      <alignment vertical="center" textRotation="90" wrapText="1"/>
    </xf>
    <xf numFmtId="0" fontId="0" fillId="4" borderId="38" xfId="0" applyFill="1" applyBorder="1"/>
    <xf numFmtId="0" fontId="0" fillId="4" borderId="26" xfId="0" applyFill="1" applyBorder="1"/>
    <xf numFmtId="0" fontId="0" fillId="4" borderId="33" xfId="0" applyFill="1" applyBorder="1"/>
    <xf numFmtId="0" fontId="32" fillId="4" borderId="26" xfId="0" applyFont="1" applyFill="1" applyBorder="1" applyAlignment="1">
      <alignment vertical="center" textRotation="90" wrapText="1"/>
    </xf>
    <xf numFmtId="0" fontId="33" fillId="4" borderId="33" xfId="0" applyFont="1" applyFill="1" applyBorder="1" applyAlignment="1">
      <alignment vertical="center" textRotation="90" wrapText="1"/>
    </xf>
    <xf numFmtId="0" fontId="10" fillId="4" borderId="48" xfId="0" applyFont="1" applyFill="1" applyBorder="1" applyAlignment="1">
      <alignment horizontal="center" vertical="center" textRotation="90" wrapText="1"/>
    </xf>
    <xf numFmtId="0" fontId="10" fillId="4" borderId="38" xfId="0" applyFont="1" applyFill="1" applyBorder="1" applyAlignment="1">
      <alignment horizontal="center" vertical="center" textRotation="90" wrapText="1"/>
    </xf>
    <xf numFmtId="0" fontId="32" fillId="4" borderId="38" xfId="0" applyFont="1" applyFill="1" applyBorder="1" applyAlignment="1">
      <alignment vertical="center" textRotation="90" wrapText="1"/>
    </xf>
    <xf numFmtId="0" fontId="33" fillId="4" borderId="48" xfId="0" applyFont="1" applyFill="1" applyBorder="1" applyAlignment="1">
      <alignment vertical="center" textRotation="90" wrapText="1"/>
    </xf>
    <xf numFmtId="0" fontId="10" fillId="4" borderId="5" xfId="0" applyFont="1" applyFill="1" applyBorder="1" applyAlignment="1">
      <alignment vertical="center" textRotation="90" wrapText="1"/>
    </xf>
    <xf numFmtId="0" fontId="47" fillId="4" borderId="38" xfId="0" applyFont="1" applyFill="1" applyBorder="1" applyAlignment="1">
      <alignment horizontal="center" vertical="center" wrapText="1"/>
    </xf>
    <xf numFmtId="0" fontId="4" fillId="4" borderId="17" xfId="0" applyFont="1" applyFill="1" applyBorder="1" applyAlignment="1">
      <alignment vertical="center" wrapText="1"/>
    </xf>
    <xf numFmtId="0" fontId="4" fillId="4" borderId="18" xfId="0" applyFont="1" applyFill="1" applyBorder="1" applyAlignment="1">
      <alignment vertical="center" wrapText="1"/>
    </xf>
    <xf numFmtId="0" fontId="6" fillId="4" borderId="0" xfId="0" applyFont="1" applyFill="1" applyAlignment="1">
      <alignment textRotation="90" wrapText="1"/>
    </xf>
    <xf numFmtId="0" fontId="4" fillId="4" borderId="0" xfId="0" applyFont="1" applyFill="1" applyAlignment="1">
      <alignment vertical="center" wrapText="1"/>
    </xf>
    <xf numFmtId="0" fontId="38" fillId="4" borderId="39" xfId="0" applyFont="1" applyFill="1" applyBorder="1" applyAlignment="1">
      <alignment horizontal="left" vertical="center" textRotation="90" wrapText="1"/>
    </xf>
    <xf numFmtId="0" fontId="10" fillId="4" borderId="48" xfId="0" applyFont="1" applyFill="1" applyBorder="1" applyAlignment="1">
      <alignment vertical="center" textRotation="90" wrapText="1"/>
    </xf>
    <xf numFmtId="0" fontId="0" fillId="4" borderId="5" xfId="0" applyFill="1" applyBorder="1"/>
    <xf numFmtId="0" fontId="0" fillId="0" borderId="39" xfId="0" applyBorder="1" applyAlignment="1">
      <alignment horizontal="center" vertical="center"/>
    </xf>
    <xf numFmtId="0" fontId="59" fillId="4" borderId="23" xfId="0" applyFont="1" applyFill="1" applyBorder="1" applyAlignment="1">
      <alignment vertical="center" textRotation="90" wrapText="1"/>
    </xf>
    <xf numFmtId="0" fontId="19" fillId="4" borderId="23" xfId="0" applyFont="1" applyFill="1" applyBorder="1" applyAlignment="1">
      <alignment horizontal="center" vertical="center" textRotation="90" wrapText="1"/>
    </xf>
    <xf numFmtId="0" fontId="19" fillId="14" borderId="0" xfId="0" applyFont="1" applyFill="1" applyAlignment="1">
      <alignment horizontal="center" vertical="center" textRotation="90" wrapText="1"/>
    </xf>
    <xf numFmtId="0" fontId="25" fillId="6" borderId="0" xfId="0" applyFont="1" applyFill="1" applyAlignment="1">
      <alignment vertical="center" textRotation="90" wrapText="1"/>
    </xf>
    <xf numFmtId="0" fontId="4" fillId="4" borderId="1" xfId="0" applyFont="1" applyFill="1" applyBorder="1" applyAlignment="1">
      <alignment vertical="center"/>
    </xf>
    <xf numFmtId="0" fontId="4" fillId="4" borderId="1" xfId="5" applyFill="1" applyBorder="1" applyAlignment="1">
      <alignment vertical="center"/>
    </xf>
    <xf numFmtId="0" fontId="4" fillId="4" borderId="63" xfId="0" applyFont="1" applyFill="1" applyBorder="1" applyAlignment="1">
      <alignment horizontal="left" vertical="center"/>
    </xf>
    <xf numFmtId="0" fontId="4" fillId="4" borderId="1" xfId="0" applyFont="1" applyFill="1" applyBorder="1" applyAlignment="1" applyProtection="1">
      <alignment vertical="top" readingOrder="1"/>
      <protection locked="0"/>
    </xf>
    <xf numFmtId="0" fontId="4" fillId="4" borderId="0" xfId="0" applyFont="1" applyFill="1" applyAlignment="1">
      <alignment horizontal="left" vertical="center"/>
    </xf>
    <xf numFmtId="0" fontId="4" fillId="4" borderId="1" xfId="0" applyFont="1" applyFill="1" applyBorder="1" applyAlignment="1">
      <alignment horizontal="left"/>
    </xf>
    <xf numFmtId="0" fontId="10" fillId="4" borderId="1" xfId="0" applyFont="1" applyFill="1" applyBorder="1" applyAlignment="1">
      <alignment vertical="center"/>
    </xf>
    <xf numFmtId="0" fontId="4" fillId="14" borderId="0" xfId="0" applyFont="1" applyFill="1" applyAlignment="1">
      <alignment horizontal="left" vertical="center"/>
    </xf>
    <xf numFmtId="0" fontId="4" fillId="14" borderId="1" xfId="0" applyFont="1" applyFill="1" applyBorder="1" applyAlignment="1" applyProtection="1">
      <alignment vertical="top" readingOrder="1"/>
      <protection locked="0"/>
    </xf>
    <xf numFmtId="0" fontId="4" fillId="14" borderId="0" xfId="0" applyFont="1" applyFill="1" applyAlignment="1" applyProtection="1">
      <alignment vertical="top" readingOrder="1"/>
      <protection locked="0"/>
    </xf>
    <xf numFmtId="49" fontId="4" fillId="0" borderId="0" xfId="0" applyNumberFormat="1" applyFont="1"/>
    <xf numFmtId="0" fontId="4" fillId="14" borderId="52" xfId="0" applyFont="1" applyFill="1" applyBorder="1" applyAlignment="1">
      <alignment vertical="center"/>
    </xf>
    <xf numFmtId="0" fontId="4" fillId="14" borderId="0" xfId="0" applyFont="1" applyFill="1"/>
    <xf numFmtId="0" fontId="4" fillId="12" borderId="0" xfId="0" applyFont="1" applyFill="1"/>
    <xf numFmtId="0" fontId="4" fillId="12" borderId="0" xfId="0" applyFont="1" applyFill="1" applyAlignment="1">
      <alignment horizontal="left" vertical="center"/>
    </xf>
    <xf numFmtId="0" fontId="4" fillId="12" borderId="0" xfId="0" applyFont="1" applyFill="1" applyAlignment="1" applyProtection="1">
      <alignment vertical="top" readingOrder="1"/>
      <protection locked="0"/>
    </xf>
    <xf numFmtId="0" fontId="4" fillId="12" borderId="1" xfId="0" applyFont="1" applyFill="1" applyBorder="1" applyAlignment="1" applyProtection="1">
      <alignment vertical="top" readingOrder="1"/>
      <protection locked="0"/>
    </xf>
    <xf numFmtId="0" fontId="4" fillId="12" borderId="0" xfId="0" applyFont="1" applyFill="1" applyAlignment="1">
      <alignment vertical="center"/>
    </xf>
    <xf numFmtId="0" fontId="18" fillId="12" borderId="63" xfId="0" applyFont="1" applyFill="1" applyBorder="1" applyAlignment="1">
      <alignment horizontal="left" vertical="center"/>
    </xf>
    <xf numFmtId="0" fontId="4" fillId="12" borderId="1" xfId="5" applyFill="1" applyBorder="1" applyAlignment="1">
      <alignment vertical="center"/>
    </xf>
    <xf numFmtId="0" fontId="4" fillId="14" borderId="52" xfId="4" applyFont="1" applyFill="1" applyBorder="1"/>
    <xf numFmtId="0" fontId="4" fillId="14" borderId="63" xfId="0" applyFont="1" applyFill="1" applyBorder="1" applyAlignment="1">
      <alignment horizontal="left" vertical="center"/>
    </xf>
    <xf numFmtId="0" fontId="0" fillId="0" borderId="57" xfId="0" applyBorder="1"/>
    <xf numFmtId="0" fontId="10" fillId="14" borderId="1" xfId="0" applyFont="1" applyFill="1" applyBorder="1" applyAlignment="1">
      <alignment vertical="center"/>
    </xf>
    <xf numFmtId="0" fontId="0" fillId="12" borderId="0" xfId="0" applyFill="1"/>
    <xf numFmtId="0" fontId="4" fillId="14" borderId="1" xfId="5" applyFill="1" applyBorder="1" applyAlignment="1">
      <alignment vertical="center"/>
    </xf>
    <xf numFmtId="0" fontId="4" fillId="0" borderId="0" xfId="0" applyFont="1" applyAlignment="1">
      <alignment vertical="center" wrapText="1"/>
    </xf>
    <xf numFmtId="0" fontId="64" fillId="12" borderId="1" xfId="0" applyFont="1" applyFill="1" applyBorder="1" applyAlignment="1">
      <alignment horizontal="left" vertical="center"/>
    </xf>
    <xf numFmtId="0" fontId="6" fillId="24" borderId="12" xfId="0" applyFont="1" applyFill="1" applyBorder="1" applyAlignment="1">
      <alignment wrapText="1"/>
    </xf>
    <xf numFmtId="0" fontId="6" fillId="24" borderId="5" xfId="0" applyFont="1" applyFill="1" applyBorder="1" applyAlignment="1">
      <alignment wrapText="1"/>
    </xf>
    <xf numFmtId="0" fontId="6" fillId="24" borderId="15" xfId="0" applyFont="1" applyFill="1" applyBorder="1" applyAlignment="1">
      <alignment wrapText="1"/>
    </xf>
    <xf numFmtId="0" fontId="4" fillId="24" borderId="13" xfId="0" applyFont="1" applyFill="1" applyBorder="1" applyAlignment="1">
      <alignment vertical="top" wrapText="1"/>
    </xf>
    <xf numFmtId="0" fontId="4" fillId="24" borderId="0" xfId="0" applyFont="1" applyFill="1" applyAlignment="1">
      <alignment vertical="top" wrapText="1"/>
    </xf>
    <xf numFmtId="0" fontId="4" fillId="24" borderId="16" xfId="0" applyFont="1" applyFill="1" applyBorder="1" applyAlignment="1">
      <alignment vertical="top" wrapText="1"/>
    </xf>
    <xf numFmtId="0" fontId="60" fillId="4" borderId="0" xfId="0" applyFont="1" applyFill="1" applyAlignment="1">
      <alignment vertical="center" textRotation="90" wrapText="1"/>
    </xf>
    <xf numFmtId="0" fontId="6" fillId="4" borderId="36" xfId="0" applyFont="1" applyFill="1" applyBorder="1" applyAlignment="1">
      <alignment horizontal="center" vertical="center" textRotation="90" wrapText="1"/>
    </xf>
    <xf numFmtId="0" fontId="10" fillId="4" borderId="26" xfId="0" applyFont="1" applyFill="1" applyBorder="1" applyAlignment="1">
      <alignment horizontal="center" vertical="center" textRotation="90" wrapText="1"/>
    </xf>
    <xf numFmtId="0" fontId="6" fillId="14" borderId="38" xfId="0" applyFont="1" applyFill="1" applyBorder="1" applyAlignment="1">
      <alignment vertical="center" textRotation="90" wrapText="1"/>
    </xf>
    <xf numFmtId="0" fontId="19" fillId="14" borderId="0" xfId="0" applyFont="1" applyFill="1" applyAlignment="1">
      <alignment vertical="center" textRotation="90" wrapText="1"/>
    </xf>
    <xf numFmtId="0" fontId="3" fillId="4" borderId="37" xfId="0" applyFont="1" applyFill="1" applyBorder="1" applyAlignment="1">
      <alignment horizontal="left" vertical="center" textRotation="90" wrapText="1"/>
    </xf>
    <xf numFmtId="0" fontId="18" fillId="0" borderId="0" xfId="0" applyFont="1"/>
    <xf numFmtId="0" fontId="6" fillId="4" borderId="38" xfId="0" applyFont="1" applyFill="1" applyBorder="1" applyAlignment="1">
      <alignment horizontal="right" vertical="center" textRotation="90" wrapText="1"/>
    </xf>
    <xf numFmtId="0" fontId="56" fillId="4" borderId="22" xfId="0" applyFont="1" applyFill="1" applyBorder="1" applyAlignment="1">
      <alignment horizontal="center" vertical="center" textRotation="90" wrapText="1"/>
    </xf>
    <xf numFmtId="0" fontId="4" fillId="4" borderId="26" xfId="0" applyFont="1" applyFill="1" applyBorder="1" applyAlignment="1">
      <alignment horizontal="center" vertical="center" wrapText="1"/>
    </xf>
    <xf numFmtId="0" fontId="6" fillId="4" borderId="12" xfId="0" applyFont="1" applyFill="1" applyBorder="1" applyAlignment="1">
      <alignment horizontal="center" wrapText="1"/>
    </xf>
    <xf numFmtId="0" fontId="6" fillId="4" borderId="5" xfId="0" applyFont="1" applyFill="1" applyBorder="1" applyAlignment="1">
      <alignment horizontal="center" wrapText="1"/>
    </xf>
    <xf numFmtId="0" fontId="6" fillId="4" borderId="15" xfId="0" applyFont="1" applyFill="1" applyBorder="1" applyAlignment="1">
      <alignment horizontal="center" wrapText="1"/>
    </xf>
    <xf numFmtId="0" fontId="47" fillId="4" borderId="26" xfId="0" applyFont="1" applyFill="1" applyBorder="1" applyAlignment="1">
      <alignment horizontal="center" vertical="center" wrapText="1"/>
    </xf>
    <xf numFmtId="0" fontId="46" fillId="4" borderId="38" xfId="0" applyFont="1" applyFill="1" applyBorder="1" applyAlignment="1">
      <alignment horizontal="center" wrapText="1"/>
    </xf>
    <xf numFmtId="0" fontId="46" fillId="4" borderId="48" xfId="0" applyFont="1" applyFill="1" applyBorder="1" applyAlignment="1">
      <alignment horizontal="center" wrapText="1"/>
    </xf>
    <xf numFmtId="0" fontId="47" fillId="4" borderId="33" xfId="0" applyFont="1" applyFill="1" applyBorder="1" applyAlignment="1">
      <alignment horizontal="center" vertical="center" wrapText="1"/>
    </xf>
    <xf numFmtId="0" fontId="6" fillId="4" borderId="50" xfId="0" applyFont="1" applyFill="1" applyBorder="1" applyAlignment="1">
      <alignment horizontal="center" wrapText="1"/>
    </xf>
    <xf numFmtId="0" fontId="6" fillId="4" borderId="38" xfId="0" applyFont="1" applyFill="1" applyBorder="1" applyAlignment="1">
      <alignment horizontal="center" wrapText="1"/>
    </xf>
    <xf numFmtId="0" fontId="6" fillId="4" borderId="48" xfId="0" applyFont="1" applyFill="1" applyBorder="1" applyAlignment="1">
      <alignment horizontal="center" wrapText="1"/>
    </xf>
    <xf numFmtId="0" fontId="6" fillId="4" borderId="13" xfId="0" applyFont="1" applyFill="1" applyBorder="1" applyAlignment="1">
      <alignment horizontal="center" wrapText="1"/>
    </xf>
    <xf numFmtId="0" fontId="6" fillId="4" borderId="0" xfId="0" applyFont="1" applyFill="1" applyAlignment="1">
      <alignment horizontal="center" wrapText="1"/>
    </xf>
    <xf numFmtId="0" fontId="6" fillId="4" borderId="16" xfId="0" applyFont="1" applyFill="1" applyBorder="1" applyAlignment="1">
      <alignment horizontal="center" wrapText="1"/>
    </xf>
    <xf numFmtId="0" fontId="4" fillId="4" borderId="36" xfId="0" applyFont="1" applyFill="1" applyBorder="1" applyAlignment="1">
      <alignment horizontal="center" vertical="center" wrapText="1"/>
    </xf>
    <xf numFmtId="0" fontId="4" fillId="4" borderId="33"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4" fillId="4" borderId="0" xfId="0" applyFont="1" applyFill="1" applyAlignment="1">
      <alignment horizontal="center" vertical="center" wrapText="1"/>
    </xf>
    <xf numFmtId="0" fontId="47" fillId="4" borderId="13" xfId="0" applyFont="1" applyFill="1" applyBorder="1" applyAlignment="1">
      <alignment horizontal="center" vertical="center" wrapText="1"/>
    </xf>
    <xf numFmtId="0" fontId="0" fillId="0" borderId="52" xfId="0" applyBorder="1"/>
    <xf numFmtId="0" fontId="0" fillId="4" borderId="50" xfId="0" applyFill="1" applyBorder="1"/>
    <xf numFmtId="0" fontId="46" fillId="4" borderId="50" xfId="0" applyFont="1" applyFill="1" applyBorder="1" applyAlignment="1">
      <alignment horizontal="center" wrapText="1"/>
    </xf>
    <xf numFmtId="0" fontId="47" fillId="4" borderId="36" xfId="0" applyFont="1" applyFill="1" applyBorder="1" applyAlignment="1">
      <alignment horizontal="center" vertical="center" wrapText="1"/>
    </xf>
    <xf numFmtId="0" fontId="4" fillId="4" borderId="16" xfId="0" applyFont="1" applyFill="1" applyBorder="1" applyAlignment="1">
      <alignment horizontal="center" vertical="center" wrapText="1"/>
    </xf>
    <xf numFmtId="0" fontId="47" fillId="4" borderId="16" xfId="0" applyFont="1" applyFill="1" applyBorder="1" applyAlignment="1">
      <alignment horizontal="center" vertical="center" wrapText="1"/>
    </xf>
    <xf numFmtId="0" fontId="19" fillId="4" borderId="38" xfId="0" applyFont="1" applyFill="1" applyBorder="1" applyAlignment="1">
      <alignment vertical="center" textRotation="90" wrapText="1"/>
    </xf>
    <xf numFmtId="0" fontId="19" fillId="4" borderId="0" xfId="0" applyFont="1" applyFill="1" applyAlignment="1">
      <alignment vertical="center" textRotation="90" wrapText="1"/>
    </xf>
    <xf numFmtId="0" fontId="4" fillId="4" borderId="26" xfId="0" applyFont="1" applyFill="1" applyBorder="1" applyAlignment="1">
      <alignment vertical="center" wrapText="1"/>
    </xf>
    <xf numFmtId="0" fontId="4" fillId="4" borderId="33" xfId="0" applyFont="1" applyFill="1" applyBorder="1" applyAlignment="1">
      <alignment vertical="center" wrapText="1"/>
    </xf>
    <xf numFmtId="0" fontId="10" fillId="4" borderId="38" xfId="0" applyFont="1" applyFill="1" applyBorder="1" applyAlignment="1">
      <alignment horizontal="left" vertical="center" textRotation="90" wrapText="1"/>
    </xf>
    <xf numFmtId="0" fontId="6" fillId="14" borderId="0" xfId="0" applyFont="1" applyFill="1" applyAlignment="1">
      <alignment vertical="center" textRotation="90" wrapText="1"/>
    </xf>
    <xf numFmtId="20" fontId="4" fillId="0" borderId="1" xfId="0" applyNumberFormat="1" applyFont="1" applyBorder="1" applyAlignment="1">
      <alignment horizontal="center" vertical="center"/>
    </xf>
    <xf numFmtId="0" fontId="6" fillId="4" borderId="50" xfId="0" applyFont="1" applyFill="1" applyBorder="1" applyAlignment="1">
      <alignment vertical="center" textRotation="90" wrapText="1"/>
    </xf>
    <xf numFmtId="0" fontId="10" fillId="4" borderId="38" xfId="0" applyFont="1" applyFill="1" applyBorder="1" applyAlignment="1">
      <alignment vertical="center" textRotation="90" wrapText="1"/>
    </xf>
    <xf numFmtId="0" fontId="19" fillId="14" borderId="12" xfId="0" applyFont="1" applyFill="1" applyBorder="1" applyAlignment="1">
      <alignment vertical="center" textRotation="90" wrapText="1"/>
    </xf>
    <xf numFmtId="0" fontId="6" fillId="14" borderId="23" xfId="0" applyFont="1" applyFill="1" applyBorder="1" applyAlignment="1">
      <alignment vertical="center" textRotation="90" wrapText="1"/>
    </xf>
    <xf numFmtId="0" fontId="30" fillId="4" borderId="22" xfId="0" applyFont="1" applyFill="1" applyBorder="1" applyAlignment="1">
      <alignment vertical="center" textRotation="90" wrapText="1"/>
    </xf>
    <xf numFmtId="0" fontId="23" fillId="14" borderId="23" xfId="0" applyFont="1" applyFill="1" applyBorder="1" applyAlignment="1">
      <alignment horizontal="center" vertical="center" textRotation="90" wrapText="1"/>
    </xf>
    <xf numFmtId="0" fontId="19" fillId="14" borderId="37" xfId="0" applyFont="1" applyFill="1" applyBorder="1" applyAlignment="1">
      <alignment vertical="center" textRotation="90" wrapText="1"/>
    </xf>
    <xf numFmtId="0" fontId="51" fillId="4" borderId="23" xfId="0" applyFont="1" applyFill="1" applyBorder="1" applyAlignment="1">
      <alignment horizontal="center" vertical="center" textRotation="90" wrapText="1"/>
    </xf>
    <xf numFmtId="0" fontId="3" fillId="0" borderId="20" xfId="0" applyFont="1" applyBorder="1" applyAlignment="1">
      <alignment horizontal="center" vertical="center"/>
    </xf>
    <xf numFmtId="0" fontId="4" fillId="21" borderId="0" xfId="0" applyFont="1" applyFill="1" applyAlignment="1">
      <alignment vertical="top" wrapText="1"/>
    </xf>
    <xf numFmtId="0" fontId="6" fillId="18" borderId="0" xfId="0" applyFont="1" applyFill="1" applyAlignment="1">
      <alignment vertical="center" textRotation="90" wrapText="1"/>
    </xf>
    <xf numFmtId="0" fontId="6" fillId="4" borderId="48" xfId="0" applyFont="1" applyFill="1" applyBorder="1" applyAlignment="1">
      <alignment wrapText="1"/>
    </xf>
    <xf numFmtId="0" fontId="6" fillId="4" borderId="25" xfId="0" applyFont="1" applyFill="1" applyBorder="1" applyAlignment="1">
      <alignment vertical="center" textRotation="90" wrapText="1"/>
    </xf>
    <xf numFmtId="0" fontId="6" fillId="4" borderId="23" xfId="0" applyFont="1" applyFill="1" applyBorder="1" applyAlignment="1">
      <alignment wrapText="1"/>
    </xf>
    <xf numFmtId="0" fontId="4" fillId="4" borderId="24" xfId="0" applyFont="1" applyFill="1" applyBorder="1" applyAlignment="1">
      <alignment vertical="top" wrapText="1"/>
    </xf>
    <xf numFmtId="0" fontId="47" fillId="4" borderId="26" xfId="0" applyFont="1" applyFill="1" applyBorder="1" applyAlignment="1">
      <alignment vertical="center" wrapText="1"/>
    </xf>
    <xf numFmtId="0" fontId="47" fillId="4" borderId="33" xfId="0" applyFont="1" applyFill="1" applyBorder="1" applyAlignment="1">
      <alignment vertical="center" wrapText="1"/>
    </xf>
    <xf numFmtId="0" fontId="67" fillId="4" borderId="37" xfId="0" applyFont="1" applyFill="1" applyBorder="1" applyAlignment="1">
      <alignment vertical="center" textRotation="90" wrapText="1"/>
    </xf>
    <xf numFmtId="0" fontId="65" fillId="4" borderId="0" xfId="0" applyFont="1" applyFill="1" applyAlignment="1">
      <alignment horizontal="left" vertical="center" textRotation="90" wrapText="1"/>
    </xf>
    <xf numFmtId="0" fontId="5" fillId="4" borderId="12" xfId="0" applyFont="1" applyFill="1" applyBorder="1" applyAlignment="1">
      <alignment horizontal="center" wrapText="1"/>
    </xf>
    <xf numFmtId="0" fontId="5" fillId="4" borderId="5" xfId="0" applyFont="1" applyFill="1" applyBorder="1" applyAlignment="1">
      <alignment horizontal="center" wrapText="1"/>
    </xf>
    <xf numFmtId="0" fontId="5" fillId="4" borderId="15" xfId="0" applyFont="1" applyFill="1" applyBorder="1" applyAlignment="1">
      <alignment horizontal="center" wrapText="1"/>
    </xf>
    <xf numFmtId="0" fontId="24" fillId="4" borderId="36" xfId="0" applyFont="1" applyFill="1" applyBorder="1" applyAlignment="1">
      <alignment horizontal="center" vertical="top" wrapText="1"/>
    </xf>
    <xf numFmtId="0" fontId="24" fillId="4" borderId="26" xfId="0" applyFont="1" applyFill="1" applyBorder="1" applyAlignment="1">
      <alignment horizontal="center" vertical="top" wrapText="1"/>
    </xf>
    <xf numFmtId="0" fontId="24" fillId="4" borderId="33" xfId="0" applyFont="1" applyFill="1" applyBorder="1" applyAlignment="1">
      <alignment horizontal="center" vertical="top" wrapText="1"/>
    </xf>
    <xf numFmtId="0" fontId="28" fillId="0" borderId="0" xfId="0" applyFont="1"/>
    <xf numFmtId="0" fontId="18" fillId="4" borderId="0" xfId="0" applyFont="1" applyFill="1"/>
    <xf numFmtId="0" fontId="0" fillId="0" borderId="24" xfId="0" applyBorder="1"/>
    <xf numFmtId="0" fontId="3" fillId="4" borderId="13" xfId="0" applyFont="1" applyFill="1" applyBorder="1" applyAlignment="1">
      <alignment vertical="center" wrapText="1"/>
    </xf>
    <xf numFmtId="0" fontId="3" fillId="4" borderId="16" xfId="0" applyFont="1" applyFill="1" applyBorder="1" applyAlignment="1">
      <alignment vertical="center" wrapText="1"/>
    </xf>
    <xf numFmtId="0" fontId="3" fillId="4" borderId="18" xfId="0" applyFont="1" applyFill="1" applyBorder="1" applyAlignment="1">
      <alignment vertical="center" wrapText="1"/>
    </xf>
    <xf numFmtId="0" fontId="6" fillId="4" borderId="17" xfId="0" applyFont="1" applyFill="1" applyBorder="1" applyAlignment="1">
      <alignment horizontal="center" wrapText="1"/>
    </xf>
    <xf numFmtId="0" fontId="6" fillId="4" borderId="18" xfId="0" applyFont="1" applyFill="1" applyBorder="1" applyAlignment="1">
      <alignment horizontal="center" wrapText="1"/>
    </xf>
    <xf numFmtId="0" fontId="6" fillId="4" borderId="14" xfId="0" applyFont="1" applyFill="1" applyBorder="1" applyAlignment="1">
      <alignment horizontal="center" wrapText="1"/>
    </xf>
    <xf numFmtId="0" fontId="4" fillId="0" borderId="17" xfId="0" applyFont="1" applyBorder="1"/>
    <xf numFmtId="0" fontId="4" fillId="0" borderId="37" xfId="0" applyFont="1" applyBorder="1"/>
    <xf numFmtId="0" fontId="4" fillId="0" borderId="25" xfId="0" applyFont="1" applyBorder="1"/>
    <xf numFmtId="0" fontId="4" fillId="0" borderId="40" xfId="0" applyFont="1" applyBorder="1"/>
    <xf numFmtId="0" fontId="6" fillId="14" borderId="5" xfId="0" applyFont="1" applyFill="1" applyBorder="1" applyAlignment="1">
      <alignment horizontal="center" vertical="center" textRotation="90" wrapText="1"/>
    </xf>
    <xf numFmtId="0" fontId="42" fillId="4" borderId="37" xfId="0" applyFont="1" applyFill="1" applyBorder="1" applyAlignment="1">
      <alignment horizontal="center" vertical="center" textRotation="90" wrapText="1"/>
    </xf>
    <xf numFmtId="0" fontId="71" fillId="0" borderId="0" xfId="0" applyFont="1" applyAlignment="1">
      <alignment horizontal="left" vertical="center" wrapText="1" indent="1"/>
    </xf>
    <xf numFmtId="0" fontId="40" fillId="0" borderId="0" xfId="0" applyFont="1"/>
    <xf numFmtId="0" fontId="44" fillId="14" borderId="23" xfId="0" applyFont="1" applyFill="1" applyBorder="1" applyAlignment="1">
      <alignment horizontal="center" vertical="center" textRotation="90" wrapText="1"/>
    </xf>
    <xf numFmtId="0" fontId="6" fillId="4" borderId="38" xfId="0" applyFont="1" applyFill="1" applyBorder="1" applyAlignment="1">
      <alignment wrapText="1"/>
    </xf>
    <xf numFmtId="0" fontId="23" fillId="14" borderId="5" xfId="0" applyFont="1" applyFill="1" applyBorder="1" applyAlignment="1">
      <alignment horizontal="center" vertical="center" textRotation="90" wrapText="1"/>
    </xf>
    <xf numFmtId="0" fontId="5" fillId="4" borderId="0" xfId="0" applyFont="1" applyFill="1" applyAlignment="1">
      <alignment wrapText="1"/>
    </xf>
    <xf numFmtId="0" fontId="4" fillId="7" borderId="1" xfId="0" applyFont="1" applyFill="1" applyBorder="1" applyAlignment="1">
      <alignment horizontal="left" vertical="center"/>
    </xf>
    <xf numFmtId="0" fontId="10" fillId="4" borderId="52" xfId="0" applyFont="1" applyFill="1" applyBorder="1" applyAlignment="1">
      <alignment vertical="center"/>
    </xf>
    <xf numFmtId="0" fontId="6" fillId="4" borderId="36" xfId="0" applyFont="1" applyFill="1" applyBorder="1" applyAlignment="1">
      <alignment vertical="center" textRotation="90" wrapText="1"/>
    </xf>
    <xf numFmtId="0" fontId="6" fillId="4" borderId="26" xfId="0" applyFont="1" applyFill="1" applyBorder="1" applyAlignment="1">
      <alignment vertical="center" textRotation="90" wrapText="1"/>
    </xf>
    <xf numFmtId="0" fontId="4" fillId="24" borderId="13" xfId="0" applyFont="1" applyFill="1" applyBorder="1" applyAlignment="1">
      <alignment horizontal="center" vertical="top" wrapText="1"/>
    </xf>
    <xf numFmtId="0" fontId="4" fillId="24" borderId="0" xfId="0" applyFont="1" applyFill="1" applyAlignment="1">
      <alignment horizontal="center" vertical="top" wrapText="1"/>
    </xf>
    <xf numFmtId="0" fontId="4" fillId="24" borderId="16" xfId="0" applyFont="1" applyFill="1" applyBorder="1" applyAlignment="1">
      <alignment horizontal="center" vertical="top" wrapText="1"/>
    </xf>
    <xf numFmtId="43" fontId="10" fillId="4" borderId="16" xfId="6" applyFont="1" applyFill="1" applyBorder="1" applyAlignment="1">
      <alignment vertical="center" textRotation="90" wrapText="1"/>
    </xf>
    <xf numFmtId="43" fontId="10" fillId="4" borderId="33" xfId="6" applyFont="1" applyFill="1" applyBorder="1" applyAlignment="1">
      <alignment vertical="center" textRotation="90" wrapText="1"/>
    </xf>
    <xf numFmtId="0" fontId="0" fillId="16" borderId="0" xfId="0" applyFill="1"/>
    <xf numFmtId="0" fontId="18" fillId="16" borderId="0" xfId="0" applyFont="1" applyFill="1"/>
    <xf numFmtId="0" fontId="41" fillId="4" borderId="26" xfId="0" applyFont="1" applyFill="1" applyBorder="1" applyAlignment="1">
      <alignment horizontal="center" vertical="center" textRotation="90" wrapText="1"/>
    </xf>
    <xf numFmtId="0" fontId="3" fillId="0" borderId="5" xfId="0" applyFont="1" applyBorder="1" applyAlignment="1">
      <alignment horizontal="center" vertical="center"/>
    </xf>
    <xf numFmtId="0" fontId="11" fillId="4" borderId="0" xfId="0" applyFont="1" applyFill="1" applyAlignment="1">
      <alignment horizontal="center" vertical="center"/>
    </xf>
    <xf numFmtId="0" fontId="0" fillId="4" borderId="57" xfId="0" applyFill="1" applyBorder="1"/>
    <xf numFmtId="0" fontId="17" fillId="4" borderId="0" xfId="0" applyFont="1" applyFill="1"/>
    <xf numFmtId="0" fontId="41" fillId="4" borderId="0" xfId="0" applyFont="1" applyFill="1" applyAlignment="1">
      <alignment horizontal="right" vertical="center" textRotation="90" wrapText="1"/>
    </xf>
    <xf numFmtId="0" fontId="40" fillId="4" borderId="0" xfId="0" applyFont="1" applyFill="1" applyAlignment="1">
      <alignment horizontal="left" vertical="center" textRotation="90" wrapText="1"/>
    </xf>
    <xf numFmtId="0" fontId="40" fillId="4" borderId="48" xfId="0" applyFont="1" applyFill="1" applyBorder="1" applyAlignment="1">
      <alignment vertical="center" textRotation="90" wrapText="1"/>
    </xf>
    <xf numFmtId="0" fontId="59" fillId="4" borderId="0" xfId="0" applyFont="1" applyFill="1" applyAlignment="1">
      <alignment vertical="center" textRotation="90" wrapText="1"/>
    </xf>
    <xf numFmtId="0" fontId="47" fillId="4" borderId="13" xfId="0" applyFont="1" applyFill="1" applyBorder="1" applyAlignment="1">
      <alignment vertical="center" wrapText="1"/>
    </xf>
    <xf numFmtId="0" fontId="74" fillId="0" borderId="0" xfId="0" applyFont="1" applyAlignment="1">
      <alignment horizontal="left" vertical="center" indent="1"/>
    </xf>
    <xf numFmtId="0" fontId="4" fillId="16" borderId="0" xfId="0" applyFont="1" applyFill="1"/>
    <xf numFmtId="0" fontId="40" fillId="4" borderId="0" xfId="0" applyFont="1" applyFill="1" applyAlignment="1">
      <alignment horizontal="center" vertical="center" textRotation="90" wrapText="1"/>
    </xf>
    <xf numFmtId="0" fontId="75" fillId="0" borderId="0" xfId="0" applyFont="1"/>
    <xf numFmtId="0" fontId="6" fillId="14" borderId="0" xfId="0" applyFont="1" applyFill="1" applyAlignment="1">
      <alignment horizontal="center" vertical="center" textRotation="90" wrapText="1"/>
    </xf>
    <xf numFmtId="0" fontId="41" fillId="14" borderId="0" xfId="0" applyFont="1" applyFill="1" applyAlignment="1">
      <alignment horizontal="center" vertical="center" textRotation="90" wrapText="1"/>
    </xf>
    <xf numFmtId="0" fontId="40" fillId="4" borderId="0" xfId="0" applyFont="1" applyFill="1" applyAlignment="1">
      <alignment vertical="center" textRotation="90" wrapText="1"/>
    </xf>
    <xf numFmtId="0" fontId="41" fillId="4" borderId="26" xfId="0" applyFont="1" applyFill="1" applyBorder="1" applyAlignment="1">
      <alignment vertical="center" textRotation="90" wrapText="1"/>
    </xf>
    <xf numFmtId="0" fontId="4" fillId="0" borderId="59" xfId="0" applyFont="1" applyBorder="1" applyAlignment="1">
      <alignment horizontal="center" vertical="center"/>
    </xf>
    <xf numFmtId="0" fontId="41" fillId="4" borderId="12" xfId="0" applyFont="1" applyFill="1" applyBorder="1" applyAlignment="1">
      <alignment vertical="center" textRotation="90" wrapText="1"/>
    </xf>
    <xf numFmtId="0" fontId="41" fillId="4" borderId="5" xfId="0" applyFont="1" applyFill="1" applyBorder="1" applyAlignment="1">
      <alignment vertical="center" textRotation="90" wrapText="1"/>
    </xf>
    <xf numFmtId="0" fontId="41" fillId="4" borderId="15" xfId="0" applyFont="1" applyFill="1" applyBorder="1" applyAlignment="1">
      <alignment vertical="center" textRotation="90" wrapText="1"/>
    </xf>
    <xf numFmtId="0" fontId="41" fillId="4" borderId="16" xfId="0" applyFont="1" applyFill="1" applyBorder="1" applyAlignment="1">
      <alignment vertical="center" textRotation="90" wrapText="1"/>
    </xf>
    <xf numFmtId="0" fontId="41" fillId="4" borderId="36" xfId="0" applyFont="1" applyFill="1" applyBorder="1" applyAlignment="1">
      <alignment vertical="center" textRotation="90" wrapText="1"/>
    </xf>
    <xf numFmtId="0" fontId="41" fillId="4" borderId="57" xfId="0" applyFont="1" applyFill="1" applyBorder="1" applyAlignment="1">
      <alignment vertical="center" textRotation="90" wrapText="1"/>
    </xf>
    <xf numFmtId="0" fontId="41" fillId="4" borderId="64" xfId="0" applyFont="1" applyFill="1" applyBorder="1" applyAlignment="1">
      <alignment vertical="center" textRotation="90" wrapText="1"/>
    </xf>
    <xf numFmtId="0" fontId="18" fillId="4" borderId="13" xfId="0" applyFont="1" applyFill="1" applyBorder="1"/>
    <xf numFmtId="0" fontId="18" fillId="4" borderId="16" xfId="0" applyFont="1" applyFill="1" applyBorder="1"/>
    <xf numFmtId="0" fontId="26" fillId="6" borderId="0" xfId="0" applyFont="1" applyFill="1" applyAlignment="1">
      <alignment horizontal="center"/>
    </xf>
    <xf numFmtId="0" fontId="10" fillId="4" borderId="17" xfId="0" applyFont="1" applyFill="1" applyBorder="1" applyAlignment="1">
      <alignment horizontal="left" vertical="center" textRotation="90" wrapText="1"/>
    </xf>
    <xf numFmtId="0" fontId="6" fillId="4" borderId="17" xfId="0" applyFont="1" applyFill="1" applyBorder="1" applyAlignment="1">
      <alignment horizontal="left" vertical="center" textRotation="90" wrapText="1"/>
    </xf>
    <xf numFmtId="0" fontId="73" fillId="14" borderId="0" xfId="0" applyFont="1" applyFill="1" applyAlignment="1">
      <alignment horizontal="center" vertical="center" textRotation="90" wrapText="1"/>
    </xf>
    <xf numFmtId="0" fontId="44" fillId="14" borderId="22" xfId="0" applyFont="1" applyFill="1" applyBorder="1" applyAlignment="1">
      <alignment horizontal="center" vertical="center" textRotation="90" wrapText="1"/>
    </xf>
    <xf numFmtId="0" fontId="4" fillId="0" borderId="33" xfId="0" applyFont="1" applyBorder="1"/>
    <xf numFmtId="0" fontId="6" fillId="4" borderId="13" xfId="0" applyFont="1" applyFill="1" applyBorder="1" applyAlignment="1">
      <alignment vertical="center" textRotation="90" wrapText="1"/>
    </xf>
    <xf numFmtId="0" fontId="23" fillId="4" borderId="0" xfId="0" applyFont="1" applyFill="1" applyAlignment="1">
      <alignment horizontal="center" vertical="center" textRotation="90" wrapText="1"/>
    </xf>
    <xf numFmtId="0" fontId="6" fillId="4" borderId="38" xfId="0" applyFont="1" applyFill="1" applyBorder="1" applyAlignment="1">
      <alignment vertical="center" wrapText="1"/>
    </xf>
    <xf numFmtId="0" fontId="6" fillId="4" borderId="50" xfId="0" applyFont="1" applyFill="1" applyBorder="1" applyAlignment="1">
      <alignment wrapText="1"/>
    </xf>
    <xf numFmtId="0" fontId="24" fillId="4" borderId="13" xfId="0" applyFont="1" applyFill="1" applyBorder="1" applyAlignment="1">
      <alignment vertical="center" wrapText="1"/>
    </xf>
    <xf numFmtId="0" fontId="24" fillId="4" borderId="0" xfId="0" applyFont="1" applyFill="1" applyAlignment="1">
      <alignment vertical="center" wrapText="1"/>
    </xf>
    <xf numFmtId="0" fontId="24" fillId="4" borderId="33" xfId="0" applyFont="1" applyFill="1" applyBorder="1" applyAlignment="1">
      <alignment vertical="center" wrapText="1"/>
    </xf>
    <xf numFmtId="0" fontId="6" fillId="14" borderId="13" xfId="0" applyFont="1" applyFill="1" applyBorder="1" applyAlignment="1">
      <alignment horizontal="center" vertical="center" textRotation="90" wrapText="1"/>
    </xf>
    <xf numFmtId="0" fontId="6" fillId="14" borderId="37" xfId="0" applyFont="1" applyFill="1" applyBorder="1" applyAlignment="1">
      <alignment horizontal="center" vertical="center" textRotation="90" wrapText="1"/>
    </xf>
    <xf numFmtId="0" fontId="6" fillId="14" borderId="23" xfId="0" applyFont="1" applyFill="1" applyBorder="1" applyAlignment="1">
      <alignment horizontal="center" vertical="center" textRotation="90" wrapText="1"/>
    </xf>
    <xf numFmtId="0" fontId="23" fillId="14" borderId="0" xfId="0" applyFont="1" applyFill="1" applyAlignment="1">
      <alignment horizontal="center" vertical="center" textRotation="90" wrapText="1"/>
    </xf>
    <xf numFmtId="0" fontId="5" fillId="14" borderId="13" xfId="0" applyFont="1" applyFill="1" applyBorder="1" applyAlignment="1">
      <alignment horizontal="center" vertical="center" textRotation="90" wrapText="1"/>
    </xf>
    <xf numFmtId="0" fontId="3" fillId="4" borderId="21" xfId="0" applyFont="1" applyFill="1" applyBorder="1" applyAlignment="1">
      <alignment vertical="center" textRotation="90" wrapText="1"/>
    </xf>
    <xf numFmtId="0" fontId="44" fillId="14" borderId="0" xfId="0" applyFont="1" applyFill="1" applyAlignment="1">
      <alignment horizontal="center" vertical="center" textRotation="90" wrapText="1"/>
    </xf>
    <xf numFmtId="0" fontId="6" fillId="4" borderId="37" xfId="0" applyFont="1" applyFill="1" applyBorder="1" applyAlignment="1">
      <alignment horizontal="center" vertical="center" textRotation="90" wrapText="1"/>
    </xf>
    <xf numFmtId="0" fontId="3" fillId="0" borderId="23" xfId="0" applyFont="1" applyBorder="1" applyAlignment="1">
      <alignment horizontal="center" vertical="center"/>
    </xf>
    <xf numFmtId="0" fontId="3" fillId="0" borderId="25" xfId="0" applyFont="1" applyBorder="1" applyAlignment="1">
      <alignment horizontal="center" vertical="center"/>
    </xf>
    <xf numFmtId="0" fontId="24" fillId="4" borderId="20" xfId="0" applyFont="1" applyFill="1" applyBorder="1" applyAlignment="1">
      <alignment vertical="center" textRotation="90" wrapText="1"/>
    </xf>
    <xf numFmtId="0" fontId="44" fillId="4" borderId="37" xfId="0" applyFont="1" applyFill="1" applyBorder="1" applyAlignment="1">
      <alignment horizontal="center" vertical="center" textRotation="90" wrapText="1"/>
    </xf>
    <xf numFmtId="0" fontId="73" fillId="4" borderId="0" xfId="0" applyFont="1" applyFill="1" applyAlignment="1">
      <alignment horizontal="center" vertical="center" textRotation="90" wrapText="1"/>
    </xf>
    <xf numFmtId="0" fontId="4" fillId="0" borderId="36" xfId="0" applyFont="1" applyBorder="1"/>
    <xf numFmtId="0" fontId="4" fillId="0" borderId="26" xfId="0" applyFont="1" applyBorder="1"/>
    <xf numFmtId="0" fontId="4" fillId="0" borderId="48" xfId="0" applyFont="1" applyBorder="1"/>
    <xf numFmtId="0" fontId="4" fillId="0" borderId="13" xfId="0" applyFont="1" applyBorder="1"/>
    <xf numFmtId="0" fontId="4" fillId="0" borderId="18" xfId="0" applyFont="1" applyBorder="1"/>
    <xf numFmtId="0" fontId="4" fillId="0" borderId="5" xfId="0" applyFont="1" applyBorder="1"/>
    <xf numFmtId="0" fontId="4" fillId="0" borderId="15" xfId="0" applyFont="1" applyBorder="1"/>
    <xf numFmtId="0" fontId="4" fillId="0" borderId="20" xfId="0" applyFont="1" applyBorder="1"/>
    <xf numFmtId="0" fontId="4" fillId="4" borderId="36" xfId="0" applyFont="1" applyFill="1" applyBorder="1" applyAlignment="1">
      <alignment vertical="center" wrapText="1"/>
    </xf>
    <xf numFmtId="0" fontId="4" fillId="0" borderId="23" xfId="0" applyFont="1" applyBorder="1"/>
    <xf numFmtId="0" fontId="4" fillId="0" borderId="57" xfId="0" applyFont="1" applyBorder="1"/>
    <xf numFmtId="0" fontId="4" fillId="0" borderId="43" xfId="0" applyFont="1" applyBorder="1"/>
    <xf numFmtId="0" fontId="19" fillId="14" borderId="50" xfId="0" applyFont="1" applyFill="1" applyBorder="1" applyAlignment="1">
      <alignment vertical="center" textRotation="90" wrapText="1"/>
    </xf>
    <xf numFmtId="0" fontId="4" fillId="0" borderId="50" xfId="0" applyFont="1" applyBorder="1"/>
    <xf numFmtId="0" fontId="4" fillId="0" borderId="38" xfId="0" applyFont="1" applyBorder="1"/>
    <xf numFmtId="0" fontId="4" fillId="4" borderId="50" xfId="0" applyFont="1" applyFill="1" applyBorder="1"/>
    <xf numFmtId="0" fontId="4" fillId="4" borderId="36" xfId="0" applyFont="1" applyFill="1" applyBorder="1"/>
    <xf numFmtId="0" fontId="4" fillId="4" borderId="13" xfId="0" applyFont="1" applyFill="1" applyBorder="1"/>
    <xf numFmtId="0" fontId="4" fillId="4" borderId="38" xfId="0" applyFont="1" applyFill="1" applyBorder="1"/>
    <xf numFmtId="0" fontId="59" fillId="4" borderId="38" xfId="0" applyFont="1" applyFill="1" applyBorder="1" applyAlignment="1">
      <alignment vertical="center" textRotation="90" wrapText="1"/>
    </xf>
    <xf numFmtId="0" fontId="6" fillId="4" borderId="0" xfId="0" applyFont="1" applyFill="1" applyAlignment="1">
      <alignment vertical="center" wrapText="1"/>
    </xf>
    <xf numFmtId="0" fontId="59" fillId="4" borderId="37" xfId="0" applyFont="1" applyFill="1" applyBorder="1" applyAlignment="1">
      <alignment vertical="center" textRotation="90" wrapText="1"/>
    </xf>
    <xf numFmtId="0" fontId="19" fillId="14" borderId="22" xfId="0" applyFont="1" applyFill="1" applyBorder="1" applyAlignment="1">
      <alignment vertical="center" textRotation="90" wrapText="1"/>
    </xf>
    <xf numFmtId="0" fontId="0" fillId="0" borderId="83" xfId="0" applyBorder="1"/>
    <xf numFmtId="0" fontId="10" fillId="0" borderId="0" xfId="0" applyFont="1" applyAlignment="1">
      <alignment horizontal="left" vertical="center"/>
    </xf>
    <xf numFmtId="0" fontId="10" fillId="0" borderId="0" xfId="0" applyFont="1" applyAlignment="1">
      <alignment horizontal="center" vertical="center"/>
    </xf>
    <xf numFmtId="0" fontId="36" fillId="4" borderId="23" xfId="0" applyFont="1" applyFill="1" applyBorder="1" applyAlignment="1">
      <alignment horizontal="center" vertical="center"/>
    </xf>
    <xf numFmtId="0" fontId="36" fillId="4" borderId="0" xfId="0" applyFont="1" applyFill="1" applyAlignment="1">
      <alignment horizontal="center" vertical="center"/>
    </xf>
    <xf numFmtId="0" fontId="4" fillId="4" borderId="13" xfId="0" applyFont="1" applyFill="1" applyBorder="1" applyAlignment="1">
      <alignment horizontal="center" vertical="top" wrapText="1"/>
    </xf>
    <xf numFmtId="0" fontId="4" fillId="4" borderId="0" xfId="0" applyFont="1" applyFill="1" applyAlignment="1">
      <alignment horizontal="center" vertical="top" wrapText="1"/>
    </xf>
    <xf numFmtId="0" fontId="4" fillId="4" borderId="16" xfId="0" applyFont="1" applyFill="1" applyBorder="1" applyAlignment="1">
      <alignment horizontal="center" vertical="top" wrapText="1"/>
    </xf>
    <xf numFmtId="0" fontId="4" fillId="4" borderId="26" xfId="0" applyFont="1" applyFill="1" applyBorder="1" applyAlignment="1">
      <alignment horizontal="center" vertical="top" wrapText="1"/>
    </xf>
    <xf numFmtId="0" fontId="41" fillId="14" borderId="0" xfId="0" applyFont="1" applyFill="1" applyAlignment="1">
      <alignment vertical="center" textRotation="90" wrapText="1"/>
    </xf>
    <xf numFmtId="0" fontId="4" fillId="4" borderId="50" xfId="0" applyFont="1" applyFill="1" applyBorder="1" applyAlignment="1">
      <alignment horizontal="center" vertical="top" wrapText="1"/>
    </xf>
    <xf numFmtId="0" fontId="4" fillId="4" borderId="38" xfId="0" applyFont="1" applyFill="1" applyBorder="1" applyAlignment="1">
      <alignment horizontal="center" vertical="top" wrapText="1"/>
    </xf>
    <xf numFmtId="0" fontId="4" fillId="4" borderId="48" xfId="0" applyFont="1" applyFill="1" applyBorder="1" applyAlignment="1">
      <alignment horizontal="center" vertical="top" wrapText="1"/>
    </xf>
    <xf numFmtId="0" fontId="41" fillId="14" borderId="0" xfId="0" applyFont="1" applyFill="1" applyAlignment="1">
      <alignment horizontal="right" vertical="center" textRotation="90" wrapText="1"/>
    </xf>
    <xf numFmtId="0" fontId="12" fillId="4" borderId="12" xfId="0" applyFont="1" applyFill="1" applyBorder="1" applyAlignment="1">
      <alignment horizontal="center" vertical="center"/>
    </xf>
    <xf numFmtId="0" fontId="13" fillId="4" borderId="12" xfId="0" applyFont="1" applyFill="1" applyBorder="1" applyAlignment="1">
      <alignment horizontal="center" vertical="center"/>
    </xf>
    <xf numFmtId="0" fontId="13" fillId="4" borderId="5" xfId="0" applyFont="1" applyFill="1" applyBorder="1" applyAlignment="1">
      <alignment horizontal="center" vertical="center"/>
    </xf>
    <xf numFmtId="0" fontId="13" fillId="4" borderId="15" xfId="0" applyFont="1" applyFill="1" applyBorder="1" applyAlignment="1">
      <alignment horizontal="center" vertical="center"/>
    </xf>
    <xf numFmtId="0" fontId="13" fillId="4" borderId="0" xfId="0" applyFont="1" applyFill="1" applyAlignment="1">
      <alignment horizontal="center" vertical="center"/>
    </xf>
    <xf numFmtId="0" fontId="13" fillId="4" borderId="16" xfId="0" applyFont="1" applyFill="1" applyBorder="1" applyAlignment="1">
      <alignment horizontal="center" vertical="center"/>
    </xf>
    <xf numFmtId="0" fontId="4" fillId="24" borderId="50" xfId="0" applyFont="1" applyFill="1" applyBorder="1" applyAlignment="1">
      <alignment vertical="top" wrapText="1"/>
    </xf>
    <xf numFmtId="0" fontId="4" fillId="24" borderId="38" xfId="0" applyFont="1" applyFill="1" applyBorder="1" applyAlignment="1">
      <alignment vertical="top" wrapText="1"/>
    </xf>
    <xf numFmtId="0" fontId="4" fillId="24" borderId="36" xfId="0" applyFont="1" applyFill="1" applyBorder="1" applyAlignment="1">
      <alignment vertical="top" wrapText="1"/>
    </xf>
    <xf numFmtId="0" fontId="4" fillId="24" borderId="26" xfId="0" applyFont="1" applyFill="1" applyBorder="1" applyAlignment="1">
      <alignment vertical="top" wrapText="1"/>
    </xf>
    <xf numFmtId="0" fontId="13" fillId="4" borderId="60" xfId="0" applyFont="1" applyFill="1" applyBorder="1" applyAlignment="1">
      <alignment horizontal="center" vertical="center"/>
    </xf>
    <xf numFmtId="0" fontId="33" fillId="4" borderId="16" xfId="0" applyFont="1" applyFill="1" applyBorder="1" applyAlignment="1">
      <alignment vertical="center" textRotation="90" wrapText="1"/>
    </xf>
    <xf numFmtId="0" fontId="13" fillId="4" borderId="65" xfId="0" applyFont="1" applyFill="1" applyBorder="1" applyAlignment="1">
      <alignment horizontal="center" vertical="center"/>
    </xf>
    <xf numFmtId="0" fontId="0" fillId="4" borderId="8" xfId="0" applyFill="1" applyBorder="1"/>
    <xf numFmtId="0" fontId="0" fillId="4" borderId="64" xfId="0" applyFill="1" applyBorder="1"/>
    <xf numFmtId="0" fontId="10" fillId="14" borderId="0" xfId="0" applyFont="1" applyFill="1" applyAlignment="1">
      <alignment horizontal="center" vertical="center" textRotation="90" wrapText="1"/>
    </xf>
    <xf numFmtId="0" fontId="10" fillId="14" borderId="0" xfId="0" applyFont="1" applyFill="1" applyAlignment="1">
      <alignment horizontal="left" vertical="center" textRotation="90" wrapText="1"/>
    </xf>
    <xf numFmtId="0" fontId="6" fillId="14" borderId="0" xfId="0" applyFont="1" applyFill="1" applyAlignment="1">
      <alignment horizontal="right" vertical="center" textRotation="90" wrapText="1"/>
    </xf>
    <xf numFmtId="0" fontId="6" fillId="14" borderId="0" xfId="0" applyFont="1" applyFill="1" applyAlignment="1">
      <alignment horizontal="center" textRotation="90" wrapText="1"/>
    </xf>
    <xf numFmtId="0" fontId="6" fillId="14" borderId="13" xfId="0" applyFont="1" applyFill="1" applyBorder="1" applyAlignment="1">
      <alignment vertical="center" textRotation="90" wrapText="1"/>
    </xf>
    <xf numFmtId="0" fontId="76" fillId="0" borderId="0" xfId="0" applyFont="1"/>
    <xf numFmtId="0" fontId="13" fillId="4" borderId="5" xfId="0" applyFont="1" applyFill="1" applyBorder="1" applyAlignment="1">
      <alignment vertical="center"/>
    </xf>
    <xf numFmtId="0" fontId="13" fillId="4" borderId="15" xfId="0" applyFont="1" applyFill="1" applyBorder="1" applyAlignment="1">
      <alignment vertical="center"/>
    </xf>
    <xf numFmtId="0" fontId="13" fillId="4" borderId="0" xfId="0" applyFont="1" applyFill="1" applyAlignment="1">
      <alignment vertical="center"/>
    </xf>
    <xf numFmtId="0" fontId="13" fillId="4" borderId="16" xfId="0" applyFont="1" applyFill="1" applyBorder="1" applyAlignment="1">
      <alignment vertical="center"/>
    </xf>
    <xf numFmtId="0" fontId="6" fillId="23" borderId="38" xfId="0" applyFont="1" applyFill="1" applyBorder="1" applyAlignment="1">
      <alignment wrapText="1"/>
    </xf>
    <xf numFmtId="0" fontId="6" fillId="23" borderId="48" xfId="0" applyFont="1" applyFill="1" applyBorder="1" applyAlignment="1">
      <alignment wrapText="1"/>
    </xf>
    <xf numFmtId="0" fontId="4" fillId="23" borderId="26" xfId="0" applyFont="1" applyFill="1" applyBorder="1" applyAlignment="1">
      <alignment vertical="top" wrapText="1"/>
    </xf>
    <xf numFmtId="0" fontId="4" fillId="23" borderId="33" xfId="0" applyFont="1" applyFill="1" applyBorder="1" applyAlignment="1">
      <alignment vertical="top" wrapText="1"/>
    </xf>
    <xf numFmtId="0" fontId="6" fillId="23" borderId="0" xfId="0" applyFont="1" applyFill="1" applyAlignment="1">
      <alignment wrapText="1"/>
    </xf>
    <xf numFmtId="0" fontId="6" fillId="23" borderId="16" xfId="0" applyFont="1" applyFill="1" applyBorder="1" applyAlignment="1">
      <alignment wrapText="1"/>
    </xf>
    <xf numFmtId="0" fontId="4" fillId="23" borderId="0" xfId="0" applyFont="1" applyFill="1" applyAlignment="1">
      <alignment vertical="top" wrapText="1"/>
    </xf>
    <xf numFmtId="0" fontId="4" fillId="23" borderId="16" xfId="0" applyFont="1" applyFill="1" applyBorder="1" applyAlignment="1">
      <alignment vertical="top" wrapText="1"/>
    </xf>
    <xf numFmtId="0" fontId="48" fillId="0" borderId="0" xfId="0" applyFont="1"/>
    <xf numFmtId="0" fontId="10" fillId="4" borderId="0" xfId="0" applyFont="1" applyFill="1" applyAlignment="1">
      <alignment horizontal="left" vertical="center" wrapText="1"/>
    </xf>
    <xf numFmtId="0" fontId="19" fillId="4" borderId="37" xfId="0" applyFont="1" applyFill="1" applyBorder="1" applyAlignment="1">
      <alignment vertical="center" textRotation="90" wrapText="1"/>
    </xf>
    <xf numFmtId="0" fontId="42" fillId="4" borderId="0" xfId="0" applyFont="1" applyFill="1" applyAlignment="1">
      <alignment horizontal="center" vertical="center" textRotation="90" wrapText="1"/>
    </xf>
    <xf numFmtId="0" fontId="48" fillId="4" borderId="0" xfId="0" applyFont="1" applyFill="1"/>
    <xf numFmtId="0" fontId="59" fillId="4" borderId="22" xfId="0" applyFont="1" applyFill="1" applyBorder="1" applyAlignment="1">
      <alignment vertical="center" textRotation="90" wrapText="1"/>
    </xf>
    <xf numFmtId="0" fontId="19" fillId="4" borderId="16" xfId="0" applyFont="1" applyFill="1" applyBorder="1" applyAlignment="1">
      <alignment vertical="center" wrapText="1"/>
    </xf>
    <xf numFmtId="0" fontId="6" fillId="23" borderId="13" xfId="0" applyFont="1" applyFill="1" applyBorder="1" applyAlignment="1">
      <alignment wrapText="1"/>
    </xf>
    <xf numFmtId="0" fontId="6" fillId="23" borderId="12" xfId="0" applyFont="1" applyFill="1" applyBorder="1" applyAlignment="1">
      <alignment wrapText="1"/>
    </xf>
    <xf numFmtId="0" fontId="6" fillId="23" borderId="5" xfId="0" applyFont="1" applyFill="1" applyBorder="1" applyAlignment="1">
      <alignment wrapText="1"/>
    </xf>
    <xf numFmtId="0" fontId="6" fillId="23" borderId="36" xfId="0" applyFont="1" applyFill="1" applyBorder="1" applyAlignment="1">
      <alignment wrapText="1"/>
    </xf>
    <xf numFmtId="0" fontId="6" fillId="23" borderId="26" xfId="0" applyFont="1" applyFill="1" applyBorder="1" applyAlignment="1">
      <alignment wrapText="1"/>
    </xf>
    <xf numFmtId="0" fontId="23" fillId="20" borderId="0" xfId="0" applyFont="1" applyFill="1" applyAlignment="1">
      <alignment horizontal="center" vertical="center" textRotation="90" wrapText="1"/>
    </xf>
    <xf numFmtId="0" fontId="51" fillId="20" borderId="0" xfId="0" applyFont="1" applyFill="1" applyAlignment="1">
      <alignment horizontal="center" vertical="center" textRotation="90" wrapText="1"/>
    </xf>
    <xf numFmtId="0" fontId="5" fillId="12" borderId="0" xfId="0" applyFont="1" applyFill="1" applyAlignment="1">
      <alignment horizontal="center" vertical="center" textRotation="255" wrapText="1"/>
    </xf>
    <xf numFmtId="0" fontId="5" fillId="18" borderId="0" xfId="0" applyFont="1" applyFill="1" applyAlignment="1">
      <alignment horizontal="center" vertical="center" textRotation="255" wrapText="1"/>
    </xf>
    <xf numFmtId="0" fontId="42" fillId="18" borderId="0" xfId="0" applyFont="1" applyFill="1" applyAlignment="1">
      <alignment horizontal="center" vertical="center" textRotation="255" wrapText="1"/>
    </xf>
    <xf numFmtId="0" fontId="23" fillId="4" borderId="5" xfId="0" applyFont="1" applyFill="1" applyBorder="1" applyAlignment="1">
      <alignment horizontal="center" vertical="center" textRotation="90" wrapText="1"/>
    </xf>
    <xf numFmtId="0" fontId="60" fillId="4" borderId="23" xfId="0" applyFont="1" applyFill="1" applyBorder="1" applyAlignment="1">
      <alignment horizontal="center" vertical="center" textRotation="90" wrapText="1"/>
    </xf>
    <xf numFmtId="0" fontId="49" fillId="4" borderId="23" xfId="0" applyFont="1" applyFill="1" applyBorder="1" applyAlignment="1">
      <alignment horizontal="center" vertical="center" textRotation="90" wrapText="1"/>
    </xf>
    <xf numFmtId="0" fontId="49" fillId="4" borderId="22" xfId="0" applyFont="1" applyFill="1" applyBorder="1" applyAlignment="1">
      <alignment horizontal="center" vertical="center" textRotation="90" wrapText="1"/>
    </xf>
    <xf numFmtId="0" fontId="60" fillId="4" borderId="22" xfId="0" applyFont="1" applyFill="1" applyBorder="1" applyAlignment="1">
      <alignment horizontal="center" vertical="center" textRotation="90" wrapText="1"/>
    </xf>
    <xf numFmtId="0" fontId="60" fillId="4" borderId="0" xfId="0" applyFont="1" applyFill="1" applyAlignment="1">
      <alignment horizontal="center" vertical="center" textRotation="90" wrapText="1"/>
    </xf>
    <xf numFmtId="0" fontId="67" fillId="4" borderId="23" xfId="0" applyFont="1" applyFill="1" applyBorder="1" applyAlignment="1">
      <alignment vertical="center" textRotation="90" wrapText="1"/>
    </xf>
    <xf numFmtId="0" fontId="15" fillId="4" borderId="0" xfId="0" applyFont="1" applyFill="1" applyAlignment="1">
      <alignment horizontal="center" vertical="center" textRotation="255" wrapText="1"/>
    </xf>
    <xf numFmtId="0" fontId="24" fillId="4" borderId="0" xfId="0" applyFont="1" applyFill="1" applyAlignment="1">
      <alignment vertical="center" textRotation="90" wrapText="1"/>
    </xf>
    <xf numFmtId="0" fontId="5" fillId="4" borderId="0" xfId="0" applyFont="1" applyFill="1" applyAlignment="1">
      <alignment vertical="center" textRotation="90" wrapText="1"/>
    </xf>
    <xf numFmtId="0" fontId="48" fillId="4" borderId="0" xfId="0" applyFont="1" applyFill="1" applyAlignment="1">
      <alignment vertical="center" textRotation="90" wrapText="1"/>
    </xf>
    <xf numFmtId="0" fontId="5" fillId="4" borderId="0" xfId="0" applyFont="1" applyFill="1" applyAlignment="1">
      <alignment horizontal="center" vertical="center" textRotation="90" wrapText="1"/>
    </xf>
    <xf numFmtId="0" fontId="5" fillId="4" borderId="0" xfId="0" applyFont="1" applyFill="1" applyAlignment="1">
      <alignment horizontal="center" vertical="center" textRotation="255" wrapText="1"/>
    </xf>
    <xf numFmtId="0" fontId="19" fillId="14" borderId="13" xfId="0" applyFont="1" applyFill="1" applyBorder="1" applyAlignment="1">
      <alignment vertical="center" textRotation="90" wrapText="1"/>
    </xf>
    <xf numFmtId="0" fontId="19" fillId="14" borderId="23" xfId="0" applyFont="1" applyFill="1" applyBorder="1" applyAlignment="1">
      <alignment vertical="center" textRotation="90" wrapText="1"/>
    </xf>
    <xf numFmtId="0" fontId="48" fillId="4" borderId="23" xfId="0" applyFont="1" applyFill="1" applyBorder="1" applyAlignment="1">
      <alignment vertical="center" textRotation="90" wrapText="1"/>
    </xf>
    <xf numFmtId="0" fontId="19" fillId="14" borderId="38" xfId="0" applyFont="1" applyFill="1" applyBorder="1" applyAlignment="1">
      <alignment vertical="center" textRotation="90" wrapText="1"/>
    </xf>
    <xf numFmtId="0" fontId="46" fillId="4" borderId="22" xfId="0" applyFont="1" applyFill="1" applyBorder="1" applyAlignment="1">
      <alignment vertical="center" textRotation="90" wrapText="1"/>
    </xf>
    <xf numFmtId="0" fontId="5" fillId="4" borderId="0" xfId="0" applyFont="1" applyFill="1" applyAlignment="1">
      <alignment vertical="center"/>
    </xf>
    <xf numFmtId="0" fontId="5" fillId="4" borderId="16" xfId="0" applyFont="1" applyFill="1" applyBorder="1" applyAlignment="1">
      <alignment horizontal="center" vertical="center" textRotation="255" wrapText="1"/>
    </xf>
    <xf numFmtId="0" fontId="5" fillId="4" borderId="18" xfId="0" applyFont="1" applyFill="1" applyBorder="1" applyAlignment="1">
      <alignment horizontal="center" vertical="center" textRotation="255" wrapText="1"/>
    </xf>
    <xf numFmtId="0" fontId="78" fillId="14" borderId="48" xfId="0" applyFont="1" applyFill="1" applyBorder="1" applyAlignment="1">
      <alignment textRotation="90" wrapText="1"/>
    </xf>
    <xf numFmtId="0" fontId="4" fillId="0" borderId="0" xfId="0" applyFont="1" applyAlignment="1">
      <alignment horizontal="center" vertical="center"/>
    </xf>
    <xf numFmtId="0" fontId="23" fillId="4" borderId="0" xfId="0" applyFont="1" applyFill="1" applyAlignment="1">
      <alignment vertical="center" textRotation="90" wrapText="1"/>
    </xf>
    <xf numFmtId="0" fontId="0" fillId="4" borderId="19" xfId="0" applyFill="1" applyBorder="1" applyAlignment="1">
      <alignment horizontal="center" vertical="center"/>
    </xf>
    <xf numFmtId="0" fontId="0" fillId="4" borderId="21" xfId="0" applyFill="1" applyBorder="1" applyAlignment="1">
      <alignment horizontal="center" vertical="center"/>
    </xf>
    <xf numFmtId="0" fontId="0" fillId="4" borderId="13" xfId="0" applyFill="1" applyBorder="1" applyAlignment="1">
      <alignment horizontal="center" vertical="center"/>
    </xf>
    <xf numFmtId="0" fontId="0" fillId="4" borderId="17" xfId="0" applyFill="1" applyBorder="1" applyAlignment="1">
      <alignment horizontal="center" vertical="center"/>
    </xf>
    <xf numFmtId="0" fontId="6" fillId="12" borderId="0" xfId="0" applyFont="1" applyFill="1" applyAlignment="1">
      <alignment wrapText="1"/>
    </xf>
    <xf numFmtId="0" fontId="4" fillId="12" borderId="36" xfId="0" applyFont="1" applyFill="1" applyBorder="1" applyAlignment="1">
      <alignment vertical="center" wrapText="1"/>
    </xf>
    <xf numFmtId="0" fontId="3" fillId="4" borderId="39" xfId="0" applyFont="1" applyFill="1" applyBorder="1" applyAlignment="1">
      <alignment vertical="center" textRotation="90" wrapText="1"/>
    </xf>
    <xf numFmtId="0" fontId="5" fillId="4" borderId="37" xfId="0" applyFont="1" applyFill="1" applyBorder="1" applyAlignment="1">
      <alignment vertical="center" textRotation="90" wrapText="1"/>
    </xf>
    <xf numFmtId="0" fontId="56" fillId="4" borderId="23" xfId="0" applyFont="1" applyFill="1" applyBorder="1" applyAlignment="1">
      <alignment horizontal="center" vertical="center" textRotation="90" wrapText="1"/>
    </xf>
    <xf numFmtId="0" fontId="19" fillId="7" borderId="0" xfId="0" applyFont="1" applyFill="1" applyAlignment="1">
      <alignment vertical="center" textRotation="90" wrapText="1"/>
    </xf>
    <xf numFmtId="0" fontId="10" fillId="7" borderId="0" xfId="0" applyFont="1" applyFill="1" applyAlignment="1">
      <alignment vertical="center" textRotation="90" wrapText="1"/>
    </xf>
    <xf numFmtId="0" fontId="42" fillId="14" borderId="0" xfId="0" applyFont="1" applyFill="1" applyAlignment="1">
      <alignment horizontal="center" vertical="center" textRotation="90" wrapText="1"/>
    </xf>
    <xf numFmtId="0" fontId="42" fillId="4" borderId="14" xfId="0" applyFont="1" applyFill="1" applyBorder="1" applyAlignment="1">
      <alignment vertical="center" textRotation="90" wrapText="1"/>
    </xf>
    <xf numFmtId="0" fontId="42" fillId="4" borderId="23" xfId="0" applyFont="1" applyFill="1" applyBorder="1" applyAlignment="1">
      <alignment vertical="center" textRotation="90" wrapText="1"/>
    </xf>
    <xf numFmtId="0" fontId="13" fillId="4" borderId="37" xfId="0" applyFont="1" applyFill="1" applyBorder="1" applyAlignment="1">
      <alignment horizontal="center" vertical="center" textRotation="90" wrapText="1"/>
    </xf>
    <xf numFmtId="0" fontId="85" fillId="0" borderId="0" xfId="0" applyFont="1"/>
    <xf numFmtId="0" fontId="19" fillId="0" borderId="0" xfId="0" applyFont="1" applyAlignment="1">
      <alignment horizontal="center"/>
    </xf>
    <xf numFmtId="0" fontId="4" fillId="4" borderId="18" xfId="0" applyFont="1" applyFill="1" applyBorder="1" applyAlignment="1">
      <alignment horizontal="center" vertical="top" wrapText="1"/>
    </xf>
    <xf numFmtId="0" fontId="24" fillId="4" borderId="17" xfId="0" applyFont="1" applyFill="1" applyBorder="1" applyAlignment="1">
      <alignment horizontal="center" vertical="center" wrapText="1"/>
    </xf>
    <xf numFmtId="0" fontId="24" fillId="4" borderId="18" xfId="0" applyFont="1" applyFill="1" applyBorder="1" applyAlignment="1">
      <alignment horizontal="center" vertical="center" wrapText="1"/>
    </xf>
    <xf numFmtId="0" fontId="5" fillId="14" borderId="0" xfId="0" applyFont="1" applyFill="1" applyAlignment="1">
      <alignment horizontal="center" vertical="center" textRotation="90" wrapText="1"/>
    </xf>
    <xf numFmtId="0" fontId="44" fillId="14" borderId="13" xfId="0" applyFont="1" applyFill="1" applyBorder="1" applyAlignment="1">
      <alignment horizontal="center" vertical="center" textRotation="90" wrapText="1"/>
    </xf>
    <xf numFmtId="0" fontId="46" fillId="4" borderId="23" xfId="0" applyFont="1" applyFill="1" applyBorder="1" applyAlignment="1">
      <alignment horizontal="center" vertical="center" textRotation="90" wrapText="1"/>
    </xf>
    <xf numFmtId="0" fontId="24" fillId="4" borderId="39" xfId="0" applyFont="1" applyFill="1" applyBorder="1" applyAlignment="1">
      <alignment horizontal="center" vertical="center" textRotation="90" wrapText="1"/>
    </xf>
    <xf numFmtId="0" fontId="24" fillId="4" borderId="21" xfId="0" applyFont="1" applyFill="1" applyBorder="1" applyAlignment="1">
      <alignment horizontal="center" vertical="center" textRotation="90" wrapText="1"/>
    </xf>
    <xf numFmtId="0" fontId="5" fillId="4" borderId="38" xfId="0" applyFont="1" applyFill="1" applyBorder="1" applyAlignment="1">
      <alignment horizontal="center" vertical="center" wrapText="1"/>
    </xf>
    <xf numFmtId="0" fontId="5" fillId="4" borderId="48" xfId="0" applyFont="1" applyFill="1" applyBorder="1" applyAlignment="1">
      <alignment horizontal="center" vertical="center" wrapText="1"/>
    </xf>
    <xf numFmtId="0" fontId="44" fillId="4" borderId="23" xfId="0" applyFont="1" applyFill="1" applyBorder="1" applyAlignment="1">
      <alignment horizontal="center" vertical="center" textRotation="90" wrapText="1"/>
    </xf>
    <xf numFmtId="0" fontId="13" fillId="4" borderId="0" xfId="0" applyFont="1" applyFill="1" applyAlignment="1">
      <alignment horizontal="center" vertical="center" textRotation="90" wrapText="1"/>
    </xf>
    <xf numFmtId="0" fontId="24" fillId="0" borderId="0" xfId="0" applyFont="1" applyAlignment="1">
      <alignment horizontal="center" vertical="center"/>
    </xf>
    <xf numFmtId="0" fontId="4" fillId="0" borderId="24" xfId="0" applyFont="1" applyBorder="1"/>
    <xf numFmtId="0" fontId="4" fillId="4" borderId="5" xfId="0" applyFont="1" applyFill="1" applyBorder="1" applyAlignment="1">
      <alignment horizontal="center" vertical="center"/>
    </xf>
    <xf numFmtId="0" fontId="4" fillId="4" borderId="15" xfId="0" applyFont="1" applyFill="1" applyBorder="1" applyAlignment="1">
      <alignment horizontal="center" vertical="center"/>
    </xf>
    <xf numFmtId="0" fontId="4" fillId="0" borderId="16" xfId="0" applyFont="1" applyBorder="1" applyAlignment="1">
      <alignment horizontal="center" vertical="center"/>
    </xf>
    <xf numFmtId="0" fontId="4" fillId="4" borderId="0" xfId="0" applyFont="1" applyFill="1" applyAlignment="1">
      <alignment horizontal="center" vertical="center"/>
    </xf>
    <xf numFmtId="0" fontId="4" fillId="4" borderId="16" xfId="0" applyFont="1" applyFill="1" applyBorder="1" applyAlignment="1">
      <alignment horizontal="center" vertical="center"/>
    </xf>
    <xf numFmtId="0" fontId="56" fillId="4" borderId="37" xfId="0" applyFont="1" applyFill="1" applyBorder="1" applyAlignment="1">
      <alignment horizontal="center" vertical="center" textRotation="90" wrapText="1"/>
    </xf>
    <xf numFmtId="0" fontId="4" fillId="0" borderId="13" xfId="0" applyFont="1" applyBorder="1" applyAlignment="1">
      <alignment horizontal="center" vertical="center"/>
    </xf>
    <xf numFmtId="0" fontId="4" fillId="4" borderId="17" xfId="0" applyFont="1" applyFill="1" applyBorder="1" applyAlignment="1">
      <alignment horizontal="center" vertical="center"/>
    </xf>
    <xf numFmtId="0" fontId="4" fillId="4" borderId="18" xfId="0" applyFont="1" applyFill="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4" xfId="0" applyFont="1" applyBorder="1" applyAlignment="1">
      <alignment horizontal="center" vertical="center"/>
    </xf>
    <xf numFmtId="0" fontId="16" fillId="4" borderId="19" xfId="0" applyFont="1" applyFill="1" applyBorder="1" applyAlignment="1">
      <alignment horizontal="center" vertical="center" textRotation="90" wrapText="1"/>
    </xf>
    <xf numFmtId="0" fontId="3" fillId="4" borderId="0" xfId="0" applyFont="1" applyFill="1" applyAlignment="1">
      <alignment horizontal="left" vertical="center" textRotation="90" wrapText="1"/>
    </xf>
    <xf numFmtId="0" fontId="3" fillId="4" borderId="26" xfId="0" applyFont="1" applyFill="1" applyBorder="1" applyAlignment="1">
      <alignment horizontal="left" vertical="center" textRotation="90" wrapText="1"/>
    </xf>
    <xf numFmtId="0" fontId="38" fillId="4" borderId="17" xfId="0" applyFont="1" applyFill="1" applyBorder="1" applyAlignment="1">
      <alignment horizontal="left" vertical="center" textRotation="90" wrapText="1"/>
    </xf>
    <xf numFmtId="0" fontId="65" fillId="4" borderId="20" xfId="0" applyFont="1" applyFill="1" applyBorder="1" applyAlignment="1">
      <alignment horizontal="left" vertical="center" textRotation="90" wrapText="1"/>
    </xf>
    <xf numFmtId="0" fontId="65" fillId="4" borderId="21" xfId="0" applyFont="1" applyFill="1" applyBorder="1" applyAlignment="1">
      <alignment horizontal="left" vertical="center" textRotation="90" wrapText="1"/>
    </xf>
    <xf numFmtId="0" fontId="82" fillId="4" borderId="22" xfId="0" applyFont="1" applyFill="1" applyBorder="1" applyAlignment="1">
      <alignment horizontal="center" vertical="center" textRotation="90" wrapText="1"/>
    </xf>
    <xf numFmtId="0" fontId="6" fillId="19" borderId="0" xfId="0" applyFont="1" applyFill="1" applyAlignment="1">
      <alignment vertical="center" textRotation="90" wrapText="1"/>
    </xf>
    <xf numFmtId="0" fontId="16" fillId="4" borderId="0" xfId="0" applyFont="1" applyFill="1" applyAlignment="1">
      <alignment horizontal="left" vertical="center" textRotation="90" wrapText="1"/>
    </xf>
    <xf numFmtId="0" fontId="0" fillId="4" borderId="22" xfId="0" applyFill="1" applyBorder="1"/>
    <xf numFmtId="0" fontId="16" fillId="4" borderId="20" xfId="0" applyFont="1" applyFill="1" applyBorder="1" applyAlignment="1">
      <alignment horizontal="left" vertical="center" textRotation="90" wrapText="1"/>
    </xf>
    <xf numFmtId="0" fontId="0" fillId="4" borderId="23" xfId="0" applyFill="1" applyBorder="1"/>
    <xf numFmtId="0" fontId="0" fillId="4" borderId="24" xfId="0" applyFill="1" applyBorder="1"/>
    <xf numFmtId="0" fontId="16" fillId="4" borderId="0" xfId="0" applyFont="1" applyFill="1" applyAlignment="1">
      <alignment horizontal="center" vertical="center" textRotation="90" wrapText="1"/>
    </xf>
    <xf numFmtId="0" fontId="16" fillId="4" borderId="17" xfId="0" applyFont="1" applyFill="1" applyBorder="1" applyAlignment="1">
      <alignment horizontal="center" vertical="center" textRotation="90" wrapText="1"/>
    </xf>
    <xf numFmtId="0" fontId="16" fillId="4" borderId="19" xfId="0" applyFont="1" applyFill="1" applyBorder="1" applyAlignment="1">
      <alignment horizontal="left" vertical="center" textRotation="90" wrapText="1"/>
    </xf>
    <xf numFmtId="0" fontId="65" fillId="4" borderId="19" xfId="0" applyFont="1" applyFill="1" applyBorder="1" applyAlignment="1">
      <alignment horizontal="left" vertical="center" textRotation="90" wrapText="1"/>
    </xf>
    <xf numFmtId="0" fontId="4" fillId="12" borderId="0" xfId="0" applyFont="1" applyFill="1" applyAlignment="1">
      <alignment vertical="center" wrapText="1"/>
    </xf>
    <xf numFmtId="0" fontId="3" fillId="4" borderId="20" xfId="0" applyFont="1" applyFill="1" applyBorder="1" applyAlignment="1">
      <alignment vertical="center" textRotation="90" wrapText="1"/>
    </xf>
    <xf numFmtId="0" fontId="3" fillId="4" borderId="16" xfId="0" applyFont="1" applyFill="1" applyBorder="1" applyAlignment="1">
      <alignment vertical="center" textRotation="90" wrapText="1"/>
    </xf>
    <xf numFmtId="0" fontId="4" fillId="0" borderId="14" xfId="0" applyFont="1" applyBorder="1"/>
    <xf numFmtId="0" fontId="5" fillId="4" borderId="13" xfId="0" applyFont="1" applyFill="1" applyBorder="1" applyAlignment="1">
      <alignment wrapText="1"/>
    </xf>
    <xf numFmtId="0" fontId="6" fillId="4" borderId="14" xfId="0" applyFont="1" applyFill="1" applyBorder="1" applyAlignment="1">
      <alignment wrapText="1"/>
    </xf>
    <xf numFmtId="0" fontId="6" fillId="4" borderId="17" xfId="0" applyFont="1" applyFill="1" applyBorder="1" applyAlignment="1">
      <alignment wrapText="1"/>
    </xf>
    <xf numFmtId="0" fontId="6" fillId="4" borderId="18" xfId="0" applyFont="1" applyFill="1" applyBorder="1" applyAlignment="1">
      <alignment wrapText="1"/>
    </xf>
    <xf numFmtId="0" fontId="4" fillId="4" borderId="16" xfId="0" applyFont="1" applyFill="1" applyBorder="1" applyAlignment="1">
      <alignment vertical="center" wrapText="1"/>
    </xf>
    <xf numFmtId="0" fontId="5" fillId="4" borderId="17" xfId="0" applyFont="1" applyFill="1" applyBorder="1" applyAlignment="1">
      <alignment vertical="center"/>
    </xf>
    <xf numFmtId="0" fontId="46" fillId="4" borderId="5" xfId="0" applyFont="1" applyFill="1" applyBorder="1" applyAlignment="1">
      <alignment horizontal="center" wrapText="1"/>
    </xf>
    <xf numFmtId="0" fontId="82" fillId="4" borderId="5" xfId="0" applyFont="1" applyFill="1" applyBorder="1" applyAlignment="1">
      <alignment vertical="center" textRotation="90" wrapText="1"/>
    </xf>
    <xf numFmtId="0" fontId="65" fillId="4" borderId="17" xfId="0" applyFont="1" applyFill="1" applyBorder="1" applyAlignment="1">
      <alignment horizontal="left" vertical="center" textRotation="90" wrapText="1"/>
    </xf>
    <xf numFmtId="0" fontId="78" fillId="14" borderId="16" xfId="0" applyFont="1" applyFill="1" applyBorder="1" applyAlignment="1">
      <alignment textRotation="90" wrapText="1"/>
    </xf>
    <xf numFmtId="0" fontId="80" fillId="4" borderId="12" xfId="0" applyFont="1" applyFill="1" applyBorder="1" applyAlignment="1">
      <alignment vertical="center"/>
    </xf>
    <xf numFmtId="0" fontId="80" fillId="4" borderId="5" xfId="0" applyFont="1" applyFill="1" applyBorder="1" applyAlignment="1">
      <alignment vertical="center"/>
    </xf>
    <xf numFmtId="0" fontId="81" fillId="4" borderId="5" xfId="0" applyFont="1" applyFill="1" applyBorder="1" applyAlignment="1">
      <alignment vertical="center" wrapText="1"/>
    </xf>
    <xf numFmtId="0" fontId="81" fillId="4" borderId="15" xfId="0" applyFont="1" applyFill="1" applyBorder="1" applyAlignment="1">
      <alignment vertical="center" wrapText="1"/>
    </xf>
    <xf numFmtId="0" fontId="80" fillId="4" borderId="14" xfId="0" applyFont="1" applyFill="1" applyBorder="1" applyAlignment="1">
      <alignment vertical="center"/>
    </xf>
    <xf numFmtId="0" fontId="80" fillId="4" borderId="17" xfId="0" applyFont="1" applyFill="1" applyBorder="1" applyAlignment="1">
      <alignment vertical="center"/>
    </xf>
    <xf numFmtId="0" fontId="81" fillId="4" borderId="17" xfId="0" applyFont="1" applyFill="1" applyBorder="1" applyAlignment="1">
      <alignment vertical="center" wrapText="1"/>
    </xf>
    <xf numFmtId="0" fontId="81" fillId="4" borderId="18" xfId="0" applyFont="1" applyFill="1" applyBorder="1" applyAlignment="1">
      <alignment vertical="center" wrapText="1"/>
    </xf>
    <xf numFmtId="43" fontId="80" fillId="4" borderId="13" xfId="6" applyFont="1" applyFill="1" applyBorder="1" applyAlignment="1">
      <alignment vertical="center"/>
    </xf>
    <xf numFmtId="43" fontId="80" fillId="4" borderId="0" xfId="6" applyFont="1" applyFill="1" applyBorder="1" applyAlignment="1">
      <alignment vertical="center"/>
    </xf>
    <xf numFmtId="43" fontId="80" fillId="4" borderId="14" xfId="6" applyFont="1" applyFill="1" applyBorder="1" applyAlignment="1">
      <alignment vertical="center"/>
    </xf>
    <xf numFmtId="43" fontId="80" fillId="4" borderId="17" xfId="6" applyFont="1" applyFill="1" applyBorder="1" applyAlignment="1">
      <alignment vertical="center"/>
    </xf>
    <xf numFmtId="43" fontId="80" fillId="4" borderId="12" xfId="6" applyFont="1" applyFill="1" applyBorder="1" applyAlignment="1">
      <alignment vertical="center"/>
    </xf>
    <xf numFmtId="43" fontId="80" fillId="4" borderId="5" xfId="6" applyFont="1" applyFill="1" applyBorder="1" applyAlignment="1">
      <alignment vertical="center"/>
    </xf>
    <xf numFmtId="0" fontId="23" fillId="4" borderId="13" xfId="0" applyFont="1" applyFill="1" applyBorder="1" applyAlignment="1">
      <alignment vertical="center" textRotation="90" wrapText="1"/>
    </xf>
    <xf numFmtId="0" fontId="87" fillId="4" borderId="12" xfId="0" applyFont="1" applyFill="1" applyBorder="1" applyAlignment="1">
      <alignment textRotation="90" wrapText="1"/>
    </xf>
    <xf numFmtId="0" fontId="87" fillId="4" borderId="5" xfId="0" applyFont="1" applyFill="1" applyBorder="1" applyAlignment="1">
      <alignment textRotation="90" wrapText="1"/>
    </xf>
    <xf numFmtId="0" fontId="87" fillId="4" borderId="5" xfId="0" applyFont="1" applyFill="1" applyBorder="1" applyAlignment="1">
      <alignment vertical="center" textRotation="90" wrapText="1"/>
    </xf>
    <xf numFmtId="0" fontId="87" fillId="4" borderId="13" xfId="0" applyFont="1" applyFill="1" applyBorder="1" applyAlignment="1">
      <alignment textRotation="90" wrapText="1"/>
    </xf>
    <xf numFmtId="0" fontId="87" fillId="4" borderId="0" xfId="0" applyFont="1" applyFill="1" applyAlignment="1">
      <alignment textRotation="90" wrapText="1"/>
    </xf>
    <xf numFmtId="0" fontId="87" fillId="4" borderId="0" xfId="0" applyFont="1" applyFill="1" applyAlignment="1">
      <alignment vertical="center" textRotation="90" wrapText="1"/>
    </xf>
    <xf numFmtId="0" fontId="3" fillId="0" borderId="17" xfId="0" applyFont="1" applyBorder="1"/>
    <xf numFmtId="0" fontId="42" fillId="4" borderId="0" xfId="0" applyFont="1" applyFill="1" applyAlignment="1">
      <alignment wrapText="1"/>
    </xf>
    <xf numFmtId="0" fontId="42" fillId="4" borderId="16" xfId="0" applyFont="1" applyFill="1" applyBorder="1" applyAlignment="1">
      <alignment wrapText="1"/>
    </xf>
    <xf numFmtId="0" fontId="42" fillId="4" borderId="17" xfId="0" applyFont="1" applyFill="1" applyBorder="1" applyAlignment="1">
      <alignment wrapText="1"/>
    </xf>
    <xf numFmtId="0" fontId="42" fillId="4" borderId="18" xfId="0" applyFont="1" applyFill="1" applyBorder="1" applyAlignment="1">
      <alignment wrapText="1"/>
    </xf>
    <xf numFmtId="0" fontId="4" fillId="4" borderId="25" xfId="0" applyFont="1" applyFill="1" applyBorder="1" applyAlignment="1">
      <alignment horizontal="center" vertical="center"/>
    </xf>
    <xf numFmtId="0" fontId="4" fillId="4" borderId="33" xfId="0" applyFont="1" applyFill="1" applyBorder="1" applyAlignment="1">
      <alignment horizontal="center" vertical="center"/>
    </xf>
    <xf numFmtId="0" fontId="4" fillId="0" borderId="25" xfId="0" applyFont="1" applyBorder="1" applyAlignment="1">
      <alignment horizontal="center" vertical="center"/>
    </xf>
    <xf numFmtId="0" fontId="4" fillId="0" borderId="33" xfId="0" applyFont="1" applyBorder="1" applyAlignment="1">
      <alignment horizontal="center" vertical="center"/>
    </xf>
    <xf numFmtId="0" fontId="0" fillId="0" borderId="37" xfId="0" applyBorder="1" applyAlignment="1">
      <alignment horizontal="center" vertical="center"/>
    </xf>
    <xf numFmtId="0" fontId="0" fillId="0" borderId="33" xfId="0" applyBorder="1" applyAlignment="1">
      <alignment horizontal="center" vertical="center"/>
    </xf>
    <xf numFmtId="0" fontId="4" fillId="0" borderId="21" xfId="0" applyFont="1" applyBorder="1"/>
    <xf numFmtId="0" fontId="3" fillId="4" borderId="0" xfId="0" applyFont="1" applyFill="1"/>
    <xf numFmtId="0" fontId="88" fillId="4" borderId="22" xfId="0" applyFont="1" applyFill="1" applyBorder="1" applyAlignment="1">
      <alignment vertical="center" textRotation="90" wrapText="1"/>
    </xf>
    <xf numFmtId="0" fontId="88" fillId="4" borderId="23" xfId="0" applyFont="1" applyFill="1" applyBorder="1" applyAlignment="1">
      <alignment vertical="center" textRotation="90" wrapText="1"/>
    </xf>
    <xf numFmtId="0" fontId="89" fillId="4" borderId="22" xfId="0" applyFont="1" applyFill="1" applyBorder="1" applyAlignment="1">
      <alignment vertical="center" textRotation="90" wrapText="1"/>
    </xf>
    <xf numFmtId="0" fontId="3" fillId="0" borderId="37" xfId="0" applyFont="1" applyBorder="1"/>
    <xf numFmtId="0" fontId="88" fillId="4" borderId="37" xfId="0" applyFont="1" applyFill="1" applyBorder="1" applyAlignment="1">
      <alignment vertical="center" textRotation="90" wrapText="1"/>
    </xf>
    <xf numFmtId="0" fontId="89" fillId="4" borderId="50" xfId="0" applyFont="1" applyFill="1" applyBorder="1" applyAlignment="1">
      <alignment vertical="center" textRotation="90" wrapText="1"/>
    </xf>
    <xf numFmtId="0" fontId="91" fillId="4" borderId="0" xfId="0" applyFont="1" applyFill="1" applyAlignment="1">
      <alignment wrapText="1"/>
    </xf>
    <xf numFmtId="0" fontId="91" fillId="4" borderId="38" xfId="0" applyFont="1" applyFill="1" applyBorder="1" applyAlignment="1">
      <alignment wrapText="1"/>
    </xf>
    <xf numFmtId="0" fontId="91" fillId="4" borderId="48" xfId="0" applyFont="1" applyFill="1" applyBorder="1" applyAlignment="1">
      <alignment wrapText="1"/>
    </xf>
    <xf numFmtId="0" fontId="91" fillId="4" borderId="16" xfId="0" applyFont="1" applyFill="1" applyBorder="1" applyAlignment="1">
      <alignment wrapText="1"/>
    </xf>
    <xf numFmtId="0" fontId="80" fillId="4" borderId="21" xfId="0" applyFont="1" applyFill="1" applyBorder="1" applyAlignment="1">
      <alignment vertical="center"/>
    </xf>
    <xf numFmtId="0" fontId="80" fillId="4" borderId="19" xfId="0" applyFont="1" applyFill="1" applyBorder="1" applyAlignment="1">
      <alignment vertical="center"/>
    </xf>
    <xf numFmtId="0" fontId="6" fillId="4" borderId="48" xfId="0" applyFont="1" applyFill="1" applyBorder="1" applyAlignment="1">
      <alignment vertical="center" textRotation="90" wrapText="1"/>
    </xf>
    <xf numFmtId="0" fontId="6" fillId="4" borderId="16" xfId="0" applyFont="1" applyFill="1" applyBorder="1" applyAlignment="1">
      <alignment vertical="center" textRotation="90" wrapText="1"/>
    </xf>
    <xf numFmtId="0" fontId="6" fillId="4" borderId="18" xfId="0" applyFont="1" applyFill="1" applyBorder="1" applyAlignment="1">
      <alignment vertical="center" textRotation="90" wrapText="1"/>
    </xf>
    <xf numFmtId="0" fontId="3" fillId="12" borderId="8" xfId="0" applyFont="1" applyFill="1" applyBorder="1" applyAlignment="1">
      <alignment horizontal="center" vertical="center"/>
    </xf>
    <xf numFmtId="0" fontId="3" fillId="12" borderId="57" xfId="0" applyFont="1" applyFill="1" applyBorder="1" applyAlignment="1">
      <alignment horizontal="center" vertical="center"/>
    </xf>
    <xf numFmtId="0" fontId="3" fillId="12" borderId="52" xfId="0" applyFont="1" applyFill="1" applyBorder="1" applyAlignment="1">
      <alignment horizontal="center" vertical="center"/>
    </xf>
    <xf numFmtId="0" fontId="3" fillId="7" borderId="8" xfId="0" applyFont="1" applyFill="1" applyBorder="1" applyAlignment="1">
      <alignment horizontal="center" vertical="center"/>
    </xf>
    <xf numFmtId="0" fontId="3" fillId="7" borderId="57" xfId="0" applyFont="1" applyFill="1" applyBorder="1" applyAlignment="1">
      <alignment horizontal="center" vertical="center"/>
    </xf>
    <xf numFmtId="0" fontId="3" fillId="7" borderId="52" xfId="0" applyFont="1" applyFill="1" applyBorder="1" applyAlignment="1">
      <alignment horizontal="center" vertical="center"/>
    </xf>
    <xf numFmtId="0" fontId="16" fillId="8" borderId="8" xfId="0" applyFont="1" applyFill="1" applyBorder="1" applyAlignment="1">
      <alignment horizontal="center" vertical="center"/>
    </xf>
    <xf numFmtId="0" fontId="16" fillId="8" borderId="52" xfId="0" applyFont="1" applyFill="1" applyBorder="1" applyAlignment="1">
      <alignment horizontal="center" vertical="center"/>
    </xf>
    <xf numFmtId="0" fontId="3" fillId="14" borderId="8" xfId="0" applyFont="1" applyFill="1" applyBorder="1" applyAlignment="1">
      <alignment horizontal="center" vertical="center"/>
    </xf>
    <xf numFmtId="0" fontId="3" fillId="14" borderId="57" xfId="0" applyFont="1" applyFill="1" applyBorder="1" applyAlignment="1">
      <alignment horizontal="center" vertical="center"/>
    </xf>
    <xf numFmtId="0" fontId="3" fillId="14" borderId="52" xfId="0" applyFont="1" applyFill="1" applyBorder="1" applyAlignment="1">
      <alignment horizontal="center" vertical="center"/>
    </xf>
    <xf numFmtId="0" fontId="0" fillId="0" borderId="19" xfId="0" applyBorder="1"/>
    <xf numFmtId="0" fontId="23" fillId="4" borderId="23" xfId="0" applyFont="1" applyFill="1" applyBorder="1" applyAlignment="1">
      <alignment horizontal="center" vertical="center" textRotation="90" wrapText="1"/>
    </xf>
    <xf numFmtId="0" fontId="6" fillId="4" borderId="23" xfId="0" applyFont="1" applyFill="1" applyBorder="1" applyAlignment="1">
      <alignment vertical="center" wrapText="1"/>
    </xf>
    <xf numFmtId="0" fontId="23" fillId="4" borderId="13" xfId="0" applyFont="1" applyFill="1" applyBorder="1" applyAlignment="1">
      <alignment horizontal="center" vertical="center" textRotation="90" wrapText="1"/>
    </xf>
    <xf numFmtId="0" fontId="42" fillId="18" borderId="0" xfId="0" applyFont="1" applyFill="1" applyAlignment="1">
      <alignment horizontal="center" vertical="center"/>
    </xf>
    <xf numFmtId="0" fontId="18" fillId="18" borderId="0" xfId="0" applyFont="1" applyFill="1" applyAlignment="1">
      <alignment horizontal="center" vertical="center" wrapText="1"/>
    </xf>
    <xf numFmtId="0" fontId="4" fillId="4" borderId="0" xfId="0" applyFont="1" applyFill="1" applyAlignment="1">
      <alignment vertical="center" textRotation="90" wrapText="1"/>
    </xf>
    <xf numFmtId="0" fontId="93" fillId="14" borderId="22" xfId="0" applyFont="1" applyFill="1" applyBorder="1" applyAlignment="1">
      <alignment horizontal="center" vertical="center" textRotation="90" wrapText="1"/>
    </xf>
    <xf numFmtId="0" fontId="93" fillId="4" borderId="23" xfId="0" applyFont="1" applyFill="1" applyBorder="1" applyAlignment="1">
      <alignment horizontal="center" vertical="center" textRotation="90" wrapText="1"/>
    </xf>
    <xf numFmtId="0" fontId="92" fillId="4" borderId="0" xfId="0" applyFont="1" applyFill="1" applyAlignment="1">
      <alignment vertical="center" textRotation="90" wrapText="1"/>
    </xf>
    <xf numFmtId="0" fontId="93" fillId="4" borderId="5" xfId="0" applyFont="1" applyFill="1" applyBorder="1" applyAlignment="1">
      <alignment horizontal="center" vertical="center" textRotation="90" wrapText="1"/>
    </xf>
    <xf numFmtId="0" fontId="92" fillId="4" borderId="16" xfId="0" applyFont="1" applyFill="1" applyBorder="1" applyAlignment="1">
      <alignment vertical="center" textRotation="90" wrapText="1"/>
    </xf>
    <xf numFmtId="0" fontId="80" fillId="4" borderId="13" xfId="0" applyFont="1" applyFill="1" applyBorder="1" applyAlignment="1">
      <alignment vertical="center"/>
    </xf>
    <xf numFmtId="0" fontId="93" fillId="14" borderId="0" xfId="0" applyFont="1" applyFill="1" applyAlignment="1">
      <alignment horizontal="center" vertical="center" textRotation="90" wrapText="1"/>
    </xf>
    <xf numFmtId="0" fontId="80" fillId="4" borderId="0" xfId="0" applyFont="1" applyFill="1" applyAlignment="1">
      <alignment vertical="center"/>
    </xf>
    <xf numFmtId="0" fontId="92" fillId="4" borderId="0" xfId="0" applyFont="1" applyFill="1" applyAlignment="1">
      <alignment vertical="center" wrapText="1"/>
    </xf>
    <xf numFmtId="0" fontId="92" fillId="4" borderId="16" xfId="0" applyFont="1" applyFill="1" applyBorder="1" applyAlignment="1">
      <alignment vertical="center" wrapText="1"/>
    </xf>
    <xf numFmtId="0" fontId="93" fillId="14" borderId="13" xfId="0" applyFont="1" applyFill="1" applyBorder="1" applyAlignment="1">
      <alignment horizontal="center" vertical="center" textRotation="90" wrapText="1"/>
    </xf>
    <xf numFmtId="0" fontId="80" fillId="4" borderId="23" xfId="0" applyFont="1" applyFill="1" applyBorder="1" applyAlignment="1">
      <alignment vertical="center" textRotation="90" wrapText="1"/>
    </xf>
    <xf numFmtId="0" fontId="80" fillId="4" borderId="0" xfId="0" applyFont="1" applyFill="1" applyAlignment="1">
      <alignment vertical="center" textRotation="90" wrapText="1"/>
    </xf>
    <xf numFmtId="0" fontId="93" fillId="4" borderId="22" xfId="0" applyFont="1" applyFill="1" applyBorder="1" applyAlignment="1">
      <alignment horizontal="center" vertical="center" textRotation="90" wrapText="1"/>
    </xf>
    <xf numFmtId="0" fontId="0" fillId="4" borderId="38" xfId="0" applyFill="1" applyBorder="1" applyAlignment="1">
      <alignment horizontal="center" vertical="center"/>
    </xf>
    <xf numFmtId="0" fontId="0" fillId="4" borderId="39" xfId="0" applyFill="1" applyBorder="1" applyAlignment="1">
      <alignment horizontal="center" vertical="center"/>
    </xf>
    <xf numFmtId="0" fontId="54" fillId="4" borderId="0" xfId="0" applyFont="1" applyFill="1" applyAlignment="1">
      <alignment horizontal="center" vertical="center"/>
    </xf>
    <xf numFmtId="0" fontId="17" fillId="4" borderId="43" xfId="0" applyFont="1" applyFill="1" applyBorder="1" applyAlignment="1">
      <alignment horizontal="center" vertical="center"/>
    </xf>
    <xf numFmtId="0" fontId="17" fillId="4" borderId="57" xfId="0" applyFont="1" applyFill="1" applyBorder="1" applyAlignment="1">
      <alignment horizontal="center" vertical="center"/>
    </xf>
    <xf numFmtId="0" fontId="17" fillId="4" borderId="64" xfId="0" applyFont="1" applyFill="1" applyBorder="1" applyAlignment="1">
      <alignment horizontal="center" vertical="center"/>
    </xf>
    <xf numFmtId="0" fontId="41" fillId="24" borderId="0" xfId="0" applyFont="1" applyFill="1" applyAlignment="1">
      <alignment wrapText="1"/>
    </xf>
    <xf numFmtId="0" fontId="41" fillId="24" borderId="16" xfId="0" applyFont="1" applyFill="1" applyBorder="1" applyAlignment="1">
      <alignment wrapText="1"/>
    </xf>
    <xf numFmtId="0" fontId="18" fillId="24" borderId="26" xfId="0" applyFont="1" applyFill="1" applyBorder="1" applyAlignment="1">
      <alignment vertical="top" wrapText="1"/>
    </xf>
    <xf numFmtId="0" fontId="18" fillId="24" borderId="33" xfId="0" applyFont="1" applyFill="1" applyBorder="1" applyAlignment="1">
      <alignment vertical="top" wrapText="1"/>
    </xf>
    <xf numFmtId="0" fontId="4" fillId="4" borderId="25" xfId="0" applyFont="1" applyFill="1" applyBorder="1" applyAlignment="1">
      <alignment vertical="center" wrapText="1"/>
    </xf>
    <xf numFmtId="0" fontId="0" fillId="4" borderId="20" xfId="0" applyFill="1" applyBorder="1"/>
    <xf numFmtId="0" fontId="88" fillId="4" borderId="13" xfId="0" applyFont="1" applyFill="1" applyBorder="1" applyAlignment="1">
      <alignment vertical="center" textRotation="90" wrapText="1"/>
    </xf>
    <xf numFmtId="0" fontId="42" fillId="4" borderId="5" xfId="0" applyFont="1" applyFill="1" applyBorder="1" applyAlignment="1">
      <alignment wrapText="1"/>
    </xf>
    <xf numFmtId="0" fontId="88" fillId="4" borderId="0" xfId="0" applyFont="1" applyFill="1" applyAlignment="1">
      <alignment vertical="center" textRotation="90" wrapText="1"/>
    </xf>
    <xf numFmtId="0" fontId="4" fillId="0" borderId="12" xfId="0" applyFont="1" applyBorder="1"/>
    <xf numFmtId="0" fontId="3" fillId="0" borderId="43" xfId="0" applyFont="1" applyBorder="1" applyAlignment="1">
      <alignment horizontal="center" vertical="center"/>
    </xf>
    <xf numFmtId="0" fontId="4" fillId="4" borderId="0" xfId="0" applyFont="1" applyFill="1" applyAlignment="1">
      <alignment horizontal="center" vertical="center" textRotation="90" wrapText="1"/>
    </xf>
    <xf numFmtId="0" fontId="5" fillId="4" borderId="0" xfId="0" applyFont="1" applyFill="1" applyAlignment="1">
      <alignment horizontal="center" vertical="center"/>
    </xf>
    <xf numFmtId="0" fontId="80" fillId="4" borderId="0" xfId="0" applyFont="1" applyFill="1" applyAlignment="1">
      <alignment horizontal="center" vertical="center" textRotation="90" wrapText="1"/>
    </xf>
    <xf numFmtId="0" fontId="92" fillId="4" borderId="0" xfId="0" applyFont="1" applyFill="1" applyAlignment="1">
      <alignment horizontal="center" vertical="center" textRotation="90" wrapText="1"/>
    </xf>
    <xf numFmtId="0" fontId="80" fillId="4" borderId="0" xfId="0" applyFont="1" applyFill="1" applyAlignment="1">
      <alignment horizontal="center" vertical="center"/>
    </xf>
    <xf numFmtId="0" fontId="92" fillId="4" borderId="0" xfId="0" applyFont="1" applyFill="1" applyAlignment="1">
      <alignment horizontal="center" vertical="center" wrapText="1"/>
    </xf>
    <xf numFmtId="0" fontId="44" fillId="4" borderId="13" xfId="0" applyFont="1" applyFill="1" applyBorder="1" applyAlignment="1">
      <alignment horizontal="center" vertical="center" textRotation="90" wrapText="1"/>
    </xf>
    <xf numFmtId="0" fontId="4" fillId="4" borderId="14" xfId="0" applyFont="1" applyFill="1" applyBorder="1" applyAlignment="1">
      <alignment vertical="center" wrapText="1"/>
    </xf>
    <xf numFmtId="0" fontId="2" fillId="4" borderId="0" xfId="0" applyFont="1" applyFill="1"/>
    <xf numFmtId="0" fontId="9" fillId="4" borderId="0" xfId="0" applyFont="1" applyFill="1"/>
    <xf numFmtId="0" fontId="93" fillId="4" borderId="23" xfId="0" applyFont="1" applyFill="1" applyBorder="1" applyAlignment="1">
      <alignment vertical="center" textRotation="90" wrapText="1"/>
    </xf>
    <xf numFmtId="0" fontId="93" fillId="4" borderId="37" xfId="0" applyFont="1" applyFill="1" applyBorder="1" applyAlignment="1">
      <alignment vertical="center" textRotation="90" wrapText="1"/>
    </xf>
    <xf numFmtId="43" fontId="88" fillId="4" borderId="13" xfId="6" applyFont="1" applyFill="1" applyBorder="1" applyAlignment="1">
      <alignment vertical="center" textRotation="90" wrapText="1"/>
    </xf>
    <xf numFmtId="43" fontId="88" fillId="4" borderId="0" xfId="6" applyFont="1" applyFill="1" applyBorder="1" applyAlignment="1">
      <alignment vertical="center" textRotation="90" wrapText="1"/>
    </xf>
    <xf numFmtId="43" fontId="79" fillId="4" borderId="20" xfId="6" applyFont="1" applyFill="1" applyBorder="1" applyAlignment="1">
      <alignment vertical="center" textRotation="90" wrapText="1"/>
    </xf>
    <xf numFmtId="43" fontId="88" fillId="4" borderId="36" xfId="6" applyFont="1" applyFill="1" applyBorder="1" applyAlignment="1">
      <alignment vertical="center" textRotation="90" wrapText="1"/>
    </xf>
    <xf numFmtId="43" fontId="88" fillId="4" borderId="26" xfId="6" applyFont="1" applyFill="1" applyBorder="1" applyAlignment="1">
      <alignment vertical="center" textRotation="90" wrapText="1"/>
    </xf>
    <xf numFmtId="43" fontId="79" fillId="4" borderId="40" xfId="6" applyFont="1" applyFill="1" applyBorder="1" applyAlignment="1">
      <alignment vertical="center" textRotation="90" wrapText="1"/>
    </xf>
    <xf numFmtId="0" fontId="6" fillId="4" borderId="37" xfId="0" applyFont="1" applyFill="1" applyBorder="1" applyAlignment="1">
      <alignment wrapText="1"/>
    </xf>
    <xf numFmtId="0" fontId="0" fillId="4" borderId="17" xfId="0" applyFill="1" applyBorder="1"/>
    <xf numFmtId="0" fontId="0" fillId="4" borderId="21" xfId="0" applyFill="1" applyBorder="1"/>
    <xf numFmtId="0" fontId="0" fillId="4" borderId="14" xfId="0" applyFill="1" applyBorder="1"/>
    <xf numFmtId="0" fontId="0" fillId="0" borderId="48" xfId="0" applyBorder="1"/>
    <xf numFmtId="0" fontId="19" fillId="4" borderId="50" xfId="0" applyFont="1" applyFill="1" applyBorder="1" applyAlignment="1">
      <alignment horizontal="center" vertical="center" textRotation="90" wrapText="1"/>
    </xf>
    <xf numFmtId="0" fontId="5" fillId="4" borderId="5" xfId="0" applyFont="1" applyFill="1" applyBorder="1" applyAlignment="1">
      <alignment horizontal="center" vertical="center" textRotation="90" wrapText="1"/>
    </xf>
    <xf numFmtId="0" fontId="91" fillId="4" borderId="50" xfId="0" applyFont="1" applyFill="1" applyBorder="1" applyAlignment="1">
      <alignment horizontal="center" vertical="center" textRotation="90" wrapText="1"/>
    </xf>
    <xf numFmtId="0" fontId="91" fillId="4" borderId="23" xfId="0" applyFont="1" applyFill="1" applyBorder="1" applyAlignment="1">
      <alignment horizontal="center" vertical="center" textRotation="90" wrapText="1"/>
    </xf>
    <xf numFmtId="0" fontId="4" fillId="12" borderId="13" xfId="0" applyFont="1" applyFill="1" applyBorder="1" applyAlignment="1">
      <alignment vertical="center" wrapText="1"/>
    </xf>
    <xf numFmtId="0" fontId="23" fillId="19" borderId="0" xfId="0" applyFont="1" applyFill="1" applyAlignment="1">
      <alignment vertical="center" textRotation="90" wrapText="1"/>
    </xf>
    <xf numFmtId="0" fontId="10" fillId="19" borderId="0" xfId="0" applyFont="1" applyFill="1" applyAlignment="1">
      <alignment vertical="center" textRotation="90" wrapText="1"/>
    </xf>
    <xf numFmtId="0" fontId="6" fillId="12" borderId="13" xfId="0" applyFont="1" applyFill="1" applyBorder="1" applyAlignment="1">
      <alignment wrapText="1"/>
    </xf>
    <xf numFmtId="0" fontId="5" fillId="4" borderId="0" xfId="0" applyFont="1" applyFill="1" applyAlignment="1">
      <alignment vertical="center" wrapText="1"/>
    </xf>
    <xf numFmtId="0" fontId="0" fillId="0" borderId="60" xfId="0" applyBorder="1"/>
    <xf numFmtId="0" fontId="78" fillId="4" borderId="16" xfId="0" applyFont="1" applyFill="1" applyBorder="1" applyAlignment="1">
      <alignment textRotation="90" wrapText="1"/>
    </xf>
    <xf numFmtId="0" fontId="4" fillId="4" borderId="26" xfId="0" applyFont="1" applyFill="1" applyBorder="1" applyAlignment="1">
      <alignment vertical="top" wrapText="1"/>
    </xf>
    <xf numFmtId="0" fontId="4" fillId="4" borderId="33" xfId="0" applyFont="1" applyFill="1" applyBorder="1" applyAlignment="1">
      <alignment vertical="top" wrapText="1"/>
    </xf>
    <xf numFmtId="0" fontId="48" fillId="16" borderId="0" xfId="0" applyFont="1" applyFill="1"/>
    <xf numFmtId="0" fontId="19" fillId="16" borderId="0" xfId="0" applyFont="1" applyFill="1"/>
    <xf numFmtId="0" fontId="36" fillId="4" borderId="23" xfId="0" applyFont="1" applyFill="1" applyBorder="1" applyAlignment="1">
      <alignment vertical="center"/>
    </xf>
    <xf numFmtId="0" fontId="36" fillId="4" borderId="16" xfId="0" applyFont="1" applyFill="1" applyBorder="1" applyAlignment="1">
      <alignment vertical="center"/>
    </xf>
    <xf numFmtId="0" fontId="36" fillId="4" borderId="24" xfId="0" applyFont="1" applyFill="1" applyBorder="1" applyAlignment="1">
      <alignment vertical="center"/>
    </xf>
    <xf numFmtId="0" fontId="36" fillId="4" borderId="18" xfId="0" applyFont="1" applyFill="1" applyBorder="1" applyAlignment="1">
      <alignment vertical="center"/>
    </xf>
    <xf numFmtId="0" fontId="5" fillId="4" borderId="13" xfId="0" applyFont="1" applyFill="1" applyBorder="1" applyAlignment="1">
      <alignment vertical="center" textRotation="90" wrapText="1"/>
    </xf>
    <xf numFmtId="0" fontId="3" fillId="4" borderId="0" xfId="0" applyFont="1" applyFill="1" applyAlignment="1">
      <alignment vertical="center" textRotation="90" wrapText="1"/>
    </xf>
    <xf numFmtId="0" fontId="16" fillId="4" borderId="16" xfId="0" applyFont="1" applyFill="1" applyBorder="1" applyAlignment="1">
      <alignment vertical="center" textRotation="90" wrapText="1"/>
    </xf>
    <xf numFmtId="0" fontId="41" fillId="14" borderId="12" xfId="0" applyFont="1" applyFill="1" applyBorder="1" applyAlignment="1">
      <alignment vertical="center" textRotation="90" wrapText="1"/>
    </xf>
    <xf numFmtId="0" fontId="41" fillId="14" borderId="22" xfId="0" applyFont="1" applyFill="1" applyBorder="1" applyAlignment="1">
      <alignment horizontal="center" vertical="center" textRotation="90" wrapText="1"/>
    </xf>
    <xf numFmtId="0" fontId="38" fillId="4" borderId="0" xfId="0" applyFont="1" applyFill="1" applyAlignment="1">
      <alignment vertical="center" textRotation="90" wrapText="1"/>
    </xf>
    <xf numFmtId="0" fontId="16" fillId="4" borderId="0" xfId="0" applyFont="1" applyFill="1" applyAlignment="1">
      <alignment vertical="center" textRotation="90" wrapText="1"/>
    </xf>
    <xf numFmtId="0" fontId="36" fillId="4" borderId="0" xfId="0" applyFont="1" applyFill="1" applyAlignment="1">
      <alignment vertical="center"/>
    </xf>
    <xf numFmtId="0" fontId="13" fillId="4" borderId="0" xfId="0" applyFont="1" applyFill="1" applyAlignment="1">
      <alignment vertical="center" textRotation="90" wrapText="1"/>
    </xf>
    <xf numFmtId="0" fontId="3" fillId="4" borderId="0" xfId="0" applyFont="1" applyFill="1" applyAlignment="1">
      <alignment horizontal="left" vertical="center"/>
    </xf>
    <xf numFmtId="0" fontId="81" fillId="4" borderId="0" xfId="0" applyFont="1" applyFill="1" applyAlignment="1">
      <alignment vertical="center" wrapText="1"/>
    </xf>
    <xf numFmtId="0" fontId="0" fillId="4" borderId="18" xfId="0" applyFill="1" applyBorder="1"/>
    <xf numFmtId="0" fontId="5" fillId="4" borderId="13" xfId="0" applyFont="1" applyFill="1" applyBorder="1" applyAlignment="1">
      <alignment vertical="center"/>
    </xf>
    <xf numFmtId="0" fontId="36" fillId="4" borderId="17" xfId="0" applyFont="1" applyFill="1" applyBorder="1" applyAlignment="1">
      <alignment vertical="center"/>
    </xf>
    <xf numFmtId="0" fontId="41" fillId="14" borderId="23" xfId="0" applyFont="1" applyFill="1" applyBorder="1" applyAlignment="1">
      <alignment vertical="center" textRotation="90" wrapText="1"/>
    </xf>
    <xf numFmtId="0" fontId="41" fillId="14" borderId="37" xfId="0" applyFont="1" applyFill="1" applyBorder="1" applyAlignment="1">
      <alignment vertical="center" textRotation="90" wrapText="1"/>
    </xf>
    <xf numFmtId="0" fontId="41" fillId="14" borderId="50" xfId="0" applyFont="1" applyFill="1" applyBorder="1" applyAlignment="1">
      <alignment vertical="center" textRotation="90" wrapText="1"/>
    </xf>
    <xf numFmtId="0" fontId="5" fillId="4" borderId="50" xfId="0" applyFont="1" applyFill="1" applyBorder="1" applyAlignment="1">
      <alignment vertical="center"/>
    </xf>
    <xf numFmtId="0" fontId="3" fillId="4" borderId="38" xfId="0" applyFont="1" applyFill="1" applyBorder="1" applyAlignment="1">
      <alignment vertical="center" wrapText="1"/>
    </xf>
    <xf numFmtId="0" fontId="3" fillId="4" borderId="48" xfId="0" applyFont="1" applyFill="1" applyBorder="1" applyAlignment="1">
      <alignment vertical="center" wrapText="1"/>
    </xf>
    <xf numFmtId="0" fontId="41" fillId="14" borderId="5" xfId="0" applyFont="1" applyFill="1" applyBorder="1" applyAlignment="1">
      <alignment vertical="center" textRotation="90" wrapText="1"/>
    </xf>
    <xf numFmtId="0" fontId="41" fillId="14" borderId="22" xfId="0" applyFont="1" applyFill="1" applyBorder="1" applyAlignment="1">
      <alignment vertical="center" textRotation="90" wrapText="1"/>
    </xf>
    <xf numFmtId="0" fontId="6" fillId="4" borderId="12" xfId="0" applyFont="1" applyFill="1" applyBorder="1" applyAlignment="1">
      <alignment horizontal="center" vertical="center" textRotation="90" wrapText="1"/>
    </xf>
    <xf numFmtId="0" fontId="41" fillId="20" borderId="22" xfId="0" applyFont="1" applyFill="1" applyBorder="1" applyAlignment="1">
      <alignment vertical="center" textRotation="90" wrapText="1"/>
    </xf>
    <xf numFmtId="0" fontId="6" fillId="4" borderId="5" xfId="0" applyFont="1" applyFill="1" applyBorder="1" applyAlignment="1">
      <alignment wrapText="1"/>
    </xf>
    <xf numFmtId="0" fontId="6" fillId="4" borderId="15" xfId="0" applyFont="1" applyFill="1" applyBorder="1" applyAlignment="1">
      <alignment wrapText="1"/>
    </xf>
    <xf numFmtId="0" fontId="23" fillId="4" borderId="23" xfId="0" applyFont="1" applyFill="1" applyBorder="1" applyAlignment="1">
      <alignment vertical="center" textRotation="90" wrapText="1"/>
    </xf>
    <xf numFmtId="0" fontId="51" fillId="14" borderId="23" xfId="0" applyFont="1" applyFill="1" applyBorder="1" applyAlignment="1">
      <alignment vertical="center" textRotation="90" wrapText="1"/>
    </xf>
    <xf numFmtId="0" fontId="4" fillId="4" borderId="5" xfId="0" applyFont="1" applyFill="1" applyBorder="1" applyAlignment="1">
      <alignment horizontal="center" vertical="center" wrapText="1"/>
    </xf>
    <xf numFmtId="0" fontId="5" fillId="4" borderId="5" xfId="0" applyFont="1" applyFill="1" applyBorder="1" applyAlignment="1">
      <alignment horizontal="center" vertical="center"/>
    </xf>
    <xf numFmtId="0" fontId="3" fillId="4" borderId="19" xfId="0" applyFont="1" applyFill="1" applyBorder="1" applyAlignment="1">
      <alignment vertical="center" textRotation="90" wrapText="1"/>
    </xf>
    <xf numFmtId="0" fontId="24" fillId="4" borderId="0" xfId="0" applyFont="1" applyFill="1" applyAlignment="1">
      <alignment horizontal="center" vertical="center" textRotation="90" wrapText="1"/>
    </xf>
    <xf numFmtId="0" fontId="5" fillId="4" borderId="14" xfId="0" applyFont="1" applyFill="1" applyBorder="1" applyAlignment="1">
      <alignment vertical="center"/>
    </xf>
    <xf numFmtId="0" fontId="38" fillId="4" borderId="39" xfId="0" applyFont="1" applyFill="1" applyBorder="1" applyAlignment="1">
      <alignment vertical="center" textRotation="90" wrapText="1"/>
    </xf>
    <xf numFmtId="0" fontId="38" fillId="4" borderId="20" xfId="0" applyFont="1" applyFill="1" applyBorder="1" applyAlignment="1">
      <alignment vertical="center" textRotation="90" wrapText="1"/>
    </xf>
    <xf numFmtId="0" fontId="42" fillId="4" borderId="17" xfId="0" applyFont="1" applyFill="1" applyBorder="1" applyAlignment="1">
      <alignment vertical="center" textRotation="90" wrapText="1"/>
    </xf>
    <xf numFmtId="0" fontId="92" fillId="4" borderId="5" xfId="0" applyFont="1" applyFill="1" applyBorder="1" applyAlignment="1">
      <alignment horizontal="center" vertical="center" textRotation="90" wrapText="1"/>
    </xf>
    <xf numFmtId="0" fontId="92" fillId="4" borderId="5" xfId="0" applyFont="1" applyFill="1" applyBorder="1" applyAlignment="1">
      <alignment vertical="center" wrapText="1"/>
    </xf>
    <xf numFmtId="0" fontId="80" fillId="4" borderId="5" xfId="0" applyFont="1" applyFill="1" applyBorder="1" applyAlignment="1">
      <alignment horizontal="center" vertical="center" textRotation="90" wrapText="1"/>
    </xf>
    <xf numFmtId="0" fontId="80" fillId="4" borderId="5" xfId="0" applyFont="1" applyFill="1" applyBorder="1" applyAlignment="1">
      <alignment horizontal="center" vertical="center"/>
    </xf>
    <xf numFmtId="0" fontId="5" fillId="4" borderId="21" xfId="0" applyFont="1" applyFill="1" applyBorder="1" applyAlignment="1">
      <alignment vertical="center"/>
    </xf>
    <xf numFmtId="0" fontId="3" fillId="4" borderId="24" xfId="0" applyFont="1" applyFill="1" applyBorder="1" applyAlignment="1">
      <alignment vertical="center" wrapText="1"/>
    </xf>
    <xf numFmtId="0" fontId="92" fillId="4" borderId="5" xfId="0" applyFont="1" applyFill="1" applyBorder="1" applyAlignment="1">
      <alignment horizontal="center" vertical="center" wrapText="1"/>
    </xf>
    <xf numFmtId="0" fontId="51" fillId="14" borderId="13" xfId="0" applyFont="1" applyFill="1" applyBorder="1" applyAlignment="1">
      <alignment horizontal="center" vertical="center" textRotation="90" wrapText="1"/>
    </xf>
    <xf numFmtId="0" fontId="51" fillId="14" borderId="0" xfId="0" applyFont="1" applyFill="1" applyAlignment="1">
      <alignment horizontal="center" vertical="center" textRotation="90" wrapText="1"/>
    </xf>
    <xf numFmtId="0" fontId="4" fillId="4" borderId="36" xfId="0" applyFont="1" applyFill="1" applyBorder="1" applyAlignment="1">
      <alignment vertical="top" wrapText="1"/>
    </xf>
    <xf numFmtId="0" fontId="4" fillId="4" borderId="14" xfId="0" applyFont="1" applyFill="1" applyBorder="1" applyAlignment="1">
      <alignment vertical="top" wrapText="1"/>
    </xf>
    <xf numFmtId="0" fontId="10" fillId="0" borderId="41" xfId="0" applyFont="1" applyBorder="1"/>
    <xf numFmtId="0" fontId="6" fillId="4" borderId="14" xfId="0" applyFont="1" applyFill="1" applyBorder="1" applyAlignment="1">
      <alignment vertical="center" textRotation="90" wrapText="1"/>
    </xf>
    <xf numFmtId="0" fontId="41" fillId="20" borderId="37" xfId="0" applyFont="1" applyFill="1" applyBorder="1" applyAlignment="1">
      <alignment vertical="center" textRotation="90" wrapText="1"/>
    </xf>
    <xf numFmtId="0" fontId="79" fillId="4" borderId="18" xfId="0" applyFont="1" applyFill="1" applyBorder="1" applyAlignment="1">
      <alignment vertical="center" textRotation="90" wrapText="1"/>
    </xf>
    <xf numFmtId="0" fontId="79" fillId="4" borderId="16" xfId="0" applyFont="1" applyFill="1" applyBorder="1" applyAlignment="1">
      <alignment vertical="center" textRotation="90" wrapText="1"/>
    </xf>
    <xf numFmtId="0" fontId="79" fillId="4" borderId="20" xfId="0" applyFont="1" applyFill="1" applyBorder="1" applyAlignment="1">
      <alignment vertical="center" textRotation="90" wrapText="1"/>
    </xf>
    <xf numFmtId="0" fontId="88" fillId="4" borderId="14" xfId="0" applyFont="1" applyFill="1" applyBorder="1" applyAlignment="1">
      <alignment vertical="center" textRotation="90" wrapText="1"/>
    </xf>
    <xf numFmtId="0" fontId="88" fillId="4" borderId="17" xfId="0" applyFont="1" applyFill="1" applyBorder="1" applyAlignment="1">
      <alignment vertical="center" textRotation="90" wrapText="1"/>
    </xf>
    <xf numFmtId="0" fontId="79" fillId="4" borderId="21" xfId="0" applyFont="1" applyFill="1" applyBorder="1" applyAlignment="1">
      <alignment vertical="center" textRotation="90" wrapText="1"/>
    </xf>
    <xf numFmtId="0" fontId="17" fillId="4" borderId="17" xfId="0" applyFont="1" applyFill="1" applyBorder="1" applyAlignment="1">
      <alignment vertical="center" wrapText="1"/>
    </xf>
    <xf numFmtId="0" fontId="19" fillId="4" borderId="38" xfId="0" applyFont="1" applyFill="1" applyBorder="1" applyAlignment="1">
      <alignment wrapText="1"/>
    </xf>
    <xf numFmtId="0" fontId="19" fillId="4" borderId="48" xfId="0" applyFont="1" applyFill="1" applyBorder="1" applyAlignment="1">
      <alignment wrapText="1"/>
    </xf>
    <xf numFmtId="0" fontId="4" fillId="4" borderId="40" xfId="0" applyFont="1" applyFill="1" applyBorder="1" applyAlignment="1">
      <alignment vertical="center" wrapText="1"/>
    </xf>
    <xf numFmtId="0" fontId="51" fillId="4" borderId="0" xfId="0" applyFont="1" applyFill="1" applyAlignment="1">
      <alignment horizontal="center" vertical="center" textRotation="90" wrapText="1"/>
    </xf>
    <xf numFmtId="0" fontId="5" fillId="4" borderId="29" xfId="0" applyFont="1" applyFill="1" applyBorder="1" applyAlignment="1">
      <alignment vertical="center" textRotation="255" wrapText="1"/>
    </xf>
    <xf numFmtId="0" fontId="42" fillId="12" borderId="55" xfId="0" applyFont="1" applyFill="1" applyBorder="1" applyAlignment="1">
      <alignment vertical="center" textRotation="255" wrapText="1"/>
    </xf>
    <xf numFmtId="0" fontId="4" fillId="4" borderId="17" xfId="0" applyFont="1" applyFill="1" applyBorder="1"/>
    <xf numFmtId="0" fontId="46" fillId="4" borderId="0" xfId="0" applyFont="1" applyFill="1" applyAlignment="1">
      <alignment vertical="center" textRotation="90" wrapText="1"/>
    </xf>
    <xf numFmtId="0" fontId="51" fillId="11" borderId="0" xfId="0" applyFont="1" applyFill="1" applyAlignment="1">
      <alignment vertical="center" textRotation="90" wrapText="1"/>
    </xf>
    <xf numFmtId="0" fontId="24" fillId="4" borderId="14" xfId="0" applyFont="1" applyFill="1" applyBorder="1" applyAlignment="1">
      <alignment horizontal="center" vertical="center" wrapText="1"/>
    </xf>
    <xf numFmtId="0" fontId="5" fillId="4" borderId="12" xfId="0" applyFont="1" applyFill="1" applyBorder="1" applyAlignment="1">
      <alignment wrapText="1"/>
    </xf>
    <xf numFmtId="0" fontId="5" fillId="4" borderId="5" xfId="0" applyFont="1" applyFill="1" applyBorder="1" applyAlignment="1">
      <alignment wrapText="1"/>
    </xf>
    <xf numFmtId="0" fontId="5" fillId="4" borderId="15" xfId="0" applyFont="1" applyFill="1" applyBorder="1" applyAlignment="1">
      <alignment wrapText="1"/>
    </xf>
    <xf numFmtId="0" fontId="24" fillId="4" borderId="13" xfId="0" applyFont="1" applyFill="1" applyBorder="1" applyAlignment="1">
      <alignment horizontal="center" vertical="center" wrapText="1"/>
    </xf>
    <xf numFmtId="0" fontId="24" fillId="4" borderId="0" xfId="0" applyFont="1" applyFill="1" applyAlignment="1">
      <alignment horizontal="center" vertical="center" wrapText="1"/>
    </xf>
    <xf numFmtId="0" fontId="24" fillId="4" borderId="16" xfId="0" applyFont="1" applyFill="1" applyBorder="1" applyAlignment="1">
      <alignment horizontal="center" vertical="center" wrapText="1"/>
    </xf>
    <xf numFmtId="0" fontId="5" fillId="4" borderId="16" xfId="0" applyFont="1" applyFill="1" applyBorder="1" applyAlignment="1">
      <alignment wrapText="1"/>
    </xf>
    <xf numFmtId="0" fontId="5" fillId="4" borderId="14" xfId="0" applyFont="1" applyFill="1" applyBorder="1" applyAlignment="1">
      <alignment wrapText="1"/>
    </xf>
    <xf numFmtId="0" fontId="5" fillId="4" borderId="17" xfId="0" applyFont="1" applyFill="1" applyBorder="1" applyAlignment="1">
      <alignment wrapText="1"/>
    </xf>
    <xf numFmtId="0" fontId="5" fillId="4" borderId="18" xfId="0" applyFont="1" applyFill="1" applyBorder="1" applyAlignment="1">
      <alignment wrapText="1"/>
    </xf>
    <xf numFmtId="0" fontId="5" fillId="4" borderId="19" xfId="0" applyFont="1" applyFill="1" applyBorder="1" applyAlignment="1">
      <alignment wrapText="1"/>
    </xf>
    <xf numFmtId="0" fontId="24" fillId="4" borderId="24" xfId="0" applyFont="1" applyFill="1" applyBorder="1" applyAlignment="1">
      <alignment horizontal="center" vertical="center" wrapText="1"/>
    </xf>
    <xf numFmtId="0" fontId="24" fillId="4" borderId="16" xfId="0" applyFont="1" applyFill="1" applyBorder="1" applyAlignment="1">
      <alignment vertical="center" wrapText="1"/>
    </xf>
    <xf numFmtId="0" fontId="24" fillId="4" borderId="14" xfId="0" applyFont="1" applyFill="1" applyBorder="1" applyAlignment="1">
      <alignment vertical="center" wrapText="1"/>
    </xf>
    <xf numFmtId="0" fontId="24" fillId="4" borderId="17" xfId="0" applyFont="1" applyFill="1" applyBorder="1" applyAlignment="1">
      <alignment vertical="center" wrapText="1"/>
    </xf>
    <xf numFmtId="0" fontId="24" fillId="4" borderId="18" xfId="0" applyFont="1" applyFill="1" applyBorder="1" applyAlignment="1">
      <alignment vertical="center" wrapText="1"/>
    </xf>
    <xf numFmtId="0" fontId="6" fillId="14" borderId="5" xfId="0" applyFont="1" applyFill="1" applyBorder="1" applyAlignment="1">
      <alignment vertical="center" textRotation="90" wrapText="1"/>
    </xf>
    <xf numFmtId="0" fontId="46" fillId="14" borderId="0" xfId="0" applyFont="1" applyFill="1" applyAlignment="1">
      <alignment vertical="center" textRotation="90" wrapText="1"/>
    </xf>
    <xf numFmtId="0" fontId="5" fillId="26" borderId="35" xfId="0" applyFont="1" applyFill="1" applyBorder="1" applyAlignment="1">
      <alignment vertical="center" textRotation="255" wrapText="1"/>
    </xf>
    <xf numFmtId="0" fontId="5" fillId="26" borderId="62" xfId="0" applyFont="1" applyFill="1" applyBorder="1" applyAlignment="1">
      <alignment vertical="center" textRotation="255" wrapText="1"/>
    </xf>
    <xf numFmtId="0" fontId="0" fillId="14" borderId="13" xfId="0" applyFill="1" applyBorder="1"/>
    <xf numFmtId="0" fontId="3" fillId="20" borderId="13" xfId="0" applyFont="1" applyFill="1" applyBorder="1" applyAlignment="1">
      <alignment vertical="center" textRotation="90" wrapText="1"/>
    </xf>
    <xf numFmtId="0" fontId="0" fillId="26" borderId="0" xfId="0" applyFill="1"/>
    <xf numFmtId="0" fontId="0" fillId="11" borderId="14" xfId="0" applyFill="1" applyBorder="1"/>
    <xf numFmtId="0" fontId="0" fillId="18" borderId="17" xfId="0" applyFill="1" applyBorder="1"/>
    <xf numFmtId="0" fontId="23" fillId="11" borderId="23" xfId="0" applyFont="1" applyFill="1" applyBorder="1" applyAlignment="1">
      <alignment vertical="center" textRotation="90" wrapText="1"/>
    </xf>
    <xf numFmtId="0" fontId="6" fillId="11" borderId="37" xfId="0" applyFont="1" applyFill="1" applyBorder="1" applyAlignment="1">
      <alignment vertical="center" textRotation="90" wrapText="1"/>
    </xf>
    <xf numFmtId="0" fontId="6" fillId="20" borderId="13" xfId="0" applyFont="1" applyFill="1" applyBorder="1" applyAlignment="1">
      <alignment vertical="center" textRotation="90" wrapText="1"/>
    </xf>
    <xf numFmtId="0" fontId="6" fillId="20" borderId="0" xfId="0" applyFont="1" applyFill="1" applyAlignment="1">
      <alignment vertical="center" textRotation="90" wrapText="1"/>
    </xf>
    <xf numFmtId="0" fontId="4" fillId="11" borderId="1" xfId="0" applyFont="1" applyFill="1" applyBorder="1" applyAlignment="1">
      <alignment horizontal="center"/>
    </xf>
    <xf numFmtId="0" fontId="55" fillId="11" borderId="0" xfId="0" applyFont="1" applyFill="1" applyAlignment="1">
      <alignment horizontal="center" vertical="center"/>
    </xf>
    <xf numFmtId="0" fontId="0" fillId="12" borderId="87" xfId="0" applyFill="1" applyBorder="1" applyAlignment="1">
      <alignment horizontal="center"/>
    </xf>
    <xf numFmtId="0" fontId="0" fillId="12" borderId="59" xfId="0" applyFill="1" applyBorder="1" applyAlignment="1">
      <alignment horizontal="center"/>
    </xf>
    <xf numFmtId="0" fontId="0" fillId="12" borderId="63" xfId="0" applyFill="1" applyBorder="1" applyAlignment="1">
      <alignment horizontal="center"/>
    </xf>
    <xf numFmtId="0" fontId="4" fillId="12" borderId="8" xfId="0" applyFont="1" applyFill="1" applyBorder="1"/>
    <xf numFmtId="0" fontId="4" fillId="12" borderId="57" xfId="0" applyFont="1" applyFill="1" applyBorder="1"/>
    <xf numFmtId="0" fontId="4" fillId="12" borderId="52" xfId="0" applyFont="1" applyFill="1" applyBorder="1"/>
    <xf numFmtId="0" fontId="4" fillId="14" borderId="37" xfId="0" applyFont="1" applyFill="1" applyBorder="1" applyAlignment="1">
      <alignment horizontal="center"/>
    </xf>
    <xf numFmtId="0" fontId="4" fillId="14" borderId="39" xfId="0" applyFont="1" applyFill="1" applyBorder="1" applyAlignment="1">
      <alignment horizontal="center"/>
    </xf>
    <xf numFmtId="0" fontId="4" fillId="14" borderId="25" xfId="0" applyFont="1" applyFill="1" applyBorder="1" applyAlignment="1">
      <alignment horizontal="center"/>
    </xf>
    <xf numFmtId="0" fontId="4" fillId="14" borderId="40" xfId="0" applyFont="1" applyFill="1" applyBorder="1" applyAlignment="1">
      <alignment horizontal="center"/>
    </xf>
    <xf numFmtId="0" fontId="4" fillId="14" borderId="37" xfId="0" applyFont="1" applyFill="1" applyBorder="1" applyAlignment="1">
      <alignment horizontal="center" textRotation="90"/>
    </xf>
    <xf numFmtId="0" fontId="4" fillId="4" borderId="26" xfId="0" applyFont="1" applyFill="1" applyBorder="1" applyAlignment="1">
      <alignment horizontal="center" vertical="center" wrapText="1"/>
    </xf>
    <xf numFmtId="0" fontId="4" fillId="4" borderId="40" xfId="0" applyFont="1" applyFill="1" applyBorder="1" applyAlignment="1">
      <alignment horizontal="center" vertical="center" wrapText="1"/>
    </xf>
    <xf numFmtId="0" fontId="6" fillId="4" borderId="0" xfId="0" applyFont="1" applyFill="1" applyAlignment="1">
      <alignment horizontal="center" wrapText="1"/>
    </xf>
    <xf numFmtId="0" fontId="6" fillId="4" borderId="20" xfId="0" applyFont="1" applyFill="1" applyBorder="1" applyAlignment="1">
      <alignment horizontal="center" wrapText="1"/>
    </xf>
    <xf numFmtId="0" fontId="3" fillId="0" borderId="58" xfId="0" applyFont="1" applyBorder="1" applyAlignment="1">
      <alignment horizontal="center" vertical="center"/>
    </xf>
    <xf numFmtId="0" fontId="3" fillId="0" borderId="47" xfId="0" applyFont="1" applyBorder="1" applyAlignment="1">
      <alignment horizontal="center" vertical="center"/>
    </xf>
    <xf numFmtId="0" fontId="4" fillId="14" borderId="25" xfId="0" applyFont="1" applyFill="1" applyBorder="1" applyAlignment="1">
      <alignment horizontal="center" vertical="center" wrapText="1"/>
    </xf>
    <xf numFmtId="0" fontId="4" fillId="14" borderId="26" xfId="0" applyFont="1" applyFill="1" applyBorder="1" applyAlignment="1">
      <alignment horizontal="center" vertical="center" wrapText="1"/>
    </xf>
    <xf numFmtId="0" fontId="4" fillId="14" borderId="40" xfId="0" applyFont="1" applyFill="1" applyBorder="1" applyAlignment="1">
      <alignment horizontal="center" vertical="center" wrapText="1"/>
    </xf>
    <xf numFmtId="0" fontId="6" fillId="12" borderId="0" xfId="0" applyFont="1" applyFill="1" applyAlignment="1">
      <alignment horizontal="center" wrapText="1"/>
    </xf>
    <xf numFmtId="0" fontId="6" fillId="12" borderId="38" xfId="0" applyFont="1" applyFill="1" applyBorder="1" applyAlignment="1">
      <alignment horizontal="center" wrapText="1"/>
    </xf>
    <xf numFmtId="0" fontId="6" fillId="12" borderId="39" xfId="0" applyFont="1" applyFill="1" applyBorder="1" applyAlignment="1">
      <alignment horizontal="center" wrapText="1"/>
    </xf>
    <xf numFmtId="0" fontId="6" fillId="12" borderId="37" xfId="0" applyFont="1" applyFill="1" applyBorder="1" applyAlignment="1">
      <alignment horizontal="center" wrapText="1"/>
    </xf>
    <xf numFmtId="0" fontId="4" fillId="4" borderId="25" xfId="0" applyFont="1" applyFill="1" applyBorder="1" applyAlignment="1">
      <alignment horizontal="center" vertical="center" wrapText="1"/>
    </xf>
    <xf numFmtId="0" fontId="4" fillId="12" borderId="26" xfId="0" applyFont="1" applyFill="1" applyBorder="1" applyAlignment="1">
      <alignment horizontal="center" vertical="center" wrapText="1"/>
    </xf>
    <xf numFmtId="0" fontId="4" fillId="12" borderId="40" xfId="0" applyFont="1" applyFill="1" applyBorder="1" applyAlignment="1">
      <alignment horizontal="center" vertical="center" wrapText="1"/>
    </xf>
    <xf numFmtId="0" fontId="4" fillId="12" borderId="25" xfId="0" applyFont="1" applyFill="1" applyBorder="1" applyAlignment="1">
      <alignment horizontal="center" vertical="center" wrapText="1"/>
    </xf>
    <xf numFmtId="0" fontId="10" fillId="0" borderId="40" xfId="0" applyFont="1" applyBorder="1" applyAlignment="1">
      <alignment horizontal="left" vertical="center"/>
    </xf>
    <xf numFmtId="0" fontId="10" fillId="0" borderId="63" xfId="0" applyFont="1" applyBorder="1" applyAlignment="1">
      <alignment horizontal="left" vertical="center"/>
    </xf>
    <xf numFmtId="0" fontId="6" fillId="12" borderId="20" xfId="0" applyFont="1" applyFill="1" applyBorder="1" applyAlignment="1">
      <alignment horizontal="center" wrapText="1"/>
    </xf>
    <xf numFmtId="0" fontId="22" fillId="8" borderId="57" xfId="0" applyFont="1" applyFill="1" applyBorder="1" applyAlignment="1">
      <alignment horizontal="center" vertical="center"/>
    </xf>
    <xf numFmtId="0" fontId="22" fillId="8" borderId="52" xfId="0" applyFont="1" applyFill="1" applyBorder="1" applyAlignment="1">
      <alignment horizontal="center" vertical="center"/>
    </xf>
    <xf numFmtId="0" fontId="16" fillId="8" borderId="57" xfId="0" applyFont="1" applyFill="1" applyBorder="1" applyAlignment="1">
      <alignment horizontal="center" vertical="center"/>
    </xf>
    <xf numFmtId="0" fontId="16" fillId="8" borderId="52" xfId="0" applyFont="1" applyFill="1" applyBorder="1" applyAlignment="1">
      <alignment horizontal="center" vertical="center"/>
    </xf>
    <xf numFmtId="0" fontId="6" fillId="14" borderId="0" xfId="0" applyFont="1" applyFill="1" applyAlignment="1">
      <alignment horizontal="center" wrapText="1"/>
    </xf>
    <xf numFmtId="0" fontId="6" fillId="14" borderId="20" xfId="0" applyFont="1" applyFill="1" applyBorder="1" applyAlignment="1">
      <alignment horizontal="center" wrapText="1"/>
    </xf>
    <xf numFmtId="0" fontId="6" fillId="14" borderId="38" xfId="0" applyFont="1" applyFill="1" applyBorder="1" applyAlignment="1">
      <alignment horizontal="center" wrapText="1"/>
    </xf>
    <xf numFmtId="0" fontId="6" fillId="14" borderId="39" xfId="0" applyFont="1" applyFill="1" applyBorder="1" applyAlignment="1">
      <alignment horizontal="center" wrapText="1"/>
    </xf>
    <xf numFmtId="0" fontId="92" fillId="14" borderId="26" xfId="0" applyFont="1" applyFill="1" applyBorder="1" applyAlignment="1">
      <alignment horizontal="center" vertical="center" wrapText="1"/>
    </xf>
    <xf numFmtId="0" fontId="92" fillId="14" borderId="40" xfId="0" applyFont="1" applyFill="1" applyBorder="1" applyAlignment="1">
      <alignment horizontal="center" vertical="center" wrapText="1"/>
    </xf>
    <xf numFmtId="0" fontId="5" fillId="6" borderId="25" xfId="0" applyFont="1" applyFill="1" applyBorder="1" applyAlignment="1">
      <alignment horizontal="center" vertical="center" wrapText="1"/>
    </xf>
    <xf numFmtId="0" fontId="5" fillId="6" borderId="26" xfId="0" applyFont="1" applyFill="1" applyBorder="1" applyAlignment="1">
      <alignment horizontal="center" vertical="center" wrapText="1"/>
    </xf>
    <xf numFmtId="0" fontId="5" fillId="6" borderId="40" xfId="0" applyFont="1" applyFill="1" applyBorder="1" applyAlignment="1">
      <alignment horizontal="center" vertical="center" wrapText="1"/>
    </xf>
    <xf numFmtId="0" fontId="5" fillId="6" borderId="25" xfId="0" applyFont="1" applyFill="1" applyBorder="1" applyAlignment="1">
      <alignment horizontal="center" vertical="center"/>
    </xf>
    <xf numFmtId="0" fontId="5" fillId="6" borderId="26" xfId="0" applyFont="1" applyFill="1" applyBorder="1" applyAlignment="1">
      <alignment horizontal="center" vertical="center"/>
    </xf>
    <xf numFmtId="0" fontId="5" fillId="6" borderId="40" xfId="0" applyFont="1" applyFill="1" applyBorder="1" applyAlignment="1">
      <alignment horizontal="center" vertical="center"/>
    </xf>
    <xf numFmtId="0" fontId="3" fillId="0" borderId="2" xfId="0" applyFont="1" applyBorder="1" applyAlignment="1">
      <alignment horizontal="center" vertical="center"/>
    </xf>
    <xf numFmtId="0" fontId="6" fillId="4" borderId="38" xfId="0" applyFont="1" applyFill="1" applyBorder="1" applyAlignment="1">
      <alignment horizontal="center" wrapText="1"/>
    </xf>
    <xf numFmtId="0" fontId="6" fillId="4" borderId="39" xfId="0" applyFont="1" applyFill="1" applyBorder="1" applyAlignment="1">
      <alignment horizontal="center" wrapText="1"/>
    </xf>
    <xf numFmtId="0" fontId="46" fillId="12" borderId="0" xfId="0" applyFont="1" applyFill="1" applyAlignment="1">
      <alignment horizontal="center" wrapText="1"/>
    </xf>
    <xf numFmtId="0" fontId="46" fillId="12" borderId="38" xfId="0" applyFont="1" applyFill="1" applyBorder="1" applyAlignment="1">
      <alignment horizontal="center" wrapText="1"/>
    </xf>
    <xf numFmtId="0" fontId="46" fillId="12" borderId="39" xfId="0" applyFont="1" applyFill="1" applyBorder="1" applyAlignment="1">
      <alignment horizontal="center" wrapText="1"/>
    </xf>
    <xf numFmtId="0" fontId="10" fillId="0" borderId="1" xfId="0" applyFont="1" applyBorder="1" applyAlignment="1">
      <alignment horizontal="center" vertical="center"/>
    </xf>
    <xf numFmtId="0" fontId="46" fillId="12" borderId="20" xfId="0" applyFont="1" applyFill="1" applyBorder="1" applyAlignment="1">
      <alignment horizontal="center" wrapText="1"/>
    </xf>
    <xf numFmtId="0" fontId="14" fillId="5" borderId="8" xfId="0" applyFont="1" applyFill="1" applyBorder="1" applyAlignment="1">
      <alignment horizontal="left" vertical="center" wrapText="1"/>
    </xf>
    <xf numFmtId="0" fontId="14" fillId="5" borderId="57" xfId="0" applyFont="1" applyFill="1" applyBorder="1" applyAlignment="1">
      <alignment horizontal="left" vertical="center" wrapText="1"/>
    </xf>
    <xf numFmtId="0" fontId="14" fillId="5" borderId="52" xfId="0" applyFont="1" applyFill="1" applyBorder="1" applyAlignment="1">
      <alignment horizontal="left" vertical="center" wrapText="1"/>
    </xf>
    <xf numFmtId="0" fontId="41" fillId="14" borderId="0" xfId="0" applyFont="1" applyFill="1" applyAlignment="1">
      <alignment horizontal="center" wrapText="1"/>
    </xf>
    <xf numFmtId="0" fontId="41" fillId="14" borderId="20" xfId="0" applyFont="1" applyFill="1" applyBorder="1" applyAlignment="1">
      <alignment horizontal="center" wrapText="1"/>
    </xf>
    <xf numFmtId="0" fontId="18" fillId="14" borderId="26" xfId="0" applyFont="1" applyFill="1" applyBorder="1" applyAlignment="1">
      <alignment horizontal="center" vertical="center" wrapText="1"/>
    </xf>
    <xf numFmtId="0" fontId="18" fillId="14" borderId="40" xfId="0" applyFont="1" applyFill="1" applyBorder="1" applyAlignment="1">
      <alignment horizontal="center" vertical="center" wrapText="1"/>
    </xf>
    <xf numFmtId="0" fontId="10" fillId="0" borderId="52" xfId="0" applyFont="1" applyBorder="1" applyAlignment="1">
      <alignment horizontal="center" vertical="center"/>
    </xf>
    <xf numFmtId="0" fontId="10" fillId="0" borderId="52" xfId="0" applyFont="1" applyBorder="1" applyAlignment="1">
      <alignment horizontal="left" vertical="center"/>
    </xf>
    <xf numFmtId="0" fontId="10" fillId="0" borderId="1" xfId="0" applyFont="1" applyBorder="1" applyAlignment="1">
      <alignment horizontal="left" vertical="center"/>
    </xf>
    <xf numFmtId="0" fontId="15" fillId="6" borderId="0" xfId="0" applyFont="1" applyFill="1" applyAlignment="1">
      <alignment horizontal="center" vertical="center"/>
    </xf>
    <xf numFmtId="0" fontId="15" fillId="6" borderId="20" xfId="0" applyFont="1" applyFill="1" applyBorder="1" applyAlignment="1">
      <alignment horizontal="center" vertical="center"/>
    </xf>
    <xf numFmtId="0" fontId="15" fillId="6" borderId="26" xfId="0" applyFont="1" applyFill="1" applyBorder="1" applyAlignment="1">
      <alignment horizontal="center" vertical="center"/>
    </xf>
    <xf numFmtId="0" fontId="15" fillId="6" borderId="40" xfId="0" applyFont="1" applyFill="1" applyBorder="1" applyAlignment="1">
      <alignment horizontal="center" vertical="center"/>
    </xf>
    <xf numFmtId="0" fontId="13" fillId="8" borderId="57" xfId="0" applyFont="1" applyFill="1" applyBorder="1" applyAlignment="1">
      <alignment horizontal="center" vertical="center"/>
    </xf>
    <xf numFmtId="0" fontId="13" fillId="8" borderId="52" xfId="0" applyFont="1" applyFill="1" applyBorder="1" applyAlignment="1">
      <alignment horizontal="center" vertical="center"/>
    </xf>
    <xf numFmtId="0" fontId="88" fillId="14" borderId="0" xfId="0" applyFont="1" applyFill="1" applyAlignment="1">
      <alignment horizontal="center" wrapText="1"/>
    </xf>
    <xf numFmtId="0" fontId="88" fillId="14" borderId="20" xfId="0" applyFont="1" applyFill="1" applyBorder="1" applyAlignment="1">
      <alignment horizontal="center" wrapText="1"/>
    </xf>
    <xf numFmtId="0" fontId="10" fillId="0" borderId="8" xfId="0" applyFont="1" applyBorder="1" applyAlignment="1">
      <alignment horizontal="left" vertical="center"/>
    </xf>
    <xf numFmtId="0" fontId="10" fillId="0" borderId="57" xfId="0" applyFont="1" applyBorder="1" applyAlignment="1">
      <alignment horizontal="left" vertical="center"/>
    </xf>
    <xf numFmtId="0" fontId="10" fillId="0" borderId="8" xfId="0" applyFont="1" applyBorder="1" applyAlignment="1">
      <alignment horizontal="center" vertical="center"/>
    </xf>
    <xf numFmtId="0" fontId="16" fillId="8" borderId="8" xfId="0" applyFont="1" applyFill="1" applyBorder="1" applyAlignment="1">
      <alignment horizontal="center" vertical="center"/>
    </xf>
    <xf numFmtId="0" fontId="22" fillId="8" borderId="8" xfId="0" applyFont="1" applyFill="1" applyBorder="1" applyAlignment="1">
      <alignment horizontal="center" vertical="center"/>
    </xf>
    <xf numFmtId="0" fontId="3" fillId="0" borderId="50" xfId="0" applyFont="1" applyBorder="1" applyAlignment="1">
      <alignment horizontal="center" vertical="center"/>
    </xf>
    <xf numFmtId="0" fontId="3" fillId="0" borderId="36" xfId="0" applyFont="1" applyBorder="1" applyAlignment="1">
      <alignment horizontal="center" vertical="center"/>
    </xf>
    <xf numFmtId="0" fontId="4" fillId="4" borderId="36" xfId="0" applyFont="1" applyFill="1" applyBorder="1" applyAlignment="1">
      <alignment horizontal="center" vertical="center" wrapText="1"/>
    </xf>
    <xf numFmtId="0" fontId="6" fillId="4" borderId="50" xfId="0" applyFont="1" applyFill="1" applyBorder="1" applyAlignment="1">
      <alignment horizontal="center" wrapText="1"/>
    </xf>
    <xf numFmtId="0" fontId="46" fillId="12" borderId="37" xfId="0" applyFont="1" applyFill="1" applyBorder="1" applyAlignment="1">
      <alignment horizontal="center" wrapText="1"/>
    </xf>
    <xf numFmtId="0" fontId="46" fillId="4" borderId="0" xfId="0" applyFont="1" applyFill="1" applyAlignment="1">
      <alignment horizontal="center" wrapText="1"/>
    </xf>
    <xf numFmtId="0" fontId="46" fillId="4" borderId="38" xfId="0" applyFont="1" applyFill="1" applyBorder="1" applyAlignment="1">
      <alignment horizontal="center" wrapText="1"/>
    </xf>
    <xf numFmtId="0" fontId="46" fillId="4" borderId="39" xfId="0" applyFont="1" applyFill="1" applyBorder="1" applyAlignment="1">
      <alignment horizontal="center" wrapText="1"/>
    </xf>
    <xf numFmtId="0" fontId="6" fillId="4" borderId="37" xfId="0" applyFont="1" applyFill="1" applyBorder="1" applyAlignment="1">
      <alignment horizontal="center" wrapText="1"/>
    </xf>
    <xf numFmtId="0" fontId="92" fillId="4" borderId="25" xfId="0" applyFont="1" applyFill="1" applyBorder="1" applyAlignment="1">
      <alignment horizontal="center" vertical="center" wrapText="1"/>
    </xf>
    <xf numFmtId="0" fontId="92" fillId="4" borderId="26" xfId="0" applyFont="1" applyFill="1" applyBorder="1" applyAlignment="1">
      <alignment horizontal="center" vertical="center" wrapText="1"/>
    </xf>
    <xf numFmtId="0" fontId="92" fillId="4" borderId="40" xfId="0" applyFont="1" applyFill="1" applyBorder="1" applyAlignment="1">
      <alignment horizontal="center" vertical="center" wrapText="1"/>
    </xf>
    <xf numFmtId="0" fontId="88" fillId="4" borderId="0" xfId="0" applyFont="1" applyFill="1" applyAlignment="1">
      <alignment horizontal="center" wrapText="1"/>
    </xf>
    <xf numFmtId="0" fontId="88" fillId="4" borderId="20" xfId="0" applyFont="1" applyFill="1" applyBorder="1" applyAlignment="1">
      <alignment horizontal="center" wrapText="1"/>
    </xf>
    <xf numFmtId="0" fontId="46" fillId="14" borderId="0" xfId="0" applyFont="1" applyFill="1" applyAlignment="1">
      <alignment horizontal="center" wrapText="1"/>
    </xf>
    <xf numFmtId="0" fontId="46" fillId="14" borderId="20" xfId="0" applyFont="1" applyFill="1" applyBorder="1" applyAlignment="1">
      <alignment horizontal="center" wrapText="1"/>
    </xf>
    <xf numFmtId="0" fontId="10" fillId="0" borderId="40" xfId="0" applyFont="1" applyBorder="1" applyAlignment="1">
      <alignment horizontal="center" vertical="center"/>
    </xf>
    <xf numFmtId="0" fontId="10" fillId="0" borderId="63" xfId="0" applyFont="1" applyBorder="1" applyAlignment="1">
      <alignment horizontal="center" vertical="center"/>
    </xf>
    <xf numFmtId="0" fontId="6" fillId="14" borderId="37" xfId="0" applyFont="1" applyFill="1" applyBorder="1" applyAlignment="1">
      <alignment horizontal="center" wrapText="1"/>
    </xf>
    <xf numFmtId="0" fontId="37" fillId="12" borderId="8" xfId="0" applyFont="1" applyFill="1" applyBorder="1" applyAlignment="1">
      <alignment horizontal="left" wrapText="1"/>
    </xf>
    <xf numFmtId="0" fontId="37" fillId="12" borderId="52" xfId="0" applyFont="1" applyFill="1" applyBorder="1" applyAlignment="1">
      <alignment horizontal="left" wrapText="1"/>
    </xf>
    <xf numFmtId="0" fontId="10" fillId="0" borderId="34" xfId="0" applyFont="1" applyBorder="1" applyAlignment="1">
      <alignment horizontal="left" vertical="center"/>
    </xf>
    <xf numFmtId="0" fontId="23" fillId="12" borderId="38" xfId="0" applyFont="1" applyFill="1" applyBorder="1" applyAlignment="1">
      <alignment horizontal="center" wrapText="1"/>
    </xf>
    <xf numFmtId="0" fontId="23" fillId="12" borderId="39" xfId="0" applyFont="1" applyFill="1" applyBorder="1" applyAlignment="1">
      <alignment horizontal="center" wrapText="1"/>
    </xf>
    <xf numFmtId="0" fontId="16" fillId="8" borderId="64" xfId="0" applyFont="1" applyFill="1" applyBorder="1" applyAlignment="1">
      <alignment horizontal="center" vertical="center"/>
    </xf>
    <xf numFmtId="0" fontId="23" fillId="14" borderId="38" xfId="0" applyFont="1" applyFill="1" applyBorder="1" applyAlignment="1">
      <alignment horizontal="center" wrapText="1"/>
    </xf>
    <xf numFmtId="0" fontId="23" fillId="14" borderId="39" xfId="0" applyFont="1" applyFill="1" applyBorder="1" applyAlignment="1">
      <alignment horizontal="center" wrapText="1"/>
    </xf>
    <xf numFmtId="0" fontId="23" fillId="14" borderId="37" xfId="0" applyFont="1" applyFill="1" applyBorder="1" applyAlignment="1">
      <alignment horizontal="center" wrapText="1"/>
    </xf>
    <xf numFmtId="0" fontId="6" fillId="14" borderId="50" xfId="0" applyFont="1" applyFill="1" applyBorder="1" applyAlignment="1">
      <alignment horizontal="center" wrapText="1"/>
    </xf>
    <xf numFmtId="0" fontId="4" fillId="14" borderId="36" xfId="0" applyFont="1" applyFill="1" applyBorder="1" applyAlignment="1">
      <alignment horizontal="center" vertical="center" wrapText="1"/>
    </xf>
    <xf numFmtId="0" fontId="18" fillId="14" borderId="0" xfId="0" applyFont="1" applyFill="1" applyAlignment="1">
      <alignment horizontal="center" vertical="center" wrapText="1"/>
    </xf>
    <xf numFmtId="0" fontId="13" fillId="8" borderId="56" xfId="0" applyFont="1" applyFill="1" applyBorder="1" applyAlignment="1">
      <alignment horizontal="center" vertical="center"/>
    </xf>
    <xf numFmtId="0" fontId="13" fillId="8" borderId="83" xfId="0" applyFont="1" applyFill="1" applyBorder="1" applyAlignment="1">
      <alignment horizontal="center" vertical="center"/>
    </xf>
    <xf numFmtId="0" fontId="13" fillId="8" borderId="53" xfId="0" applyFont="1" applyFill="1" applyBorder="1" applyAlignment="1">
      <alignment horizontal="center" vertical="center"/>
    </xf>
    <xf numFmtId="0" fontId="18" fillId="4" borderId="25" xfId="0" applyFont="1" applyFill="1" applyBorder="1" applyAlignment="1">
      <alignment horizontal="center" vertical="center" wrapText="1"/>
    </xf>
    <xf numFmtId="0" fontId="18" fillId="4" borderId="26" xfId="0" applyFont="1" applyFill="1" applyBorder="1" applyAlignment="1">
      <alignment horizontal="center" vertical="center" wrapText="1"/>
    </xf>
    <xf numFmtId="0" fontId="18" fillId="4" borderId="40" xfId="0" applyFont="1" applyFill="1" applyBorder="1" applyAlignment="1">
      <alignment horizontal="center" vertical="center" wrapText="1"/>
    </xf>
    <xf numFmtId="0" fontId="6" fillId="14" borderId="22" xfId="0" applyFont="1" applyFill="1" applyBorder="1" applyAlignment="1">
      <alignment horizontal="center" wrapText="1"/>
    </xf>
    <xf numFmtId="0" fontId="6" fillId="14" borderId="5" xfId="0" applyFont="1" applyFill="1" applyBorder="1" applyAlignment="1">
      <alignment horizontal="center" wrapText="1"/>
    </xf>
    <xf numFmtId="0" fontId="6" fillId="14" borderId="19" xfId="0" applyFont="1" applyFill="1" applyBorder="1" applyAlignment="1">
      <alignment horizontal="center" wrapText="1"/>
    </xf>
    <xf numFmtId="0" fontId="6" fillId="12" borderId="23" xfId="0" applyFont="1" applyFill="1" applyBorder="1" applyAlignment="1">
      <alignment horizontal="center" wrapText="1"/>
    </xf>
    <xf numFmtId="0" fontId="6" fillId="12" borderId="22" xfId="0" applyFont="1" applyFill="1" applyBorder="1" applyAlignment="1">
      <alignment horizontal="center" wrapText="1"/>
    </xf>
    <xf numFmtId="0" fontId="6" fillId="12" borderId="5" xfId="0" applyFont="1" applyFill="1" applyBorder="1" applyAlignment="1">
      <alignment horizontal="center" wrapText="1"/>
    </xf>
    <xf numFmtId="0" fontId="6" fillId="12" borderId="19" xfId="0" applyFont="1" applyFill="1" applyBorder="1" applyAlignment="1">
      <alignment horizontal="center" wrapText="1"/>
    </xf>
    <xf numFmtId="0" fontId="13" fillId="8" borderId="37" xfId="0" applyFont="1" applyFill="1" applyBorder="1" applyAlignment="1">
      <alignment horizontal="center" vertical="center"/>
    </xf>
    <xf numFmtId="0" fontId="13" fillId="8" borderId="38" xfId="0" applyFont="1" applyFill="1" applyBorder="1" applyAlignment="1">
      <alignment horizontal="center" vertical="center"/>
    </xf>
    <xf numFmtId="0" fontId="13" fillId="8" borderId="39" xfId="0" applyFont="1" applyFill="1" applyBorder="1" applyAlignment="1">
      <alignment horizontal="center" vertical="center"/>
    </xf>
    <xf numFmtId="0" fontId="6" fillId="14" borderId="12" xfId="0" applyFont="1" applyFill="1" applyBorder="1" applyAlignment="1">
      <alignment horizontal="center" wrapText="1"/>
    </xf>
    <xf numFmtId="0" fontId="10" fillId="4" borderId="8" xfId="0" applyFont="1" applyFill="1" applyBorder="1" applyAlignment="1">
      <alignment horizontal="center" vertical="center"/>
    </xf>
    <xf numFmtId="0" fontId="10" fillId="4" borderId="52" xfId="0" applyFont="1" applyFill="1" applyBorder="1" applyAlignment="1">
      <alignment horizontal="center" vertical="center"/>
    </xf>
    <xf numFmtId="0" fontId="10" fillId="4" borderId="8" xfId="0" applyFont="1" applyFill="1" applyBorder="1" applyAlignment="1">
      <alignment horizontal="left" vertical="center"/>
    </xf>
    <xf numFmtId="0" fontId="10" fillId="4" borderId="57" xfId="0" applyFont="1" applyFill="1" applyBorder="1" applyAlignment="1">
      <alignment horizontal="left" vertical="center"/>
    </xf>
    <xf numFmtId="0" fontId="10" fillId="4" borderId="52" xfId="0" applyFont="1" applyFill="1" applyBorder="1" applyAlignment="1">
      <alignment horizontal="left" vertical="center"/>
    </xf>
    <xf numFmtId="0" fontId="6" fillId="4" borderId="5" xfId="0" applyFont="1" applyFill="1" applyBorder="1" applyAlignment="1">
      <alignment horizontal="center" wrapText="1"/>
    </xf>
    <xf numFmtId="0" fontId="6" fillId="4" borderId="19" xfId="0" applyFont="1" applyFill="1" applyBorder="1" applyAlignment="1">
      <alignment horizontal="center" wrapText="1"/>
    </xf>
    <xf numFmtId="0" fontId="6" fillId="4" borderId="23" xfId="0" applyFont="1" applyFill="1" applyBorder="1" applyAlignment="1">
      <alignment horizontal="center" wrapText="1"/>
    </xf>
    <xf numFmtId="0" fontId="6" fillId="4" borderId="22" xfId="0" applyFont="1" applyFill="1" applyBorder="1" applyAlignment="1">
      <alignment horizontal="center" wrapText="1"/>
    </xf>
    <xf numFmtId="0" fontId="4" fillId="14" borderId="23" xfId="0" applyFont="1" applyFill="1" applyBorder="1" applyAlignment="1">
      <alignment horizontal="center" vertical="center" wrapText="1"/>
    </xf>
    <xf numFmtId="0" fontId="4" fillId="14" borderId="0" xfId="0" applyFont="1" applyFill="1" applyAlignment="1">
      <alignment horizontal="center" vertical="center" wrapText="1"/>
    </xf>
    <xf numFmtId="0" fontId="4" fillId="14" borderId="20" xfId="0" applyFont="1" applyFill="1" applyBorder="1" applyAlignment="1">
      <alignment horizontal="center" vertical="center" wrapText="1"/>
    </xf>
    <xf numFmtId="0" fontId="4" fillId="4" borderId="23" xfId="0" applyFont="1" applyFill="1" applyBorder="1" applyAlignment="1">
      <alignment horizontal="center" vertical="center" wrapText="1"/>
    </xf>
    <xf numFmtId="0" fontId="4" fillId="4" borderId="0" xfId="0" applyFont="1" applyFill="1" applyAlignment="1">
      <alignment horizontal="center" vertical="center" wrapText="1"/>
    </xf>
    <xf numFmtId="0" fontId="4" fillId="4" borderId="20" xfId="0" applyFont="1" applyFill="1" applyBorder="1" applyAlignment="1">
      <alignment horizontal="center" vertical="center" wrapText="1"/>
    </xf>
    <xf numFmtId="0" fontId="10" fillId="0" borderId="64" xfId="0" applyFont="1" applyBorder="1" applyAlignment="1">
      <alignment horizontal="left" vertical="center"/>
    </xf>
    <xf numFmtId="0" fontId="18" fillId="4" borderId="0" xfId="0" applyFont="1" applyFill="1" applyAlignment="1">
      <alignment horizontal="center" vertical="center" wrapText="1"/>
    </xf>
    <xf numFmtId="0" fontId="18" fillId="12" borderId="0" xfId="0" applyFont="1" applyFill="1" applyAlignment="1">
      <alignment horizontal="center" vertical="center" wrapText="1"/>
    </xf>
    <xf numFmtId="0" fontId="10" fillId="12" borderId="8" xfId="0" applyFont="1" applyFill="1" applyBorder="1" applyAlignment="1">
      <alignment horizontal="left" vertical="center" wrapText="1"/>
    </xf>
    <xf numFmtId="0" fontId="10" fillId="12" borderId="52" xfId="0" applyFont="1" applyFill="1" applyBorder="1" applyAlignment="1">
      <alignment horizontal="left" vertical="center" wrapText="1"/>
    </xf>
    <xf numFmtId="0" fontId="10" fillId="12" borderId="30" xfId="0" applyFont="1" applyFill="1" applyBorder="1" applyAlignment="1">
      <alignment horizontal="left" vertical="center" wrapText="1"/>
    </xf>
    <xf numFmtId="0" fontId="10" fillId="12" borderId="34" xfId="0" applyFont="1" applyFill="1" applyBorder="1" applyAlignment="1">
      <alignment horizontal="left" vertical="center" wrapText="1"/>
    </xf>
    <xf numFmtId="0" fontId="4" fillId="12" borderId="36" xfId="0" applyFont="1" applyFill="1" applyBorder="1" applyAlignment="1">
      <alignment horizontal="center" vertical="center" wrapText="1"/>
    </xf>
    <xf numFmtId="0" fontId="4" fillId="12" borderId="33" xfId="0" applyFont="1" applyFill="1" applyBorder="1" applyAlignment="1">
      <alignment horizontal="center" vertical="center" wrapText="1"/>
    </xf>
    <xf numFmtId="0" fontId="6" fillId="12" borderId="50" xfId="0" applyFont="1" applyFill="1" applyBorder="1" applyAlignment="1">
      <alignment horizontal="center" wrapText="1"/>
    </xf>
    <xf numFmtId="0" fontId="6" fillId="12" borderId="48" xfId="0" applyFont="1" applyFill="1" applyBorder="1" applyAlignment="1">
      <alignment horizontal="center" wrapText="1"/>
    </xf>
    <xf numFmtId="0" fontId="10" fillId="0" borderId="34" xfId="0" applyFont="1" applyBorder="1" applyAlignment="1">
      <alignment horizontal="center" vertical="center"/>
    </xf>
    <xf numFmtId="0" fontId="15" fillId="6" borderId="5" xfId="0" applyFont="1" applyFill="1" applyBorder="1" applyAlignment="1">
      <alignment horizontal="center" vertical="center"/>
    </xf>
    <xf numFmtId="0" fontId="15" fillId="6" borderId="15" xfId="0" applyFont="1" applyFill="1" applyBorder="1" applyAlignment="1">
      <alignment horizontal="center" vertical="center"/>
    </xf>
    <xf numFmtId="0" fontId="15" fillId="6" borderId="17" xfId="0" applyFont="1" applyFill="1" applyBorder="1" applyAlignment="1">
      <alignment horizontal="center" vertical="center"/>
    </xf>
    <xf numFmtId="0" fontId="15" fillId="6" borderId="18" xfId="0" applyFont="1" applyFill="1" applyBorder="1" applyAlignment="1">
      <alignment horizontal="center" vertical="center"/>
    </xf>
    <xf numFmtId="0" fontId="13" fillId="8" borderId="12" xfId="0" applyFont="1" applyFill="1" applyBorder="1" applyAlignment="1">
      <alignment horizontal="center" vertical="center"/>
    </xf>
    <xf numFmtId="0" fontId="13" fillId="8" borderId="5" xfId="0" applyFont="1" applyFill="1" applyBorder="1" applyAlignment="1">
      <alignment horizontal="center" vertical="center"/>
    </xf>
    <xf numFmtId="0" fontId="13" fillId="8" borderId="15" xfId="0" applyFont="1" applyFill="1" applyBorder="1" applyAlignment="1">
      <alignment horizontal="center" vertical="center"/>
    </xf>
    <xf numFmtId="0" fontId="6" fillId="12" borderId="12" xfId="0" applyFont="1" applyFill="1" applyBorder="1" applyAlignment="1">
      <alignment horizontal="center" wrapText="1"/>
    </xf>
    <xf numFmtId="0" fontId="6" fillId="12" borderId="15" xfId="0" applyFont="1" applyFill="1" applyBorder="1" applyAlignment="1">
      <alignment horizontal="center" wrapText="1"/>
    </xf>
    <xf numFmtId="0" fontId="6" fillId="12" borderId="13" xfId="0" applyFont="1" applyFill="1" applyBorder="1" applyAlignment="1">
      <alignment horizontal="center" wrapText="1"/>
    </xf>
    <xf numFmtId="0" fontId="6" fillId="12" borderId="16" xfId="0" applyFont="1" applyFill="1" applyBorder="1" applyAlignment="1">
      <alignment horizontal="center" wrapText="1"/>
    </xf>
    <xf numFmtId="0" fontId="5" fillId="6" borderId="1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1" xfId="0" applyFont="1" applyFill="1" applyBorder="1" applyAlignment="1">
      <alignment horizontal="center" vertical="center"/>
    </xf>
    <xf numFmtId="0" fontId="3" fillId="0" borderId="3" xfId="0" applyFont="1" applyBorder="1" applyAlignment="1">
      <alignment horizontal="center" vertical="center"/>
    </xf>
    <xf numFmtId="0" fontId="3" fillId="0" borderId="43" xfId="0" applyFont="1" applyBorder="1" applyAlignment="1">
      <alignment horizontal="center" vertical="center"/>
    </xf>
    <xf numFmtId="0" fontId="10" fillId="0" borderId="53" xfId="0" applyFont="1" applyBorder="1" applyAlignment="1">
      <alignment horizontal="left" vertical="center"/>
    </xf>
    <xf numFmtId="0" fontId="10" fillId="0" borderId="32" xfId="0" applyFont="1" applyBorder="1" applyAlignment="1">
      <alignment horizontal="left" vertical="center"/>
    </xf>
    <xf numFmtId="0" fontId="10" fillId="0" borderId="35" xfId="0" applyFont="1" applyBorder="1" applyAlignment="1">
      <alignment horizontal="left" vertical="center"/>
    </xf>
    <xf numFmtId="0" fontId="13" fillId="8" borderId="10" xfId="0" applyFont="1" applyFill="1" applyBorder="1" applyAlignment="1">
      <alignment horizontal="center" vertical="center"/>
    </xf>
    <xf numFmtId="0" fontId="13" fillId="8" borderId="4" xfId="0" applyFont="1" applyFill="1" applyBorder="1" applyAlignment="1">
      <alignment horizontal="center" vertical="center"/>
    </xf>
    <xf numFmtId="0" fontId="13" fillId="8" borderId="11" xfId="0" applyFont="1" applyFill="1" applyBorder="1" applyAlignment="1">
      <alignment horizontal="center" vertical="center"/>
    </xf>
    <xf numFmtId="0" fontId="14" fillId="5" borderId="10" xfId="0" applyFont="1" applyFill="1" applyBorder="1" applyAlignment="1">
      <alignment horizontal="left" vertical="center"/>
    </xf>
    <xf numFmtId="0" fontId="14" fillId="5" borderId="4" xfId="0" applyFont="1" applyFill="1" applyBorder="1" applyAlignment="1">
      <alignment horizontal="left" vertical="center"/>
    </xf>
    <xf numFmtId="0" fontId="14" fillId="5" borderId="11" xfId="0" applyFont="1" applyFill="1" applyBorder="1" applyAlignment="1">
      <alignment horizontal="left" vertical="center"/>
    </xf>
    <xf numFmtId="0" fontId="10" fillId="12" borderId="31" xfId="0" applyFont="1" applyFill="1" applyBorder="1" applyAlignment="1">
      <alignment horizontal="left" vertical="center" wrapText="1"/>
    </xf>
    <xf numFmtId="0" fontId="10" fillId="12" borderId="35" xfId="0" applyFont="1" applyFill="1" applyBorder="1" applyAlignment="1">
      <alignment horizontal="left" vertical="center" wrapText="1"/>
    </xf>
    <xf numFmtId="0" fontId="10" fillId="0" borderId="53" xfId="0" applyFont="1" applyBorder="1" applyAlignment="1">
      <alignment horizontal="center" vertical="center"/>
    </xf>
    <xf numFmtId="0" fontId="10" fillId="0" borderId="35" xfId="0" applyFont="1" applyBorder="1" applyAlignment="1">
      <alignment horizontal="center" vertical="center"/>
    </xf>
    <xf numFmtId="0" fontId="3" fillId="12" borderId="1" xfId="0" applyFont="1" applyFill="1" applyBorder="1" applyAlignment="1">
      <alignment horizontal="center" vertical="center"/>
    </xf>
    <xf numFmtId="0" fontId="3" fillId="14" borderId="1" xfId="0" applyFont="1" applyFill="1" applyBorder="1" applyAlignment="1">
      <alignment horizontal="center" vertical="center"/>
    </xf>
    <xf numFmtId="0" fontId="10" fillId="4" borderId="48" xfId="0" applyFont="1" applyFill="1" applyBorder="1" applyAlignment="1">
      <alignment horizontal="center" vertical="center" textRotation="90" wrapText="1"/>
    </xf>
    <xf numFmtId="0" fontId="10" fillId="4" borderId="16" xfId="0" applyFont="1" applyFill="1" applyBorder="1" applyAlignment="1">
      <alignment horizontal="center" vertical="center" textRotation="90" wrapText="1"/>
    </xf>
    <xf numFmtId="0" fontId="10" fillId="4" borderId="33" xfId="0" applyFont="1" applyFill="1" applyBorder="1" applyAlignment="1">
      <alignment horizontal="center" vertical="center" textRotation="90" wrapText="1"/>
    </xf>
    <xf numFmtId="0" fontId="6" fillId="4" borderId="13" xfId="0" applyFont="1" applyFill="1" applyBorder="1" applyAlignment="1">
      <alignment horizontal="center" vertical="center" textRotation="90" wrapText="1"/>
    </xf>
    <xf numFmtId="0" fontId="6" fillId="4" borderId="36" xfId="0" applyFont="1" applyFill="1" applyBorder="1" applyAlignment="1">
      <alignment horizontal="center" vertical="center" textRotation="90" wrapText="1"/>
    </xf>
    <xf numFmtId="0" fontId="10" fillId="4" borderId="18" xfId="0" applyFont="1" applyFill="1" applyBorder="1" applyAlignment="1">
      <alignment horizontal="center" vertical="center" textRotation="90" wrapText="1"/>
    </xf>
    <xf numFmtId="0" fontId="6" fillId="14" borderId="23" xfId="0" applyFont="1" applyFill="1" applyBorder="1" applyAlignment="1">
      <alignment horizontal="center" vertical="center" textRotation="90" wrapText="1"/>
    </xf>
    <xf numFmtId="0" fontId="6" fillId="14" borderId="24" xfId="0" applyFont="1" applyFill="1" applyBorder="1" applyAlignment="1">
      <alignment horizontal="center" vertical="center" textRotation="90" wrapText="1"/>
    </xf>
    <xf numFmtId="0" fontId="10" fillId="4" borderId="0" xfId="0" applyFont="1" applyFill="1" applyAlignment="1">
      <alignment horizontal="center" vertical="center" textRotation="90" wrapText="1"/>
    </xf>
    <xf numFmtId="0" fontId="10" fillId="4" borderId="26" xfId="0" applyFont="1" applyFill="1" applyBorder="1" applyAlignment="1">
      <alignment horizontal="center" vertical="center" textRotation="90" wrapText="1"/>
    </xf>
    <xf numFmtId="0" fontId="6" fillId="4" borderId="23" xfId="0" applyFont="1" applyFill="1" applyBorder="1" applyAlignment="1">
      <alignment horizontal="center" vertical="center" textRotation="90" wrapText="1"/>
    </xf>
    <xf numFmtId="0" fontId="6" fillId="4" borderId="25" xfId="0" applyFont="1" applyFill="1" applyBorder="1" applyAlignment="1">
      <alignment horizontal="center" vertical="center" textRotation="90" wrapText="1"/>
    </xf>
    <xf numFmtId="0" fontId="4" fillId="14" borderId="39" xfId="0" applyFont="1" applyFill="1" applyBorder="1" applyAlignment="1">
      <alignment horizontal="center" vertical="center" textRotation="90" wrapText="1"/>
    </xf>
    <xf numFmtId="0" fontId="4" fillId="14" borderId="20" xfId="0" applyFont="1" applyFill="1" applyBorder="1" applyAlignment="1">
      <alignment horizontal="center" vertical="center" textRotation="90" wrapText="1"/>
    </xf>
    <xf numFmtId="0" fontId="4" fillId="14" borderId="40" xfId="0" applyFont="1" applyFill="1" applyBorder="1" applyAlignment="1">
      <alignment horizontal="center" vertical="center" textRotation="90" wrapText="1"/>
    </xf>
    <xf numFmtId="0" fontId="6" fillId="14" borderId="13" xfId="0" applyFont="1" applyFill="1" applyBorder="1" applyAlignment="1">
      <alignment horizontal="center" vertical="center" textRotation="90" wrapText="1"/>
    </xf>
    <xf numFmtId="0" fontId="6" fillId="14" borderId="36" xfId="0" applyFont="1" applyFill="1" applyBorder="1" applyAlignment="1">
      <alignment horizontal="center" vertical="center" textRotation="90" wrapText="1"/>
    </xf>
    <xf numFmtId="0" fontId="4" fillId="4" borderId="16" xfId="0" applyFont="1" applyFill="1" applyBorder="1" applyAlignment="1">
      <alignment horizontal="center" vertical="center" textRotation="90" wrapText="1"/>
    </xf>
    <xf numFmtId="0" fontId="4" fillId="4" borderId="33" xfId="0" applyFont="1" applyFill="1" applyBorder="1" applyAlignment="1">
      <alignment horizontal="center" vertical="center" textRotation="90" wrapText="1"/>
    </xf>
    <xf numFmtId="0" fontId="4" fillId="14" borderId="21" xfId="0" applyFont="1" applyFill="1" applyBorder="1" applyAlignment="1">
      <alignment horizontal="center" vertical="center" textRotation="90" wrapText="1"/>
    </xf>
    <xf numFmtId="0" fontId="23" fillId="14" borderId="23" xfId="0" applyFont="1" applyFill="1" applyBorder="1" applyAlignment="1">
      <alignment horizontal="center" vertical="center" textRotation="90" wrapText="1"/>
    </xf>
    <xf numFmtId="0" fontId="23" fillId="4" borderId="13" xfId="0" applyFont="1" applyFill="1" applyBorder="1" applyAlignment="1">
      <alignment horizontal="center" vertical="center" textRotation="90" wrapText="1"/>
    </xf>
    <xf numFmtId="0" fontId="23" fillId="4" borderId="14" xfId="0" applyFont="1" applyFill="1" applyBorder="1" applyAlignment="1">
      <alignment horizontal="center" vertical="center" textRotation="90" wrapText="1"/>
    </xf>
    <xf numFmtId="0" fontId="6" fillId="4" borderId="0" xfId="0" applyFont="1" applyFill="1" applyAlignment="1">
      <alignment horizontal="center" vertical="center" textRotation="90" wrapText="1"/>
    </xf>
    <xf numFmtId="0" fontId="6" fillId="4" borderId="17" xfId="0" applyFont="1" applyFill="1" applyBorder="1" applyAlignment="1">
      <alignment horizontal="center" vertical="center" textRotation="90" wrapText="1"/>
    </xf>
    <xf numFmtId="0" fontId="19" fillId="4" borderId="23" xfId="0" applyFont="1" applyFill="1" applyBorder="1" applyAlignment="1">
      <alignment horizontal="center" vertical="center" textRotation="90" wrapText="1"/>
    </xf>
    <xf numFmtId="0" fontId="19" fillId="4" borderId="25" xfId="0" applyFont="1" applyFill="1" applyBorder="1" applyAlignment="1">
      <alignment horizontal="center" vertical="center" textRotation="90" wrapText="1"/>
    </xf>
    <xf numFmtId="0" fontId="4" fillId="4" borderId="18" xfId="0" applyFont="1" applyFill="1" applyBorder="1" applyAlignment="1">
      <alignment horizontal="center" vertical="center" textRotation="90" wrapText="1"/>
    </xf>
    <xf numFmtId="0" fontId="6" fillId="4" borderId="24" xfId="0" applyFont="1" applyFill="1" applyBorder="1" applyAlignment="1">
      <alignment horizontal="center" vertical="center" textRotation="90" wrapText="1"/>
    </xf>
    <xf numFmtId="0" fontId="93" fillId="4" borderId="23" xfId="0" applyFont="1" applyFill="1" applyBorder="1" applyAlignment="1">
      <alignment horizontal="center" vertical="center" textRotation="90" wrapText="1"/>
    </xf>
    <xf numFmtId="0" fontId="10" fillId="4" borderId="39" xfId="0" applyFont="1" applyFill="1" applyBorder="1" applyAlignment="1">
      <alignment horizontal="center" vertical="center" textRotation="90" wrapText="1"/>
    </xf>
    <xf numFmtId="0" fontId="10" fillId="4" borderId="20" xfId="0" applyFont="1" applyFill="1" applyBorder="1" applyAlignment="1">
      <alignment horizontal="center" vertical="center" textRotation="90" wrapText="1"/>
    </xf>
    <xf numFmtId="0" fontId="10" fillId="4" borderId="21" xfId="0" applyFont="1" applyFill="1" applyBorder="1" applyAlignment="1">
      <alignment horizontal="center" vertical="center" textRotation="90" wrapText="1"/>
    </xf>
    <xf numFmtId="0" fontId="10" fillId="14" borderId="39" xfId="0" applyFont="1" applyFill="1" applyBorder="1" applyAlignment="1">
      <alignment horizontal="center" vertical="center" textRotation="90" wrapText="1"/>
    </xf>
    <xf numFmtId="0" fontId="10" fillId="14" borderId="20" xfId="0" applyFont="1" applyFill="1" applyBorder="1" applyAlignment="1">
      <alignment horizontal="center" vertical="center" textRotation="90" wrapText="1"/>
    </xf>
    <xf numFmtId="0" fontId="10" fillId="14" borderId="40" xfId="0" applyFont="1" applyFill="1" applyBorder="1" applyAlignment="1">
      <alignment horizontal="center" vertical="center" textRotation="90" wrapText="1"/>
    </xf>
    <xf numFmtId="0" fontId="6" fillId="4" borderId="48" xfId="0" applyFont="1" applyFill="1" applyBorder="1" applyAlignment="1">
      <alignment horizontal="center" wrapText="1"/>
    </xf>
    <xf numFmtId="0" fontId="4" fillId="4" borderId="33" xfId="0" applyFont="1" applyFill="1" applyBorder="1" applyAlignment="1">
      <alignment horizontal="center" vertical="center" wrapText="1"/>
    </xf>
    <xf numFmtId="0" fontId="10" fillId="4" borderId="40" xfId="0" applyFont="1" applyFill="1" applyBorder="1" applyAlignment="1">
      <alignment horizontal="center" vertical="center" textRotation="90" wrapText="1"/>
    </xf>
    <xf numFmtId="0" fontId="6" fillId="4" borderId="26" xfId="0" applyFont="1" applyFill="1" applyBorder="1" applyAlignment="1">
      <alignment horizontal="center" vertical="center" textRotation="90" wrapText="1"/>
    </xf>
    <xf numFmtId="0" fontId="3" fillId="0" borderId="45" xfId="0" applyFont="1" applyBorder="1" applyAlignment="1">
      <alignment horizontal="center" vertical="center"/>
    </xf>
    <xf numFmtId="0" fontId="22" fillId="8" borderId="5" xfId="0" applyFont="1" applyFill="1" applyBorder="1" applyAlignment="1">
      <alignment horizontal="center" vertical="center"/>
    </xf>
    <xf numFmtId="0" fontId="22" fillId="8" borderId="15" xfId="0" applyFont="1" applyFill="1" applyBorder="1" applyAlignment="1">
      <alignment horizontal="center" vertical="center"/>
    </xf>
    <xf numFmtId="0" fontId="16" fillId="8" borderId="5" xfId="0" applyFont="1" applyFill="1" applyBorder="1" applyAlignment="1">
      <alignment horizontal="center" vertical="center"/>
    </xf>
    <xf numFmtId="0" fontId="16" fillId="8" borderId="15" xfId="0" applyFont="1" applyFill="1" applyBorder="1" applyAlignment="1">
      <alignment horizontal="center" vertical="center"/>
    </xf>
    <xf numFmtId="0" fontId="4" fillId="4" borderId="39" xfId="0" applyFont="1" applyFill="1" applyBorder="1" applyAlignment="1">
      <alignment horizontal="center" vertical="center" textRotation="90" wrapText="1"/>
    </xf>
    <xf numFmtId="0" fontId="4" fillId="4" borderId="20" xfId="0" applyFont="1" applyFill="1" applyBorder="1" applyAlignment="1">
      <alignment horizontal="center" vertical="center" textRotation="90" wrapText="1"/>
    </xf>
    <xf numFmtId="0" fontId="4" fillId="4" borderId="40" xfId="0" applyFont="1" applyFill="1" applyBorder="1" applyAlignment="1">
      <alignment horizontal="center" vertical="center" textRotation="90" wrapText="1"/>
    </xf>
    <xf numFmtId="0" fontId="4" fillId="14" borderId="0" xfId="0" applyFont="1" applyFill="1" applyAlignment="1">
      <alignment horizontal="center" vertical="center" textRotation="90" wrapText="1"/>
    </xf>
    <xf numFmtId="0" fontId="4" fillId="14" borderId="26" xfId="0" applyFont="1" applyFill="1" applyBorder="1" applyAlignment="1">
      <alignment horizontal="center" vertical="center" textRotation="90" wrapText="1"/>
    </xf>
    <xf numFmtId="0" fontId="6" fillId="14" borderId="0" xfId="0" applyFont="1" applyFill="1" applyAlignment="1">
      <alignment horizontal="center" vertical="center" textRotation="90" wrapText="1"/>
    </xf>
    <xf numFmtId="0" fontId="6" fillId="14" borderId="26" xfId="0" applyFont="1" applyFill="1" applyBorder="1" applyAlignment="1">
      <alignment horizontal="center" vertical="center" textRotation="90" wrapText="1"/>
    </xf>
    <xf numFmtId="0" fontId="79" fillId="4" borderId="39" xfId="0" applyFont="1" applyFill="1" applyBorder="1" applyAlignment="1">
      <alignment horizontal="center" vertical="center" textRotation="90" wrapText="1"/>
    </xf>
    <xf numFmtId="0" fontId="79" fillId="4" borderId="20" xfId="0" applyFont="1" applyFill="1" applyBorder="1" applyAlignment="1">
      <alignment horizontal="center" vertical="center" textRotation="90" wrapText="1"/>
    </xf>
    <xf numFmtId="0" fontId="79" fillId="4" borderId="40" xfId="0" applyFont="1" applyFill="1" applyBorder="1" applyAlignment="1">
      <alignment horizontal="center" vertical="center" textRotation="90" wrapText="1"/>
    </xf>
    <xf numFmtId="0" fontId="93" fillId="4" borderId="13" xfId="0" applyFont="1" applyFill="1" applyBorder="1" applyAlignment="1">
      <alignment horizontal="center" vertical="center" textRotation="90" wrapText="1"/>
    </xf>
    <xf numFmtId="0" fontId="6" fillId="4" borderId="14" xfId="0" applyFont="1" applyFill="1" applyBorder="1" applyAlignment="1">
      <alignment horizontal="center" vertical="center" textRotation="90" wrapText="1"/>
    </xf>
    <xf numFmtId="0" fontId="4" fillId="0" borderId="50" xfId="0" applyFont="1" applyBorder="1" applyAlignment="1">
      <alignment horizontal="center"/>
    </xf>
    <xf numFmtId="0" fontId="4" fillId="0" borderId="38" xfId="0" applyFont="1" applyBorder="1" applyAlignment="1">
      <alignment horizontal="center"/>
    </xf>
    <xf numFmtId="0" fontId="4" fillId="0" borderId="48" xfId="0" applyFont="1" applyBorder="1" applyAlignment="1">
      <alignment horizontal="center"/>
    </xf>
    <xf numFmtId="0" fontId="4" fillId="0" borderId="13" xfId="0" applyFont="1" applyBorder="1" applyAlignment="1">
      <alignment horizontal="center"/>
    </xf>
    <xf numFmtId="0" fontId="4" fillId="0" borderId="0" xfId="0" applyFont="1" applyAlignment="1">
      <alignment horizontal="center"/>
    </xf>
    <xf numFmtId="0" fontId="4" fillId="0" borderId="16" xfId="0" applyFont="1" applyBorder="1" applyAlignment="1">
      <alignment horizontal="center"/>
    </xf>
    <xf numFmtId="0" fontId="4" fillId="0" borderId="14" xfId="0" applyFont="1" applyBorder="1" applyAlignment="1">
      <alignment horizontal="center"/>
    </xf>
    <xf numFmtId="0" fontId="4" fillId="0" borderId="17" xfId="0" applyFont="1" applyBorder="1" applyAlignment="1">
      <alignment horizontal="center"/>
    </xf>
    <xf numFmtId="0" fontId="4" fillId="0" borderId="18" xfId="0" applyFont="1" applyBorder="1" applyAlignment="1">
      <alignment horizontal="center"/>
    </xf>
    <xf numFmtId="0" fontId="23" fillId="14" borderId="13" xfId="0" applyFont="1" applyFill="1" applyBorder="1" applyAlignment="1">
      <alignment horizontal="center" vertical="center" textRotation="90" wrapText="1"/>
    </xf>
    <xf numFmtId="0" fontId="23" fillId="14" borderId="36" xfId="0" applyFont="1" applyFill="1" applyBorder="1" applyAlignment="1">
      <alignment horizontal="center" vertical="center" textRotation="90" wrapText="1"/>
    </xf>
    <xf numFmtId="0" fontId="3" fillId="0" borderId="9" xfId="0" applyFont="1" applyBorder="1" applyAlignment="1">
      <alignment horizontal="center" vertical="center"/>
    </xf>
    <xf numFmtId="0" fontId="4" fillId="4" borderId="0" xfId="0" applyFont="1" applyFill="1" applyAlignment="1">
      <alignment horizontal="center" vertical="center" textRotation="90" wrapText="1"/>
    </xf>
    <xf numFmtId="0" fontId="4" fillId="4" borderId="17" xfId="0" applyFont="1" applyFill="1" applyBorder="1" applyAlignment="1">
      <alignment horizontal="center" vertical="center" textRotation="90" wrapText="1"/>
    </xf>
    <xf numFmtId="0" fontId="4" fillId="12" borderId="0" xfId="0" applyFont="1" applyFill="1" applyAlignment="1">
      <alignment horizontal="center" vertical="center" wrapText="1"/>
    </xf>
    <xf numFmtId="0" fontId="10" fillId="14" borderId="21" xfId="0" applyFont="1" applyFill="1" applyBorder="1" applyAlignment="1">
      <alignment horizontal="center" vertical="center" textRotation="90" wrapText="1"/>
    </xf>
    <xf numFmtId="0" fontId="6" fillId="14" borderId="50" xfId="0" applyFont="1" applyFill="1" applyBorder="1" applyAlignment="1">
      <alignment horizontal="center" vertical="center" textRotation="90" wrapText="1"/>
    </xf>
    <xf numFmtId="0" fontId="6" fillId="14" borderId="14" xfId="0" applyFont="1" applyFill="1" applyBorder="1" applyAlignment="1">
      <alignment horizontal="center" vertical="center" textRotation="90" wrapText="1"/>
    </xf>
    <xf numFmtId="0" fontId="6" fillId="4" borderId="37" xfId="0" applyFont="1" applyFill="1" applyBorder="1" applyAlignment="1">
      <alignment horizontal="center" vertical="center" textRotation="90" wrapText="1"/>
    </xf>
    <xf numFmtId="0" fontId="10" fillId="4" borderId="17" xfId="0" applyFont="1" applyFill="1" applyBorder="1" applyAlignment="1">
      <alignment horizontal="center" vertical="center" textRotation="90" wrapText="1"/>
    </xf>
    <xf numFmtId="0" fontId="15" fillId="6" borderId="4" xfId="0" applyFont="1" applyFill="1" applyBorder="1" applyAlignment="1">
      <alignment horizontal="center" vertical="center"/>
    </xf>
    <xf numFmtId="0" fontId="15" fillId="6" borderId="11" xfId="0" applyFont="1" applyFill="1" applyBorder="1" applyAlignment="1">
      <alignment horizontal="center" vertical="center"/>
    </xf>
    <xf numFmtId="0" fontId="6" fillId="14" borderId="38" xfId="0" applyFont="1" applyFill="1" applyBorder="1" applyAlignment="1">
      <alignment horizontal="center" vertical="center" textRotation="90" wrapText="1"/>
    </xf>
    <xf numFmtId="0" fontId="6" fillId="14" borderId="17" xfId="0" applyFont="1" applyFill="1" applyBorder="1" applyAlignment="1">
      <alignment horizontal="center" vertical="center" textRotation="90" wrapText="1"/>
    </xf>
    <xf numFmtId="0" fontId="6" fillId="14" borderId="25" xfId="0" applyFont="1" applyFill="1" applyBorder="1" applyAlignment="1">
      <alignment horizontal="center" vertical="center" textRotation="90" wrapText="1"/>
    </xf>
    <xf numFmtId="0" fontId="23" fillId="4" borderId="23" xfId="0" applyFont="1" applyFill="1" applyBorder="1" applyAlignment="1">
      <alignment horizontal="center" vertical="center" textRotation="90" wrapText="1"/>
    </xf>
    <xf numFmtId="0" fontId="23" fillId="4" borderId="25" xfId="0" applyFont="1" applyFill="1" applyBorder="1" applyAlignment="1">
      <alignment horizontal="center" vertical="center" textRotation="90" wrapText="1"/>
    </xf>
    <xf numFmtId="0" fontId="4" fillId="4" borderId="48" xfId="0" applyFont="1" applyFill="1" applyBorder="1" applyAlignment="1">
      <alignment horizontal="center" vertical="center" textRotation="90" wrapText="1"/>
    </xf>
    <xf numFmtId="0" fontId="10" fillId="14" borderId="16" xfId="0" applyFont="1" applyFill="1" applyBorder="1" applyAlignment="1">
      <alignment horizontal="center" vertical="center" textRotation="90" wrapText="1"/>
    </xf>
    <xf numFmtId="0" fontId="10" fillId="14" borderId="33" xfId="0" applyFont="1" applyFill="1" applyBorder="1" applyAlignment="1">
      <alignment horizontal="center" vertical="center" textRotation="90" wrapText="1"/>
    </xf>
    <xf numFmtId="0" fontId="16" fillId="8" borderId="12" xfId="0" applyFont="1" applyFill="1" applyBorder="1" applyAlignment="1">
      <alignment horizontal="center" vertical="center"/>
    </xf>
    <xf numFmtId="0" fontId="6" fillId="14" borderId="13" xfId="0" applyFont="1" applyFill="1" applyBorder="1" applyAlignment="1">
      <alignment horizontal="left" vertical="center" textRotation="90" wrapText="1"/>
    </xf>
    <xf numFmtId="0" fontId="6" fillId="14" borderId="36" xfId="0" applyFont="1" applyFill="1" applyBorder="1" applyAlignment="1">
      <alignment horizontal="left" vertical="center" textRotation="90" wrapText="1"/>
    </xf>
    <xf numFmtId="0" fontId="5" fillId="6" borderId="5" xfId="0" applyFont="1" applyFill="1" applyBorder="1" applyAlignment="1">
      <alignment horizontal="center" vertical="center"/>
    </xf>
    <xf numFmtId="0" fontId="5" fillId="6" borderId="15" xfId="0" applyFont="1" applyFill="1" applyBorder="1" applyAlignment="1">
      <alignment horizontal="center" vertical="center"/>
    </xf>
    <xf numFmtId="0" fontId="10" fillId="14" borderId="0" xfId="0" applyFont="1" applyFill="1" applyAlignment="1">
      <alignment horizontal="center" vertical="center" textRotation="90" wrapText="1"/>
    </xf>
    <xf numFmtId="0" fontId="10" fillId="14" borderId="26" xfId="0" applyFont="1" applyFill="1" applyBorder="1" applyAlignment="1">
      <alignment horizontal="center" vertical="center" textRotation="90" wrapText="1"/>
    </xf>
    <xf numFmtId="0" fontId="6" fillId="4" borderId="38" xfId="0" applyFont="1" applyFill="1" applyBorder="1" applyAlignment="1">
      <alignment horizontal="center" vertical="center" textRotation="90" wrapText="1"/>
    </xf>
    <xf numFmtId="0" fontId="88" fillId="4" borderId="37" xfId="0" applyFont="1" applyFill="1" applyBorder="1" applyAlignment="1">
      <alignment horizontal="right" vertical="center" textRotation="90" wrapText="1"/>
    </xf>
    <xf numFmtId="0" fontId="88" fillId="4" borderId="23" xfId="0" applyFont="1" applyFill="1" applyBorder="1" applyAlignment="1">
      <alignment horizontal="right" vertical="center" textRotation="90" wrapText="1"/>
    </xf>
    <xf numFmtId="0" fontId="88" fillId="4" borderId="25" xfId="0" applyFont="1" applyFill="1" applyBorder="1" applyAlignment="1">
      <alignment horizontal="right" vertical="center" textRotation="90" wrapText="1"/>
    </xf>
    <xf numFmtId="0" fontId="6" fillId="4" borderId="38" xfId="0" applyFont="1" applyFill="1" applyBorder="1" applyAlignment="1">
      <alignment horizontal="right" vertical="center" textRotation="90" wrapText="1"/>
    </xf>
    <xf numFmtId="0" fontId="6" fillId="4" borderId="0" xfId="0" applyFont="1" applyFill="1" applyAlignment="1">
      <alignment horizontal="right" vertical="center" textRotation="90" wrapText="1"/>
    </xf>
    <xf numFmtId="0" fontId="6" fillId="4" borderId="26" xfId="0" applyFont="1" applyFill="1" applyBorder="1" applyAlignment="1">
      <alignment horizontal="right" vertical="center" textRotation="90" wrapText="1"/>
    </xf>
    <xf numFmtId="0" fontId="6" fillId="4" borderId="13" xfId="0" applyFont="1" applyFill="1" applyBorder="1" applyAlignment="1">
      <alignment horizontal="center" wrapText="1"/>
    </xf>
    <xf numFmtId="0" fontId="6" fillId="4" borderId="16" xfId="0" applyFont="1" applyFill="1" applyBorder="1" applyAlignment="1">
      <alignment horizontal="center" wrapText="1"/>
    </xf>
    <xf numFmtId="0" fontId="88" fillId="14" borderId="23" xfId="0" applyFont="1" applyFill="1" applyBorder="1" applyAlignment="1">
      <alignment horizontal="center" vertical="center" textRotation="90" wrapText="1"/>
    </xf>
    <xf numFmtId="0" fontId="19" fillId="4" borderId="50" xfId="0" applyFont="1" applyFill="1" applyBorder="1" applyAlignment="1">
      <alignment horizontal="center" vertical="center" textRotation="90" wrapText="1"/>
    </xf>
    <xf numFmtId="0" fontId="19" fillId="4" borderId="38" xfId="0" applyFont="1" applyFill="1" applyBorder="1" applyAlignment="1">
      <alignment horizontal="center" vertical="center" textRotation="90" wrapText="1"/>
    </xf>
    <xf numFmtId="0" fontId="19" fillId="4" borderId="48" xfId="0" applyFont="1" applyFill="1" applyBorder="1" applyAlignment="1">
      <alignment horizontal="center" vertical="center" textRotation="90" wrapText="1"/>
    </xf>
    <xf numFmtId="0" fontId="19" fillId="4" borderId="13" xfId="0" applyFont="1" applyFill="1" applyBorder="1" applyAlignment="1">
      <alignment horizontal="center" vertical="center" textRotation="90" wrapText="1"/>
    </xf>
    <xf numFmtId="0" fontId="19" fillId="4" borderId="0" xfId="0" applyFont="1" applyFill="1" applyAlignment="1">
      <alignment horizontal="center" vertical="center" textRotation="90" wrapText="1"/>
    </xf>
    <xf numFmtId="0" fontId="19" fillId="4" borderId="16" xfId="0" applyFont="1" applyFill="1" applyBorder="1" applyAlignment="1">
      <alignment horizontal="center" vertical="center" textRotation="90" wrapText="1"/>
    </xf>
    <xf numFmtId="0" fontId="19" fillId="4" borderId="14" xfId="0" applyFont="1" applyFill="1" applyBorder="1" applyAlignment="1">
      <alignment horizontal="center" vertical="center" textRotation="90" wrapText="1"/>
    </xf>
    <xf numFmtId="0" fontId="19" fillId="4" borderId="17" xfId="0" applyFont="1" applyFill="1" applyBorder="1" applyAlignment="1">
      <alignment horizontal="center" vertical="center" textRotation="90" wrapText="1"/>
    </xf>
    <xf numFmtId="0" fontId="19" fillId="4" borderId="18" xfId="0" applyFont="1" applyFill="1" applyBorder="1" applyAlignment="1">
      <alignment horizontal="center" vertical="center" textRotation="90" wrapText="1"/>
    </xf>
    <xf numFmtId="0" fontId="10" fillId="14" borderId="39" xfId="0" applyFont="1" applyFill="1" applyBorder="1" applyAlignment="1">
      <alignment horizontal="left" vertical="center" textRotation="90" wrapText="1"/>
    </xf>
    <xf numFmtId="0" fontId="10" fillId="14" borderId="20" xfId="0" applyFont="1" applyFill="1" applyBorder="1" applyAlignment="1">
      <alignment horizontal="left" vertical="center" textRotation="90" wrapText="1"/>
    </xf>
    <xf numFmtId="0" fontId="10" fillId="14" borderId="40" xfId="0" applyFont="1" applyFill="1" applyBorder="1" applyAlignment="1">
      <alignment horizontal="left" vertical="center" textRotation="90" wrapText="1"/>
    </xf>
    <xf numFmtId="0" fontId="6" fillId="14" borderId="0" xfId="0" applyFont="1" applyFill="1" applyAlignment="1">
      <alignment horizontal="left" vertical="center" textRotation="90" wrapText="1"/>
    </xf>
    <xf numFmtId="0" fontId="6" fillId="14" borderId="26" xfId="0" applyFont="1" applyFill="1" applyBorder="1" applyAlignment="1">
      <alignment horizontal="left" vertical="center" textRotation="90" wrapText="1"/>
    </xf>
    <xf numFmtId="0" fontId="6" fillId="14" borderId="23" xfId="0" applyFont="1" applyFill="1" applyBorder="1" applyAlignment="1">
      <alignment horizontal="left" vertical="center" textRotation="90" wrapText="1"/>
    </xf>
    <xf numFmtId="0" fontId="6" fillId="14" borderId="25" xfId="0" applyFont="1" applyFill="1" applyBorder="1" applyAlignment="1">
      <alignment horizontal="left" vertical="center" textRotation="90" wrapText="1"/>
    </xf>
    <xf numFmtId="0" fontId="3" fillId="0" borderId="46" xfId="0" applyFont="1" applyBorder="1" applyAlignment="1">
      <alignment horizontal="center" vertical="center"/>
    </xf>
    <xf numFmtId="0" fontId="6" fillId="4" borderId="23" xfId="0" applyFont="1" applyFill="1" applyBorder="1" applyAlignment="1">
      <alignment horizontal="left" vertical="center" textRotation="90" wrapText="1"/>
    </xf>
    <xf numFmtId="0" fontId="6" fillId="4" borderId="24" xfId="0" applyFont="1" applyFill="1" applyBorder="1" applyAlignment="1">
      <alignment horizontal="left" vertical="center" textRotation="90" wrapText="1"/>
    </xf>
    <xf numFmtId="0" fontId="4" fillId="14" borderId="20" xfId="0" applyFont="1" applyFill="1" applyBorder="1" applyAlignment="1">
      <alignment horizontal="left" vertical="center" textRotation="90" wrapText="1"/>
    </xf>
    <xf numFmtId="0" fontId="4" fillId="14" borderId="40" xfId="0" applyFont="1" applyFill="1" applyBorder="1" applyAlignment="1">
      <alignment horizontal="left" vertical="center" textRotation="90" wrapText="1"/>
    </xf>
    <xf numFmtId="0" fontId="48" fillId="4" borderId="50" xfId="0" applyFont="1" applyFill="1" applyBorder="1" applyAlignment="1">
      <alignment horizontal="center" vertical="center" textRotation="90" wrapText="1"/>
    </xf>
    <xf numFmtId="0" fontId="48" fillId="4" borderId="38" xfId="0" applyFont="1" applyFill="1" applyBorder="1" applyAlignment="1">
      <alignment horizontal="center" vertical="center" textRotation="90" wrapText="1"/>
    </xf>
    <xf numFmtId="0" fontId="48" fillId="4" borderId="48" xfId="0" applyFont="1" applyFill="1" applyBorder="1" applyAlignment="1">
      <alignment horizontal="center" vertical="center" textRotation="90" wrapText="1"/>
    </xf>
    <xf numFmtId="0" fontId="48" fillId="4" borderId="13" xfId="0" applyFont="1" applyFill="1" applyBorder="1" applyAlignment="1">
      <alignment horizontal="center" vertical="center" textRotation="90" wrapText="1"/>
    </xf>
    <xf numFmtId="0" fontId="48" fillId="4" borderId="0" xfId="0" applyFont="1" applyFill="1" applyAlignment="1">
      <alignment horizontal="center" vertical="center" textRotation="90" wrapText="1"/>
    </xf>
    <xf numFmtId="0" fontId="48" fillId="4" borderId="16" xfId="0" applyFont="1" applyFill="1" applyBorder="1" applyAlignment="1">
      <alignment horizontal="center" vertical="center" textRotation="90" wrapText="1"/>
    </xf>
    <xf numFmtId="0" fontId="48" fillId="4" borderId="14" xfId="0" applyFont="1" applyFill="1" applyBorder="1" applyAlignment="1">
      <alignment horizontal="center" vertical="center" textRotation="90" wrapText="1"/>
    </xf>
    <xf numFmtId="0" fontId="48" fillId="4" borderId="17" xfId="0" applyFont="1" applyFill="1" applyBorder="1" applyAlignment="1">
      <alignment horizontal="center" vertical="center" textRotation="90" wrapText="1"/>
    </xf>
    <xf numFmtId="0" fontId="48" fillId="4" borderId="18" xfId="0" applyFont="1" applyFill="1" applyBorder="1" applyAlignment="1">
      <alignment horizontal="center" vertical="center" textRotation="90" wrapText="1"/>
    </xf>
    <xf numFmtId="0" fontId="4" fillId="4" borderId="48" xfId="0" applyFont="1" applyFill="1" applyBorder="1" applyAlignment="1">
      <alignment horizontal="left" vertical="center" textRotation="90" wrapText="1"/>
    </xf>
    <xf numFmtId="0" fontId="4" fillId="4" borderId="16" xfId="0" applyFont="1" applyFill="1" applyBorder="1" applyAlignment="1">
      <alignment horizontal="left" vertical="center" textRotation="90" wrapText="1"/>
    </xf>
    <xf numFmtId="0" fontId="4" fillId="4" borderId="33" xfId="0" applyFont="1" applyFill="1" applyBorder="1" applyAlignment="1">
      <alignment horizontal="left" vertical="center" textRotation="90" wrapText="1"/>
    </xf>
    <xf numFmtId="0" fontId="6" fillId="4" borderId="25" xfId="0" applyFont="1" applyFill="1" applyBorder="1" applyAlignment="1">
      <alignment horizontal="left" vertical="center" textRotation="90" wrapText="1"/>
    </xf>
    <xf numFmtId="0" fontId="6" fillId="4" borderId="0" xfId="0" applyFont="1" applyFill="1" applyAlignment="1">
      <alignment horizontal="left" vertical="center" textRotation="90" wrapText="1"/>
    </xf>
    <xf numFmtId="0" fontId="6" fillId="4" borderId="26" xfId="0" applyFont="1" applyFill="1" applyBorder="1" applyAlignment="1">
      <alignment horizontal="left" vertical="center" textRotation="90" wrapText="1"/>
    </xf>
    <xf numFmtId="0" fontId="10" fillId="4" borderId="20" xfId="0" applyFont="1" applyFill="1" applyBorder="1" applyAlignment="1">
      <alignment horizontal="left" vertical="center" textRotation="90" wrapText="1"/>
    </xf>
    <xf numFmtId="0" fontId="10" fillId="4" borderId="40" xfId="0" applyFont="1" applyFill="1" applyBorder="1" applyAlignment="1">
      <alignment horizontal="left" vertical="center" textRotation="90" wrapText="1"/>
    </xf>
    <xf numFmtId="0" fontId="10" fillId="12" borderId="1" xfId="0" applyFont="1" applyFill="1" applyBorder="1" applyAlignment="1">
      <alignment horizontal="left" vertical="center" wrapText="1"/>
    </xf>
    <xf numFmtId="0" fontId="16" fillId="8" borderId="27" xfId="0" applyFont="1" applyFill="1" applyBorder="1" applyAlignment="1">
      <alignment horizontal="center" vertical="center"/>
    </xf>
    <xf numFmtId="0" fontId="16" fillId="8" borderId="28" xfId="0" applyFont="1" applyFill="1" applyBorder="1" applyAlignment="1">
      <alignment horizontal="center" vertical="center"/>
    </xf>
    <xf numFmtId="0" fontId="4" fillId="25" borderId="36" xfId="0" applyFont="1" applyFill="1" applyBorder="1" applyAlignment="1">
      <alignment horizontal="center" vertical="top" wrapText="1"/>
    </xf>
    <xf numFmtId="0" fontId="4" fillId="25" borderId="26" xfId="0" applyFont="1" applyFill="1" applyBorder="1" applyAlignment="1">
      <alignment horizontal="center" vertical="top" wrapText="1"/>
    </xf>
    <xf numFmtId="0" fontId="4" fillId="25" borderId="33" xfId="0" applyFont="1" applyFill="1" applyBorder="1" applyAlignment="1">
      <alignment horizontal="center" vertical="top" wrapText="1"/>
    </xf>
    <xf numFmtId="0" fontId="10" fillId="4" borderId="48" xfId="0" applyFont="1" applyFill="1" applyBorder="1" applyAlignment="1">
      <alignment horizontal="left" vertical="center" textRotation="90" wrapText="1"/>
    </xf>
    <xf numFmtId="0" fontId="10" fillId="4" borderId="16" xfId="0" applyFont="1" applyFill="1" applyBorder="1" applyAlignment="1">
      <alignment horizontal="left" vertical="center" textRotation="90" wrapText="1"/>
    </xf>
    <xf numFmtId="0" fontId="10" fillId="4" borderId="33" xfId="0" applyFont="1" applyFill="1" applyBorder="1" applyAlignment="1">
      <alignment horizontal="left" vertical="center" textRotation="90" wrapText="1"/>
    </xf>
    <xf numFmtId="0" fontId="10" fillId="14" borderId="21" xfId="0" applyFont="1" applyFill="1" applyBorder="1" applyAlignment="1">
      <alignment horizontal="left" vertical="center" textRotation="90" wrapText="1"/>
    </xf>
    <xf numFmtId="0" fontId="6" fillId="14" borderId="24" xfId="0" applyFont="1" applyFill="1" applyBorder="1" applyAlignment="1">
      <alignment horizontal="left" vertical="center" textRotation="90" wrapText="1"/>
    </xf>
    <xf numFmtId="0" fontId="10" fillId="4" borderId="39" xfId="0" applyFont="1" applyFill="1" applyBorder="1" applyAlignment="1">
      <alignment horizontal="left" vertical="center" textRotation="90" wrapText="1"/>
    </xf>
    <xf numFmtId="0" fontId="10" fillId="4" borderId="21" xfId="0" applyFont="1" applyFill="1" applyBorder="1" applyAlignment="1">
      <alignment horizontal="left" vertical="center" textRotation="90" wrapText="1"/>
    </xf>
    <xf numFmtId="0" fontId="4" fillId="4" borderId="36" xfId="0" applyFont="1" applyFill="1" applyBorder="1" applyAlignment="1">
      <alignment horizontal="center" vertical="top" wrapText="1"/>
    </xf>
    <xf numFmtId="0" fontId="4" fillId="4" borderId="26" xfId="0" applyFont="1" applyFill="1" applyBorder="1" applyAlignment="1">
      <alignment horizontal="center" vertical="top" wrapText="1"/>
    </xf>
    <xf numFmtId="0" fontId="4" fillId="4" borderId="33" xfId="0" applyFont="1" applyFill="1" applyBorder="1" applyAlignment="1">
      <alignment horizontal="center" vertical="top" wrapText="1"/>
    </xf>
    <xf numFmtId="0" fontId="6" fillId="4" borderId="12" xfId="0" applyFont="1" applyFill="1" applyBorder="1" applyAlignment="1">
      <alignment horizontal="center" wrapText="1"/>
    </xf>
    <xf numFmtId="0" fontId="6" fillId="4" borderId="15" xfId="0" applyFont="1" applyFill="1" applyBorder="1" applyAlignment="1">
      <alignment horizontal="center" wrapText="1"/>
    </xf>
    <xf numFmtId="0" fontId="4" fillId="4" borderId="14" xfId="0" applyFont="1" applyFill="1" applyBorder="1" applyAlignment="1">
      <alignment horizontal="center" vertical="top" wrapText="1"/>
    </xf>
    <xf numFmtId="0" fontId="4" fillId="4" borderId="17" xfId="0" applyFont="1" applyFill="1" applyBorder="1" applyAlignment="1">
      <alignment horizontal="center" vertical="top" wrapText="1"/>
    </xf>
    <xf numFmtId="0" fontId="4" fillId="4" borderId="18" xfId="0" applyFont="1" applyFill="1" applyBorder="1" applyAlignment="1">
      <alignment horizontal="center" vertical="top" wrapText="1"/>
    </xf>
    <xf numFmtId="0" fontId="22" fillId="8" borderId="28" xfId="0" applyFont="1" applyFill="1" applyBorder="1" applyAlignment="1">
      <alignment horizontal="center" vertical="center"/>
    </xf>
    <xf numFmtId="0" fontId="4" fillId="14" borderId="36" xfId="0" applyFont="1" applyFill="1" applyBorder="1" applyAlignment="1">
      <alignment horizontal="center" vertical="top" wrapText="1"/>
    </xf>
    <xf numFmtId="0" fontId="4" fillId="14" borderId="26" xfId="0" applyFont="1" applyFill="1" applyBorder="1" applyAlignment="1">
      <alignment horizontal="center" vertical="top" wrapText="1"/>
    </xf>
    <xf numFmtId="0" fontId="4" fillId="14" borderId="33" xfId="0" applyFont="1" applyFill="1" applyBorder="1" applyAlignment="1">
      <alignment horizontal="center" vertical="top" wrapText="1"/>
    </xf>
    <xf numFmtId="0" fontId="6" fillId="12" borderId="12" xfId="0" applyFont="1" applyFill="1" applyBorder="1" applyAlignment="1">
      <alignment horizontal="center" vertical="center" wrapText="1"/>
    </xf>
    <xf numFmtId="0" fontId="6" fillId="12" borderId="5" xfId="0" applyFont="1" applyFill="1" applyBorder="1" applyAlignment="1">
      <alignment horizontal="center" vertical="center" wrapText="1"/>
    </xf>
    <xf numFmtId="0" fontId="6" fillId="12" borderId="15" xfId="0" applyFont="1" applyFill="1" applyBorder="1" applyAlignment="1">
      <alignment horizontal="center" vertical="center" wrapText="1"/>
    </xf>
    <xf numFmtId="0" fontId="3" fillId="12" borderId="10" xfId="0" applyFont="1" applyFill="1" applyBorder="1" applyAlignment="1">
      <alignment horizontal="center" vertical="center"/>
    </xf>
    <xf numFmtId="0" fontId="3" fillId="12" borderId="4" xfId="0" applyFont="1" applyFill="1" applyBorder="1" applyAlignment="1">
      <alignment horizontal="center" vertical="center"/>
    </xf>
    <xf numFmtId="0" fontId="3" fillId="12" borderId="11" xfId="0" applyFont="1" applyFill="1" applyBorder="1" applyAlignment="1">
      <alignment horizontal="center" vertical="center"/>
    </xf>
    <xf numFmtId="0" fontId="3" fillId="14" borderId="10" xfId="0" applyFont="1" applyFill="1" applyBorder="1" applyAlignment="1">
      <alignment horizontal="center" vertical="center"/>
    </xf>
    <xf numFmtId="0" fontId="3" fillId="14" borderId="4" xfId="0" applyFont="1" applyFill="1" applyBorder="1" applyAlignment="1">
      <alignment horizontal="center" vertical="center"/>
    </xf>
    <xf numFmtId="0" fontId="3" fillId="14" borderId="11" xfId="0" applyFont="1" applyFill="1" applyBorder="1" applyAlignment="1">
      <alignment horizontal="center" vertical="center"/>
    </xf>
    <xf numFmtId="0" fontId="10" fillId="0" borderId="32" xfId="0" applyFont="1" applyBorder="1" applyAlignment="1">
      <alignment horizontal="center" vertical="center"/>
    </xf>
    <xf numFmtId="0" fontId="10" fillId="12" borderId="32" xfId="0" applyFont="1" applyFill="1" applyBorder="1" applyAlignment="1">
      <alignment horizontal="left" vertical="center" wrapText="1"/>
    </xf>
    <xf numFmtId="0" fontId="6" fillId="12" borderId="13" xfId="0" applyFont="1" applyFill="1" applyBorder="1" applyAlignment="1">
      <alignment horizontal="center" vertical="center" wrapText="1"/>
    </xf>
    <xf numFmtId="0" fontId="6" fillId="12" borderId="0" xfId="0" applyFont="1" applyFill="1" applyAlignment="1">
      <alignment horizontal="center" vertical="center" wrapText="1"/>
    </xf>
    <xf numFmtId="0" fontId="6" fillId="12" borderId="16" xfId="0" applyFont="1" applyFill="1" applyBorder="1" applyAlignment="1">
      <alignment horizontal="center" vertical="center" wrapText="1"/>
    </xf>
    <xf numFmtId="0" fontId="4" fillId="12" borderId="36" xfId="0" applyFont="1" applyFill="1" applyBorder="1" applyAlignment="1">
      <alignment horizontal="center" vertical="top" wrapText="1"/>
    </xf>
    <xf numFmtId="0" fontId="4" fillId="12" borderId="26" xfId="0" applyFont="1" applyFill="1" applyBorder="1" applyAlignment="1">
      <alignment horizontal="center" vertical="top" wrapText="1"/>
    </xf>
    <xf numFmtId="0" fontId="4" fillId="12" borderId="33" xfId="0" applyFont="1" applyFill="1" applyBorder="1" applyAlignment="1">
      <alignment horizontal="center" vertical="top" wrapText="1"/>
    </xf>
    <xf numFmtId="0" fontId="6" fillId="14" borderId="50" xfId="0" applyFont="1" applyFill="1" applyBorder="1" applyAlignment="1">
      <alignment horizontal="right" vertical="center" textRotation="90" wrapText="1"/>
    </xf>
    <xf numFmtId="0" fontId="6" fillId="14" borderId="13" xfId="0" applyFont="1" applyFill="1" applyBorder="1" applyAlignment="1">
      <alignment horizontal="right" vertical="center" textRotation="90" wrapText="1"/>
    </xf>
    <xf numFmtId="0" fontId="6" fillId="12" borderId="50" xfId="0" applyFont="1" applyFill="1" applyBorder="1" applyAlignment="1">
      <alignment horizontal="center" vertical="center" wrapText="1"/>
    </xf>
    <xf numFmtId="0" fontId="6" fillId="12" borderId="38" xfId="0" applyFont="1" applyFill="1" applyBorder="1" applyAlignment="1">
      <alignment horizontal="center" vertical="center" wrapText="1"/>
    </xf>
    <xf numFmtId="0" fontId="6" fillId="12" borderId="48" xfId="0" applyFont="1" applyFill="1" applyBorder="1" applyAlignment="1">
      <alignment horizontal="center" vertical="center" wrapText="1"/>
    </xf>
    <xf numFmtId="0" fontId="3" fillId="0" borderId="41" xfId="0" applyFont="1" applyBorder="1" applyAlignment="1">
      <alignment horizontal="center" vertical="center"/>
    </xf>
    <xf numFmtId="0" fontId="10" fillId="14" borderId="19" xfId="0" applyFont="1" applyFill="1" applyBorder="1" applyAlignment="1">
      <alignment horizontal="center" vertical="center" textRotation="90" wrapText="1"/>
    </xf>
    <xf numFmtId="0" fontId="6" fillId="14" borderId="22" xfId="0" applyFont="1" applyFill="1" applyBorder="1" applyAlignment="1">
      <alignment horizontal="center" vertical="center" textRotation="90" wrapText="1"/>
    </xf>
    <xf numFmtId="0" fontId="6" fillId="14" borderId="5" xfId="0" applyFont="1" applyFill="1" applyBorder="1" applyAlignment="1">
      <alignment horizontal="center" vertical="center" textRotation="90" wrapText="1"/>
    </xf>
    <xf numFmtId="0" fontId="6" fillId="14" borderId="12" xfId="0" applyFont="1" applyFill="1" applyBorder="1" applyAlignment="1">
      <alignment horizontal="center" vertical="center" textRotation="90" wrapText="1"/>
    </xf>
    <xf numFmtId="0" fontId="41" fillId="4" borderId="12" xfId="0" applyFont="1" applyFill="1" applyBorder="1" applyAlignment="1">
      <alignment horizontal="center" vertical="center" textRotation="90" wrapText="1"/>
    </xf>
    <xf numFmtId="0" fontId="41" fillId="4" borderId="13" xfId="0" applyFont="1" applyFill="1" applyBorder="1" applyAlignment="1">
      <alignment horizontal="center" vertical="center" textRotation="90" wrapText="1"/>
    </xf>
    <xf numFmtId="0" fontId="79" fillId="14" borderId="48" xfId="0" applyFont="1" applyFill="1" applyBorder="1" applyAlignment="1">
      <alignment horizontal="center" vertical="center" textRotation="90" wrapText="1"/>
    </xf>
    <xf numFmtId="0" fontId="79" fillId="14" borderId="16" xfId="0" applyFont="1" applyFill="1" applyBorder="1" applyAlignment="1">
      <alignment horizontal="center" vertical="center" textRotation="90" wrapText="1"/>
    </xf>
    <xf numFmtId="0" fontId="79" fillId="14" borderId="33" xfId="0" applyFont="1" applyFill="1" applyBorder="1" applyAlignment="1">
      <alignment horizontal="center" vertical="center" textRotation="90" wrapText="1"/>
    </xf>
    <xf numFmtId="0" fontId="10" fillId="0" borderId="43" xfId="0" applyFont="1" applyBorder="1" applyAlignment="1">
      <alignment horizontal="left" vertical="center"/>
    </xf>
    <xf numFmtId="0" fontId="4" fillId="12" borderId="14" xfId="0" applyFont="1" applyFill="1" applyBorder="1" applyAlignment="1">
      <alignment horizontal="center" vertical="center" wrapText="1"/>
    </xf>
    <xf numFmtId="0" fontId="4" fillId="12" borderId="17" xfId="0" applyFont="1" applyFill="1" applyBorder="1" applyAlignment="1">
      <alignment horizontal="center" vertical="center" wrapText="1"/>
    </xf>
    <xf numFmtId="0" fontId="4" fillId="12" borderId="18" xfId="0" applyFont="1" applyFill="1" applyBorder="1" applyAlignment="1">
      <alignment horizontal="center" vertical="center" wrapText="1"/>
    </xf>
    <xf numFmtId="0" fontId="41" fillId="14" borderId="38" xfId="0" applyFont="1" applyFill="1" applyBorder="1" applyAlignment="1">
      <alignment horizontal="center" vertical="center" textRotation="90" wrapText="1"/>
    </xf>
    <xf numFmtId="0" fontId="41" fillId="14" borderId="0" xfId="0" applyFont="1" applyFill="1" applyAlignment="1">
      <alignment horizontal="center" vertical="center" textRotation="90" wrapText="1"/>
    </xf>
    <xf numFmtId="0" fontId="41" fillId="14" borderId="17" xfId="0" applyFont="1" applyFill="1" applyBorder="1" applyAlignment="1">
      <alignment horizontal="center" vertical="center" textRotation="90" wrapText="1"/>
    </xf>
    <xf numFmtId="0" fontId="40" fillId="14" borderId="48" xfId="0" applyFont="1" applyFill="1" applyBorder="1" applyAlignment="1">
      <alignment horizontal="center" vertical="center" textRotation="90" wrapText="1"/>
    </xf>
    <xf numFmtId="0" fontId="40" fillId="14" borderId="16" xfId="0" applyFont="1" applyFill="1" applyBorder="1" applyAlignment="1">
      <alignment horizontal="center" vertical="center" textRotation="90" wrapText="1"/>
    </xf>
    <xf numFmtId="0" fontId="40" fillId="14" borderId="39" xfId="0" applyFont="1" applyFill="1" applyBorder="1" applyAlignment="1">
      <alignment horizontal="center" vertical="center" textRotation="90" wrapText="1"/>
    </xf>
    <xf numFmtId="0" fontId="40" fillId="14" borderId="20" xfId="0" applyFont="1" applyFill="1" applyBorder="1" applyAlignment="1">
      <alignment horizontal="center" vertical="center" textRotation="90" wrapText="1"/>
    </xf>
    <xf numFmtId="0" fontId="40" fillId="14" borderId="21" xfId="0" applyFont="1" applyFill="1" applyBorder="1" applyAlignment="1">
      <alignment horizontal="center" vertical="center" textRotation="90" wrapText="1"/>
    </xf>
    <xf numFmtId="0" fontId="88" fillId="14" borderId="0" xfId="0" applyFont="1" applyFill="1" applyAlignment="1">
      <alignment horizontal="center" vertical="center" textRotation="90" wrapText="1"/>
    </xf>
    <xf numFmtId="0" fontId="10" fillId="12" borderId="43" xfId="0" applyFont="1" applyFill="1" applyBorder="1" applyAlignment="1">
      <alignment horizontal="left" vertical="center" wrapText="1"/>
    </xf>
    <xf numFmtId="0" fontId="10" fillId="12" borderId="64" xfId="0" applyFont="1" applyFill="1" applyBorder="1" applyAlignment="1">
      <alignment horizontal="left" vertical="center" wrapText="1"/>
    </xf>
    <xf numFmtId="0" fontId="6" fillId="14" borderId="37" xfId="0" applyFont="1" applyFill="1" applyBorder="1" applyAlignment="1">
      <alignment horizontal="center" vertical="center" textRotation="90" wrapText="1"/>
    </xf>
    <xf numFmtId="0" fontId="88" fillId="14" borderId="5" xfId="0" applyFont="1" applyFill="1" applyBorder="1" applyAlignment="1">
      <alignment horizontal="center" vertical="center" textRotation="90" wrapText="1"/>
    </xf>
    <xf numFmtId="0" fontId="88" fillId="14" borderId="26" xfId="0" applyFont="1" applyFill="1" applyBorder="1" applyAlignment="1">
      <alignment horizontal="center" vertical="center" textRotation="90" wrapText="1"/>
    </xf>
    <xf numFmtId="0" fontId="40" fillId="4" borderId="19" xfId="0" applyFont="1" applyFill="1" applyBorder="1" applyAlignment="1">
      <alignment horizontal="center" vertical="center" textRotation="90" wrapText="1"/>
    </xf>
    <xf numFmtId="0" fontId="40" fillId="4" borderId="20" xfId="0" applyFont="1" applyFill="1" applyBorder="1" applyAlignment="1">
      <alignment horizontal="center" vertical="center" textRotation="90" wrapText="1"/>
    </xf>
    <xf numFmtId="0" fontId="4" fillId="12" borderId="13" xfId="0" applyFont="1" applyFill="1" applyBorder="1" applyAlignment="1">
      <alignment horizontal="center" vertical="center" wrapText="1"/>
    </xf>
    <xf numFmtId="0" fontId="4" fillId="12" borderId="16" xfId="0" applyFont="1" applyFill="1" applyBorder="1" applyAlignment="1">
      <alignment horizontal="center" vertical="center" wrapText="1"/>
    </xf>
    <xf numFmtId="0" fontId="88" fillId="14" borderId="12" xfId="0" applyFont="1" applyFill="1" applyBorder="1" applyAlignment="1">
      <alignment horizontal="center" vertical="center" textRotation="90" wrapText="1"/>
    </xf>
    <xf numFmtId="0" fontId="88" fillId="14" borderId="13" xfId="0" applyFont="1" applyFill="1" applyBorder="1" applyAlignment="1">
      <alignment horizontal="center" vertical="center" textRotation="90" wrapText="1"/>
    </xf>
    <xf numFmtId="0" fontId="10" fillId="14" borderId="15" xfId="0" applyFont="1" applyFill="1" applyBorder="1" applyAlignment="1">
      <alignment horizontal="center" vertical="center" textRotation="90" wrapText="1"/>
    </xf>
    <xf numFmtId="0" fontId="79" fillId="14" borderId="19" xfId="0" applyFont="1" applyFill="1" applyBorder="1" applyAlignment="1">
      <alignment horizontal="center" vertical="center" textRotation="90" wrapText="1"/>
    </xf>
    <xf numFmtId="0" fontId="79" fillId="14" borderId="20" xfId="0" applyFont="1" applyFill="1" applyBorder="1" applyAlignment="1">
      <alignment horizontal="center" vertical="center" textRotation="90" wrapText="1"/>
    </xf>
    <xf numFmtId="0" fontId="10" fillId="0" borderId="43" xfId="0" applyFont="1" applyBorder="1" applyAlignment="1">
      <alignment horizontal="center" vertical="center"/>
    </xf>
    <xf numFmtId="0" fontId="10" fillId="0" borderId="64" xfId="0" applyFont="1" applyBorder="1" applyAlignment="1">
      <alignment horizontal="center" vertical="center"/>
    </xf>
    <xf numFmtId="0" fontId="41" fillId="4" borderId="5" xfId="0" applyFont="1" applyFill="1" applyBorder="1" applyAlignment="1">
      <alignment horizontal="center" vertical="center" textRotation="90" wrapText="1"/>
    </xf>
    <xf numFmtId="0" fontId="41" fillId="4" borderId="0" xfId="0" applyFont="1" applyFill="1" applyAlignment="1">
      <alignment horizontal="center" vertical="center" textRotation="90" wrapText="1"/>
    </xf>
    <xf numFmtId="0" fontId="41" fillId="14" borderId="23" xfId="0" applyFont="1" applyFill="1" applyBorder="1" applyAlignment="1">
      <alignment horizontal="center" vertical="center" textRotation="90" wrapText="1"/>
    </xf>
    <xf numFmtId="0" fontId="41" fillId="14" borderId="13" xfId="0" applyFont="1" applyFill="1" applyBorder="1" applyAlignment="1">
      <alignment horizontal="center" vertical="center" textRotation="90" wrapText="1"/>
    </xf>
    <xf numFmtId="0" fontId="6" fillId="14" borderId="36" xfId="0" applyFont="1" applyFill="1" applyBorder="1" applyAlignment="1">
      <alignment horizontal="right" vertical="center" textRotation="90" wrapText="1"/>
    </xf>
    <xf numFmtId="0" fontId="88" fillId="4" borderId="38" xfId="0" applyFont="1" applyFill="1" applyBorder="1" applyAlignment="1">
      <alignment horizontal="center" vertical="center" textRotation="90" wrapText="1"/>
    </xf>
    <xf numFmtId="0" fontId="88" fillId="4" borderId="0" xfId="0" applyFont="1" applyFill="1" applyAlignment="1">
      <alignment horizontal="center" vertical="center" textRotation="90" wrapText="1"/>
    </xf>
    <xf numFmtId="0" fontId="88" fillId="4" borderId="26" xfId="0" applyFont="1" applyFill="1" applyBorder="1" applyAlignment="1">
      <alignment horizontal="center" vertical="center" textRotation="90" wrapText="1"/>
    </xf>
    <xf numFmtId="0" fontId="79" fillId="4" borderId="48" xfId="0" applyFont="1" applyFill="1" applyBorder="1" applyAlignment="1">
      <alignment horizontal="left" vertical="center" textRotation="90" wrapText="1"/>
    </xf>
    <xf numFmtId="0" fontId="79" fillId="4" borderId="16" xfId="0" applyFont="1" applyFill="1" applyBorder="1" applyAlignment="1">
      <alignment horizontal="left" vertical="center" textRotation="90" wrapText="1"/>
    </xf>
    <xf numFmtId="0" fontId="79" fillId="4" borderId="33" xfId="0" applyFont="1" applyFill="1" applyBorder="1" applyAlignment="1">
      <alignment horizontal="left" vertical="center" textRotation="90" wrapText="1"/>
    </xf>
    <xf numFmtId="0" fontId="10" fillId="14" borderId="0" xfId="0" applyFont="1" applyFill="1" applyAlignment="1">
      <alignment horizontal="left" vertical="center" textRotation="90" wrapText="1"/>
    </xf>
    <xf numFmtId="0" fontId="10" fillId="14" borderId="26" xfId="0" applyFont="1" applyFill="1" applyBorder="1" applyAlignment="1">
      <alignment horizontal="left" vertical="center" textRotation="90" wrapText="1"/>
    </xf>
    <xf numFmtId="0" fontId="10" fillId="4" borderId="18" xfId="0" applyFont="1" applyFill="1" applyBorder="1" applyAlignment="1">
      <alignment horizontal="left" vertical="center" textRotation="90" wrapText="1"/>
    </xf>
    <xf numFmtId="0" fontId="88" fillId="4" borderId="17" xfId="0" applyFont="1" applyFill="1" applyBorder="1" applyAlignment="1">
      <alignment horizontal="center" vertical="center" textRotation="90" wrapText="1"/>
    </xf>
    <xf numFmtId="0" fontId="6" fillId="4" borderId="13" xfId="0" applyFont="1" applyFill="1" applyBorder="1" applyAlignment="1">
      <alignment horizontal="right" vertical="center" textRotation="90" wrapText="1"/>
    </xf>
    <xf numFmtId="0" fontId="6" fillId="4" borderId="14" xfId="0" applyFont="1" applyFill="1" applyBorder="1" applyAlignment="1">
      <alignment horizontal="right" vertical="center" textRotation="90" wrapText="1"/>
    </xf>
    <xf numFmtId="0" fontId="6" fillId="4" borderId="23" xfId="0" applyFont="1" applyFill="1" applyBorder="1" applyAlignment="1">
      <alignment horizontal="right" vertical="center" textRotation="90" wrapText="1"/>
    </xf>
    <xf numFmtId="0" fontId="6" fillId="4" borderId="24" xfId="0" applyFont="1" applyFill="1" applyBorder="1" applyAlignment="1">
      <alignment horizontal="right" vertical="center" textRotation="90" wrapText="1"/>
    </xf>
    <xf numFmtId="0" fontId="10" fillId="4" borderId="0" xfId="0" applyFont="1" applyFill="1" applyAlignment="1">
      <alignment horizontal="left" vertical="center" textRotation="90" wrapText="1"/>
    </xf>
    <xf numFmtId="0" fontId="10" fillId="4" borderId="26" xfId="0" applyFont="1" applyFill="1" applyBorder="1" applyAlignment="1">
      <alignment horizontal="left" vertical="center" textRotation="90" wrapText="1"/>
    </xf>
    <xf numFmtId="0" fontId="6" fillId="4" borderId="50" xfId="0" applyFont="1" applyFill="1" applyBorder="1" applyAlignment="1">
      <alignment horizontal="right" vertical="center" textRotation="90" wrapText="1"/>
    </xf>
    <xf numFmtId="0" fontId="10" fillId="14" borderId="38" xfId="0" applyFont="1" applyFill="1" applyBorder="1" applyAlignment="1">
      <alignment horizontal="left" vertical="center" textRotation="90" wrapText="1"/>
    </xf>
    <xf numFmtId="0" fontId="10" fillId="14" borderId="17" xfId="0" applyFont="1" applyFill="1" applyBorder="1" applyAlignment="1">
      <alignment horizontal="left" vertical="center" textRotation="90" wrapText="1"/>
    </xf>
    <xf numFmtId="0" fontId="6" fillId="14" borderId="14" xfId="0" applyFont="1" applyFill="1" applyBorder="1" applyAlignment="1">
      <alignment horizontal="right" vertical="center" textRotation="90" wrapText="1"/>
    </xf>
    <xf numFmtId="0" fontId="79" fillId="4" borderId="18" xfId="0" applyFont="1" applyFill="1" applyBorder="1" applyAlignment="1">
      <alignment horizontal="left" vertical="center" textRotation="90" wrapText="1"/>
    </xf>
    <xf numFmtId="0" fontId="88" fillId="4" borderId="24" xfId="0" applyFont="1" applyFill="1" applyBorder="1" applyAlignment="1">
      <alignment horizontal="right" vertical="center" textRotation="90" wrapText="1"/>
    </xf>
    <xf numFmtId="0" fontId="6" fillId="4" borderId="37" xfId="0" applyFont="1" applyFill="1" applyBorder="1" applyAlignment="1">
      <alignment horizontal="right" vertical="center" textRotation="90" wrapText="1"/>
    </xf>
    <xf numFmtId="0" fontId="10" fillId="14" borderId="1" xfId="0" applyFont="1" applyFill="1" applyBorder="1" applyAlignment="1">
      <alignment horizontal="center" vertical="center"/>
    </xf>
    <xf numFmtId="0" fontId="4" fillId="14" borderId="0" xfId="0" applyFont="1" applyFill="1" applyAlignment="1">
      <alignment horizontal="left" vertical="center" textRotation="90" wrapText="1"/>
    </xf>
    <xf numFmtId="0" fontId="4" fillId="14" borderId="26" xfId="0" applyFont="1" applyFill="1" applyBorder="1" applyAlignment="1">
      <alignment horizontal="left" vertical="center" textRotation="90" wrapText="1"/>
    </xf>
    <xf numFmtId="0" fontId="6" fillId="4" borderId="25" xfId="0" applyFont="1" applyFill="1" applyBorder="1" applyAlignment="1">
      <alignment horizontal="right" vertical="center" textRotation="90" wrapText="1"/>
    </xf>
    <xf numFmtId="0" fontId="92" fillId="4" borderId="16" xfId="0" applyFont="1" applyFill="1" applyBorder="1" applyAlignment="1">
      <alignment horizontal="left" vertical="center" textRotation="90" wrapText="1"/>
    </xf>
    <xf numFmtId="0" fontId="92" fillId="4" borderId="33" xfId="0" applyFont="1" applyFill="1" applyBorder="1" applyAlignment="1">
      <alignment horizontal="left" vertical="center" textRotation="90" wrapText="1"/>
    </xf>
    <xf numFmtId="0" fontId="6" fillId="4" borderId="16" xfId="0" applyFont="1" applyFill="1" applyBorder="1" applyAlignment="1">
      <alignment horizontal="right" vertical="center" textRotation="90" wrapText="1"/>
    </xf>
    <xf numFmtId="0" fontId="6" fillId="4" borderId="33" xfId="0" applyFont="1" applyFill="1" applyBorder="1" applyAlignment="1">
      <alignment horizontal="right" vertical="center" textRotation="90" wrapText="1"/>
    </xf>
    <xf numFmtId="0" fontId="32" fillId="4" borderId="0" xfId="0" applyFont="1" applyFill="1" applyAlignment="1">
      <alignment horizontal="center" vertical="center" textRotation="90" wrapText="1"/>
    </xf>
    <xf numFmtId="0" fontId="32" fillId="4" borderId="26" xfId="0" applyFont="1" applyFill="1" applyBorder="1" applyAlignment="1">
      <alignment horizontal="center" vertical="center" textRotation="90" wrapText="1"/>
    </xf>
    <xf numFmtId="0" fontId="6" fillId="24" borderId="12" xfId="0" applyFont="1" applyFill="1" applyBorder="1" applyAlignment="1">
      <alignment horizontal="center" wrapText="1"/>
    </xf>
    <xf numFmtId="0" fontId="6" fillId="24" borderId="5" xfId="0" applyFont="1" applyFill="1" applyBorder="1" applyAlignment="1">
      <alignment horizontal="center" wrapText="1"/>
    </xf>
    <xf numFmtId="0" fontId="6" fillId="24" borderId="15" xfId="0" applyFont="1" applyFill="1" applyBorder="1" applyAlignment="1">
      <alignment horizontal="center" wrapText="1"/>
    </xf>
    <xf numFmtId="0" fontId="58" fillId="4" borderId="39" xfId="0" applyFont="1" applyFill="1" applyBorder="1" applyAlignment="1">
      <alignment horizontal="left" vertical="center" textRotation="90" wrapText="1"/>
    </xf>
    <xf numFmtId="0" fontId="58" fillId="4" borderId="20" xfId="0" applyFont="1" applyFill="1" applyBorder="1" applyAlignment="1">
      <alignment horizontal="left" vertical="center" textRotation="90" wrapText="1"/>
    </xf>
    <xf numFmtId="0" fontId="58" fillId="4" borderId="21" xfId="0" applyFont="1" applyFill="1" applyBorder="1" applyAlignment="1">
      <alignment horizontal="left" vertical="center" textRotation="90" wrapText="1"/>
    </xf>
    <xf numFmtId="0" fontId="6" fillId="22" borderId="50" xfId="0" applyFont="1" applyFill="1" applyBorder="1" applyAlignment="1">
      <alignment horizontal="center" wrapText="1"/>
    </xf>
    <xf numFmtId="0" fontId="6" fillId="22" borderId="38" xfId="0" applyFont="1" applyFill="1" applyBorder="1" applyAlignment="1">
      <alignment horizontal="center" wrapText="1"/>
    </xf>
    <xf numFmtId="0" fontId="6" fillId="22" borderId="48" xfId="0" applyFont="1" applyFill="1" applyBorder="1" applyAlignment="1">
      <alignment horizontal="center" wrapText="1"/>
    </xf>
    <xf numFmtId="0" fontId="6" fillId="23" borderId="12" xfId="0" applyFont="1" applyFill="1" applyBorder="1" applyAlignment="1">
      <alignment horizontal="center" wrapText="1"/>
    </xf>
    <xf numFmtId="0" fontId="6" fillId="23" borderId="5" xfId="0" applyFont="1" applyFill="1" applyBorder="1" applyAlignment="1">
      <alignment horizontal="center" wrapText="1"/>
    </xf>
    <xf numFmtId="0" fontId="6" fillId="23" borderId="15" xfId="0" applyFont="1" applyFill="1" applyBorder="1" applyAlignment="1">
      <alignment horizontal="center" wrapText="1"/>
    </xf>
    <xf numFmtId="0" fontId="4" fillId="22" borderId="14" xfId="0" applyFont="1" applyFill="1" applyBorder="1" applyAlignment="1">
      <alignment horizontal="center" vertical="top" wrapText="1"/>
    </xf>
    <xf numFmtId="0" fontId="4" fillId="22" borderId="17" xfId="0" applyFont="1" applyFill="1" applyBorder="1" applyAlignment="1">
      <alignment horizontal="center" vertical="top" wrapText="1"/>
    </xf>
    <xf numFmtId="0" fontId="4" fillId="22" borderId="18" xfId="0" applyFont="1" applyFill="1" applyBorder="1" applyAlignment="1">
      <alignment horizontal="center" vertical="top" wrapText="1"/>
    </xf>
    <xf numFmtId="0" fontId="4" fillId="22" borderId="36" xfId="0" applyFont="1" applyFill="1" applyBorder="1" applyAlignment="1">
      <alignment horizontal="center" vertical="top" wrapText="1"/>
    </xf>
    <xf numFmtId="0" fontId="4" fillId="22" borderId="26" xfId="0" applyFont="1" applyFill="1" applyBorder="1" applyAlignment="1">
      <alignment horizontal="center" vertical="top" wrapText="1"/>
    </xf>
    <xf numFmtId="0" fontId="4" fillId="22" borderId="33" xfId="0" applyFont="1" applyFill="1" applyBorder="1" applyAlignment="1">
      <alignment horizontal="center" vertical="top" wrapText="1"/>
    </xf>
    <xf numFmtId="0" fontId="32" fillId="4" borderId="0" xfId="0" applyFont="1" applyFill="1" applyAlignment="1">
      <alignment horizontal="right" vertical="center" textRotation="90" wrapText="1"/>
    </xf>
    <xf numFmtId="0" fontId="32" fillId="4" borderId="26" xfId="0" applyFont="1" applyFill="1" applyBorder="1" applyAlignment="1">
      <alignment horizontal="right" vertical="center" textRotation="90" wrapText="1"/>
    </xf>
    <xf numFmtId="0" fontId="6" fillId="14" borderId="12" xfId="0" applyFont="1" applyFill="1" applyBorder="1" applyAlignment="1">
      <alignment horizontal="right" vertical="center" textRotation="90" wrapText="1"/>
    </xf>
    <xf numFmtId="0" fontId="6" fillId="4" borderId="36" xfId="0" applyFont="1" applyFill="1" applyBorder="1" applyAlignment="1">
      <alignment horizontal="right" vertical="center" textRotation="90" wrapText="1"/>
    </xf>
    <xf numFmtId="0" fontId="6" fillId="14" borderId="37" xfId="0" applyFont="1" applyFill="1" applyBorder="1" applyAlignment="1">
      <alignment horizontal="right" vertical="center" textRotation="90" wrapText="1"/>
    </xf>
    <xf numFmtId="0" fontId="6" fillId="14" borderId="23" xfId="0" applyFont="1" applyFill="1" applyBorder="1" applyAlignment="1">
      <alignment horizontal="right" vertical="center" textRotation="90" wrapText="1"/>
    </xf>
    <xf numFmtId="0" fontId="6" fillId="14" borderId="25" xfId="0" applyFont="1" applyFill="1" applyBorder="1" applyAlignment="1">
      <alignment horizontal="right" vertical="center" textRotation="90" wrapText="1"/>
    </xf>
    <xf numFmtId="0" fontId="88" fillId="4" borderId="0" xfId="0" applyFont="1" applyFill="1" applyAlignment="1">
      <alignment horizontal="right" vertical="center" textRotation="90" wrapText="1"/>
    </xf>
    <xf numFmtId="0" fontId="88" fillId="4" borderId="26" xfId="0" applyFont="1" applyFill="1" applyBorder="1" applyAlignment="1">
      <alignment horizontal="right" vertical="center" textRotation="90" wrapText="1"/>
    </xf>
    <xf numFmtId="0" fontId="6" fillId="14" borderId="0" xfId="0" applyFont="1" applyFill="1" applyAlignment="1">
      <alignment horizontal="right" vertical="center" textRotation="90" wrapText="1"/>
    </xf>
    <xf numFmtId="0" fontId="10" fillId="0" borderId="54" xfId="0" applyFont="1" applyBorder="1" applyAlignment="1">
      <alignment horizontal="left" vertical="center"/>
    </xf>
    <xf numFmtId="0" fontId="10" fillId="0" borderId="28" xfId="0" applyFont="1" applyBorder="1" applyAlignment="1">
      <alignment horizontal="left" vertical="center"/>
    </xf>
    <xf numFmtId="0" fontId="10" fillId="0" borderId="29" xfId="0" applyFont="1" applyBorder="1" applyAlignment="1">
      <alignment horizontal="left" vertical="center"/>
    </xf>
    <xf numFmtId="0" fontId="10" fillId="12" borderId="27" xfId="0" applyFont="1" applyFill="1" applyBorder="1" applyAlignment="1">
      <alignment horizontal="left" vertical="center" wrapText="1"/>
    </xf>
    <xf numFmtId="0" fontId="10" fillId="12" borderId="29" xfId="0" applyFont="1" applyFill="1" applyBorder="1" applyAlignment="1">
      <alignment horizontal="left" vertical="center" wrapText="1"/>
    </xf>
    <xf numFmtId="0" fontId="10" fillId="0" borderId="54" xfId="0" applyFont="1" applyBorder="1" applyAlignment="1">
      <alignment horizontal="center" vertical="center"/>
    </xf>
    <xf numFmtId="0" fontId="10" fillId="0" borderId="29" xfId="0" applyFont="1" applyBorder="1" applyAlignment="1">
      <alignment horizontal="center" vertical="center"/>
    </xf>
    <xf numFmtId="0" fontId="4" fillId="4" borderId="13" xfId="0" applyFont="1" applyFill="1" applyBorder="1" applyAlignment="1">
      <alignment horizontal="center" vertical="top" wrapText="1"/>
    </xf>
    <xf numFmtId="0" fontId="4" fillId="4" borderId="0" xfId="0" applyFont="1" applyFill="1" applyAlignment="1">
      <alignment horizontal="center" vertical="top" wrapText="1"/>
    </xf>
    <xf numFmtId="0" fontId="4" fillId="4" borderId="16" xfId="0" applyFont="1" applyFill="1" applyBorder="1" applyAlignment="1">
      <alignment horizontal="center" vertical="top" wrapText="1"/>
    </xf>
    <xf numFmtId="0" fontId="0" fillId="0" borderId="37" xfId="0" applyBorder="1" applyAlignment="1">
      <alignment horizontal="center"/>
    </xf>
    <xf numFmtId="0" fontId="0" fillId="0" borderId="38" xfId="0" applyBorder="1" applyAlignment="1">
      <alignment horizontal="center"/>
    </xf>
    <xf numFmtId="0" fontId="0" fillId="0" borderId="48" xfId="0" applyBorder="1" applyAlignment="1">
      <alignment horizontal="center"/>
    </xf>
    <xf numFmtId="0" fontId="0" fillId="0" borderId="23" xfId="0" applyBorder="1" applyAlignment="1">
      <alignment horizontal="center"/>
    </xf>
    <xf numFmtId="0" fontId="0" fillId="0" borderId="0" xfId="0" applyAlignment="1">
      <alignment horizontal="center"/>
    </xf>
    <xf numFmtId="0" fontId="0" fillId="0" borderId="16"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33" xfId="0" applyBorder="1" applyAlignment="1">
      <alignment horizontal="center"/>
    </xf>
    <xf numFmtId="0" fontId="6" fillId="4" borderId="50" xfId="0" applyFont="1" applyFill="1" applyBorder="1" applyAlignment="1">
      <alignment horizontal="right" vertical="center" wrapText="1"/>
    </xf>
    <xf numFmtId="0" fontId="6" fillId="4" borderId="38" xfId="0" applyFont="1" applyFill="1" applyBorder="1" applyAlignment="1">
      <alignment horizontal="right" vertical="center" wrapText="1"/>
    </xf>
    <xf numFmtId="0" fontId="6" fillId="4" borderId="38" xfId="0" applyFont="1" applyFill="1" applyBorder="1" applyAlignment="1">
      <alignment horizontal="center" vertical="center" wrapText="1"/>
    </xf>
    <xf numFmtId="0" fontId="6" fillId="4" borderId="48" xfId="0" applyFont="1" applyFill="1" applyBorder="1" applyAlignment="1">
      <alignment horizontal="center" vertical="center" wrapText="1"/>
    </xf>
    <xf numFmtId="0" fontId="6" fillId="22" borderId="13" xfId="0" applyFont="1" applyFill="1" applyBorder="1" applyAlignment="1">
      <alignment horizontal="center" wrapText="1"/>
    </xf>
    <xf numFmtId="0" fontId="6" fillId="22" borderId="0" xfId="0" applyFont="1" applyFill="1" applyAlignment="1">
      <alignment horizontal="center" wrapText="1"/>
    </xf>
    <xf numFmtId="0" fontId="6" fillId="22" borderId="16" xfId="0" applyFont="1" applyFill="1" applyBorder="1" applyAlignment="1">
      <alignment horizontal="center" wrapText="1"/>
    </xf>
    <xf numFmtId="0" fontId="33" fillId="4" borderId="16" xfId="0" applyFont="1" applyFill="1" applyBorder="1" applyAlignment="1">
      <alignment horizontal="left" vertical="center" textRotation="90" wrapText="1"/>
    </xf>
    <xf numFmtId="0" fontId="33" fillId="4" borderId="33" xfId="0" applyFont="1" applyFill="1" applyBorder="1" applyAlignment="1">
      <alignment horizontal="left" vertical="center" textRotation="90" wrapText="1"/>
    </xf>
    <xf numFmtId="0" fontId="4" fillId="25" borderId="14" xfId="0" applyFont="1" applyFill="1" applyBorder="1" applyAlignment="1">
      <alignment horizontal="center" vertical="top" wrapText="1"/>
    </xf>
    <xf numFmtId="0" fontId="4" fillId="25" borderId="17" xfId="0" applyFont="1" applyFill="1" applyBorder="1" applyAlignment="1">
      <alignment horizontal="center" vertical="top" wrapText="1"/>
    </xf>
    <xf numFmtId="0" fontId="4" fillId="25" borderId="18" xfId="0" applyFont="1" applyFill="1" applyBorder="1" applyAlignment="1">
      <alignment horizontal="center" vertical="top" wrapText="1"/>
    </xf>
    <xf numFmtId="0" fontId="16" fillId="8" borderId="29" xfId="0" applyFont="1" applyFill="1" applyBorder="1" applyAlignment="1">
      <alignment horizontal="center" vertical="center"/>
    </xf>
    <xf numFmtId="0" fontId="4" fillId="21" borderId="0" xfId="0" applyFont="1" applyFill="1" applyAlignment="1">
      <alignment vertical="center" textRotation="90" wrapText="1"/>
    </xf>
    <xf numFmtId="0" fontId="4" fillId="24" borderId="36" xfId="0" applyFont="1" applyFill="1" applyBorder="1" applyAlignment="1">
      <alignment horizontal="center" vertical="top" wrapText="1"/>
    </xf>
    <xf numFmtId="0" fontId="4" fillId="24" borderId="26" xfId="0" applyFont="1" applyFill="1" applyBorder="1" applyAlignment="1">
      <alignment horizontal="center" vertical="top" wrapText="1"/>
    </xf>
    <xf numFmtId="0" fontId="4" fillId="24" borderId="33" xfId="0" applyFont="1" applyFill="1" applyBorder="1" applyAlignment="1">
      <alignment horizontal="center" vertical="top" wrapText="1"/>
    </xf>
    <xf numFmtId="0" fontId="30" fillId="4" borderId="38" xfId="0" applyFont="1" applyFill="1" applyBorder="1" applyAlignment="1">
      <alignment horizontal="center" vertical="center" textRotation="90" wrapText="1"/>
    </xf>
    <xf numFmtId="0" fontId="30" fillId="4" borderId="0" xfId="0" applyFont="1" applyFill="1" applyAlignment="1">
      <alignment horizontal="center" vertical="center" textRotation="90" wrapText="1"/>
    </xf>
    <xf numFmtId="0" fontId="30" fillId="4" borderId="17" xfId="0" applyFont="1" applyFill="1" applyBorder="1" applyAlignment="1">
      <alignment horizontal="center" vertical="center" textRotation="90" wrapText="1"/>
    </xf>
    <xf numFmtId="0" fontId="30" fillId="4" borderId="50" xfId="0" applyFont="1" applyFill="1" applyBorder="1" applyAlignment="1">
      <alignment horizontal="right" vertical="center" textRotation="90" wrapText="1"/>
    </xf>
    <xf numFmtId="0" fontId="30" fillId="4" borderId="13" xfId="0" applyFont="1" applyFill="1" applyBorder="1" applyAlignment="1">
      <alignment horizontal="right" vertical="center" textRotation="90" wrapText="1"/>
    </xf>
    <xf numFmtId="0" fontId="30" fillId="4" borderId="14" xfId="0" applyFont="1" applyFill="1" applyBorder="1" applyAlignment="1">
      <alignment horizontal="right" vertical="center" textRotation="90" wrapText="1"/>
    </xf>
    <xf numFmtId="0" fontId="6" fillId="4" borderId="17" xfId="0" applyFont="1" applyFill="1" applyBorder="1" applyAlignment="1">
      <alignment horizontal="right" vertical="center" textRotation="90" wrapText="1"/>
    </xf>
    <xf numFmtId="0" fontId="4" fillId="0" borderId="5" xfId="0" applyFont="1" applyBorder="1" applyAlignment="1">
      <alignment horizontal="center"/>
    </xf>
    <xf numFmtId="0" fontId="6" fillId="12" borderId="0" xfId="0" applyFont="1" applyFill="1" applyAlignment="1">
      <alignment horizontal="center" vertical="center" textRotation="90" wrapText="1"/>
    </xf>
    <xf numFmtId="0" fontId="10" fillId="12" borderId="0" xfId="0" applyFont="1" applyFill="1" applyAlignment="1">
      <alignment horizontal="left" vertical="center" textRotation="90" wrapText="1"/>
    </xf>
    <xf numFmtId="0" fontId="6" fillId="12" borderId="0" xfId="0" applyFont="1" applyFill="1" applyAlignment="1">
      <alignment horizontal="right" vertical="center" textRotation="90" wrapText="1"/>
    </xf>
    <xf numFmtId="0" fontId="10" fillId="4" borderId="38" xfId="0" applyFont="1" applyFill="1" applyBorder="1" applyAlignment="1">
      <alignment horizontal="left" vertical="center" textRotation="90" wrapText="1"/>
    </xf>
    <xf numFmtId="0" fontId="10" fillId="4" borderId="17" xfId="0" applyFont="1" applyFill="1" applyBorder="1" applyAlignment="1">
      <alignment horizontal="left" vertical="center" textRotation="90" wrapText="1"/>
    </xf>
    <xf numFmtId="0" fontId="4" fillId="23" borderId="13" xfId="0" applyFont="1" applyFill="1" applyBorder="1" applyAlignment="1">
      <alignment horizontal="center" vertical="top" wrapText="1"/>
    </xf>
    <xf numFmtId="0" fontId="4" fillId="23" borderId="0" xfId="0" applyFont="1" applyFill="1" applyAlignment="1">
      <alignment horizontal="center" vertical="top" wrapText="1"/>
    </xf>
    <xf numFmtId="0" fontId="4" fillId="23" borderId="16" xfId="0" applyFont="1" applyFill="1" applyBorder="1" applyAlignment="1">
      <alignment horizontal="center" vertical="top" wrapText="1"/>
    </xf>
    <xf numFmtId="0" fontId="5" fillId="22" borderId="12" xfId="0" applyFont="1" applyFill="1" applyBorder="1" applyAlignment="1">
      <alignment horizontal="center" vertical="center" wrapText="1"/>
    </xf>
    <xf numFmtId="0" fontId="5" fillId="22" borderId="5" xfId="0" applyFont="1" applyFill="1" applyBorder="1" applyAlignment="1">
      <alignment horizontal="center" vertical="center" wrapText="1"/>
    </xf>
    <xf numFmtId="0" fontId="5" fillId="22" borderId="15" xfId="0" applyFont="1" applyFill="1" applyBorder="1" applyAlignment="1">
      <alignment horizontal="center" vertical="center" wrapText="1"/>
    </xf>
    <xf numFmtId="0" fontId="19" fillId="14" borderId="50" xfId="0" applyFont="1" applyFill="1" applyBorder="1" applyAlignment="1">
      <alignment horizontal="right" vertical="center" textRotation="90" wrapText="1"/>
    </xf>
    <xf numFmtId="0" fontId="19" fillId="14" borderId="13" xfId="0" applyFont="1" applyFill="1" applyBorder="1" applyAlignment="1">
      <alignment horizontal="right" vertical="center" textRotation="90" wrapText="1"/>
    </xf>
    <xf numFmtId="0" fontId="19" fillId="14" borderId="14" xfId="0" applyFont="1" applyFill="1" applyBorder="1" applyAlignment="1">
      <alignment horizontal="right" vertical="center" textRotation="90" wrapText="1"/>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4" fillId="23" borderId="36" xfId="0" applyFont="1" applyFill="1" applyBorder="1" applyAlignment="1">
      <alignment horizontal="center" vertical="top" wrapText="1"/>
    </xf>
    <xf numFmtId="0" fontId="4" fillId="23" borderId="26" xfId="0" applyFont="1" applyFill="1" applyBorder="1" applyAlignment="1">
      <alignment horizontal="center" vertical="top" wrapText="1"/>
    </xf>
    <xf numFmtId="0" fontId="4" fillId="23" borderId="33" xfId="0" applyFont="1" applyFill="1" applyBorder="1" applyAlignment="1">
      <alignment horizontal="center" vertical="top" wrapText="1"/>
    </xf>
    <xf numFmtId="0" fontId="4" fillId="0" borderId="37" xfId="0" applyFont="1" applyBorder="1" applyAlignment="1">
      <alignment horizontal="center"/>
    </xf>
    <xf numFmtId="0" fontId="4" fillId="0" borderId="23" xfId="0" applyFont="1" applyBorder="1" applyAlignment="1">
      <alignment horizontal="center"/>
    </xf>
    <xf numFmtId="0" fontId="4" fillId="0" borderId="24" xfId="0" applyFont="1" applyBorder="1" applyAlignment="1">
      <alignment horizontal="center"/>
    </xf>
    <xf numFmtId="0" fontId="5" fillId="14" borderId="0" xfId="0" applyFont="1" applyFill="1" applyAlignment="1">
      <alignment horizontal="center" vertical="center" textRotation="90" wrapText="1"/>
    </xf>
    <xf numFmtId="0" fontId="5" fillId="14" borderId="17" xfId="0" applyFont="1" applyFill="1" applyBorder="1" applyAlignment="1">
      <alignment horizontal="center" vertical="center" textRotation="90" wrapText="1"/>
    </xf>
    <xf numFmtId="0" fontId="56" fillId="4" borderId="23" xfId="0" applyFont="1" applyFill="1" applyBorder="1" applyAlignment="1">
      <alignment horizontal="center" vertical="center" textRotation="90" wrapText="1"/>
    </xf>
    <xf numFmtId="0" fontId="4" fillId="4" borderId="19" xfId="0" applyFont="1" applyFill="1" applyBorder="1" applyAlignment="1">
      <alignment horizontal="center" vertical="center" textRotation="90" wrapText="1"/>
    </xf>
    <xf numFmtId="0" fontId="4" fillId="4" borderId="21" xfId="0" applyFont="1" applyFill="1" applyBorder="1" applyAlignment="1">
      <alignment horizontal="center" vertical="center" textRotation="90" wrapText="1"/>
    </xf>
    <xf numFmtId="0" fontId="5" fillId="14" borderId="23" xfId="0" applyFont="1" applyFill="1" applyBorder="1" applyAlignment="1">
      <alignment horizontal="center" vertical="center" textRotation="90" wrapText="1"/>
    </xf>
    <xf numFmtId="0" fontId="3" fillId="0" borderId="1" xfId="0" applyFont="1" applyBorder="1" applyAlignment="1">
      <alignment horizontal="center" vertical="center"/>
    </xf>
    <xf numFmtId="0" fontId="50" fillId="5" borderId="10" xfId="0" applyFont="1" applyFill="1" applyBorder="1" applyAlignment="1">
      <alignment horizontal="left" vertical="center"/>
    </xf>
    <xf numFmtId="0" fontId="50" fillId="5" borderId="4" xfId="0" applyFont="1" applyFill="1" applyBorder="1" applyAlignment="1">
      <alignment horizontal="left" vertical="center"/>
    </xf>
    <xf numFmtId="0" fontId="50" fillId="5" borderId="11" xfId="0" applyFont="1" applyFill="1" applyBorder="1" applyAlignment="1">
      <alignment horizontal="left" vertical="center"/>
    </xf>
    <xf numFmtId="0" fontId="0" fillId="14" borderId="30" xfId="0" applyFill="1" applyBorder="1" applyAlignment="1">
      <alignment horizontal="center"/>
    </xf>
    <xf numFmtId="0" fontId="0" fillId="14" borderId="1" xfId="0" applyFill="1" applyBorder="1" applyAlignment="1">
      <alignment horizontal="center"/>
    </xf>
    <xf numFmtId="0" fontId="0" fillId="14" borderId="34" xfId="0" applyFill="1" applyBorder="1" applyAlignment="1">
      <alignment horizontal="center"/>
    </xf>
    <xf numFmtId="0" fontId="26" fillId="4" borderId="0" xfId="0" applyFont="1" applyFill="1" applyAlignment="1">
      <alignment horizontal="center"/>
    </xf>
    <xf numFmtId="0" fontId="3" fillId="14" borderId="19" xfId="0" applyFont="1" applyFill="1" applyBorder="1" applyAlignment="1">
      <alignment vertical="center" textRotation="90" wrapText="1"/>
    </xf>
    <xf numFmtId="0" fontId="3" fillId="14" borderId="20" xfId="0" applyFont="1" applyFill="1" applyBorder="1" applyAlignment="1">
      <alignment vertical="center" textRotation="90" wrapText="1"/>
    </xf>
    <xf numFmtId="0" fontId="3" fillId="14" borderId="40" xfId="0" applyFont="1" applyFill="1" applyBorder="1" applyAlignment="1">
      <alignment vertical="center" textRotation="90" wrapText="1"/>
    </xf>
    <xf numFmtId="0" fontId="92" fillId="4" borderId="20" xfId="0" applyFont="1" applyFill="1" applyBorder="1" applyAlignment="1">
      <alignment horizontal="center" vertical="center" textRotation="90" wrapText="1"/>
    </xf>
    <xf numFmtId="0" fontId="92" fillId="4" borderId="21" xfId="0" applyFont="1" applyFill="1" applyBorder="1" applyAlignment="1">
      <alignment horizontal="center" vertical="center" textRotation="90" wrapText="1"/>
    </xf>
    <xf numFmtId="0" fontId="34" fillId="4" borderId="16" xfId="0" applyFont="1" applyFill="1" applyBorder="1" applyAlignment="1">
      <alignment horizontal="center" vertical="center" textRotation="90" wrapText="1"/>
    </xf>
    <xf numFmtId="0" fontId="5" fillId="26" borderId="10" xfId="0" applyFont="1" applyFill="1" applyBorder="1" applyAlignment="1">
      <alignment horizontal="center" vertical="center"/>
    </xf>
    <xf numFmtId="0" fontId="5" fillId="26" borderId="4" xfId="0" applyFont="1" applyFill="1" applyBorder="1" applyAlignment="1">
      <alignment horizontal="center" vertical="center"/>
    </xf>
    <xf numFmtId="0" fontId="5" fillId="26" borderId="11" xfId="0" applyFont="1" applyFill="1" applyBorder="1" applyAlignment="1">
      <alignment horizontal="center" vertical="center"/>
    </xf>
    <xf numFmtId="0" fontId="3" fillId="0" borderId="32" xfId="0" applyFont="1" applyBorder="1" applyAlignment="1">
      <alignment horizontal="center" vertical="center"/>
    </xf>
    <xf numFmtId="0" fontId="3" fillId="0" borderId="56" xfId="0" applyFont="1" applyBorder="1" applyAlignment="1">
      <alignment horizontal="left" vertical="center"/>
    </xf>
    <xf numFmtId="0" fontId="3" fillId="0" borderId="83" xfId="0" applyFont="1" applyBorder="1" applyAlignment="1">
      <alignment horizontal="left" vertical="center"/>
    </xf>
    <xf numFmtId="0" fontId="3" fillId="0" borderId="84" xfId="0" applyFont="1" applyBorder="1" applyAlignment="1">
      <alignment horizontal="left" vertical="center"/>
    </xf>
    <xf numFmtId="0" fontId="42" fillId="14" borderId="13" xfId="0" applyFont="1" applyFill="1" applyBorder="1" applyAlignment="1">
      <alignment vertical="center" textRotation="90" wrapText="1"/>
    </xf>
    <xf numFmtId="0" fontId="5" fillId="14" borderId="24" xfId="0" applyFont="1" applyFill="1" applyBorder="1" applyAlignment="1">
      <alignment horizontal="center" vertical="center" textRotation="90" wrapText="1"/>
    </xf>
    <xf numFmtId="0" fontId="5" fillId="4" borderId="23" xfId="0" applyFont="1" applyFill="1" applyBorder="1" applyAlignment="1">
      <alignment horizontal="center" vertical="center" textRotation="90" wrapText="1"/>
    </xf>
    <xf numFmtId="0" fontId="5" fillId="4" borderId="24" xfId="0" applyFont="1" applyFill="1" applyBorder="1" applyAlignment="1">
      <alignment horizontal="center" vertical="center" textRotation="90" wrapText="1"/>
    </xf>
    <xf numFmtId="0" fontId="3" fillId="0" borderId="8" xfId="0" applyFont="1" applyBorder="1" applyAlignment="1">
      <alignment horizontal="left" vertical="center"/>
    </xf>
    <xf numFmtId="0" fontId="3" fillId="0" borderId="57" xfId="0" applyFont="1" applyBorder="1" applyAlignment="1">
      <alignment horizontal="left" vertical="center"/>
    </xf>
    <xf numFmtId="0" fontId="3" fillId="0" borderId="64" xfId="0" applyFont="1" applyBorder="1" applyAlignment="1">
      <alignment horizontal="left" vertical="center"/>
    </xf>
    <xf numFmtId="0" fontId="42" fillId="14" borderId="23" xfId="0" applyFont="1" applyFill="1" applyBorder="1" applyAlignment="1">
      <alignment vertical="center" textRotation="90" wrapText="1"/>
    </xf>
    <xf numFmtId="0" fontId="42" fillId="14" borderId="24" xfId="0" applyFont="1" applyFill="1" applyBorder="1" applyAlignment="1">
      <alignment vertical="center" textRotation="90" wrapText="1"/>
    </xf>
    <xf numFmtId="0" fontId="4" fillId="12" borderId="27" xfId="0" applyFont="1" applyFill="1" applyBorder="1" applyAlignment="1">
      <alignment horizontal="center" vertical="center" wrapText="1"/>
    </xf>
    <xf numFmtId="0" fontId="4" fillId="12" borderId="28" xfId="0" applyFont="1" applyFill="1" applyBorder="1" applyAlignment="1">
      <alignment horizontal="center" vertical="center" wrapText="1"/>
    </xf>
    <xf numFmtId="0" fontId="4" fillId="12" borderId="29" xfId="0" applyFont="1" applyFill="1" applyBorder="1" applyAlignment="1">
      <alignment horizontal="center" vertical="center" wrapText="1"/>
    </xf>
    <xf numFmtId="0" fontId="4" fillId="12" borderId="30"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2" borderId="34" xfId="0" applyFont="1" applyFill="1" applyBorder="1" applyAlignment="1">
      <alignment horizontal="center" vertical="center" wrapText="1"/>
    </xf>
    <xf numFmtId="0" fontId="26" fillId="4" borderId="5" xfId="0" applyFont="1" applyFill="1" applyBorder="1" applyAlignment="1">
      <alignment horizontal="center" vertical="center" wrapText="1"/>
    </xf>
    <xf numFmtId="0" fontId="26" fillId="4" borderId="0" xfId="0" applyFont="1" applyFill="1" applyAlignment="1">
      <alignment horizontal="center" vertical="center" wrapText="1"/>
    </xf>
    <xf numFmtId="0" fontId="16" fillId="8" borderId="10" xfId="0" applyFont="1" applyFill="1" applyBorder="1" applyAlignment="1">
      <alignment horizontal="center" vertical="center"/>
    </xf>
    <xf numFmtId="0" fontId="16" fillId="8" borderId="4" xfId="0" applyFont="1" applyFill="1" applyBorder="1" applyAlignment="1">
      <alignment horizontal="center" vertical="center"/>
    </xf>
    <xf numFmtId="0" fontId="16" fillId="8" borderId="11" xfId="0" applyFont="1" applyFill="1" applyBorder="1" applyAlignment="1">
      <alignment horizontal="center" vertical="center"/>
    </xf>
    <xf numFmtId="0" fontId="3" fillId="12" borderId="30"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61" fillId="4" borderId="20" xfId="0" applyFont="1" applyFill="1" applyBorder="1" applyAlignment="1">
      <alignment horizontal="center" vertical="center" textRotation="90" wrapText="1"/>
    </xf>
    <xf numFmtId="0" fontId="4" fillId="14" borderId="5" xfId="0" applyFont="1" applyFill="1" applyBorder="1" applyAlignment="1">
      <alignment horizontal="center" vertical="center" textRotation="90" wrapText="1"/>
    </xf>
    <xf numFmtId="0" fontId="4" fillId="14" borderId="17" xfId="0" applyFont="1" applyFill="1" applyBorder="1" applyAlignment="1">
      <alignment horizontal="center" vertical="center" textRotation="90" wrapText="1"/>
    </xf>
    <xf numFmtId="0" fontId="34" fillId="4" borderId="19" xfId="0" applyFont="1" applyFill="1" applyBorder="1" applyAlignment="1">
      <alignment horizontal="center" vertical="center" textRotation="90" wrapText="1"/>
    </xf>
    <xf numFmtId="0" fontId="34" fillId="4" borderId="20" xfId="0" applyFont="1" applyFill="1" applyBorder="1" applyAlignment="1">
      <alignment horizontal="center" vertical="center" textRotation="90" wrapText="1"/>
    </xf>
    <xf numFmtId="0" fontId="3" fillId="0" borderId="28" xfId="0" applyFont="1" applyBorder="1" applyAlignment="1">
      <alignment horizontal="center" vertical="center"/>
    </xf>
    <xf numFmtId="0" fontId="5" fillId="4" borderId="0" xfId="0" applyFont="1" applyFill="1" applyAlignment="1">
      <alignment vertical="center" textRotation="90" wrapText="1"/>
    </xf>
    <xf numFmtId="0" fontId="5" fillId="4" borderId="17" xfId="0" applyFont="1" applyFill="1" applyBorder="1" applyAlignment="1">
      <alignment vertical="center" textRotation="90" wrapText="1"/>
    </xf>
    <xf numFmtId="0" fontId="3" fillId="14" borderId="39" xfId="0" applyFont="1" applyFill="1" applyBorder="1" applyAlignment="1">
      <alignment vertical="center" textRotation="90" wrapText="1"/>
    </xf>
    <xf numFmtId="0" fontId="42" fillId="14" borderId="23" xfId="0" applyFont="1" applyFill="1" applyBorder="1" applyAlignment="1">
      <alignment horizontal="center" vertical="center" textRotation="90" wrapText="1"/>
    </xf>
    <xf numFmtId="0" fontId="42" fillId="14" borderId="25" xfId="0" applyFont="1" applyFill="1" applyBorder="1" applyAlignment="1">
      <alignment horizontal="center" vertical="center" textRotation="90" wrapText="1"/>
    </xf>
    <xf numFmtId="0" fontId="3" fillId="12" borderId="31" xfId="0" applyFont="1" applyFill="1" applyBorder="1" applyAlignment="1">
      <alignment horizontal="left" vertical="center" wrapText="1"/>
    </xf>
    <xf numFmtId="0" fontId="3" fillId="12" borderId="32" xfId="0" applyFont="1" applyFill="1" applyBorder="1" applyAlignment="1">
      <alignment horizontal="left" vertical="center" wrapText="1"/>
    </xf>
    <xf numFmtId="0" fontId="56" fillId="4" borderId="24" xfId="0" applyFont="1" applyFill="1" applyBorder="1" applyAlignment="1">
      <alignment horizontal="center" vertical="center" textRotation="90" wrapText="1"/>
    </xf>
    <xf numFmtId="0" fontId="3" fillId="0" borderId="51" xfId="0" applyFont="1" applyBorder="1" applyAlignment="1">
      <alignment horizontal="center" vertical="center"/>
    </xf>
    <xf numFmtId="0" fontId="13" fillId="4" borderId="23" xfId="0" applyFont="1" applyFill="1" applyBorder="1" applyAlignment="1">
      <alignment horizontal="center" vertical="center" textRotation="90" wrapText="1"/>
    </xf>
    <xf numFmtId="0" fontId="42" fillId="4" borderId="23" xfId="0" applyFont="1" applyFill="1" applyBorder="1" applyAlignment="1">
      <alignment horizontal="center" vertical="center" textRotation="90" wrapText="1"/>
    </xf>
    <xf numFmtId="0" fontId="42" fillId="4" borderId="13" xfId="0" applyFont="1" applyFill="1" applyBorder="1" applyAlignment="1">
      <alignment vertical="center" textRotation="90" wrapText="1"/>
    </xf>
    <xf numFmtId="0" fontId="42" fillId="4" borderId="14" xfId="0" applyFont="1" applyFill="1" applyBorder="1" applyAlignment="1">
      <alignment vertical="center" textRotation="90" wrapText="1"/>
    </xf>
    <xf numFmtId="0" fontId="38" fillId="4" borderId="0" xfId="0" applyFont="1" applyFill="1" applyAlignment="1">
      <alignment vertical="center" textRotation="90" wrapText="1"/>
    </xf>
    <xf numFmtId="0" fontId="3" fillId="0" borderId="1" xfId="0" applyFont="1" applyBorder="1" applyAlignment="1">
      <alignment horizontal="left" vertical="center"/>
    </xf>
    <xf numFmtId="0" fontId="5" fillId="4" borderId="12"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17" xfId="0" applyFont="1" applyFill="1" applyBorder="1" applyAlignment="1">
      <alignment horizontal="center" vertical="center"/>
    </xf>
    <xf numFmtId="0" fontId="3" fillId="12" borderId="5" xfId="0" applyFont="1" applyFill="1" applyBorder="1" applyAlignment="1">
      <alignment horizontal="center" vertical="center" wrapText="1"/>
    </xf>
    <xf numFmtId="0" fontId="3" fillId="12" borderId="15" xfId="0" applyFont="1" applyFill="1" applyBorder="1" applyAlignment="1">
      <alignment horizontal="center" vertical="center" wrapText="1"/>
    </xf>
    <xf numFmtId="0" fontId="3" fillId="12" borderId="17" xfId="0" applyFont="1" applyFill="1" applyBorder="1" applyAlignment="1">
      <alignment horizontal="center" vertical="center" wrapText="1"/>
    </xf>
    <xf numFmtId="0" fontId="3" fillId="12" borderId="18" xfId="0" applyFont="1" applyFill="1" applyBorder="1" applyAlignment="1">
      <alignment horizontal="center" vertical="center" wrapText="1"/>
    </xf>
    <xf numFmtId="0" fontId="3" fillId="4" borderId="19" xfId="0" applyFont="1" applyFill="1" applyBorder="1" applyAlignment="1">
      <alignment vertical="center" textRotation="90" wrapText="1"/>
    </xf>
    <xf numFmtId="0" fontId="3" fillId="4" borderId="20" xfId="0" applyFont="1" applyFill="1" applyBorder="1" applyAlignment="1">
      <alignment vertical="center" textRotation="90" wrapText="1"/>
    </xf>
    <xf numFmtId="0" fontId="13" fillId="4" borderId="0" xfId="0" applyFont="1" applyFill="1" applyAlignment="1">
      <alignment horizontal="center" vertical="center" textRotation="90" wrapText="1"/>
    </xf>
    <xf numFmtId="0" fontId="5" fillId="14" borderId="13" xfId="0" applyFont="1" applyFill="1" applyBorder="1" applyAlignment="1">
      <alignment horizontal="center" vertical="center" textRotation="90" wrapText="1"/>
    </xf>
    <xf numFmtId="0" fontId="5" fillId="14" borderId="14" xfId="0" applyFont="1" applyFill="1" applyBorder="1" applyAlignment="1">
      <alignment horizontal="center" vertical="center" textRotation="90" wrapText="1"/>
    </xf>
    <xf numFmtId="0" fontId="4" fillId="12" borderId="5" xfId="0" applyFont="1" applyFill="1" applyBorder="1" applyAlignment="1">
      <alignment horizontal="center" vertical="center" wrapText="1"/>
    </xf>
    <xf numFmtId="0" fontId="4" fillId="12" borderId="15"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3" fillId="4" borderId="17" xfId="0" applyFont="1" applyFill="1" applyBorder="1" applyAlignment="1">
      <alignment horizontal="center" vertical="center" wrapText="1"/>
    </xf>
    <xf numFmtId="0" fontId="3" fillId="4" borderId="18" xfId="0" applyFont="1" applyFill="1" applyBorder="1" applyAlignment="1">
      <alignment horizontal="center" vertical="center" wrapText="1"/>
    </xf>
    <xf numFmtId="0" fontId="38" fillId="14" borderId="39" xfId="0" applyFont="1" applyFill="1" applyBorder="1" applyAlignment="1">
      <alignment vertical="center" textRotation="90" wrapText="1"/>
    </xf>
    <xf numFmtId="0" fontId="38" fillId="14" borderId="20" xfId="0" applyFont="1" applyFill="1" applyBorder="1" applyAlignment="1">
      <alignment vertical="center" textRotation="90" wrapText="1"/>
    </xf>
    <xf numFmtId="0" fontId="38" fillId="14" borderId="40" xfId="0" applyFont="1" applyFill="1" applyBorder="1" applyAlignment="1">
      <alignment vertical="center" textRotation="90" wrapText="1"/>
    </xf>
    <xf numFmtId="0" fontId="5" fillId="12" borderId="12" xfId="0" applyFont="1" applyFill="1" applyBorder="1" applyAlignment="1">
      <alignment horizontal="center" vertical="center"/>
    </xf>
    <xf numFmtId="0" fontId="5" fillId="12" borderId="5" xfId="0" applyFont="1" applyFill="1" applyBorder="1" applyAlignment="1">
      <alignment horizontal="center" vertical="center"/>
    </xf>
    <xf numFmtId="0" fontId="5" fillId="12" borderId="14" xfId="0" applyFont="1" applyFill="1" applyBorder="1" applyAlignment="1">
      <alignment horizontal="center" vertical="center"/>
    </xf>
    <xf numFmtId="0" fontId="5" fillId="12" borderId="17" xfId="0" applyFont="1" applyFill="1" applyBorder="1" applyAlignment="1">
      <alignment horizontal="center" vertical="center"/>
    </xf>
    <xf numFmtId="0" fontId="3" fillId="14" borderId="19" xfId="0" applyFont="1" applyFill="1" applyBorder="1" applyAlignment="1">
      <alignment horizontal="center" vertical="center" textRotation="90" wrapText="1"/>
    </xf>
    <xf numFmtId="0" fontId="3" fillId="14" borderId="20" xfId="0" applyFont="1" applyFill="1" applyBorder="1" applyAlignment="1">
      <alignment horizontal="center" vertical="center" textRotation="90" wrapText="1"/>
    </xf>
    <xf numFmtId="0" fontId="3" fillId="14" borderId="21" xfId="0" applyFont="1" applyFill="1" applyBorder="1" applyAlignment="1">
      <alignment horizontal="center" vertical="center" textRotation="90" wrapText="1"/>
    </xf>
    <xf numFmtId="0" fontId="3" fillId="4" borderId="0" xfId="0" applyFont="1" applyFill="1" applyAlignment="1">
      <alignment vertical="center" textRotation="90" wrapText="1"/>
    </xf>
    <xf numFmtId="0" fontId="3" fillId="4" borderId="17" xfId="0" applyFont="1" applyFill="1" applyBorder="1" applyAlignment="1">
      <alignment vertical="center" textRotation="90" wrapText="1"/>
    </xf>
    <xf numFmtId="0" fontId="3" fillId="12" borderId="27" xfId="0" applyFont="1" applyFill="1" applyBorder="1" applyAlignment="1">
      <alignment horizontal="left" vertical="center" wrapText="1"/>
    </xf>
    <xf numFmtId="0" fontId="3" fillId="12" borderId="28" xfId="0" applyFont="1" applyFill="1" applyBorder="1" applyAlignment="1">
      <alignment horizontal="left" vertical="center" wrapText="1"/>
    </xf>
    <xf numFmtId="0" fontId="3" fillId="0" borderId="28" xfId="0" applyFont="1" applyBorder="1" applyAlignment="1">
      <alignment horizontal="left" vertical="center"/>
    </xf>
    <xf numFmtId="0" fontId="42" fillId="14" borderId="36" xfId="0" applyFont="1" applyFill="1" applyBorder="1" applyAlignment="1">
      <alignment vertical="center" textRotation="90" wrapText="1"/>
    </xf>
    <xf numFmtId="0" fontId="5" fillId="4" borderId="13" xfId="0" applyFont="1" applyFill="1" applyBorder="1" applyAlignment="1">
      <alignment horizontal="center" vertical="center" textRotation="90" wrapText="1"/>
    </xf>
    <xf numFmtId="0" fontId="5" fillId="4" borderId="14" xfId="0" applyFont="1" applyFill="1" applyBorder="1" applyAlignment="1">
      <alignment horizontal="center" vertical="center" textRotation="90" wrapText="1"/>
    </xf>
    <xf numFmtId="0" fontId="3" fillId="0" borderId="55" xfId="0" applyFont="1" applyBorder="1" applyAlignment="1">
      <alignment horizontal="left" vertical="center"/>
    </xf>
    <xf numFmtId="0" fontId="3" fillId="0" borderId="60" xfId="0" applyFont="1" applyBorder="1" applyAlignment="1">
      <alignment horizontal="left" vertical="center"/>
    </xf>
    <xf numFmtId="0" fontId="3" fillId="0" borderId="65" xfId="0" applyFont="1" applyBorder="1" applyAlignment="1">
      <alignment horizontal="left" vertical="center"/>
    </xf>
    <xf numFmtId="0" fontId="18" fillId="4" borderId="19" xfId="0" applyFont="1" applyFill="1" applyBorder="1" applyAlignment="1">
      <alignment horizontal="center" vertical="center" textRotation="90" wrapText="1"/>
    </xf>
    <xf numFmtId="0" fontId="18" fillId="4" borderId="20" xfId="0" applyFont="1" applyFill="1" applyBorder="1" applyAlignment="1">
      <alignment horizontal="center" vertical="center" textRotation="90" wrapText="1"/>
    </xf>
    <xf numFmtId="0" fontId="18" fillId="4" borderId="21" xfId="0" applyFont="1" applyFill="1" applyBorder="1" applyAlignment="1">
      <alignment horizontal="center" vertical="center" textRotation="90" wrapText="1"/>
    </xf>
    <xf numFmtId="0" fontId="5" fillId="14" borderId="23" xfId="0" applyFont="1" applyFill="1" applyBorder="1" applyAlignment="1">
      <alignment vertical="center" textRotation="90" wrapText="1"/>
    </xf>
    <xf numFmtId="0" fontId="38" fillId="14" borderId="19" xfId="0" applyFont="1" applyFill="1" applyBorder="1" applyAlignment="1">
      <alignment horizontal="center" vertical="center" textRotation="90" wrapText="1"/>
    </xf>
    <xf numFmtId="0" fontId="38" fillId="14" borderId="20" xfId="0" applyFont="1" applyFill="1" applyBorder="1" applyAlignment="1">
      <alignment horizontal="center" vertical="center" textRotation="90" wrapText="1"/>
    </xf>
    <xf numFmtId="0" fontId="32" fillId="4" borderId="22" xfId="0" applyFont="1" applyFill="1" applyBorder="1" applyAlignment="1">
      <alignment horizontal="center" vertical="center" textRotation="90" wrapText="1"/>
    </xf>
    <xf numFmtId="0" fontId="32" fillId="4" borderId="15" xfId="0" applyFont="1" applyFill="1" applyBorder="1" applyAlignment="1">
      <alignment horizontal="center" vertical="center" textRotation="90" wrapText="1"/>
    </xf>
    <xf numFmtId="0" fontId="32" fillId="4" borderId="23" xfId="0" applyFont="1" applyFill="1" applyBorder="1" applyAlignment="1">
      <alignment horizontal="center" vertical="center" textRotation="90" wrapText="1"/>
    </xf>
    <xf numFmtId="0" fontId="32" fillId="4" borderId="16" xfId="0" applyFont="1" applyFill="1" applyBorder="1" applyAlignment="1">
      <alignment horizontal="center" vertical="center" textRotation="90" wrapText="1"/>
    </xf>
    <xf numFmtId="0" fontId="32" fillId="4" borderId="24" xfId="0" applyFont="1" applyFill="1" applyBorder="1" applyAlignment="1">
      <alignment horizontal="center" vertical="center" textRotation="90" wrapText="1"/>
    </xf>
    <xf numFmtId="0" fontId="32" fillId="4" borderId="18" xfId="0" applyFont="1" applyFill="1" applyBorder="1" applyAlignment="1">
      <alignment horizontal="center" vertical="center" textRotation="90" wrapText="1"/>
    </xf>
    <xf numFmtId="0" fontId="61" fillId="4" borderId="19" xfId="0" applyFont="1" applyFill="1" applyBorder="1" applyAlignment="1">
      <alignment horizontal="center" vertical="center" textRotation="90" wrapText="1"/>
    </xf>
    <xf numFmtId="0" fontId="42" fillId="14" borderId="24" xfId="0" applyFont="1" applyFill="1" applyBorder="1" applyAlignment="1">
      <alignment horizontal="center" vertical="center" textRotation="90" wrapText="1"/>
    </xf>
    <xf numFmtId="0" fontId="42" fillId="4" borderId="24" xfId="0" applyFont="1" applyFill="1" applyBorder="1" applyAlignment="1">
      <alignment horizontal="center" vertical="center" textRotation="90" wrapText="1"/>
    </xf>
    <xf numFmtId="0" fontId="4" fillId="14" borderId="19" xfId="0" applyFont="1" applyFill="1" applyBorder="1" applyAlignment="1">
      <alignment horizontal="center" vertical="center" textRotation="90" wrapText="1"/>
    </xf>
    <xf numFmtId="0" fontId="5" fillId="4" borderId="0" xfId="0" applyFont="1" applyFill="1" applyAlignment="1">
      <alignment horizontal="center" vertical="center" textRotation="90" wrapText="1"/>
    </xf>
    <xf numFmtId="0" fontId="5" fillId="4" borderId="17" xfId="0" applyFont="1" applyFill="1" applyBorder="1" applyAlignment="1">
      <alignment horizontal="center" vertical="center" textRotation="90" wrapText="1"/>
    </xf>
    <xf numFmtId="0" fontId="4" fillId="4" borderId="15" xfId="0" applyFont="1" applyFill="1" applyBorder="1" applyAlignment="1">
      <alignment horizontal="center" vertical="center" textRotation="90" wrapText="1"/>
    </xf>
    <xf numFmtId="0" fontId="5" fillId="12" borderId="0" xfId="0" applyFont="1" applyFill="1" applyAlignment="1">
      <alignment vertical="center"/>
    </xf>
    <xf numFmtId="0" fontId="4" fillId="18" borderId="0" xfId="0" applyFont="1" applyFill="1" applyAlignment="1">
      <alignment horizontal="center" vertical="center" wrapText="1"/>
    </xf>
    <xf numFmtId="0" fontId="3" fillId="4" borderId="20" xfId="0" applyFont="1" applyFill="1" applyBorder="1" applyAlignment="1">
      <alignment horizontal="center" vertical="center" textRotation="90" wrapText="1"/>
    </xf>
    <xf numFmtId="0" fontId="3" fillId="4" borderId="21" xfId="0" applyFont="1" applyFill="1" applyBorder="1" applyAlignment="1">
      <alignment horizontal="center" vertical="center" textRotation="90" wrapText="1"/>
    </xf>
    <xf numFmtId="0" fontId="36" fillId="4" borderId="19" xfId="0" applyFont="1" applyFill="1" applyBorder="1" applyAlignment="1">
      <alignment horizontal="center" vertical="center" textRotation="90" wrapText="1"/>
    </xf>
    <xf numFmtId="0" fontId="36" fillId="4" borderId="20" xfId="0" applyFont="1" applyFill="1" applyBorder="1" applyAlignment="1">
      <alignment horizontal="center" vertical="center" textRotation="90" wrapText="1"/>
    </xf>
    <xf numFmtId="0" fontId="36" fillId="4" borderId="21" xfId="0" applyFont="1" applyFill="1" applyBorder="1" applyAlignment="1">
      <alignment horizontal="center" vertical="center" textRotation="90" wrapText="1"/>
    </xf>
    <xf numFmtId="0" fontId="5" fillId="4" borderId="25" xfId="0" applyFont="1" applyFill="1" applyBorder="1" applyAlignment="1">
      <alignment horizontal="center" vertical="center" textRotation="90" wrapText="1"/>
    </xf>
    <xf numFmtId="0" fontId="15" fillId="12" borderId="12" xfId="0" applyFont="1" applyFill="1" applyBorder="1" applyAlignment="1">
      <alignment horizontal="center" vertical="center"/>
    </xf>
    <xf numFmtId="0" fontId="15" fillId="12" borderId="5" xfId="0" applyFont="1" applyFill="1" applyBorder="1" applyAlignment="1">
      <alignment horizontal="center" vertical="center"/>
    </xf>
    <xf numFmtId="0" fontId="15" fillId="12" borderId="14" xfId="0" applyFont="1" applyFill="1" applyBorder="1" applyAlignment="1">
      <alignment horizontal="center" vertical="center"/>
    </xf>
    <xf numFmtId="0" fontId="15" fillId="12" borderId="17" xfId="0" applyFont="1" applyFill="1" applyBorder="1" applyAlignment="1">
      <alignment horizontal="center" vertical="center"/>
    </xf>
    <xf numFmtId="0" fontId="15" fillId="12" borderId="15" xfId="0" applyFont="1" applyFill="1" applyBorder="1" applyAlignment="1">
      <alignment horizontal="center" vertical="center"/>
    </xf>
    <xf numFmtId="0" fontId="24" fillId="12" borderId="14" xfId="0" applyFont="1" applyFill="1" applyBorder="1" applyAlignment="1">
      <alignment horizontal="center" vertical="center" wrapText="1"/>
    </xf>
    <xf numFmtId="0" fontId="24" fillId="12" borderId="17" xfId="0" applyFont="1" applyFill="1" applyBorder="1" applyAlignment="1">
      <alignment horizontal="center" vertical="center" wrapText="1"/>
    </xf>
    <xf numFmtId="0" fontId="24" fillId="12" borderId="18" xfId="0" applyFont="1" applyFill="1" applyBorder="1" applyAlignment="1">
      <alignment horizontal="center" vertical="center" wrapText="1"/>
    </xf>
    <xf numFmtId="0" fontId="38" fillId="4" borderId="39" xfId="0" applyFont="1" applyFill="1" applyBorder="1" applyAlignment="1">
      <alignment horizontal="center" vertical="center" textRotation="90" wrapText="1"/>
    </xf>
    <xf numFmtId="0" fontId="38" fillId="4" borderId="20" xfId="0" applyFont="1" applyFill="1" applyBorder="1" applyAlignment="1">
      <alignment horizontal="center" vertical="center" textRotation="90" wrapText="1"/>
    </xf>
    <xf numFmtId="0" fontId="38" fillId="4" borderId="21" xfId="0" applyFont="1" applyFill="1" applyBorder="1" applyAlignment="1">
      <alignment horizontal="center" vertical="center" textRotation="90" wrapText="1"/>
    </xf>
    <xf numFmtId="0" fontId="5" fillId="20" borderId="0" xfId="0" applyFont="1" applyFill="1" applyAlignment="1">
      <alignment horizontal="center" vertical="center" textRotation="90" wrapText="1"/>
    </xf>
    <xf numFmtId="0" fontId="10" fillId="0" borderId="56" xfId="0" applyFont="1" applyBorder="1" applyAlignment="1">
      <alignment horizontal="center" vertical="center"/>
    </xf>
    <xf numFmtId="0" fontId="83" fillId="4" borderId="20" xfId="0" applyFont="1" applyFill="1" applyBorder="1" applyAlignment="1">
      <alignment horizontal="center" vertical="center" textRotation="90" wrapText="1"/>
    </xf>
    <xf numFmtId="0" fontId="83" fillId="4" borderId="21" xfId="0" applyFont="1" applyFill="1" applyBorder="1" applyAlignment="1">
      <alignment horizontal="center" vertical="center" textRotation="90" wrapText="1"/>
    </xf>
    <xf numFmtId="0" fontId="34" fillId="4" borderId="0" xfId="0" applyFont="1" applyFill="1" applyAlignment="1">
      <alignment horizontal="center" vertical="center" wrapText="1"/>
    </xf>
    <xf numFmtId="0" fontId="43" fillId="4" borderId="39" xfId="0" applyFont="1" applyFill="1" applyBorder="1" applyAlignment="1">
      <alignment horizontal="center" vertical="center" textRotation="90" wrapText="1"/>
    </xf>
    <xf numFmtId="0" fontId="43" fillId="4" borderId="20" xfId="0" applyFont="1" applyFill="1" applyBorder="1" applyAlignment="1">
      <alignment horizontal="center" vertical="center" textRotation="90" wrapText="1"/>
    </xf>
    <xf numFmtId="0" fontId="3" fillId="4" borderId="15" xfId="0" applyFont="1" applyFill="1" applyBorder="1" applyAlignment="1">
      <alignment horizontal="center" vertical="center" textRotation="90" wrapText="1"/>
    </xf>
    <xf numFmtId="0" fontId="3" fillId="4" borderId="16" xfId="0" applyFont="1" applyFill="1" applyBorder="1" applyAlignment="1">
      <alignment horizontal="center" vertical="center" textRotation="90" wrapText="1"/>
    </xf>
    <xf numFmtId="0" fontId="3" fillId="4" borderId="18" xfId="0" applyFont="1" applyFill="1" applyBorder="1" applyAlignment="1">
      <alignment horizontal="center" vertical="center" textRotation="90" wrapText="1"/>
    </xf>
    <xf numFmtId="0" fontId="3" fillId="18" borderId="0" xfId="0" applyFont="1" applyFill="1" applyAlignment="1">
      <alignment horizontal="center" vertical="center" wrapText="1"/>
    </xf>
    <xf numFmtId="0" fontId="3" fillId="18" borderId="20" xfId="0" applyFont="1" applyFill="1" applyBorder="1" applyAlignment="1">
      <alignment horizontal="center" vertical="center" wrapText="1"/>
    </xf>
    <xf numFmtId="0" fontId="5" fillId="18" borderId="13" xfId="0" applyFont="1" applyFill="1" applyBorder="1" applyAlignment="1">
      <alignment horizontal="center" vertical="center"/>
    </xf>
    <xf numFmtId="0" fontId="5" fillId="18" borderId="0" xfId="0" applyFont="1" applyFill="1" applyAlignment="1">
      <alignment horizontal="center" vertical="center"/>
    </xf>
    <xf numFmtId="0" fontId="3" fillId="4" borderId="19" xfId="0" applyFont="1" applyFill="1" applyBorder="1" applyAlignment="1">
      <alignment horizontal="center" vertical="center" textRotation="90" wrapText="1"/>
    </xf>
    <xf numFmtId="0" fontId="41" fillId="4" borderId="23" xfId="0" applyFont="1" applyFill="1" applyBorder="1" applyAlignment="1">
      <alignment horizontal="center" vertical="center" textRotation="90" wrapText="1"/>
    </xf>
    <xf numFmtId="0" fontId="41" fillId="4" borderId="24" xfId="0" applyFont="1" applyFill="1" applyBorder="1" applyAlignment="1">
      <alignment horizontal="center" vertical="center" textRotation="90" wrapText="1"/>
    </xf>
    <xf numFmtId="0" fontId="15" fillId="4" borderId="12" xfId="0" applyFont="1" applyFill="1" applyBorder="1" applyAlignment="1">
      <alignment horizontal="center" vertical="center"/>
    </xf>
    <xf numFmtId="0" fontId="15" fillId="4" borderId="5" xfId="0" applyFont="1" applyFill="1" applyBorder="1" applyAlignment="1">
      <alignment horizontal="center" vertical="center"/>
    </xf>
    <xf numFmtId="0" fontId="15" fillId="4" borderId="15" xfId="0" applyFont="1" applyFill="1" applyBorder="1" applyAlignment="1">
      <alignment horizontal="center" vertical="center"/>
    </xf>
    <xf numFmtId="0" fontId="36" fillId="4" borderId="5" xfId="0" applyFont="1" applyFill="1" applyBorder="1" applyAlignment="1">
      <alignment horizontal="center" vertical="center" textRotation="90" wrapText="1"/>
    </xf>
    <xf numFmtId="0" fontId="36" fillId="4" borderId="0" xfId="0" applyFont="1" applyFill="1" applyAlignment="1">
      <alignment horizontal="center" vertical="center" textRotation="90" wrapText="1"/>
    </xf>
    <xf numFmtId="0" fontId="54" fillId="4" borderId="0" xfId="0" applyFont="1" applyFill="1" applyAlignment="1">
      <alignment horizontal="center" vertical="center"/>
    </xf>
    <xf numFmtId="0" fontId="26" fillId="6" borderId="31" xfId="0" applyFont="1" applyFill="1" applyBorder="1" applyAlignment="1">
      <alignment horizontal="center"/>
    </xf>
    <xf numFmtId="0" fontId="26" fillId="6" borderId="32" xfId="0" applyFont="1" applyFill="1" applyBorder="1" applyAlignment="1">
      <alignment horizontal="center"/>
    </xf>
    <xf numFmtId="0" fontId="26" fillId="6" borderId="35" xfId="0" applyFont="1" applyFill="1" applyBorder="1" applyAlignment="1">
      <alignment horizontal="center"/>
    </xf>
    <xf numFmtId="0" fontId="43" fillId="4" borderId="21" xfId="0" applyFont="1" applyFill="1" applyBorder="1" applyAlignment="1">
      <alignment horizontal="center" vertical="center" textRotation="90" wrapText="1"/>
    </xf>
    <xf numFmtId="0" fontId="53" fillId="6" borderId="0" xfId="0" applyFont="1" applyFill="1" applyAlignment="1">
      <alignment vertical="center" textRotation="90" wrapText="1"/>
    </xf>
    <xf numFmtId="0" fontId="52" fillId="6" borderId="0" xfId="0" applyFont="1" applyFill="1" applyAlignment="1">
      <alignment vertical="center" textRotation="90" wrapText="1"/>
    </xf>
    <xf numFmtId="0" fontId="3" fillId="4" borderId="39" xfId="0" applyFont="1" applyFill="1" applyBorder="1" applyAlignment="1">
      <alignment horizontal="center" vertical="center" textRotation="90" wrapText="1"/>
    </xf>
    <xf numFmtId="0" fontId="42" fillId="14" borderId="0" xfId="0" applyFont="1" applyFill="1" applyAlignment="1">
      <alignment horizontal="center" vertical="center" textRotation="90" wrapText="1"/>
    </xf>
    <xf numFmtId="0" fontId="15" fillId="6" borderId="12" xfId="0" applyFont="1" applyFill="1" applyBorder="1" applyAlignment="1">
      <alignment horizontal="center" vertical="center"/>
    </xf>
    <xf numFmtId="0" fontId="15" fillId="6" borderId="14" xfId="0" applyFont="1" applyFill="1" applyBorder="1" applyAlignment="1">
      <alignment horizontal="center" vertical="center"/>
    </xf>
    <xf numFmtId="0" fontId="0" fillId="4" borderId="0" xfId="0" applyFill="1" applyAlignment="1">
      <alignment horizontal="center"/>
    </xf>
    <xf numFmtId="0" fontId="41" fillId="4" borderId="17" xfId="0" applyFont="1" applyFill="1" applyBorder="1" applyAlignment="1">
      <alignment horizontal="center" vertical="center" textRotation="90" wrapText="1"/>
    </xf>
    <xf numFmtId="0" fontId="3" fillId="4" borderId="40" xfId="0" applyFont="1" applyFill="1" applyBorder="1" applyAlignment="1">
      <alignment horizontal="center" vertical="center" textRotation="90" wrapText="1"/>
    </xf>
    <xf numFmtId="0" fontId="3" fillId="4" borderId="33" xfId="0" applyFont="1" applyFill="1" applyBorder="1" applyAlignment="1">
      <alignment horizontal="center" vertical="center" textRotation="90" wrapText="1"/>
    </xf>
    <xf numFmtId="0" fontId="32" fillId="4" borderId="0" xfId="0" applyFont="1" applyFill="1" applyAlignment="1">
      <alignment horizontal="center" vertical="center" wrapText="1"/>
    </xf>
    <xf numFmtId="0" fontId="4" fillId="4" borderId="5" xfId="0" applyFont="1" applyFill="1" applyBorder="1" applyAlignment="1">
      <alignment horizontal="center" vertical="center" wrapText="1"/>
    </xf>
    <xf numFmtId="0" fontId="4" fillId="4" borderId="15"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4" fillId="4" borderId="18" xfId="0" applyFont="1" applyFill="1" applyBorder="1" applyAlignment="1">
      <alignment horizontal="center" vertical="center" wrapText="1"/>
    </xf>
    <xf numFmtId="0" fontId="38" fillId="4" borderId="19" xfId="0" applyFont="1" applyFill="1" applyBorder="1" applyAlignment="1">
      <alignment horizontal="center" vertical="center" textRotation="90" wrapText="1"/>
    </xf>
    <xf numFmtId="0" fontId="17" fillId="4" borderId="30" xfId="0" applyFont="1" applyFill="1" applyBorder="1" applyAlignment="1">
      <alignment horizontal="center" vertical="center"/>
    </xf>
    <xf numFmtId="0" fontId="17" fillId="4" borderId="1" xfId="0" applyFont="1" applyFill="1" applyBorder="1" applyAlignment="1">
      <alignment horizontal="center" vertical="center"/>
    </xf>
    <xf numFmtId="0" fontId="17" fillId="4" borderId="34" xfId="0" applyFont="1" applyFill="1" applyBorder="1" applyAlignment="1">
      <alignment horizontal="center" vertical="center"/>
    </xf>
    <xf numFmtId="0" fontId="24" fillId="4" borderId="19" xfId="0" applyFont="1" applyFill="1" applyBorder="1" applyAlignment="1">
      <alignment horizontal="center" vertical="center" textRotation="90" wrapText="1"/>
    </xf>
    <xf numFmtId="0" fontId="24" fillId="4" borderId="20" xfId="0" applyFont="1" applyFill="1" applyBorder="1" applyAlignment="1">
      <alignment horizontal="center" vertical="center" textRotation="90" wrapText="1"/>
    </xf>
    <xf numFmtId="0" fontId="24" fillId="4" borderId="40" xfId="0" applyFont="1" applyFill="1" applyBorder="1" applyAlignment="1">
      <alignment horizontal="center" vertical="center" textRotation="90" wrapText="1"/>
    </xf>
    <xf numFmtId="0" fontId="24" fillId="14" borderId="19" xfId="0" applyFont="1" applyFill="1" applyBorder="1" applyAlignment="1">
      <alignment horizontal="center" vertical="center" textRotation="90" wrapText="1"/>
    </xf>
    <xf numFmtId="0" fontId="24" fillId="14" borderId="20" xfId="0" applyFont="1" applyFill="1" applyBorder="1" applyAlignment="1">
      <alignment horizontal="center" vertical="center" textRotation="90" wrapText="1"/>
    </xf>
    <xf numFmtId="0" fontId="24" fillId="14" borderId="40" xfId="0" applyFont="1" applyFill="1" applyBorder="1" applyAlignment="1">
      <alignment horizontal="center" vertical="center" textRotation="90" wrapText="1"/>
    </xf>
    <xf numFmtId="0" fontId="5" fillId="14" borderId="25" xfId="0" applyFont="1" applyFill="1" applyBorder="1" applyAlignment="1">
      <alignment horizontal="center" vertical="center" textRotation="90" wrapText="1"/>
    </xf>
    <xf numFmtId="0" fontId="5" fillId="14" borderId="36" xfId="0" applyFont="1" applyFill="1" applyBorder="1" applyAlignment="1">
      <alignment horizontal="center" vertical="center" textRotation="90" wrapText="1"/>
    </xf>
    <xf numFmtId="0" fontId="24" fillId="4" borderId="16" xfId="0" applyFont="1" applyFill="1" applyBorder="1" applyAlignment="1">
      <alignment horizontal="center" vertical="center" textRotation="90" wrapText="1"/>
    </xf>
    <xf numFmtId="0" fontId="24" fillId="4" borderId="36" xfId="0" applyFont="1" applyFill="1" applyBorder="1" applyAlignment="1">
      <alignment horizontal="center" vertical="center" wrapText="1"/>
    </xf>
    <xf numFmtId="0" fontId="24" fillId="4" borderId="26" xfId="0" applyFont="1" applyFill="1" applyBorder="1" applyAlignment="1">
      <alignment horizontal="center" vertical="center" wrapText="1"/>
    </xf>
    <xf numFmtId="0" fontId="24" fillId="4" borderId="33" xfId="0" applyFont="1" applyFill="1" applyBorder="1" applyAlignment="1">
      <alignment horizontal="center" vertical="center" wrapText="1"/>
    </xf>
    <xf numFmtId="0" fontId="24" fillId="4" borderId="39" xfId="0" applyFont="1" applyFill="1" applyBorder="1" applyAlignment="1">
      <alignment horizontal="center" vertical="center" textRotation="90" wrapText="1"/>
    </xf>
    <xf numFmtId="0" fontId="24" fillId="4" borderId="21" xfId="0" applyFont="1" applyFill="1" applyBorder="1" applyAlignment="1">
      <alignment horizontal="center" vertical="center" textRotation="90" wrapText="1"/>
    </xf>
    <xf numFmtId="0" fontId="15" fillId="12" borderId="50" xfId="0" applyFont="1" applyFill="1" applyBorder="1" applyAlignment="1">
      <alignment horizontal="center" vertical="center"/>
    </xf>
    <xf numFmtId="0" fontId="15" fillId="12" borderId="38" xfId="0" applyFont="1" applyFill="1" applyBorder="1" applyAlignment="1">
      <alignment horizontal="center" vertical="center"/>
    </xf>
    <xf numFmtId="0" fontId="15" fillId="12" borderId="48" xfId="0" applyFont="1" applyFill="1" applyBorder="1" applyAlignment="1">
      <alignment horizontal="center" vertical="center"/>
    </xf>
    <xf numFmtId="0" fontId="43" fillId="14" borderId="0" xfId="0" applyFont="1" applyFill="1" applyAlignment="1">
      <alignment horizontal="center" vertical="center" textRotation="90" wrapText="1"/>
    </xf>
    <xf numFmtId="0" fontId="15" fillId="4" borderId="50" xfId="0" applyFont="1" applyFill="1" applyBorder="1" applyAlignment="1">
      <alignment horizontal="center" vertical="center"/>
    </xf>
    <xf numFmtId="0" fontId="15" fillId="4" borderId="38" xfId="0" applyFont="1" applyFill="1" applyBorder="1" applyAlignment="1">
      <alignment horizontal="center" vertical="center"/>
    </xf>
    <xf numFmtId="0" fontId="15" fillId="4" borderId="48" xfId="0" applyFont="1" applyFill="1" applyBorder="1" applyAlignment="1">
      <alignment horizontal="center" vertical="center"/>
    </xf>
    <xf numFmtId="0" fontId="15" fillId="4" borderId="13" xfId="0" applyFont="1" applyFill="1" applyBorder="1" applyAlignment="1">
      <alignment horizontal="center" vertical="center"/>
    </xf>
    <xf numFmtId="0" fontId="15" fillId="4" borderId="0" xfId="0" applyFont="1" applyFill="1" applyAlignment="1">
      <alignment horizontal="center" vertical="center"/>
    </xf>
    <xf numFmtId="0" fontId="15" fillId="4" borderId="16" xfId="0" applyFont="1" applyFill="1" applyBorder="1" applyAlignment="1">
      <alignment horizontal="center" vertical="center"/>
    </xf>
    <xf numFmtId="0" fontId="5" fillId="4" borderId="38" xfId="0" applyFont="1" applyFill="1" applyBorder="1" applyAlignment="1">
      <alignment horizontal="center" vertical="center" wrapText="1"/>
    </xf>
    <xf numFmtId="0" fontId="5" fillId="4" borderId="48" xfId="0" applyFont="1" applyFill="1" applyBorder="1" applyAlignment="1">
      <alignment horizontal="center" vertical="center" wrapText="1"/>
    </xf>
    <xf numFmtId="0" fontId="17" fillId="4" borderId="13" xfId="0" applyFont="1" applyFill="1" applyBorder="1" applyAlignment="1">
      <alignment horizontal="center" vertical="center"/>
    </xf>
    <xf numFmtId="0" fontId="17" fillId="4" borderId="0" xfId="0" applyFont="1" applyFill="1" applyAlignment="1">
      <alignment horizontal="center" vertical="center"/>
    </xf>
    <xf numFmtId="0" fontId="3" fillId="12" borderId="60" xfId="0" applyFont="1" applyFill="1" applyBorder="1" applyAlignment="1">
      <alignment horizontal="center" vertical="center" wrapText="1"/>
    </xf>
    <xf numFmtId="0" fontId="3" fillId="12" borderId="65" xfId="0" applyFont="1" applyFill="1" applyBorder="1" applyAlignment="1">
      <alignment horizontal="center" vertical="center" wrapText="1"/>
    </xf>
    <xf numFmtId="0" fontId="0" fillId="14" borderId="43" xfId="0" applyFill="1" applyBorder="1" applyAlignment="1">
      <alignment horizontal="center"/>
    </xf>
    <xf numFmtId="0" fontId="0" fillId="14" borderId="57" xfId="0" applyFill="1" applyBorder="1" applyAlignment="1">
      <alignment horizontal="center"/>
    </xf>
    <xf numFmtId="0" fontId="32" fillId="4" borderId="5" xfId="0" applyFont="1" applyFill="1" applyBorder="1" applyAlignment="1">
      <alignment horizontal="center" vertical="center" wrapText="1"/>
    </xf>
    <xf numFmtId="0" fontId="32" fillId="4" borderId="15" xfId="0" applyFont="1" applyFill="1" applyBorder="1" applyAlignment="1">
      <alignment horizontal="center" vertical="center" wrapText="1"/>
    </xf>
    <xf numFmtId="0" fontId="92" fillId="14" borderId="20" xfId="0" applyFont="1" applyFill="1" applyBorder="1" applyAlignment="1">
      <alignment horizontal="center" vertical="center" textRotation="90" wrapText="1"/>
    </xf>
    <xf numFmtId="0" fontId="32" fillId="4" borderId="12" xfId="0" applyFont="1" applyFill="1" applyBorder="1" applyAlignment="1">
      <alignment horizontal="center" vertical="center" wrapText="1"/>
    </xf>
    <xf numFmtId="0" fontId="10" fillId="0" borderId="8" xfId="0" applyFont="1" applyBorder="1" applyAlignment="1">
      <alignment horizontal="left" vertical="top"/>
    </xf>
    <xf numFmtId="0" fontId="10" fillId="0" borderId="57" xfId="0" applyFont="1" applyBorder="1" applyAlignment="1">
      <alignment horizontal="left" vertical="top"/>
    </xf>
    <xf numFmtId="0" fontId="10" fillId="0" borderId="64" xfId="0" applyFont="1" applyBorder="1" applyAlignment="1">
      <alignment horizontal="left" vertical="top"/>
    </xf>
    <xf numFmtId="0" fontId="34" fillId="4" borderId="36" xfId="0" applyFont="1" applyFill="1" applyBorder="1" applyAlignment="1">
      <alignment horizontal="center" vertical="center" wrapText="1"/>
    </xf>
    <xf numFmtId="0" fontId="34" fillId="4" borderId="26" xfId="0" applyFont="1" applyFill="1" applyBorder="1" applyAlignment="1">
      <alignment horizontal="center" vertical="center" wrapText="1"/>
    </xf>
    <xf numFmtId="0" fontId="34" fillId="4" borderId="33" xfId="0" applyFont="1" applyFill="1" applyBorder="1" applyAlignment="1">
      <alignment horizontal="center" vertical="center" wrapText="1"/>
    </xf>
    <xf numFmtId="0" fontId="3" fillId="4" borderId="5" xfId="0" applyFont="1" applyFill="1" applyBorder="1" applyAlignment="1">
      <alignment vertical="center" textRotation="90" wrapText="1"/>
    </xf>
    <xf numFmtId="0" fontId="80" fillId="4" borderId="23" xfId="0" applyFont="1" applyFill="1" applyBorder="1" applyAlignment="1">
      <alignment horizontal="center" vertical="center" textRotation="90" wrapText="1"/>
    </xf>
    <xf numFmtId="0" fontId="80" fillId="4" borderId="24" xfId="0" applyFont="1" applyFill="1" applyBorder="1" applyAlignment="1">
      <alignment horizontal="center" vertical="center" textRotation="90" wrapText="1"/>
    </xf>
    <xf numFmtId="0" fontId="18" fillId="4" borderId="15" xfId="0" applyFont="1" applyFill="1" applyBorder="1" applyAlignment="1">
      <alignment horizontal="center" vertical="center" textRotation="90" wrapText="1"/>
    </xf>
    <xf numFmtId="0" fontId="18" fillId="4" borderId="16" xfId="0" applyFont="1" applyFill="1" applyBorder="1" applyAlignment="1">
      <alignment horizontal="center" vertical="center" textRotation="90" wrapText="1"/>
    </xf>
    <xf numFmtId="0" fontId="18" fillId="4" borderId="18" xfId="0" applyFont="1" applyFill="1" applyBorder="1" applyAlignment="1">
      <alignment horizontal="center" vertical="center" textRotation="90" wrapText="1"/>
    </xf>
    <xf numFmtId="0" fontId="34" fillId="4" borderId="18" xfId="0" applyFont="1" applyFill="1" applyBorder="1" applyAlignment="1">
      <alignment horizontal="center" vertical="center" textRotation="90" wrapText="1"/>
    </xf>
    <xf numFmtId="0" fontId="15" fillId="12" borderId="3" xfId="0" applyFont="1" applyFill="1" applyBorder="1" applyAlignment="1">
      <alignment horizontal="center" vertical="center"/>
    </xf>
    <xf numFmtId="0" fontId="15" fillId="12" borderId="60" xfId="0" applyFont="1" applyFill="1" applyBorder="1" applyAlignment="1">
      <alignment horizontal="center" vertical="center"/>
    </xf>
    <xf numFmtId="0" fontId="4" fillId="4" borderId="13" xfId="0" applyFont="1" applyFill="1" applyBorder="1" applyAlignment="1">
      <alignment horizontal="center" vertical="center" wrapText="1"/>
    </xf>
    <xf numFmtId="0" fontId="3" fillId="18" borderId="83" xfId="0" applyFont="1" applyFill="1" applyBorder="1" applyAlignment="1">
      <alignment horizontal="center" vertical="center" wrapText="1"/>
    </xf>
    <xf numFmtId="0" fontId="3" fillId="18" borderId="53" xfId="0" applyFont="1" applyFill="1" applyBorder="1" applyAlignment="1">
      <alignment horizontal="center" vertical="center" wrapText="1"/>
    </xf>
    <xf numFmtId="0" fontId="80" fillId="12" borderId="12" xfId="0" applyFont="1" applyFill="1" applyBorder="1" applyAlignment="1">
      <alignment horizontal="center" vertical="center"/>
    </xf>
    <xf numFmtId="0" fontId="80" fillId="12" borderId="5" xfId="0" applyFont="1" applyFill="1" applyBorder="1" applyAlignment="1">
      <alignment horizontal="center" vertical="center"/>
    </xf>
    <xf numFmtId="0" fontId="80" fillId="12" borderId="14" xfId="0" applyFont="1" applyFill="1" applyBorder="1" applyAlignment="1">
      <alignment horizontal="center" vertical="center"/>
    </xf>
    <xf numFmtId="0" fontId="80" fillId="12" borderId="17" xfId="0" applyFont="1" applyFill="1" applyBorder="1" applyAlignment="1">
      <alignment horizontal="center" vertical="center"/>
    </xf>
    <xf numFmtId="0" fontId="92" fillId="12" borderId="5" xfId="0" applyFont="1" applyFill="1" applyBorder="1" applyAlignment="1">
      <alignment horizontal="center" vertical="center" wrapText="1"/>
    </xf>
    <xf numFmtId="0" fontId="92" fillId="12" borderId="15" xfId="0" applyFont="1" applyFill="1" applyBorder="1" applyAlignment="1">
      <alignment horizontal="center" vertical="center" wrapText="1"/>
    </xf>
    <xf numFmtId="0" fontId="92" fillId="12" borderId="17" xfId="0" applyFont="1" applyFill="1" applyBorder="1" applyAlignment="1">
      <alignment horizontal="center" vertical="center" wrapText="1"/>
    </xf>
    <xf numFmtId="0" fontId="92" fillId="12" borderId="18" xfId="0" applyFont="1" applyFill="1" applyBorder="1" applyAlignment="1">
      <alignment horizontal="center" vertical="center" wrapText="1"/>
    </xf>
    <xf numFmtId="0" fontId="0" fillId="14" borderId="52" xfId="0" applyFill="1" applyBorder="1" applyAlignment="1">
      <alignment horizontal="center"/>
    </xf>
    <xf numFmtId="0" fontId="0" fillId="14" borderId="8" xfId="0" applyFill="1" applyBorder="1" applyAlignment="1">
      <alignment horizontal="center"/>
    </xf>
    <xf numFmtId="0" fontId="5" fillId="18" borderId="9" xfId="0" applyFont="1" applyFill="1" applyBorder="1" applyAlignment="1">
      <alignment horizontal="center" vertical="center"/>
    </xf>
    <xf numFmtId="0" fontId="5" fillId="18" borderId="83" xfId="0" applyFont="1" applyFill="1" applyBorder="1" applyAlignment="1">
      <alignment horizontal="center" vertical="center"/>
    </xf>
    <xf numFmtId="0" fontId="0" fillId="14" borderId="64" xfId="0" applyFill="1" applyBorder="1" applyAlignment="1">
      <alignment horizontal="center"/>
    </xf>
    <xf numFmtId="0" fontId="15" fillId="12" borderId="10" xfId="0" applyFont="1" applyFill="1" applyBorder="1" applyAlignment="1">
      <alignment horizontal="center" vertical="center"/>
    </xf>
    <xf numFmtId="0" fontId="15" fillId="12" borderId="4" xfId="0" applyFont="1" applyFill="1" applyBorder="1" applyAlignment="1">
      <alignment horizontal="center" vertical="center"/>
    </xf>
    <xf numFmtId="0" fontId="80" fillId="14" borderId="23" xfId="0" applyFont="1" applyFill="1" applyBorder="1" applyAlignment="1">
      <alignment horizontal="center" vertical="center" textRotation="90" wrapText="1"/>
    </xf>
    <xf numFmtId="0" fontId="39" fillId="8" borderId="12" xfId="0" applyFont="1" applyFill="1" applyBorder="1" applyAlignment="1">
      <alignment horizontal="center" vertical="center"/>
    </xf>
    <xf numFmtId="0" fontId="39" fillId="8" borderId="15" xfId="0" applyFont="1" applyFill="1" applyBorder="1" applyAlignment="1">
      <alignment horizontal="center" vertical="center"/>
    </xf>
    <xf numFmtId="0" fontId="80" fillId="14" borderId="13" xfId="0" applyFont="1" applyFill="1" applyBorder="1" applyAlignment="1">
      <alignment horizontal="center" vertical="center" textRotation="90" wrapText="1"/>
    </xf>
    <xf numFmtId="0" fontId="10" fillId="4" borderId="19" xfId="0" applyFont="1" applyFill="1" applyBorder="1" applyAlignment="1">
      <alignment horizontal="center" vertical="center" textRotation="90" wrapText="1"/>
    </xf>
    <xf numFmtId="0" fontId="18" fillId="14" borderId="19" xfId="0" applyFont="1" applyFill="1" applyBorder="1" applyAlignment="1">
      <alignment horizontal="center" vertical="center" textRotation="90" wrapText="1"/>
    </xf>
    <xf numFmtId="0" fontId="18" fillId="14" borderId="20" xfId="0" applyFont="1" applyFill="1" applyBorder="1" applyAlignment="1">
      <alignment horizontal="center" vertical="center" textRotation="90" wrapText="1"/>
    </xf>
    <xf numFmtId="0" fontId="18" fillId="14" borderId="21" xfId="0" applyFont="1" applyFill="1" applyBorder="1" applyAlignment="1">
      <alignment horizontal="center" vertical="center" textRotation="90" wrapText="1"/>
    </xf>
    <xf numFmtId="0" fontId="42" fillId="14" borderId="13" xfId="0" applyFont="1" applyFill="1" applyBorder="1" applyAlignment="1">
      <alignment horizontal="center" vertical="center" textRotation="90" wrapText="1"/>
    </xf>
    <xf numFmtId="0" fontId="42" fillId="14" borderId="14" xfId="0" applyFont="1" applyFill="1" applyBorder="1" applyAlignment="1">
      <alignment horizontal="center" vertical="center" textRotation="90" wrapText="1"/>
    </xf>
    <xf numFmtId="0" fontId="3" fillId="0" borderId="32" xfId="0" applyFont="1" applyBorder="1" applyAlignment="1">
      <alignment horizontal="left" vertical="center"/>
    </xf>
    <xf numFmtId="0" fontId="6" fillId="4" borderId="23" xfId="0" applyFont="1" applyFill="1" applyBorder="1" applyAlignment="1">
      <alignment vertical="center" textRotation="90" wrapText="1"/>
    </xf>
    <xf numFmtId="0" fontId="13" fillId="4" borderId="23" xfId="0" applyFont="1" applyFill="1" applyBorder="1" applyAlignment="1">
      <alignment vertical="center" textRotation="90" wrapText="1"/>
    </xf>
    <xf numFmtId="0" fontId="4" fillId="0" borderId="20" xfId="0" applyFont="1" applyBorder="1" applyAlignment="1">
      <alignment horizontal="center"/>
    </xf>
    <xf numFmtId="0" fontId="4" fillId="0" borderId="21" xfId="0" applyFont="1" applyBorder="1" applyAlignment="1">
      <alignment horizontal="center"/>
    </xf>
    <xf numFmtId="0" fontId="38" fillId="14" borderId="19" xfId="0" applyFont="1" applyFill="1" applyBorder="1" applyAlignment="1">
      <alignment vertical="center" textRotation="90" wrapText="1"/>
    </xf>
    <xf numFmtId="0" fontId="42" fillId="14" borderId="0" xfId="0" applyFont="1" applyFill="1" applyAlignment="1">
      <alignment vertical="center" textRotation="90" wrapText="1"/>
    </xf>
    <xf numFmtId="0" fontId="42" fillId="14" borderId="17" xfId="0" applyFont="1" applyFill="1" applyBorder="1" applyAlignment="1">
      <alignment vertical="center" textRotation="90" wrapText="1"/>
    </xf>
    <xf numFmtId="0" fontId="6" fillId="4" borderId="14" xfId="0" applyFont="1" applyFill="1" applyBorder="1" applyAlignment="1">
      <alignment horizontal="center" wrapText="1"/>
    </xf>
    <xf numFmtId="0" fontId="6" fillId="4" borderId="17" xfId="0" applyFont="1" applyFill="1" applyBorder="1" applyAlignment="1">
      <alignment horizontal="center" wrapText="1"/>
    </xf>
    <xf numFmtId="0" fontId="6" fillId="4" borderId="18" xfId="0" applyFont="1" applyFill="1" applyBorder="1" applyAlignment="1">
      <alignment horizontal="center" wrapText="1"/>
    </xf>
    <xf numFmtId="0" fontId="3" fillId="4" borderId="21" xfId="0" applyFont="1" applyFill="1" applyBorder="1" applyAlignment="1">
      <alignment vertical="center" textRotation="90" wrapText="1"/>
    </xf>
    <xf numFmtId="0" fontId="3" fillId="14" borderId="21" xfId="0" applyFont="1" applyFill="1" applyBorder="1" applyAlignment="1">
      <alignment vertical="center" textRotation="90" wrapText="1"/>
    </xf>
    <xf numFmtId="0" fontId="42" fillId="14" borderId="25" xfId="0" applyFont="1" applyFill="1" applyBorder="1" applyAlignment="1">
      <alignment vertical="center" textRotation="90" wrapText="1"/>
    </xf>
    <xf numFmtId="0" fontId="5" fillId="4" borderId="23" xfId="0" applyFont="1" applyFill="1" applyBorder="1" applyAlignment="1">
      <alignment vertical="center" textRotation="90" wrapText="1"/>
    </xf>
    <xf numFmtId="0" fontId="5" fillId="4" borderId="24" xfId="0" applyFont="1" applyFill="1" applyBorder="1" applyAlignment="1">
      <alignment vertical="center" textRotation="90" wrapText="1"/>
    </xf>
    <xf numFmtId="0" fontId="39" fillId="8" borderId="5" xfId="0" applyFont="1" applyFill="1" applyBorder="1" applyAlignment="1">
      <alignment horizontal="center" vertical="center"/>
    </xf>
    <xf numFmtId="0" fontId="39" fillId="8" borderId="3" xfId="0" applyFont="1" applyFill="1" applyBorder="1" applyAlignment="1">
      <alignment horizontal="center" vertical="center"/>
    </xf>
    <xf numFmtId="0" fontId="39" fillId="8" borderId="60" xfId="0" applyFont="1" applyFill="1" applyBorder="1" applyAlignment="1">
      <alignment horizontal="center" vertical="center"/>
    </xf>
    <xf numFmtId="0" fontId="39" fillId="8" borderId="65" xfId="0" applyFont="1" applyFill="1" applyBorder="1" applyAlignment="1">
      <alignment horizontal="center" vertical="center"/>
    </xf>
    <xf numFmtId="0" fontId="34" fillId="4" borderId="15" xfId="0" applyFont="1" applyFill="1" applyBorder="1" applyAlignment="1">
      <alignment horizontal="center" vertical="center" textRotation="90" wrapText="1"/>
    </xf>
    <xf numFmtId="0" fontId="5" fillId="4" borderId="36" xfId="0" applyFont="1" applyFill="1" applyBorder="1" applyAlignment="1">
      <alignment horizontal="center" vertical="center" textRotation="90" wrapText="1"/>
    </xf>
    <xf numFmtId="0" fontId="4" fillId="12" borderId="12" xfId="0" applyFont="1" applyFill="1" applyBorder="1" applyAlignment="1">
      <alignment horizontal="center" vertical="center" wrapText="1"/>
    </xf>
    <xf numFmtId="0" fontId="0" fillId="4" borderId="13" xfId="0" applyFill="1" applyBorder="1" applyAlignment="1">
      <alignment horizontal="center"/>
    </xf>
    <xf numFmtId="0" fontId="17" fillId="4" borderId="43" xfId="0" applyFont="1" applyFill="1" applyBorder="1" applyAlignment="1">
      <alignment horizontal="center" vertical="center"/>
    </xf>
    <xf numFmtId="0" fontId="17" fillId="4" borderId="57" xfId="0" applyFont="1" applyFill="1" applyBorder="1" applyAlignment="1">
      <alignment horizontal="center" vertical="center"/>
    </xf>
    <xf numFmtId="0" fontId="10" fillId="0" borderId="56" xfId="0" applyFont="1" applyBorder="1" applyAlignment="1">
      <alignment horizontal="left" vertical="top"/>
    </xf>
    <xf numFmtId="0" fontId="10" fillId="0" borderId="83" xfId="0" applyFont="1" applyBorder="1" applyAlignment="1">
      <alignment horizontal="left" vertical="top"/>
    </xf>
    <xf numFmtId="0" fontId="10" fillId="0" borderId="84" xfId="0" applyFont="1" applyBorder="1" applyAlignment="1">
      <alignment horizontal="left" vertical="top"/>
    </xf>
    <xf numFmtId="0" fontId="69" fillId="6" borderId="5" xfId="0" applyFont="1" applyFill="1" applyBorder="1" applyAlignment="1">
      <alignment horizontal="center" vertical="center"/>
    </xf>
    <xf numFmtId="0" fontId="69" fillId="6" borderId="15" xfId="0" applyFont="1" applyFill="1" applyBorder="1" applyAlignment="1">
      <alignment horizontal="center" vertical="center"/>
    </xf>
    <xf numFmtId="0" fontId="69" fillId="6" borderId="17" xfId="0" applyFont="1" applyFill="1" applyBorder="1" applyAlignment="1">
      <alignment horizontal="center" vertical="center"/>
    </xf>
    <xf numFmtId="0" fontId="69" fillId="6" borderId="18" xfId="0" applyFont="1" applyFill="1" applyBorder="1" applyAlignment="1">
      <alignment horizontal="center" vertical="center"/>
    </xf>
    <xf numFmtId="0" fontId="16" fillId="4" borderId="16" xfId="0" applyFont="1" applyFill="1" applyBorder="1" applyAlignment="1">
      <alignment vertical="center" textRotation="90" wrapText="1"/>
    </xf>
    <xf numFmtId="0" fontId="5" fillId="4" borderId="13" xfId="0" applyFont="1" applyFill="1" applyBorder="1" applyAlignment="1">
      <alignment vertical="center" textRotation="90" wrapText="1"/>
    </xf>
    <xf numFmtId="0" fontId="16" fillId="4" borderId="15" xfId="0" applyFont="1" applyFill="1" applyBorder="1" applyAlignment="1">
      <alignment vertical="center" textRotation="90" wrapText="1"/>
    </xf>
    <xf numFmtId="0" fontId="16" fillId="4" borderId="18" xfId="0" applyFont="1" applyFill="1" applyBorder="1" applyAlignment="1">
      <alignment vertical="center" textRotation="90" wrapText="1"/>
    </xf>
    <xf numFmtId="0" fontId="3" fillId="14" borderId="39" xfId="0" applyFont="1" applyFill="1" applyBorder="1" applyAlignment="1">
      <alignment horizontal="center" vertical="center" textRotation="90" wrapText="1"/>
    </xf>
    <xf numFmtId="0" fontId="3" fillId="14" borderId="5" xfId="0" applyFont="1" applyFill="1" applyBorder="1" applyAlignment="1">
      <alignment vertical="center" textRotation="90" wrapText="1"/>
    </xf>
    <xf numFmtId="0" fontId="3" fillId="14" borderId="0" xfId="0" applyFont="1" applyFill="1" applyAlignment="1">
      <alignment vertical="center" textRotation="90" wrapText="1"/>
    </xf>
    <xf numFmtId="0" fontId="5" fillId="14" borderId="13" xfId="0" applyFont="1" applyFill="1" applyBorder="1" applyAlignment="1">
      <alignment vertical="center" textRotation="90" wrapText="1"/>
    </xf>
    <xf numFmtId="0" fontId="3" fillId="12" borderId="34" xfId="0" applyFont="1" applyFill="1" applyBorder="1" applyAlignment="1">
      <alignment horizontal="left" vertical="center" wrapText="1"/>
    </xf>
    <xf numFmtId="0" fontId="5" fillId="4" borderId="26" xfId="0" applyFont="1" applyFill="1" applyBorder="1" applyAlignment="1">
      <alignment horizontal="center" vertical="center" textRotation="90" wrapText="1"/>
    </xf>
    <xf numFmtId="0" fontId="12" fillId="4" borderId="39" xfId="0" applyFont="1" applyFill="1" applyBorder="1" applyAlignment="1">
      <alignment horizontal="center" vertical="center" textRotation="90" wrapText="1"/>
    </xf>
    <xf numFmtId="0" fontId="12" fillId="4" borderId="20" xfId="0" applyFont="1" applyFill="1" applyBorder="1" applyAlignment="1">
      <alignment horizontal="center" vertical="center" textRotation="90" wrapText="1"/>
    </xf>
    <xf numFmtId="0" fontId="12" fillId="4" borderId="40" xfId="0" applyFont="1" applyFill="1" applyBorder="1" applyAlignment="1">
      <alignment horizontal="center" vertical="center" textRotation="90" wrapText="1"/>
    </xf>
    <xf numFmtId="0" fontId="24" fillId="4" borderId="48" xfId="0" applyFont="1" applyFill="1" applyBorder="1" applyAlignment="1">
      <alignment horizontal="center" vertical="center" textRotation="90" wrapText="1"/>
    </xf>
    <xf numFmtId="0" fontId="24" fillId="4" borderId="33" xfId="0" applyFont="1" applyFill="1" applyBorder="1" applyAlignment="1">
      <alignment horizontal="center" vertical="center" textRotation="90" wrapText="1"/>
    </xf>
    <xf numFmtId="0" fontId="24" fillId="4" borderId="18" xfId="0" applyFont="1" applyFill="1" applyBorder="1" applyAlignment="1">
      <alignment horizontal="center" vertical="center" textRotation="90" wrapText="1"/>
    </xf>
    <xf numFmtId="0" fontId="5" fillId="14" borderId="26" xfId="0" applyFont="1" applyFill="1" applyBorder="1" applyAlignment="1">
      <alignment horizontal="center" vertical="center" textRotation="90" wrapText="1"/>
    </xf>
    <xf numFmtId="0" fontId="13" fillId="4" borderId="25" xfId="0" applyFont="1" applyFill="1" applyBorder="1" applyAlignment="1">
      <alignment horizontal="center" vertical="center" textRotation="90" wrapText="1"/>
    </xf>
    <xf numFmtId="0" fontId="5" fillId="4" borderId="50" xfId="0" applyFont="1" applyFill="1" applyBorder="1" applyAlignment="1">
      <alignment horizontal="center" vertical="center" textRotation="90" wrapText="1"/>
    </xf>
    <xf numFmtId="0" fontId="10" fillId="0" borderId="56" xfId="0" applyFont="1" applyBorder="1" applyAlignment="1">
      <alignment horizontal="left" vertical="center"/>
    </xf>
    <xf numFmtId="0" fontId="10" fillId="0" borderId="83" xfId="0" applyFont="1" applyBorder="1" applyAlignment="1">
      <alignment horizontal="left" vertical="center"/>
    </xf>
    <xf numFmtId="0" fontId="32" fillId="4" borderId="13" xfId="0" applyFont="1" applyFill="1" applyBorder="1" applyAlignment="1">
      <alignment horizontal="center" vertical="center" textRotation="90" wrapText="1"/>
    </xf>
    <xf numFmtId="0" fontId="83" fillId="4" borderId="19" xfId="0" applyFont="1" applyFill="1" applyBorder="1" applyAlignment="1">
      <alignment horizontal="center" vertical="center" textRotation="90" wrapText="1"/>
    </xf>
    <xf numFmtId="0" fontId="13" fillId="8" borderId="91" xfId="0" applyFont="1" applyFill="1" applyBorder="1" applyAlignment="1">
      <alignment horizontal="center" vertical="center"/>
    </xf>
    <xf numFmtId="0" fontId="13" fillId="8" borderId="92" xfId="0" applyFont="1" applyFill="1" applyBorder="1" applyAlignment="1">
      <alignment horizontal="center" vertical="center"/>
    </xf>
    <xf numFmtId="0" fontId="13" fillId="8" borderId="93" xfId="0" applyFont="1" applyFill="1" applyBorder="1" applyAlignment="1">
      <alignment horizontal="center" vertical="center"/>
    </xf>
    <xf numFmtId="0" fontId="36" fillId="4" borderId="15" xfId="0" applyFont="1" applyFill="1" applyBorder="1" applyAlignment="1">
      <alignment horizontal="center" vertical="center" textRotation="90" wrapText="1"/>
    </xf>
    <xf numFmtId="0" fontId="36" fillId="4" borderId="16" xfId="0" applyFont="1" applyFill="1" applyBorder="1" applyAlignment="1">
      <alignment horizontal="center" vertical="center" textRotation="90" wrapText="1"/>
    </xf>
    <xf numFmtId="0" fontId="36" fillId="4" borderId="18" xfId="0" applyFont="1" applyFill="1" applyBorder="1" applyAlignment="1">
      <alignment horizontal="center" vertical="center" textRotation="90" wrapText="1"/>
    </xf>
    <xf numFmtId="0" fontId="3" fillId="0" borderId="42" xfId="0" applyFont="1" applyBorder="1" applyAlignment="1">
      <alignment horizontal="center" vertical="center"/>
    </xf>
    <xf numFmtId="0" fontId="3" fillId="4" borderId="0" xfId="0" applyFont="1" applyFill="1" applyAlignment="1">
      <alignment horizontal="center" vertical="center" textRotation="90" wrapText="1"/>
    </xf>
    <xf numFmtId="0" fontId="3" fillId="4" borderId="26" xfId="0" applyFont="1" applyFill="1" applyBorder="1" applyAlignment="1">
      <alignment horizontal="center" vertical="center" textRotation="90" wrapText="1"/>
    </xf>
    <xf numFmtId="0" fontId="24" fillId="14" borderId="21" xfId="0" applyFont="1" applyFill="1" applyBorder="1" applyAlignment="1">
      <alignment horizontal="center" vertical="center" textRotation="90" wrapText="1"/>
    </xf>
    <xf numFmtId="0" fontId="24" fillId="14" borderId="39" xfId="0" applyFont="1" applyFill="1" applyBorder="1" applyAlignment="1">
      <alignment horizontal="center" vertical="center" textRotation="90" wrapText="1"/>
    </xf>
    <xf numFmtId="44" fontId="15" fillId="12" borderId="50" xfId="7" applyFont="1" applyFill="1" applyBorder="1" applyAlignment="1">
      <alignment horizontal="center" vertical="center"/>
    </xf>
    <xf numFmtId="44" fontId="15" fillId="12" borderId="38" xfId="7" applyFont="1" applyFill="1" applyBorder="1" applyAlignment="1">
      <alignment horizontal="center" vertical="center"/>
    </xf>
    <xf numFmtId="44" fontId="15" fillId="12" borderId="48" xfId="7" applyFont="1" applyFill="1" applyBorder="1" applyAlignment="1">
      <alignment horizontal="center" vertical="center"/>
    </xf>
    <xf numFmtId="0" fontId="24" fillId="12" borderId="36" xfId="0" applyFont="1" applyFill="1" applyBorder="1" applyAlignment="1">
      <alignment horizontal="center" vertical="center" wrapText="1"/>
    </xf>
    <xf numFmtId="0" fontId="24" fillId="12" borderId="26" xfId="0" applyFont="1" applyFill="1" applyBorder="1" applyAlignment="1">
      <alignment horizontal="center" vertical="center" wrapText="1"/>
    </xf>
    <xf numFmtId="0" fontId="24" fillId="12" borderId="33" xfId="0" applyFont="1" applyFill="1" applyBorder="1" applyAlignment="1">
      <alignment horizontal="center" vertical="center" wrapText="1"/>
    </xf>
    <xf numFmtId="0" fontId="3" fillId="4" borderId="36" xfId="0" applyFont="1" applyFill="1" applyBorder="1" applyAlignment="1">
      <alignment horizontal="center" vertical="center" wrapText="1"/>
    </xf>
    <xf numFmtId="0" fontId="3" fillId="4" borderId="26" xfId="0" applyFont="1" applyFill="1" applyBorder="1" applyAlignment="1">
      <alignment horizontal="center" vertical="center" wrapText="1"/>
    </xf>
    <xf numFmtId="0" fontId="3" fillId="4" borderId="33" xfId="0" applyFont="1" applyFill="1" applyBorder="1" applyAlignment="1">
      <alignment horizontal="center" vertical="center" wrapText="1"/>
    </xf>
    <xf numFmtId="0" fontId="5" fillId="4" borderId="39" xfId="0" applyFont="1" applyFill="1" applyBorder="1" applyAlignment="1">
      <alignment horizontal="center" vertical="center" textRotation="90" wrapText="1"/>
    </xf>
    <xf numFmtId="0" fontId="5" fillId="4" borderId="20" xfId="0" applyFont="1" applyFill="1" applyBorder="1" applyAlignment="1">
      <alignment horizontal="center" vertical="center" textRotation="90" wrapText="1"/>
    </xf>
    <xf numFmtId="0" fontId="5" fillId="4" borderId="21" xfId="0" applyFont="1" applyFill="1" applyBorder="1" applyAlignment="1">
      <alignment horizontal="center" vertical="center" textRotation="90" wrapText="1"/>
    </xf>
    <xf numFmtId="0" fontId="5" fillId="0" borderId="50" xfId="0" applyFont="1" applyBorder="1" applyAlignment="1">
      <alignment horizontal="center" vertical="center" wrapText="1"/>
    </xf>
    <xf numFmtId="0" fontId="5" fillId="0" borderId="38" xfId="0" applyFont="1" applyBorder="1" applyAlignment="1">
      <alignment horizontal="center" vertical="center" wrapText="1"/>
    </xf>
    <xf numFmtId="0" fontId="5" fillId="4" borderId="0" xfId="0" applyFont="1" applyFill="1" applyAlignment="1">
      <alignment horizontal="center" vertical="center" wrapText="1"/>
    </xf>
    <xf numFmtId="0" fontId="5" fillId="4" borderId="16" xfId="0" applyFont="1" applyFill="1" applyBorder="1" applyAlignment="1">
      <alignment horizontal="center" vertical="center" wrapText="1"/>
    </xf>
    <xf numFmtId="0" fontId="5" fillId="14" borderId="38" xfId="0" applyFont="1" applyFill="1" applyBorder="1" applyAlignment="1">
      <alignment horizontal="center" vertical="center" wrapText="1"/>
    </xf>
    <xf numFmtId="0" fontId="5" fillId="14" borderId="48" xfId="0" applyFont="1" applyFill="1" applyBorder="1" applyAlignment="1">
      <alignment horizontal="center" vertical="center" wrapText="1"/>
    </xf>
    <xf numFmtId="0" fontId="26" fillId="4" borderId="30" xfId="0" applyFont="1" applyFill="1" applyBorder="1" applyAlignment="1">
      <alignment horizontal="center"/>
    </xf>
    <xf numFmtId="0" fontId="26" fillId="4" borderId="1" xfId="0" applyFont="1" applyFill="1" applyBorder="1" applyAlignment="1">
      <alignment horizontal="center"/>
    </xf>
    <xf numFmtId="0" fontId="26" fillId="4" borderId="34" xfId="0" applyFont="1" applyFill="1" applyBorder="1" applyAlignment="1">
      <alignment horizontal="center"/>
    </xf>
    <xf numFmtId="0" fontId="3" fillId="12" borderId="35" xfId="0" applyFont="1" applyFill="1" applyBorder="1" applyAlignment="1">
      <alignment horizontal="left" vertical="center" wrapText="1"/>
    </xf>
    <xf numFmtId="0" fontId="38" fillId="4" borderId="36" xfId="0" applyFont="1" applyFill="1" applyBorder="1" applyAlignment="1">
      <alignment horizontal="center" vertical="center" wrapText="1"/>
    </xf>
    <xf numFmtId="0" fontId="38" fillId="4" borderId="26" xfId="0" applyFont="1" applyFill="1" applyBorder="1" applyAlignment="1">
      <alignment horizontal="center" vertical="center" wrapText="1"/>
    </xf>
    <xf numFmtId="0" fontId="38" fillId="4" borderId="33" xfId="0" applyFont="1" applyFill="1" applyBorder="1" applyAlignment="1">
      <alignment horizontal="center" vertical="center" wrapText="1"/>
    </xf>
    <xf numFmtId="0" fontId="15" fillId="12" borderId="13" xfId="0" applyFont="1" applyFill="1" applyBorder="1" applyAlignment="1">
      <alignment horizontal="center" vertical="center"/>
    </xf>
    <xf numFmtId="0" fontId="15" fillId="12" borderId="0" xfId="0" applyFont="1" applyFill="1" applyAlignment="1">
      <alignment horizontal="center" vertical="center"/>
    </xf>
    <xf numFmtId="0" fontId="15" fillId="12" borderId="16" xfId="0" applyFont="1" applyFill="1" applyBorder="1" applyAlignment="1">
      <alignment horizontal="center" vertical="center"/>
    </xf>
    <xf numFmtId="0" fontId="3" fillId="12" borderId="36" xfId="0" applyFont="1" applyFill="1" applyBorder="1" applyAlignment="1">
      <alignment horizontal="center" vertical="center" wrapText="1"/>
    </xf>
    <xf numFmtId="0" fontId="3" fillId="12" borderId="26" xfId="0" applyFont="1" applyFill="1" applyBorder="1" applyAlignment="1">
      <alignment horizontal="center" vertical="center" wrapText="1"/>
    </xf>
    <xf numFmtId="0" fontId="3" fillId="12" borderId="33" xfId="0" applyFont="1" applyFill="1" applyBorder="1" applyAlignment="1">
      <alignment horizontal="center" vertical="center" wrapText="1"/>
    </xf>
    <xf numFmtId="0" fontId="15" fillId="14" borderId="50" xfId="0" applyFont="1" applyFill="1" applyBorder="1" applyAlignment="1">
      <alignment horizontal="center" vertical="center" wrapText="1"/>
    </xf>
    <xf numFmtId="0" fontId="15" fillId="14" borderId="38" xfId="0" applyFont="1" applyFill="1" applyBorder="1" applyAlignment="1">
      <alignment horizontal="center" vertical="center" wrapText="1"/>
    </xf>
    <xf numFmtId="0" fontId="3" fillId="12" borderId="14" xfId="0" applyFont="1" applyFill="1" applyBorder="1" applyAlignment="1">
      <alignment horizontal="center" vertical="center" wrapText="1"/>
    </xf>
    <xf numFmtId="0" fontId="15" fillId="14" borderId="13" xfId="0" applyFont="1" applyFill="1" applyBorder="1" applyAlignment="1">
      <alignment horizontal="center" vertical="center" wrapText="1"/>
    </xf>
    <xf numFmtId="0" fontId="15" fillId="14" borderId="0" xfId="0" applyFont="1" applyFill="1" applyAlignment="1">
      <alignment horizontal="center" vertical="center" wrapText="1"/>
    </xf>
    <xf numFmtId="0" fontId="5" fillId="14" borderId="0" xfId="0" applyFont="1" applyFill="1" applyAlignment="1">
      <alignment horizontal="center" vertical="center" wrapText="1"/>
    </xf>
    <xf numFmtId="0" fontId="5" fillId="14" borderId="16" xfId="0" applyFont="1" applyFill="1" applyBorder="1" applyAlignment="1">
      <alignment horizontal="center" vertical="center" wrapText="1"/>
    </xf>
    <xf numFmtId="0" fontId="3" fillId="14" borderId="36" xfId="0" applyFont="1" applyFill="1" applyBorder="1" applyAlignment="1">
      <alignment horizontal="center" vertical="center" wrapText="1"/>
    </xf>
    <xf numFmtId="0" fontId="3" fillId="14" borderId="26" xfId="0" applyFont="1" applyFill="1" applyBorder="1" applyAlignment="1">
      <alignment horizontal="center" vertical="center" wrapText="1"/>
    </xf>
    <xf numFmtId="0" fontId="3" fillId="14" borderId="33" xfId="0" applyFont="1" applyFill="1" applyBorder="1" applyAlignment="1">
      <alignment horizontal="center" vertical="center" wrapText="1"/>
    </xf>
    <xf numFmtId="0" fontId="69" fillId="4" borderId="50" xfId="0" applyFont="1" applyFill="1" applyBorder="1" applyAlignment="1">
      <alignment horizontal="center" vertical="center" wrapText="1"/>
    </xf>
    <xf numFmtId="0" fontId="69" fillId="4" borderId="38" xfId="0" applyFont="1" applyFill="1" applyBorder="1" applyAlignment="1">
      <alignment horizontal="center" vertical="center" wrapText="1"/>
    </xf>
    <xf numFmtId="0" fontId="42" fillId="4" borderId="0" xfId="0" applyFont="1" applyFill="1" applyAlignment="1">
      <alignment horizontal="center" vertical="center" wrapText="1"/>
    </xf>
    <xf numFmtId="0" fontId="42" fillId="4" borderId="16" xfId="0" applyFont="1" applyFill="1" applyBorder="1" applyAlignment="1">
      <alignment horizontal="center" vertical="center" wrapText="1"/>
    </xf>
    <xf numFmtId="0" fontId="26" fillId="14" borderId="31" xfId="0" applyFont="1" applyFill="1" applyBorder="1" applyAlignment="1">
      <alignment horizontal="center"/>
    </xf>
    <xf numFmtId="0" fontId="26" fillId="14" borderId="32" xfId="0" applyFont="1" applyFill="1" applyBorder="1" applyAlignment="1">
      <alignment horizontal="center"/>
    </xf>
    <xf numFmtId="0" fontId="26" fillId="14" borderId="35" xfId="0" applyFont="1" applyFill="1" applyBorder="1" applyAlignment="1">
      <alignment horizontal="center"/>
    </xf>
    <xf numFmtId="0" fontId="15" fillId="4" borderId="14" xfId="0" applyFont="1" applyFill="1" applyBorder="1" applyAlignment="1">
      <alignment horizontal="center" vertical="center"/>
    </xf>
    <xf numFmtId="0" fontId="15" fillId="4" borderId="17" xfId="0" applyFont="1" applyFill="1" applyBorder="1" applyAlignment="1">
      <alignment horizontal="center" vertical="center"/>
    </xf>
    <xf numFmtId="0" fontId="26" fillId="14" borderId="30" xfId="0" applyFont="1" applyFill="1" applyBorder="1" applyAlignment="1">
      <alignment horizontal="center"/>
    </xf>
    <xf numFmtId="0" fontId="26" fillId="14" borderId="1" xfId="0" applyFont="1" applyFill="1" applyBorder="1" applyAlignment="1">
      <alignment horizontal="center"/>
    </xf>
    <xf numFmtId="0" fontId="26" fillId="14" borderId="34" xfId="0" applyFont="1" applyFill="1" applyBorder="1" applyAlignment="1">
      <alignment horizontal="center"/>
    </xf>
    <xf numFmtId="0" fontId="3" fillId="14" borderId="40" xfId="0" applyFont="1" applyFill="1" applyBorder="1" applyAlignment="1">
      <alignment horizontal="center" vertical="center" textRotation="90" wrapText="1"/>
    </xf>
    <xf numFmtId="0" fontId="15" fillId="4" borderId="23" xfId="0" applyFont="1" applyFill="1" applyBorder="1" applyAlignment="1">
      <alignment horizontal="center" vertical="center"/>
    </xf>
    <xf numFmtId="0" fontId="15" fillId="4" borderId="25" xfId="0" applyFont="1" applyFill="1" applyBorder="1" applyAlignment="1">
      <alignment horizontal="center" vertical="center"/>
    </xf>
    <xf numFmtId="0" fontId="15" fillId="4" borderId="33" xfId="0" applyFont="1" applyFill="1" applyBorder="1" applyAlignment="1">
      <alignment horizontal="center" vertical="center"/>
    </xf>
    <xf numFmtId="0" fontId="15" fillId="4" borderId="37" xfId="0" applyFont="1" applyFill="1" applyBorder="1" applyAlignment="1">
      <alignment horizontal="center" vertical="center"/>
    </xf>
    <xf numFmtId="0" fontId="36" fillId="4" borderId="39" xfId="0" applyFont="1" applyFill="1" applyBorder="1" applyAlignment="1">
      <alignment horizontal="center" vertical="center" textRotation="90" wrapText="1"/>
    </xf>
    <xf numFmtId="0" fontId="5" fillId="4" borderId="50" xfId="0" applyFont="1" applyFill="1" applyBorder="1" applyAlignment="1">
      <alignment horizontal="center" vertical="center" wrapText="1"/>
    </xf>
    <xf numFmtId="0" fontId="26" fillId="4" borderId="31" xfId="0" applyFont="1" applyFill="1" applyBorder="1" applyAlignment="1">
      <alignment horizontal="center"/>
    </xf>
    <xf numFmtId="0" fontId="26" fillId="4" borderId="32" xfId="0" applyFont="1" applyFill="1" applyBorder="1" applyAlignment="1">
      <alignment horizontal="center"/>
    </xf>
    <xf numFmtId="0" fontId="26" fillId="4" borderId="35" xfId="0" applyFont="1" applyFill="1" applyBorder="1" applyAlignment="1">
      <alignment horizontal="center"/>
    </xf>
    <xf numFmtId="0" fontId="3" fillId="14" borderId="14" xfId="0" applyFont="1" applyFill="1" applyBorder="1" applyAlignment="1">
      <alignment horizontal="center" vertical="center" wrapText="1"/>
    </xf>
    <xf numFmtId="0" fontId="3" fillId="14" borderId="17" xfId="0" applyFont="1" applyFill="1" applyBorder="1" applyAlignment="1">
      <alignment horizontal="center" vertical="center" wrapText="1"/>
    </xf>
    <xf numFmtId="0" fontId="3" fillId="14" borderId="18" xfId="0" applyFont="1" applyFill="1" applyBorder="1" applyAlignment="1">
      <alignment horizontal="center" vertical="center" wrapText="1"/>
    </xf>
    <xf numFmtId="0" fontId="61" fillId="6" borderId="20" xfId="0" applyFont="1" applyFill="1" applyBorder="1" applyAlignment="1">
      <alignment horizontal="center"/>
    </xf>
    <xf numFmtId="0" fontId="61" fillId="6" borderId="59" xfId="0" applyFont="1" applyFill="1" applyBorder="1" applyAlignment="1">
      <alignment horizontal="center"/>
    </xf>
    <xf numFmtId="0" fontId="61" fillId="6" borderId="23" xfId="0" applyFont="1" applyFill="1" applyBorder="1" applyAlignment="1">
      <alignment horizontal="center"/>
    </xf>
    <xf numFmtId="0" fontId="15" fillId="4" borderId="50" xfId="0" applyFont="1" applyFill="1" applyBorder="1" applyAlignment="1">
      <alignment horizontal="center" vertical="center" wrapText="1"/>
    </xf>
    <xf numFmtId="0" fontId="15" fillId="4" borderId="38" xfId="0" applyFont="1" applyFill="1" applyBorder="1" applyAlignment="1">
      <alignment horizontal="center" vertical="center" wrapText="1"/>
    </xf>
    <xf numFmtId="0" fontId="69" fillId="4" borderId="13" xfId="0" applyFont="1" applyFill="1" applyBorder="1" applyAlignment="1">
      <alignment horizontal="center" vertical="center"/>
    </xf>
    <xf numFmtId="0" fontId="69" fillId="4" borderId="0" xfId="0" applyFont="1" applyFill="1" applyAlignment="1">
      <alignment horizontal="center" vertical="center"/>
    </xf>
    <xf numFmtId="0" fontId="69" fillId="4" borderId="16" xfId="0" applyFont="1" applyFill="1" applyBorder="1" applyAlignment="1">
      <alignment horizontal="center" vertical="center"/>
    </xf>
    <xf numFmtId="0" fontId="69" fillId="4" borderId="12" xfId="0" applyFont="1" applyFill="1" applyBorder="1" applyAlignment="1">
      <alignment horizontal="center" vertical="center"/>
    </xf>
    <xf numFmtId="0" fontId="69" fillId="4" borderId="5" xfId="0" applyFont="1" applyFill="1" applyBorder="1" applyAlignment="1">
      <alignment horizontal="center" vertical="center"/>
    </xf>
    <xf numFmtId="0" fontId="69" fillId="4" borderId="15" xfId="0" applyFont="1" applyFill="1" applyBorder="1" applyAlignment="1">
      <alignment horizontal="center" vertical="center"/>
    </xf>
    <xf numFmtId="0" fontId="13" fillId="8" borderId="0" xfId="0" applyFont="1" applyFill="1" applyAlignment="1">
      <alignment horizontal="center" vertical="center"/>
    </xf>
    <xf numFmtId="0" fontId="5" fillId="12" borderId="0" xfId="0" applyFont="1" applyFill="1" applyAlignment="1">
      <alignment horizontal="center" vertical="center"/>
    </xf>
    <xf numFmtId="0" fontId="4" fillId="20" borderId="0" xfId="0" applyFont="1" applyFill="1" applyAlignment="1">
      <alignment horizontal="center" vertical="center" textRotation="90" wrapText="1"/>
    </xf>
    <xf numFmtId="0" fontId="18" fillId="20" borderId="0" xfId="0" applyFont="1" applyFill="1" applyAlignment="1">
      <alignment horizontal="center" vertical="center" textRotation="90" wrapText="1"/>
    </xf>
    <xf numFmtId="0" fontId="42" fillId="20" borderId="0" xfId="0" applyFont="1" applyFill="1" applyAlignment="1">
      <alignment horizontal="center" vertical="center" textRotation="90" wrapText="1"/>
    </xf>
    <xf numFmtId="0" fontId="42" fillId="12" borderId="0" xfId="0" applyFont="1" applyFill="1" applyAlignment="1">
      <alignment horizontal="center" vertical="center"/>
    </xf>
    <xf numFmtId="0" fontId="42" fillId="18" borderId="0" xfId="0" applyFont="1" applyFill="1" applyAlignment="1">
      <alignment horizontal="center" vertical="center"/>
    </xf>
    <xf numFmtId="0" fontId="18" fillId="18" borderId="0" xfId="0" applyFont="1" applyFill="1" applyAlignment="1">
      <alignment horizontal="center" vertical="center" wrapText="1"/>
    </xf>
    <xf numFmtId="0" fontId="32" fillId="4" borderId="14" xfId="0" applyFont="1" applyFill="1" applyBorder="1" applyAlignment="1">
      <alignment horizontal="center" vertical="center" textRotation="90" wrapText="1"/>
    </xf>
    <xf numFmtId="0" fontId="37" fillId="14" borderId="39" xfId="0" applyFont="1" applyFill="1" applyBorder="1" applyAlignment="1">
      <alignment horizontal="center" vertical="center" textRotation="90" wrapText="1"/>
    </xf>
    <xf numFmtId="0" fontId="37" fillId="14" borderId="20" xfId="0" applyFont="1" applyFill="1" applyBorder="1" applyAlignment="1">
      <alignment horizontal="center" vertical="center" textRotation="90" wrapText="1"/>
    </xf>
    <xf numFmtId="0" fontId="37" fillId="14" borderId="21" xfId="0" applyFont="1" applyFill="1" applyBorder="1" applyAlignment="1">
      <alignment horizontal="center" vertical="center" textRotation="90" wrapText="1"/>
    </xf>
    <xf numFmtId="0" fontId="44" fillId="14" borderId="23" xfId="0" applyFont="1" applyFill="1" applyBorder="1" applyAlignment="1">
      <alignment horizontal="center" vertical="center" textRotation="90" wrapText="1"/>
    </xf>
    <xf numFmtId="0" fontId="44" fillId="14" borderId="24" xfId="0" applyFont="1" applyFill="1" applyBorder="1" applyAlignment="1">
      <alignment horizontal="center" vertical="center" textRotation="90" wrapText="1"/>
    </xf>
    <xf numFmtId="0" fontId="46" fillId="4" borderId="23" xfId="0" applyFont="1" applyFill="1" applyBorder="1" applyAlignment="1">
      <alignment horizontal="center" vertical="center" textRotation="90" wrapText="1"/>
    </xf>
    <xf numFmtId="0" fontId="46" fillId="4" borderId="24" xfId="0" applyFont="1" applyFill="1" applyBorder="1" applyAlignment="1">
      <alignment horizontal="center" vertical="center" textRotation="90" wrapText="1"/>
    </xf>
    <xf numFmtId="0" fontId="3" fillId="14" borderId="38" xfId="0" applyFont="1" applyFill="1" applyBorder="1" applyAlignment="1">
      <alignment horizontal="center" vertical="center" textRotation="90" wrapText="1"/>
    </xf>
    <xf numFmtId="0" fontId="44" fillId="14" borderId="25" xfId="0" applyFont="1" applyFill="1" applyBorder="1" applyAlignment="1">
      <alignment horizontal="center" vertical="center" textRotation="90" wrapText="1"/>
    </xf>
    <xf numFmtId="0" fontId="37" fillId="4" borderId="20" xfId="0" applyFont="1" applyFill="1" applyBorder="1" applyAlignment="1">
      <alignment horizontal="center" vertical="center" textRotation="90" wrapText="1"/>
    </xf>
    <xf numFmtId="0" fontId="37" fillId="4" borderId="21" xfId="0" applyFont="1" applyFill="1" applyBorder="1" applyAlignment="1">
      <alignment horizontal="center" vertical="center" textRotation="90" wrapText="1"/>
    </xf>
    <xf numFmtId="0" fontId="36" fillId="4" borderId="40" xfId="0" applyFont="1" applyFill="1" applyBorder="1" applyAlignment="1">
      <alignment horizontal="center" vertical="center" textRotation="90" wrapText="1"/>
    </xf>
    <xf numFmtId="0" fontId="84" fillId="4" borderId="23" xfId="0" applyFont="1" applyFill="1" applyBorder="1" applyAlignment="1">
      <alignment horizontal="center" vertical="center" textRotation="90" wrapText="1"/>
    </xf>
    <xf numFmtId="0" fontId="84" fillId="4" borderId="24" xfId="0" applyFont="1" applyFill="1" applyBorder="1" applyAlignment="1">
      <alignment horizontal="center" vertical="center" textRotation="90" wrapText="1"/>
    </xf>
    <xf numFmtId="0" fontId="38" fillId="4" borderId="5" xfId="0" applyFont="1" applyFill="1" applyBorder="1" applyAlignment="1">
      <alignment horizontal="center" vertical="center" textRotation="90" wrapText="1"/>
    </xf>
    <xf numFmtId="0" fontId="38" fillId="4" borderId="0" xfId="0" applyFont="1" applyFill="1" applyAlignment="1">
      <alignment horizontal="center" vertical="center" textRotation="90" wrapText="1"/>
    </xf>
    <xf numFmtId="0" fontId="38" fillId="4" borderId="17" xfId="0" applyFont="1" applyFill="1" applyBorder="1" applyAlignment="1">
      <alignment horizontal="center" vertical="center" textRotation="90" wrapText="1"/>
    </xf>
    <xf numFmtId="0" fontId="38" fillId="4" borderId="15" xfId="0" applyFont="1" applyFill="1" applyBorder="1" applyAlignment="1">
      <alignment horizontal="center" vertical="center" textRotation="90" wrapText="1"/>
    </xf>
    <xf numFmtId="0" fontId="38" fillId="4" borderId="16" xfId="0" applyFont="1" applyFill="1" applyBorder="1" applyAlignment="1">
      <alignment horizontal="center" vertical="center" textRotation="90" wrapText="1"/>
    </xf>
    <xf numFmtId="0" fontId="38" fillId="4" borderId="18" xfId="0" applyFont="1" applyFill="1" applyBorder="1" applyAlignment="1">
      <alignment horizontal="center" vertical="center" textRotation="90" wrapText="1"/>
    </xf>
    <xf numFmtId="0" fontId="41" fillId="4" borderId="14" xfId="0" applyFont="1" applyFill="1" applyBorder="1" applyAlignment="1">
      <alignment horizontal="center" vertical="center" textRotation="90" wrapText="1"/>
    </xf>
    <xf numFmtId="0" fontId="84" fillId="4" borderId="0" xfId="0" applyFont="1" applyFill="1" applyAlignment="1">
      <alignment horizontal="center" vertical="center" textRotation="90" wrapText="1"/>
    </xf>
    <xf numFmtId="0" fontId="84" fillId="4" borderId="17" xfId="0" applyFont="1" applyFill="1" applyBorder="1" applyAlignment="1">
      <alignment horizontal="center" vertical="center" textRotation="90" wrapText="1"/>
    </xf>
    <xf numFmtId="0" fontId="5" fillId="4" borderId="12" xfId="0" applyFont="1" applyFill="1" applyBorder="1" applyAlignment="1">
      <alignment horizontal="center" vertical="center" textRotation="90" wrapText="1"/>
    </xf>
    <xf numFmtId="0" fontId="5" fillId="4" borderId="5" xfId="0" applyFont="1" applyFill="1" applyBorder="1" applyAlignment="1">
      <alignment horizontal="center" vertical="center" textRotation="90" wrapText="1"/>
    </xf>
    <xf numFmtId="0" fontId="5" fillId="4" borderId="15" xfId="0" applyFont="1" applyFill="1" applyBorder="1" applyAlignment="1">
      <alignment horizontal="center" vertical="center" textRotation="90" wrapText="1"/>
    </xf>
    <xf numFmtId="0" fontId="5" fillId="4" borderId="16" xfId="0" applyFont="1" applyFill="1" applyBorder="1" applyAlignment="1">
      <alignment horizontal="center" vertical="center" textRotation="90" wrapText="1"/>
    </xf>
    <xf numFmtId="0" fontId="5" fillId="4" borderId="18" xfId="0" applyFont="1" applyFill="1" applyBorder="1" applyAlignment="1">
      <alignment horizontal="center" vertical="center" textRotation="90" wrapText="1"/>
    </xf>
    <xf numFmtId="0" fontId="37" fillId="14" borderId="0" xfId="0" applyFont="1" applyFill="1" applyAlignment="1">
      <alignment horizontal="center" vertical="center" textRotation="90" wrapText="1"/>
    </xf>
    <xf numFmtId="0" fontId="37" fillId="14" borderId="26" xfId="0" applyFont="1" applyFill="1" applyBorder="1" applyAlignment="1">
      <alignment horizontal="center" vertical="center" textRotation="90" wrapText="1"/>
    </xf>
    <xf numFmtId="0" fontId="3" fillId="18" borderId="16" xfId="0" applyFont="1" applyFill="1" applyBorder="1" applyAlignment="1">
      <alignment horizontal="center" vertical="center" wrapText="1"/>
    </xf>
    <xf numFmtId="0" fontId="44" fillId="14" borderId="13" xfId="0" applyFont="1" applyFill="1" applyBorder="1" applyAlignment="1">
      <alignment horizontal="center" vertical="center" textRotation="90" wrapText="1"/>
    </xf>
    <xf numFmtId="0" fontId="44" fillId="14" borderId="36" xfId="0" applyFont="1" applyFill="1" applyBorder="1" applyAlignment="1">
      <alignment horizontal="center" vertical="center" textRotation="90" wrapText="1"/>
    </xf>
    <xf numFmtId="0" fontId="38" fillId="14" borderId="39" xfId="0" applyFont="1" applyFill="1" applyBorder="1" applyAlignment="1">
      <alignment horizontal="center" vertical="center" textRotation="90" wrapText="1"/>
    </xf>
    <xf numFmtId="0" fontId="38" fillId="14" borderId="21" xfId="0" applyFont="1" applyFill="1" applyBorder="1" applyAlignment="1">
      <alignment horizontal="center" vertical="center" textRotation="90" wrapText="1"/>
    </xf>
    <xf numFmtId="0" fontId="37" fillId="14" borderId="19" xfId="0" applyFont="1" applyFill="1" applyBorder="1" applyAlignment="1">
      <alignment horizontal="center" vertical="center" textRotation="90" wrapText="1"/>
    </xf>
    <xf numFmtId="0" fontId="37" fillId="14" borderId="40" xfId="0" applyFont="1" applyFill="1" applyBorder="1" applyAlignment="1">
      <alignment horizontal="center" vertical="center" textRotation="90" wrapText="1"/>
    </xf>
    <xf numFmtId="0" fontId="56" fillId="4" borderId="25" xfId="0" applyFont="1" applyFill="1" applyBorder="1" applyAlignment="1">
      <alignment horizontal="center" vertical="center" textRotation="90" wrapText="1"/>
    </xf>
    <xf numFmtId="0" fontId="44" fillId="14" borderId="14" xfId="0" applyFont="1" applyFill="1" applyBorder="1" applyAlignment="1">
      <alignment horizontal="center" vertical="center" textRotation="90" wrapText="1"/>
    </xf>
    <xf numFmtId="0" fontId="37" fillId="4" borderId="40" xfId="0" applyFont="1" applyFill="1" applyBorder="1" applyAlignment="1">
      <alignment horizontal="center" vertical="center" textRotation="90" wrapText="1"/>
    </xf>
    <xf numFmtId="0" fontId="46" fillId="4" borderId="25" xfId="0" applyFont="1" applyFill="1" applyBorder="1" applyAlignment="1">
      <alignment horizontal="center" vertical="center" textRotation="90" wrapText="1"/>
    </xf>
    <xf numFmtId="0" fontId="24" fillId="4" borderId="14" xfId="0" applyFont="1" applyFill="1" applyBorder="1" applyAlignment="1">
      <alignment horizontal="center" vertical="center" wrapText="1"/>
    </xf>
    <xf numFmtId="0" fontId="24" fillId="4" borderId="17" xfId="0" applyFont="1" applyFill="1" applyBorder="1" applyAlignment="1">
      <alignment horizontal="center" vertical="center" wrapText="1"/>
    </xf>
    <xf numFmtId="0" fontId="24" fillId="4" borderId="18" xfId="0" applyFont="1" applyFill="1" applyBorder="1" applyAlignment="1">
      <alignment horizontal="center" vertical="center" wrapText="1"/>
    </xf>
    <xf numFmtId="0" fontId="43" fillId="4" borderId="19" xfId="0" applyFont="1" applyFill="1" applyBorder="1" applyAlignment="1">
      <alignment horizontal="center" vertical="center" textRotation="90" wrapText="1"/>
    </xf>
    <xf numFmtId="0" fontId="43" fillId="4" borderId="40" xfId="0" applyFont="1" applyFill="1" applyBorder="1" applyAlignment="1">
      <alignment horizontal="center" vertical="center" textRotation="90" wrapText="1"/>
    </xf>
    <xf numFmtId="0" fontId="42" fillId="4" borderId="0" xfId="0" applyFont="1" applyFill="1" applyAlignment="1">
      <alignment horizontal="center" vertical="center" textRotation="90" wrapText="1"/>
    </xf>
    <xf numFmtId="0" fontId="42" fillId="4" borderId="17" xfId="0" applyFont="1" applyFill="1" applyBorder="1" applyAlignment="1">
      <alignment horizontal="center" vertical="center" textRotation="90" wrapText="1"/>
    </xf>
    <xf numFmtId="0" fontId="38" fillId="4" borderId="40" xfId="0" applyFont="1" applyFill="1" applyBorder="1" applyAlignment="1">
      <alignment horizontal="center" vertical="center" textRotation="90" wrapText="1"/>
    </xf>
    <xf numFmtId="0" fontId="44" fillId="4" borderId="23" xfId="0" applyFont="1" applyFill="1" applyBorder="1" applyAlignment="1">
      <alignment horizontal="center" vertical="center" textRotation="90" wrapText="1"/>
    </xf>
    <xf numFmtId="0" fontId="44" fillId="4" borderId="25" xfId="0" applyFont="1" applyFill="1" applyBorder="1" applyAlignment="1">
      <alignment horizontal="center" vertical="center" textRotation="90" wrapText="1"/>
    </xf>
    <xf numFmtId="0" fontId="16" fillId="8" borderId="3" xfId="0" applyFont="1" applyFill="1" applyBorder="1" applyAlignment="1">
      <alignment horizontal="center" vertical="center"/>
    </xf>
    <xf numFmtId="0" fontId="16" fillId="8" borderId="65" xfId="0" applyFont="1" applyFill="1" applyBorder="1" applyAlignment="1">
      <alignment horizontal="center" vertical="center"/>
    </xf>
    <xf numFmtId="0" fontId="12" fillId="4" borderId="0" xfId="0" applyFont="1" applyFill="1" applyAlignment="1">
      <alignment horizontal="center" vertical="center" textRotation="90" wrapText="1"/>
    </xf>
    <xf numFmtId="0" fontId="43" fillId="4" borderId="16" xfId="0" applyFont="1" applyFill="1" applyBorder="1" applyAlignment="1">
      <alignment horizontal="center" vertical="center" textRotation="90" wrapText="1"/>
    </xf>
    <xf numFmtId="0" fontId="43" fillId="4" borderId="33" xfId="0" applyFont="1" applyFill="1" applyBorder="1" applyAlignment="1">
      <alignment horizontal="center" vertical="center" textRotation="90" wrapText="1"/>
    </xf>
    <xf numFmtId="0" fontId="3" fillId="0" borderId="55" xfId="0" applyFont="1" applyBorder="1" applyAlignment="1">
      <alignment horizontal="center" vertical="center"/>
    </xf>
    <xf numFmtId="0" fontId="3" fillId="0" borderId="60" xfId="0" applyFont="1" applyBorder="1" applyAlignment="1">
      <alignment horizontal="center" vertical="center"/>
    </xf>
    <xf numFmtId="0" fontId="3" fillId="0" borderId="54" xfId="0" applyFont="1" applyBorder="1" applyAlignment="1">
      <alignment horizontal="center" vertical="center"/>
    </xf>
    <xf numFmtId="0" fontId="42" fillId="4" borderId="25" xfId="0" applyFont="1" applyFill="1" applyBorder="1" applyAlignment="1">
      <alignment horizontal="center" vertical="center" textRotation="90" wrapText="1"/>
    </xf>
    <xf numFmtId="0" fontId="45" fillId="4" borderId="20" xfId="0" applyFont="1" applyFill="1" applyBorder="1" applyAlignment="1">
      <alignment horizontal="center" vertical="center" textRotation="90" wrapText="1"/>
    </xf>
    <xf numFmtId="0" fontId="45" fillId="4" borderId="40" xfId="0" applyFont="1" applyFill="1" applyBorder="1" applyAlignment="1">
      <alignment horizontal="center" vertical="center" textRotation="90" wrapText="1"/>
    </xf>
    <xf numFmtId="0" fontId="3" fillId="0" borderId="43" xfId="0" applyFont="1" applyBorder="1" applyAlignment="1">
      <alignment horizontal="left" vertical="center"/>
    </xf>
    <xf numFmtId="0" fontId="3" fillId="0" borderId="52" xfId="0" applyFont="1" applyBorder="1" applyAlignment="1">
      <alignment horizontal="left" vertical="center"/>
    </xf>
    <xf numFmtId="0" fontId="44" fillId="14" borderId="0" xfId="0" applyFont="1" applyFill="1" applyAlignment="1">
      <alignment horizontal="center" vertical="center" textRotation="90" wrapText="1"/>
    </xf>
    <xf numFmtId="0" fontId="44" fillId="14" borderId="26" xfId="0" applyFont="1" applyFill="1" applyBorder="1" applyAlignment="1">
      <alignment horizontal="center" vertical="center" textRotation="90" wrapText="1"/>
    </xf>
    <xf numFmtId="0" fontId="15" fillId="4" borderId="39" xfId="0" applyFont="1" applyFill="1" applyBorder="1" applyAlignment="1">
      <alignment horizontal="center" vertical="center"/>
    </xf>
    <xf numFmtId="0" fontId="15" fillId="4" borderId="20" xfId="0" applyFont="1" applyFill="1" applyBorder="1" applyAlignment="1">
      <alignment horizontal="center" vertical="center"/>
    </xf>
    <xf numFmtId="0" fontId="15" fillId="4" borderId="24" xfId="0" applyFont="1" applyFill="1" applyBorder="1" applyAlignment="1">
      <alignment horizontal="center" vertical="center"/>
    </xf>
    <xf numFmtId="0" fontId="15" fillId="4" borderId="21" xfId="0" applyFont="1" applyFill="1" applyBorder="1" applyAlignment="1">
      <alignment horizontal="center" vertical="center"/>
    </xf>
    <xf numFmtId="0" fontId="38" fillId="4" borderId="39" xfId="0" applyFont="1" applyFill="1" applyBorder="1" applyAlignment="1">
      <alignment vertical="center" textRotation="90" wrapText="1"/>
    </xf>
    <xf numFmtId="0" fontId="38" fillId="4" borderId="20" xfId="0" applyFont="1" applyFill="1" applyBorder="1" applyAlignment="1">
      <alignment vertical="center" textRotation="90" wrapText="1"/>
    </xf>
    <xf numFmtId="0" fontId="38" fillId="4" borderId="40" xfId="0" applyFont="1" applyFill="1" applyBorder="1" applyAlignment="1">
      <alignment vertical="center" textRotation="90" wrapText="1"/>
    </xf>
    <xf numFmtId="0" fontId="3" fillId="12" borderId="43" xfId="0" applyFont="1" applyFill="1" applyBorder="1" applyAlignment="1">
      <alignment horizontal="left" vertical="center" wrapText="1"/>
    </xf>
    <xf numFmtId="0" fontId="3" fillId="12" borderId="64" xfId="0" applyFont="1" applyFill="1" applyBorder="1" applyAlignment="1">
      <alignment horizontal="left" vertical="center" wrapText="1"/>
    </xf>
    <xf numFmtId="0" fontId="3" fillId="0" borderId="8" xfId="0" applyFont="1" applyBorder="1" applyAlignment="1">
      <alignment horizontal="center" vertical="center"/>
    </xf>
    <xf numFmtId="0" fontId="3" fillId="0" borderId="52" xfId="0" applyFont="1" applyBorder="1" applyAlignment="1">
      <alignment horizontal="center" vertical="center"/>
    </xf>
    <xf numFmtId="0" fontId="17" fillId="4" borderId="64" xfId="0" applyFont="1" applyFill="1" applyBorder="1" applyAlignment="1">
      <alignment horizontal="center" vertical="center"/>
    </xf>
    <xf numFmtId="0" fontId="45" fillId="14" borderId="20" xfId="0" applyFont="1" applyFill="1" applyBorder="1" applyAlignment="1">
      <alignment horizontal="center" vertical="center" textRotation="90" wrapText="1"/>
    </xf>
    <xf numFmtId="0" fontId="45" fillId="14" borderId="40" xfId="0" applyFont="1" applyFill="1" applyBorder="1" applyAlignment="1">
      <alignment horizontal="center" vertical="center" textRotation="90" wrapText="1"/>
    </xf>
    <xf numFmtId="0" fontId="45" fillId="4" borderId="39" xfId="0" applyFont="1" applyFill="1" applyBorder="1" applyAlignment="1">
      <alignment horizontal="center" vertical="center" textRotation="90" wrapText="1"/>
    </xf>
    <xf numFmtId="0" fontId="42" fillId="4" borderId="13" xfId="0" applyFont="1" applyFill="1" applyBorder="1" applyAlignment="1">
      <alignment horizontal="center" vertical="center" textRotation="90" wrapText="1"/>
    </xf>
    <xf numFmtId="0" fontId="45" fillId="14" borderId="0" xfId="0" applyFont="1" applyFill="1" applyAlignment="1">
      <alignment horizontal="center" vertical="center" textRotation="90" wrapText="1"/>
    </xf>
    <xf numFmtId="0" fontId="45" fillId="14" borderId="26" xfId="0" applyFont="1" applyFill="1" applyBorder="1" applyAlignment="1">
      <alignment horizontal="center" vertical="center" textRotation="90" wrapText="1"/>
    </xf>
    <xf numFmtId="0" fontId="44" fillId="4" borderId="13" xfId="0" applyFont="1" applyFill="1" applyBorder="1" applyAlignment="1">
      <alignment horizontal="center" vertical="center" textRotation="90" wrapText="1"/>
    </xf>
    <xf numFmtId="0" fontId="44" fillId="4" borderId="36" xfId="0" applyFont="1" applyFill="1" applyBorder="1" applyAlignment="1">
      <alignment horizontal="center" vertical="center" textRotation="90" wrapText="1"/>
    </xf>
    <xf numFmtId="0" fontId="3" fillId="0" borderId="3" xfId="0" applyFont="1" applyBorder="1" applyAlignment="1">
      <alignment horizontal="left" vertical="center"/>
    </xf>
    <xf numFmtId="0" fontId="3" fillId="0" borderId="54" xfId="0" applyFont="1" applyBorder="1" applyAlignment="1">
      <alignment horizontal="left" vertical="center"/>
    </xf>
    <xf numFmtId="0" fontId="12" fillId="4" borderId="19" xfId="0" applyFont="1" applyFill="1" applyBorder="1" applyAlignment="1">
      <alignment horizontal="center" vertical="center" textRotation="90" wrapText="1"/>
    </xf>
    <xf numFmtId="0" fontId="3" fillId="0" borderId="57" xfId="0" applyFont="1" applyBorder="1" applyAlignment="1">
      <alignment horizontal="center" vertical="center"/>
    </xf>
    <xf numFmtId="0" fontId="24" fillId="12" borderId="13" xfId="0" applyFont="1" applyFill="1" applyBorder="1" applyAlignment="1">
      <alignment horizontal="center" vertical="center" wrapText="1"/>
    </xf>
    <xf numFmtId="0" fontId="24" fillId="12" borderId="0" xfId="0" applyFont="1" applyFill="1" applyAlignment="1">
      <alignment horizontal="center" vertical="center" wrapText="1"/>
    </xf>
    <xf numFmtId="0" fontId="24" fillId="12" borderId="16" xfId="0" applyFont="1" applyFill="1" applyBorder="1" applyAlignment="1">
      <alignment horizontal="center" vertical="center" wrapText="1"/>
    </xf>
    <xf numFmtId="0" fontId="62" fillId="6" borderId="20" xfId="0" applyFont="1" applyFill="1" applyBorder="1" applyAlignment="1">
      <alignment horizontal="center" vertical="center"/>
    </xf>
    <xf numFmtId="0" fontId="62" fillId="6" borderId="59" xfId="0" applyFont="1" applyFill="1" applyBorder="1" applyAlignment="1">
      <alignment horizontal="center" vertical="center"/>
    </xf>
    <xf numFmtId="0" fontId="62" fillId="6" borderId="23"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0" xfId="0" applyFont="1" applyFill="1" applyAlignment="1">
      <alignment horizontal="center" vertical="center"/>
    </xf>
    <xf numFmtId="0" fontId="5" fillId="4" borderId="16" xfId="0" applyFont="1" applyFill="1" applyBorder="1" applyAlignment="1">
      <alignment horizontal="center" vertical="center"/>
    </xf>
    <xf numFmtId="0" fontId="4" fillId="4" borderId="30" xfId="0" applyFont="1" applyFill="1" applyBorder="1" applyAlignment="1">
      <alignment horizontal="center"/>
    </xf>
    <xf numFmtId="0" fontId="4" fillId="4" borderId="1" xfId="0" applyFont="1" applyFill="1" applyBorder="1" applyAlignment="1">
      <alignment horizontal="center"/>
    </xf>
    <xf numFmtId="0" fontId="4" fillId="4" borderId="34" xfId="0" applyFont="1" applyFill="1" applyBorder="1" applyAlignment="1">
      <alignment horizontal="center"/>
    </xf>
    <xf numFmtId="0" fontId="61" fillId="0" borderId="20" xfId="0" applyFont="1" applyBorder="1" applyAlignment="1">
      <alignment horizontal="center"/>
    </xf>
    <xf numFmtId="0" fontId="61" fillId="0" borderId="59" xfId="0" applyFont="1" applyBorder="1" applyAlignment="1">
      <alignment horizontal="center"/>
    </xf>
    <xf numFmtId="0" fontId="61" fillId="0" borderId="23" xfId="0" applyFont="1" applyBorder="1" applyAlignment="1">
      <alignment horizontal="center"/>
    </xf>
    <xf numFmtId="0" fontId="61" fillId="6" borderId="40" xfId="0" applyFont="1" applyFill="1" applyBorder="1" applyAlignment="1">
      <alignment horizontal="center" vertical="center" wrapText="1"/>
    </xf>
    <xf numFmtId="0" fontId="61" fillId="6" borderId="63" xfId="0" applyFont="1" applyFill="1" applyBorder="1" applyAlignment="1">
      <alignment horizontal="center" vertical="center" wrapText="1"/>
    </xf>
    <xf numFmtId="0" fontId="61" fillId="6" borderId="25" xfId="0" applyFont="1" applyFill="1" applyBorder="1" applyAlignment="1">
      <alignment horizontal="center" vertical="center" wrapText="1"/>
    </xf>
    <xf numFmtId="0" fontId="61" fillId="6" borderId="39" xfId="0" applyFont="1" applyFill="1" applyBorder="1" applyAlignment="1">
      <alignment horizontal="center" vertical="center" wrapText="1"/>
    </xf>
    <xf numFmtId="0" fontId="61" fillId="6" borderId="87" xfId="0" applyFont="1" applyFill="1" applyBorder="1" applyAlignment="1">
      <alignment horizontal="center" vertical="center" wrapText="1"/>
    </xf>
    <xf numFmtId="0" fontId="61" fillId="6" borderId="37" xfId="0" applyFont="1" applyFill="1" applyBorder="1" applyAlignment="1">
      <alignment horizontal="center" vertical="center" wrapText="1"/>
    </xf>
    <xf numFmtId="0" fontId="45" fillId="14" borderId="19" xfId="0" applyFont="1" applyFill="1" applyBorder="1" applyAlignment="1">
      <alignment horizontal="center" vertical="center" textRotation="90" wrapText="1"/>
    </xf>
    <xf numFmtId="0" fontId="24" fillId="14" borderId="0" xfId="0" applyFont="1" applyFill="1" applyAlignment="1">
      <alignment horizontal="center" vertical="center" textRotation="90" wrapText="1"/>
    </xf>
    <xf numFmtId="0" fontId="42" fillId="4" borderId="26" xfId="0" applyFont="1" applyFill="1" applyBorder="1" applyAlignment="1">
      <alignment horizontal="center" vertical="center" textRotation="90" wrapText="1"/>
    </xf>
    <xf numFmtId="0" fontId="41" fillId="18" borderId="0" xfId="0" applyFont="1" applyFill="1" applyAlignment="1">
      <alignment horizontal="center" wrapText="1"/>
    </xf>
    <xf numFmtId="0" fontId="41" fillId="18" borderId="16" xfId="0" applyFont="1" applyFill="1" applyBorder="1" applyAlignment="1">
      <alignment horizontal="center" wrapText="1"/>
    </xf>
    <xf numFmtId="0" fontId="95" fillId="18" borderId="26" xfId="0" applyFont="1" applyFill="1" applyBorder="1" applyAlignment="1">
      <alignment horizontal="center" vertical="center" wrapText="1"/>
    </xf>
    <xf numFmtId="0" fontId="18" fillId="18" borderId="26" xfId="0" applyFont="1" applyFill="1" applyBorder="1" applyAlignment="1">
      <alignment horizontal="center" vertical="center" wrapText="1"/>
    </xf>
    <xf numFmtId="0" fontId="18" fillId="18" borderId="40" xfId="0" applyFont="1" applyFill="1" applyBorder="1" applyAlignment="1">
      <alignment horizontal="center" vertical="center" wrapText="1"/>
    </xf>
    <xf numFmtId="0" fontId="23" fillId="18" borderId="0" xfId="0" applyFont="1" applyFill="1" applyAlignment="1">
      <alignment horizontal="center" wrapText="1"/>
    </xf>
    <xf numFmtId="0" fontId="3" fillId="14" borderId="0" xfId="0" applyFont="1" applyFill="1" applyAlignment="1">
      <alignment horizontal="center" vertical="center" textRotation="90" wrapText="1"/>
    </xf>
    <xf numFmtId="0" fontId="3" fillId="14" borderId="26" xfId="0" applyFont="1" applyFill="1" applyBorder="1" applyAlignment="1">
      <alignment horizontal="center" vertical="center" textRotation="90" wrapText="1"/>
    </xf>
    <xf numFmtId="0" fontId="10" fillId="11" borderId="15" xfId="0" applyFont="1" applyFill="1" applyBorder="1" applyAlignment="1">
      <alignment horizontal="left" vertical="center" textRotation="90" wrapText="1"/>
    </xf>
    <xf numFmtId="0" fontId="10" fillId="11" borderId="16" xfId="0" applyFont="1" applyFill="1" applyBorder="1" applyAlignment="1">
      <alignment horizontal="left" vertical="center" textRotation="90" wrapText="1"/>
    </xf>
    <xf numFmtId="0" fontId="10" fillId="11" borderId="33" xfId="0" applyFont="1" applyFill="1" applyBorder="1" applyAlignment="1">
      <alignment horizontal="left" vertical="center" textRotation="90" wrapText="1"/>
    </xf>
    <xf numFmtId="0" fontId="28" fillId="14" borderId="20" xfId="0" applyFont="1" applyFill="1" applyBorder="1" applyAlignment="1">
      <alignment horizontal="left" vertical="center" textRotation="90" wrapText="1"/>
    </xf>
    <xf numFmtId="0" fontId="28" fillId="14" borderId="40" xfId="0" applyFont="1" applyFill="1" applyBorder="1" applyAlignment="1">
      <alignment horizontal="left" vertical="center" textRotation="90" wrapText="1"/>
    </xf>
    <xf numFmtId="0" fontId="10" fillId="14" borderId="19" xfId="0" applyFont="1" applyFill="1" applyBorder="1" applyAlignment="1">
      <alignment horizontal="left" vertical="center" textRotation="90" wrapText="1"/>
    </xf>
    <xf numFmtId="0" fontId="6" fillId="11" borderId="22" xfId="0" applyFont="1" applyFill="1" applyBorder="1" applyAlignment="1">
      <alignment horizontal="center" wrapText="1"/>
    </xf>
    <xf numFmtId="0" fontId="6" fillId="11" borderId="5" xfId="0" applyFont="1" applyFill="1" applyBorder="1" applyAlignment="1">
      <alignment horizontal="center" wrapText="1"/>
    </xf>
    <xf numFmtId="0" fontId="6" fillId="11" borderId="15" xfId="0" applyFont="1" applyFill="1" applyBorder="1" applyAlignment="1">
      <alignment horizontal="center" wrapText="1"/>
    </xf>
    <xf numFmtId="0" fontId="10" fillId="0" borderId="43" xfId="0" applyFont="1" applyBorder="1" applyAlignment="1">
      <alignment horizontal="left" vertical="center" wrapText="1"/>
    </xf>
    <xf numFmtId="0" fontId="10" fillId="0" borderId="57" xfId="0" applyFont="1" applyBorder="1" applyAlignment="1">
      <alignment horizontal="left" vertical="center" wrapText="1"/>
    </xf>
    <xf numFmtId="0" fontId="10" fillId="0" borderId="64" xfId="0" applyFont="1" applyBorder="1" applyAlignment="1">
      <alignment horizontal="left" vertical="center" wrapText="1"/>
    </xf>
    <xf numFmtId="0" fontId="88" fillId="4" borderId="5" xfId="0" applyFont="1" applyFill="1" applyBorder="1" applyAlignment="1">
      <alignment horizontal="center" vertical="center" textRotation="90" wrapText="1"/>
    </xf>
    <xf numFmtId="0" fontId="28" fillId="4" borderId="48" xfId="0" applyFont="1" applyFill="1" applyBorder="1" applyAlignment="1">
      <alignment horizontal="left" vertical="center" textRotation="90" wrapText="1"/>
    </xf>
    <xf numFmtId="0" fontId="28" fillId="4" borderId="16" xfId="0" applyFont="1" applyFill="1" applyBorder="1" applyAlignment="1">
      <alignment horizontal="left" vertical="center" textRotation="90" wrapText="1"/>
    </xf>
    <xf numFmtId="0" fontId="28" fillId="4" borderId="18" xfId="0" applyFont="1" applyFill="1" applyBorder="1" applyAlignment="1">
      <alignment horizontal="left" vertical="center" textRotation="90" wrapText="1"/>
    </xf>
    <xf numFmtId="0" fontId="6" fillId="11" borderId="50" xfId="0" applyFont="1" applyFill="1" applyBorder="1" applyAlignment="1">
      <alignment horizontal="center" wrapText="1"/>
    </xf>
    <xf numFmtId="0" fontId="6" fillId="11" borderId="38" xfId="0" applyFont="1" applyFill="1" applyBorder="1" applyAlignment="1">
      <alignment horizontal="center" wrapText="1"/>
    </xf>
    <xf numFmtId="0" fontId="6" fillId="14" borderId="48" xfId="0" applyFont="1" applyFill="1" applyBorder="1" applyAlignment="1">
      <alignment horizontal="center" wrapText="1"/>
    </xf>
    <xf numFmtId="0" fontId="4" fillId="18" borderId="25" xfId="0" applyFont="1" applyFill="1" applyBorder="1" applyAlignment="1">
      <alignment horizontal="center" vertical="center" wrapText="1"/>
    </xf>
    <xf numFmtId="0" fontId="4" fillId="18" borderId="26" xfId="0" applyFont="1" applyFill="1" applyBorder="1" applyAlignment="1">
      <alignment horizontal="center" vertical="center" wrapText="1"/>
    </xf>
    <xf numFmtId="0" fontId="4" fillId="18" borderId="33" xfId="0" applyFont="1" applyFill="1" applyBorder="1" applyAlignment="1">
      <alignment horizontal="center" vertical="center" wrapText="1"/>
    </xf>
    <xf numFmtId="0" fontId="46" fillId="11" borderId="50" xfId="0" applyFont="1" applyFill="1" applyBorder="1" applyAlignment="1">
      <alignment horizontal="center" wrapText="1"/>
    </xf>
    <xf numFmtId="0" fontId="46" fillId="11" borderId="38" xfId="0" applyFont="1" applyFill="1" applyBorder="1" applyAlignment="1">
      <alignment horizontal="center" wrapText="1"/>
    </xf>
    <xf numFmtId="0" fontId="46" fillId="11" borderId="39" xfId="0" applyFont="1" applyFill="1" applyBorder="1" applyAlignment="1">
      <alignment horizontal="center" wrapText="1"/>
    </xf>
    <xf numFmtId="0" fontId="4" fillId="4" borderId="14" xfId="0" applyFont="1" applyFill="1" applyBorder="1" applyAlignment="1">
      <alignment horizontal="center" vertical="center" wrapText="1"/>
    </xf>
    <xf numFmtId="0" fontId="6" fillId="18" borderId="38" xfId="0" applyFont="1" applyFill="1" applyBorder="1" applyAlignment="1">
      <alignment horizontal="center" wrapText="1"/>
    </xf>
    <xf numFmtId="0" fontId="18" fillId="4" borderId="14" xfId="0" applyFont="1" applyFill="1" applyBorder="1" applyAlignment="1">
      <alignment horizontal="center" vertical="center" wrapText="1"/>
    </xf>
    <xf numFmtId="0" fontId="18" fillId="4" borderId="17" xfId="0" applyFont="1" applyFill="1" applyBorder="1" applyAlignment="1">
      <alignment horizontal="center" vertical="center" wrapText="1"/>
    </xf>
    <xf numFmtId="0" fontId="18" fillId="4" borderId="18" xfId="0" applyFont="1" applyFill="1" applyBorder="1" applyAlignment="1">
      <alignment horizontal="center" vertical="center" wrapText="1"/>
    </xf>
    <xf numFmtId="0" fontId="4" fillId="14" borderId="33" xfId="0" applyFont="1" applyFill="1" applyBorder="1" applyAlignment="1">
      <alignment horizontal="center" vertical="center" wrapText="1"/>
    </xf>
    <xf numFmtId="0" fontId="4" fillId="4" borderId="21" xfId="0" applyFont="1" applyFill="1" applyBorder="1" applyAlignment="1">
      <alignment horizontal="center" vertical="center" wrapText="1"/>
    </xf>
    <xf numFmtId="0" fontId="6" fillId="11" borderId="37" xfId="0" applyFont="1" applyFill="1" applyBorder="1" applyAlignment="1">
      <alignment horizontal="center" vertical="center" textRotation="90" wrapText="1"/>
    </xf>
    <xf numFmtId="0" fontId="6" fillId="11" borderId="23" xfId="0" applyFont="1" applyFill="1" applyBorder="1" applyAlignment="1">
      <alignment horizontal="center" vertical="center" textRotation="90" wrapText="1"/>
    </xf>
    <xf numFmtId="0" fontId="6" fillId="11" borderId="25" xfId="0" applyFont="1" applyFill="1" applyBorder="1" applyAlignment="1">
      <alignment horizontal="center" vertical="center" textRotation="90" wrapText="1"/>
    </xf>
    <xf numFmtId="0" fontId="10" fillId="0" borderId="3" xfId="0" applyFont="1" applyBorder="1" applyAlignment="1">
      <alignment horizontal="left" vertical="center"/>
    </xf>
    <xf numFmtId="0" fontId="10" fillId="0" borderId="60" xfId="0" applyFont="1" applyBorder="1" applyAlignment="1">
      <alignment horizontal="left" vertical="center"/>
    </xf>
    <xf numFmtId="0" fontId="10" fillId="0" borderId="65" xfId="0" applyFont="1" applyBorder="1" applyAlignment="1">
      <alignment horizontal="left"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46" fillId="14" borderId="38" xfId="0" applyFont="1" applyFill="1" applyBorder="1" applyAlignment="1">
      <alignment horizontal="center" wrapText="1"/>
    </xf>
    <xf numFmtId="0" fontId="47" fillId="11" borderId="36" xfId="0" applyFont="1" applyFill="1" applyBorder="1" applyAlignment="1">
      <alignment horizontal="center" vertical="center" wrapText="1"/>
    </xf>
    <xf numFmtId="0" fontId="47" fillId="11" borderId="26" xfId="0" applyFont="1" applyFill="1" applyBorder="1" applyAlignment="1">
      <alignment horizontal="center" vertical="center" wrapText="1"/>
    </xf>
    <xf numFmtId="0" fontId="47" fillId="11" borderId="40" xfId="0" applyFont="1" applyFill="1" applyBorder="1" applyAlignment="1">
      <alignment horizontal="center" vertical="center" wrapText="1"/>
    </xf>
    <xf numFmtId="0" fontId="47" fillId="14" borderId="26" xfId="0" applyFont="1" applyFill="1" applyBorder="1" applyAlignment="1">
      <alignment horizontal="center" vertical="center" wrapText="1"/>
    </xf>
    <xf numFmtId="0" fontId="47" fillId="14" borderId="33" xfId="0" applyFont="1" applyFill="1" applyBorder="1" applyAlignment="1">
      <alignment horizontal="center" vertical="center" wrapText="1"/>
    </xf>
    <xf numFmtId="0" fontId="4" fillId="22" borderId="13" xfId="0" applyFont="1" applyFill="1" applyBorder="1" applyAlignment="1">
      <alignment horizontal="center" vertical="top" wrapText="1"/>
    </xf>
    <xf numFmtId="0" fontId="4" fillId="22" borderId="0" xfId="0" applyFont="1" applyFill="1" applyAlignment="1">
      <alignment horizontal="center" vertical="top" wrapText="1"/>
    </xf>
    <xf numFmtId="0" fontId="10" fillId="0" borderId="52" xfId="0" applyFont="1" applyBorder="1" applyAlignment="1">
      <alignment horizontal="left" vertical="center" wrapText="1"/>
    </xf>
    <xf numFmtId="0" fontId="10" fillId="0" borderId="1" xfId="0" applyFont="1" applyBorder="1" applyAlignment="1">
      <alignment horizontal="left" vertical="center" wrapText="1"/>
    </xf>
    <xf numFmtId="0" fontId="10" fillId="0" borderId="34" xfId="0" applyFont="1" applyBorder="1" applyAlignment="1">
      <alignment horizontal="left" vertical="center" wrapText="1"/>
    </xf>
    <xf numFmtId="0" fontId="23" fillId="18" borderId="13" xfId="0" applyFont="1" applyFill="1" applyBorder="1" applyAlignment="1">
      <alignment horizontal="center" wrapText="1"/>
    </xf>
    <xf numFmtId="0" fontId="6" fillId="4" borderId="50" xfId="0" applyFont="1" applyFill="1" applyBorder="1" applyAlignment="1">
      <alignment horizontal="center" vertical="center" textRotation="90" wrapText="1"/>
    </xf>
    <xf numFmtId="0" fontId="10" fillId="0" borderId="31" xfId="0" applyFont="1" applyBorder="1" applyAlignment="1">
      <alignment horizontal="left" vertical="center"/>
    </xf>
    <xf numFmtId="0" fontId="6" fillId="12" borderId="38" xfId="0" applyFont="1" applyFill="1" applyBorder="1" applyAlignment="1">
      <alignment horizontal="center" vertical="center" textRotation="90" wrapText="1"/>
    </xf>
    <xf numFmtId="0" fontId="6" fillId="11" borderId="38" xfId="0" applyFont="1" applyFill="1" applyBorder="1" applyAlignment="1">
      <alignment horizontal="center" vertical="center" textRotation="90" wrapText="1"/>
    </xf>
    <xf numFmtId="0" fontId="6" fillId="11" borderId="0" xfId="0" applyFont="1" applyFill="1" applyAlignment="1">
      <alignment horizontal="center" vertical="center" textRotation="90" wrapText="1"/>
    </xf>
    <xf numFmtId="0" fontId="6" fillId="11" borderId="26" xfId="0" applyFont="1" applyFill="1" applyBorder="1" applyAlignment="1">
      <alignment horizontal="center" vertical="center" textRotation="90" wrapText="1"/>
    </xf>
    <xf numFmtId="0" fontId="10" fillId="14" borderId="48" xfId="0" applyFont="1" applyFill="1" applyBorder="1" applyAlignment="1">
      <alignment horizontal="left" vertical="center" textRotation="90" wrapText="1"/>
    </xf>
    <xf numFmtId="0" fontId="10" fillId="14" borderId="16" xfId="0" applyFont="1" applyFill="1" applyBorder="1" applyAlignment="1">
      <alignment horizontal="left" vertical="center" textRotation="90" wrapText="1"/>
    </xf>
    <xf numFmtId="0" fontId="10" fillId="14" borderId="33" xfId="0" applyFont="1" applyFill="1" applyBorder="1" applyAlignment="1">
      <alignment horizontal="left" vertical="center" textRotation="90" wrapText="1"/>
    </xf>
    <xf numFmtId="0" fontId="4" fillId="4" borderId="24" xfId="0" applyFont="1" applyFill="1" applyBorder="1" applyAlignment="1">
      <alignment horizontal="center" vertical="center" wrapText="1"/>
    </xf>
    <xf numFmtId="0" fontId="10" fillId="12" borderId="10" xfId="0" applyFont="1" applyFill="1" applyBorder="1" applyAlignment="1">
      <alignment horizontal="left" vertical="center" wrapText="1"/>
    </xf>
    <xf numFmtId="0" fontId="10" fillId="12" borderId="11" xfId="0" applyFont="1" applyFill="1" applyBorder="1" applyAlignment="1">
      <alignment horizontal="left" vertical="center" wrapText="1"/>
    </xf>
    <xf numFmtId="0" fontId="10" fillId="0" borderId="10" xfId="0" applyFont="1" applyBorder="1" applyAlignment="1">
      <alignment horizontal="left" vertical="center"/>
    </xf>
    <xf numFmtId="0" fontId="10" fillId="0" borderId="4" xfId="0" applyFont="1" applyBorder="1" applyAlignment="1">
      <alignment horizontal="left" vertical="center"/>
    </xf>
    <xf numFmtId="0" fontId="10" fillId="0" borderId="11" xfId="0" applyFont="1" applyBorder="1" applyAlignment="1">
      <alignment horizontal="left" vertical="center"/>
    </xf>
    <xf numFmtId="0" fontId="6" fillId="29" borderId="13" xfId="0" applyFont="1" applyFill="1" applyBorder="1" applyAlignment="1">
      <alignment horizontal="center" wrapText="1"/>
    </xf>
    <xf numFmtId="0" fontId="6" fillId="29" borderId="0" xfId="0" applyFont="1" applyFill="1" applyAlignment="1">
      <alignment horizontal="center" wrapText="1"/>
    </xf>
    <xf numFmtId="0" fontId="6" fillId="29" borderId="16" xfId="0" applyFont="1" applyFill="1" applyBorder="1" applyAlignment="1">
      <alignment horizontal="center" wrapText="1"/>
    </xf>
    <xf numFmtId="0" fontId="4" fillId="18" borderId="36" xfId="0" applyFont="1" applyFill="1" applyBorder="1" applyAlignment="1">
      <alignment horizontal="center" vertical="center" wrapText="1"/>
    </xf>
    <xf numFmtId="0" fontId="4" fillId="18" borderId="40" xfId="0" applyFont="1" applyFill="1" applyBorder="1" applyAlignment="1">
      <alignment horizontal="center" vertical="center" wrapText="1"/>
    </xf>
    <xf numFmtId="0" fontId="4" fillId="11" borderId="26" xfId="0" applyFont="1" applyFill="1" applyBorder="1" applyAlignment="1">
      <alignment horizontal="center" vertical="center" wrapText="1"/>
    </xf>
    <xf numFmtId="0" fontId="4" fillId="11" borderId="33" xfId="0" applyFont="1" applyFill="1" applyBorder="1" applyAlignment="1">
      <alignment horizontal="center" vertical="center" wrapText="1"/>
    </xf>
    <xf numFmtId="0" fontId="28" fillId="14" borderId="38" xfId="0" applyFont="1" applyFill="1" applyBorder="1" applyAlignment="1">
      <alignment horizontal="left" vertical="center" textRotation="90" wrapText="1"/>
    </xf>
    <xf numFmtId="0" fontId="28" fillId="14" borderId="0" xfId="0" applyFont="1" applyFill="1" applyAlignment="1">
      <alignment horizontal="left" vertical="center" textRotation="90" wrapText="1"/>
    </xf>
    <xf numFmtId="0" fontId="28" fillId="14" borderId="26" xfId="0" applyFont="1" applyFill="1" applyBorder="1" applyAlignment="1">
      <alignment horizontal="left" vertical="center" textRotation="90" wrapText="1"/>
    </xf>
    <xf numFmtId="0" fontId="6" fillId="18" borderId="37" xfId="0" applyFont="1" applyFill="1" applyBorder="1" applyAlignment="1">
      <alignment horizontal="center" vertical="center" textRotation="90" wrapText="1"/>
    </xf>
    <xf numFmtId="0" fontId="6" fillId="18" borderId="23" xfId="0" applyFont="1" applyFill="1" applyBorder="1" applyAlignment="1">
      <alignment horizontal="center" vertical="center" textRotation="90" wrapText="1"/>
    </xf>
    <xf numFmtId="0" fontId="6" fillId="18" borderId="24" xfId="0" applyFont="1" applyFill="1" applyBorder="1" applyAlignment="1">
      <alignment horizontal="center" vertical="center" textRotation="90" wrapText="1"/>
    </xf>
    <xf numFmtId="0" fontId="6" fillId="18" borderId="38" xfId="0" applyFont="1" applyFill="1" applyBorder="1" applyAlignment="1">
      <alignment horizontal="center" vertical="center" textRotation="90" wrapText="1"/>
    </xf>
    <xf numFmtId="0" fontId="6" fillId="18" borderId="0" xfId="0" applyFont="1" applyFill="1" applyAlignment="1">
      <alignment horizontal="center" vertical="center" textRotation="90" wrapText="1"/>
    </xf>
    <xf numFmtId="0" fontId="6" fillId="18" borderId="17" xfId="0" applyFont="1" applyFill="1" applyBorder="1" applyAlignment="1">
      <alignment horizontal="center" vertical="center" textRotation="90" wrapText="1"/>
    </xf>
    <xf numFmtId="0" fontId="10" fillId="18" borderId="16" xfId="0" applyFont="1" applyFill="1" applyBorder="1" applyAlignment="1">
      <alignment horizontal="left" vertical="center" textRotation="90" wrapText="1"/>
    </xf>
    <xf numFmtId="0" fontId="6" fillId="18" borderId="50" xfId="0" applyFont="1" applyFill="1" applyBorder="1" applyAlignment="1">
      <alignment horizontal="center" wrapText="1"/>
    </xf>
    <xf numFmtId="0" fontId="6" fillId="18" borderId="48" xfId="0" applyFont="1" applyFill="1" applyBorder="1" applyAlignment="1">
      <alignment horizontal="center" wrapText="1"/>
    </xf>
    <xf numFmtId="0" fontId="6" fillId="18" borderId="13" xfId="0" applyFont="1" applyFill="1" applyBorder="1" applyAlignment="1">
      <alignment horizontal="center" wrapText="1"/>
    </xf>
    <xf numFmtId="0" fontId="6" fillId="18" borderId="0" xfId="0" applyFont="1" applyFill="1" applyAlignment="1">
      <alignment horizontal="center" wrapText="1"/>
    </xf>
    <xf numFmtId="0" fontId="6" fillId="18" borderId="16" xfId="0" applyFont="1" applyFill="1" applyBorder="1" applyAlignment="1">
      <alignment horizontal="center" wrapText="1"/>
    </xf>
    <xf numFmtId="0" fontId="6" fillId="11" borderId="5" xfId="0" applyFont="1" applyFill="1" applyBorder="1" applyAlignment="1">
      <alignment horizontal="center" vertical="center" textRotation="90" wrapText="1"/>
    </xf>
    <xf numFmtId="0" fontId="10" fillId="11" borderId="48" xfId="0" applyFont="1" applyFill="1" applyBorder="1" applyAlignment="1">
      <alignment horizontal="left" vertical="center" textRotation="90" wrapText="1"/>
    </xf>
    <xf numFmtId="0" fontId="6" fillId="12" borderId="12" xfId="0" applyFont="1" applyFill="1" applyBorder="1" applyAlignment="1">
      <alignment horizontal="center" vertical="center" textRotation="90" wrapText="1"/>
    </xf>
    <xf numFmtId="0" fontId="6" fillId="12" borderId="13" xfId="0" applyFont="1" applyFill="1" applyBorder="1" applyAlignment="1">
      <alignment horizontal="center" vertical="center" textRotation="90" wrapText="1"/>
    </xf>
    <xf numFmtId="0" fontId="6" fillId="12" borderId="36" xfId="0" applyFont="1" applyFill="1" applyBorder="1" applyAlignment="1">
      <alignment horizontal="center" vertical="center" textRotation="90" wrapText="1"/>
    </xf>
    <xf numFmtId="0" fontId="6" fillId="11" borderId="17" xfId="0" applyFont="1" applyFill="1" applyBorder="1" applyAlignment="1">
      <alignment horizontal="center" vertical="center" textRotation="90" wrapText="1"/>
    </xf>
    <xf numFmtId="0" fontId="18" fillId="4" borderId="13" xfId="0" applyFont="1" applyFill="1" applyBorder="1" applyAlignment="1">
      <alignment horizontal="center" vertical="center" wrapText="1"/>
    </xf>
    <xf numFmtId="0" fontId="18" fillId="4" borderId="16" xfId="0" applyFont="1" applyFill="1" applyBorder="1" applyAlignment="1">
      <alignment horizontal="center" vertical="center" wrapText="1"/>
    </xf>
    <xf numFmtId="0" fontId="3" fillId="18" borderId="16" xfId="0" applyFont="1" applyFill="1" applyBorder="1" applyAlignment="1">
      <alignment horizontal="center" vertical="center" textRotation="90" wrapText="1"/>
    </xf>
    <xf numFmtId="0" fontId="3" fillId="18" borderId="33" xfId="0" applyFont="1" applyFill="1" applyBorder="1" applyAlignment="1">
      <alignment horizontal="center" vertical="center" textRotation="90" wrapText="1"/>
    </xf>
    <xf numFmtId="0" fontId="23" fillId="18" borderId="38" xfId="0" applyFont="1" applyFill="1" applyBorder="1" applyAlignment="1">
      <alignment horizontal="center" vertical="center" textRotation="90" wrapText="1"/>
    </xf>
    <xf numFmtId="0" fontId="23" fillId="18" borderId="0" xfId="0" applyFont="1" applyFill="1" applyAlignment="1">
      <alignment horizontal="center" vertical="center" textRotation="90" wrapText="1"/>
    </xf>
    <xf numFmtId="0" fontId="10" fillId="4" borderId="19" xfId="0" applyFont="1" applyFill="1" applyBorder="1" applyAlignment="1">
      <alignment horizontal="left" vertical="center" textRotation="90" wrapText="1"/>
    </xf>
    <xf numFmtId="0" fontId="3" fillId="14" borderId="15" xfId="0" applyFont="1" applyFill="1" applyBorder="1" applyAlignment="1">
      <alignment horizontal="center" vertical="center" textRotation="90" wrapText="1"/>
    </xf>
    <xf numFmtId="0" fontId="3" fillId="14" borderId="16" xfId="0" applyFont="1" applyFill="1" applyBorder="1" applyAlignment="1">
      <alignment horizontal="center" vertical="center" textRotation="90" wrapText="1"/>
    </xf>
    <xf numFmtId="0" fontId="3" fillId="14" borderId="33" xfId="0" applyFont="1" applyFill="1" applyBorder="1" applyAlignment="1">
      <alignment horizontal="center" vertical="center" textRotation="90" wrapText="1"/>
    </xf>
    <xf numFmtId="0" fontId="10" fillId="12" borderId="19" xfId="0" applyFont="1" applyFill="1" applyBorder="1" applyAlignment="1">
      <alignment horizontal="left" vertical="center" textRotation="90" wrapText="1"/>
    </xf>
    <xf numFmtId="0" fontId="10" fillId="12" borderId="20" xfId="0" applyFont="1" applyFill="1" applyBorder="1" applyAlignment="1">
      <alignment horizontal="left" vertical="center" textRotation="90" wrapText="1"/>
    </xf>
    <xf numFmtId="0" fontId="10" fillId="12" borderId="40" xfId="0" applyFont="1" applyFill="1" applyBorder="1" applyAlignment="1">
      <alignment horizontal="left" vertical="center" textRotation="90" wrapText="1"/>
    </xf>
    <xf numFmtId="0" fontId="41" fillId="4" borderId="50" xfId="0" applyFont="1" applyFill="1" applyBorder="1" applyAlignment="1">
      <alignment horizontal="center" wrapText="1"/>
    </xf>
    <xf numFmtId="0" fontId="41" fillId="4" borderId="38" xfId="0" applyFont="1" applyFill="1" applyBorder="1" applyAlignment="1">
      <alignment horizontal="center" wrapText="1"/>
    </xf>
    <xf numFmtId="0" fontId="41" fillId="4" borderId="48" xfId="0" applyFont="1" applyFill="1" applyBorder="1" applyAlignment="1">
      <alignment horizontal="center" wrapText="1"/>
    </xf>
    <xf numFmtId="0" fontId="51" fillId="4" borderId="12" xfId="0" applyFont="1" applyFill="1" applyBorder="1" applyAlignment="1">
      <alignment horizontal="center" wrapText="1"/>
    </xf>
    <xf numFmtId="0" fontId="51" fillId="4" borderId="5" xfId="0" applyFont="1" applyFill="1" applyBorder="1" applyAlignment="1">
      <alignment horizontal="center" wrapText="1"/>
    </xf>
    <xf numFmtId="0" fontId="51" fillId="4" borderId="15" xfId="0" applyFont="1" applyFill="1" applyBorder="1" applyAlignment="1">
      <alignment horizontal="center" wrapText="1"/>
    </xf>
    <xf numFmtId="0" fontId="10" fillId="18" borderId="20" xfId="0" applyFont="1" applyFill="1" applyBorder="1" applyAlignment="1">
      <alignment horizontal="left" vertical="center" textRotation="90" wrapText="1"/>
    </xf>
    <xf numFmtId="0" fontId="6" fillId="18" borderId="25" xfId="0" applyFont="1" applyFill="1" applyBorder="1" applyAlignment="1">
      <alignment horizontal="center" vertical="center" textRotation="90" wrapText="1"/>
    </xf>
    <xf numFmtId="0" fontId="23" fillId="11" borderId="50" xfId="0" applyFont="1" applyFill="1" applyBorder="1" applyAlignment="1">
      <alignment horizontal="center" vertical="center" textRotation="90" wrapText="1"/>
    </xf>
    <xf numFmtId="0" fontId="23" fillId="11" borderId="13" xfId="0" applyFont="1" applyFill="1" applyBorder="1" applyAlignment="1">
      <alignment horizontal="center" vertical="center" textRotation="90" wrapText="1"/>
    </xf>
    <xf numFmtId="0" fontId="23" fillId="11" borderId="14" xfId="0" applyFont="1" applyFill="1" applyBorder="1" applyAlignment="1">
      <alignment horizontal="center" vertical="center" textRotation="90" wrapText="1"/>
    </xf>
    <xf numFmtId="0" fontId="16" fillId="8" borderId="60" xfId="0" applyFont="1" applyFill="1" applyBorder="1" applyAlignment="1">
      <alignment horizontal="center" vertical="center"/>
    </xf>
    <xf numFmtId="0" fontId="47" fillId="12" borderId="36" xfId="0" applyFont="1" applyFill="1" applyBorder="1" applyAlignment="1">
      <alignment horizontal="center" vertical="center" wrapText="1"/>
    </xf>
    <xf numFmtId="0" fontId="47" fillId="12" borderId="26" xfId="0" applyFont="1" applyFill="1" applyBorder="1" applyAlignment="1">
      <alignment horizontal="center" vertical="center" wrapText="1"/>
    </xf>
    <xf numFmtId="0" fontId="47" fillId="12" borderId="33" xfId="0" applyFont="1" applyFill="1" applyBorder="1" applyAlignment="1">
      <alignment horizontal="center" vertical="center" wrapText="1"/>
    </xf>
    <xf numFmtId="0" fontId="41" fillId="14" borderId="50" xfId="0" applyFont="1" applyFill="1" applyBorder="1" applyAlignment="1">
      <alignment horizontal="right" vertical="center" textRotation="90" wrapText="1"/>
    </xf>
    <xf numFmtId="0" fontId="41" fillId="14" borderId="13" xfId="0" applyFont="1" applyFill="1" applyBorder="1" applyAlignment="1">
      <alignment horizontal="right" vertical="center" textRotation="90" wrapText="1"/>
    </xf>
    <xf numFmtId="0" fontId="10" fillId="11" borderId="39" xfId="0" applyFont="1" applyFill="1" applyBorder="1" applyAlignment="1">
      <alignment horizontal="left" vertical="center" textRotation="90" wrapText="1"/>
    </xf>
    <xf numFmtId="0" fontId="10" fillId="11" borderId="20" xfId="0" applyFont="1" applyFill="1" applyBorder="1" applyAlignment="1">
      <alignment horizontal="left" vertical="center" textRotation="90" wrapText="1"/>
    </xf>
    <xf numFmtId="0" fontId="10" fillId="11" borderId="21" xfId="0" applyFont="1" applyFill="1" applyBorder="1" applyAlignment="1">
      <alignment horizontal="left" vertical="center" textRotation="90" wrapText="1"/>
    </xf>
    <xf numFmtId="0" fontId="6" fillId="12" borderId="37" xfId="0" applyFont="1" applyFill="1" applyBorder="1" applyAlignment="1">
      <alignment horizontal="center" vertical="center" textRotation="90" wrapText="1"/>
    </xf>
    <xf numFmtId="0" fontId="6" fillId="12" borderId="23" xfId="0" applyFont="1" applyFill="1" applyBorder="1" applyAlignment="1">
      <alignment horizontal="center" vertical="center" textRotation="90" wrapText="1"/>
    </xf>
    <xf numFmtId="0" fontId="6" fillId="12" borderId="24" xfId="0" applyFont="1" applyFill="1" applyBorder="1" applyAlignment="1">
      <alignment horizontal="center" vertical="center" textRotation="90" wrapText="1"/>
    </xf>
    <xf numFmtId="0" fontId="3" fillId="12" borderId="16" xfId="0" applyFont="1" applyFill="1" applyBorder="1" applyAlignment="1">
      <alignment horizontal="center" vertical="center" textRotation="90" wrapText="1"/>
    </xf>
    <xf numFmtId="0" fontId="51" fillId="4" borderId="50" xfId="0" applyFont="1" applyFill="1" applyBorder="1" applyAlignment="1">
      <alignment horizontal="center" wrapText="1"/>
    </xf>
    <xf numFmtId="0" fontId="51" fillId="4" borderId="38" xfId="0" applyFont="1" applyFill="1" applyBorder="1" applyAlignment="1">
      <alignment horizontal="center" wrapText="1"/>
    </xf>
    <xf numFmtId="0" fontId="51" fillId="4" borderId="48" xfId="0" applyFont="1" applyFill="1" applyBorder="1" applyAlignment="1">
      <alignment horizontal="center" wrapText="1"/>
    </xf>
    <xf numFmtId="0" fontId="6" fillId="14" borderId="38" xfId="0" applyFont="1" applyFill="1" applyBorder="1" applyAlignment="1">
      <alignment horizontal="right" vertical="center" textRotation="90" wrapText="1"/>
    </xf>
    <xf numFmtId="0" fontId="6" fillId="14" borderId="26" xfId="0" applyFont="1" applyFill="1" applyBorder="1" applyAlignment="1">
      <alignment horizontal="right" vertical="center" textRotation="90" wrapText="1"/>
    </xf>
    <xf numFmtId="0" fontId="3" fillId="7" borderId="1" xfId="0" applyFont="1" applyFill="1" applyBorder="1" applyAlignment="1">
      <alignment horizontal="center" vertical="center"/>
    </xf>
    <xf numFmtId="0" fontId="5" fillId="6" borderId="12" xfId="0" applyFont="1" applyFill="1" applyBorder="1" applyAlignment="1">
      <alignment horizontal="center" vertical="center"/>
    </xf>
    <xf numFmtId="0" fontId="46" fillId="14" borderId="50" xfId="0" applyFont="1" applyFill="1" applyBorder="1" applyAlignment="1">
      <alignment horizontal="right" vertical="center" textRotation="90" wrapText="1"/>
    </xf>
    <xf numFmtId="0" fontId="46" fillId="14" borderId="13" xfId="0" applyFont="1" applyFill="1" applyBorder="1" applyAlignment="1">
      <alignment horizontal="right" vertical="center" textRotation="90" wrapText="1"/>
    </xf>
    <xf numFmtId="0" fontId="46" fillId="14" borderId="36" xfId="0" applyFont="1" applyFill="1" applyBorder="1" applyAlignment="1">
      <alignment horizontal="right" vertical="center" textRotation="90" wrapText="1"/>
    </xf>
    <xf numFmtId="0" fontId="29" fillId="14" borderId="38" xfId="0" applyFont="1" applyFill="1" applyBorder="1" applyAlignment="1">
      <alignment horizontal="left" vertical="center" textRotation="90" wrapText="1"/>
    </xf>
    <xf numFmtId="0" fontId="29" fillId="14" borderId="0" xfId="0" applyFont="1" applyFill="1" applyAlignment="1">
      <alignment horizontal="left" vertical="center" textRotation="90" wrapText="1"/>
    </xf>
    <xf numFmtId="0" fontId="29" fillId="14" borderId="26" xfId="0" applyFont="1" applyFill="1" applyBorder="1" applyAlignment="1">
      <alignment horizontal="left" vertical="center" textRotation="90" wrapText="1"/>
    </xf>
    <xf numFmtId="0" fontId="10" fillId="14" borderId="18" xfId="0" applyFont="1" applyFill="1" applyBorder="1" applyAlignment="1">
      <alignment horizontal="left" vertical="center" textRotation="90" wrapText="1"/>
    </xf>
    <xf numFmtId="0" fontId="17" fillId="14" borderId="39" xfId="0" applyFont="1" applyFill="1" applyBorder="1" applyAlignment="1">
      <alignment horizontal="left" vertical="center" textRotation="90" wrapText="1"/>
    </xf>
    <xf numFmtId="0" fontId="17" fillId="14" borderId="20" xfId="0" applyFont="1" applyFill="1" applyBorder="1" applyAlignment="1">
      <alignment horizontal="left" vertical="center" textRotation="90" wrapText="1"/>
    </xf>
    <xf numFmtId="0" fontId="17" fillId="14" borderId="40" xfId="0" applyFont="1" applyFill="1" applyBorder="1" applyAlignment="1">
      <alignment horizontal="left" vertical="center" textRotation="90" wrapText="1"/>
    </xf>
    <xf numFmtId="0" fontId="46" fillId="14" borderId="38" xfId="0" applyFont="1" applyFill="1" applyBorder="1" applyAlignment="1">
      <alignment horizontal="center" vertical="center" textRotation="90" wrapText="1"/>
    </xf>
    <xf numFmtId="0" fontId="46" fillId="14" borderId="0" xfId="0" applyFont="1" applyFill="1" applyAlignment="1">
      <alignment horizontal="center" vertical="center" textRotation="90" wrapText="1"/>
    </xf>
    <xf numFmtId="0" fontId="46" fillId="14" borderId="26" xfId="0" applyFont="1" applyFill="1" applyBorder="1" applyAlignment="1">
      <alignment horizontal="center" vertical="center" textRotation="90" wrapText="1"/>
    </xf>
    <xf numFmtId="0" fontId="28" fillId="14" borderId="19" xfId="0" applyFont="1" applyFill="1" applyBorder="1" applyAlignment="1">
      <alignment horizontal="left" vertical="center" textRotation="90" wrapText="1"/>
    </xf>
    <xf numFmtId="0" fontId="6" fillId="18" borderId="20" xfId="0" applyFont="1" applyFill="1" applyBorder="1" applyAlignment="1">
      <alignment horizontal="center" wrapText="1"/>
    </xf>
    <xf numFmtId="0" fontId="94" fillId="4" borderId="16" xfId="0" applyFont="1" applyFill="1" applyBorder="1" applyAlignment="1">
      <alignment horizontal="left" vertical="center" textRotation="90" wrapText="1"/>
    </xf>
    <xf numFmtId="0" fontId="94" fillId="4" borderId="33" xfId="0" applyFont="1" applyFill="1" applyBorder="1" applyAlignment="1">
      <alignment horizontal="left" vertical="center" textRotation="90" wrapText="1"/>
    </xf>
    <xf numFmtId="0" fontId="6" fillId="11" borderId="23" xfId="0" applyFont="1" applyFill="1" applyBorder="1" applyAlignment="1">
      <alignment horizontal="right" vertical="center" textRotation="90" wrapText="1"/>
    </xf>
    <xf numFmtId="0" fontId="6" fillId="18" borderId="23" xfId="0" applyFont="1" applyFill="1" applyBorder="1" applyAlignment="1">
      <alignment horizontal="right" vertical="center" textRotation="90" wrapText="1"/>
    </xf>
    <xf numFmtId="0" fontId="6" fillId="18" borderId="25" xfId="0" applyFont="1" applyFill="1" applyBorder="1" applyAlignment="1">
      <alignment horizontal="right" vertical="center" textRotation="90" wrapText="1"/>
    </xf>
    <xf numFmtId="0" fontId="40" fillId="14" borderId="53" xfId="0" applyFont="1" applyFill="1" applyBorder="1" applyAlignment="1">
      <alignment horizontal="center" vertical="center" textRotation="90" wrapText="1"/>
    </xf>
    <xf numFmtId="0" fontId="6" fillId="11" borderId="37" xfId="0" applyFont="1" applyFill="1" applyBorder="1" applyAlignment="1">
      <alignment horizontal="right" vertical="center" textRotation="90" wrapText="1"/>
    </xf>
    <xf numFmtId="0" fontId="6" fillId="11" borderId="25" xfId="0" applyFont="1" applyFill="1" applyBorder="1" applyAlignment="1">
      <alignment horizontal="right" vertical="center" textRotation="90" wrapText="1"/>
    </xf>
    <xf numFmtId="0" fontId="88" fillId="4" borderId="50" xfId="0" applyFont="1" applyFill="1" applyBorder="1" applyAlignment="1">
      <alignment horizontal="right" vertical="center" textRotation="90" wrapText="1"/>
    </xf>
    <xf numFmtId="0" fontId="88" fillId="4" borderId="13" xfId="0" applyFont="1" applyFill="1" applyBorder="1" applyAlignment="1">
      <alignment horizontal="right" vertical="center" textRotation="90" wrapText="1"/>
    </xf>
    <xf numFmtId="0" fontId="10" fillId="18" borderId="48" xfId="0" applyFont="1" applyFill="1" applyBorder="1" applyAlignment="1">
      <alignment horizontal="left" vertical="center" textRotation="90" wrapText="1"/>
    </xf>
    <xf numFmtId="0" fontId="10" fillId="18" borderId="33" xfId="0" applyFont="1" applyFill="1" applyBorder="1" applyAlignment="1">
      <alignment horizontal="left" vertical="center" textRotation="90" wrapText="1"/>
    </xf>
    <xf numFmtId="0" fontId="6" fillId="18" borderId="37" xfId="0" applyFont="1" applyFill="1" applyBorder="1" applyAlignment="1">
      <alignment horizontal="center" wrapText="1"/>
    </xf>
    <xf numFmtId="0" fontId="40" fillId="4" borderId="53" xfId="0" applyFont="1" applyFill="1" applyBorder="1" applyAlignment="1">
      <alignment horizontal="center" vertical="center" textRotation="90" wrapText="1"/>
    </xf>
    <xf numFmtId="0" fontId="40" fillId="4" borderId="21" xfId="0" applyFont="1" applyFill="1" applyBorder="1" applyAlignment="1">
      <alignment horizontal="center" vertical="center" textRotation="90" wrapText="1"/>
    </xf>
    <xf numFmtId="0" fontId="46" fillId="12" borderId="50" xfId="0" applyFont="1" applyFill="1" applyBorder="1" applyAlignment="1">
      <alignment horizontal="center" wrapText="1"/>
    </xf>
    <xf numFmtId="0" fontId="46" fillId="12" borderId="48" xfId="0" applyFont="1" applyFill="1" applyBorder="1" applyAlignment="1">
      <alignment horizontal="center" wrapText="1"/>
    </xf>
    <xf numFmtId="0" fontId="97" fillId="0" borderId="0" xfId="0" applyFont="1" applyAlignment="1">
      <alignment horizontal="center" vertical="center" textRotation="90" wrapText="1"/>
    </xf>
    <xf numFmtId="0" fontId="97" fillId="0" borderId="26" xfId="0" applyFont="1" applyBorder="1" applyAlignment="1">
      <alignment horizontal="center" vertical="center" textRotation="90" wrapText="1"/>
    </xf>
    <xf numFmtId="0" fontId="79" fillId="4" borderId="39" xfId="0" applyFont="1" applyFill="1" applyBorder="1" applyAlignment="1">
      <alignment horizontal="left" vertical="center" textRotation="90" wrapText="1"/>
    </xf>
    <xf numFmtId="0" fontId="79" fillId="4" borderId="20" xfId="0" applyFont="1" applyFill="1" applyBorder="1" applyAlignment="1">
      <alignment horizontal="left" vertical="center" textRotation="90" wrapText="1"/>
    </xf>
    <xf numFmtId="0" fontId="79" fillId="4" borderId="21" xfId="0" applyFont="1" applyFill="1" applyBorder="1" applyAlignment="1">
      <alignment horizontal="left" vertical="center" textRotation="90" wrapText="1"/>
    </xf>
    <xf numFmtId="0" fontId="6" fillId="14" borderId="24" xfId="0" applyFont="1" applyFill="1" applyBorder="1" applyAlignment="1">
      <alignment horizontal="right" vertical="center" textRotation="90" wrapText="1"/>
    </xf>
    <xf numFmtId="0" fontId="86" fillId="6" borderId="5" xfId="0" applyFont="1" applyFill="1" applyBorder="1" applyAlignment="1">
      <alignment horizontal="center" vertical="center"/>
    </xf>
    <xf numFmtId="0" fontId="22" fillId="8" borderId="3" xfId="0" applyFont="1" applyFill="1" applyBorder="1" applyAlignment="1">
      <alignment horizontal="center" vertical="center"/>
    </xf>
    <xf numFmtId="0" fontId="22" fillId="8" borderId="65" xfId="0" applyFont="1" applyFill="1" applyBorder="1" applyAlignment="1">
      <alignment horizontal="center" vertical="center"/>
    </xf>
    <xf numFmtId="0" fontId="10" fillId="19" borderId="0" xfId="0" applyFont="1" applyFill="1" applyAlignment="1">
      <alignment horizontal="left" vertical="center" textRotation="90" wrapText="1"/>
    </xf>
    <xf numFmtId="0" fontId="6" fillId="19" borderId="0" xfId="0" applyFont="1" applyFill="1" applyAlignment="1">
      <alignment horizontal="left" vertical="top" textRotation="90" wrapText="1"/>
    </xf>
    <xf numFmtId="0" fontId="4" fillId="4" borderId="39" xfId="0" applyFont="1" applyFill="1" applyBorder="1" applyAlignment="1">
      <alignment horizontal="left" vertical="center" textRotation="90" wrapText="1"/>
    </xf>
    <xf numFmtId="0" fontId="4" fillId="4" borderId="20" xfId="0" applyFont="1" applyFill="1" applyBorder="1" applyAlignment="1">
      <alignment horizontal="left" vertical="center" textRotation="90" wrapText="1"/>
    </xf>
    <xf numFmtId="0" fontId="4" fillId="4" borderId="40" xfId="0" applyFont="1" applyFill="1" applyBorder="1" applyAlignment="1">
      <alignment horizontal="left" vertical="center" textRotation="90" wrapText="1"/>
    </xf>
    <xf numFmtId="0" fontId="40" fillId="4" borderId="39" xfId="0" applyFont="1" applyFill="1" applyBorder="1" applyAlignment="1">
      <alignment horizontal="left" vertical="center" textRotation="90" wrapText="1"/>
    </xf>
    <xf numFmtId="0" fontId="40" fillId="4" borderId="20" xfId="0" applyFont="1" applyFill="1" applyBorder="1" applyAlignment="1">
      <alignment horizontal="left" vertical="center" textRotation="90" wrapText="1"/>
    </xf>
    <xf numFmtId="0" fontId="40" fillId="4" borderId="21" xfId="0" applyFont="1" applyFill="1" applyBorder="1" applyAlignment="1">
      <alignment horizontal="left" vertical="center" textRotation="90" wrapText="1"/>
    </xf>
    <xf numFmtId="0" fontId="19" fillId="18" borderId="23" xfId="0" applyFont="1" applyFill="1" applyBorder="1" applyAlignment="1">
      <alignment horizontal="center" wrapText="1"/>
    </xf>
    <xf numFmtId="0" fontId="19" fillId="18" borderId="0" xfId="0" applyFont="1" applyFill="1" applyAlignment="1">
      <alignment horizontal="center" wrapText="1"/>
    </xf>
    <xf numFmtId="0" fontId="19" fillId="18" borderId="16" xfId="0" applyFont="1" applyFill="1" applyBorder="1" applyAlignment="1">
      <alignment horizontal="center" wrapText="1"/>
    </xf>
    <xf numFmtId="0" fontId="41" fillId="4" borderId="13" xfId="0" applyFont="1" applyFill="1" applyBorder="1" applyAlignment="1">
      <alignment horizontal="left" vertical="center" textRotation="90" wrapText="1"/>
    </xf>
    <xf numFmtId="0" fontId="41" fillId="4" borderId="14" xfId="0" applyFont="1" applyFill="1" applyBorder="1" applyAlignment="1">
      <alignment horizontal="left" vertical="center" textRotation="90" wrapText="1"/>
    </xf>
    <xf numFmtId="0" fontId="18" fillId="4" borderId="39" xfId="0" applyFont="1" applyFill="1" applyBorder="1" applyAlignment="1">
      <alignment horizontal="left" vertical="center" textRotation="90" wrapText="1"/>
    </xf>
    <xf numFmtId="0" fontId="18" fillId="4" borderId="20" xfId="0" applyFont="1" applyFill="1" applyBorder="1" applyAlignment="1">
      <alignment horizontal="left" vertical="center" textRotation="90" wrapText="1"/>
    </xf>
    <xf numFmtId="0" fontId="18" fillId="4" borderId="21" xfId="0" applyFont="1" applyFill="1" applyBorder="1" applyAlignment="1">
      <alignment horizontal="left" vertical="center" textRotation="90" wrapText="1"/>
    </xf>
    <xf numFmtId="0" fontId="6" fillId="4" borderId="17" xfId="0" applyFont="1" applyFill="1" applyBorder="1" applyAlignment="1">
      <alignment horizontal="left" vertical="center" textRotation="90" wrapText="1"/>
    </xf>
    <xf numFmtId="0" fontId="4" fillId="14" borderId="39" xfId="0" applyFont="1" applyFill="1" applyBorder="1" applyAlignment="1">
      <alignment horizontal="left" vertical="center" textRotation="90" wrapText="1"/>
    </xf>
    <xf numFmtId="0" fontId="6" fillId="4" borderId="13" xfId="0" applyFont="1" applyFill="1" applyBorder="1" applyAlignment="1">
      <alignment horizontal="left" vertical="center" textRotation="90" wrapText="1"/>
    </xf>
    <xf numFmtId="0" fontId="6" fillId="4" borderId="36" xfId="0" applyFont="1" applyFill="1" applyBorder="1" applyAlignment="1">
      <alignment horizontal="left" vertical="center" textRotation="90" wrapText="1"/>
    </xf>
    <xf numFmtId="0" fontId="41" fillId="4" borderId="0" xfId="0" applyFont="1" applyFill="1" applyAlignment="1">
      <alignment horizontal="left" vertical="top" textRotation="90" wrapText="1"/>
    </xf>
    <xf numFmtId="0" fontId="41" fillId="4" borderId="17" xfId="0" applyFont="1" applyFill="1" applyBorder="1" applyAlignment="1">
      <alignment horizontal="left" vertical="top" textRotation="90" wrapText="1"/>
    </xf>
    <xf numFmtId="0" fontId="59" fillId="4" borderId="23" xfId="0" applyFont="1" applyFill="1" applyBorder="1" applyAlignment="1">
      <alignment horizontal="left" vertical="center" textRotation="90" wrapText="1"/>
    </xf>
    <xf numFmtId="0" fontId="59" fillId="4" borderId="24" xfId="0" applyFont="1" applyFill="1" applyBorder="1" applyAlignment="1">
      <alignment horizontal="left" vertical="center" textRotation="90" wrapText="1"/>
    </xf>
    <xf numFmtId="0" fontId="39" fillId="4" borderId="48" xfId="0" applyFont="1" applyFill="1" applyBorder="1" applyAlignment="1">
      <alignment horizontal="left" vertical="center" textRotation="90" wrapText="1"/>
    </xf>
    <xf numFmtId="0" fontId="39" fillId="4" borderId="16" xfId="0" applyFont="1" applyFill="1" applyBorder="1" applyAlignment="1">
      <alignment horizontal="left" vertical="center" textRotation="90" wrapText="1"/>
    </xf>
    <xf numFmtId="0" fontId="39" fillId="4" borderId="18" xfId="0" applyFont="1" applyFill="1" applyBorder="1" applyAlignment="1">
      <alignment horizontal="left" vertical="center" textRotation="90" wrapText="1"/>
    </xf>
    <xf numFmtId="0" fontId="18" fillId="4" borderId="16" xfId="0" applyFont="1" applyFill="1" applyBorder="1" applyAlignment="1">
      <alignment horizontal="left" vertical="center" textRotation="90" wrapText="1"/>
    </xf>
    <xf numFmtId="0" fontId="18" fillId="4" borderId="18" xfId="0" applyFont="1" applyFill="1" applyBorder="1" applyAlignment="1">
      <alignment horizontal="left" vertical="center" textRotation="90" wrapText="1"/>
    </xf>
    <xf numFmtId="0" fontId="4" fillId="14" borderId="38" xfId="0" applyFont="1" applyFill="1" applyBorder="1" applyAlignment="1">
      <alignment horizontal="left" vertical="center" textRotation="90" wrapText="1"/>
    </xf>
    <xf numFmtId="0" fontId="6" fillId="14" borderId="14" xfId="0" applyFont="1" applyFill="1" applyBorder="1" applyAlignment="1">
      <alignment horizontal="left" vertical="center" textRotation="90" wrapText="1"/>
    </xf>
    <xf numFmtId="0" fontId="4" fillId="14" borderId="21" xfId="0" applyFont="1" applyFill="1" applyBorder="1" applyAlignment="1">
      <alignment horizontal="left" vertical="center" textRotation="90" wrapText="1"/>
    </xf>
    <xf numFmtId="0" fontId="18" fillId="4" borderId="40" xfId="0" applyFont="1" applyFill="1" applyBorder="1" applyAlignment="1">
      <alignment horizontal="left" vertical="center" textRotation="90" wrapText="1"/>
    </xf>
    <xf numFmtId="0" fontId="4" fillId="14" borderId="48" xfId="0" applyFont="1" applyFill="1" applyBorder="1" applyAlignment="1">
      <alignment horizontal="left" vertical="center" textRotation="90" wrapText="1"/>
    </xf>
    <xf numFmtId="0" fontId="4" fillId="14" borderId="16" xfId="0" applyFont="1" applyFill="1" applyBorder="1" applyAlignment="1">
      <alignment horizontal="left" vertical="center" textRotation="90" wrapText="1"/>
    </xf>
    <xf numFmtId="0" fontId="4" fillId="14" borderId="33" xfId="0" applyFont="1" applyFill="1" applyBorder="1" applyAlignment="1">
      <alignment horizontal="left" vertical="center" textRotation="90" wrapText="1"/>
    </xf>
    <xf numFmtId="0" fontId="6" fillId="4" borderId="23" xfId="0" applyFont="1" applyFill="1" applyBorder="1" applyAlignment="1">
      <alignment horizontal="left" vertical="top" textRotation="90" wrapText="1"/>
    </xf>
    <xf numFmtId="0" fontId="6" fillId="4" borderId="25" xfId="0" applyFont="1" applyFill="1" applyBorder="1" applyAlignment="1">
      <alignment horizontal="left" vertical="top" textRotation="90" wrapText="1"/>
    </xf>
    <xf numFmtId="0" fontId="3" fillId="12" borderId="1" xfId="0" applyFont="1" applyFill="1" applyBorder="1" applyAlignment="1">
      <alignment horizontal="left" vertical="center"/>
    </xf>
    <xf numFmtId="0" fontId="19" fillId="18" borderId="22" xfId="0" applyFont="1" applyFill="1" applyBorder="1" applyAlignment="1">
      <alignment horizontal="center" wrapText="1"/>
    </xf>
    <xf numFmtId="0" fontId="19" fillId="18" borderId="5" xfId="0" applyFont="1" applyFill="1" applyBorder="1" applyAlignment="1">
      <alignment horizontal="center" wrapText="1"/>
    </xf>
    <xf numFmtId="0" fontId="19" fillId="18" borderId="15" xfId="0" applyFont="1" applyFill="1" applyBorder="1" applyAlignment="1">
      <alignment horizontal="center" wrapText="1"/>
    </xf>
    <xf numFmtId="0" fontId="10" fillId="11" borderId="19" xfId="0" applyFont="1" applyFill="1" applyBorder="1" applyAlignment="1">
      <alignment horizontal="left" vertical="center" textRotation="90" wrapText="1"/>
    </xf>
    <xf numFmtId="0" fontId="10" fillId="11" borderId="40" xfId="0" applyFont="1" applyFill="1" applyBorder="1" applyAlignment="1">
      <alignment horizontal="left" vertical="center" textRotation="90" wrapText="1"/>
    </xf>
    <xf numFmtId="0" fontId="6" fillId="11" borderId="23" xfId="0" applyFont="1" applyFill="1" applyBorder="1" applyAlignment="1">
      <alignment textRotation="90" wrapText="1"/>
    </xf>
    <xf numFmtId="0" fontId="6" fillId="11" borderId="25" xfId="0" applyFont="1" applyFill="1" applyBorder="1" applyAlignment="1">
      <alignment textRotation="90" wrapText="1"/>
    </xf>
    <xf numFmtId="0" fontId="31" fillId="4" borderId="16" xfId="0" applyFont="1" applyFill="1" applyBorder="1" applyAlignment="1">
      <alignment horizontal="left" vertical="center" textRotation="90" wrapText="1"/>
    </xf>
    <xf numFmtId="0" fontId="31" fillId="4" borderId="33" xfId="0" applyFont="1" applyFill="1" applyBorder="1" applyAlignment="1">
      <alignment horizontal="left" vertical="center" textRotation="90" wrapText="1"/>
    </xf>
    <xf numFmtId="0" fontId="88" fillId="4" borderId="23" xfId="0" applyFont="1" applyFill="1" applyBorder="1" applyAlignment="1">
      <alignment horizontal="left" vertical="center" textRotation="90" wrapText="1"/>
    </xf>
    <xf numFmtId="0" fontId="88" fillId="4" borderId="25" xfId="0" applyFont="1" applyFill="1" applyBorder="1" applyAlignment="1">
      <alignment horizontal="left" vertical="center" textRotation="90" wrapText="1"/>
    </xf>
    <xf numFmtId="0" fontId="92" fillId="4" borderId="39" xfId="0" applyFont="1" applyFill="1" applyBorder="1" applyAlignment="1">
      <alignment horizontal="left" vertical="center" textRotation="90" wrapText="1"/>
    </xf>
    <xf numFmtId="0" fontId="92" fillId="4" borderId="20" xfId="0" applyFont="1" applyFill="1" applyBorder="1" applyAlignment="1">
      <alignment horizontal="left" vertical="center" textRotation="90" wrapText="1"/>
    </xf>
    <xf numFmtId="0" fontId="92" fillId="4" borderId="40" xfId="0" applyFont="1" applyFill="1" applyBorder="1" applyAlignment="1">
      <alignment horizontal="left" vertical="center" textRotation="90" wrapText="1"/>
    </xf>
    <xf numFmtId="0" fontId="6" fillId="11" borderId="24" xfId="0" applyFont="1" applyFill="1" applyBorder="1" applyAlignment="1">
      <alignment horizontal="center" vertical="center" textRotation="90" wrapText="1"/>
    </xf>
    <xf numFmtId="0" fontId="59" fillId="4" borderId="0" xfId="0" applyFont="1" applyFill="1" applyAlignment="1">
      <alignment horizontal="left" vertical="center" textRotation="90" wrapText="1"/>
    </xf>
    <xf numFmtId="0" fontId="30" fillId="4" borderId="0" xfId="0" applyFont="1" applyFill="1" applyAlignment="1">
      <alignment horizontal="left" vertical="top" textRotation="90" wrapText="1"/>
    </xf>
    <xf numFmtId="0" fontId="30" fillId="4" borderId="26" xfId="0" applyFont="1" applyFill="1" applyBorder="1" applyAlignment="1">
      <alignment horizontal="left" vertical="top" textRotation="90" wrapText="1"/>
    </xf>
    <xf numFmtId="0" fontId="3" fillId="14" borderId="1" xfId="0" applyFont="1" applyFill="1" applyBorder="1" applyAlignment="1">
      <alignment horizontal="left" vertical="center"/>
    </xf>
    <xf numFmtId="0" fontId="6" fillId="4" borderId="21" xfId="0" applyFont="1" applyFill="1" applyBorder="1" applyAlignment="1">
      <alignment horizontal="center" wrapText="1"/>
    </xf>
    <xf numFmtId="0" fontId="41" fillId="4" borderId="50" xfId="0" applyFont="1" applyFill="1" applyBorder="1" applyAlignment="1">
      <alignment horizontal="right" vertical="center" textRotation="90" wrapText="1"/>
    </xf>
    <xf numFmtId="0" fontId="41" fillId="4" borderId="13" xfId="0" applyFont="1" applyFill="1" applyBorder="1" applyAlignment="1">
      <alignment horizontal="right" vertical="center" textRotation="90" wrapText="1"/>
    </xf>
    <xf numFmtId="0" fontId="41" fillId="4" borderId="14" xfId="0" applyFont="1" applyFill="1" applyBorder="1" applyAlignment="1">
      <alignment horizontal="right" vertical="center" textRotation="90" wrapText="1"/>
    </xf>
    <xf numFmtId="0" fontId="10" fillId="0" borderId="28" xfId="0" applyFont="1" applyBorder="1" applyAlignment="1">
      <alignment horizontal="center" vertical="center"/>
    </xf>
    <xf numFmtId="0" fontId="10" fillId="12" borderId="28" xfId="0" applyFont="1" applyFill="1" applyBorder="1" applyAlignment="1">
      <alignment horizontal="left" vertical="center" wrapText="1"/>
    </xf>
    <xf numFmtId="0" fontId="47" fillId="4" borderId="36" xfId="0" applyFont="1" applyFill="1" applyBorder="1" applyAlignment="1">
      <alignment horizontal="center" vertical="center" wrapText="1"/>
    </xf>
    <xf numFmtId="0" fontId="47" fillId="4" borderId="26" xfId="0" applyFont="1" applyFill="1" applyBorder="1" applyAlignment="1">
      <alignment horizontal="center" vertical="center" wrapText="1"/>
    </xf>
    <xf numFmtId="0" fontId="47" fillId="4" borderId="33" xfId="0" applyFont="1" applyFill="1" applyBorder="1" applyAlignment="1">
      <alignment horizontal="center" vertical="center" wrapText="1"/>
    </xf>
    <xf numFmtId="0" fontId="92" fillId="4" borderId="0" xfId="0" applyFont="1" applyFill="1" applyAlignment="1">
      <alignment horizontal="left" vertical="center" textRotation="90" wrapText="1"/>
    </xf>
    <xf numFmtId="0" fontId="92" fillId="4" borderId="26" xfId="0" applyFont="1" applyFill="1" applyBorder="1" applyAlignment="1">
      <alignment horizontal="left" vertical="center" textRotation="90" wrapText="1"/>
    </xf>
    <xf numFmtId="0" fontId="59" fillId="4" borderId="26" xfId="0" applyFont="1" applyFill="1" applyBorder="1" applyAlignment="1">
      <alignment horizontal="left" vertical="center" textRotation="90" wrapText="1"/>
    </xf>
    <xf numFmtId="0" fontId="88" fillId="4" borderId="50" xfId="0" applyFont="1" applyFill="1" applyBorder="1" applyAlignment="1">
      <alignment horizontal="center" vertical="center" wrapText="1"/>
    </xf>
    <xf numFmtId="0" fontId="88" fillId="4" borderId="38" xfId="0" applyFont="1" applyFill="1" applyBorder="1" applyAlignment="1">
      <alignment horizontal="center" vertical="center" wrapText="1"/>
    </xf>
    <xf numFmtId="0" fontId="88" fillId="4" borderId="39" xfId="0" applyFont="1" applyFill="1" applyBorder="1" applyAlignment="1">
      <alignment horizontal="center" vertical="center" wrapText="1"/>
    </xf>
    <xf numFmtId="0" fontId="18" fillId="14" borderId="39" xfId="0" applyFont="1" applyFill="1" applyBorder="1" applyAlignment="1">
      <alignment horizontal="left" vertical="center" textRotation="90" wrapText="1"/>
    </xf>
    <xf numFmtId="0" fontId="18" fillId="14" borderId="20" xfId="0" applyFont="1" applyFill="1" applyBorder="1" applyAlignment="1">
      <alignment horizontal="left" vertical="center" textRotation="90" wrapText="1"/>
    </xf>
    <xf numFmtId="0" fontId="18" fillId="14" borderId="21" xfId="0" applyFont="1" applyFill="1" applyBorder="1" applyAlignment="1">
      <alignment horizontal="left" vertical="center" textRotation="90" wrapText="1"/>
    </xf>
    <xf numFmtId="0" fontId="41" fillId="14" borderId="23" xfId="0" applyFont="1" applyFill="1" applyBorder="1" applyAlignment="1">
      <alignment horizontal="left" vertical="center" textRotation="90" wrapText="1"/>
    </xf>
    <xf numFmtId="0" fontId="41" fillId="14" borderId="24" xfId="0" applyFont="1" applyFill="1" applyBorder="1" applyAlignment="1">
      <alignment horizontal="left" vertical="center" textRotation="90" wrapText="1"/>
    </xf>
    <xf numFmtId="0" fontId="5" fillId="6" borderId="14" xfId="0" applyFont="1" applyFill="1" applyBorder="1" applyAlignment="1">
      <alignment horizontal="center" vertical="center"/>
    </xf>
    <xf numFmtId="0" fontId="5" fillId="6" borderId="17" xfId="0" applyFont="1" applyFill="1" applyBorder="1" applyAlignment="1">
      <alignment horizontal="center" vertical="center"/>
    </xf>
    <xf numFmtId="0" fontId="5" fillId="6" borderId="18" xfId="0" applyFont="1" applyFill="1" applyBorder="1" applyAlignment="1">
      <alignment horizontal="center" vertical="center"/>
    </xf>
    <xf numFmtId="0" fontId="3" fillId="4" borderId="50" xfId="0" applyFont="1" applyFill="1" applyBorder="1" applyAlignment="1">
      <alignment horizontal="center" vertical="center" wrapText="1"/>
    </xf>
    <xf numFmtId="0" fontId="3" fillId="4" borderId="38" xfId="0" applyFont="1" applyFill="1" applyBorder="1" applyAlignment="1">
      <alignment horizontal="center" vertical="center" wrapText="1"/>
    </xf>
    <xf numFmtId="0" fontId="3" fillId="4" borderId="48"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3" fillId="4" borderId="0" xfId="0" applyFont="1" applyFill="1" applyAlignment="1">
      <alignment horizontal="center" vertical="center" wrapText="1"/>
    </xf>
    <xf numFmtId="0" fontId="3" fillId="4" borderId="16"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61" fillId="4" borderId="0" xfId="0" applyFont="1" applyFill="1" applyAlignment="1">
      <alignment horizontal="left" vertical="center" textRotation="90" wrapText="1"/>
    </xf>
    <xf numFmtId="0" fontId="92" fillId="4" borderId="14" xfId="0" applyFont="1" applyFill="1" applyBorder="1" applyAlignment="1">
      <alignment horizontal="center" vertical="center" wrapText="1"/>
    </xf>
    <xf numFmtId="0" fontId="92" fillId="4" borderId="17" xfId="0" applyFont="1" applyFill="1" applyBorder="1" applyAlignment="1">
      <alignment horizontal="center" vertical="center" wrapText="1"/>
    </xf>
    <xf numFmtId="0" fontId="4" fillId="14" borderId="18" xfId="0" applyFont="1" applyFill="1" applyBorder="1" applyAlignment="1">
      <alignment horizontal="left" vertical="center" textRotation="90" wrapText="1"/>
    </xf>
    <xf numFmtId="0" fontId="92" fillId="4" borderId="36" xfId="0" applyFont="1" applyFill="1" applyBorder="1" applyAlignment="1">
      <alignment horizontal="center" vertical="center" wrapText="1"/>
    </xf>
    <xf numFmtId="0" fontId="4" fillId="14" borderId="48" xfId="0" applyFont="1" applyFill="1" applyBorder="1" applyAlignment="1">
      <alignment horizontal="center" vertical="center" textRotation="90" wrapText="1"/>
    </xf>
    <xf numFmtId="0" fontId="4" fillId="14" borderId="16" xfId="0" applyFont="1" applyFill="1" applyBorder="1" applyAlignment="1">
      <alignment horizontal="center" vertical="center" textRotation="90" wrapText="1"/>
    </xf>
    <xf numFmtId="0" fontId="4" fillId="14" borderId="33" xfId="0" applyFont="1" applyFill="1" applyBorder="1" applyAlignment="1">
      <alignment horizontal="center" vertical="center" textRotation="90" wrapText="1"/>
    </xf>
    <xf numFmtId="0" fontId="4" fillId="11" borderId="20" xfId="0" applyFont="1" applyFill="1" applyBorder="1" applyAlignment="1">
      <alignment horizontal="center" vertical="center" textRotation="90" wrapText="1"/>
    </xf>
    <xf numFmtId="0" fontId="4" fillId="11" borderId="21" xfId="0" applyFont="1" applyFill="1" applyBorder="1" applyAlignment="1">
      <alignment horizontal="center" vertical="center" textRotation="90" wrapText="1"/>
    </xf>
    <xf numFmtId="0" fontId="23" fillId="18" borderId="37" xfId="0" applyFont="1" applyFill="1" applyBorder="1" applyAlignment="1">
      <alignment horizontal="center" vertical="center" wrapText="1"/>
    </xf>
    <xf numFmtId="0" fontId="23" fillId="18" borderId="38" xfId="0" applyFont="1" applyFill="1" applyBorder="1" applyAlignment="1">
      <alignment horizontal="center" vertical="center" wrapText="1"/>
    </xf>
    <xf numFmtId="0" fontId="61" fillId="4" borderId="20" xfId="0" applyFont="1" applyFill="1" applyBorder="1" applyAlignment="1">
      <alignment horizontal="left" vertical="center" textRotation="90" wrapText="1"/>
    </xf>
    <xf numFmtId="0" fontId="61" fillId="4" borderId="40" xfId="0" applyFont="1" applyFill="1" applyBorder="1" applyAlignment="1">
      <alignment horizontal="left" vertical="center" textRotation="90" wrapText="1"/>
    </xf>
    <xf numFmtId="0" fontId="79" fillId="4" borderId="15" xfId="0" applyFont="1" applyFill="1" applyBorder="1" applyAlignment="1">
      <alignment horizontal="left" vertical="center" textRotation="90" wrapText="1"/>
    </xf>
    <xf numFmtId="0" fontId="4" fillId="4" borderId="0" xfId="0" applyFont="1" applyFill="1" applyAlignment="1">
      <alignment horizontal="left" vertical="center" textRotation="90" wrapText="1"/>
    </xf>
    <xf numFmtId="0" fontId="4" fillId="4" borderId="26" xfId="0" applyFont="1" applyFill="1" applyBorder="1" applyAlignment="1">
      <alignment horizontal="left" vertical="center" textRotation="90" wrapText="1"/>
    </xf>
    <xf numFmtId="0" fontId="86" fillId="6" borderId="12" xfId="0" applyFont="1" applyFill="1" applyBorder="1" applyAlignment="1">
      <alignment horizontal="center" vertical="center"/>
    </xf>
    <xf numFmtId="0" fontId="86" fillId="6" borderId="15" xfId="0" applyFont="1" applyFill="1" applyBorder="1" applyAlignment="1">
      <alignment horizontal="center" vertical="center"/>
    </xf>
    <xf numFmtId="0" fontId="86" fillId="6" borderId="14" xfId="0" applyFont="1" applyFill="1" applyBorder="1" applyAlignment="1">
      <alignment horizontal="center" vertical="center"/>
    </xf>
    <xf numFmtId="0" fontId="86" fillId="6" borderId="17" xfId="0" applyFont="1" applyFill="1" applyBorder="1" applyAlignment="1">
      <alignment horizontal="center" vertical="center"/>
    </xf>
    <xf numFmtId="0" fontId="86" fillId="6" borderId="18" xfId="0" applyFont="1" applyFill="1" applyBorder="1" applyAlignment="1">
      <alignment horizontal="center" vertical="center"/>
    </xf>
    <xf numFmtId="0" fontId="22" fillId="8" borderId="12" xfId="0" applyFont="1" applyFill="1" applyBorder="1" applyAlignment="1">
      <alignment horizontal="center" vertical="center"/>
    </xf>
    <xf numFmtId="0" fontId="4" fillId="14" borderId="14" xfId="0" applyFont="1" applyFill="1" applyBorder="1" applyAlignment="1">
      <alignment horizontal="center" vertical="center" wrapText="1"/>
    </xf>
    <xf numFmtId="0" fontId="4" fillId="14" borderId="17" xfId="0" applyFont="1" applyFill="1" applyBorder="1" applyAlignment="1">
      <alignment horizontal="center" vertical="center" wrapText="1"/>
    </xf>
    <xf numFmtId="0" fontId="4" fillId="14" borderId="18" xfId="0" applyFont="1" applyFill="1" applyBorder="1" applyAlignment="1">
      <alignment horizontal="center" vertical="center" wrapText="1"/>
    </xf>
    <xf numFmtId="0" fontId="41" fillId="4" borderId="39" xfId="0" applyFont="1" applyFill="1" applyBorder="1" applyAlignment="1">
      <alignment horizontal="center" wrapText="1"/>
    </xf>
    <xf numFmtId="0" fontId="42" fillId="6" borderId="14" xfId="0" applyFont="1" applyFill="1" applyBorder="1" applyAlignment="1">
      <alignment horizontal="center" vertical="center"/>
    </xf>
    <xf numFmtId="0" fontId="42" fillId="6" borderId="17" xfId="0" applyFont="1" applyFill="1" applyBorder="1" applyAlignment="1">
      <alignment horizontal="center" vertical="center"/>
    </xf>
    <xf numFmtId="0" fontId="42" fillId="6" borderId="18" xfId="0" applyFont="1" applyFill="1" applyBorder="1" applyAlignment="1">
      <alignment horizontal="center" vertical="center"/>
    </xf>
    <xf numFmtId="0" fontId="18" fillId="4" borderId="36" xfId="0" applyFont="1" applyFill="1" applyBorder="1" applyAlignment="1">
      <alignment horizontal="center" vertical="center" wrapText="1"/>
    </xf>
    <xf numFmtId="0" fontId="6" fillId="14" borderId="13" xfId="0" applyFont="1" applyFill="1" applyBorder="1" applyAlignment="1">
      <alignment horizontal="center" wrapText="1"/>
    </xf>
    <xf numFmtId="0" fontId="6" fillId="14" borderId="16" xfId="0" applyFont="1" applyFill="1" applyBorder="1" applyAlignment="1">
      <alignment horizontal="center" wrapText="1"/>
    </xf>
    <xf numFmtId="0" fontId="4" fillId="14" borderId="13" xfId="0" applyFont="1" applyFill="1" applyBorder="1" applyAlignment="1">
      <alignment horizontal="center" vertical="center" wrapText="1"/>
    </xf>
    <xf numFmtId="0" fontId="4" fillId="14" borderId="16" xfId="0" applyFont="1" applyFill="1" applyBorder="1" applyAlignment="1">
      <alignment horizontal="center" vertical="center" wrapText="1"/>
    </xf>
    <xf numFmtId="0" fontId="4" fillId="29" borderId="36" xfId="0" applyFont="1" applyFill="1" applyBorder="1" applyAlignment="1">
      <alignment horizontal="center" vertical="top" wrapText="1"/>
    </xf>
    <xf numFmtId="0" fontId="4" fillId="29" borderId="26" xfId="0" applyFont="1" applyFill="1" applyBorder="1" applyAlignment="1">
      <alignment horizontal="center" vertical="top" wrapText="1"/>
    </xf>
    <xf numFmtId="0" fontId="4" fillId="29" borderId="33" xfId="0" applyFont="1" applyFill="1" applyBorder="1" applyAlignment="1">
      <alignment horizontal="center" vertical="top" wrapText="1"/>
    </xf>
    <xf numFmtId="0" fontId="4" fillId="4" borderId="16" xfId="0" applyFont="1" applyFill="1" applyBorder="1" applyAlignment="1">
      <alignment horizontal="center" vertical="center" wrapText="1"/>
    </xf>
    <xf numFmtId="0" fontId="6" fillId="11" borderId="39" xfId="0" applyFont="1" applyFill="1" applyBorder="1" applyAlignment="1">
      <alignment horizontal="center" wrapText="1"/>
    </xf>
    <xf numFmtId="0" fontId="4" fillId="11" borderId="17" xfId="0" applyFont="1" applyFill="1" applyBorder="1" applyAlignment="1">
      <alignment horizontal="center" vertical="center" wrapText="1"/>
    </xf>
    <xf numFmtId="0" fontId="4" fillId="11" borderId="21" xfId="0" applyFont="1" applyFill="1" applyBorder="1" applyAlignment="1">
      <alignment horizontal="center" vertical="center" wrapText="1"/>
    </xf>
    <xf numFmtId="0" fontId="6" fillId="29" borderId="50" xfId="0" applyFont="1" applyFill="1" applyBorder="1" applyAlignment="1">
      <alignment horizontal="center" wrapText="1"/>
    </xf>
    <xf numFmtId="0" fontId="6" fillId="29" borderId="38" xfId="0" applyFont="1" applyFill="1" applyBorder="1" applyAlignment="1">
      <alignment horizontal="center" wrapText="1"/>
    </xf>
    <xf numFmtId="0" fontId="6" fillId="29" borderId="48" xfId="0" applyFont="1" applyFill="1" applyBorder="1" applyAlignment="1">
      <alignment horizontal="center" wrapText="1"/>
    </xf>
    <xf numFmtId="0" fontId="19" fillId="27" borderId="0" xfId="0" applyFont="1" applyFill="1" applyAlignment="1">
      <alignment horizontal="center" vertical="center" wrapText="1"/>
    </xf>
    <xf numFmtId="0" fontId="19" fillId="7" borderId="0" xfId="0" applyFont="1" applyFill="1" applyAlignment="1">
      <alignment horizontal="center" vertical="center" wrapText="1"/>
    </xf>
    <xf numFmtId="0" fontId="4" fillId="27" borderId="0" xfId="0" applyFont="1" applyFill="1" applyAlignment="1">
      <alignment horizontal="center" vertical="center" wrapText="1"/>
    </xf>
    <xf numFmtId="0" fontId="4" fillId="7" borderId="0" xfId="0" applyFont="1" applyFill="1" applyAlignment="1">
      <alignment horizontal="center" vertical="center" wrapText="1"/>
    </xf>
    <xf numFmtId="0" fontId="4" fillId="21" borderId="0" xfId="0" applyFont="1" applyFill="1" applyAlignment="1">
      <alignment horizontal="center" vertical="top" wrapText="1"/>
    </xf>
    <xf numFmtId="0" fontId="4" fillId="11" borderId="40" xfId="0" applyFont="1" applyFill="1" applyBorder="1" applyAlignment="1">
      <alignment horizontal="center" vertical="center" wrapText="1"/>
    </xf>
    <xf numFmtId="0" fontId="6" fillId="21" borderId="0" xfId="0" applyFont="1" applyFill="1" applyAlignment="1">
      <alignment horizontal="center" wrapText="1"/>
    </xf>
    <xf numFmtId="0" fontId="40" fillId="11" borderId="53" xfId="0" applyFont="1" applyFill="1" applyBorder="1" applyAlignment="1">
      <alignment horizontal="center" vertical="center" textRotation="90" wrapText="1"/>
    </xf>
    <xf numFmtId="0" fontId="40" fillId="11" borderId="20" xfId="0" applyFont="1" applyFill="1" applyBorder="1" applyAlignment="1">
      <alignment horizontal="center" vertical="center" textRotation="90" wrapText="1"/>
    </xf>
    <xf numFmtId="0" fontId="41" fillId="14" borderId="25" xfId="0" applyFont="1" applyFill="1" applyBorder="1" applyAlignment="1">
      <alignment horizontal="center" vertical="center" textRotation="90" wrapText="1"/>
    </xf>
    <xf numFmtId="43" fontId="41" fillId="11" borderId="23" xfId="6" applyFont="1" applyFill="1" applyBorder="1" applyAlignment="1">
      <alignment horizontal="center" vertical="center" textRotation="90" wrapText="1"/>
    </xf>
    <xf numFmtId="43" fontId="41" fillId="11" borderId="25" xfId="6" applyFont="1" applyFill="1" applyBorder="1" applyAlignment="1">
      <alignment horizontal="center" vertical="center" textRotation="90" wrapText="1"/>
    </xf>
    <xf numFmtId="0" fontId="6" fillId="4" borderId="0" xfId="0" applyFont="1" applyFill="1" applyAlignment="1">
      <alignment horizontal="center" vertical="center"/>
    </xf>
    <xf numFmtId="0" fontId="46" fillId="4" borderId="50" xfId="0" applyFont="1" applyFill="1" applyBorder="1" applyAlignment="1">
      <alignment horizontal="center" wrapText="1"/>
    </xf>
    <xf numFmtId="0" fontId="46" fillId="4" borderId="48" xfId="0" applyFont="1" applyFill="1" applyBorder="1" applyAlignment="1">
      <alignment horizontal="center" wrapText="1"/>
    </xf>
    <xf numFmtId="0" fontId="4" fillId="0" borderId="0" xfId="0" applyFont="1" applyAlignment="1">
      <alignment horizontal="center" vertical="center"/>
    </xf>
    <xf numFmtId="0" fontId="0" fillId="0" borderId="0" xfId="0" applyAlignment="1">
      <alignment horizontal="center" vertical="center"/>
    </xf>
    <xf numFmtId="0" fontId="89" fillId="4" borderId="23" xfId="0" applyFont="1" applyFill="1" applyBorder="1" applyAlignment="1">
      <alignment horizontal="right" vertical="center" textRotation="90" wrapText="1"/>
    </xf>
    <xf numFmtId="0" fontId="89" fillId="4" borderId="25" xfId="0" applyFont="1" applyFill="1" applyBorder="1" applyAlignment="1">
      <alignment horizontal="right" vertical="center" textRotation="90" wrapText="1"/>
    </xf>
    <xf numFmtId="0" fontId="89" fillId="4" borderId="0" xfId="0" applyFont="1" applyFill="1" applyAlignment="1">
      <alignment horizontal="center" vertical="center" textRotation="90" wrapText="1"/>
    </xf>
    <xf numFmtId="0" fontId="89" fillId="4" borderId="26" xfId="0" applyFont="1" applyFill="1" applyBorder="1" applyAlignment="1">
      <alignment horizontal="center" vertical="center" textRotation="90" wrapText="1"/>
    </xf>
    <xf numFmtId="0" fontId="41" fillId="18" borderId="50" xfId="0" applyFont="1" applyFill="1" applyBorder="1" applyAlignment="1">
      <alignment horizontal="center" wrapText="1"/>
    </xf>
    <xf numFmtId="0" fontId="41" fillId="18" borderId="38" xfId="0" applyFont="1" applyFill="1" applyBorder="1" applyAlignment="1">
      <alignment horizontal="center" wrapText="1"/>
    </xf>
    <xf numFmtId="0" fontId="41" fillId="18" borderId="39" xfId="0" applyFont="1" applyFill="1" applyBorder="1" applyAlignment="1">
      <alignment horizontal="center" wrapText="1"/>
    </xf>
    <xf numFmtId="0" fontId="95" fillId="18" borderId="36" xfId="0" applyFont="1" applyFill="1" applyBorder="1" applyAlignment="1">
      <alignment horizontal="center" vertical="center" wrapText="1"/>
    </xf>
    <xf numFmtId="0" fontId="17" fillId="12" borderId="26" xfId="0" applyFont="1" applyFill="1" applyBorder="1" applyAlignment="1">
      <alignment horizontal="center" vertical="center" wrapText="1"/>
    </xf>
    <xf numFmtId="0" fontId="6" fillId="18" borderId="39" xfId="0" applyFont="1" applyFill="1" applyBorder="1" applyAlignment="1">
      <alignment horizontal="center" wrapText="1"/>
    </xf>
    <xf numFmtId="0" fontId="4" fillId="18" borderId="13" xfId="0" applyFont="1" applyFill="1" applyBorder="1" applyAlignment="1">
      <alignment horizontal="center" vertical="center" wrapText="1"/>
    </xf>
    <xf numFmtId="0" fontId="6" fillId="27" borderId="13" xfId="0" applyFont="1" applyFill="1" applyBorder="1" applyAlignment="1">
      <alignment horizontal="center" wrapText="1"/>
    </xf>
    <xf numFmtId="0" fontId="6" fillId="27" borderId="0" xfId="0" applyFont="1" applyFill="1" applyAlignment="1">
      <alignment horizontal="center" wrapText="1"/>
    </xf>
    <xf numFmtId="0" fontId="79" fillId="14" borderId="0" xfId="0" applyFont="1" applyFill="1" applyAlignment="1">
      <alignment horizontal="center" vertical="center" textRotation="90" wrapText="1"/>
    </xf>
    <xf numFmtId="0" fontId="42" fillId="4" borderId="23" xfId="0" applyFont="1" applyFill="1" applyBorder="1" applyAlignment="1">
      <alignment horizontal="left" vertical="center" textRotation="90" wrapText="1"/>
    </xf>
    <xf numFmtId="0" fontId="42" fillId="4" borderId="24" xfId="0" applyFont="1" applyFill="1" applyBorder="1" applyAlignment="1">
      <alignment horizontal="left" vertical="center" textRotation="90" wrapText="1"/>
    </xf>
    <xf numFmtId="0" fontId="38" fillId="4" borderId="39" xfId="0" applyFont="1" applyFill="1" applyBorder="1" applyAlignment="1">
      <alignment horizontal="left" vertical="center" textRotation="90" wrapText="1"/>
    </xf>
    <xf numFmtId="0" fontId="38" fillId="4" borderId="20" xfId="0" applyFont="1" applyFill="1" applyBorder="1" applyAlignment="1">
      <alignment horizontal="left" vertical="center" textRotation="90" wrapText="1"/>
    </xf>
    <xf numFmtId="0" fontId="38" fillId="4" borderId="21" xfId="0" applyFont="1" applyFill="1" applyBorder="1" applyAlignment="1">
      <alignment horizontal="left" vertical="center" textRotation="90" wrapText="1"/>
    </xf>
    <xf numFmtId="0" fontId="3" fillId="14" borderId="39" xfId="0" applyFont="1" applyFill="1" applyBorder="1" applyAlignment="1">
      <alignment horizontal="left" vertical="center" textRotation="90" wrapText="1"/>
    </xf>
    <xf numFmtId="0" fontId="3" fillId="14" borderId="20" xfId="0" applyFont="1" applyFill="1" applyBorder="1" applyAlignment="1">
      <alignment horizontal="left" vertical="center" textRotation="90" wrapText="1"/>
    </xf>
    <xf numFmtId="0" fontId="3" fillId="20" borderId="20" xfId="0" applyFont="1" applyFill="1" applyBorder="1" applyAlignment="1">
      <alignment horizontal="left" vertical="center" textRotation="90" wrapText="1"/>
    </xf>
    <xf numFmtId="0" fontId="3" fillId="20" borderId="40" xfId="0" applyFont="1" applyFill="1" applyBorder="1" applyAlignment="1">
      <alignment horizontal="left" vertical="center" textRotation="90" wrapText="1"/>
    </xf>
    <xf numFmtId="0" fontId="5" fillId="20" borderId="0" xfId="0" applyFont="1" applyFill="1" applyAlignment="1">
      <alignment horizontal="left" vertical="center" textRotation="90" wrapText="1"/>
    </xf>
    <xf numFmtId="0" fontId="28" fillId="12" borderId="60" xfId="0" applyFont="1" applyFill="1" applyBorder="1" applyAlignment="1">
      <alignment horizontal="center" vertical="center" wrapText="1"/>
    </xf>
    <xf numFmtId="0" fontId="28" fillId="12" borderId="54" xfId="0" applyFont="1" applyFill="1" applyBorder="1" applyAlignment="1">
      <alignment horizontal="center" vertical="center" wrapText="1"/>
    </xf>
    <xf numFmtId="0" fontId="5" fillId="12" borderId="3" xfId="0" applyFont="1" applyFill="1" applyBorder="1" applyAlignment="1">
      <alignment horizontal="center" vertical="center"/>
    </xf>
    <xf numFmtId="0" fontId="5" fillId="12" borderId="60" xfId="0" applyFont="1" applyFill="1" applyBorder="1" applyAlignment="1">
      <alignment horizontal="center" vertical="center"/>
    </xf>
    <xf numFmtId="0" fontId="3" fillId="14" borderId="40" xfId="0" applyFont="1" applyFill="1" applyBorder="1" applyAlignment="1">
      <alignment horizontal="left" vertical="center" textRotation="90" wrapText="1"/>
    </xf>
    <xf numFmtId="0" fontId="5" fillId="14" borderId="23" xfId="0" applyFont="1" applyFill="1" applyBorder="1" applyAlignment="1">
      <alignment horizontal="left" vertical="center" textRotation="90" wrapText="1"/>
    </xf>
    <xf numFmtId="0" fontId="5" fillId="14" borderId="25" xfId="0" applyFont="1" applyFill="1" applyBorder="1" applyAlignment="1">
      <alignment horizontal="left" vertical="center" textRotation="90" wrapText="1"/>
    </xf>
    <xf numFmtId="0" fontId="5" fillId="26" borderId="9" xfId="0" applyFont="1" applyFill="1" applyBorder="1" applyAlignment="1">
      <alignment horizontal="center" vertical="center"/>
    </xf>
    <xf numFmtId="0" fontId="5" fillId="26" borderId="83" xfId="0" applyFont="1" applyFill="1" applyBorder="1" applyAlignment="1">
      <alignment horizontal="center" vertical="center"/>
    </xf>
    <xf numFmtId="0" fontId="28" fillId="26" borderId="83" xfId="0" applyFont="1" applyFill="1" applyBorder="1" applyAlignment="1">
      <alignment horizontal="center" vertical="center" wrapText="1"/>
    </xf>
    <xf numFmtId="0" fontId="28" fillId="26" borderId="53" xfId="0" applyFont="1" applyFill="1" applyBorder="1" applyAlignment="1">
      <alignment horizontal="center" vertical="center" wrapText="1"/>
    </xf>
    <xf numFmtId="0" fontId="3" fillId="4" borderId="19" xfId="0" applyFont="1" applyFill="1" applyBorder="1" applyAlignment="1">
      <alignment horizontal="left" vertical="center" textRotation="90" wrapText="1"/>
    </xf>
    <xf numFmtId="0" fontId="3" fillId="4" borderId="20" xfId="0" applyFont="1" applyFill="1" applyBorder="1" applyAlignment="1">
      <alignment horizontal="left" vertical="center" textRotation="90" wrapText="1"/>
    </xf>
    <xf numFmtId="0" fontId="3" fillId="4" borderId="40" xfId="0" applyFont="1" applyFill="1" applyBorder="1" applyAlignment="1">
      <alignment horizontal="left" vertical="center" textRotation="90" wrapText="1"/>
    </xf>
    <xf numFmtId="0" fontId="5" fillId="4" borderId="23" xfId="0" applyFont="1" applyFill="1" applyBorder="1" applyAlignment="1">
      <alignment horizontal="left" vertical="center" textRotation="90" wrapText="1"/>
    </xf>
    <xf numFmtId="0" fontId="5" fillId="4" borderId="25" xfId="0" applyFont="1" applyFill="1" applyBorder="1" applyAlignment="1">
      <alignment horizontal="left" vertical="center" textRotation="90" wrapText="1"/>
    </xf>
    <xf numFmtId="0" fontId="5" fillId="20" borderId="23" xfId="0" applyFont="1" applyFill="1" applyBorder="1" applyAlignment="1">
      <alignment horizontal="left" vertical="center" textRotation="90" wrapText="1"/>
    </xf>
    <xf numFmtId="0" fontId="5" fillId="20" borderId="25" xfId="0" applyFont="1" applyFill="1" applyBorder="1" applyAlignment="1">
      <alignment horizontal="left" vertical="center" textRotation="90" wrapText="1"/>
    </xf>
    <xf numFmtId="0" fontId="41" fillId="6" borderId="5" xfId="0" applyFont="1" applyFill="1" applyBorder="1" applyAlignment="1">
      <alignment horizontal="center" vertical="center"/>
    </xf>
    <xf numFmtId="0" fontId="41" fillId="6" borderId="15" xfId="0" applyFont="1" applyFill="1" applyBorder="1" applyAlignment="1">
      <alignment horizontal="center" vertical="center"/>
    </xf>
    <xf numFmtId="0" fontId="41" fillId="6" borderId="17" xfId="0" applyFont="1" applyFill="1" applyBorder="1" applyAlignment="1">
      <alignment horizontal="center" vertical="center"/>
    </xf>
    <xf numFmtId="0" fontId="41" fillId="6" borderId="18" xfId="0" applyFont="1" applyFill="1" applyBorder="1" applyAlignment="1">
      <alignment horizontal="center" vertical="center"/>
    </xf>
    <xf numFmtId="0" fontId="3" fillId="4" borderId="39" xfId="0" applyFont="1" applyFill="1" applyBorder="1" applyAlignment="1">
      <alignment horizontal="left" vertical="center" textRotation="90" wrapText="1"/>
    </xf>
    <xf numFmtId="0" fontId="3" fillId="4" borderId="21" xfId="0" applyFont="1" applyFill="1" applyBorder="1" applyAlignment="1">
      <alignment horizontal="left" vertical="center" textRotation="90" wrapText="1"/>
    </xf>
    <xf numFmtId="0" fontId="5" fillId="4" borderId="0" xfId="0" applyFont="1" applyFill="1" applyAlignment="1">
      <alignment horizontal="left" vertical="center" textRotation="90" wrapText="1"/>
    </xf>
    <xf numFmtId="0" fontId="5" fillId="4" borderId="17" xfId="0" applyFont="1" applyFill="1" applyBorder="1" applyAlignment="1">
      <alignment horizontal="left" vertical="center" textRotation="90" wrapText="1"/>
    </xf>
    <xf numFmtId="0" fontId="5" fillId="4" borderId="13" xfId="0" applyFont="1" applyFill="1" applyBorder="1" applyAlignment="1">
      <alignment horizontal="left" vertical="center" textRotation="90" wrapText="1"/>
    </xf>
    <xf numFmtId="0" fontId="5" fillId="4" borderId="14" xfId="0" applyFont="1" applyFill="1" applyBorder="1" applyAlignment="1">
      <alignment horizontal="left" vertical="center" textRotation="90" wrapText="1"/>
    </xf>
    <xf numFmtId="0" fontId="66" fillId="4" borderId="0" xfId="0" applyFont="1" applyFill="1" applyAlignment="1">
      <alignment horizontal="left" vertical="center" textRotation="90" wrapText="1"/>
    </xf>
    <xf numFmtId="0" fontId="66" fillId="4" borderId="26" xfId="0" applyFont="1" applyFill="1" applyBorder="1" applyAlignment="1">
      <alignment horizontal="left" vertical="center" textRotation="90" wrapText="1"/>
    </xf>
    <xf numFmtId="0" fontId="24" fillId="0" borderId="56" xfId="0" applyFont="1" applyBorder="1" applyAlignment="1">
      <alignment horizontal="left" vertical="center"/>
    </xf>
    <xf numFmtId="0" fontId="24" fillId="0" borderId="83" xfId="0" applyFont="1" applyBorder="1" applyAlignment="1">
      <alignment horizontal="left" vertical="center"/>
    </xf>
    <xf numFmtId="0" fontId="24" fillId="0" borderId="84" xfId="0" applyFont="1" applyBorder="1" applyAlignment="1">
      <alignment horizontal="left" vertical="center"/>
    </xf>
    <xf numFmtId="0" fontId="16" fillId="4" borderId="16" xfId="0" applyFont="1" applyFill="1" applyBorder="1" applyAlignment="1">
      <alignment horizontal="left" vertical="center" textRotation="90" wrapText="1"/>
    </xf>
    <xf numFmtId="0" fontId="16" fillId="4" borderId="18" xfId="0" applyFont="1" applyFill="1" applyBorder="1" applyAlignment="1">
      <alignment horizontal="left" vertical="center" textRotation="90" wrapText="1"/>
    </xf>
    <xf numFmtId="0" fontId="24" fillId="0" borderId="56" xfId="0" applyFont="1" applyBorder="1" applyAlignment="1">
      <alignment horizontal="center" vertical="center"/>
    </xf>
    <xf numFmtId="0" fontId="24" fillId="0" borderId="83" xfId="0" applyFont="1" applyBorder="1" applyAlignment="1">
      <alignment horizontal="center" vertical="center"/>
    </xf>
    <xf numFmtId="0" fontId="24" fillId="0" borderId="53" xfId="0" applyFont="1" applyBorder="1" applyAlignment="1">
      <alignment horizontal="center" vertical="center"/>
    </xf>
    <xf numFmtId="0" fontId="12" fillId="8" borderId="28" xfId="0" applyFont="1" applyFill="1" applyBorder="1" applyAlignment="1">
      <alignment horizontal="left" vertical="center"/>
    </xf>
    <xf numFmtId="0" fontId="12" fillId="8" borderId="29" xfId="0" applyFont="1" applyFill="1" applyBorder="1" applyAlignment="1">
      <alignment horizontal="left" vertical="center"/>
    </xf>
    <xf numFmtId="0" fontId="24" fillId="0" borderId="8" xfId="0" applyFont="1" applyBorder="1" applyAlignment="1">
      <alignment horizontal="center" vertical="center"/>
    </xf>
    <xf numFmtId="0" fontId="24" fillId="0" borderId="57" xfId="0" applyFont="1" applyBorder="1" applyAlignment="1">
      <alignment horizontal="center" vertical="center"/>
    </xf>
    <xf numFmtId="0" fontId="24" fillId="0" borderId="52" xfId="0" applyFont="1" applyBorder="1" applyAlignment="1">
      <alignment horizontal="center" vertical="center"/>
    </xf>
    <xf numFmtId="0" fontId="41" fillId="4" borderId="23" xfId="0" applyFont="1" applyFill="1" applyBorder="1" applyAlignment="1">
      <alignment horizontal="left" vertical="center" textRotation="90" wrapText="1"/>
    </xf>
    <xf numFmtId="0" fontId="41" fillId="4" borderId="24" xfId="0" applyFont="1" applyFill="1" applyBorder="1" applyAlignment="1">
      <alignment horizontal="left" vertical="center" textRotation="90" wrapText="1"/>
    </xf>
    <xf numFmtId="0" fontId="6" fillId="14" borderId="17" xfId="0" applyFont="1" applyFill="1" applyBorder="1" applyAlignment="1">
      <alignment horizontal="left" vertical="center" textRotation="90" wrapText="1"/>
    </xf>
    <xf numFmtId="0" fontId="24" fillId="0" borderId="8" xfId="0" applyFont="1" applyBorder="1" applyAlignment="1">
      <alignment horizontal="left" vertical="center"/>
    </xf>
    <xf numFmtId="0" fontId="24" fillId="0" borderId="57" xfId="0" applyFont="1" applyBorder="1" applyAlignment="1">
      <alignment horizontal="left" vertical="center"/>
    </xf>
    <xf numFmtId="0" fontId="24" fillId="0" borderId="64" xfId="0" applyFont="1" applyBorder="1" applyAlignment="1">
      <alignment horizontal="left" vertical="center"/>
    </xf>
    <xf numFmtId="0" fontId="12" fillId="8" borderId="55" xfId="0" applyFont="1" applyFill="1" applyBorder="1" applyAlignment="1">
      <alignment horizontal="center" vertical="center"/>
    </xf>
    <xf numFmtId="0" fontId="12" fillId="8" borderId="60" xfId="0" applyFont="1" applyFill="1" applyBorder="1" applyAlignment="1">
      <alignment horizontal="center" vertical="center"/>
    </xf>
    <xf numFmtId="0" fontId="12" fillId="8" borderId="54" xfId="0" applyFont="1" applyFill="1" applyBorder="1" applyAlignment="1">
      <alignment horizontal="center" vertical="center"/>
    </xf>
    <xf numFmtId="0" fontId="90" fillId="4" borderId="39" xfId="0" applyFont="1" applyFill="1" applyBorder="1" applyAlignment="1">
      <alignment horizontal="left" vertical="center" textRotation="90" wrapText="1"/>
    </xf>
    <xf numFmtId="0" fontId="90" fillId="4" borderId="20" xfId="0" applyFont="1" applyFill="1" applyBorder="1" applyAlignment="1">
      <alignment horizontal="left" vertical="center" textRotation="90" wrapText="1"/>
    </xf>
    <xf numFmtId="0" fontId="89" fillId="4" borderId="13" xfId="0" applyFont="1" applyFill="1" applyBorder="1" applyAlignment="1">
      <alignment horizontal="left" vertical="center" textRotation="90" wrapText="1"/>
    </xf>
    <xf numFmtId="0" fontId="89" fillId="4" borderId="14" xfId="0" applyFont="1" applyFill="1" applyBorder="1" applyAlignment="1">
      <alignment horizontal="left" vertical="center" textRotation="90" wrapText="1"/>
    </xf>
    <xf numFmtId="0" fontId="3" fillId="14" borderId="21" xfId="0" applyFont="1" applyFill="1" applyBorder="1" applyAlignment="1">
      <alignment horizontal="left" vertical="center" textRotation="90" wrapText="1"/>
    </xf>
    <xf numFmtId="0" fontId="6" fillId="20" borderId="23" xfId="0" applyFont="1" applyFill="1" applyBorder="1" applyAlignment="1">
      <alignment horizontal="left" vertical="center" textRotation="90" wrapText="1"/>
    </xf>
    <xf numFmtId="0" fontId="38" fillId="20" borderId="19" xfId="0" applyFont="1" applyFill="1" applyBorder="1" applyAlignment="1">
      <alignment horizontal="left" vertical="center" textRotation="90" wrapText="1"/>
    </xf>
    <xf numFmtId="0" fontId="38" fillId="20" borderId="20" xfId="0" applyFont="1" applyFill="1" applyBorder="1" applyAlignment="1">
      <alignment horizontal="left" vertical="center" textRotation="90" wrapText="1"/>
    </xf>
    <xf numFmtId="0" fontId="38" fillId="20" borderId="40" xfId="0" applyFont="1" applyFill="1" applyBorder="1" applyAlignment="1">
      <alignment horizontal="left" vertical="center" textRotation="90" wrapText="1"/>
    </xf>
    <xf numFmtId="0" fontId="3" fillId="20" borderId="15" xfId="0" applyFont="1" applyFill="1" applyBorder="1" applyAlignment="1">
      <alignment horizontal="left" vertical="center" textRotation="90" wrapText="1"/>
    </xf>
    <xf numFmtId="0" fontId="3" fillId="20" borderId="16" xfId="0" applyFont="1" applyFill="1" applyBorder="1" applyAlignment="1">
      <alignment horizontal="left" vertical="center" textRotation="90" wrapText="1"/>
    </xf>
    <xf numFmtId="0" fontId="3" fillId="20" borderId="33" xfId="0" applyFont="1" applyFill="1" applyBorder="1" applyAlignment="1">
      <alignment horizontal="left" vertical="center" textRotation="90" wrapText="1"/>
    </xf>
    <xf numFmtId="0" fontId="6" fillId="20" borderId="25" xfId="0" applyFont="1" applyFill="1" applyBorder="1" applyAlignment="1">
      <alignment horizontal="left" vertical="center" textRotation="90" wrapText="1"/>
    </xf>
    <xf numFmtId="0" fontId="37" fillId="4" borderId="19" xfId="0" applyFont="1" applyFill="1" applyBorder="1" applyAlignment="1">
      <alignment horizontal="left" vertical="center" textRotation="90" wrapText="1"/>
    </xf>
    <xf numFmtId="0" fontId="37" fillId="4" borderId="20" xfId="0" applyFont="1" applyFill="1" applyBorder="1" applyAlignment="1">
      <alignment horizontal="left" vertical="center" textRotation="90" wrapText="1"/>
    </xf>
    <xf numFmtId="0" fontId="37" fillId="4" borderId="40" xfId="0" applyFont="1" applyFill="1" applyBorder="1" applyAlignment="1">
      <alignment horizontal="left" vertical="center" textRotation="90" wrapText="1"/>
    </xf>
    <xf numFmtId="0" fontId="3" fillId="14" borderId="19" xfId="0" applyFont="1" applyFill="1" applyBorder="1" applyAlignment="1">
      <alignment horizontal="left" vertical="center" textRotation="90" wrapText="1"/>
    </xf>
    <xf numFmtId="0" fontId="24" fillId="0" borderId="32" xfId="0" applyFont="1" applyBorder="1" applyAlignment="1">
      <alignment horizontal="left" vertical="center"/>
    </xf>
    <xf numFmtId="0" fontId="24" fillId="0" borderId="35" xfId="0" applyFont="1" applyBorder="1" applyAlignment="1">
      <alignment horizontal="left" vertical="center"/>
    </xf>
    <xf numFmtId="0" fontId="24" fillId="0" borderId="32" xfId="0" applyFont="1" applyBorder="1" applyAlignment="1">
      <alignment horizontal="center" vertical="center"/>
    </xf>
    <xf numFmtId="0" fontId="3" fillId="20" borderId="39" xfId="0" applyFont="1" applyFill="1" applyBorder="1" applyAlignment="1">
      <alignment horizontal="left" vertical="center" textRotation="90" wrapText="1"/>
    </xf>
    <xf numFmtId="0" fontId="3" fillId="20" borderId="21" xfId="0" applyFont="1" applyFill="1" applyBorder="1" applyAlignment="1">
      <alignment horizontal="left" vertical="center" textRotation="90" wrapText="1"/>
    </xf>
    <xf numFmtId="0" fontId="3" fillId="20" borderId="19" xfId="0" applyFont="1" applyFill="1" applyBorder="1" applyAlignment="1">
      <alignment horizontal="left" vertical="center" textRotation="90" wrapText="1"/>
    </xf>
    <xf numFmtId="0" fontId="89" fillId="4" borderId="23" xfId="0" applyFont="1" applyFill="1" applyBorder="1" applyAlignment="1">
      <alignment horizontal="center" vertical="center" textRotation="90" wrapText="1"/>
    </xf>
    <xf numFmtId="0" fontId="6" fillId="26" borderId="9" xfId="0" applyFont="1" applyFill="1" applyBorder="1" applyAlignment="1">
      <alignment horizontal="center" vertical="center"/>
    </xf>
    <xf numFmtId="0" fontId="6" fillId="26" borderId="83" xfId="0" applyFont="1" applyFill="1" applyBorder="1" applyAlignment="1">
      <alignment horizontal="center" vertical="center"/>
    </xf>
    <xf numFmtId="0" fontId="3" fillId="14" borderId="0" xfId="0" applyFont="1" applyFill="1" applyAlignment="1">
      <alignment horizontal="left" vertical="center" textRotation="90" wrapText="1"/>
    </xf>
    <xf numFmtId="0" fontId="41" fillId="20" borderId="23" xfId="0" applyFont="1" applyFill="1" applyBorder="1" applyAlignment="1">
      <alignment horizontal="left" vertical="center" textRotation="90" wrapText="1"/>
    </xf>
    <xf numFmtId="0" fontId="41" fillId="20" borderId="25" xfId="0" applyFont="1" applyFill="1" applyBorder="1" applyAlignment="1">
      <alignment horizontal="left" vertical="center" textRotation="90" wrapText="1"/>
    </xf>
    <xf numFmtId="0" fontId="24" fillId="0" borderId="1" xfId="0" applyFont="1" applyBorder="1" applyAlignment="1">
      <alignment horizontal="center" vertical="center"/>
    </xf>
    <xf numFmtId="0" fontId="6" fillId="12" borderId="3" xfId="0" applyFont="1" applyFill="1" applyBorder="1" applyAlignment="1">
      <alignment horizontal="center" vertical="center"/>
    </xf>
    <xf numFmtId="0" fontId="6" fillId="12" borderId="60" xfId="0" applyFont="1" applyFill="1" applyBorder="1" applyAlignment="1">
      <alignment horizontal="center" vertical="center"/>
    </xf>
    <xf numFmtId="0" fontId="24" fillId="0" borderId="1" xfId="0" applyFont="1" applyBorder="1" applyAlignment="1">
      <alignment horizontal="left" vertical="center"/>
    </xf>
    <xf numFmtId="0" fontId="24" fillId="0" borderId="34" xfId="0" applyFont="1" applyBorder="1" applyAlignment="1">
      <alignment horizontal="left" vertical="center"/>
    </xf>
    <xf numFmtId="0" fontId="24" fillId="12" borderId="43" xfId="0" applyFont="1" applyFill="1" applyBorder="1" applyAlignment="1">
      <alignment horizontal="left" vertical="center" wrapText="1"/>
    </xf>
    <xf numFmtId="0" fontId="24" fillId="12" borderId="57" xfId="0" applyFont="1" applyFill="1" applyBorder="1" applyAlignment="1">
      <alignment horizontal="left" vertical="center" wrapText="1"/>
    </xf>
    <xf numFmtId="0" fontId="24" fillId="12" borderId="52" xfId="0" applyFont="1" applyFill="1" applyBorder="1" applyAlignment="1">
      <alignment horizontal="left" vertical="center" wrapText="1"/>
    </xf>
    <xf numFmtId="0" fontId="5" fillId="14" borderId="24" xfId="0" applyFont="1" applyFill="1" applyBorder="1" applyAlignment="1">
      <alignment horizontal="left" vertical="center" textRotation="90" wrapText="1"/>
    </xf>
    <xf numFmtId="0" fontId="5" fillId="14" borderId="13" xfId="0" applyFont="1" applyFill="1" applyBorder="1" applyAlignment="1">
      <alignment horizontal="left" vertical="center" textRotation="90" wrapText="1"/>
    </xf>
    <xf numFmtId="0" fontId="5" fillId="14" borderId="36" xfId="0" applyFont="1" applyFill="1" applyBorder="1" applyAlignment="1">
      <alignment horizontal="left" vertical="center" textRotation="90" wrapText="1"/>
    </xf>
    <xf numFmtId="0" fontId="5" fillId="20" borderId="24" xfId="0" applyFont="1" applyFill="1" applyBorder="1" applyAlignment="1">
      <alignment horizontal="left" vertical="center" textRotation="90" wrapText="1"/>
    </xf>
    <xf numFmtId="0" fontId="6" fillId="6" borderId="5" xfId="0" applyFont="1" applyFill="1" applyBorder="1" applyAlignment="1">
      <alignment horizontal="center" vertical="center"/>
    </xf>
    <xf numFmtId="0" fontId="6" fillId="6" borderId="15" xfId="0" applyFont="1" applyFill="1" applyBorder="1" applyAlignment="1">
      <alignment horizontal="center" vertical="center"/>
    </xf>
    <xf numFmtId="0" fontId="6" fillId="6" borderId="17" xfId="0" applyFont="1" applyFill="1" applyBorder="1" applyAlignment="1">
      <alignment horizontal="center" vertical="center"/>
    </xf>
    <xf numFmtId="0" fontId="6" fillId="6" borderId="18" xfId="0" applyFont="1" applyFill="1" applyBorder="1" applyAlignment="1">
      <alignment horizontal="center" vertical="center"/>
    </xf>
    <xf numFmtId="0" fontId="12" fillId="8" borderId="3" xfId="0" applyFont="1" applyFill="1" applyBorder="1" applyAlignment="1">
      <alignment horizontal="left" vertical="center"/>
    </xf>
    <xf numFmtId="0" fontId="12" fillId="8" borderId="60" xfId="0" applyFont="1" applyFill="1" applyBorder="1" applyAlignment="1">
      <alignment horizontal="left" vertical="center"/>
    </xf>
    <xf numFmtId="0" fontId="12" fillId="8" borderId="54" xfId="0" applyFont="1" applyFill="1" applyBorder="1" applyAlignment="1">
      <alignment horizontal="left" vertical="center"/>
    </xf>
    <xf numFmtId="0" fontId="42" fillId="4" borderId="13" xfId="0" applyFont="1" applyFill="1" applyBorder="1" applyAlignment="1">
      <alignment horizontal="left" vertical="center" textRotation="90" wrapText="1"/>
    </xf>
    <xf numFmtId="0" fontId="42" fillId="4" borderId="14" xfId="0" applyFont="1" applyFill="1" applyBorder="1" applyAlignment="1">
      <alignment horizontal="left" vertical="center" textRotation="90" wrapText="1"/>
    </xf>
    <xf numFmtId="0" fontId="3" fillId="4" borderId="16" xfId="0" applyFont="1" applyFill="1" applyBorder="1" applyAlignment="1">
      <alignment horizontal="left" vertical="center" textRotation="90" wrapText="1"/>
    </xf>
    <xf numFmtId="0" fontId="3" fillId="4" borderId="18" xfId="0" applyFont="1" applyFill="1" applyBorder="1" applyAlignment="1">
      <alignment horizontal="left" vertical="center" textRotation="90" wrapText="1"/>
    </xf>
    <xf numFmtId="0" fontId="5" fillId="4" borderId="24" xfId="0" applyFont="1" applyFill="1" applyBorder="1" applyAlignment="1">
      <alignment horizontal="left" vertical="center" textRotation="90" wrapText="1"/>
    </xf>
    <xf numFmtId="0" fontId="12" fillId="8" borderId="28" xfId="0" applyFont="1" applyFill="1" applyBorder="1" applyAlignment="1">
      <alignment horizontal="center" vertical="center"/>
    </xf>
    <xf numFmtId="0" fontId="12" fillId="8" borderId="29" xfId="0" applyFont="1" applyFill="1" applyBorder="1" applyAlignment="1">
      <alignment horizontal="center" vertical="center"/>
    </xf>
    <xf numFmtId="0" fontId="81" fillId="4" borderId="19" xfId="0" applyFont="1" applyFill="1" applyBorder="1" applyAlignment="1">
      <alignment horizontal="left" vertical="center" textRotation="90" wrapText="1"/>
    </xf>
    <xf numFmtId="0" fontId="81" fillId="4" borderId="20" xfId="0" applyFont="1" applyFill="1" applyBorder="1" applyAlignment="1">
      <alignment horizontal="left" vertical="center" textRotation="90" wrapText="1"/>
    </xf>
    <xf numFmtId="0" fontId="81" fillId="4" borderId="40" xfId="0" applyFont="1" applyFill="1" applyBorder="1" applyAlignment="1">
      <alignment horizontal="left" vertical="center" textRotation="90" wrapText="1"/>
    </xf>
    <xf numFmtId="0" fontId="80" fillId="4" borderId="23" xfId="0" applyFont="1" applyFill="1" applyBorder="1" applyAlignment="1">
      <alignment horizontal="left" vertical="center" textRotation="90" wrapText="1"/>
    </xf>
    <xf numFmtId="0" fontId="80" fillId="4" borderId="25" xfId="0" applyFont="1" applyFill="1" applyBorder="1" applyAlignment="1">
      <alignment horizontal="left" vertical="center" textRotation="90" wrapText="1"/>
    </xf>
    <xf numFmtId="0" fontId="65" fillId="4" borderId="15" xfId="0" applyFont="1" applyFill="1" applyBorder="1" applyAlignment="1">
      <alignment horizontal="left" vertical="center" textRotation="90" wrapText="1"/>
    </xf>
    <xf numFmtId="0" fontId="65" fillId="4" borderId="16" xfId="0" applyFont="1" applyFill="1" applyBorder="1" applyAlignment="1">
      <alignment horizontal="left" vertical="center" textRotation="90" wrapText="1"/>
    </xf>
    <xf numFmtId="0" fontId="65" fillId="4" borderId="33" xfId="0" applyFont="1" applyFill="1" applyBorder="1" applyAlignment="1">
      <alignment horizontal="left" vertical="center" textRotation="90" wrapText="1"/>
    </xf>
    <xf numFmtId="0" fontId="81" fillId="4" borderId="48" xfId="0" applyFont="1" applyFill="1" applyBorder="1" applyAlignment="1">
      <alignment horizontal="left" vertical="center" textRotation="90" wrapText="1"/>
    </xf>
    <xf numFmtId="0" fontId="81" fillId="4" borderId="16" xfId="0" applyFont="1" applyFill="1" applyBorder="1" applyAlignment="1">
      <alignment horizontal="left" vertical="center" textRotation="90" wrapText="1"/>
    </xf>
    <xf numFmtId="0" fontId="81" fillId="4" borderId="18" xfId="0" applyFont="1" applyFill="1" applyBorder="1" applyAlignment="1">
      <alignment horizontal="left" vertical="center" textRotation="90" wrapText="1"/>
    </xf>
    <xf numFmtId="0" fontId="80" fillId="4" borderId="24" xfId="0" applyFont="1" applyFill="1" applyBorder="1" applyAlignment="1">
      <alignment horizontal="left" vertical="center" textRotation="90" wrapText="1"/>
    </xf>
    <xf numFmtId="0" fontId="3" fillId="20" borderId="48" xfId="0" applyFont="1" applyFill="1" applyBorder="1" applyAlignment="1">
      <alignment horizontal="left" vertical="center" textRotation="90" wrapText="1"/>
    </xf>
    <xf numFmtId="0" fontId="3" fillId="20" borderId="18" xfId="0" applyFont="1" applyFill="1" applyBorder="1" applyAlignment="1">
      <alignment horizontal="left" vertical="center" textRotation="90" wrapText="1"/>
    </xf>
    <xf numFmtId="0" fontId="6" fillId="20" borderId="24" xfId="0" applyFont="1" applyFill="1" applyBorder="1" applyAlignment="1">
      <alignment horizontal="left" vertical="center" textRotation="90" wrapText="1"/>
    </xf>
    <xf numFmtId="0" fontId="42" fillId="4" borderId="0" xfId="0" applyFont="1" applyFill="1" applyAlignment="1">
      <alignment horizontal="left" vertical="center" textRotation="90" wrapText="1"/>
    </xf>
    <xf numFmtId="0" fontId="42" fillId="4" borderId="17" xfId="0" applyFont="1" applyFill="1" applyBorder="1" applyAlignment="1">
      <alignment horizontal="left" vertical="center" textRotation="90" wrapText="1"/>
    </xf>
    <xf numFmtId="0" fontId="24" fillId="0" borderId="52" xfId="0" applyFont="1" applyBorder="1" applyAlignment="1">
      <alignment horizontal="left" vertical="center"/>
    </xf>
    <xf numFmtId="0" fontId="38" fillId="4" borderId="48" xfId="0" applyFont="1" applyFill="1" applyBorder="1" applyAlignment="1">
      <alignment horizontal="left" vertical="center" textRotation="90" wrapText="1"/>
    </xf>
    <xf numFmtId="0" fontId="38" fillId="4" borderId="16" xfId="0" applyFont="1" applyFill="1" applyBorder="1" applyAlignment="1">
      <alignment horizontal="left" vertical="center" textRotation="90" wrapText="1"/>
    </xf>
    <xf numFmtId="0" fontId="38" fillId="4" borderId="18" xfId="0" applyFont="1" applyFill="1" applyBorder="1" applyAlignment="1">
      <alignment horizontal="left" vertical="center" textRotation="90" wrapText="1"/>
    </xf>
    <xf numFmtId="0" fontId="13" fillId="8" borderId="3" xfId="0" applyFont="1" applyFill="1" applyBorder="1" applyAlignment="1">
      <alignment horizontal="left" vertical="center"/>
    </xf>
    <xf numFmtId="0" fontId="13" fillId="8" borderId="60" xfId="0" applyFont="1" applyFill="1" applyBorder="1" applyAlignment="1">
      <alignment horizontal="left" vertical="center"/>
    </xf>
    <xf numFmtId="0" fontId="13" fillId="8" borderId="54" xfId="0" applyFont="1" applyFill="1" applyBorder="1" applyAlignment="1">
      <alignment horizontal="left" vertical="center"/>
    </xf>
    <xf numFmtId="0" fontId="63" fillId="12" borderId="43" xfId="0" applyFont="1" applyFill="1" applyBorder="1" applyAlignment="1">
      <alignment horizontal="left" vertical="center" wrapText="1"/>
    </xf>
    <xf numFmtId="0" fontId="63" fillId="12" borderId="57" xfId="0" applyFont="1" applyFill="1" applyBorder="1" applyAlignment="1">
      <alignment horizontal="left" vertical="center" wrapText="1"/>
    </xf>
    <xf numFmtId="0" fontId="63" fillId="12" borderId="52" xfId="0" applyFont="1" applyFill="1" applyBorder="1" applyAlignment="1">
      <alignment horizontal="left" vertical="center" wrapText="1"/>
    </xf>
    <xf numFmtId="0" fontId="24" fillId="12" borderId="9" xfId="0" applyFont="1" applyFill="1" applyBorder="1" applyAlignment="1">
      <alignment horizontal="left" vertical="center" wrapText="1"/>
    </xf>
    <xf numFmtId="0" fontId="24" fillId="12" borderId="83" xfId="0" applyFont="1" applyFill="1" applyBorder="1" applyAlignment="1">
      <alignment horizontal="left" vertical="center" wrapText="1"/>
    </xf>
    <xf numFmtId="0" fontId="24" fillId="12" borderId="53" xfId="0" applyFont="1" applyFill="1" applyBorder="1" applyAlignment="1">
      <alignment horizontal="left" vertical="center" wrapText="1"/>
    </xf>
    <xf numFmtId="0" fontId="38" fillId="20" borderId="39" xfId="0" applyFont="1" applyFill="1" applyBorder="1" applyAlignment="1">
      <alignment horizontal="left" vertical="center" textRotation="90" wrapText="1"/>
    </xf>
    <xf numFmtId="0" fontId="38" fillId="20" borderId="21" xfId="0" applyFont="1" applyFill="1" applyBorder="1" applyAlignment="1">
      <alignment horizontal="left" vertical="center" textRotation="90" wrapText="1"/>
    </xf>
    <xf numFmtId="0" fontId="6" fillId="26" borderId="14" xfId="0" applyFont="1" applyFill="1" applyBorder="1" applyAlignment="1">
      <alignment horizontal="center" vertical="center"/>
    </xf>
    <xf numFmtId="0" fontId="6" fillId="26" borderId="17" xfId="0" applyFont="1" applyFill="1" applyBorder="1" applyAlignment="1">
      <alignment horizontal="center" vertical="center"/>
    </xf>
    <xf numFmtId="0" fontId="90" fillId="4" borderId="15" xfId="0" applyFont="1" applyFill="1" applyBorder="1" applyAlignment="1">
      <alignment horizontal="left" vertical="center" textRotation="90" wrapText="1"/>
    </xf>
    <xf numFmtId="0" fontId="90" fillId="4" borderId="16" xfId="0" applyFont="1" applyFill="1" applyBorder="1" applyAlignment="1">
      <alignment horizontal="left" vertical="center" textRotation="90" wrapText="1"/>
    </xf>
    <xf numFmtId="0" fontId="24" fillId="0" borderId="53" xfId="0" applyFont="1" applyBorder="1" applyAlignment="1">
      <alignment horizontal="left" vertical="center"/>
    </xf>
    <xf numFmtId="0" fontId="6" fillId="20" borderId="23" xfId="0" applyFont="1" applyFill="1" applyBorder="1" applyAlignment="1">
      <alignment horizontal="center" vertical="center" textRotation="90" wrapText="1"/>
    </xf>
    <xf numFmtId="0" fontId="6" fillId="20" borderId="25" xfId="0" applyFont="1" applyFill="1" applyBorder="1" applyAlignment="1">
      <alignment horizontal="center" vertical="center" textRotation="90" wrapText="1"/>
    </xf>
    <xf numFmtId="0" fontId="38" fillId="14" borderId="20" xfId="0" applyFont="1" applyFill="1" applyBorder="1" applyAlignment="1">
      <alignment horizontal="left" vertical="center" textRotation="90" wrapText="1"/>
    </xf>
    <xf numFmtId="0" fontId="38" fillId="14" borderId="21" xfId="0" applyFont="1" applyFill="1" applyBorder="1" applyAlignment="1">
      <alignment horizontal="left" vertical="center" textRotation="90" wrapText="1"/>
    </xf>
    <xf numFmtId="0" fontId="41" fillId="14" borderId="0" xfId="0" applyFont="1" applyFill="1" applyAlignment="1">
      <alignment horizontal="left" vertical="center" textRotation="90" wrapText="1"/>
    </xf>
    <xf numFmtId="0" fontId="41" fillId="14" borderId="17" xfId="0" applyFont="1" applyFill="1" applyBorder="1" applyAlignment="1">
      <alignment horizontal="left" vertical="center" textRotation="90" wrapText="1"/>
    </xf>
    <xf numFmtId="0" fontId="41" fillId="4" borderId="0" xfId="0" applyFont="1" applyFill="1" applyAlignment="1">
      <alignment horizontal="left" vertical="center" textRotation="90" wrapText="1"/>
    </xf>
    <xf numFmtId="0" fontId="41" fillId="4" borderId="17" xfId="0" applyFont="1" applyFill="1" applyBorder="1" applyAlignment="1">
      <alignment horizontal="left" vertical="center" textRotation="90" wrapText="1"/>
    </xf>
    <xf numFmtId="0" fontId="38" fillId="14" borderId="19" xfId="0" applyFont="1" applyFill="1" applyBorder="1" applyAlignment="1">
      <alignment horizontal="left" vertical="center" textRotation="90" wrapText="1"/>
    </xf>
    <xf numFmtId="0" fontId="6" fillId="4" borderId="22" xfId="0" applyFont="1" applyFill="1" applyBorder="1" applyAlignment="1">
      <alignment horizontal="center" vertical="center" textRotation="90" wrapText="1"/>
    </xf>
    <xf numFmtId="0" fontId="6" fillId="4" borderId="5" xfId="0" applyFont="1" applyFill="1" applyBorder="1" applyAlignment="1">
      <alignment horizontal="center" vertical="center" textRotation="90" wrapText="1"/>
    </xf>
    <xf numFmtId="0" fontId="42" fillId="12" borderId="12" xfId="0" applyFont="1" applyFill="1" applyBorder="1" applyAlignment="1">
      <alignment horizontal="center" wrapText="1"/>
    </xf>
    <xf numFmtId="0" fontId="42" fillId="12" borderId="5" xfId="0" applyFont="1" applyFill="1" applyBorder="1" applyAlignment="1">
      <alignment horizontal="center" wrapText="1"/>
    </xf>
    <xf numFmtId="0" fontId="42" fillId="12" borderId="15" xfId="0" applyFont="1" applyFill="1" applyBorder="1" applyAlignment="1">
      <alignment horizontal="center" wrapText="1"/>
    </xf>
    <xf numFmtId="0" fontId="43" fillId="12" borderId="14" xfId="0" applyFont="1" applyFill="1" applyBorder="1" applyAlignment="1">
      <alignment horizontal="center" vertical="center" wrapText="1"/>
    </xf>
    <xf numFmtId="0" fontId="43" fillId="12" borderId="17" xfId="0" applyFont="1" applyFill="1" applyBorder="1" applyAlignment="1">
      <alignment horizontal="center" vertical="center" wrapText="1"/>
    </xf>
    <xf numFmtId="0" fontId="43" fillId="12" borderId="18" xfId="0" applyFont="1" applyFill="1" applyBorder="1" applyAlignment="1">
      <alignment horizontal="center" vertical="center" wrapText="1"/>
    </xf>
    <xf numFmtId="0" fontId="5" fillId="4" borderId="12" xfId="0" applyFont="1" applyFill="1" applyBorder="1" applyAlignment="1">
      <alignment horizontal="center" wrapText="1"/>
    </xf>
    <xf numFmtId="0" fontId="5" fillId="4" borderId="5" xfId="0" applyFont="1" applyFill="1" applyBorder="1" applyAlignment="1">
      <alignment horizontal="center" wrapText="1"/>
    </xf>
    <xf numFmtId="0" fontId="5" fillId="4" borderId="15" xfId="0" applyFont="1" applyFill="1" applyBorder="1" applyAlignment="1">
      <alignment horizontal="center" wrapText="1"/>
    </xf>
    <xf numFmtId="0" fontId="43" fillId="12" borderId="13" xfId="0" applyFont="1" applyFill="1" applyBorder="1" applyAlignment="1">
      <alignment horizontal="center" vertical="center" wrapText="1"/>
    </xf>
    <xf numFmtId="0" fontId="43" fillId="12" borderId="0" xfId="0" applyFont="1" applyFill="1" applyAlignment="1">
      <alignment horizontal="center" vertical="center" wrapText="1"/>
    </xf>
    <xf numFmtId="0" fontId="43" fillId="12" borderId="16" xfId="0" applyFont="1" applyFill="1" applyBorder="1" applyAlignment="1">
      <alignment horizontal="center" vertical="center" wrapText="1"/>
    </xf>
    <xf numFmtId="0" fontId="42" fillId="4" borderId="12" xfId="0" applyFont="1" applyFill="1" applyBorder="1" applyAlignment="1">
      <alignment horizontal="center" wrapText="1"/>
    </xf>
    <xf numFmtId="0" fontId="42" fillId="4" borderId="5" xfId="0" applyFont="1" applyFill="1" applyBorder="1" applyAlignment="1">
      <alignment horizontal="center" wrapText="1"/>
    </xf>
    <xf numFmtId="0" fontId="42" fillId="4" borderId="15" xfId="0" applyFont="1" applyFill="1" applyBorder="1" applyAlignment="1">
      <alignment horizontal="center" wrapText="1"/>
    </xf>
    <xf numFmtId="0" fontId="43" fillId="4" borderId="14" xfId="0" applyFont="1" applyFill="1" applyBorder="1" applyAlignment="1">
      <alignment horizontal="center" vertical="center" wrapText="1"/>
    </xf>
    <xf numFmtId="0" fontId="43" fillId="4" borderId="17" xfId="0" applyFont="1" applyFill="1" applyBorder="1" applyAlignment="1">
      <alignment horizontal="center" vertical="center" wrapText="1"/>
    </xf>
    <xf numFmtId="0" fontId="43" fillId="4" borderId="18" xfId="0" applyFont="1" applyFill="1" applyBorder="1" applyAlignment="1">
      <alignment horizontal="center" vertical="center" wrapText="1"/>
    </xf>
    <xf numFmtId="0" fontId="43" fillId="4" borderId="13" xfId="0" applyFont="1" applyFill="1" applyBorder="1" applyAlignment="1">
      <alignment horizontal="center" vertical="center" wrapText="1"/>
    </xf>
    <xf numFmtId="0" fontId="43" fillId="4" borderId="0" xfId="0" applyFont="1" applyFill="1" applyAlignment="1">
      <alignment horizontal="center" vertical="center" wrapText="1"/>
    </xf>
    <xf numFmtId="0" fontId="43" fillId="4" borderId="16" xfId="0" applyFont="1" applyFill="1" applyBorder="1" applyAlignment="1">
      <alignment horizontal="center" vertical="center" wrapText="1"/>
    </xf>
    <xf numFmtId="0" fontId="5" fillId="12" borderId="12" xfId="0" applyFont="1" applyFill="1" applyBorder="1" applyAlignment="1">
      <alignment horizontal="center" wrapText="1"/>
    </xf>
    <xf numFmtId="0" fontId="5" fillId="12" borderId="5" xfId="0" applyFont="1" applyFill="1" applyBorder="1" applyAlignment="1">
      <alignment horizontal="center" wrapText="1"/>
    </xf>
    <xf numFmtId="0" fontId="5" fillId="12" borderId="15" xfId="0" applyFont="1" applyFill="1" applyBorder="1" applyAlignment="1">
      <alignment horizontal="center" wrapText="1"/>
    </xf>
    <xf numFmtId="0" fontId="16" fillId="8" borderId="1" xfId="0" applyFont="1" applyFill="1" applyBorder="1" applyAlignment="1">
      <alignment horizontal="center" vertical="center"/>
    </xf>
    <xf numFmtId="0" fontId="22" fillId="8" borderId="1" xfId="0" applyFont="1" applyFill="1" applyBorder="1" applyAlignment="1">
      <alignment horizontal="center" vertical="center"/>
    </xf>
    <xf numFmtId="0" fontId="43" fillId="4" borderId="36" xfId="0" applyFont="1" applyFill="1" applyBorder="1" applyAlignment="1">
      <alignment horizontal="center" vertical="top" wrapText="1"/>
    </xf>
    <xf numFmtId="0" fontId="43" fillId="4" borderId="26" xfId="0" applyFont="1" applyFill="1" applyBorder="1" applyAlignment="1">
      <alignment horizontal="center" vertical="top" wrapText="1"/>
    </xf>
    <xf numFmtId="0" fontId="43" fillId="4" borderId="33" xfId="0" applyFont="1" applyFill="1" applyBorder="1" applyAlignment="1">
      <alignment horizontal="center" vertical="top" wrapText="1"/>
    </xf>
    <xf numFmtId="0" fontId="24" fillId="14" borderId="36" xfId="0" applyFont="1" applyFill="1" applyBorder="1" applyAlignment="1">
      <alignment horizontal="center" vertical="top" wrapText="1"/>
    </xf>
    <xf numFmtId="0" fontId="24" fillId="14" borderId="26" xfId="0" applyFont="1" applyFill="1" applyBorder="1" applyAlignment="1">
      <alignment horizontal="center" vertical="top" wrapText="1"/>
    </xf>
    <xf numFmtId="0" fontId="24" fillId="14" borderId="33" xfId="0" applyFont="1" applyFill="1" applyBorder="1" applyAlignment="1">
      <alignment horizontal="center" vertical="top" wrapText="1"/>
    </xf>
    <xf numFmtId="0" fontId="45" fillId="14" borderId="36" xfId="0" applyFont="1" applyFill="1" applyBorder="1" applyAlignment="1">
      <alignment horizontal="center" vertical="top" wrapText="1"/>
    </xf>
    <xf numFmtId="0" fontId="45" fillId="14" borderId="26" xfId="0" applyFont="1" applyFill="1" applyBorder="1" applyAlignment="1">
      <alignment horizontal="center" vertical="top" wrapText="1"/>
    </xf>
    <xf numFmtId="0" fontId="45" fillId="14" borderId="33" xfId="0" applyFont="1" applyFill="1" applyBorder="1" applyAlignment="1">
      <alignment horizontal="center" vertical="top" wrapText="1"/>
    </xf>
    <xf numFmtId="0" fontId="24" fillId="12" borderId="36" xfId="0" applyFont="1" applyFill="1" applyBorder="1" applyAlignment="1">
      <alignment horizontal="center" vertical="top" wrapText="1"/>
    </xf>
    <xf numFmtId="0" fontId="24" fillId="12" borderId="26" xfId="0" applyFont="1" applyFill="1" applyBorder="1" applyAlignment="1">
      <alignment horizontal="center" vertical="top" wrapText="1"/>
    </xf>
    <xf numFmtId="0" fontId="24" fillId="12" borderId="33" xfId="0" applyFont="1" applyFill="1" applyBorder="1" applyAlignment="1">
      <alignment horizontal="center" vertical="top" wrapText="1"/>
    </xf>
    <xf numFmtId="0" fontId="44" fillId="12" borderId="50" xfId="0" applyFont="1" applyFill="1" applyBorder="1" applyAlignment="1">
      <alignment horizontal="center" wrapText="1"/>
    </xf>
    <xf numFmtId="0" fontId="44" fillId="12" borderId="38" xfId="0" applyFont="1" applyFill="1" applyBorder="1" applyAlignment="1">
      <alignment horizontal="center" wrapText="1"/>
    </xf>
    <xf numFmtId="0" fontId="44" fillId="12" borderId="48" xfId="0" applyFont="1" applyFill="1" applyBorder="1" applyAlignment="1">
      <alignment horizontal="center" wrapText="1"/>
    </xf>
    <xf numFmtId="0" fontId="44" fillId="14" borderId="50" xfId="0" applyFont="1" applyFill="1" applyBorder="1" applyAlignment="1">
      <alignment horizontal="center" wrapText="1"/>
    </xf>
    <xf numFmtId="0" fontId="44" fillId="14" borderId="38" xfId="0" applyFont="1" applyFill="1" applyBorder="1" applyAlignment="1">
      <alignment horizontal="center" wrapText="1"/>
    </xf>
    <xf numFmtId="0" fontId="44" fillId="14" borderId="48" xfId="0" applyFont="1" applyFill="1" applyBorder="1" applyAlignment="1">
      <alignment horizontal="center" wrapText="1"/>
    </xf>
    <xf numFmtId="0" fontId="44" fillId="14" borderId="13" xfId="0" applyFont="1" applyFill="1" applyBorder="1" applyAlignment="1">
      <alignment horizontal="center" wrapText="1"/>
    </xf>
    <xf numFmtId="0" fontId="44" fillId="14" borderId="0" xfId="0" applyFont="1" applyFill="1" applyAlignment="1">
      <alignment horizontal="center" wrapText="1"/>
    </xf>
    <xf numFmtId="0" fontId="44" fillId="14" borderId="16" xfId="0" applyFont="1" applyFill="1" applyBorder="1" applyAlignment="1">
      <alignment horizontal="center" wrapText="1"/>
    </xf>
    <xf numFmtId="0" fontId="42" fillId="4" borderId="38" xfId="0" applyFont="1" applyFill="1" applyBorder="1" applyAlignment="1">
      <alignment horizontal="center" vertical="center" wrapText="1"/>
    </xf>
    <xf numFmtId="0" fontId="42" fillId="4" borderId="48" xfId="0" applyFont="1" applyFill="1" applyBorder="1" applyAlignment="1">
      <alignment horizontal="center" vertical="center" wrapText="1"/>
    </xf>
    <xf numFmtId="0" fontId="45" fillId="12" borderId="36" xfId="0" applyFont="1" applyFill="1" applyBorder="1" applyAlignment="1">
      <alignment horizontal="center" vertical="top" wrapText="1"/>
    </xf>
    <xf numFmtId="0" fontId="45" fillId="12" borderId="26" xfId="0" applyFont="1" applyFill="1" applyBorder="1" applyAlignment="1">
      <alignment horizontal="center" vertical="top" wrapText="1"/>
    </xf>
    <xf numFmtId="0" fontId="45" fillId="12" borderId="33" xfId="0" applyFont="1" applyFill="1" applyBorder="1" applyAlignment="1">
      <alignment horizontal="center" vertical="top" wrapText="1"/>
    </xf>
    <xf numFmtId="0" fontId="3" fillId="4" borderId="5" xfId="0" applyFont="1" applyFill="1" applyBorder="1" applyAlignment="1">
      <alignment horizontal="left" vertical="center" textRotation="90" wrapText="1"/>
    </xf>
    <xf numFmtId="0" fontId="3" fillId="4" borderId="0" xfId="0" applyFont="1" applyFill="1" applyAlignment="1">
      <alignment horizontal="left" vertical="center" textRotation="90" wrapText="1"/>
    </xf>
    <xf numFmtId="0" fontId="3" fillId="4" borderId="17" xfId="0" applyFont="1" applyFill="1" applyBorder="1" applyAlignment="1">
      <alignment horizontal="left" vertical="center" textRotation="90" wrapText="1"/>
    </xf>
    <xf numFmtId="0" fontId="79" fillId="12" borderId="30" xfId="0" applyFont="1" applyFill="1" applyBorder="1" applyAlignment="1">
      <alignment horizontal="left" vertical="center" wrapText="1"/>
    </xf>
    <xf numFmtId="0" fontId="79" fillId="12" borderId="34" xfId="0" applyFont="1" applyFill="1" applyBorder="1" applyAlignment="1">
      <alignment horizontal="left" vertical="center" wrapText="1"/>
    </xf>
    <xf numFmtId="0" fontId="79" fillId="0" borderId="52" xfId="0" applyFont="1" applyBorder="1" applyAlignment="1">
      <alignment horizontal="left" vertical="center"/>
    </xf>
    <xf numFmtId="0" fontId="79" fillId="0" borderId="1" xfId="0" applyFont="1" applyBorder="1" applyAlignment="1">
      <alignment horizontal="left" vertical="center"/>
    </xf>
    <xf numFmtId="0" fontId="79" fillId="0" borderId="8" xfId="0" applyFont="1" applyBorder="1" applyAlignment="1">
      <alignment horizontal="left" vertical="center"/>
    </xf>
    <xf numFmtId="0" fontId="79" fillId="0" borderId="34" xfId="0" applyFont="1" applyBorder="1" applyAlignment="1">
      <alignment horizontal="left" vertical="center"/>
    </xf>
    <xf numFmtId="0" fontId="5" fillId="4" borderId="13" xfId="0" applyFont="1" applyFill="1" applyBorder="1" applyAlignment="1">
      <alignment horizontal="center" wrapText="1"/>
    </xf>
    <xf numFmtId="0" fontId="5" fillId="4" borderId="0" xfId="0" applyFont="1" applyFill="1" applyAlignment="1">
      <alignment horizontal="center" wrapText="1"/>
    </xf>
    <xf numFmtId="0" fontId="5" fillId="4" borderId="16" xfId="0" applyFont="1" applyFill="1" applyBorder="1" applyAlignment="1">
      <alignment horizontal="center" wrapText="1"/>
    </xf>
    <xf numFmtId="0" fontId="5" fillId="12" borderId="0" xfId="0" applyFont="1" applyFill="1" applyAlignment="1">
      <alignment horizontal="center" wrapText="1"/>
    </xf>
    <xf numFmtId="0" fontId="5" fillId="12" borderId="16" xfId="0" applyFont="1" applyFill="1" applyBorder="1" applyAlignment="1">
      <alignment horizontal="center" wrapText="1"/>
    </xf>
    <xf numFmtId="0" fontId="5" fillId="12" borderId="13" xfId="0" applyFont="1" applyFill="1" applyBorder="1" applyAlignment="1">
      <alignment horizontal="center" wrapText="1"/>
    </xf>
    <xf numFmtId="0" fontId="10" fillId="0" borderId="62" xfId="0" applyFont="1" applyBorder="1" applyAlignment="1">
      <alignment horizontal="left" vertical="center"/>
    </xf>
    <xf numFmtId="0" fontId="6" fillId="20" borderId="24" xfId="0" applyFont="1" applyFill="1" applyBorder="1" applyAlignment="1">
      <alignment horizontal="center" vertical="center" textRotation="90" wrapText="1"/>
    </xf>
    <xf numFmtId="0" fontId="10" fillId="20" borderId="15" xfId="0" applyFont="1" applyFill="1" applyBorder="1" applyAlignment="1">
      <alignment horizontal="center" vertical="center" textRotation="90" wrapText="1"/>
    </xf>
    <xf numFmtId="0" fontId="10" fillId="20" borderId="16" xfId="0" applyFont="1" applyFill="1" applyBorder="1" applyAlignment="1">
      <alignment horizontal="center" vertical="center" textRotation="90" wrapText="1"/>
    </xf>
    <xf numFmtId="0" fontId="10" fillId="20" borderId="18" xfId="0" applyFont="1" applyFill="1" applyBorder="1" applyAlignment="1">
      <alignment horizontal="center" vertical="center" textRotation="90" wrapText="1"/>
    </xf>
    <xf numFmtId="0" fontId="10" fillId="20" borderId="15" xfId="0" applyFont="1" applyFill="1" applyBorder="1" applyAlignment="1">
      <alignment horizontal="left" vertical="center" textRotation="90" wrapText="1"/>
    </xf>
    <xf numFmtId="0" fontId="10" fillId="20" borderId="16" xfId="0" applyFont="1" applyFill="1" applyBorder="1" applyAlignment="1">
      <alignment horizontal="left" vertical="center" textRotation="90" wrapText="1"/>
    </xf>
    <xf numFmtId="0" fontId="10" fillId="20" borderId="18" xfId="0" applyFont="1" applyFill="1" applyBorder="1" applyAlignment="1">
      <alignment horizontal="left" vertical="center" textRotation="90" wrapText="1"/>
    </xf>
    <xf numFmtId="0" fontId="3" fillId="4" borderId="15" xfId="0" applyFont="1" applyFill="1" applyBorder="1" applyAlignment="1">
      <alignment horizontal="left" vertical="center" textRotation="90" wrapText="1"/>
    </xf>
    <xf numFmtId="0" fontId="24" fillId="4" borderId="0" xfId="0" applyFont="1" applyFill="1" applyAlignment="1">
      <alignment horizontal="center" vertical="top" wrapText="1"/>
    </xf>
    <xf numFmtId="0" fontId="16" fillId="8" borderId="1" xfId="0" applyFont="1" applyFill="1" applyBorder="1" applyAlignment="1">
      <alignment horizontal="left" vertical="center"/>
    </xf>
    <xf numFmtId="0" fontId="10" fillId="20" borderId="20" xfId="0" applyFont="1" applyFill="1" applyBorder="1" applyAlignment="1">
      <alignment horizontal="left" vertical="center" textRotation="90" wrapText="1"/>
    </xf>
    <xf numFmtId="0" fontId="24" fillId="4" borderId="13" xfId="0" applyFont="1" applyFill="1" applyBorder="1" applyAlignment="1">
      <alignment horizontal="center" vertical="center" wrapText="1"/>
    </xf>
    <xf numFmtId="0" fontId="24" fillId="4" borderId="0" xfId="0" applyFont="1" applyFill="1" applyAlignment="1">
      <alignment horizontal="center" vertical="center" wrapText="1"/>
    </xf>
    <xf numFmtId="0" fontId="24" fillId="4" borderId="16" xfId="0" applyFont="1" applyFill="1" applyBorder="1" applyAlignment="1">
      <alignment horizontal="center" vertical="center" wrapText="1"/>
    </xf>
    <xf numFmtId="0" fontId="6" fillId="4" borderId="14" xfId="0" applyFont="1" applyFill="1" applyBorder="1" applyAlignment="1">
      <alignment horizontal="left" vertical="center" textRotation="90" wrapText="1"/>
    </xf>
    <xf numFmtId="0" fontId="10" fillId="20" borderId="19" xfId="0" applyFont="1" applyFill="1" applyBorder="1" applyAlignment="1">
      <alignment horizontal="left" vertical="center" textRotation="90" wrapText="1"/>
    </xf>
    <xf numFmtId="0" fontId="10" fillId="20" borderId="21" xfId="0" applyFont="1" applyFill="1" applyBorder="1" applyAlignment="1">
      <alignment horizontal="left" vertical="center" textRotation="90" wrapText="1"/>
    </xf>
    <xf numFmtId="0" fontId="6" fillId="26" borderId="36" xfId="0" applyFont="1" applyFill="1" applyBorder="1" applyAlignment="1">
      <alignment horizontal="center" vertical="center"/>
    </xf>
    <xf numFmtId="0" fontId="6" fillId="12" borderId="13" xfId="0" applyFont="1" applyFill="1" applyBorder="1" applyAlignment="1">
      <alignment horizontal="center" vertical="center"/>
    </xf>
    <xf numFmtId="0" fontId="6" fillId="12" borderId="0" xfId="0" applyFont="1" applyFill="1" applyAlignment="1">
      <alignment horizontal="center" vertical="center"/>
    </xf>
    <xf numFmtId="0" fontId="6" fillId="12" borderId="12" xfId="0" applyFont="1" applyFill="1" applyBorder="1" applyAlignment="1">
      <alignment horizontal="center" vertical="center"/>
    </xf>
    <xf numFmtId="0" fontId="6" fillId="12" borderId="5" xfId="0" applyFont="1" applyFill="1" applyBorder="1" applyAlignment="1">
      <alignment horizontal="center" vertical="center"/>
    </xf>
    <xf numFmtId="0" fontId="28" fillId="26" borderId="17" xfId="0" applyFont="1" applyFill="1" applyBorder="1" applyAlignment="1">
      <alignment horizontal="center" vertical="center" wrapText="1"/>
    </xf>
    <xf numFmtId="0" fontId="28" fillId="26" borderId="21" xfId="0" applyFont="1" applyFill="1" applyBorder="1" applyAlignment="1">
      <alignment horizontal="center" vertical="center" wrapText="1"/>
    </xf>
    <xf numFmtId="0" fontId="42" fillId="4" borderId="50" xfId="0" applyFont="1" applyFill="1" applyBorder="1" applyAlignment="1">
      <alignment horizontal="center" wrapText="1"/>
    </xf>
    <xf numFmtId="0" fontId="42" fillId="4" borderId="38" xfId="0" applyFont="1" applyFill="1" applyBorder="1" applyAlignment="1">
      <alignment horizontal="center" wrapText="1"/>
    </xf>
    <xf numFmtId="0" fontId="5" fillId="4" borderId="38" xfId="0" applyFont="1" applyFill="1" applyBorder="1" applyAlignment="1">
      <alignment horizontal="center" vertical="center" textRotation="90" wrapText="1"/>
    </xf>
    <xf numFmtId="0" fontId="5" fillId="12" borderId="50" xfId="0" applyFont="1" applyFill="1" applyBorder="1" applyAlignment="1">
      <alignment horizontal="center" vertical="center" wrapText="1"/>
    </xf>
    <xf numFmtId="0" fontId="5" fillId="12" borderId="38" xfId="0" applyFont="1" applyFill="1" applyBorder="1" applyAlignment="1">
      <alignment horizontal="center" vertical="center" wrapText="1"/>
    </xf>
    <xf numFmtId="0" fontId="5" fillId="12" borderId="48" xfId="0" applyFont="1" applyFill="1" applyBorder="1" applyAlignment="1">
      <alignment horizontal="center" vertical="center" wrapText="1"/>
    </xf>
    <xf numFmtId="0" fontId="5" fillId="14" borderId="50" xfId="0" applyFont="1" applyFill="1" applyBorder="1" applyAlignment="1">
      <alignment horizontal="center" wrapText="1"/>
    </xf>
    <xf numFmtId="0" fontId="5" fillId="14" borderId="38" xfId="0" applyFont="1" applyFill="1" applyBorder="1" applyAlignment="1">
      <alignment horizontal="center" wrapText="1"/>
    </xf>
    <xf numFmtId="0" fontId="6" fillId="4" borderId="38" xfId="0" applyFont="1" applyFill="1" applyBorder="1" applyAlignment="1">
      <alignment horizontal="left" vertical="center" textRotation="90" wrapText="1"/>
    </xf>
    <xf numFmtId="0" fontId="24" fillId="14" borderId="13" xfId="0" applyFont="1" applyFill="1" applyBorder="1" applyAlignment="1">
      <alignment horizontal="center" vertical="top" wrapText="1"/>
    </xf>
    <xf numFmtId="0" fontId="24" fillId="14" borderId="0" xfId="0" applyFont="1" applyFill="1" applyAlignment="1">
      <alignment horizontal="center" vertical="top" wrapText="1"/>
    </xf>
    <xf numFmtId="0" fontId="24" fillId="14" borderId="16" xfId="0" applyFont="1" applyFill="1" applyBorder="1" applyAlignment="1">
      <alignment horizontal="center" vertical="top" wrapText="1"/>
    </xf>
    <xf numFmtId="0" fontId="22" fillId="8" borderId="54" xfId="0" applyFont="1" applyFill="1" applyBorder="1" applyAlignment="1">
      <alignment horizontal="center" vertical="center"/>
    </xf>
    <xf numFmtId="0" fontId="22" fillId="8" borderId="29" xfId="0" applyFont="1" applyFill="1" applyBorder="1" applyAlignment="1">
      <alignment horizontal="center" vertical="center"/>
    </xf>
    <xf numFmtId="0" fontId="16" fillId="8" borderId="54" xfId="0" applyFont="1" applyFill="1" applyBorder="1" applyAlignment="1">
      <alignment horizontal="center" vertical="center"/>
    </xf>
    <xf numFmtId="0" fontId="16" fillId="8" borderId="54" xfId="0" applyFont="1" applyFill="1" applyBorder="1" applyAlignment="1">
      <alignment horizontal="left" vertical="center"/>
    </xf>
    <xf numFmtId="0" fontId="16" fillId="8" borderId="28" xfId="0" applyFont="1" applyFill="1" applyBorder="1" applyAlignment="1">
      <alignment horizontal="left" vertical="center"/>
    </xf>
    <xf numFmtId="0" fontId="16" fillId="8" borderId="29" xfId="0" applyFont="1" applyFill="1" applyBorder="1" applyAlignment="1">
      <alignment horizontal="left" vertical="center"/>
    </xf>
    <xf numFmtId="0" fontId="45" fillId="4" borderId="14" xfId="0" applyFont="1" applyFill="1" applyBorder="1" applyAlignment="1">
      <alignment horizontal="center" vertical="top" wrapText="1"/>
    </xf>
    <xf numFmtId="0" fontId="45" fillId="4" borderId="17" xfId="0" applyFont="1" applyFill="1" applyBorder="1" applyAlignment="1">
      <alignment horizontal="center" vertical="top" wrapText="1"/>
    </xf>
    <xf numFmtId="0" fontId="45" fillId="4" borderId="18" xfId="0" applyFont="1" applyFill="1" applyBorder="1" applyAlignment="1">
      <alignment horizontal="center" vertical="top" wrapText="1"/>
    </xf>
    <xf numFmtId="0" fontId="44" fillId="4" borderId="13" xfId="0" applyFont="1" applyFill="1" applyBorder="1" applyAlignment="1">
      <alignment horizontal="center" wrapText="1"/>
    </xf>
    <xf numFmtId="0" fontId="44" fillId="4" borderId="0" xfId="0" applyFont="1" applyFill="1" applyAlignment="1">
      <alignment horizontal="center" wrapText="1"/>
    </xf>
    <xf numFmtId="0" fontId="44" fillId="4" borderId="16" xfId="0" applyFont="1" applyFill="1" applyBorder="1" applyAlignment="1">
      <alignment horizontal="center" wrapText="1"/>
    </xf>
    <xf numFmtId="0" fontId="42" fillId="4" borderId="13" xfId="0" applyFont="1" applyFill="1" applyBorder="1" applyAlignment="1">
      <alignment horizontal="center" wrapText="1"/>
    </xf>
    <xf numFmtId="0" fontId="42" fillId="4" borderId="0" xfId="0" applyFont="1" applyFill="1" applyAlignment="1">
      <alignment horizontal="center" wrapText="1"/>
    </xf>
    <xf numFmtId="0" fontId="42" fillId="4" borderId="16" xfId="0" applyFont="1" applyFill="1" applyBorder="1" applyAlignment="1">
      <alignment horizontal="center" wrapText="1"/>
    </xf>
    <xf numFmtId="0" fontId="45" fillId="4" borderId="36" xfId="0" applyFont="1" applyFill="1" applyBorder="1" applyAlignment="1">
      <alignment horizontal="center" vertical="top" wrapText="1"/>
    </xf>
    <xf numFmtId="0" fontId="45" fillId="4" borderId="26" xfId="0" applyFont="1" applyFill="1" applyBorder="1" applyAlignment="1">
      <alignment horizontal="center" vertical="top" wrapText="1"/>
    </xf>
    <xf numFmtId="0" fontId="45" fillId="4" borderId="33" xfId="0" applyFont="1" applyFill="1" applyBorder="1" applyAlignment="1">
      <alignment horizontal="center" vertical="top" wrapText="1"/>
    </xf>
    <xf numFmtId="0" fontId="24" fillId="4" borderId="13" xfId="0" applyFont="1" applyFill="1" applyBorder="1" applyAlignment="1">
      <alignment horizontal="center" vertical="top" wrapText="1"/>
    </xf>
    <xf numFmtId="0" fontId="24" fillId="4" borderId="26" xfId="0" applyFont="1" applyFill="1" applyBorder="1" applyAlignment="1">
      <alignment horizontal="center" vertical="top" wrapText="1"/>
    </xf>
    <xf numFmtId="0" fontId="24" fillId="4" borderId="33" xfId="0" applyFont="1" applyFill="1" applyBorder="1" applyAlignment="1">
      <alignment horizontal="center" vertical="top" wrapText="1"/>
    </xf>
    <xf numFmtId="0" fontId="24" fillId="4" borderId="14" xfId="0" applyFont="1" applyFill="1" applyBorder="1" applyAlignment="1">
      <alignment horizontal="center" vertical="top" wrapText="1"/>
    </xf>
    <xf numFmtId="0" fontId="24" fillId="4" borderId="17" xfId="0" applyFont="1" applyFill="1" applyBorder="1" applyAlignment="1">
      <alignment horizontal="center" vertical="top" wrapText="1"/>
    </xf>
    <xf numFmtId="0" fontId="24" fillId="4" borderId="18" xfId="0" applyFont="1" applyFill="1" applyBorder="1" applyAlignment="1">
      <alignment horizontal="center" vertical="top" wrapText="1"/>
    </xf>
    <xf numFmtId="0" fontId="43" fillId="4" borderId="14" xfId="0" applyFont="1" applyFill="1" applyBorder="1" applyAlignment="1">
      <alignment horizontal="center" vertical="top" wrapText="1"/>
    </xf>
    <xf numFmtId="0" fontId="43" fillId="4" borderId="17" xfId="0" applyFont="1" applyFill="1" applyBorder="1" applyAlignment="1">
      <alignment horizontal="center" vertical="top" wrapText="1"/>
    </xf>
    <xf numFmtId="0" fontId="43" fillId="4" borderId="18" xfId="0" applyFont="1" applyFill="1" applyBorder="1" applyAlignment="1">
      <alignment horizontal="center" vertical="top" wrapText="1"/>
    </xf>
    <xf numFmtId="0" fontId="10" fillId="0" borderId="30" xfId="0" applyFont="1" applyBorder="1" applyAlignment="1">
      <alignment horizontal="left" vertical="center"/>
    </xf>
    <xf numFmtId="0" fontId="10" fillId="0" borderId="61" xfId="0" applyFont="1" applyBorder="1" applyAlignment="1">
      <alignment horizontal="left" vertical="center"/>
    </xf>
    <xf numFmtId="0" fontId="24" fillId="4" borderId="36" xfId="0" applyFont="1" applyFill="1" applyBorder="1" applyAlignment="1">
      <alignment horizontal="center" vertical="top" wrapText="1"/>
    </xf>
    <xf numFmtId="0" fontId="10" fillId="0" borderId="31" xfId="0" applyFont="1" applyBorder="1" applyAlignment="1">
      <alignment horizontal="center" vertical="center"/>
    </xf>
    <xf numFmtId="0" fontId="29" fillId="0" borderId="53" xfId="0" applyFont="1" applyBorder="1" applyAlignment="1">
      <alignment horizontal="center" vertical="center"/>
    </xf>
    <xf numFmtId="0" fontId="29" fillId="0" borderId="32" xfId="0" applyFont="1" applyBorder="1" applyAlignment="1">
      <alignment horizontal="center" vertical="center"/>
    </xf>
    <xf numFmtId="0" fontId="29" fillId="0" borderId="35" xfId="0" applyFont="1" applyBorder="1" applyAlignment="1">
      <alignment horizontal="center" vertical="center"/>
    </xf>
    <xf numFmtId="0" fontId="94" fillId="12" borderId="31" xfId="0" applyFont="1" applyFill="1" applyBorder="1" applyAlignment="1">
      <alignment horizontal="left" vertical="center" wrapText="1"/>
    </xf>
    <xf numFmtId="0" fontId="94" fillId="12" borderId="35" xfId="0" applyFont="1" applyFill="1" applyBorder="1" applyAlignment="1">
      <alignment horizontal="left" vertical="center" wrapText="1"/>
    </xf>
    <xf numFmtId="0" fontId="94" fillId="0" borderId="53" xfId="0" applyFont="1" applyBorder="1" applyAlignment="1">
      <alignment horizontal="left" vertical="center"/>
    </xf>
    <xf numFmtId="0" fontId="94" fillId="0" borderId="32" xfId="0" applyFont="1" applyBorder="1" applyAlignment="1">
      <alignment horizontal="left" vertical="center"/>
    </xf>
    <xf numFmtId="0" fontId="94" fillId="0" borderId="56" xfId="0" applyFont="1" applyBorder="1" applyAlignment="1">
      <alignment horizontal="left" vertical="center"/>
    </xf>
    <xf numFmtId="0" fontId="94" fillId="0" borderId="35" xfId="0" applyFont="1" applyBorder="1" applyAlignment="1">
      <alignment horizontal="left" vertical="center"/>
    </xf>
    <xf numFmtId="0" fontId="24" fillId="14" borderId="14" xfId="0" applyFont="1" applyFill="1" applyBorder="1" applyAlignment="1">
      <alignment horizontal="center" vertical="top" wrapText="1"/>
    </xf>
    <xf numFmtId="0" fontId="24" fillId="14" borderId="17" xfId="0" applyFont="1" applyFill="1" applyBorder="1" applyAlignment="1">
      <alignment horizontal="center" vertical="top" wrapText="1"/>
    </xf>
    <xf numFmtId="0" fontId="24" fillId="14" borderId="18" xfId="0" applyFont="1" applyFill="1" applyBorder="1" applyAlignment="1">
      <alignment horizontal="center" vertical="top" wrapText="1"/>
    </xf>
    <xf numFmtId="0" fontId="24" fillId="12" borderId="14" xfId="0" applyFont="1" applyFill="1" applyBorder="1" applyAlignment="1">
      <alignment horizontal="center" vertical="top" wrapText="1"/>
    </xf>
    <xf numFmtId="0" fontId="24" fillId="12" borderId="17" xfId="0" applyFont="1" applyFill="1" applyBorder="1" applyAlignment="1">
      <alignment horizontal="center" vertical="top" wrapText="1"/>
    </xf>
    <xf numFmtId="0" fontId="24" fillId="12" borderId="18" xfId="0" applyFont="1" applyFill="1" applyBorder="1" applyAlignment="1">
      <alignment horizontal="center" vertical="top" wrapText="1"/>
    </xf>
    <xf numFmtId="0" fontId="5" fillId="12" borderId="50" xfId="0" applyFont="1" applyFill="1" applyBorder="1" applyAlignment="1">
      <alignment horizontal="center" wrapText="1"/>
    </xf>
    <xf numFmtId="0" fontId="5" fillId="12" borderId="38" xfId="0" applyFont="1" applyFill="1" applyBorder="1" applyAlignment="1">
      <alignment horizontal="center" wrapText="1"/>
    </xf>
    <xf numFmtId="0" fontId="5" fillId="12" borderId="48" xfId="0" applyFont="1" applyFill="1" applyBorder="1" applyAlignment="1">
      <alignment horizontal="center" wrapText="1"/>
    </xf>
    <xf numFmtId="0" fontId="5" fillId="4" borderId="50" xfId="0" applyFont="1" applyFill="1" applyBorder="1" applyAlignment="1">
      <alignment horizontal="center" wrapText="1"/>
    </xf>
    <xf numFmtId="0" fontId="5" fillId="4" borderId="38" xfId="0" applyFont="1" applyFill="1" applyBorder="1" applyAlignment="1">
      <alignment horizontal="center" wrapText="1"/>
    </xf>
    <xf numFmtId="0" fontId="5" fillId="4" borderId="48" xfId="0" applyFont="1" applyFill="1" applyBorder="1" applyAlignment="1">
      <alignment horizontal="center" wrapText="1"/>
    </xf>
    <xf numFmtId="0" fontId="5" fillId="14" borderId="13" xfId="0" applyFont="1" applyFill="1" applyBorder="1" applyAlignment="1">
      <alignment horizontal="center" vertical="center" wrapText="1"/>
    </xf>
    <xf numFmtId="0" fontId="5" fillId="14" borderId="50" xfId="0" applyFont="1" applyFill="1" applyBorder="1" applyAlignment="1">
      <alignment horizontal="center" vertical="center" wrapText="1"/>
    </xf>
    <xf numFmtId="0" fontId="5" fillId="4" borderId="0" xfId="0" applyFont="1" applyFill="1" applyAlignment="1">
      <alignment horizontal="center" textRotation="90" wrapText="1"/>
    </xf>
    <xf numFmtId="0" fontId="3" fillId="0" borderId="12" xfId="0" applyFont="1" applyBorder="1" applyAlignment="1">
      <alignment horizontal="center" vertical="center"/>
    </xf>
    <xf numFmtId="0" fontId="24" fillId="4" borderId="16" xfId="0" applyFont="1" applyFill="1" applyBorder="1" applyAlignment="1">
      <alignment horizontal="center" vertical="top" wrapText="1"/>
    </xf>
    <xf numFmtId="0" fontId="24" fillId="12" borderId="13" xfId="0" applyFont="1" applyFill="1" applyBorder="1" applyAlignment="1">
      <alignment horizontal="center" vertical="top" wrapText="1"/>
    </xf>
    <xf numFmtId="0" fontId="24" fillId="12" borderId="0" xfId="0" applyFont="1" applyFill="1" applyAlignment="1">
      <alignment horizontal="center" vertical="top" wrapText="1"/>
    </xf>
    <xf numFmtId="0" fontId="24" fillId="12" borderId="16" xfId="0" applyFont="1" applyFill="1" applyBorder="1" applyAlignment="1">
      <alignment horizontal="center" vertical="top" wrapText="1"/>
    </xf>
    <xf numFmtId="0" fontId="5" fillId="14" borderId="12" xfId="0" applyFont="1" applyFill="1" applyBorder="1" applyAlignment="1">
      <alignment horizontal="center" vertical="center" wrapText="1"/>
    </xf>
    <xf numFmtId="0" fontId="5" fillId="14" borderId="5" xfId="0" applyFont="1" applyFill="1" applyBorder="1" applyAlignment="1">
      <alignment horizontal="center" vertical="center" wrapText="1"/>
    </xf>
    <xf numFmtId="0" fontId="5" fillId="14" borderId="15" xfId="0" applyFont="1" applyFill="1" applyBorder="1" applyAlignment="1">
      <alignment horizontal="center" vertical="center" wrapText="1"/>
    </xf>
    <xf numFmtId="0" fontId="24" fillId="14" borderId="36" xfId="0" applyFont="1" applyFill="1" applyBorder="1" applyAlignment="1">
      <alignment horizontal="center" vertical="center" wrapText="1"/>
    </xf>
    <xf numFmtId="0" fontId="24" fillId="14" borderId="26" xfId="0" applyFont="1" applyFill="1" applyBorder="1" applyAlignment="1">
      <alignment horizontal="center" vertical="center" wrapText="1"/>
    </xf>
    <xf numFmtId="0" fontId="24" fillId="14" borderId="33" xfId="0" applyFont="1" applyFill="1" applyBorder="1" applyAlignment="1">
      <alignment horizontal="center" vertical="center" wrapText="1"/>
    </xf>
    <xf numFmtId="0" fontId="77" fillId="6" borderId="5" xfId="0" applyFont="1" applyFill="1" applyBorder="1" applyAlignment="1">
      <alignment horizontal="center" vertical="center"/>
    </xf>
    <xf numFmtId="0" fontId="77" fillId="6" borderId="15" xfId="0" applyFont="1" applyFill="1" applyBorder="1" applyAlignment="1">
      <alignment horizontal="center" vertical="center"/>
    </xf>
    <xf numFmtId="0" fontId="77" fillId="6" borderId="17" xfId="0" applyFont="1" applyFill="1" applyBorder="1" applyAlignment="1">
      <alignment horizontal="center" vertical="center"/>
    </xf>
    <xf numFmtId="0" fontId="77" fillId="6" borderId="18" xfId="0" applyFont="1" applyFill="1" applyBorder="1" applyAlignment="1">
      <alignment horizontal="center" vertical="center"/>
    </xf>
    <xf numFmtId="0" fontId="10" fillId="12" borderId="61" xfId="0" applyFont="1" applyFill="1" applyBorder="1" applyAlignment="1">
      <alignment horizontal="left" vertical="center" wrapText="1"/>
    </xf>
    <xf numFmtId="0" fontId="10" fillId="12" borderId="62" xfId="0" applyFont="1" applyFill="1" applyBorder="1" applyAlignment="1">
      <alignment horizontal="left" vertical="center" wrapText="1"/>
    </xf>
    <xf numFmtId="0" fontId="10" fillId="0" borderId="25" xfId="0" applyFont="1" applyBorder="1" applyAlignment="1">
      <alignment horizontal="left" vertical="center"/>
    </xf>
    <xf numFmtId="0" fontId="10" fillId="0" borderId="62" xfId="0" applyFont="1" applyBorder="1" applyAlignment="1">
      <alignment horizontal="center" vertical="center"/>
    </xf>
    <xf numFmtId="0" fontId="16" fillId="8" borderId="66" xfId="0" applyFont="1" applyFill="1" applyBorder="1" applyAlignment="1">
      <alignment horizontal="center" vertical="center"/>
    </xf>
    <xf numFmtId="0" fontId="16" fillId="8" borderId="67" xfId="0" applyFont="1" applyFill="1" applyBorder="1" applyAlignment="1">
      <alignment horizontal="center" vertical="center"/>
    </xf>
    <xf numFmtId="0" fontId="22" fillId="8" borderId="49" xfId="0" applyFont="1" applyFill="1" applyBorder="1" applyAlignment="1">
      <alignment horizontal="center" vertical="center"/>
    </xf>
    <xf numFmtId="0" fontId="22" fillId="8" borderId="67" xfId="0" applyFont="1" applyFill="1" applyBorder="1" applyAlignment="1">
      <alignment horizontal="center" vertical="center"/>
    </xf>
    <xf numFmtId="0" fontId="16" fillId="8" borderId="49" xfId="0" applyFont="1" applyFill="1" applyBorder="1" applyAlignment="1">
      <alignment horizontal="center" vertical="center"/>
    </xf>
    <xf numFmtId="0" fontId="16" fillId="8" borderId="68" xfId="0" applyFont="1" applyFill="1" applyBorder="1" applyAlignment="1">
      <alignment horizontal="center" vertical="center"/>
    </xf>
    <xf numFmtId="0" fontId="16" fillId="8" borderId="49" xfId="0" applyFont="1" applyFill="1" applyBorder="1" applyAlignment="1">
      <alignment horizontal="left" vertical="center"/>
    </xf>
    <xf numFmtId="0" fontId="16" fillId="8" borderId="68" xfId="0" applyFont="1" applyFill="1" applyBorder="1" applyAlignment="1">
      <alignment horizontal="left" vertical="center"/>
    </xf>
    <xf numFmtId="0" fontId="16" fillId="8" borderId="67" xfId="0" applyFont="1" applyFill="1" applyBorder="1" applyAlignment="1">
      <alignment horizontal="left" vertical="center"/>
    </xf>
    <xf numFmtId="0" fontId="82" fillId="4" borderId="0" xfId="0" applyFont="1" applyFill="1" applyAlignment="1">
      <alignment horizontal="left" vertical="center" textRotation="90" wrapText="1"/>
    </xf>
    <xf numFmtId="0" fontId="82" fillId="4" borderId="17" xfId="0" applyFont="1" applyFill="1" applyBorder="1" applyAlignment="1">
      <alignment horizontal="left" vertical="center" textRotation="90" wrapText="1"/>
    </xf>
    <xf numFmtId="0" fontId="83" fillId="4" borderId="5" xfId="0" applyFont="1" applyFill="1" applyBorder="1" applyAlignment="1">
      <alignment horizontal="left" vertical="center" textRotation="90" wrapText="1"/>
    </xf>
    <xf numFmtId="0" fontId="83" fillId="4" borderId="0" xfId="0" applyFont="1" applyFill="1" applyAlignment="1">
      <alignment horizontal="left" vertical="center" textRotation="90" wrapText="1"/>
    </xf>
    <xf numFmtId="0" fontId="83" fillId="4" borderId="17" xfId="0" applyFont="1" applyFill="1" applyBorder="1" applyAlignment="1">
      <alignment horizontal="left" vertical="center" textRotation="90" wrapText="1"/>
    </xf>
    <xf numFmtId="0" fontId="81" fillId="4" borderId="21" xfId="0" applyFont="1" applyFill="1" applyBorder="1" applyAlignment="1">
      <alignment horizontal="left" vertical="center" textRotation="90" wrapText="1"/>
    </xf>
    <xf numFmtId="0" fontId="88" fillId="4" borderId="24" xfId="0" applyFont="1" applyFill="1" applyBorder="1" applyAlignment="1">
      <alignment horizontal="left" vertical="center" textRotation="90" wrapText="1"/>
    </xf>
    <xf numFmtId="0" fontId="37" fillId="14" borderId="19" xfId="0" applyFont="1" applyFill="1" applyBorder="1" applyAlignment="1">
      <alignment horizontal="left" vertical="center" textRotation="90" wrapText="1"/>
    </xf>
    <xf numFmtId="0" fontId="37" fillId="14" borderId="20" xfId="0" applyFont="1" applyFill="1" applyBorder="1" applyAlignment="1">
      <alignment horizontal="left" vertical="center" textRotation="90" wrapText="1"/>
    </xf>
    <xf numFmtId="0" fontId="46" fillId="14" borderId="23" xfId="0" applyFont="1" applyFill="1" applyBorder="1" applyAlignment="1">
      <alignment horizontal="left" vertical="center" textRotation="90" wrapText="1"/>
    </xf>
    <xf numFmtId="0" fontId="46" fillId="14" borderId="24" xfId="0" applyFont="1" applyFill="1" applyBorder="1" applyAlignment="1">
      <alignment horizontal="left" vertical="center" textRotation="90" wrapText="1"/>
    </xf>
    <xf numFmtId="0" fontId="4" fillId="0" borderId="22" xfId="0" applyFont="1" applyBorder="1" applyAlignment="1">
      <alignment horizontal="center"/>
    </xf>
    <xf numFmtId="0" fontId="4" fillId="0" borderId="19" xfId="0" applyFont="1" applyBorder="1" applyAlignment="1">
      <alignment horizontal="center"/>
    </xf>
    <xf numFmtId="0" fontId="41" fillId="20" borderId="24" xfId="0" applyFont="1" applyFill="1" applyBorder="1" applyAlignment="1">
      <alignment horizontal="left" vertical="center" textRotation="90" wrapText="1"/>
    </xf>
    <xf numFmtId="43" fontId="41" fillId="12" borderId="3" xfId="6" applyFont="1" applyFill="1" applyBorder="1" applyAlignment="1">
      <alignment horizontal="center" vertical="center"/>
    </xf>
    <xf numFmtId="43" fontId="41" fillId="12" borderId="60" xfId="6" applyFont="1" applyFill="1" applyBorder="1" applyAlignment="1">
      <alignment horizontal="center" vertical="center"/>
    </xf>
    <xf numFmtId="0" fontId="96" fillId="12" borderId="60" xfId="0" applyFont="1" applyFill="1" applyBorder="1" applyAlignment="1">
      <alignment horizontal="center" vertical="center" wrapText="1"/>
    </xf>
    <xf numFmtId="0" fontId="96" fillId="12" borderId="54" xfId="0" applyFont="1" applyFill="1" applyBorder="1" applyAlignment="1">
      <alignment horizontal="center" vertical="center" wrapText="1"/>
    </xf>
    <xf numFmtId="0" fontId="6" fillId="4" borderId="0" xfId="0" applyFont="1" applyFill="1" applyAlignment="1">
      <alignment horizontal="center" vertical="center" wrapText="1"/>
    </xf>
    <xf numFmtId="0" fontId="3" fillId="20" borderId="5" xfId="0" applyFont="1" applyFill="1" applyBorder="1" applyAlignment="1">
      <alignment horizontal="left" vertical="center" textRotation="90" wrapText="1"/>
    </xf>
    <xf numFmtId="0" fontId="3" fillId="20" borderId="0" xfId="0" applyFont="1" applyFill="1" applyAlignment="1">
      <alignment horizontal="left" vertical="center" textRotation="90" wrapText="1"/>
    </xf>
    <xf numFmtId="0" fontId="6" fillId="4" borderId="3" xfId="0" applyFont="1" applyFill="1" applyBorder="1" applyAlignment="1">
      <alignment horizontal="center" vertical="center"/>
    </xf>
    <xf numFmtId="0" fontId="6" fillId="4" borderId="60" xfId="0" applyFont="1" applyFill="1" applyBorder="1" applyAlignment="1">
      <alignment horizontal="center" vertical="center"/>
    </xf>
    <xf numFmtId="0" fontId="28" fillId="4" borderId="60" xfId="0" applyFont="1" applyFill="1" applyBorder="1" applyAlignment="1">
      <alignment horizontal="center" vertical="center" wrapText="1"/>
    </xf>
    <xf numFmtId="0" fontId="28" fillId="4" borderId="54" xfId="0" applyFont="1" applyFill="1" applyBorder="1" applyAlignment="1">
      <alignment horizontal="center" vertical="center" wrapText="1"/>
    </xf>
    <xf numFmtId="16" fontId="42" fillId="4" borderId="0" xfId="0" applyNumberFormat="1" applyFont="1" applyFill="1" applyAlignment="1">
      <alignment horizontal="center" wrapText="1"/>
    </xf>
    <xf numFmtId="0" fontId="6" fillId="26" borderId="26" xfId="0" applyFont="1" applyFill="1" applyBorder="1" applyAlignment="1">
      <alignment horizontal="center" vertical="center"/>
    </xf>
    <xf numFmtId="0" fontId="40" fillId="14" borderId="20" xfId="0" applyFont="1" applyFill="1" applyBorder="1" applyAlignment="1">
      <alignment horizontal="left" vertical="center" textRotation="90" wrapText="1"/>
    </xf>
    <xf numFmtId="0" fontId="6" fillId="20" borderId="13" xfId="0" applyFont="1" applyFill="1" applyBorder="1" applyAlignment="1">
      <alignment horizontal="left" vertical="center" textRotation="90" wrapText="1"/>
    </xf>
    <xf numFmtId="0" fontId="73" fillId="6" borderId="5" xfId="0" applyFont="1" applyFill="1" applyBorder="1" applyAlignment="1">
      <alignment horizontal="center" vertical="center"/>
    </xf>
    <xf numFmtId="0" fontId="73" fillId="6" borderId="15" xfId="0" applyFont="1" applyFill="1" applyBorder="1" applyAlignment="1">
      <alignment horizontal="center" vertical="center"/>
    </xf>
    <xf numFmtId="0" fontId="73" fillId="6" borderId="17" xfId="0" applyFont="1" applyFill="1" applyBorder="1" applyAlignment="1">
      <alignment horizontal="center" vertical="center"/>
    </xf>
    <xf numFmtId="0" fontId="73" fillId="6" borderId="18" xfId="0" applyFont="1" applyFill="1" applyBorder="1" applyAlignment="1">
      <alignment horizontal="center" vertical="center"/>
    </xf>
    <xf numFmtId="0" fontId="88" fillId="4" borderId="13" xfId="0" applyFont="1" applyFill="1" applyBorder="1" applyAlignment="1">
      <alignment horizontal="left" vertical="center" textRotation="90" wrapText="1"/>
    </xf>
    <xf numFmtId="0" fontId="65" fillId="4" borderId="20" xfId="0" applyFont="1" applyFill="1" applyBorder="1" applyAlignment="1">
      <alignment horizontal="left" vertical="center" textRotation="90" wrapText="1"/>
    </xf>
    <xf numFmtId="0" fontId="30" fillId="4" borderId="23" xfId="0" applyFont="1" applyFill="1" applyBorder="1" applyAlignment="1">
      <alignment horizontal="left" vertical="center" textRotation="90" wrapText="1"/>
    </xf>
    <xf numFmtId="0" fontId="46" fillId="4" borderId="0" xfId="0" applyFont="1" applyFill="1" applyAlignment="1">
      <alignment horizontal="left" vertical="center" textRotation="90" wrapText="1"/>
    </xf>
    <xf numFmtId="0" fontId="41" fillId="4" borderId="0" xfId="0" applyFont="1" applyFill="1" applyAlignment="1">
      <alignment horizontal="center" wrapText="1"/>
    </xf>
    <xf numFmtId="0" fontId="41" fillId="4" borderId="16" xfId="0" applyFont="1" applyFill="1" applyBorder="1" applyAlignment="1">
      <alignment horizontal="center" wrapText="1"/>
    </xf>
    <xf numFmtId="0" fontId="41" fillId="4" borderId="5" xfId="0" applyFont="1" applyFill="1" applyBorder="1" applyAlignment="1">
      <alignment horizontal="center" wrapText="1"/>
    </xf>
    <xf numFmtId="0" fontId="41" fillId="4" borderId="15" xfId="0" applyFont="1" applyFill="1" applyBorder="1" applyAlignment="1">
      <alignment horizontal="center" wrapText="1"/>
    </xf>
    <xf numFmtId="0" fontId="13" fillId="8" borderId="49" xfId="0" applyFont="1" applyFill="1" applyBorder="1" applyAlignment="1">
      <alignment horizontal="center" vertical="center"/>
    </xf>
    <xf numFmtId="0" fontId="18" fillId="4" borderId="14" xfId="0" applyFont="1" applyFill="1" applyBorder="1" applyAlignment="1">
      <alignment horizontal="center" vertical="top" wrapText="1"/>
    </xf>
    <xf numFmtId="0" fontId="18" fillId="4" borderId="17" xfId="0" applyFont="1" applyFill="1" applyBorder="1" applyAlignment="1">
      <alignment horizontal="center" vertical="top" wrapText="1"/>
    </xf>
    <xf numFmtId="0" fontId="18" fillId="4" borderId="18" xfId="0" applyFont="1" applyFill="1" applyBorder="1" applyAlignment="1">
      <alignment horizontal="center" vertical="top" wrapText="1"/>
    </xf>
    <xf numFmtId="0" fontId="41" fillId="4" borderId="12" xfId="0" applyFont="1" applyFill="1" applyBorder="1" applyAlignment="1">
      <alignment horizontal="center" wrapText="1"/>
    </xf>
    <xf numFmtId="0" fontId="23" fillId="12" borderId="5" xfId="0" applyFont="1" applyFill="1" applyBorder="1" applyAlignment="1">
      <alignment horizontal="center" wrapText="1"/>
    </xf>
    <xf numFmtId="0" fontId="23" fillId="12" borderId="15" xfId="0" applyFont="1" applyFill="1" applyBorder="1" applyAlignment="1">
      <alignment horizontal="center" wrapText="1"/>
    </xf>
    <xf numFmtId="0" fontId="4" fillId="12" borderId="14" xfId="0" applyFont="1" applyFill="1" applyBorder="1" applyAlignment="1">
      <alignment horizontal="center" vertical="top" wrapText="1"/>
    </xf>
    <xf numFmtId="0" fontId="4" fillId="12" borderId="17" xfId="0" applyFont="1" applyFill="1" applyBorder="1" applyAlignment="1">
      <alignment horizontal="center" vertical="top" wrapText="1"/>
    </xf>
    <xf numFmtId="0" fontId="4" fillId="12" borderId="18" xfId="0" applyFont="1" applyFill="1" applyBorder="1" applyAlignment="1">
      <alignment horizontal="center" vertical="top" wrapText="1"/>
    </xf>
    <xf numFmtId="0" fontId="32" fillId="4" borderId="12" xfId="0" applyFont="1" applyFill="1" applyBorder="1" applyAlignment="1">
      <alignment horizontal="center" wrapText="1"/>
    </xf>
    <xf numFmtId="0" fontId="32" fillId="4" borderId="5" xfId="0" applyFont="1" applyFill="1" applyBorder="1" applyAlignment="1">
      <alignment horizontal="center" wrapText="1"/>
    </xf>
    <xf numFmtId="0" fontId="32" fillId="4" borderId="15" xfId="0" applyFont="1" applyFill="1" applyBorder="1" applyAlignment="1">
      <alignment horizontal="center" wrapText="1"/>
    </xf>
    <xf numFmtId="0" fontId="34" fillId="4" borderId="14" xfId="0" applyFont="1" applyFill="1" applyBorder="1" applyAlignment="1">
      <alignment horizontal="center" vertical="top" wrapText="1"/>
    </xf>
    <xf numFmtId="0" fontId="34" fillId="4" borderId="17" xfId="0" applyFont="1" applyFill="1" applyBorder="1" applyAlignment="1">
      <alignment horizontal="center" vertical="top" wrapText="1"/>
    </xf>
    <xf numFmtId="0" fontId="34" fillId="4" borderId="18" xfId="0" applyFont="1" applyFill="1" applyBorder="1" applyAlignment="1">
      <alignment horizontal="center" vertical="top" wrapText="1"/>
    </xf>
    <xf numFmtId="0" fontId="32" fillId="4" borderId="13" xfId="0" applyFont="1" applyFill="1" applyBorder="1" applyAlignment="1">
      <alignment horizontal="center" wrapText="1"/>
    </xf>
    <xf numFmtId="0" fontId="32" fillId="4" borderId="0" xfId="0" applyFont="1" applyFill="1" applyAlignment="1">
      <alignment horizontal="center" wrapText="1"/>
    </xf>
    <xf numFmtId="0" fontId="32" fillId="4" borderId="16" xfId="0" applyFont="1" applyFill="1" applyBorder="1" applyAlignment="1">
      <alignment horizontal="center" wrapText="1"/>
    </xf>
    <xf numFmtId="0" fontId="34" fillId="4" borderId="13" xfId="0" applyFont="1" applyFill="1" applyBorder="1" applyAlignment="1">
      <alignment horizontal="center" vertical="top" wrapText="1"/>
    </xf>
    <xf numFmtId="0" fontId="34" fillId="4" borderId="0" xfId="0" applyFont="1" applyFill="1" applyAlignment="1">
      <alignment horizontal="center" vertical="top" wrapText="1"/>
    </xf>
    <xf numFmtId="0" fontId="34" fillId="4" borderId="16" xfId="0" applyFont="1" applyFill="1" applyBorder="1" applyAlignment="1">
      <alignment horizontal="center" vertical="top" wrapText="1"/>
    </xf>
    <xf numFmtId="0" fontId="23" fillId="12" borderId="12" xfId="0" applyFont="1" applyFill="1" applyBorder="1" applyAlignment="1">
      <alignment horizontal="center" wrapText="1"/>
    </xf>
    <xf numFmtId="0" fontId="18" fillId="0" borderId="17" xfId="0" applyFont="1" applyBorder="1" applyAlignment="1">
      <alignment horizontal="center" vertical="top" wrapText="1"/>
    </xf>
    <xf numFmtId="0" fontId="18" fillId="0" borderId="18" xfId="0" applyFont="1" applyBorder="1" applyAlignment="1">
      <alignment horizontal="center" vertical="top" wrapText="1"/>
    </xf>
    <xf numFmtId="0" fontId="41" fillId="0" borderId="0" xfId="0" applyFont="1" applyAlignment="1">
      <alignment horizontal="center" wrapText="1"/>
    </xf>
    <xf numFmtId="0" fontId="41" fillId="0" borderId="16" xfId="0" applyFont="1" applyBorder="1" applyAlignment="1">
      <alignment horizontal="center" wrapText="1"/>
    </xf>
    <xf numFmtId="0" fontId="3" fillId="7" borderId="10" xfId="0" applyFont="1" applyFill="1" applyBorder="1" applyAlignment="1">
      <alignment horizontal="center" vertical="center"/>
    </xf>
    <xf numFmtId="0" fontId="3" fillId="7" borderId="4" xfId="0" applyFont="1" applyFill="1" applyBorder="1" applyAlignment="1">
      <alignment horizontal="center" vertical="center"/>
    </xf>
    <xf numFmtId="0" fontId="3" fillId="7" borderId="11" xfId="0" applyFont="1" applyFill="1" applyBorder="1" applyAlignment="1">
      <alignment horizontal="center" vertical="center"/>
    </xf>
    <xf numFmtId="0" fontId="49" fillId="4" borderId="5" xfId="0" applyFont="1" applyFill="1" applyBorder="1" applyAlignment="1">
      <alignment horizontal="center" wrapText="1"/>
    </xf>
    <xf numFmtId="0" fontId="49" fillId="4" borderId="15" xfId="0" applyFont="1" applyFill="1" applyBorder="1" applyAlignment="1">
      <alignment horizontal="center" wrapText="1"/>
    </xf>
    <xf numFmtId="0" fontId="49" fillId="4" borderId="0" xfId="0" applyFont="1" applyFill="1" applyAlignment="1">
      <alignment horizontal="center" wrapText="1"/>
    </xf>
    <xf numFmtId="0" fontId="49" fillId="4" borderId="16" xfId="0" applyFont="1" applyFill="1" applyBorder="1" applyAlignment="1">
      <alignment horizontal="center" wrapText="1"/>
    </xf>
    <xf numFmtId="0" fontId="23" fillId="7" borderId="0" xfId="0" applyFont="1" applyFill="1" applyAlignment="1">
      <alignment horizontal="center" wrapText="1"/>
    </xf>
    <xf numFmtId="0" fontId="23" fillId="7" borderId="16" xfId="0" applyFont="1" applyFill="1" applyBorder="1" applyAlignment="1">
      <alignment horizontal="center" wrapText="1"/>
    </xf>
    <xf numFmtId="0" fontId="4" fillId="7" borderId="17" xfId="0" applyFont="1" applyFill="1" applyBorder="1" applyAlignment="1">
      <alignment horizontal="center" vertical="top" wrapText="1"/>
    </xf>
    <xf numFmtId="0" fontId="4" fillId="7" borderId="18" xfId="0" applyFont="1" applyFill="1" applyBorder="1" applyAlignment="1">
      <alignment horizontal="center" vertical="top" wrapText="1"/>
    </xf>
    <xf numFmtId="0" fontId="23" fillId="7" borderId="13" xfId="0" applyFont="1" applyFill="1" applyBorder="1" applyAlignment="1">
      <alignment horizontal="center" wrapText="1"/>
    </xf>
    <xf numFmtId="0" fontId="4" fillId="7" borderId="14" xfId="0" applyFont="1" applyFill="1" applyBorder="1" applyAlignment="1">
      <alignment horizontal="center" vertical="top" wrapText="1"/>
    </xf>
    <xf numFmtId="0" fontId="23" fillId="7" borderId="5" xfId="0" applyFont="1" applyFill="1" applyBorder="1" applyAlignment="1">
      <alignment horizontal="center" wrapText="1"/>
    </xf>
    <xf numFmtId="0" fontId="23" fillId="7" borderId="15" xfId="0" applyFont="1" applyFill="1" applyBorder="1" applyAlignment="1">
      <alignment horizontal="center" wrapText="1"/>
    </xf>
    <xf numFmtId="0" fontId="23" fillId="7" borderId="12" xfId="0" applyFont="1" applyFill="1" applyBorder="1" applyAlignment="1">
      <alignment horizontal="center" wrapText="1"/>
    </xf>
    <xf numFmtId="0" fontId="23" fillId="12" borderId="13" xfId="0" applyFont="1" applyFill="1" applyBorder="1" applyAlignment="1">
      <alignment horizontal="center" wrapText="1"/>
    </xf>
    <xf numFmtId="0" fontId="23" fillId="12" borderId="0" xfId="0" applyFont="1" applyFill="1" applyAlignment="1">
      <alignment horizontal="center" wrapText="1"/>
    </xf>
    <xf numFmtId="0" fontId="23" fillId="12" borderId="16" xfId="0" applyFont="1" applyFill="1" applyBorder="1" applyAlignment="1">
      <alignment horizontal="center" wrapText="1"/>
    </xf>
    <xf numFmtId="0" fontId="41" fillId="4" borderId="13" xfId="0" applyFont="1" applyFill="1" applyBorder="1" applyAlignment="1">
      <alignment horizontal="center" wrapText="1"/>
    </xf>
    <xf numFmtId="0" fontId="3" fillId="13" borderId="10" xfId="0" applyFont="1" applyFill="1" applyBorder="1" applyAlignment="1">
      <alignment horizontal="center" vertical="center"/>
    </xf>
    <xf numFmtId="0" fontId="3" fillId="13" borderId="4" xfId="0" applyFont="1" applyFill="1" applyBorder="1" applyAlignment="1">
      <alignment horizontal="center" vertical="center"/>
    </xf>
    <xf numFmtId="0" fontId="3" fillId="13" borderId="11" xfId="0" applyFont="1" applyFill="1" applyBorder="1" applyAlignment="1">
      <alignment horizontal="center" vertical="center"/>
    </xf>
    <xf numFmtId="0" fontId="18" fillId="13" borderId="17" xfId="0" applyFont="1" applyFill="1" applyBorder="1" applyAlignment="1">
      <alignment horizontal="center" vertical="top" wrapText="1"/>
    </xf>
    <xf numFmtId="0" fontId="18" fillId="13" borderId="18" xfId="0" applyFont="1" applyFill="1" applyBorder="1" applyAlignment="1">
      <alignment horizontal="center" vertical="top" wrapText="1"/>
    </xf>
    <xf numFmtId="0" fontId="46" fillId="12" borderId="5" xfId="0" applyFont="1" applyFill="1" applyBorder="1" applyAlignment="1">
      <alignment horizontal="center" vertical="center" wrapText="1"/>
    </xf>
    <xf numFmtId="0" fontId="46" fillId="12" borderId="15" xfId="0" applyFont="1" applyFill="1" applyBorder="1" applyAlignment="1">
      <alignment horizontal="center" vertical="center" wrapText="1"/>
    </xf>
    <xf numFmtId="0" fontId="18" fillId="12" borderId="14" xfId="0" applyFont="1" applyFill="1" applyBorder="1" applyAlignment="1">
      <alignment horizontal="center" vertical="top" wrapText="1"/>
    </xf>
    <xf numFmtId="0" fontId="18" fillId="12" borderId="17" xfId="0" applyFont="1" applyFill="1" applyBorder="1" applyAlignment="1">
      <alignment horizontal="center" vertical="top" wrapText="1"/>
    </xf>
    <xf numFmtId="0" fontId="18" fillId="12" borderId="18" xfId="0" applyFont="1" applyFill="1" applyBorder="1" applyAlignment="1">
      <alignment horizontal="center" vertical="top" wrapText="1"/>
    </xf>
    <xf numFmtId="0" fontId="18" fillId="13" borderId="14" xfId="0" applyFont="1" applyFill="1" applyBorder="1" applyAlignment="1">
      <alignment horizontal="center" vertical="top" wrapText="1"/>
    </xf>
    <xf numFmtId="0" fontId="6" fillId="13" borderId="5" xfId="0" applyFont="1" applyFill="1" applyBorder="1" applyAlignment="1">
      <alignment horizontal="center" vertical="center" wrapText="1"/>
    </xf>
    <xf numFmtId="0" fontId="6" fillId="13" borderId="15" xfId="0" applyFont="1" applyFill="1" applyBorder="1" applyAlignment="1">
      <alignment horizontal="center" vertical="center" wrapText="1"/>
    </xf>
    <xf numFmtId="0" fontId="6" fillId="13" borderId="12" xfId="0" applyFont="1" applyFill="1" applyBorder="1" applyAlignment="1">
      <alignment horizontal="center" vertical="center" wrapText="1"/>
    </xf>
    <xf numFmtId="0" fontId="3" fillId="3" borderId="10"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11" xfId="0" applyFont="1" applyFill="1" applyBorder="1" applyAlignment="1">
      <alignment horizontal="center" vertical="center"/>
    </xf>
    <xf numFmtId="0" fontId="6" fillId="13" borderId="0" xfId="0" applyFont="1" applyFill="1" applyAlignment="1">
      <alignment horizontal="center" wrapText="1"/>
    </xf>
    <xf numFmtId="0" fontId="6" fillId="13" borderId="16" xfId="0" applyFont="1" applyFill="1" applyBorder="1" applyAlignment="1">
      <alignment horizontal="center" wrapText="1"/>
    </xf>
    <xf numFmtId="0" fontId="6" fillId="13" borderId="13" xfId="0" applyFont="1" applyFill="1" applyBorder="1" applyAlignment="1">
      <alignment horizontal="center" wrapText="1"/>
    </xf>
    <xf numFmtId="0" fontId="6" fillId="13" borderId="12" xfId="0" applyFont="1" applyFill="1" applyBorder="1" applyAlignment="1">
      <alignment horizontal="center" wrapText="1"/>
    </xf>
    <xf numFmtId="0" fontId="6" fillId="13" borderId="5" xfId="0" applyFont="1" applyFill="1" applyBorder="1" applyAlignment="1">
      <alignment horizontal="center" wrapText="1"/>
    </xf>
    <xf numFmtId="0" fontId="6" fillId="13" borderId="15" xfId="0" applyFont="1" applyFill="1" applyBorder="1" applyAlignment="1">
      <alignment horizontal="center" wrapText="1"/>
    </xf>
    <xf numFmtId="0" fontId="18" fillId="12" borderId="14" xfId="0" applyFont="1" applyFill="1" applyBorder="1" applyAlignment="1">
      <alignment horizontal="center" vertical="center" wrapText="1"/>
    </xf>
    <xf numFmtId="0" fontId="18" fillId="12" borderId="17" xfId="0" applyFont="1" applyFill="1" applyBorder="1" applyAlignment="1">
      <alignment horizontal="center" vertical="center" wrapText="1"/>
    </xf>
    <xf numFmtId="0" fontId="18" fillId="12" borderId="18" xfId="0" applyFont="1" applyFill="1" applyBorder="1" applyAlignment="1">
      <alignment horizontal="center" vertical="center" wrapText="1"/>
    </xf>
    <xf numFmtId="0" fontId="13" fillId="8" borderId="19" xfId="0" applyFont="1" applyFill="1" applyBorder="1" applyAlignment="1">
      <alignment horizontal="center" vertical="center"/>
    </xf>
    <xf numFmtId="0" fontId="6" fillId="10" borderId="38" xfId="0" applyFont="1" applyFill="1" applyBorder="1" applyAlignment="1">
      <alignment horizontal="center" wrapText="1"/>
    </xf>
    <xf numFmtId="0" fontId="6" fillId="10" borderId="39" xfId="0" applyFont="1" applyFill="1" applyBorder="1" applyAlignment="1">
      <alignment horizontal="center" wrapText="1"/>
    </xf>
    <xf numFmtId="0" fontId="4" fillId="10" borderId="26" xfId="0" applyFont="1" applyFill="1" applyBorder="1" applyAlignment="1">
      <alignment horizontal="center" vertical="center" wrapText="1"/>
    </xf>
    <xf numFmtId="0" fontId="4" fillId="10" borderId="40" xfId="0" applyFont="1" applyFill="1" applyBorder="1" applyAlignment="1">
      <alignment horizontal="center" vertical="center" wrapText="1"/>
    </xf>
    <xf numFmtId="0" fontId="6" fillId="16" borderId="37" xfId="0" applyFont="1" applyFill="1" applyBorder="1" applyAlignment="1">
      <alignment horizontal="center" wrapText="1"/>
    </xf>
    <xf numFmtId="0" fontId="6" fillId="16" borderId="38" xfId="0" applyFont="1" applyFill="1" applyBorder="1" applyAlignment="1">
      <alignment horizontal="center" wrapText="1"/>
    </xf>
    <xf numFmtId="0" fontId="6" fillId="16" borderId="39" xfId="0" applyFont="1" applyFill="1" applyBorder="1" applyAlignment="1">
      <alignment horizontal="center" wrapText="1"/>
    </xf>
    <xf numFmtId="0" fontId="4" fillId="16" borderId="26" xfId="0" applyFont="1" applyFill="1" applyBorder="1" applyAlignment="1">
      <alignment horizontal="center" vertical="center" wrapText="1"/>
    </xf>
    <xf numFmtId="0" fontId="4" fillId="16" borderId="40" xfId="0" applyFont="1" applyFill="1" applyBorder="1" applyAlignment="1">
      <alignment horizontal="center" vertical="center" wrapText="1"/>
    </xf>
    <xf numFmtId="0" fontId="6" fillId="15" borderId="0" xfId="0" applyFont="1" applyFill="1" applyAlignment="1">
      <alignment horizontal="center" wrapText="1"/>
    </xf>
    <xf numFmtId="0" fontId="6" fillId="15" borderId="20" xfId="0" applyFont="1" applyFill="1" applyBorder="1" applyAlignment="1">
      <alignment horizontal="center" wrapText="1"/>
    </xf>
    <xf numFmtId="0" fontId="6" fillId="15" borderId="38" xfId="0" applyFont="1" applyFill="1" applyBorder="1" applyAlignment="1">
      <alignment horizontal="center" wrapText="1"/>
    </xf>
    <xf numFmtId="0" fontId="6" fillId="15" borderId="39" xfId="0" applyFont="1" applyFill="1" applyBorder="1" applyAlignment="1">
      <alignment horizontal="center" wrapText="1"/>
    </xf>
    <xf numFmtId="0" fontId="4" fillId="15" borderId="25" xfId="0" applyFont="1" applyFill="1" applyBorder="1" applyAlignment="1">
      <alignment horizontal="center" vertical="center" wrapText="1"/>
    </xf>
    <xf numFmtId="0" fontId="4" fillId="15" borderId="26" xfId="0" applyFont="1" applyFill="1" applyBorder="1" applyAlignment="1">
      <alignment horizontal="center" vertical="center" wrapText="1"/>
    </xf>
    <xf numFmtId="0" fontId="4" fillId="15" borderId="40" xfId="0" applyFont="1" applyFill="1" applyBorder="1" applyAlignment="1">
      <alignment horizontal="center" vertical="center" wrapText="1"/>
    </xf>
    <xf numFmtId="0" fontId="6" fillId="10" borderId="37" xfId="0" applyFont="1" applyFill="1" applyBorder="1" applyAlignment="1">
      <alignment horizontal="center" vertical="center" textRotation="90" wrapText="1"/>
    </xf>
    <xf numFmtId="0" fontId="6" fillId="10" borderId="38" xfId="0" applyFont="1" applyFill="1" applyBorder="1" applyAlignment="1">
      <alignment horizontal="center" vertical="center" textRotation="90" wrapText="1"/>
    </xf>
    <xf numFmtId="0" fontId="6" fillId="10" borderId="23" xfId="0" applyFont="1" applyFill="1" applyBorder="1" applyAlignment="1">
      <alignment horizontal="center" vertical="center" textRotation="90" wrapText="1"/>
    </xf>
    <xf numFmtId="0" fontId="6" fillId="10" borderId="0" xfId="0" applyFont="1" applyFill="1" applyAlignment="1">
      <alignment horizontal="center" vertical="center" textRotation="90" wrapText="1"/>
    </xf>
    <xf numFmtId="0" fontId="6" fillId="10" borderId="25" xfId="0" applyFont="1" applyFill="1" applyBorder="1" applyAlignment="1">
      <alignment horizontal="center" vertical="center" textRotation="90" wrapText="1"/>
    </xf>
    <xf numFmtId="0" fontId="6" fillId="10" borderId="26" xfId="0" applyFont="1" applyFill="1" applyBorder="1" applyAlignment="1">
      <alignment horizontal="center" vertical="center" textRotation="90" wrapText="1"/>
    </xf>
    <xf numFmtId="0" fontId="4" fillId="10" borderId="39" xfId="0" applyFont="1" applyFill="1" applyBorder="1" applyAlignment="1">
      <alignment horizontal="center" vertical="center" textRotation="90" wrapText="1"/>
    </xf>
    <xf numFmtId="0" fontId="4" fillId="10" borderId="20" xfId="0" applyFont="1" applyFill="1" applyBorder="1" applyAlignment="1">
      <alignment horizontal="center" vertical="center" textRotation="90" wrapText="1"/>
    </xf>
    <xf numFmtId="0" fontId="4" fillId="10" borderId="40" xfId="0" applyFont="1" applyFill="1" applyBorder="1" applyAlignment="1">
      <alignment horizontal="center" vertical="center" textRotation="90" wrapText="1"/>
    </xf>
    <xf numFmtId="0" fontId="6" fillId="12" borderId="25" xfId="0" applyFont="1" applyFill="1" applyBorder="1" applyAlignment="1">
      <alignment horizontal="center" vertical="center" textRotation="90" wrapText="1"/>
    </xf>
    <xf numFmtId="0" fontId="6" fillId="12" borderId="26" xfId="0" applyFont="1" applyFill="1" applyBorder="1" applyAlignment="1">
      <alignment horizontal="center" vertical="center" textRotation="90" wrapText="1"/>
    </xf>
    <xf numFmtId="0" fontId="4" fillId="12" borderId="39" xfId="0" applyFont="1" applyFill="1" applyBorder="1" applyAlignment="1">
      <alignment horizontal="center" vertical="center" textRotation="90" wrapText="1"/>
    </xf>
    <xf numFmtId="0" fontId="4" fillId="12" borderId="20" xfId="0" applyFont="1" applyFill="1" applyBorder="1" applyAlignment="1">
      <alignment horizontal="center" vertical="center" textRotation="90" wrapText="1"/>
    </xf>
    <xf numFmtId="0" fontId="4" fillId="12" borderId="40" xfId="0" applyFont="1" applyFill="1" applyBorder="1" applyAlignment="1">
      <alignment horizontal="center" vertical="center" textRotation="90" wrapText="1"/>
    </xf>
    <xf numFmtId="0" fontId="6" fillId="15" borderId="37" xfId="0" applyFont="1" applyFill="1" applyBorder="1" applyAlignment="1">
      <alignment horizontal="center" wrapText="1"/>
    </xf>
    <xf numFmtId="0" fontId="6" fillId="10" borderId="37" xfId="0" applyFont="1" applyFill="1" applyBorder="1" applyAlignment="1">
      <alignment horizontal="center" wrapText="1"/>
    </xf>
    <xf numFmtId="0" fontId="10" fillId="12" borderId="63" xfId="0" applyFont="1" applyFill="1" applyBorder="1" applyAlignment="1">
      <alignment horizontal="left" vertical="center" wrapText="1"/>
    </xf>
    <xf numFmtId="0" fontId="14" fillId="5" borderId="8" xfId="0" applyFont="1" applyFill="1" applyBorder="1" applyAlignment="1">
      <alignment horizontal="left" vertical="center"/>
    </xf>
    <xf numFmtId="0" fontId="14" fillId="5" borderId="57" xfId="0" applyFont="1" applyFill="1" applyBorder="1" applyAlignment="1">
      <alignment horizontal="left" vertical="center"/>
    </xf>
    <xf numFmtId="0" fontId="14" fillId="5" borderId="52" xfId="0" applyFont="1" applyFill="1" applyBorder="1" applyAlignment="1">
      <alignment horizontal="left" vertical="center"/>
    </xf>
    <xf numFmtId="0" fontId="6" fillId="10" borderId="0" xfId="0" applyFont="1" applyFill="1" applyAlignment="1">
      <alignment horizontal="center" wrapText="1"/>
    </xf>
    <xf numFmtId="0" fontId="6" fillId="10" borderId="20" xfId="0" applyFont="1" applyFill="1" applyBorder="1" applyAlignment="1">
      <alignment horizontal="center" wrapText="1"/>
    </xf>
    <xf numFmtId="0" fontId="6" fillId="16" borderId="0" xfId="0" applyFont="1" applyFill="1" applyAlignment="1">
      <alignment horizontal="center" wrapText="1"/>
    </xf>
    <xf numFmtId="0" fontId="6" fillId="16" borderId="20" xfId="0" applyFont="1" applyFill="1" applyBorder="1" applyAlignment="1">
      <alignment horizontal="center" wrapText="1"/>
    </xf>
    <xf numFmtId="0" fontId="41" fillId="4" borderId="20" xfId="0" applyFont="1" applyFill="1" applyBorder="1" applyAlignment="1">
      <alignment horizontal="center" wrapText="1"/>
    </xf>
    <xf numFmtId="0" fontId="41" fillId="4" borderId="37" xfId="0" applyFont="1" applyFill="1" applyBorder="1" applyAlignment="1">
      <alignment horizontal="center" wrapText="1"/>
    </xf>
    <xf numFmtId="0" fontId="41" fillId="4" borderId="23" xfId="0" applyFont="1" applyFill="1" applyBorder="1" applyAlignment="1">
      <alignment horizontal="center" wrapText="1"/>
    </xf>
    <xf numFmtId="0" fontId="13" fillId="8" borderId="8" xfId="0" applyFont="1" applyFill="1" applyBorder="1" applyAlignment="1">
      <alignment horizontal="center" vertical="center"/>
    </xf>
    <xf numFmtId="0" fontId="10" fillId="11" borderId="1" xfId="0" applyFont="1" applyFill="1" applyBorder="1" applyAlignment="1">
      <alignment horizontal="left" vertical="center" wrapText="1"/>
    </xf>
    <xf numFmtId="0" fontId="10" fillId="11" borderId="8" xfId="0" applyFont="1" applyFill="1" applyBorder="1" applyAlignment="1">
      <alignment horizontal="left" vertical="center" wrapText="1"/>
    </xf>
    <xf numFmtId="0" fontId="10" fillId="11" borderId="52" xfId="0" applyFont="1" applyFill="1" applyBorder="1" applyAlignment="1">
      <alignment horizontal="left" vertical="center" wrapText="1"/>
    </xf>
    <xf numFmtId="0" fontId="10" fillId="16" borderId="63" xfId="0" applyFont="1" applyFill="1" applyBorder="1" applyAlignment="1">
      <alignment horizontal="left" vertical="center" wrapText="1"/>
    </xf>
    <xf numFmtId="0" fontId="10" fillId="0" borderId="57" xfId="0" applyFont="1" applyBorder="1" applyAlignment="1">
      <alignment horizontal="center" vertical="center"/>
    </xf>
    <xf numFmtId="0" fontId="10" fillId="10" borderId="1" xfId="0" applyFont="1" applyFill="1" applyBorder="1" applyAlignment="1">
      <alignment horizontal="left" vertical="center" wrapText="1"/>
    </xf>
    <xf numFmtId="0" fontId="10" fillId="11" borderId="52" xfId="0" applyFont="1" applyFill="1" applyBorder="1" applyAlignment="1">
      <alignment horizontal="center" vertical="center"/>
    </xf>
    <xf numFmtId="0" fontId="10" fillId="11" borderId="1" xfId="0" applyFont="1" applyFill="1" applyBorder="1" applyAlignment="1">
      <alignment horizontal="center" vertical="center"/>
    </xf>
    <xf numFmtId="0" fontId="10" fillId="10" borderId="52" xfId="0" applyFont="1" applyFill="1" applyBorder="1" applyAlignment="1">
      <alignment horizontal="center" vertical="center"/>
    </xf>
    <xf numFmtId="0" fontId="10" fillId="10" borderId="1" xfId="0" applyFont="1" applyFill="1" applyBorder="1" applyAlignment="1">
      <alignment horizontal="center" vertical="center"/>
    </xf>
    <xf numFmtId="0" fontId="4" fillId="0" borderId="37" xfId="0" applyFont="1" applyBorder="1" applyAlignment="1">
      <alignment horizontal="center" vertical="center" textRotation="45" wrapText="1"/>
    </xf>
    <xf numFmtId="0" fontId="4" fillId="0" borderId="38" xfId="0" applyFont="1" applyBorder="1" applyAlignment="1">
      <alignment horizontal="center" vertical="center" textRotation="45" wrapText="1"/>
    </xf>
    <xf numFmtId="0" fontId="4" fillId="0" borderId="39" xfId="0" applyFont="1" applyBorder="1" applyAlignment="1">
      <alignment horizontal="center" vertical="center" textRotation="45" wrapText="1"/>
    </xf>
    <xf numFmtId="0" fontId="4" fillId="0" borderId="23" xfId="0" applyFont="1" applyBorder="1" applyAlignment="1">
      <alignment horizontal="center" vertical="center" textRotation="45" wrapText="1"/>
    </xf>
    <xf numFmtId="0" fontId="4" fillId="0" borderId="0" xfId="0" applyFont="1" applyAlignment="1">
      <alignment horizontal="center" vertical="center" textRotation="45" wrapText="1"/>
    </xf>
    <xf numFmtId="0" fontId="4" fillId="0" borderId="20" xfId="0" applyFont="1" applyBorder="1" applyAlignment="1">
      <alignment horizontal="center" vertical="center" textRotation="45" wrapText="1"/>
    </xf>
    <xf numFmtId="0" fontId="4" fillId="0" borderId="25" xfId="0" applyFont="1" applyBorder="1" applyAlignment="1">
      <alignment horizontal="center" vertical="center" textRotation="45" wrapText="1"/>
    </xf>
    <xf numFmtId="0" fontId="4" fillId="0" borderId="26" xfId="0" applyFont="1" applyBorder="1" applyAlignment="1">
      <alignment horizontal="center" vertical="center" textRotation="45" wrapText="1"/>
    </xf>
    <xf numFmtId="0" fontId="4" fillId="0" borderId="40" xfId="0" applyFont="1" applyBorder="1" applyAlignment="1">
      <alignment horizontal="center" vertical="center" textRotation="45" wrapText="1"/>
    </xf>
    <xf numFmtId="0" fontId="10" fillId="9" borderId="52" xfId="0" applyFont="1" applyFill="1" applyBorder="1" applyAlignment="1">
      <alignment horizontal="center" vertical="center"/>
    </xf>
    <xf numFmtId="0" fontId="10" fillId="9" borderId="1" xfId="0" applyFont="1" applyFill="1" applyBorder="1" applyAlignment="1">
      <alignment horizontal="center" vertical="center"/>
    </xf>
    <xf numFmtId="0" fontId="6" fillId="14" borderId="23" xfId="0" applyFont="1" applyFill="1" applyBorder="1" applyAlignment="1">
      <alignment horizontal="center" wrapText="1"/>
    </xf>
    <xf numFmtId="0" fontId="4" fillId="13" borderId="36" xfId="0" applyFont="1" applyFill="1" applyBorder="1" applyAlignment="1">
      <alignment horizontal="center" vertical="center" wrapText="1"/>
    </xf>
    <xf numFmtId="0" fontId="4" fillId="13" borderId="26" xfId="0" applyFont="1" applyFill="1" applyBorder="1" applyAlignment="1">
      <alignment horizontal="center" vertical="center" wrapText="1"/>
    </xf>
    <xf numFmtId="0" fontId="4" fillId="13" borderId="33" xfId="0" applyFont="1" applyFill="1" applyBorder="1" applyAlignment="1">
      <alignment horizontal="center" vertical="center" wrapText="1"/>
    </xf>
    <xf numFmtId="0" fontId="6" fillId="13" borderId="50" xfId="0" applyFont="1" applyFill="1" applyBorder="1" applyAlignment="1">
      <alignment horizontal="center" wrapText="1"/>
    </xf>
    <xf numFmtId="0" fontId="6" fillId="13" borderId="38" xfId="0" applyFont="1" applyFill="1" applyBorder="1" applyAlignment="1">
      <alignment horizontal="center" wrapText="1"/>
    </xf>
    <xf numFmtId="0" fontId="6" fillId="13" borderId="48" xfId="0" applyFont="1" applyFill="1" applyBorder="1" applyAlignment="1">
      <alignment horizontal="center" wrapText="1"/>
    </xf>
    <xf numFmtId="0" fontId="4" fillId="13" borderId="14" xfId="0" applyFont="1" applyFill="1" applyBorder="1" applyAlignment="1">
      <alignment horizontal="center" vertical="center" wrapText="1"/>
    </xf>
    <xf numFmtId="0" fontId="4" fillId="13" borderId="17" xfId="0" applyFont="1" applyFill="1" applyBorder="1" applyAlignment="1">
      <alignment horizontal="center" vertical="center" wrapText="1"/>
    </xf>
    <xf numFmtId="0" fontId="4" fillId="13" borderId="18" xfId="0" applyFont="1" applyFill="1" applyBorder="1" applyAlignment="1">
      <alignment horizontal="center" vertical="center" wrapText="1"/>
    </xf>
    <xf numFmtId="0" fontId="6" fillId="28" borderId="50" xfId="0" applyFont="1" applyFill="1" applyBorder="1" applyAlignment="1">
      <alignment horizontal="center" vertical="center" wrapText="1"/>
    </xf>
    <xf numFmtId="0" fontId="6" fillId="28" borderId="38" xfId="0" applyFont="1" applyFill="1" applyBorder="1" applyAlignment="1">
      <alignment horizontal="center" vertical="center" wrapText="1"/>
    </xf>
    <xf numFmtId="0" fontId="6" fillId="28" borderId="48" xfId="0" applyFont="1" applyFill="1" applyBorder="1" applyAlignment="1">
      <alignment horizontal="center" vertical="center" wrapText="1"/>
    </xf>
    <xf numFmtId="0" fontId="17" fillId="0" borderId="0" xfId="0" applyFont="1" applyAlignment="1">
      <alignment horizontal="center"/>
    </xf>
    <xf numFmtId="0" fontId="4" fillId="13" borderId="13" xfId="0" applyFont="1" applyFill="1" applyBorder="1" applyAlignment="1">
      <alignment horizontal="center" vertical="center" wrapText="1"/>
    </xf>
    <xf numFmtId="0" fontId="4" fillId="13" borderId="0" xfId="0" applyFont="1" applyFill="1" applyAlignment="1">
      <alignment horizontal="center" vertical="center" wrapText="1"/>
    </xf>
    <xf numFmtId="0" fontId="4" fillId="13" borderId="16" xfId="0" applyFont="1" applyFill="1" applyBorder="1" applyAlignment="1">
      <alignment horizontal="center" vertical="center" wrapText="1"/>
    </xf>
    <xf numFmtId="0" fontId="6" fillId="13" borderId="50" xfId="0" applyFont="1" applyFill="1" applyBorder="1" applyAlignment="1">
      <alignment horizontal="center" vertical="center" wrapText="1"/>
    </xf>
    <xf numFmtId="0" fontId="6" fillId="13" borderId="38" xfId="0" applyFont="1" applyFill="1" applyBorder="1" applyAlignment="1">
      <alignment horizontal="center" vertical="center" wrapText="1"/>
    </xf>
    <xf numFmtId="0" fontId="6" fillId="13" borderId="48" xfId="0" applyFont="1" applyFill="1" applyBorder="1" applyAlignment="1">
      <alignment horizontal="center" vertical="center" wrapText="1"/>
    </xf>
    <xf numFmtId="0" fontId="18" fillId="12" borderId="36" xfId="0" applyFont="1" applyFill="1" applyBorder="1" applyAlignment="1">
      <alignment horizontal="center" vertical="center" wrapText="1"/>
    </xf>
    <xf numFmtId="0" fontId="18" fillId="12" borderId="26" xfId="0" applyFont="1" applyFill="1" applyBorder="1" applyAlignment="1">
      <alignment horizontal="center" vertical="center" wrapText="1"/>
    </xf>
    <xf numFmtId="0" fontId="18" fillId="12" borderId="33" xfId="0" applyFont="1" applyFill="1" applyBorder="1" applyAlignment="1">
      <alignment horizontal="center" vertical="center" wrapText="1"/>
    </xf>
    <xf numFmtId="0" fontId="6" fillId="13" borderId="13" xfId="0" applyFont="1" applyFill="1" applyBorder="1" applyAlignment="1">
      <alignment horizontal="center" vertical="center" wrapText="1"/>
    </xf>
    <xf numFmtId="0" fontId="6" fillId="13" borderId="0" xfId="0" applyFont="1" applyFill="1" applyAlignment="1">
      <alignment horizontal="center" vertical="center" wrapText="1"/>
    </xf>
    <xf numFmtId="0" fontId="6" fillId="13" borderId="16" xfId="0" applyFont="1" applyFill="1" applyBorder="1" applyAlignment="1">
      <alignment horizontal="center" vertical="center" wrapText="1"/>
    </xf>
    <xf numFmtId="0" fontId="6" fillId="28" borderId="13" xfId="0" applyFont="1" applyFill="1" applyBorder="1" applyAlignment="1">
      <alignment horizontal="center" vertical="center" wrapText="1"/>
    </xf>
    <xf numFmtId="0" fontId="6" fillId="28" borderId="0" xfId="0" applyFont="1" applyFill="1" applyAlignment="1">
      <alignment horizontal="center" vertical="center" wrapText="1"/>
    </xf>
    <xf numFmtId="0" fontId="6" fillId="28" borderId="16" xfId="0" applyFont="1" applyFill="1" applyBorder="1" applyAlignment="1">
      <alignment horizontal="center" vertical="center" wrapText="1"/>
    </xf>
    <xf numFmtId="0" fontId="17" fillId="0" borderId="17" xfId="0" applyFont="1" applyBorder="1" applyAlignment="1">
      <alignment horizontal="center"/>
    </xf>
    <xf numFmtId="0" fontId="69" fillId="6" borderId="0" xfId="0" applyFont="1" applyFill="1" applyAlignment="1">
      <alignment horizontal="center" vertical="center"/>
    </xf>
    <xf numFmtId="0" fontId="4" fillId="4" borderId="25" xfId="0" applyFont="1" applyFill="1" applyBorder="1" applyAlignment="1">
      <alignment horizontal="center" vertical="top" wrapText="1"/>
    </xf>
    <xf numFmtId="0" fontId="4" fillId="4" borderId="40" xfId="0" applyFont="1" applyFill="1" applyBorder="1" applyAlignment="1">
      <alignment horizontal="center" vertical="top" wrapText="1"/>
    </xf>
    <xf numFmtId="0" fontId="3" fillId="0" borderId="87" xfId="0" applyFont="1" applyBorder="1" applyAlignment="1">
      <alignment horizontal="center" vertical="center"/>
    </xf>
    <xf numFmtId="0" fontId="3" fillId="0" borderId="63" xfId="0" applyFont="1" applyBorder="1" applyAlignment="1">
      <alignment horizontal="center" vertical="center"/>
    </xf>
    <xf numFmtId="0" fontId="46" fillId="4" borderId="37" xfId="0" applyFont="1" applyFill="1" applyBorder="1" applyAlignment="1">
      <alignment horizontal="center" wrapText="1"/>
    </xf>
    <xf numFmtId="0" fontId="47" fillId="4" borderId="25" xfId="0" applyFont="1" applyFill="1" applyBorder="1" applyAlignment="1">
      <alignment horizontal="center" vertical="center" wrapText="1"/>
    </xf>
    <xf numFmtId="0" fontId="47" fillId="4" borderId="40" xfId="0" applyFont="1" applyFill="1" applyBorder="1" applyAlignment="1">
      <alignment horizontal="center" vertical="center" wrapText="1"/>
    </xf>
    <xf numFmtId="0" fontId="79" fillId="12" borderId="63" xfId="0" applyFont="1" applyFill="1" applyBorder="1" applyAlignment="1">
      <alignment horizontal="left" vertical="center" wrapText="1"/>
    </xf>
    <xf numFmtId="0" fontId="79" fillId="0" borderId="40" xfId="0" applyFont="1" applyBorder="1" applyAlignment="1">
      <alignment horizontal="left" vertical="center"/>
    </xf>
    <xf numFmtId="0" fontId="79" fillId="0" borderId="63" xfId="0" applyFont="1" applyBorder="1" applyAlignment="1">
      <alignment horizontal="left" vertical="center"/>
    </xf>
    <xf numFmtId="0" fontId="79" fillId="0" borderId="40" xfId="0" applyFont="1" applyBorder="1" applyAlignment="1">
      <alignment horizontal="center" vertical="center"/>
    </xf>
    <xf numFmtId="0" fontId="79" fillId="0" borderId="63" xfId="0" applyFont="1" applyBorder="1" applyAlignment="1">
      <alignment horizontal="center" vertical="center"/>
    </xf>
    <xf numFmtId="0" fontId="79" fillId="12" borderId="1" xfId="0" applyFont="1" applyFill="1" applyBorder="1" applyAlignment="1">
      <alignment horizontal="left" vertical="center" wrapText="1"/>
    </xf>
    <xf numFmtId="0" fontId="79" fillId="0" borderId="52" xfId="0" applyFont="1" applyBorder="1" applyAlignment="1">
      <alignment horizontal="center" vertical="center"/>
    </xf>
    <xf numFmtId="0" fontId="79" fillId="0" borderId="1" xfId="0" applyFont="1" applyBorder="1" applyAlignment="1">
      <alignment horizontal="center" vertical="center"/>
    </xf>
    <xf numFmtId="0" fontId="3" fillId="0" borderId="59" xfId="0" applyFont="1" applyBorder="1" applyAlignment="1">
      <alignment horizontal="center" vertical="center"/>
    </xf>
    <xf numFmtId="0" fontId="28" fillId="4" borderId="20" xfId="0" applyFont="1" applyFill="1" applyBorder="1" applyAlignment="1">
      <alignment horizontal="center" vertical="center" textRotation="90" wrapText="1"/>
    </xf>
    <xf numFmtId="0" fontId="28" fillId="4" borderId="40" xfId="0" applyFont="1" applyFill="1" applyBorder="1" applyAlignment="1">
      <alignment horizontal="center" vertical="center" textRotation="90" wrapText="1"/>
    </xf>
    <xf numFmtId="0" fontId="0" fillId="0" borderId="0" xfId="0"/>
    <xf numFmtId="0" fontId="3" fillId="0" borderId="88" xfId="0" applyFont="1" applyBorder="1" applyAlignment="1">
      <alignment horizontal="center" vertical="center"/>
    </xf>
    <xf numFmtId="0" fontId="23" fillId="14" borderId="50" xfId="0" applyFont="1" applyFill="1" applyBorder="1" applyAlignment="1">
      <alignment horizontal="center" wrapText="1"/>
    </xf>
    <xf numFmtId="0" fontId="23" fillId="14" borderId="48" xfId="0" applyFont="1" applyFill="1" applyBorder="1" applyAlignment="1">
      <alignment horizontal="center" wrapText="1"/>
    </xf>
    <xf numFmtId="0" fontId="19" fillId="14" borderId="13" xfId="0" applyFont="1" applyFill="1" applyBorder="1" applyAlignment="1">
      <alignment horizontal="center" vertical="center" wrapText="1"/>
    </xf>
    <xf numFmtId="0" fontId="19" fillId="14" borderId="0" xfId="0" applyFont="1" applyFill="1" applyAlignment="1">
      <alignment horizontal="center" vertical="center" wrapText="1"/>
    </xf>
    <xf numFmtId="0" fontId="19" fillId="14" borderId="16" xfId="0" applyFont="1" applyFill="1" applyBorder="1" applyAlignment="1">
      <alignment horizontal="center" vertical="center" wrapText="1"/>
    </xf>
    <xf numFmtId="0" fontId="18" fillId="4" borderId="33" xfId="0" applyFont="1" applyFill="1" applyBorder="1" applyAlignment="1">
      <alignment horizontal="center" vertical="center" wrapText="1"/>
    </xf>
    <xf numFmtId="0" fontId="6" fillId="14" borderId="22" xfId="0" applyFont="1" applyFill="1" applyBorder="1" applyAlignment="1">
      <alignment horizontal="right" vertical="center" textRotation="90" wrapText="1"/>
    </xf>
    <xf numFmtId="0" fontId="6" fillId="14" borderId="48" xfId="0" applyFont="1" applyFill="1" applyBorder="1" applyAlignment="1">
      <alignment horizontal="center" vertical="center" textRotation="90" wrapText="1"/>
    </xf>
    <xf numFmtId="0" fontId="6" fillId="14" borderId="16" xfId="0" applyFont="1" applyFill="1" applyBorder="1" applyAlignment="1">
      <alignment horizontal="center" vertical="center" textRotation="90" wrapText="1"/>
    </xf>
    <xf numFmtId="0" fontId="6" fillId="14" borderId="33" xfId="0" applyFont="1" applyFill="1" applyBorder="1" applyAlignment="1">
      <alignment horizontal="center" vertical="center" textRotation="90" wrapText="1"/>
    </xf>
    <xf numFmtId="0" fontId="41" fillId="12" borderId="0" xfId="0" applyFont="1" applyFill="1" applyAlignment="1">
      <alignment horizontal="center" wrapText="1"/>
    </xf>
    <xf numFmtId="0" fontId="3" fillId="0" borderId="89" xfId="0" applyFont="1" applyBorder="1" applyAlignment="1">
      <alignment horizontal="center" vertical="center"/>
    </xf>
    <xf numFmtId="0" fontId="3" fillId="0" borderId="62" xfId="0" applyFont="1" applyBorder="1" applyAlignment="1">
      <alignment horizontal="center" vertical="center"/>
    </xf>
    <xf numFmtId="0" fontId="39" fillId="4" borderId="39" xfId="0" applyFont="1" applyFill="1" applyBorder="1" applyAlignment="1">
      <alignment horizontal="center" vertical="center" textRotation="90" wrapText="1"/>
    </xf>
    <xf numFmtId="0" fontId="39" fillId="4" borderId="20" xfId="0" applyFont="1" applyFill="1" applyBorder="1" applyAlignment="1">
      <alignment horizontal="center" vertical="center" textRotation="90" wrapText="1"/>
    </xf>
    <xf numFmtId="0" fontId="39" fillId="4" borderId="40" xfId="0" applyFont="1" applyFill="1" applyBorder="1" applyAlignment="1">
      <alignment horizontal="center" vertical="center" textRotation="90" wrapText="1"/>
    </xf>
    <xf numFmtId="0" fontId="59" fillId="4" borderId="23" xfId="0" applyFont="1" applyFill="1" applyBorder="1" applyAlignment="1">
      <alignment horizontal="center" vertical="center" textRotation="90" wrapText="1"/>
    </xf>
    <xf numFmtId="0" fontId="59" fillId="4" borderId="25" xfId="0" applyFont="1" applyFill="1" applyBorder="1" applyAlignment="1">
      <alignment horizontal="center" vertical="center" textRotation="90" wrapText="1"/>
    </xf>
    <xf numFmtId="0" fontId="6" fillId="24" borderId="50" xfId="0" applyFont="1" applyFill="1" applyBorder="1" applyAlignment="1">
      <alignment horizontal="center" wrapText="1"/>
    </xf>
    <xf numFmtId="0" fontId="6" fillId="24" borderId="38" xfId="0" applyFont="1" applyFill="1" applyBorder="1" applyAlignment="1">
      <alignment horizontal="center" wrapText="1"/>
    </xf>
    <xf numFmtId="0" fontId="6" fillId="24" borderId="48" xfId="0" applyFont="1" applyFill="1" applyBorder="1" applyAlignment="1">
      <alignment horizontal="center" wrapText="1"/>
    </xf>
    <xf numFmtId="0" fontId="10" fillId="4" borderId="13" xfId="0" applyFont="1" applyFill="1" applyBorder="1" applyAlignment="1">
      <alignment horizontal="left" vertical="center" textRotation="90" wrapText="1"/>
    </xf>
    <xf numFmtId="0" fontId="28" fillId="4" borderId="0" xfId="0" applyFont="1" applyFill="1" applyAlignment="1">
      <alignment horizontal="center" vertical="center" textRotation="90" wrapText="1"/>
    </xf>
    <xf numFmtId="0" fontId="41" fillId="12" borderId="50" xfId="0" applyFont="1" applyFill="1" applyBorder="1" applyAlignment="1">
      <alignment horizontal="center" wrapText="1"/>
    </xf>
    <xf numFmtId="0" fontId="41" fillId="12" borderId="38" xfId="0" applyFont="1" applyFill="1" applyBorder="1" applyAlignment="1">
      <alignment horizontal="center" wrapText="1"/>
    </xf>
    <xf numFmtId="0" fontId="41" fillId="12" borderId="48" xfId="0" applyFont="1" applyFill="1" applyBorder="1" applyAlignment="1">
      <alignment horizontal="center" wrapText="1"/>
    </xf>
    <xf numFmtId="0" fontId="46" fillId="4" borderId="12" xfId="0" applyFont="1" applyFill="1" applyBorder="1" applyAlignment="1">
      <alignment horizontal="center" wrapText="1"/>
    </xf>
    <xf numFmtId="0" fontId="46" fillId="4" borderId="5" xfId="0" applyFont="1" applyFill="1" applyBorder="1" applyAlignment="1">
      <alignment horizontal="center" wrapText="1"/>
    </xf>
    <xf numFmtId="0" fontId="46" fillId="4" borderId="15" xfId="0" applyFont="1" applyFill="1" applyBorder="1" applyAlignment="1">
      <alignment horizontal="center" wrapText="1"/>
    </xf>
    <xf numFmtId="0" fontId="6" fillId="14" borderId="39" xfId="0" applyFont="1" applyFill="1" applyBorder="1" applyAlignment="1">
      <alignment horizontal="center" vertical="center" textRotation="90" wrapText="1"/>
    </xf>
    <xf numFmtId="0" fontId="6" fillId="14" borderId="20" xfId="0" applyFont="1" applyFill="1" applyBorder="1" applyAlignment="1">
      <alignment horizontal="center" vertical="center" textRotation="90" wrapText="1"/>
    </xf>
    <xf numFmtId="0" fontId="6" fillId="14" borderId="40" xfId="0" applyFont="1" applyFill="1" applyBorder="1" applyAlignment="1">
      <alignment horizontal="center" vertical="center" textRotation="90" wrapText="1"/>
    </xf>
    <xf numFmtId="0" fontId="18" fillId="14" borderId="13" xfId="0" applyFont="1" applyFill="1" applyBorder="1" applyAlignment="1">
      <alignment horizontal="center" vertical="center" wrapText="1"/>
    </xf>
    <xf numFmtId="0" fontId="18" fillId="14" borderId="16" xfId="0" applyFont="1" applyFill="1" applyBorder="1" applyAlignment="1">
      <alignment horizontal="center" vertical="center" wrapText="1"/>
    </xf>
    <xf numFmtId="0" fontId="40" fillId="4" borderId="0" xfId="0" applyFont="1" applyFill="1" applyAlignment="1">
      <alignment horizontal="left" vertical="center" textRotation="90" wrapText="1"/>
    </xf>
    <xf numFmtId="0" fontId="37" fillId="12" borderId="1" xfId="0" applyFont="1" applyFill="1" applyBorder="1" applyAlignment="1">
      <alignment horizontal="left" wrapText="1"/>
    </xf>
    <xf numFmtId="0" fontId="37" fillId="12" borderId="63" xfId="0" applyFont="1" applyFill="1" applyBorder="1" applyAlignment="1">
      <alignment horizontal="left" wrapText="1"/>
    </xf>
    <xf numFmtId="0" fontId="3" fillId="0" borderId="86" xfId="0" applyFont="1" applyBorder="1" applyAlignment="1">
      <alignment horizontal="center" vertical="center"/>
    </xf>
    <xf numFmtId="0" fontId="23" fillId="4" borderId="50" xfId="0" applyFont="1" applyFill="1" applyBorder="1" applyAlignment="1">
      <alignment horizontal="center" wrapText="1"/>
    </xf>
    <xf numFmtId="0" fontId="23" fillId="4" borderId="38" xfId="0" applyFont="1" applyFill="1" applyBorder="1" applyAlignment="1">
      <alignment horizontal="center" wrapText="1"/>
    </xf>
    <xf numFmtId="0" fontId="23" fillId="4" borderId="48" xfId="0" applyFont="1" applyFill="1" applyBorder="1" applyAlignment="1">
      <alignment horizontal="center" wrapText="1"/>
    </xf>
    <xf numFmtId="0" fontId="23" fillId="12" borderId="50" xfId="0" applyFont="1" applyFill="1" applyBorder="1" applyAlignment="1">
      <alignment horizontal="center" wrapText="1"/>
    </xf>
    <xf numFmtId="0" fontId="23" fillId="12" borderId="48" xfId="0" applyFont="1" applyFill="1" applyBorder="1" applyAlignment="1">
      <alignment horizontal="center" wrapText="1"/>
    </xf>
    <xf numFmtId="0" fontId="46" fillId="4" borderId="13" xfId="0" applyFont="1" applyFill="1" applyBorder="1" applyAlignment="1">
      <alignment horizontal="center" wrapText="1"/>
    </xf>
    <xf numFmtId="0" fontId="46" fillId="4" borderId="16" xfId="0" applyFont="1" applyFill="1" applyBorder="1" applyAlignment="1">
      <alignment horizontal="center" wrapText="1"/>
    </xf>
    <xf numFmtId="0" fontId="6" fillId="4" borderId="39" xfId="0" applyFont="1" applyFill="1" applyBorder="1" applyAlignment="1">
      <alignment horizontal="center" vertical="center" textRotation="90" wrapText="1"/>
    </xf>
    <xf numFmtId="0" fontId="6" fillId="4" borderId="20" xfId="0" applyFont="1" applyFill="1" applyBorder="1" applyAlignment="1">
      <alignment horizontal="center" vertical="center" textRotation="90" wrapText="1"/>
    </xf>
    <xf numFmtId="0" fontId="6" fillId="4" borderId="40" xfId="0" applyFont="1" applyFill="1" applyBorder="1" applyAlignment="1">
      <alignment horizontal="center" vertical="center" textRotation="90" wrapText="1"/>
    </xf>
    <xf numFmtId="0" fontId="47" fillId="4" borderId="13" xfId="0" applyFont="1" applyFill="1" applyBorder="1" applyAlignment="1">
      <alignment horizontal="center" vertical="center" wrapText="1"/>
    </xf>
    <xf numFmtId="0" fontId="47" fillId="4" borderId="0" xfId="0" applyFont="1" applyFill="1" applyAlignment="1">
      <alignment horizontal="center" vertical="center" wrapText="1"/>
    </xf>
    <xf numFmtId="0" fontId="47" fillId="4" borderId="16" xfId="0" applyFont="1" applyFill="1" applyBorder="1" applyAlignment="1">
      <alignment horizontal="center" vertical="center" wrapText="1"/>
    </xf>
    <xf numFmtId="0" fontId="3" fillId="0" borderId="85" xfId="0" applyFont="1" applyBorder="1" applyAlignment="1">
      <alignment horizontal="center" vertical="center"/>
    </xf>
    <xf numFmtId="0" fontId="16" fillId="8" borderId="25" xfId="0" applyFont="1" applyFill="1" applyBorder="1" applyAlignment="1">
      <alignment horizontal="center" vertical="center"/>
    </xf>
    <xf numFmtId="0" fontId="16" fillId="8" borderId="40" xfId="0" applyFont="1" applyFill="1" applyBorder="1" applyAlignment="1">
      <alignment horizontal="center" vertical="center"/>
    </xf>
    <xf numFmtId="0" fontId="69" fillId="6" borderId="20" xfId="0" applyFont="1" applyFill="1" applyBorder="1" applyAlignment="1">
      <alignment horizontal="center" vertical="center"/>
    </xf>
    <xf numFmtId="0" fontId="69" fillId="6" borderId="26" xfId="0" applyFont="1" applyFill="1" applyBorder="1" applyAlignment="1">
      <alignment horizontal="center" vertical="center"/>
    </xf>
    <xf numFmtId="0" fontId="69" fillId="6" borderId="40" xfId="0" applyFont="1" applyFill="1" applyBorder="1" applyAlignment="1">
      <alignment horizontal="center" vertical="center"/>
    </xf>
    <xf numFmtId="0" fontId="3" fillId="12" borderId="8" xfId="0" applyFont="1" applyFill="1" applyBorder="1" applyAlignment="1">
      <alignment horizontal="center" vertical="center"/>
    </xf>
    <xf numFmtId="0" fontId="3" fillId="12" borderId="57" xfId="0" applyFont="1" applyFill="1" applyBorder="1" applyAlignment="1">
      <alignment horizontal="center" vertical="center"/>
    </xf>
    <xf numFmtId="0" fontId="3" fillId="12" borderId="52" xfId="0" applyFont="1" applyFill="1" applyBorder="1" applyAlignment="1">
      <alignment horizontal="center" vertical="center"/>
    </xf>
    <xf numFmtId="0" fontId="13" fillId="8" borderId="90" xfId="0" applyFont="1" applyFill="1" applyBorder="1" applyAlignment="1">
      <alignment horizontal="center" vertical="center"/>
    </xf>
    <xf numFmtId="0" fontId="3" fillId="7" borderId="8" xfId="0" applyFont="1" applyFill="1" applyBorder="1" applyAlignment="1">
      <alignment horizontal="center" vertical="center"/>
    </xf>
    <xf numFmtId="0" fontId="3" fillId="7" borderId="57" xfId="0" applyFont="1" applyFill="1" applyBorder="1" applyAlignment="1">
      <alignment horizontal="center" vertical="center"/>
    </xf>
    <xf numFmtId="0" fontId="3" fillId="7" borderId="52" xfId="0" applyFont="1" applyFill="1" applyBorder="1" applyAlignment="1">
      <alignment horizontal="center" vertical="center"/>
    </xf>
    <xf numFmtId="0" fontId="39" fillId="4" borderId="38" xfId="0" applyFont="1" applyFill="1" applyBorder="1" applyAlignment="1">
      <alignment horizontal="center" vertical="center" textRotation="90" wrapText="1"/>
    </xf>
    <xf numFmtId="0" fontId="39" fillId="4" borderId="0" xfId="0" applyFont="1" applyFill="1" applyAlignment="1">
      <alignment horizontal="center" vertical="center" textRotation="90" wrapText="1"/>
    </xf>
    <xf numFmtId="0" fontId="3" fillId="14" borderId="39" xfId="0" applyFont="1" applyFill="1" applyBorder="1" applyAlignment="1">
      <alignment horizontal="center" textRotation="90" wrapText="1"/>
    </xf>
    <xf numFmtId="0" fontId="6" fillId="14" borderId="20" xfId="0" applyFont="1" applyFill="1" applyBorder="1" applyAlignment="1">
      <alignment horizontal="center" textRotation="90" wrapText="1"/>
    </xf>
    <xf numFmtId="0" fontId="6" fillId="14" borderId="21" xfId="0" applyFont="1" applyFill="1" applyBorder="1" applyAlignment="1">
      <alignment horizontal="center" textRotation="90" wrapText="1"/>
    </xf>
    <xf numFmtId="0" fontId="3" fillId="14" borderId="20" xfId="0" applyFont="1" applyFill="1" applyBorder="1" applyAlignment="1">
      <alignment horizontal="center" textRotation="90" wrapText="1"/>
    </xf>
    <xf numFmtId="0" fontId="3" fillId="0" borderId="37" xfId="0" applyFont="1" applyBorder="1" applyAlignment="1">
      <alignment horizontal="center" vertical="center"/>
    </xf>
    <xf numFmtId="0" fontId="3" fillId="0" borderId="25" xfId="0" applyFont="1" applyBorder="1" applyAlignment="1">
      <alignment horizontal="center" vertical="center"/>
    </xf>
    <xf numFmtId="0" fontId="41" fillId="4" borderId="26" xfId="0" applyFont="1" applyFill="1" applyBorder="1" applyAlignment="1">
      <alignment horizontal="center" vertical="center" textRotation="90" wrapText="1"/>
    </xf>
    <xf numFmtId="0" fontId="40" fillId="14" borderId="15" xfId="0" applyFont="1" applyFill="1" applyBorder="1" applyAlignment="1">
      <alignment horizontal="left" vertical="center" textRotation="90" wrapText="1"/>
    </xf>
    <xf numFmtId="0" fontId="40" fillId="14" borderId="16" xfId="0" applyFont="1" applyFill="1" applyBorder="1" applyAlignment="1">
      <alignment horizontal="left" vertical="center" textRotation="90" wrapText="1"/>
    </xf>
    <xf numFmtId="0" fontId="40" fillId="14" borderId="33" xfId="0" applyFont="1" applyFill="1" applyBorder="1" applyAlignment="1">
      <alignment horizontal="left" vertical="center" textRotation="90" wrapText="1"/>
    </xf>
    <xf numFmtId="0" fontId="48" fillId="12" borderId="36" xfId="0" applyFont="1" applyFill="1" applyBorder="1" applyAlignment="1">
      <alignment horizontal="center" vertical="center" wrapText="1"/>
    </xf>
    <xf numFmtId="0" fontId="48" fillId="12" borderId="26" xfId="0" applyFont="1" applyFill="1" applyBorder="1" applyAlignment="1">
      <alignment horizontal="center" vertical="center" wrapText="1"/>
    </xf>
    <xf numFmtId="0" fontId="48" fillId="12" borderId="33" xfId="0" applyFont="1" applyFill="1" applyBorder="1" applyAlignment="1">
      <alignment horizontal="center" vertical="center" wrapText="1"/>
    </xf>
    <xf numFmtId="0" fontId="3" fillId="14" borderId="0" xfId="0" applyFont="1" applyFill="1" applyAlignment="1">
      <alignment horizontal="center" textRotation="90" wrapText="1"/>
    </xf>
    <xf numFmtId="0" fontId="6" fillId="14" borderId="0" xfId="0" applyFont="1" applyFill="1" applyAlignment="1">
      <alignment horizontal="center" textRotation="90" wrapText="1"/>
    </xf>
    <xf numFmtId="0" fontId="10" fillId="14" borderId="48" xfId="0" applyFont="1" applyFill="1" applyBorder="1" applyAlignment="1">
      <alignment horizontal="center" vertical="center" textRotation="90" wrapText="1"/>
    </xf>
    <xf numFmtId="0" fontId="10" fillId="14" borderId="18" xfId="0" applyFont="1" applyFill="1" applyBorder="1" applyAlignment="1">
      <alignment horizontal="center" vertical="center" textRotation="90" wrapText="1"/>
    </xf>
    <xf numFmtId="0" fontId="6" fillId="14" borderId="17" xfId="0" applyFont="1" applyFill="1" applyBorder="1" applyAlignment="1">
      <alignment horizontal="right" vertical="center" textRotation="90" wrapText="1"/>
    </xf>
    <xf numFmtId="0" fontId="10" fillId="4" borderId="15" xfId="0" applyFont="1" applyFill="1" applyBorder="1" applyAlignment="1">
      <alignment horizontal="center" vertical="center" textRotation="90" wrapText="1"/>
    </xf>
    <xf numFmtId="0" fontId="6" fillId="24" borderId="13" xfId="0" applyFont="1" applyFill="1" applyBorder="1" applyAlignment="1">
      <alignment horizontal="center" wrapText="1"/>
    </xf>
    <xf numFmtId="0" fontId="6" fillId="24" borderId="0" xfId="0" applyFont="1" applyFill="1" applyAlignment="1">
      <alignment horizontal="center" wrapText="1"/>
    </xf>
    <xf numFmtId="0" fontId="6" fillId="24" borderId="16" xfId="0" applyFont="1" applyFill="1" applyBorder="1" applyAlignment="1">
      <alignment horizontal="center" wrapText="1"/>
    </xf>
    <xf numFmtId="0" fontId="4" fillId="24" borderId="13" xfId="0" applyFont="1" applyFill="1" applyBorder="1" applyAlignment="1">
      <alignment horizontal="center" vertical="top" wrapText="1"/>
    </xf>
    <xf numFmtId="0" fontId="4" fillId="24" borderId="0" xfId="0" applyFont="1" applyFill="1" applyAlignment="1">
      <alignment horizontal="center" vertical="top" wrapText="1"/>
    </xf>
    <xf numFmtId="0" fontId="4" fillId="24" borderId="16" xfId="0" applyFont="1" applyFill="1" applyBorder="1" applyAlignment="1">
      <alignment horizontal="center" vertical="top" wrapText="1"/>
    </xf>
    <xf numFmtId="0" fontId="16" fillId="8" borderId="0" xfId="0" applyFont="1" applyFill="1" applyAlignment="1">
      <alignment horizontal="center" vertical="center"/>
    </xf>
    <xf numFmtId="0" fontId="72" fillId="0" borderId="38" xfId="0" applyFont="1" applyBorder="1" applyAlignment="1">
      <alignment horizontal="left"/>
    </xf>
    <xf numFmtId="0" fontId="71" fillId="0" borderId="38" xfId="0" applyFont="1" applyBorder="1" applyAlignment="1">
      <alignment horizontal="left"/>
    </xf>
    <xf numFmtId="0" fontId="72" fillId="0" borderId="0" xfId="0" applyFont="1" applyAlignment="1">
      <alignment horizontal="left"/>
    </xf>
    <xf numFmtId="0" fontId="71" fillId="0" borderId="0" xfId="0" applyFont="1" applyAlignment="1">
      <alignment horizontal="left"/>
    </xf>
    <xf numFmtId="0" fontId="3" fillId="0" borderId="23" xfId="0" applyFont="1" applyBorder="1" applyAlignment="1">
      <alignment horizontal="center" vertical="center"/>
    </xf>
    <xf numFmtId="0" fontId="40" fillId="4" borderId="16" xfId="0" applyFont="1" applyFill="1" applyBorder="1" applyAlignment="1">
      <alignment horizontal="left" vertical="center" textRotation="90" wrapText="1"/>
    </xf>
    <xf numFmtId="0" fontId="40" fillId="4" borderId="18" xfId="0" applyFont="1" applyFill="1" applyBorder="1" applyAlignment="1">
      <alignment horizontal="left" vertical="center" textRotation="90" wrapText="1"/>
    </xf>
    <xf numFmtId="43" fontId="10" fillId="14" borderId="16" xfId="6" applyFont="1" applyFill="1" applyBorder="1" applyAlignment="1">
      <alignment horizontal="center" vertical="center" textRotation="90" wrapText="1"/>
    </xf>
    <xf numFmtId="43" fontId="10" fillId="14" borderId="33" xfId="6" applyFont="1" applyFill="1" applyBorder="1" applyAlignment="1">
      <alignment horizontal="center" vertical="center" textRotation="90" wrapText="1"/>
    </xf>
    <xf numFmtId="0" fontId="10" fillId="14" borderId="38" xfId="0" applyFont="1" applyFill="1" applyBorder="1" applyAlignment="1">
      <alignment horizontal="center" vertical="center" textRotation="90" wrapText="1"/>
    </xf>
    <xf numFmtId="0" fontId="6" fillId="14" borderId="89" xfId="0" applyFont="1" applyFill="1" applyBorder="1" applyAlignment="1">
      <alignment horizontal="center" vertical="center" textRotation="90" wrapText="1"/>
    </xf>
    <xf numFmtId="0" fontId="6" fillId="14" borderId="88" xfId="0" applyFont="1" applyFill="1" applyBorder="1" applyAlignment="1">
      <alignment horizontal="center" vertical="center" textRotation="90" wrapText="1"/>
    </xf>
    <xf numFmtId="0" fontId="6" fillId="14" borderId="62" xfId="0" applyFont="1" applyFill="1" applyBorder="1" applyAlignment="1">
      <alignment horizontal="center" vertical="center" textRotation="90" wrapText="1"/>
    </xf>
    <xf numFmtId="43" fontId="6" fillId="14" borderId="50" xfId="6" applyFont="1" applyFill="1" applyBorder="1" applyAlignment="1">
      <alignment horizontal="center" vertical="center" textRotation="90" wrapText="1"/>
    </xf>
    <xf numFmtId="43" fontId="6" fillId="14" borderId="13" xfId="6" applyFont="1" applyFill="1" applyBorder="1" applyAlignment="1">
      <alignment horizontal="center" vertical="center" textRotation="90" wrapText="1"/>
    </xf>
    <xf numFmtId="43" fontId="6" fillId="14" borderId="37" xfId="6" applyFont="1" applyFill="1" applyBorder="1" applyAlignment="1">
      <alignment horizontal="center" vertical="center" textRotation="90" wrapText="1"/>
    </xf>
    <xf numFmtId="43" fontId="6" fillId="14" borderId="23" xfId="6" applyFont="1" applyFill="1" applyBorder="1" applyAlignment="1">
      <alignment horizontal="center" vertical="center" textRotation="90" wrapText="1"/>
    </xf>
    <xf numFmtId="43" fontId="6" fillId="14" borderId="0" xfId="6" applyFont="1" applyFill="1" applyBorder="1" applyAlignment="1">
      <alignment horizontal="center" vertical="center" textRotation="90" wrapText="1"/>
    </xf>
    <xf numFmtId="0" fontId="6" fillId="14" borderId="18" xfId="0" applyFont="1" applyFill="1" applyBorder="1" applyAlignment="1">
      <alignment horizontal="center" vertical="center" textRotation="90" wrapText="1"/>
    </xf>
    <xf numFmtId="0" fontId="4" fillId="24" borderId="50" xfId="0" applyFont="1" applyFill="1" applyBorder="1" applyAlignment="1">
      <alignment horizontal="center" vertical="top" wrapText="1"/>
    </xf>
    <xf numFmtId="0" fontId="4" fillId="24" borderId="38" xfId="0" applyFont="1" applyFill="1" applyBorder="1" applyAlignment="1">
      <alignment horizontal="center" vertical="top" wrapText="1"/>
    </xf>
    <xf numFmtId="0" fontId="4" fillId="24" borderId="48" xfId="0" applyFont="1" applyFill="1" applyBorder="1" applyAlignment="1">
      <alignment horizontal="center" vertical="top" wrapText="1"/>
    </xf>
    <xf numFmtId="0" fontId="41" fillId="14" borderId="0" xfId="0" applyFont="1" applyFill="1" applyAlignment="1">
      <alignment horizontal="right" vertical="center" textRotation="90" wrapText="1"/>
    </xf>
    <xf numFmtId="0" fontId="40" fillId="14" borderId="0" xfId="0" applyFont="1" applyFill="1" applyAlignment="1">
      <alignment horizontal="left" vertical="center" textRotation="90" wrapText="1"/>
    </xf>
    <xf numFmtId="0" fontId="6" fillId="14" borderId="87" xfId="0" applyFont="1" applyFill="1" applyBorder="1" applyAlignment="1">
      <alignment horizontal="center" vertical="center" textRotation="90" wrapText="1"/>
    </xf>
    <xf numFmtId="0" fontId="6" fillId="14" borderId="59" xfId="0" applyFont="1" applyFill="1" applyBorder="1" applyAlignment="1">
      <alignment horizontal="center" vertical="center" textRotation="90" wrapText="1"/>
    </xf>
    <xf numFmtId="0" fontId="6" fillId="14" borderId="63" xfId="0" applyFont="1" applyFill="1" applyBorder="1" applyAlignment="1">
      <alignment horizontal="center" vertical="center" textRotation="90" wrapText="1"/>
    </xf>
    <xf numFmtId="0" fontId="10" fillId="14" borderId="15" xfId="0" applyFont="1" applyFill="1" applyBorder="1" applyAlignment="1">
      <alignment horizontal="left" vertical="center" textRotation="90" wrapText="1"/>
    </xf>
    <xf numFmtId="0" fontId="3" fillId="14" borderId="48" xfId="0" applyFont="1" applyFill="1" applyBorder="1" applyAlignment="1">
      <alignment horizontal="center" textRotation="90" wrapText="1"/>
    </xf>
    <xf numFmtId="0" fontId="6" fillId="14" borderId="16" xfId="0" applyFont="1" applyFill="1" applyBorder="1" applyAlignment="1">
      <alignment horizontal="center" textRotation="90" wrapText="1"/>
    </xf>
    <xf numFmtId="0" fontId="6" fillId="14" borderId="18" xfId="0" applyFont="1" applyFill="1" applyBorder="1" applyAlignment="1">
      <alignment horizontal="center" textRotation="90" wrapText="1"/>
    </xf>
    <xf numFmtId="0" fontId="41" fillId="14" borderId="22" xfId="0" applyFont="1" applyFill="1" applyBorder="1" applyAlignment="1">
      <alignment horizontal="right" vertical="center" textRotation="90" wrapText="1"/>
    </xf>
    <xf numFmtId="0" fontId="41" fillId="14" borderId="23" xfId="0" applyFont="1" applyFill="1" applyBorder="1" applyAlignment="1">
      <alignment horizontal="right" vertical="center" textRotation="90" wrapText="1"/>
    </xf>
    <xf numFmtId="0" fontId="38" fillId="14" borderId="0" xfId="0" applyFont="1" applyFill="1" applyAlignment="1">
      <alignment horizontal="center" vertical="center" textRotation="90" wrapText="1"/>
    </xf>
    <xf numFmtId="0" fontId="3" fillId="7" borderId="26" xfId="0" applyFont="1" applyFill="1" applyBorder="1" applyAlignment="1">
      <alignment horizontal="center" vertical="center"/>
    </xf>
    <xf numFmtId="0" fontId="3" fillId="7" borderId="40" xfId="0" applyFont="1" applyFill="1" applyBorder="1" applyAlignment="1">
      <alignment horizontal="center" vertical="center"/>
    </xf>
    <xf numFmtId="0" fontId="4" fillId="4" borderId="43" xfId="0" applyFont="1" applyFill="1" applyBorder="1" applyAlignment="1">
      <alignment horizontal="center" vertical="center" wrapText="1"/>
    </xf>
    <xf numFmtId="0" fontId="4" fillId="4" borderId="57" xfId="0" applyFont="1" applyFill="1" applyBorder="1" applyAlignment="1">
      <alignment horizontal="center" vertical="center" wrapText="1"/>
    </xf>
    <xf numFmtId="0" fontId="4" fillId="4" borderId="64" xfId="0" applyFont="1" applyFill="1" applyBorder="1" applyAlignment="1">
      <alignment horizontal="center" vertical="center" wrapText="1"/>
    </xf>
    <xf numFmtId="0" fontId="4" fillId="11" borderId="75" xfId="0" applyFont="1" applyFill="1" applyBorder="1" applyAlignment="1">
      <alignment horizontal="center" vertical="center"/>
    </xf>
    <xf numFmtId="0" fontId="4" fillId="11" borderId="76" xfId="0" applyFont="1" applyFill="1" applyBorder="1" applyAlignment="1">
      <alignment horizontal="center" vertical="center"/>
    </xf>
    <xf numFmtId="0" fontId="4" fillId="11" borderId="77" xfId="0" applyFont="1" applyFill="1" applyBorder="1" applyAlignment="1">
      <alignment horizontal="center" vertical="center"/>
    </xf>
    <xf numFmtId="0" fontId="4" fillId="11" borderId="78" xfId="0" applyFont="1" applyFill="1" applyBorder="1" applyAlignment="1">
      <alignment horizontal="center" vertical="center"/>
    </xf>
    <xf numFmtId="0" fontId="4" fillId="12" borderId="79" xfId="0" applyFont="1" applyFill="1" applyBorder="1" applyAlignment="1">
      <alignment horizontal="center" vertical="center"/>
    </xf>
    <xf numFmtId="0" fontId="4" fillId="12" borderId="80" xfId="0" applyFont="1" applyFill="1" applyBorder="1" applyAlignment="1">
      <alignment horizontal="center" vertical="center"/>
    </xf>
    <xf numFmtId="0" fontId="4" fillId="12" borderId="81" xfId="0" applyFont="1" applyFill="1" applyBorder="1" applyAlignment="1">
      <alignment horizontal="center" vertical="center"/>
    </xf>
    <xf numFmtId="0" fontId="4" fillId="12" borderId="82" xfId="0" applyFont="1" applyFill="1" applyBorder="1" applyAlignment="1">
      <alignment horizontal="center" vertical="center"/>
    </xf>
    <xf numFmtId="0" fontId="4" fillId="14" borderId="37" xfId="0" applyFont="1" applyFill="1" applyBorder="1" applyAlignment="1">
      <alignment horizontal="center" vertical="center" textRotation="90"/>
    </xf>
    <xf numFmtId="0" fontId="0" fillId="14" borderId="23" xfId="0" applyFill="1" applyBorder="1" applyAlignment="1">
      <alignment horizontal="center" vertical="center" textRotation="90"/>
    </xf>
    <xf numFmtId="0" fontId="0" fillId="14" borderId="25" xfId="0" applyFill="1" applyBorder="1" applyAlignment="1">
      <alignment horizontal="center" vertical="center" textRotation="90"/>
    </xf>
    <xf numFmtId="0" fontId="4" fillId="14" borderId="38" xfId="0" applyFont="1" applyFill="1" applyBorder="1" applyAlignment="1">
      <alignment horizontal="center" vertical="center" textRotation="90"/>
    </xf>
    <xf numFmtId="0" fontId="0" fillId="14" borderId="0" xfId="0" applyFill="1" applyAlignment="1">
      <alignment horizontal="center" vertical="center" textRotation="90"/>
    </xf>
    <xf numFmtId="0" fontId="0" fillId="14" borderId="26" xfId="0" applyFill="1" applyBorder="1" applyAlignment="1">
      <alignment horizontal="center" vertical="center" textRotation="90"/>
    </xf>
    <xf numFmtId="0" fontId="4" fillId="14" borderId="39" xfId="0" applyFont="1" applyFill="1" applyBorder="1" applyAlignment="1">
      <alignment horizontal="center" vertical="center" textRotation="90"/>
    </xf>
    <xf numFmtId="0" fontId="0" fillId="14" borderId="20" xfId="0" applyFill="1" applyBorder="1" applyAlignment="1">
      <alignment horizontal="center" vertical="center" textRotation="90"/>
    </xf>
    <xf numFmtId="0" fontId="0" fillId="14" borderId="40" xfId="0" applyFill="1" applyBorder="1" applyAlignment="1">
      <alignment horizontal="center" vertical="center" textRotation="90"/>
    </xf>
    <xf numFmtId="0" fontId="4" fillId="30" borderId="12" xfId="0" applyFont="1" applyFill="1" applyBorder="1" applyAlignment="1">
      <alignment horizontal="center" vertical="center"/>
    </xf>
    <xf numFmtId="0" fontId="0" fillId="30" borderId="5" xfId="0" applyFill="1" applyBorder="1" applyAlignment="1">
      <alignment horizontal="center" vertical="center"/>
    </xf>
    <xf numFmtId="0" fontId="0" fillId="30" borderId="15" xfId="0" applyFill="1" applyBorder="1" applyAlignment="1">
      <alignment horizontal="center" vertical="center"/>
    </xf>
    <xf numFmtId="0" fontId="0" fillId="30" borderId="13" xfId="0" applyFill="1" applyBorder="1" applyAlignment="1">
      <alignment horizontal="center" vertical="center"/>
    </xf>
    <xf numFmtId="0" fontId="0" fillId="30" borderId="0" xfId="0" applyFill="1" applyAlignment="1">
      <alignment horizontal="center" vertical="center"/>
    </xf>
    <xf numFmtId="0" fontId="0" fillId="30" borderId="16" xfId="0" applyFill="1" applyBorder="1" applyAlignment="1">
      <alignment horizontal="center" vertical="center"/>
    </xf>
    <xf numFmtId="0" fontId="4" fillId="14" borderId="23" xfId="0" applyFont="1" applyFill="1" applyBorder="1" applyAlignment="1">
      <alignment horizontal="center" vertical="center" textRotation="90"/>
    </xf>
  </cellXfs>
  <cellStyles count="8">
    <cellStyle name="Encabezado 1" xfId="1" builtinId="16"/>
    <cellStyle name="Millares" xfId="6" builtinId="3"/>
    <cellStyle name="Moneda" xfId="7" builtinId="4"/>
    <cellStyle name="Normal" xfId="0" builtinId="0"/>
    <cellStyle name="Normal 2" xfId="4" xr:uid="{00000000-0005-0000-0000-000004000000}"/>
    <cellStyle name="Normal 3" xfId="3" xr:uid="{00000000-0005-0000-0000-000005000000}"/>
    <cellStyle name="Normal 4" xfId="5" xr:uid="{00000000-0005-0000-0000-000006000000}"/>
    <cellStyle name="Salida" xfId="2" builtinId="21"/>
  </cellStyles>
  <dxfs count="0"/>
  <tableStyles count="0" defaultTableStyle="TableStyleMedium2" defaultPivotStyle="PivotStyleLight16"/>
  <colors>
    <mruColors>
      <color rgb="FFF1FA78"/>
      <color rgb="FFBAE18F"/>
      <color rgb="FFE74809"/>
      <color rgb="FFEAEAEA"/>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il1.ubu.es\datoscifs$\COMUN\DIRECCION%20EPS\SUBDIRECCI&#211;N%20DE%20ORDENACI&#211;N%20ACADEM\CURSO%2019-20\HORARIOS%20VENA\prueba%20para%20salu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universidaddeburgos-my.sharepoint.com/personal/asmamolar_ubu_es/Documents/DOCENCIA/TFGs/Rebeca%20Cuesta/COPIA/HORARIOS%20VENA(Curso%2024-25)V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COMUN\DIRECCION%20EPS\SUBDIRECCI&#211;N%20DE%20ORDENACI&#211;N%20ACADEM\CURSO%2021-22\COVID%20HORARIOS%20Y%20OCUPACION%20VENA\copia%20seguridad\HORARIOS%20VENACOVID(Curso%2021-22)v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EIA"/>
      <sheetName val="GIM"/>
      <sheetName val="GIOI"/>
      <sheetName val="GII (primero)"/>
      <sheetName val="GII"/>
      <sheetName val="SALUD"/>
      <sheetName val="MINDUST"/>
      <sheetName val="MINFORM"/>
      <sheetName val="MDURAB"/>
      <sheetName val="ASIGNATURAS"/>
      <sheetName val="Aulas"/>
      <sheetName val="Hoja1"/>
      <sheetName val="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GIM_1</v>
          </cell>
          <cell r="D2" t="str">
            <v>GIM__1</v>
          </cell>
        </row>
        <row r="3">
          <cell r="A3" t="str">
            <v>GIM_2</v>
          </cell>
          <cell r="D3" t="str">
            <v>GIM__2</v>
          </cell>
        </row>
        <row r="4">
          <cell r="A4" t="str">
            <v>GIM_3</v>
          </cell>
          <cell r="D4" t="str">
            <v>GIM__3</v>
          </cell>
        </row>
        <row r="5">
          <cell r="A5" t="str">
            <v>GIM_4</v>
          </cell>
          <cell r="D5" t="str">
            <v>GIM__4</v>
          </cell>
        </row>
        <row r="6">
          <cell r="A6" t="str">
            <v>GIM_5</v>
          </cell>
          <cell r="D6" t="str">
            <v>GIM__5</v>
          </cell>
        </row>
        <row r="7">
          <cell r="A7" t="str">
            <v>GIM_6</v>
          </cell>
          <cell r="D7" t="str">
            <v>GIM__6</v>
          </cell>
        </row>
        <row r="8">
          <cell r="A8" t="str">
            <v>GIM_7</v>
          </cell>
          <cell r="D8" t="str">
            <v>GIM__7</v>
          </cell>
        </row>
        <row r="9">
          <cell r="A9" t="str">
            <v>GIM_8</v>
          </cell>
          <cell r="D9" t="str">
            <v>GIM__8</v>
          </cell>
        </row>
        <row r="11">
          <cell r="A11" t="str">
            <v>GIE_1</v>
          </cell>
          <cell r="D11" t="str">
            <v>GIE__1</v>
          </cell>
        </row>
        <row r="12">
          <cell r="A12" t="str">
            <v>GIE_2</v>
          </cell>
          <cell r="D12" t="str">
            <v>GIE__2</v>
          </cell>
        </row>
        <row r="13">
          <cell r="A13" t="str">
            <v>GIE_3</v>
          </cell>
          <cell r="D13" t="str">
            <v>GIE__3</v>
          </cell>
        </row>
        <row r="14">
          <cell r="A14" t="str">
            <v>GIE_4</v>
          </cell>
          <cell r="D14" t="str">
            <v>GIE__4</v>
          </cell>
        </row>
        <row r="15">
          <cell r="A15" t="str">
            <v>GIE_5</v>
          </cell>
          <cell r="D15" t="str">
            <v>GIE__5</v>
          </cell>
        </row>
        <row r="16">
          <cell r="A16" t="str">
            <v>GIE_6</v>
          </cell>
          <cell r="D16" t="str">
            <v>GIE__6</v>
          </cell>
        </row>
        <row r="17">
          <cell r="A17" t="str">
            <v>GIE_7</v>
          </cell>
          <cell r="D17" t="str">
            <v>GIE__7</v>
          </cell>
        </row>
        <row r="18">
          <cell r="A18" t="str">
            <v>GIE_8</v>
          </cell>
          <cell r="D18" t="str">
            <v>GIE__8</v>
          </cell>
        </row>
        <row r="20">
          <cell r="A20" t="str">
            <v>GIO_1</v>
          </cell>
          <cell r="D20" t="str">
            <v>GIO__1</v>
          </cell>
        </row>
        <row r="21">
          <cell r="A21" t="str">
            <v>GIO_2</v>
          </cell>
          <cell r="D21" t="str">
            <v>GIO__2</v>
          </cell>
        </row>
        <row r="22">
          <cell r="A22" t="str">
            <v>GIO_3</v>
          </cell>
          <cell r="D22" t="str">
            <v>GIO__3</v>
          </cell>
        </row>
        <row r="23">
          <cell r="A23" t="str">
            <v>GIO_4</v>
          </cell>
          <cell r="D23" t="str">
            <v>GIO__4</v>
          </cell>
        </row>
        <row r="24">
          <cell r="A24" t="str">
            <v>GIO_5</v>
          </cell>
          <cell r="D24" t="str">
            <v>GIO__5</v>
          </cell>
        </row>
        <row r="25">
          <cell r="A25" t="str">
            <v>GIO_6</v>
          </cell>
          <cell r="D25" t="str">
            <v>GIO__6</v>
          </cell>
        </row>
        <row r="26">
          <cell r="A26" t="str">
            <v>GIO_7</v>
          </cell>
          <cell r="D26" t="str">
            <v>GIO__7</v>
          </cell>
        </row>
        <row r="27">
          <cell r="A27" t="str">
            <v>GIO_8</v>
          </cell>
          <cell r="D27" t="str">
            <v>GIO__8</v>
          </cell>
        </row>
        <row r="29">
          <cell r="A29" t="str">
            <v>GII_1</v>
          </cell>
          <cell r="D29" t="str">
            <v>GII__1</v>
          </cell>
        </row>
        <row r="30">
          <cell r="A30" t="str">
            <v>GII_2</v>
          </cell>
          <cell r="D30" t="str">
            <v>GII__2</v>
          </cell>
        </row>
        <row r="31">
          <cell r="A31" t="str">
            <v>GII_3</v>
          </cell>
          <cell r="D31" t="str">
            <v>GII__3</v>
          </cell>
        </row>
        <row r="32">
          <cell r="A32" t="str">
            <v>GII_4</v>
          </cell>
          <cell r="D32" t="str">
            <v>GII__4</v>
          </cell>
        </row>
        <row r="33">
          <cell r="A33" t="str">
            <v>GII_5</v>
          </cell>
          <cell r="D33" t="str">
            <v>GII__5</v>
          </cell>
        </row>
        <row r="34">
          <cell r="A34" t="str">
            <v>GII_6</v>
          </cell>
          <cell r="D34" t="str">
            <v>GII__6</v>
          </cell>
        </row>
        <row r="35">
          <cell r="A35" t="str">
            <v>GII_7</v>
          </cell>
          <cell r="D35" t="str">
            <v>GII__7</v>
          </cell>
        </row>
        <row r="36">
          <cell r="A36" t="str">
            <v>GII_8</v>
          </cell>
          <cell r="D36" t="str">
            <v>GII__8</v>
          </cell>
        </row>
        <row r="38">
          <cell r="A38" t="str">
            <v>MIND_1</v>
          </cell>
          <cell r="D38" t="str">
            <v>MIND__1</v>
          </cell>
        </row>
        <row r="39">
          <cell r="A39" t="str">
            <v>MIND_2</v>
          </cell>
          <cell r="D39" t="str">
            <v>MIND__2</v>
          </cell>
        </row>
        <row r="40">
          <cell r="A40" t="str">
            <v>MIND_3</v>
          </cell>
          <cell r="D40" t="str">
            <v>MIND__3</v>
          </cell>
        </row>
        <row r="43">
          <cell r="A43" t="str">
            <v>MINF_1</v>
          </cell>
          <cell r="D43" t="str">
            <v>MII__1</v>
          </cell>
        </row>
        <row r="44">
          <cell r="A44" t="str">
            <v>MINF_2</v>
          </cell>
          <cell r="D44" t="str">
            <v>MII__2</v>
          </cell>
        </row>
        <row r="45">
          <cell r="A45" t="str">
            <v>MINF_3</v>
          </cell>
          <cell r="D45" t="str">
            <v>MII__3</v>
          </cell>
        </row>
        <row r="48">
          <cell r="A48" t="str">
            <v>CAGIM_1</v>
          </cell>
          <cell r="D48" t="str">
            <v>CAGIM__1</v>
          </cell>
        </row>
        <row r="49">
          <cell r="A49" t="str">
            <v>CAGIM_2</v>
          </cell>
          <cell r="D49" t="str">
            <v>CAGIM__2</v>
          </cell>
        </row>
        <row r="51">
          <cell r="A51" t="str">
            <v>CAGIE_1</v>
          </cell>
          <cell r="D51" t="str">
            <v>CAGIE__1</v>
          </cell>
        </row>
        <row r="52">
          <cell r="A52" t="str">
            <v>CAGIE_2</v>
          </cell>
          <cell r="D52" t="str">
            <v>CAGIE__2</v>
          </cell>
        </row>
        <row r="54">
          <cell r="A54" t="str">
            <v>MDURAB_1</v>
          </cell>
          <cell r="D54" t="str">
            <v>MDUR__1</v>
          </cell>
        </row>
        <row r="55">
          <cell r="A55" t="str">
            <v>MDURAB_2</v>
          </cell>
          <cell r="D55" t="str">
            <v>MDUR__2</v>
          </cell>
        </row>
        <row r="58">
          <cell r="A58" t="str">
            <v>PRUEBAS</v>
          </cell>
        </row>
        <row r="78">
          <cell r="H78" t="str">
            <v>INFIND</v>
          </cell>
        </row>
        <row r="79">
          <cell r="H79" t="str">
            <v>OFICINA</v>
          </cell>
        </row>
        <row r="80">
          <cell r="H80" t="str">
            <v>ELECTRON. IND.</v>
          </cell>
        </row>
        <row r="81">
          <cell r="H81" t="str">
            <v>INST. SOLARES</v>
          </cell>
        </row>
        <row r="82">
          <cell r="H82" t="str">
            <v>RENOVABLES</v>
          </cell>
        </row>
        <row r="83">
          <cell r="H83" t="str">
            <v>PREV. RIESGOS</v>
          </cell>
        </row>
        <row r="84">
          <cell r="H84" t="str">
            <v>INTEGRACION S.E.</v>
          </cell>
        </row>
        <row r="85">
          <cell r="H85" t="str">
            <v>INSTAL. ELEC.</v>
          </cell>
        </row>
        <row r="86">
          <cell r="H86" t="str">
            <v>DAO</v>
          </cell>
        </row>
        <row r="170">
          <cell r="F170">
            <v>6372</v>
          </cell>
        </row>
        <row r="171">
          <cell r="F171">
            <v>6371</v>
          </cell>
        </row>
        <row r="172">
          <cell r="F172">
            <v>6373</v>
          </cell>
        </row>
        <row r="173">
          <cell r="F173">
            <v>6369</v>
          </cell>
        </row>
        <row r="174">
          <cell r="F174">
            <v>6370</v>
          </cell>
        </row>
        <row r="257">
          <cell r="I257" t="str">
            <v>Ampliación de Cálculo y Geometría</v>
          </cell>
        </row>
        <row r="281">
          <cell r="G281" t="str">
            <v>CALCULO</v>
          </cell>
          <cell r="H281" t="str">
            <v>AMP. CALCULO</v>
          </cell>
        </row>
        <row r="282">
          <cell r="G282" t="str">
            <v>FISICA-I</v>
          </cell>
          <cell r="H282" t="str">
            <v>FISICA II</v>
          </cell>
        </row>
        <row r="283">
          <cell r="G283" t="str">
            <v>ALGEBRA</v>
          </cell>
          <cell r="H283" t="str">
            <v>INFORMATICA</v>
          </cell>
        </row>
        <row r="284">
          <cell r="G284" t="str">
            <v>EXP. GRAF. I</v>
          </cell>
          <cell r="H284" t="str">
            <v>ECONOMIA</v>
          </cell>
        </row>
        <row r="285">
          <cell r="G285" t="str">
            <v>QUIMICA</v>
          </cell>
          <cell r="H285" t="str">
            <v>MATERIALES</v>
          </cell>
        </row>
        <row r="286">
          <cell r="H286" t="str">
            <v>EXP. GRAF. II</v>
          </cell>
        </row>
      </sheetData>
      <sheetData sheetId="10" refreshError="1">
        <row r="2">
          <cell r="A2" t="str">
            <v>Aula 21-A1</v>
          </cell>
          <cell r="B2" t="str">
            <v>(101)</v>
          </cell>
          <cell r="C2" t="str">
            <v>Grupo: MANAÑA</v>
          </cell>
          <cell r="E2" t="str">
            <v>08:30 - 09:30</v>
          </cell>
          <cell r="G2" t="str">
            <v>Nota: Estos horarios podrán ser modificados por necesidades docentes (desdoble de grupos, ocupación de laboratorios, contratación de profesorado…)</v>
          </cell>
        </row>
        <row r="3">
          <cell r="A3" t="str">
            <v>Aula 42-A1 (Tablero)</v>
          </cell>
          <cell r="B3" t="str">
            <v>(102)</v>
          </cell>
          <cell r="C3" t="str">
            <v>Grupo: TARDE</v>
          </cell>
          <cell r="E3" t="str">
            <v>09:30 - 10:30</v>
          </cell>
          <cell r="G3" t="str">
            <v>NOTAS</v>
          </cell>
        </row>
        <row r="4">
          <cell r="A4" t="str">
            <v>Aula 51-A1</v>
          </cell>
          <cell r="B4" t="str">
            <v>(103)</v>
          </cell>
          <cell r="C4" t="str">
            <v>Mención INGENIERIA DE COMPUTADORES</v>
          </cell>
          <cell r="E4" t="str">
            <v>10:30 - 11:30</v>
          </cell>
        </row>
        <row r="5">
          <cell r="A5" t="str">
            <v>Aula 52-A1</v>
          </cell>
          <cell r="B5" t="str">
            <v>(104)</v>
          </cell>
          <cell r="C5" t="str">
            <v>Mención COMPUTACIÓN
Mención INGENIERIA DEL SOFTWARE
Mención SISTEMAS DE INFORMACIÓN</v>
          </cell>
          <cell r="E5" t="str">
            <v>11:30 - 12:30</v>
          </cell>
        </row>
        <row r="6">
          <cell r="A6" t="str">
            <v>Aula 53-A1</v>
          </cell>
          <cell r="B6" t="str">
            <v>(105)</v>
          </cell>
          <cell r="E6" t="str">
            <v>12:30 - 13:30</v>
          </cell>
        </row>
        <row r="7">
          <cell r="A7" t="str">
            <v>Aula 54-A1</v>
          </cell>
          <cell r="B7" t="str">
            <v>(201)</v>
          </cell>
          <cell r="E7" t="str">
            <v>13:30 - 14:30</v>
          </cell>
        </row>
        <row r="8">
          <cell r="A8" t="str">
            <v>Aula 31-A2</v>
          </cell>
          <cell r="B8" t="str">
            <v>(202)</v>
          </cell>
          <cell r="E8" t="str">
            <v>15:30 - 16:30</v>
          </cell>
        </row>
        <row r="9">
          <cell r="A9" t="str">
            <v>Aula 33-A2</v>
          </cell>
          <cell r="B9" t="str">
            <v>(801)</v>
          </cell>
          <cell r="E9" t="str">
            <v>16:30 - 17:30</v>
          </cell>
        </row>
        <row r="10">
          <cell r="A10" t="str">
            <v>Aula 35-A2</v>
          </cell>
          <cell r="B10" t="str">
            <v>(801)</v>
          </cell>
          <cell r="E10" t="str">
            <v>17:30 - 18:30</v>
          </cell>
        </row>
        <row r="11">
          <cell r="A11" t="str">
            <v>Aula 32-A2</v>
          </cell>
          <cell r="B11">
            <v>2</v>
          </cell>
          <cell r="E11" t="str">
            <v>18:30 - 19:30</v>
          </cell>
        </row>
        <row r="12">
          <cell r="A12" t="str">
            <v>Aula 34-A2</v>
          </cell>
          <cell r="B12">
            <v>80</v>
          </cell>
          <cell r="E12" t="str">
            <v>19:30 - 20:30</v>
          </cell>
        </row>
        <row r="13">
          <cell r="A13" t="str">
            <v>Aula 36-A2</v>
          </cell>
          <cell r="B13" t="str">
            <v>(101)</v>
          </cell>
          <cell r="E13" t="str">
            <v>20:30 - 21:30</v>
          </cell>
        </row>
        <row r="14">
          <cell r="A14" t="str">
            <v>Aula 41-A2 (Tablero)</v>
          </cell>
          <cell r="B14" t="str">
            <v>(102)</v>
          </cell>
        </row>
        <row r="15">
          <cell r="A15" t="str">
            <v>Aula 42-A2</v>
          </cell>
          <cell r="B15" t="str">
            <v>(103)</v>
          </cell>
          <cell r="E15" t="str">
            <v>15:30-16:00</v>
          </cell>
        </row>
        <row r="16">
          <cell r="A16" t="str">
            <v>Aula 44-A2</v>
          </cell>
          <cell r="B16" t="str">
            <v>(104)</v>
          </cell>
          <cell r="E16" t="str">
            <v>16:00-16:30</v>
          </cell>
        </row>
        <row r="17">
          <cell r="A17" t="str">
            <v>Aula 46-A2</v>
          </cell>
          <cell r="B17" t="str">
            <v>(204)</v>
          </cell>
          <cell r="E17" t="str">
            <v>16:30-17:00</v>
          </cell>
        </row>
        <row r="18">
          <cell r="A18" t="str">
            <v>Lab. 22-A1</v>
          </cell>
          <cell r="B18" t="str">
            <v>(201)</v>
          </cell>
          <cell r="E18" t="str">
            <v>17:00-17:30</v>
          </cell>
        </row>
        <row r="19">
          <cell r="A19" t="str">
            <v>Lab. 24-A1</v>
          </cell>
          <cell r="B19" t="str">
            <v>(202)</v>
          </cell>
          <cell r="E19" t="str">
            <v>17:30-18:00</v>
          </cell>
        </row>
        <row r="20">
          <cell r="A20" t="str">
            <v>Lab. 26-A1</v>
          </cell>
          <cell r="B20" t="str">
            <v>(203)</v>
          </cell>
          <cell r="E20" t="str">
            <v>18:00-18:30</v>
          </cell>
        </row>
        <row r="21">
          <cell r="A21" t="str">
            <v>Lab. 32-A1</v>
          </cell>
          <cell r="E21" t="str">
            <v>18:30-19:00</v>
          </cell>
        </row>
        <row r="22">
          <cell r="A22" t="str">
            <v>Lab. 34-A1</v>
          </cell>
          <cell r="E22" t="str">
            <v>19:00-19:30</v>
          </cell>
        </row>
        <row r="23">
          <cell r="A23" t="str">
            <v>Lab. 36-A1</v>
          </cell>
          <cell r="E23" t="str">
            <v>19:30-20:00</v>
          </cell>
        </row>
        <row r="24">
          <cell r="A24" t="str">
            <v>Aula 44-A1 (Inf.)</v>
          </cell>
          <cell r="E24" t="str">
            <v>20:00-20:30</v>
          </cell>
        </row>
        <row r="25">
          <cell r="A25" t="str">
            <v>Aula 51-A2 (Inf.)</v>
          </cell>
          <cell r="E25" t="str">
            <v>20:30-21:00</v>
          </cell>
        </row>
        <row r="26">
          <cell r="A26" t="str">
            <v>Aula 52-A2 (Inf.)</v>
          </cell>
          <cell r="E26" t="str">
            <v>21:00-21:30</v>
          </cell>
        </row>
        <row r="27">
          <cell r="A27" t="str">
            <v>Aula 52-A2 (Inf.)/44-A2</v>
          </cell>
        </row>
        <row r="28">
          <cell r="A28" t="str">
            <v>Aula 52-A2 (Inf.)/32-A2</v>
          </cell>
        </row>
        <row r="29">
          <cell r="A29" t="str">
            <v>Aula Inf. 1 A</v>
          </cell>
        </row>
        <row r="30">
          <cell r="A30" t="str">
            <v>Aula Inf. 1 B</v>
          </cell>
        </row>
        <row r="31">
          <cell r="A31" t="str">
            <v>Aula Inf. 2 A</v>
          </cell>
        </row>
        <row r="32">
          <cell r="A32" t="str">
            <v>Aula Inf. 2 B</v>
          </cell>
        </row>
        <row r="33">
          <cell r="A33" t="str">
            <v>Aula 53-A2 (CAD)</v>
          </cell>
        </row>
        <row r="34">
          <cell r="A34" t="str">
            <v>53-A2 (CAD), 41-A2 (Tab)</v>
          </cell>
        </row>
        <row r="35">
          <cell r="A35" t="str">
            <v>Aula 55-A2 (CAD)</v>
          </cell>
        </row>
        <row r="36">
          <cell r="A36" t="str">
            <v>55-A2 (CAD), 42-A1 (Tab)</v>
          </cell>
        </row>
        <row r="37">
          <cell r="A37" t="str">
            <v>Aula 42-A1 (Tab), Inf 1B (CAD)</v>
          </cell>
        </row>
        <row r="38">
          <cell r="A38" t="str">
            <v>Aula 41-A2 (Tab), Inf 1B (CAD)</v>
          </cell>
        </row>
        <row r="39">
          <cell r="A39" t="str">
            <v>Lab. Electrónica</v>
          </cell>
        </row>
        <row r="40">
          <cell r="A40" t="str">
            <v>Lab. Ing. Eléctrica</v>
          </cell>
        </row>
        <row r="41">
          <cell r="A41" t="str">
            <v>Lab. Materiales</v>
          </cell>
        </row>
        <row r="42">
          <cell r="A42" t="str">
            <v>Lab. Química</v>
          </cell>
        </row>
        <row r="43">
          <cell r="A43" t="str">
            <v>Lab. Fisica</v>
          </cell>
        </row>
        <row r="44">
          <cell r="A44" t="str">
            <v>Lab. Automatica 1</v>
          </cell>
        </row>
        <row r="45">
          <cell r="A45" t="str">
            <v>Lab. Automatica 2</v>
          </cell>
        </row>
        <row r="46">
          <cell r="A46" t="str">
            <v>Lab. Ing. Energetica</v>
          </cell>
        </row>
        <row r="47">
          <cell r="A47" t="str">
            <v>Aula Inf. 2B - Lab. Tecn. Mecánica</v>
          </cell>
        </row>
        <row r="48">
          <cell r="A48" t="str">
            <v>Lab. Tecn. Mecánica</v>
          </cell>
        </row>
        <row r="49">
          <cell r="A49" t="str">
            <v>Lab. MMC</v>
          </cell>
        </row>
        <row r="50">
          <cell r="A50" t="str">
            <v>Lab. Quimica / Lab. Fisica</v>
          </cell>
        </row>
        <row r="51">
          <cell r="A51" t="str">
            <v>Aula 21-A1, Aula 51-A2(Inf.)</v>
          </cell>
        </row>
        <row r="52">
          <cell r="A52" t="str">
            <v>Aula 31-A2, Aula 52-A2(Inf.)</v>
          </cell>
        </row>
        <row r="53">
          <cell r="A53" t="str">
            <v>Aula 32-A2, Aula 52-A2(Inf.)</v>
          </cell>
        </row>
        <row r="54">
          <cell r="A54" t="str">
            <v>Aula 32-A2, Aula 51-A2(Inf.)</v>
          </cell>
        </row>
        <row r="55">
          <cell r="A55" t="str">
            <v>Aula 32-A2</v>
          </cell>
        </row>
        <row r="56">
          <cell r="A56" t="str">
            <v>Aula 42-A1, Aula 55-A2</v>
          </cell>
        </row>
        <row r="57">
          <cell r="A57" t="str">
            <v>Aula 41-A2, Aula 55-A2</v>
          </cell>
        </row>
        <row r="58">
          <cell r="A58" t="str">
            <v>Lab. 22-A1, Lab. 36-A1</v>
          </cell>
        </row>
        <row r="59">
          <cell r="A59" t="str">
            <v>Sala de Juntas 2</v>
          </cell>
        </row>
        <row r="60">
          <cell r="A60" t="str">
            <v>Laboratorio MMC</v>
          </cell>
        </row>
        <row r="61">
          <cell r="A61" t="str">
            <v>Aula 34-A2, Lab. MMC</v>
          </cell>
        </row>
        <row r="62">
          <cell r="A62" t="str">
            <v>Lab. de Ing. Mecánica</v>
          </cell>
        </row>
        <row r="63">
          <cell r="A63" t="str">
            <v>Lab. Fisica / Aula 42-A2</v>
          </cell>
        </row>
        <row r="64">
          <cell r="A64" t="str">
            <v>Lab. Fisica / Aula 33-A2</v>
          </cell>
        </row>
        <row r="65">
          <cell r="A65" t="str">
            <v>Lab. Fisica / Aula 46-A2</v>
          </cell>
        </row>
        <row r="66">
          <cell r="A66" t="str">
            <v>Lab. Fisica / Aula 44-A2</v>
          </cell>
        </row>
        <row r="67">
          <cell r="A67" t="str">
            <v>Lab. Fisica / Aula 31-A2</v>
          </cell>
        </row>
        <row r="68">
          <cell r="A68" t="str">
            <v>Lab. Fisica / Aula 51-A1</v>
          </cell>
        </row>
        <row r="69">
          <cell r="A69" t="str">
            <v>Lab Quimica / Aula 31-A2</v>
          </cell>
        </row>
        <row r="70">
          <cell r="A70" t="str">
            <v>Lab. Fisica / Aula 34-A2</v>
          </cell>
        </row>
        <row r="71">
          <cell r="A71" t="str">
            <v>Lab. Fisica / Aula 35-A2</v>
          </cell>
        </row>
        <row r="72">
          <cell r="A72" t="str">
            <v>Lab. Fisica / Aula 32-A2</v>
          </cell>
        </row>
        <row r="73">
          <cell r="A73" t="str">
            <v>Aula Inf. 2-A / Aula 34-A2</v>
          </cell>
        </row>
        <row r="74">
          <cell r="A74" t="str">
            <v>Aula Inf. 1-B / Aula 34-A2</v>
          </cell>
        </row>
        <row r="75">
          <cell r="A75" t="str">
            <v>Lab Quimica / Aula 46-A2</v>
          </cell>
        </row>
        <row r="76">
          <cell r="A76" t="str">
            <v>Aula 32-A2 / Aula Inf. 1B</v>
          </cell>
        </row>
        <row r="77">
          <cell r="A77" t="str">
            <v>Aula 34-A1 / Lab. Automatica</v>
          </cell>
        </row>
        <row r="78">
          <cell r="A78" t="str">
            <v>Aula EMPRESA</v>
          </cell>
        </row>
        <row r="79">
          <cell r="A79" t="str">
            <v>Aula EMPRESA / Lab 24-A1</v>
          </cell>
        </row>
        <row r="80">
          <cell r="A80" t="str">
            <v>Aula EMPRESA / Lab 22-A1</v>
          </cell>
        </row>
        <row r="81">
          <cell r="A81" t="str">
            <v>Aula 21 A1 / Lab 24-A1</v>
          </cell>
        </row>
        <row r="82">
          <cell r="A82" t="str">
            <v>Aula 42A2 / Aula Inf1B</v>
          </cell>
        </row>
        <row r="83">
          <cell r="A83" t="str">
            <v>Aula 42 A2/Lab MMC</v>
          </cell>
        </row>
        <row r="84">
          <cell r="A84" t="str">
            <v>Aula 4114</v>
          </cell>
        </row>
        <row r="85">
          <cell r="A85" t="str">
            <v>Aula 33 A2/ Lab 22-A1</v>
          </cell>
        </row>
        <row r="86">
          <cell r="A86" t="str">
            <v>Lab. Ing. Energetica 2</v>
          </cell>
        </row>
        <row r="87">
          <cell r="A87" t="str">
            <v>Aula 34 A2/ Lab 22-A1</v>
          </cell>
        </row>
      </sheetData>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EIA"/>
      <sheetName val="GIM"/>
      <sheetName val="GIOI"/>
      <sheetName val="D_GIM-GIEIA "/>
      <sheetName val="GII (primero)"/>
      <sheetName val="GII "/>
      <sheetName val="MINFORM"/>
      <sheetName val="MINDUST"/>
      <sheetName val="MDURAB"/>
      <sheetName val="MESO"/>
      <sheetName val="ASIGNATURAS"/>
      <sheetName val="Aulas"/>
      <sheetName val="GIS"/>
      <sheetName val="Hoja1"/>
      <sheetName val="R"/>
    </sheetNames>
    <sheetDataSet>
      <sheetData sheetId="0"/>
      <sheetData sheetId="1"/>
      <sheetData sheetId="2"/>
      <sheetData sheetId="3"/>
      <sheetData sheetId="4"/>
      <sheetData sheetId="5"/>
      <sheetData sheetId="6"/>
      <sheetData sheetId="7"/>
      <sheetData sheetId="8"/>
      <sheetData sheetId="9"/>
      <sheetData sheetId="10">
        <row r="1">
          <cell r="F1" t="str">
            <v>GRADO EN INGENIERIA MECANICA</v>
          </cell>
        </row>
        <row r="2">
          <cell r="F2" t="str">
            <v>CODIGO</v>
          </cell>
          <cell r="G2" t="str">
            <v>SEMESTRE</v>
          </cell>
          <cell r="H2" t="str">
            <v>NOMBRE CORTO</v>
          </cell>
          <cell r="I2" t="str">
            <v>NOMBRE COMPLETO</v>
          </cell>
          <cell r="J2" t="str">
            <v>ECTS</v>
          </cell>
          <cell r="K2" t="str">
            <v>PROFESORES</v>
          </cell>
          <cell r="L2" t="str">
            <v>PROFESOR 1</v>
          </cell>
        </row>
        <row r="3">
          <cell r="F3">
            <v>6302</v>
          </cell>
          <cell r="G3">
            <v>1</v>
          </cell>
          <cell r="H3" t="str">
            <v>CÁLCULO</v>
          </cell>
          <cell r="I3" t="str">
            <v>Cálculo</v>
          </cell>
          <cell r="J3">
            <v>6</v>
          </cell>
          <cell r="K3" t="str">
            <v>Ana García</v>
          </cell>
          <cell r="L3" t="str">
            <v>Ana García</v>
          </cell>
        </row>
        <row r="4">
          <cell r="F4">
            <v>6304</v>
          </cell>
          <cell r="G4">
            <v>1</v>
          </cell>
          <cell r="H4" t="str">
            <v>FÍSICA I</v>
          </cell>
          <cell r="I4" t="str">
            <v>Física I</v>
          </cell>
          <cell r="J4">
            <v>6</v>
          </cell>
          <cell r="K4" t="str">
            <v>Juan José Villalaín, Alfonso Blasco, María del Mar Chichón</v>
          </cell>
          <cell r="L4" t="str">
            <v>Juan José Villalaín</v>
          </cell>
        </row>
        <row r="5">
          <cell r="F5">
            <v>6303</v>
          </cell>
          <cell r="G5">
            <v>1</v>
          </cell>
          <cell r="H5" t="str">
            <v>ÁLGEBRA</v>
          </cell>
          <cell r="I5" t="str">
            <v>Álgebra y Ecuaciones Diferenciales</v>
          </cell>
          <cell r="J5">
            <v>6</v>
          </cell>
          <cell r="K5" t="str">
            <v>José Javier Relancio</v>
          </cell>
          <cell r="L5" t="str">
            <v>José Javier Relancio</v>
          </cell>
        </row>
        <row r="6">
          <cell r="F6">
            <v>6306</v>
          </cell>
          <cell r="G6">
            <v>1</v>
          </cell>
          <cell r="H6" t="str">
            <v>EXP. GRÁFICA I</v>
          </cell>
          <cell r="I6" t="str">
            <v>Expresión Gráfica I</v>
          </cell>
          <cell r="J6">
            <v>6</v>
          </cell>
          <cell r="K6" t="str">
            <v>Arturo de Román , Elías Martínez</v>
          </cell>
          <cell r="L6" t="str">
            <v xml:space="preserve">Arturo de Román </v>
          </cell>
        </row>
        <row r="7">
          <cell r="F7">
            <v>6305</v>
          </cell>
          <cell r="G7">
            <v>1</v>
          </cell>
          <cell r="H7" t="str">
            <v>QUÍMICA</v>
          </cell>
          <cell r="I7" t="str">
            <v>Química</v>
          </cell>
          <cell r="J7">
            <v>6</v>
          </cell>
          <cell r="K7" t="str">
            <v>Fco. Javier Rodríguez</v>
          </cell>
          <cell r="L7" t="str">
            <v>Fco. Javier Rodríguez</v>
          </cell>
        </row>
        <row r="8">
          <cell r="F8"/>
          <cell r="G8">
            <v>1</v>
          </cell>
          <cell r="H8" t="str">
            <v>EXPRESION GRAFICA</v>
          </cell>
          <cell r="I8"/>
          <cell r="J8"/>
          <cell r="K8" t="str">
            <v/>
          </cell>
          <cell r="L8"/>
        </row>
        <row r="9">
          <cell r="F9">
            <v>6307</v>
          </cell>
          <cell r="G9">
            <v>2</v>
          </cell>
          <cell r="H9" t="str">
            <v>AMP. CÁLCULO</v>
          </cell>
          <cell r="I9" t="str">
            <v>Ampliación de Cálculo y Geometría</v>
          </cell>
          <cell r="J9">
            <v>6</v>
          </cell>
          <cell r="K9" t="str">
            <v>Iván Gutiérrez</v>
          </cell>
          <cell r="L9" t="str">
            <v>Iván Gutiérrez</v>
          </cell>
        </row>
        <row r="10">
          <cell r="F10">
            <v>6309</v>
          </cell>
          <cell r="G10">
            <v>2</v>
          </cell>
          <cell r="H10" t="str">
            <v>FÍSICA II</v>
          </cell>
          <cell r="I10" t="str">
            <v>Física II</v>
          </cell>
          <cell r="J10">
            <v>6</v>
          </cell>
          <cell r="K10" t="str">
            <v>Mª Isabel Blanco, Mª Felicidad Bógalo, Manuel Iván González</v>
          </cell>
          <cell r="L10" t="str">
            <v>Mª Isabel Blanco</v>
          </cell>
        </row>
        <row r="11">
          <cell r="F11">
            <v>6308</v>
          </cell>
          <cell r="G11">
            <v>2</v>
          </cell>
          <cell r="H11" t="str">
            <v>INFORMÁTICA</v>
          </cell>
          <cell r="I11" t="str">
            <v>Informática Básica</v>
          </cell>
          <cell r="J11">
            <v>6</v>
          </cell>
          <cell r="K11" t="str">
            <v>Beatriz Gil, Belen Vaquerizo</v>
          </cell>
          <cell r="L11" t="str">
            <v>Beatriz Gil</v>
          </cell>
        </row>
        <row r="12">
          <cell r="F12">
            <v>6311</v>
          </cell>
          <cell r="G12">
            <v>2</v>
          </cell>
          <cell r="H12" t="str">
            <v>ECONOMÍA</v>
          </cell>
          <cell r="I12" t="str">
            <v>Economía de la Empresa</v>
          </cell>
          <cell r="J12">
            <v>6</v>
          </cell>
          <cell r="K12" t="str">
            <v>Juan Mª Espinosa, Rosario González</v>
          </cell>
          <cell r="L12" t="str">
            <v>Juan Mª Espinosa</v>
          </cell>
        </row>
        <row r="13">
          <cell r="F13">
            <v>6310</v>
          </cell>
          <cell r="G13">
            <v>2</v>
          </cell>
          <cell r="H13" t="str">
            <v>MATERIALES</v>
          </cell>
          <cell r="I13" t="str">
            <v>Ciencia de Materiales: Est. y propiedades</v>
          </cell>
          <cell r="J13">
            <v>6</v>
          </cell>
          <cell r="K13" t="str">
            <v>José Calaf Chica, David Cárdenas</v>
          </cell>
          <cell r="L13" t="str">
            <v>José Calaf Chica</v>
          </cell>
        </row>
        <row r="14">
          <cell r="F14">
            <v>6312</v>
          </cell>
          <cell r="G14">
            <v>3</v>
          </cell>
          <cell r="H14" t="str">
            <v>TÉRMICA I</v>
          </cell>
          <cell r="I14" t="str">
            <v>Ingeniería Térmica I</v>
          </cell>
          <cell r="J14">
            <v>6</v>
          </cell>
          <cell r="K14" t="str">
            <v>David González</v>
          </cell>
          <cell r="L14" t="str">
            <v>David González</v>
          </cell>
        </row>
        <row r="15">
          <cell r="F15">
            <v>6313</v>
          </cell>
          <cell r="G15">
            <v>3</v>
          </cell>
          <cell r="H15" t="str">
            <v>ING. ELÉCTRICA</v>
          </cell>
          <cell r="I15" t="str">
            <v>Fundamentos de Ingeniería Eléctrica</v>
          </cell>
          <cell r="J15">
            <v>6</v>
          </cell>
          <cell r="K15" t="str">
            <v>Victoria Abad San Martín</v>
          </cell>
          <cell r="L15" t="str">
            <v>Victoria Abad San Martín</v>
          </cell>
        </row>
        <row r="16">
          <cell r="F16">
            <v>6314</v>
          </cell>
          <cell r="G16">
            <v>3</v>
          </cell>
          <cell r="H16" t="str">
            <v>ERMAT - I</v>
          </cell>
          <cell r="I16" t="str">
            <v>Elasticidad y Resistencia de Materiales</v>
          </cell>
          <cell r="J16">
            <v>6</v>
          </cell>
          <cell r="K16" t="str">
            <v>Isidoro Iván Cuesta</v>
          </cell>
          <cell r="L16" t="str">
            <v>Isidoro Iván Cuesta</v>
          </cell>
        </row>
        <row r="17">
          <cell r="F17">
            <v>6315</v>
          </cell>
          <cell r="G17">
            <v>3</v>
          </cell>
          <cell r="H17" t="str">
            <v>FLUIDOMECÁNICA</v>
          </cell>
          <cell r="I17" t="str">
            <v>Ingeniería Fluidomecánica</v>
          </cell>
          <cell r="J17">
            <v>6</v>
          </cell>
          <cell r="K17" t="str">
            <v>Jose Antonio Barón Aguado</v>
          </cell>
          <cell r="L17" t="str">
            <v>Jose Antonio Barón Aguado</v>
          </cell>
        </row>
        <row r="18">
          <cell r="F18">
            <v>6316</v>
          </cell>
          <cell r="G18">
            <v>3</v>
          </cell>
          <cell r="H18" t="str">
            <v>AUTOMATISMOS</v>
          </cell>
          <cell r="I18" t="str">
            <v>Automatismos y Control Industrial</v>
          </cell>
          <cell r="J18">
            <v>6</v>
          </cell>
          <cell r="K18" t="str">
            <v>Juan Vicente Martín Fraile</v>
          </cell>
          <cell r="L18" t="str">
            <v>Juan Vicente Martín Fraile</v>
          </cell>
        </row>
        <row r="19">
          <cell r="F19">
            <v>6317</v>
          </cell>
          <cell r="G19">
            <v>4</v>
          </cell>
          <cell r="H19" t="str">
            <v>EXP. GRÁFICA II</v>
          </cell>
          <cell r="I19" t="str">
            <v>Expresión Gráfica II</v>
          </cell>
          <cell r="J19">
            <v>6</v>
          </cell>
          <cell r="K19" t="str">
            <v>Arturo de Román Miguel, Esteban García Maté</v>
          </cell>
          <cell r="L19" t="str">
            <v>Arturo de Román Miguel</v>
          </cell>
        </row>
        <row r="20">
          <cell r="F20">
            <v>6318</v>
          </cell>
          <cell r="G20">
            <v>4</v>
          </cell>
          <cell r="H20" t="str">
            <v>ELECTRÓNICA</v>
          </cell>
          <cell r="I20" t="str">
            <v>Fundamentos de Electrónica</v>
          </cell>
          <cell r="J20">
            <v>6</v>
          </cell>
          <cell r="K20" t="str">
            <v>María Isabel Dieste Velasco</v>
          </cell>
          <cell r="L20" t="str">
            <v>María Isabel Dieste Velasco</v>
          </cell>
        </row>
        <row r="21">
          <cell r="F21">
            <v>6319</v>
          </cell>
          <cell r="G21">
            <v>4</v>
          </cell>
          <cell r="H21" t="str">
            <v>MECANISMOS</v>
          </cell>
          <cell r="I21" t="str">
            <v>Mecanismos</v>
          </cell>
          <cell r="J21">
            <v>6</v>
          </cell>
          <cell r="K21" t="str">
            <v>Alberto Martínez Martínez</v>
          </cell>
          <cell r="L21" t="str">
            <v>Alberto Martínez Martínez</v>
          </cell>
        </row>
        <row r="22">
          <cell r="F22">
            <v>6320</v>
          </cell>
          <cell r="G22">
            <v>4</v>
          </cell>
          <cell r="H22" t="str">
            <v>E.C.N.</v>
          </cell>
          <cell r="I22" t="str">
            <v>Estadística y Cálculo Numérico</v>
          </cell>
          <cell r="J22">
            <v>6</v>
          </cell>
          <cell r="K22" t="str">
            <v>Alvaro Díez-Labín, Raúl del Barrio</v>
          </cell>
          <cell r="L22" t="str">
            <v>Alvaro Díez-Labín</v>
          </cell>
        </row>
        <row r="23">
          <cell r="F23">
            <v>6321</v>
          </cell>
          <cell r="G23">
            <v>4</v>
          </cell>
          <cell r="H23" t="str">
            <v>ORGANIZACIÓN</v>
          </cell>
          <cell r="I23" t="str">
            <v>Organización de la Producción</v>
          </cell>
          <cell r="J23">
            <v>6</v>
          </cell>
          <cell r="K23" t="str">
            <v>Óscar Jesus González Alcántara</v>
          </cell>
          <cell r="L23" t="str">
            <v>Óscar Jesus González Alcántara</v>
          </cell>
        </row>
        <row r="24">
          <cell r="F24">
            <v>6322</v>
          </cell>
          <cell r="G24">
            <v>5</v>
          </cell>
          <cell r="H24" t="str">
            <v>PROD. Y FABR.</v>
          </cell>
          <cell r="I24" t="str">
            <v>Sistemas de Producción y Fabricación</v>
          </cell>
          <cell r="J24">
            <v>6</v>
          </cell>
          <cell r="K24" t="str">
            <v>Miguel Angel Mariscal, Miriam Lorenzo , Juan Marcos de las Heras</v>
          </cell>
          <cell r="L24" t="str">
            <v>Miguel Angel Mariscal</v>
          </cell>
        </row>
        <row r="25">
          <cell r="F25">
            <v>6323</v>
          </cell>
          <cell r="G25">
            <v>5</v>
          </cell>
          <cell r="H25" t="str">
            <v>I. MATERIALES</v>
          </cell>
          <cell r="I25" t="str">
            <v>Ingeniería de Materiales</v>
          </cell>
          <cell r="J25">
            <v>6</v>
          </cell>
          <cell r="K25" t="str">
            <v>Mónica Preciado, David Cárdenas, Jose Calaf</v>
          </cell>
          <cell r="L25" t="str">
            <v>Mónica Preciado</v>
          </cell>
        </row>
        <row r="26">
          <cell r="F26">
            <v>6324</v>
          </cell>
          <cell r="G26">
            <v>5</v>
          </cell>
          <cell r="H26" t="str">
            <v>RESISTENCIA II</v>
          </cell>
          <cell r="I26" t="str">
            <v>Resistencia de Materiales II</v>
          </cell>
          <cell r="J26">
            <v>6</v>
          </cell>
          <cell r="K26" t="str">
            <v>Jesús Manuel Alegre, Wilco Verbeeten, Andrés Díaz</v>
          </cell>
          <cell r="L26" t="str">
            <v>Jesús Manuel Alegre</v>
          </cell>
        </row>
        <row r="27">
          <cell r="F27">
            <v>6325</v>
          </cell>
          <cell r="G27">
            <v>5</v>
          </cell>
          <cell r="H27" t="str">
            <v>ING. GRAFICA</v>
          </cell>
          <cell r="I27" t="str">
            <v>Ingeniería Gráfica</v>
          </cell>
          <cell r="J27">
            <v>6</v>
          </cell>
          <cell r="K27" t="str">
            <v>Elías Martínez</v>
          </cell>
          <cell r="L27" t="str">
            <v>Elías Martínez</v>
          </cell>
        </row>
        <row r="28">
          <cell r="F28">
            <v>6326</v>
          </cell>
          <cell r="G28">
            <v>5</v>
          </cell>
          <cell r="H28" t="str">
            <v>MECANISMOS II</v>
          </cell>
          <cell r="I28" t="str">
            <v>Mecanismos II</v>
          </cell>
          <cell r="J28">
            <v>6</v>
          </cell>
          <cell r="K28" t="str">
            <v>Eduardo Pérez Colina</v>
          </cell>
          <cell r="L28" t="str">
            <v>Eduardo Pérez Colina</v>
          </cell>
        </row>
        <row r="29">
          <cell r="F29">
            <v>6327</v>
          </cell>
          <cell r="G29">
            <v>6</v>
          </cell>
          <cell r="H29" t="str">
            <v>MAQ. HIDRÁUL.</v>
          </cell>
          <cell r="I29" t="str">
            <v>Máquinas Hidráulicas</v>
          </cell>
          <cell r="J29">
            <v>6</v>
          </cell>
          <cell r="K29" t="str">
            <v>Ignacio Velázquez, David González</v>
          </cell>
          <cell r="L29" t="str">
            <v>Ignacio Velázquez</v>
          </cell>
        </row>
        <row r="30">
          <cell r="F30">
            <v>6328</v>
          </cell>
          <cell r="G30">
            <v>6</v>
          </cell>
          <cell r="H30" t="str">
            <v>TÉRMICA II</v>
          </cell>
          <cell r="I30" t="str">
            <v>Ingeniería Térmica II</v>
          </cell>
          <cell r="J30">
            <v>6</v>
          </cell>
          <cell r="K30" t="str">
            <v>Cristina Alonso Tristán,  David González</v>
          </cell>
          <cell r="L30" t="str">
            <v>Cristina Alonso Tristán</v>
          </cell>
        </row>
        <row r="31">
          <cell r="F31">
            <v>6329</v>
          </cell>
          <cell r="G31">
            <v>6</v>
          </cell>
          <cell r="H31" t="str">
            <v>DISEÑO MAQ. I</v>
          </cell>
          <cell r="I31" t="str">
            <v>Diseño de Máquinas I</v>
          </cell>
          <cell r="J31">
            <v>6</v>
          </cell>
          <cell r="K31" t="str">
            <v>Mª José García</v>
          </cell>
          <cell r="L31" t="str">
            <v>Mª José García</v>
          </cell>
        </row>
        <row r="32">
          <cell r="F32">
            <v>6330</v>
          </cell>
          <cell r="G32">
            <v>6</v>
          </cell>
          <cell r="H32" t="str">
            <v>ESTRUCTURAS I</v>
          </cell>
          <cell r="I32" t="str">
            <v>Estructuras I</v>
          </cell>
          <cell r="J32">
            <v>6</v>
          </cell>
          <cell r="K32" t="str">
            <v>Jesus Moreno Revilla, Rosario Moradillo</v>
          </cell>
          <cell r="L32" t="str">
            <v>Jesus Moreno Revilla</v>
          </cell>
        </row>
        <row r="33">
          <cell r="F33">
            <v>6331</v>
          </cell>
          <cell r="G33">
            <v>6</v>
          </cell>
          <cell r="H33" t="str">
            <v>TECN. MEC. I</v>
          </cell>
          <cell r="I33" t="str">
            <v>Tecnología Mecánica I</v>
          </cell>
          <cell r="J33">
            <v>6</v>
          </cell>
          <cell r="K33" t="str">
            <v>Mirian Lorenzo</v>
          </cell>
          <cell r="L33" t="str">
            <v>Mirian Lorenzo</v>
          </cell>
        </row>
        <row r="34">
          <cell r="F34">
            <v>6332</v>
          </cell>
          <cell r="G34">
            <v>7</v>
          </cell>
          <cell r="H34" t="str">
            <v>INSTALACIONES I</v>
          </cell>
          <cell r="I34" t="str">
            <v>Instalaciones Industriales I</v>
          </cell>
          <cell r="J34">
            <v>6</v>
          </cell>
          <cell r="K34" t="str">
            <v>Luis Alfredo Suárez Vivar</v>
          </cell>
          <cell r="L34" t="str">
            <v>Luis Alfredo Suárez Vivar</v>
          </cell>
        </row>
        <row r="35">
          <cell r="F35">
            <v>6333</v>
          </cell>
          <cell r="G35">
            <v>7</v>
          </cell>
          <cell r="H35" t="str">
            <v>DISEÑO MAQ. II</v>
          </cell>
          <cell r="I35" t="str">
            <v>Diseño de Máquinas II</v>
          </cell>
          <cell r="J35">
            <v>6</v>
          </cell>
          <cell r="K35" t="str">
            <v>Alberto Martínez Martínez</v>
          </cell>
          <cell r="L35" t="str">
            <v>Alberto Martínez Martínez</v>
          </cell>
        </row>
        <row r="36">
          <cell r="F36">
            <v>6334</v>
          </cell>
          <cell r="G36">
            <v>7</v>
          </cell>
          <cell r="H36" t="str">
            <v>ESTRUCTURAS II</v>
          </cell>
          <cell r="I36" t="str">
            <v>Estructuras II</v>
          </cell>
          <cell r="J36">
            <v>6</v>
          </cell>
          <cell r="K36" t="str">
            <v>José Antonio Martinez,Jesús Mínguez, Álvaro Mena</v>
          </cell>
          <cell r="L36" t="str">
            <v>José Antonio Martinez</v>
          </cell>
        </row>
        <row r="37">
          <cell r="F37">
            <v>6335</v>
          </cell>
          <cell r="G37">
            <v>7</v>
          </cell>
          <cell r="H37" t="str">
            <v>MAQ. TÉRMICAS</v>
          </cell>
          <cell r="I37" t="str">
            <v>Máquinas Térmicas</v>
          </cell>
          <cell r="J37">
            <v>6</v>
          </cell>
          <cell r="K37" t="str">
            <v>Fernando Aguilar Romero</v>
          </cell>
          <cell r="L37" t="str">
            <v>Fernando Aguilar Romero</v>
          </cell>
        </row>
        <row r="38">
          <cell r="F38">
            <v>6336</v>
          </cell>
          <cell r="G38">
            <v>7</v>
          </cell>
          <cell r="H38" t="str">
            <v>OFICINA TÉCNICA</v>
          </cell>
          <cell r="I38" t="str">
            <v>Oficina Técnica</v>
          </cell>
          <cell r="J38">
            <v>6</v>
          </cell>
          <cell r="K38" t="str">
            <v xml:space="preserve">Raúl Zamora </v>
          </cell>
          <cell r="L38" t="str">
            <v xml:space="preserve">Raúl Zamora </v>
          </cell>
        </row>
        <row r="39">
          <cell r="F39">
            <v>8507</v>
          </cell>
          <cell r="G39">
            <v>8</v>
          </cell>
          <cell r="H39" t="str">
            <v>SIMULACIÓN</v>
          </cell>
          <cell r="I39" t="str">
            <v>Simulación Numérica de Componentes y Estructuras</v>
          </cell>
          <cell r="J39" t="str">
            <v>6 (OP)</v>
          </cell>
          <cell r="K39" t="str">
            <v/>
          </cell>
          <cell r="L39"/>
        </row>
        <row r="40">
          <cell r="F40">
            <v>6338</v>
          </cell>
          <cell r="G40">
            <v>8</v>
          </cell>
          <cell r="H40" t="str">
            <v>TECN. MEC. II</v>
          </cell>
          <cell r="I40" t="str">
            <v>Tecnología Mecánica II</v>
          </cell>
          <cell r="J40" t="str">
            <v>6 (OP)</v>
          </cell>
          <cell r="K40" t="str">
            <v/>
          </cell>
          <cell r="L40"/>
        </row>
        <row r="41">
          <cell r="F41">
            <v>6339</v>
          </cell>
          <cell r="G41">
            <v>8</v>
          </cell>
          <cell r="H41" t="str">
            <v>EQUILIBRADO</v>
          </cell>
          <cell r="I41" t="str">
            <v>Equilibrado de Máquinas</v>
          </cell>
          <cell r="J41" t="str">
            <v>6 (OP)</v>
          </cell>
          <cell r="K41"/>
          <cell r="L41"/>
        </row>
        <row r="42">
          <cell r="F42">
            <v>6340</v>
          </cell>
          <cell r="G42">
            <v>8</v>
          </cell>
          <cell r="H42" t="str">
            <v>RENOV. Y M.AMB</v>
          </cell>
          <cell r="I42" t="str">
            <v>Energías Renovables y Medio Ambiente</v>
          </cell>
          <cell r="J42" t="str">
            <v>6 (OP)</v>
          </cell>
          <cell r="K42" t="str">
            <v>Manuel Iván González, Luis Antonio Marcos</v>
          </cell>
          <cell r="L42" t="str">
            <v>Manuel Iván González</v>
          </cell>
        </row>
        <row r="43">
          <cell r="F43">
            <v>6341</v>
          </cell>
          <cell r="G43">
            <v>8</v>
          </cell>
          <cell r="H43" t="str">
            <v>INGLÉS</v>
          </cell>
          <cell r="I43" t="str">
            <v>Inglés Aplicado a la Ingeniería Mecánica</v>
          </cell>
          <cell r="J43" t="str">
            <v>6 (OP)</v>
          </cell>
          <cell r="K43" t="str">
            <v>Ana Isabel Gómez</v>
          </cell>
          <cell r="L43" t="str">
            <v>Ana Isabel Gómez</v>
          </cell>
        </row>
        <row r="44">
          <cell r="F44"/>
          <cell r="K44" t="str">
            <v/>
          </cell>
          <cell r="L44"/>
        </row>
        <row r="45">
          <cell r="F45" t="str">
            <v>GRADO EN INGENIERIA ELECTRONICA</v>
          </cell>
          <cell r="K45" t="str">
            <v/>
          </cell>
          <cell r="L45"/>
        </row>
        <row r="46">
          <cell r="F46">
            <v>6392</v>
          </cell>
          <cell r="G46">
            <v>1</v>
          </cell>
          <cell r="H46" t="str">
            <v>ÁLGEBRA</v>
          </cell>
          <cell r="I46" t="str">
            <v>Álgebra y Ecuaciones Diferenciales</v>
          </cell>
          <cell r="J46">
            <v>6</v>
          </cell>
          <cell r="K46" t="str">
            <v>Roberto Casado</v>
          </cell>
          <cell r="L46" t="str">
            <v>Roberto Casado</v>
          </cell>
        </row>
        <row r="47">
          <cell r="F47">
            <v>6393</v>
          </cell>
          <cell r="G47">
            <v>1</v>
          </cell>
          <cell r="H47" t="str">
            <v>CÁLCULO</v>
          </cell>
          <cell r="I47" t="str">
            <v>Cálculo</v>
          </cell>
          <cell r="J47">
            <v>6</v>
          </cell>
          <cell r="K47" t="str">
            <v>Roberto Casado</v>
          </cell>
          <cell r="L47" t="str">
            <v>Roberto Casado</v>
          </cell>
        </row>
        <row r="48">
          <cell r="F48">
            <v>6394</v>
          </cell>
          <cell r="G48">
            <v>1</v>
          </cell>
          <cell r="H48" t="str">
            <v>FÍSICA I</v>
          </cell>
          <cell r="I48" t="str">
            <v>Física I</v>
          </cell>
          <cell r="J48">
            <v>6</v>
          </cell>
          <cell r="K48" t="str">
            <v>Alfonso Blasco Sanz</v>
          </cell>
          <cell r="L48" t="str">
            <v>Alfonso Blasco Sanz</v>
          </cell>
        </row>
        <row r="49">
          <cell r="F49">
            <v>6395</v>
          </cell>
          <cell r="G49">
            <v>1</v>
          </cell>
          <cell r="H49" t="str">
            <v>EXP. GRÁFICA</v>
          </cell>
          <cell r="I49" t="str">
            <v>Expresión Gráfica</v>
          </cell>
          <cell r="J49">
            <v>6</v>
          </cell>
          <cell r="K49" t="str">
            <v>Esteban García Maté, Esther Baños García</v>
          </cell>
          <cell r="L49" t="str">
            <v>Esteban García Maté</v>
          </cell>
        </row>
        <row r="50">
          <cell r="F50">
            <v>6396</v>
          </cell>
          <cell r="G50">
            <v>1</v>
          </cell>
          <cell r="H50" t="str">
            <v>INFORMÁTICA</v>
          </cell>
          <cell r="I50" t="str">
            <v>Informática Básica</v>
          </cell>
          <cell r="J50">
            <v>6</v>
          </cell>
          <cell r="K50" t="str">
            <v>Beatriz Gil Arroyo, Sergio Martín Marquina</v>
          </cell>
          <cell r="L50" t="str">
            <v>Beatriz Gil Arroyo</v>
          </cell>
        </row>
        <row r="51">
          <cell r="F51"/>
          <cell r="G51"/>
          <cell r="H51"/>
          <cell r="I51"/>
          <cell r="J51"/>
          <cell r="K51" t="str">
            <v/>
          </cell>
          <cell r="L51"/>
        </row>
        <row r="52">
          <cell r="F52">
            <v>6397</v>
          </cell>
          <cell r="G52">
            <v>2</v>
          </cell>
          <cell r="H52" t="str">
            <v>MATERIALES</v>
          </cell>
          <cell r="I52" t="str">
            <v>Ciencia de Materiales: Est. y propiedades</v>
          </cell>
          <cell r="J52">
            <v>6</v>
          </cell>
          <cell r="K52" t="str">
            <v xml:space="preserve">Mónica Preciado Calzada </v>
          </cell>
          <cell r="L52" t="str">
            <v xml:space="preserve">Mónica Preciado Calzada </v>
          </cell>
        </row>
        <row r="53">
          <cell r="F53">
            <v>6398</v>
          </cell>
          <cell r="G53">
            <v>2</v>
          </cell>
          <cell r="H53" t="str">
            <v>AMP. CÁLCULO</v>
          </cell>
          <cell r="I53" t="str">
            <v>Ampliación de Cálculo y Geometría</v>
          </cell>
          <cell r="J53">
            <v>6</v>
          </cell>
          <cell r="K53" t="str">
            <v>Antonio Manzano, Leticia Sainz</v>
          </cell>
          <cell r="L53" t="str">
            <v>Antonio Manzano</v>
          </cell>
        </row>
        <row r="54">
          <cell r="F54">
            <v>6399</v>
          </cell>
          <cell r="G54">
            <v>2</v>
          </cell>
          <cell r="H54" t="str">
            <v>FÍSICA II</v>
          </cell>
          <cell r="I54" t="str">
            <v>Física II</v>
          </cell>
          <cell r="J54">
            <v>6</v>
          </cell>
          <cell r="K54" t="str">
            <v>Maria Felicidad Bogalo Roman</v>
          </cell>
          <cell r="L54" t="str">
            <v>Maria Felicidad Bogalo Roman</v>
          </cell>
        </row>
        <row r="55">
          <cell r="F55">
            <v>6400</v>
          </cell>
          <cell r="G55">
            <v>2</v>
          </cell>
          <cell r="H55" t="str">
            <v>QUÍMICA</v>
          </cell>
          <cell r="I55" t="str">
            <v>Química</v>
          </cell>
          <cell r="J55">
            <v>6</v>
          </cell>
          <cell r="K55" t="str">
            <v>Rafael Alcalde García, Santiago Aparicio</v>
          </cell>
          <cell r="L55" t="str">
            <v>Rafael Alcalde García</v>
          </cell>
        </row>
        <row r="56">
          <cell r="F56">
            <v>6401</v>
          </cell>
          <cell r="G56">
            <v>2</v>
          </cell>
          <cell r="H56" t="str">
            <v>ECONOMÍA</v>
          </cell>
          <cell r="I56" t="str">
            <v>Economía de la Empresa</v>
          </cell>
          <cell r="J56">
            <v>6</v>
          </cell>
          <cell r="K56" t="str">
            <v>María Teresa Peña Pérez</v>
          </cell>
          <cell r="L56" t="str">
            <v>María Teresa Peña Pérez</v>
          </cell>
        </row>
        <row r="57">
          <cell r="F57" t="str">
            <v>6400-E</v>
          </cell>
          <cell r="G57">
            <v>2</v>
          </cell>
          <cell r="H57" t="str">
            <v>CHEMISTRY</v>
          </cell>
          <cell r="I57" t="str">
            <v>Química (English Group)</v>
          </cell>
          <cell r="J57">
            <v>6</v>
          </cell>
          <cell r="K57" t="str">
            <v>Santiago Aparicio Martínez</v>
          </cell>
          <cell r="L57" t="str">
            <v>Santiago Aparicio Martínez</v>
          </cell>
        </row>
        <row r="58">
          <cell r="F58">
            <v>6402</v>
          </cell>
          <cell r="G58">
            <v>3</v>
          </cell>
          <cell r="H58" t="str">
            <v>TÉRMICA</v>
          </cell>
          <cell r="I58" t="str">
            <v>Ingeniería Térmica</v>
          </cell>
          <cell r="J58">
            <v>6</v>
          </cell>
          <cell r="K58" t="str">
            <v>Natalia Muñoz Rujas</v>
          </cell>
          <cell r="L58" t="str">
            <v>Natalia Muñoz Rujas</v>
          </cell>
        </row>
        <row r="59">
          <cell r="F59">
            <v>6403</v>
          </cell>
          <cell r="G59">
            <v>3</v>
          </cell>
          <cell r="H59" t="str">
            <v>E.C.N.</v>
          </cell>
          <cell r="I59" t="str">
            <v>Estadística y Cálculo Numérico</v>
          </cell>
          <cell r="J59">
            <v>6</v>
          </cell>
          <cell r="K59" t="str">
            <v/>
          </cell>
          <cell r="L59"/>
        </row>
        <row r="60">
          <cell r="F60">
            <v>6404</v>
          </cell>
          <cell r="G60">
            <v>3</v>
          </cell>
          <cell r="H60" t="str">
            <v>ING. ELÉCTRICA</v>
          </cell>
          <cell r="I60" t="str">
            <v>Fundamentos de Ingeniería Eléctrica</v>
          </cell>
          <cell r="J60">
            <v>6</v>
          </cell>
          <cell r="K60" t="str">
            <v>Javier González</v>
          </cell>
          <cell r="L60" t="str">
            <v>Javier González</v>
          </cell>
        </row>
        <row r="61">
          <cell r="F61">
            <v>6405</v>
          </cell>
          <cell r="G61">
            <v>3</v>
          </cell>
          <cell r="H61" t="str">
            <v>ORG. PROD.</v>
          </cell>
          <cell r="I61" t="str">
            <v>Organización de la Producción</v>
          </cell>
          <cell r="J61">
            <v>6</v>
          </cell>
          <cell r="K61" t="str">
            <v>Miguel Angel Manzanedo, Carlos Alonso, Ricardo del Olmo</v>
          </cell>
          <cell r="L61" t="str">
            <v>Miguel Angel Manzanedo</v>
          </cell>
        </row>
        <row r="62">
          <cell r="F62">
            <v>6406</v>
          </cell>
          <cell r="G62">
            <v>3</v>
          </cell>
          <cell r="H62" t="str">
            <v>ERMAT</v>
          </cell>
          <cell r="I62" t="str">
            <v>Elasticidad y Resistencia de Materiales</v>
          </cell>
          <cell r="J62">
            <v>6</v>
          </cell>
          <cell r="K62" t="str">
            <v xml:space="preserve">Manuel Solaguren-Beascoa </v>
          </cell>
          <cell r="L62" t="str">
            <v xml:space="preserve">Manuel Solaguren-Beascoa </v>
          </cell>
        </row>
        <row r="63">
          <cell r="F63">
            <v>6407</v>
          </cell>
          <cell r="G63">
            <v>4</v>
          </cell>
          <cell r="H63" t="str">
            <v>FLUIDOMECÁNICA</v>
          </cell>
          <cell r="I63" t="str">
            <v>Ingeniería Fluidomecánica</v>
          </cell>
          <cell r="J63">
            <v>6</v>
          </cell>
          <cell r="K63" t="str">
            <v>Jesús Marcos García</v>
          </cell>
          <cell r="L63" t="str">
            <v>Jesús Marcos García</v>
          </cell>
        </row>
        <row r="64">
          <cell r="F64">
            <v>6408</v>
          </cell>
          <cell r="G64">
            <v>4</v>
          </cell>
          <cell r="H64" t="str">
            <v>ELECTRÓNICA</v>
          </cell>
          <cell r="I64" t="str">
            <v>Fundamentos de Electrónica</v>
          </cell>
          <cell r="J64">
            <v>6</v>
          </cell>
          <cell r="K64" t="str">
            <v>Jesús H. Lucio, Guzmán Moreno</v>
          </cell>
          <cell r="L64" t="str">
            <v>Jesús H. Lucio</v>
          </cell>
        </row>
        <row r="65">
          <cell r="F65">
            <v>6409</v>
          </cell>
          <cell r="G65">
            <v>4</v>
          </cell>
          <cell r="H65" t="str">
            <v>MECANISMOS</v>
          </cell>
          <cell r="I65" t="str">
            <v>Mecanismos</v>
          </cell>
          <cell r="J65">
            <v>6</v>
          </cell>
          <cell r="K65" t="str">
            <v>Francisco Javier Gómez Gil</v>
          </cell>
          <cell r="L65" t="str">
            <v>Francisco Javier Gómez Gil</v>
          </cell>
        </row>
        <row r="66">
          <cell r="F66">
            <v>6410</v>
          </cell>
          <cell r="G66">
            <v>4</v>
          </cell>
          <cell r="H66" t="str">
            <v>AUTOMATISMOS</v>
          </cell>
          <cell r="I66" t="str">
            <v>Automatismos y Control Industrial</v>
          </cell>
          <cell r="J66">
            <v>6</v>
          </cell>
          <cell r="K66" t="str">
            <v>José María Vela Castresana</v>
          </cell>
          <cell r="L66" t="str">
            <v>José María Vela Castresana</v>
          </cell>
        </row>
        <row r="67">
          <cell r="F67">
            <v>6411</v>
          </cell>
          <cell r="G67">
            <v>4</v>
          </cell>
          <cell r="H67" t="str">
            <v>CIRCUITOS</v>
          </cell>
          <cell r="I67" t="str">
            <v>Teoría de Circuitos</v>
          </cell>
          <cell r="J67">
            <v>6</v>
          </cell>
          <cell r="K67" t="str">
            <v>Victoria Abad, Jesús Sagredo</v>
          </cell>
          <cell r="L67" t="str">
            <v>Victoria Abad</v>
          </cell>
        </row>
        <row r="68">
          <cell r="F68">
            <v>6412</v>
          </cell>
          <cell r="G68">
            <v>5</v>
          </cell>
          <cell r="H68" t="str">
            <v>ELECT. ANALOG.</v>
          </cell>
          <cell r="I68" t="str">
            <v>Electrónica Analógica</v>
          </cell>
          <cell r="J68">
            <v>6</v>
          </cell>
          <cell r="K68" t="str">
            <v xml:space="preserve">Jesús H. Lucio, </v>
          </cell>
          <cell r="L68" t="str">
            <v>Jesús H. Lucio</v>
          </cell>
        </row>
        <row r="69">
          <cell r="F69">
            <v>6413</v>
          </cell>
          <cell r="G69">
            <v>5</v>
          </cell>
          <cell r="H69" t="str">
            <v>ELECT. DIGITAL</v>
          </cell>
          <cell r="I69" t="str">
            <v>Electrónica Digital</v>
          </cell>
          <cell r="J69">
            <v>6</v>
          </cell>
          <cell r="K69" t="str">
            <v>Miguel Angel Lozano Pérez</v>
          </cell>
          <cell r="L69" t="str">
            <v>Miguel Angel Lozano Pérez</v>
          </cell>
        </row>
        <row r="70">
          <cell r="F70">
            <v>6414</v>
          </cell>
          <cell r="G70">
            <v>5</v>
          </cell>
          <cell r="H70" t="str">
            <v>REG. AUTOMAT.</v>
          </cell>
          <cell r="I70" t="str">
            <v>Regulación Automática</v>
          </cell>
          <cell r="J70">
            <v>6</v>
          </cell>
          <cell r="K70" t="str">
            <v>Gabriel  Rubio Pérez</v>
          </cell>
          <cell r="L70" t="str">
            <v>Gabriel  Rubio Pérez</v>
          </cell>
        </row>
        <row r="71">
          <cell r="F71">
            <v>6415</v>
          </cell>
          <cell r="G71">
            <v>5</v>
          </cell>
          <cell r="H71" t="str">
            <v>SIST. ELECTRÓN.</v>
          </cell>
          <cell r="I71" t="str">
            <v>Tecnología de los Sistemas Electrónicos</v>
          </cell>
          <cell r="J71">
            <v>6</v>
          </cell>
          <cell r="K71" t="str">
            <v>Miguel Ángel Cantera, Guzmán Moreno</v>
          </cell>
          <cell r="L71" t="str">
            <v>Miguel Ángel Cantera</v>
          </cell>
        </row>
        <row r="72">
          <cell r="F72">
            <v>6416</v>
          </cell>
          <cell r="G72">
            <v>5</v>
          </cell>
          <cell r="H72" t="str">
            <v>MAQUINAS ELÉC.</v>
          </cell>
          <cell r="I72" t="str">
            <v>Máquinas Eléctricas</v>
          </cell>
          <cell r="J72">
            <v>6</v>
          </cell>
          <cell r="K72" t="str">
            <v>Vanesa Fernández Cavero</v>
          </cell>
          <cell r="L72" t="str">
            <v>Vanesa Fernández Cavero</v>
          </cell>
        </row>
        <row r="73">
          <cell r="F73">
            <v>6417</v>
          </cell>
          <cell r="G73">
            <v>6</v>
          </cell>
          <cell r="H73" t="str">
            <v>ELECT. POTENCIA</v>
          </cell>
          <cell r="I73" t="str">
            <v>Electrónica de Potencia</v>
          </cell>
          <cell r="J73">
            <v>6</v>
          </cell>
          <cell r="K73" t="str">
            <v>Guirguis Zaki, Guzmán Moreno</v>
          </cell>
          <cell r="L73" t="str">
            <v>Guirguis Zaki</v>
          </cell>
        </row>
        <row r="74">
          <cell r="F74">
            <v>6418</v>
          </cell>
          <cell r="G74">
            <v>6</v>
          </cell>
          <cell r="H74" t="str">
            <v>SIST. MICRO.</v>
          </cell>
          <cell r="I74" t="str">
            <v>Sistemas Basados en Microprocesad.</v>
          </cell>
          <cell r="J74">
            <v>6</v>
          </cell>
          <cell r="K74" t="str">
            <v>Miguel Ángel Cantera Cuartango,</v>
          </cell>
          <cell r="L74" t="str">
            <v>Miguel Ángel Cantera Cuartango</v>
          </cell>
        </row>
        <row r="75">
          <cell r="F75">
            <v>6419</v>
          </cell>
          <cell r="G75">
            <v>6</v>
          </cell>
          <cell r="H75" t="str">
            <v>INSTR. ELECT.</v>
          </cell>
          <cell r="I75" t="str">
            <v>Instrumentación Electrónica</v>
          </cell>
          <cell r="J75">
            <v>6</v>
          </cell>
          <cell r="K75" t="str">
            <v>Ignacio Moreno Velasco</v>
          </cell>
          <cell r="L75" t="str">
            <v>Ignacio Moreno Velasco</v>
          </cell>
        </row>
        <row r="76">
          <cell r="F76">
            <v>6420</v>
          </cell>
          <cell r="G76">
            <v>6</v>
          </cell>
          <cell r="H76" t="str">
            <v>CONTROL PROC.</v>
          </cell>
          <cell r="I76" t="str">
            <v>Control de Procesos Industriales</v>
          </cell>
          <cell r="J76">
            <v>6</v>
          </cell>
          <cell r="K76" t="str">
            <v>Rubén Ruiz</v>
          </cell>
          <cell r="L76" t="str">
            <v>Rubén Ruiz</v>
          </cell>
        </row>
        <row r="77">
          <cell r="F77">
            <v>6421</v>
          </cell>
          <cell r="G77">
            <v>6</v>
          </cell>
          <cell r="H77" t="str">
            <v>PROD. Y FABRIC.</v>
          </cell>
          <cell r="I77" t="str">
            <v>Sistemas de Producción y Fabricación</v>
          </cell>
          <cell r="J77">
            <v>6</v>
          </cell>
          <cell r="K77" t="str">
            <v xml:space="preserve">Juan Marcos de las Heras, Miriam Lorenzo </v>
          </cell>
          <cell r="L77" t="str">
            <v>Juan Marcos de las Heras</v>
          </cell>
        </row>
        <row r="78">
          <cell r="F78">
            <v>6422</v>
          </cell>
          <cell r="G78">
            <v>7</v>
          </cell>
          <cell r="H78" t="str">
            <v>INFIND</v>
          </cell>
          <cell r="I78" t="str">
            <v>Informática Industrial</v>
          </cell>
          <cell r="J78">
            <v>6</v>
          </cell>
          <cell r="K78" t="str">
            <v>José Luis Jabato</v>
          </cell>
          <cell r="L78" t="str">
            <v>José Luis Jabato</v>
          </cell>
        </row>
        <row r="79">
          <cell r="F79">
            <v>6423</v>
          </cell>
          <cell r="G79">
            <v>7</v>
          </cell>
          <cell r="H79" t="str">
            <v>OFICINA TÉCNICA</v>
          </cell>
          <cell r="I79" t="str">
            <v>Oficina Técnica</v>
          </cell>
          <cell r="J79">
            <v>6</v>
          </cell>
          <cell r="K79" t="str">
            <v xml:space="preserve">Raúl Zamora </v>
          </cell>
          <cell r="L79" t="str">
            <v xml:space="preserve">Raúl Zamora </v>
          </cell>
        </row>
        <row r="80">
          <cell r="F80">
            <v>6424</v>
          </cell>
          <cell r="G80">
            <v>7</v>
          </cell>
          <cell r="H80" t="str">
            <v>ELECTRON. IND.</v>
          </cell>
          <cell r="I80" t="str">
            <v>Aplicación de la Electrónica Industrial</v>
          </cell>
          <cell r="J80" t="str">
            <v>6 (OP)</v>
          </cell>
          <cell r="K80" t="str">
            <v>Miguel Angel Lozano Pérez</v>
          </cell>
          <cell r="L80" t="str">
            <v>Miguel Angel Lozano Pérez</v>
          </cell>
        </row>
        <row r="81">
          <cell r="F81">
            <v>6425</v>
          </cell>
          <cell r="G81">
            <v>7</v>
          </cell>
          <cell r="H81" t="str">
            <v>INST SOLARES</v>
          </cell>
          <cell r="I81" t="str">
            <v>Automatización de instalaciones solares y eólicas</v>
          </cell>
          <cell r="J81" t="str">
            <v>6 (OP)</v>
          </cell>
          <cell r="K81" t="str">
            <v/>
          </cell>
          <cell r="L81"/>
        </row>
        <row r="82">
          <cell r="F82">
            <v>6426</v>
          </cell>
          <cell r="G82">
            <v>7</v>
          </cell>
          <cell r="H82" t="str">
            <v>RENOVABLES</v>
          </cell>
          <cell r="I82" t="str">
            <v>Energías Renovables</v>
          </cell>
          <cell r="J82" t="str">
            <v>6 (OP)</v>
          </cell>
          <cell r="K82" t="str">
            <v>Manuel Iván González Martín</v>
          </cell>
          <cell r="L82" t="str">
            <v>Manuel Iván González Martín</v>
          </cell>
        </row>
        <row r="83">
          <cell r="F83">
            <v>6427</v>
          </cell>
          <cell r="G83">
            <v>7</v>
          </cell>
          <cell r="H83" t="str">
            <v>PREV. RIESGOS</v>
          </cell>
          <cell r="I83" t="str">
            <v>Seguridad y Prevención de Riesgos</v>
          </cell>
          <cell r="J83" t="str">
            <v>6 (OP)</v>
          </cell>
          <cell r="K83" t="str">
            <v/>
          </cell>
          <cell r="L83"/>
        </row>
        <row r="84">
          <cell r="F84">
            <v>6428</v>
          </cell>
          <cell r="G84">
            <v>7</v>
          </cell>
          <cell r="H84" t="str">
            <v>INTEG S.E.</v>
          </cell>
          <cell r="I84" t="str">
            <v>Integración de los Sist. Electron.</v>
          </cell>
          <cell r="J84" t="str">
            <v>6 (OP)</v>
          </cell>
          <cell r="K84" t="str">
            <v>Miguel Angel Lozano Pérez</v>
          </cell>
          <cell r="L84" t="str">
            <v>Miguel Angel Lozano Pérez</v>
          </cell>
        </row>
        <row r="85">
          <cell r="F85">
            <v>6429</v>
          </cell>
          <cell r="G85">
            <v>7</v>
          </cell>
          <cell r="H85" t="str">
            <v>INSTAL. ELEC.</v>
          </cell>
          <cell r="I85" t="str">
            <v>Instalaciones Eléctricas</v>
          </cell>
          <cell r="J85" t="str">
            <v>6 (OP)</v>
          </cell>
          <cell r="K85" t="str">
            <v>Vanesa Fernández Cavero</v>
          </cell>
          <cell r="L85" t="str">
            <v>Vanesa Fernández Cavero</v>
          </cell>
        </row>
        <row r="86">
          <cell r="F86">
            <v>6430</v>
          </cell>
          <cell r="G86">
            <v>7</v>
          </cell>
          <cell r="H86" t="str">
            <v>DAO</v>
          </cell>
          <cell r="I86" t="str">
            <v>Diseño Asistido por Ordenador</v>
          </cell>
          <cell r="J86" t="str">
            <v>6 (OP)</v>
          </cell>
          <cell r="K86" t="str">
            <v>Carlos Melgosa Pedrosa</v>
          </cell>
          <cell r="L86" t="str">
            <v>Carlos Melgosa Pedrosa</v>
          </cell>
        </row>
        <row r="87">
          <cell r="F87">
            <v>6431</v>
          </cell>
          <cell r="G87">
            <v>8</v>
          </cell>
          <cell r="H87" t="str">
            <v>AUTIND</v>
          </cell>
          <cell r="I87" t="str">
            <v>Automatización Industrial</v>
          </cell>
          <cell r="J87">
            <v>6</v>
          </cell>
          <cell r="K87" t="str">
            <v>Juan Vicente Martín Fraile</v>
          </cell>
          <cell r="L87" t="str">
            <v>Juan Vicente Martín Fraile</v>
          </cell>
        </row>
        <row r="88">
          <cell r="F88">
            <v>6432</v>
          </cell>
          <cell r="G88">
            <v>8</v>
          </cell>
          <cell r="H88" t="str">
            <v>ROBÓTICA</v>
          </cell>
          <cell r="I88" t="str">
            <v>Robótica Industrial</v>
          </cell>
          <cell r="J88">
            <v>6</v>
          </cell>
          <cell r="K88" t="str">
            <v>Jesús Enrique Sierra</v>
          </cell>
          <cell r="L88" t="str">
            <v>Jesús Enrique Sierra</v>
          </cell>
        </row>
        <row r="89">
          <cell r="K89" t="str">
            <v/>
          </cell>
          <cell r="L89"/>
        </row>
        <row r="90">
          <cell r="F90" t="str">
            <v>GRADO EN INGENIERIA DE ORGANIZACIÓN</v>
          </cell>
          <cell r="G90"/>
          <cell r="K90" t="str">
            <v/>
          </cell>
          <cell r="L90"/>
        </row>
        <row r="91">
          <cell r="F91">
            <v>6200</v>
          </cell>
          <cell r="G91">
            <v>1</v>
          </cell>
          <cell r="H91" t="str">
            <v>CÁLCULO</v>
          </cell>
          <cell r="I91" t="str">
            <v>Cálculo</v>
          </cell>
          <cell r="J91">
            <v>6</v>
          </cell>
          <cell r="K91" t="str">
            <v>Jose Luis Fernández, Silvia Alvárez de Eulate</v>
          </cell>
          <cell r="L91" t="str">
            <v>Jose Luis Fernández</v>
          </cell>
        </row>
        <row r="92">
          <cell r="F92">
            <v>6201</v>
          </cell>
          <cell r="G92">
            <v>1</v>
          </cell>
          <cell r="H92" t="str">
            <v>FÍSICA I</v>
          </cell>
          <cell r="I92" t="str">
            <v>Física I</v>
          </cell>
          <cell r="J92">
            <v>6</v>
          </cell>
          <cell r="K92" t="str">
            <v>María del Mar Chichón González</v>
          </cell>
          <cell r="L92" t="str">
            <v>María del Mar Chichón González</v>
          </cell>
        </row>
        <row r="93">
          <cell r="F93">
            <v>6202</v>
          </cell>
          <cell r="G93">
            <v>1</v>
          </cell>
          <cell r="H93" t="str">
            <v>EXP. GRÁFICA I</v>
          </cell>
          <cell r="I93" t="str">
            <v xml:space="preserve">Expresión Gráfica E/I (Español/Inglés) </v>
          </cell>
          <cell r="J93">
            <v>6</v>
          </cell>
          <cell r="K93" t="str">
            <v>M. Esther Baños García, Esteban García</v>
          </cell>
          <cell r="L93" t="str">
            <v>M. Esther Baños García</v>
          </cell>
        </row>
        <row r="94">
          <cell r="F94">
            <v>6203</v>
          </cell>
          <cell r="G94">
            <v>1</v>
          </cell>
          <cell r="H94" t="str">
            <v>INFORMÁTICA</v>
          </cell>
          <cell r="I94" t="str">
            <v>Informática Básica</v>
          </cell>
          <cell r="J94">
            <v>6</v>
          </cell>
          <cell r="K94" t="str">
            <v>Ángel Arroyo Puente,</v>
          </cell>
          <cell r="L94" t="str">
            <v>Ángel Arroyo Puente</v>
          </cell>
        </row>
        <row r="95">
          <cell r="F95">
            <v>6204</v>
          </cell>
          <cell r="G95">
            <v>1</v>
          </cell>
          <cell r="H95" t="str">
            <v>QUÍMICA</v>
          </cell>
          <cell r="I95" t="str">
            <v xml:space="preserve">Química </v>
          </cell>
          <cell r="J95">
            <v>6</v>
          </cell>
          <cell r="K95" t="str">
            <v>Luis Marcos Naveira</v>
          </cell>
          <cell r="L95" t="str">
            <v>Luis Marcos Naveira</v>
          </cell>
        </row>
        <row r="96">
          <cell r="F96"/>
          <cell r="G96"/>
          <cell r="H96" t="str">
            <v>Chemistry</v>
          </cell>
          <cell r="I96"/>
          <cell r="J96"/>
          <cell r="K96"/>
          <cell r="L96"/>
        </row>
        <row r="97">
          <cell r="F97"/>
          <cell r="G97"/>
          <cell r="H97"/>
          <cell r="I97"/>
          <cell r="J97"/>
          <cell r="K97" t="str">
            <v/>
          </cell>
          <cell r="L97"/>
        </row>
        <row r="98">
          <cell r="F98">
            <v>6205</v>
          </cell>
          <cell r="G98">
            <v>2</v>
          </cell>
          <cell r="H98" t="str">
            <v>ÁLGEBRA</v>
          </cell>
          <cell r="I98" t="str">
            <v>Álgebra y Ecuaciones Diferenciales</v>
          </cell>
          <cell r="J98">
            <v>6</v>
          </cell>
          <cell r="K98" t="str">
            <v>Javier Relancio</v>
          </cell>
          <cell r="L98" t="str">
            <v>Javier Relancio</v>
          </cell>
        </row>
        <row r="99">
          <cell r="F99">
            <v>6206</v>
          </cell>
          <cell r="G99">
            <v>2</v>
          </cell>
          <cell r="H99" t="str">
            <v>FÍSICA II</v>
          </cell>
          <cell r="I99" t="str">
            <v>Física II</v>
          </cell>
          <cell r="J99">
            <v>6</v>
          </cell>
          <cell r="K99" t="str">
            <v>Fernando Manuel García Reguera</v>
          </cell>
          <cell r="L99" t="str">
            <v>Fernando Manuel García Reguera</v>
          </cell>
        </row>
        <row r="100">
          <cell r="F100">
            <v>6207</v>
          </cell>
          <cell r="G100">
            <v>2</v>
          </cell>
          <cell r="H100" t="str">
            <v>AMP. CÁLCULO</v>
          </cell>
          <cell r="I100" t="str">
            <v>Ampliación de Cálculo y Geometría</v>
          </cell>
          <cell r="J100">
            <v>6</v>
          </cell>
          <cell r="K100" t="str">
            <v>Antonio Manzano Rodríguez</v>
          </cell>
          <cell r="L100" t="str">
            <v>Antonio Manzano Rodríguez</v>
          </cell>
        </row>
        <row r="101">
          <cell r="F101">
            <v>6208</v>
          </cell>
          <cell r="G101">
            <v>2</v>
          </cell>
          <cell r="H101" t="str">
            <v>ECONOMÍA</v>
          </cell>
          <cell r="I101" t="str">
            <v>Economía de la Empresa</v>
          </cell>
          <cell r="J101">
            <v>6</v>
          </cell>
          <cell r="K101" t="str">
            <v>Ignacio Fontaneda</v>
          </cell>
          <cell r="L101" t="str">
            <v>Ignacio Fontaneda</v>
          </cell>
        </row>
        <row r="102">
          <cell r="F102">
            <v>6209</v>
          </cell>
          <cell r="G102">
            <v>2</v>
          </cell>
          <cell r="H102" t="str">
            <v>MATERIALES</v>
          </cell>
          <cell r="I102" t="str">
            <v>Ciencia de Materiales: Est. y propiedades E/I</v>
          </cell>
          <cell r="J102">
            <v>6</v>
          </cell>
          <cell r="K102" t="str">
            <v>Pedro Miguel Bravo, José Calaf , Mónica Preciado</v>
          </cell>
          <cell r="L102" t="str">
            <v>Pedro Miguel Bravo</v>
          </cell>
        </row>
        <row r="103">
          <cell r="F103"/>
          <cell r="G103"/>
          <cell r="H103"/>
          <cell r="I103"/>
          <cell r="J103"/>
          <cell r="K103" t="str">
            <v/>
          </cell>
          <cell r="L103"/>
        </row>
        <row r="104">
          <cell r="F104"/>
          <cell r="G104"/>
          <cell r="H104"/>
          <cell r="I104"/>
          <cell r="J104"/>
          <cell r="K104" t="str">
            <v/>
          </cell>
          <cell r="L104"/>
        </row>
        <row r="105">
          <cell r="F105">
            <v>6210</v>
          </cell>
          <cell r="G105">
            <v>3</v>
          </cell>
          <cell r="H105" t="str">
            <v>AUTOMATISMOS</v>
          </cell>
          <cell r="I105" t="str">
            <v>Automatismos y Control Industrial I/E</v>
          </cell>
          <cell r="J105">
            <v>6</v>
          </cell>
          <cell r="K105" t="str">
            <v>José Manuel Luis, Alejandro Merino</v>
          </cell>
          <cell r="L105" t="str">
            <v>José Manuel Luis</v>
          </cell>
        </row>
        <row r="106">
          <cell r="F106">
            <v>6211</v>
          </cell>
          <cell r="G106">
            <v>3</v>
          </cell>
          <cell r="H106" t="str">
            <v>ORGANIZACIÓN</v>
          </cell>
          <cell r="I106" t="str">
            <v>Organización de la Producción</v>
          </cell>
          <cell r="J106">
            <v>6</v>
          </cell>
          <cell r="K106" t="str">
            <v>Miguel Angel Manzanedo, Carlos Alonso, Ricardo del Olmo</v>
          </cell>
          <cell r="L106" t="str">
            <v>Miguel Angel Manzanedo</v>
          </cell>
        </row>
        <row r="107">
          <cell r="F107">
            <v>6212</v>
          </cell>
          <cell r="G107">
            <v>3</v>
          </cell>
          <cell r="H107" t="str">
            <v>ERMAT</v>
          </cell>
          <cell r="I107" t="str">
            <v>Elasticidad Resistencia de Materialese E/I</v>
          </cell>
          <cell r="J107">
            <v>6</v>
          </cell>
          <cell r="K107" t="str">
            <v>Manuel Solaguren-Beascoa, Wilco M.H. Verbeeten</v>
          </cell>
          <cell r="L107" t="str">
            <v>Manuel Solaguren-Beascoa</v>
          </cell>
        </row>
        <row r="108">
          <cell r="F108">
            <v>6213</v>
          </cell>
          <cell r="G108">
            <v>3</v>
          </cell>
          <cell r="H108" t="str">
            <v>ING. ELÉCTRICA</v>
          </cell>
          <cell r="I108" t="str">
            <v>Fund de Ingeniería Eléctrica E/I</v>
          </cell>
          <cell r="J108">
            <v>6</v>
          </cell>
          <cell r="K108" t="str">
            <v>Jesus Sagredo, Javier González, Victoria Abad</v>
          </cell>
          <cell r="L108" t="str">
            <v>Jesus Sagredo</v>
          </cell>
        </row>
        <row r="109">
          <cell r="F109">
            <v>6214</v>
          </cell>
          <cell r="G109">
            <v>3</v>
          </cell>
          <cell r="H109" t="str">
            <v>FLUIDOMECÁNICA</v>
          </cell>
          <cell r="I109" t="str">
            <v>Ingeniería Fluidomecánica E/I (Español/Inglés)</v>
          </cell>
          <cell r="J109">
            <v>6</v>
          </cell>
          <cell r="K109" t="str">
            <v>Jesús Marcos García, José Antonio Barón</v>
          </cell>
          <cell r="L109" t="str">
            <v>Jesús Marcos García</v>
          </cell>
        </row>
        <row r="110">
          <cell r="F110"/>
          <cell r="G110"/>
          <cell r="H110"/>
          <cell r="I110"/>
          <cell r="J110"/>
          <cell r="K110" t="str">
            <v/>
          </cell>
          <cell r="L110"/>
        </row>
        <row r="111">
          <cell r="F111"/>
          <cell r="G111"/>
          <cell r="H111"/>
          <cell r="I111"/>
          <cell r="J111"/>
          <cell r="K111"/>
          <cell r="L111"/>
        </row>
        <row r="112">
          <cell r="F112"/>
          <cell r="G112"/>
          <cell r="H112"/>
          <cell r="I112"/>
          <cell r="J112"/>
          <cell r="K112"/>
          <cell r="L112"/>
        </row>
        <row r="113">
          <cell r="F113"/>
          <cell r="G113"/>
          <cell r="H113"/>
          <cell r="I113"/>
          <cell r="J113"/>
          <cell r="K113" t="str">
            <v/>
          </cell>
          <cell r="L113"/>
        </row>
        <row r="114">
          <cell r="F114">
            <v>6215</v>
          </cell>
          <cell r="G114">
            <v>4</v>
          </cell>
          <cell r="H114" t="str">
            <v>EXP. GRÁFICA II</v>
          </cell>
          <cell r="I114" t="str">
            <v>Expresión Gráfica II</v>
          </cell>
          <cell r="J114">
            <v>6</v>
          </cell>
          <cell r="K114" t="str">
            <v>Carlos Melgosa</v>
          </cell>
          <cell r="L114" t="str">
            <v>Carlos Melgosa</v>
          </cell>
        </row>
        <row r="115">
          <cell r="F115">
            <v>6216</v>
          </cell>
          <cell r="G115">
            <v>4</v>
          </cell>
          <cell r="H115" t="str">
            <v>E.C.N.</v>
          </cell>
          <cell r="I115" t="str">
            <v>Estadística y Cálculo Numérico</v>
          </cell>
          <cell r="J115">
            <v>6</v>
          </cell>
          <cell r="K115" t="str">
            <v>Diego Sedano, Raúl del Barrio</v>
          </cell>
          <cell r="L115" t="str">
            <v>Diego Sedano</v>
          </cell>
        </row>
        <row r="116">
          <cell r="F116">
            <v>6217</v>
          </cell>
          <cell r="G116">
            <v>4</v>
          </cell>
          <cell r="H116" t="str">
            <v>TÉRMICA I</v>
          </cell>
          <cell r="I116" t="str">
            <v>Ingeniería Térmica I (Español/Inglés)</v>
          </cell>
          <cell r="J116">
            <v>6</v>
          </cell>
          <cell r="K116" t="str">
            <v>Natalia Muñoz</v>
          </cell>
          <cell r="L116" t="str">
            <v>Natalia Muñoz</v>
          </cell>
        </row>
        <row r="117">
          <cell r="F117">
            <v>6218</v>
          </cell>
          <cell r="G117">
            <v>4</v>
          </cell>
          <cell r="H117" t="str">
            <v>MECANISMOS</v>
          </cell>
          <cell r="I117" t="str">
            <v>Teoría de Mecanismos y Máquinas</v>
          </cell>
          <cell r="J117">
            <v>6</v>
          </cell>
          <cell r="K117" t="str">
            <v>Francisco Javier Gómez Gil</v>
          </cell>
          <cell r="L117" t="str">
            <v>Francisco Javier Gómez Gil</v>
          </cell>
        </row>
        <row r="118">
          <cell r="F118">
            <v>6219</v>
          </cell>
          <cell r="G118">
            <v>4</v>
          </cell>
          <cell r="H118" t="str">
            <v>ELECTRÓNICA</v>
          </cell>
          <cell r="I118" t="str">
            <v>Fundamentos de Electrónica</v>
          </cell>
          <cell r="J118">
            <v>6</v>
          </cell>
          <cell r="K118" t="str">
            <v>María Isabel Dieste Velasco</v>
          </cell>
          <cell r="L118" t="str">
            <v>María Isabel Dieste Velasco</v>
          </cell>
        </row>
        <row r="119">
          <cell r="F119"/>
          <cell r="G119"/>
          <cell r="H119"/>
          <cell r="I119"/>
          <cell r="J119"/>
          <cell r="K119" t="str">
            <v/>
          </cell>
          <cell r="L119"/>
        </row>
        <row r="120">
          <cell r="F120">
            <v>6220</v>
          </cell>
          <cell r="G120">
            <v>5</v>
          </cell>
          <cell r="H120" t="str">
            <v>INVESTIGACIÓN I</v>
          </cell>
          <cell r="I120" t="str">
            <v>Investigación operativa I  E/I (Español/Inglés)</v>
          </cell>
          <cell r="J120">
            <v>6</v>
          </cell>
          <cell r="K120" t="str">
            <v>Virginia Ahedo</v>
          </cell>
          <cell r="L120" t="str">
            <v>Virginia Ahedo</v>
          </cell>
        </row>
        <row r="121">
          <cell r="F121">
            <v>6221</v>
          </cell>
          <cell r="G121">
            <v>5</v>
          </cell>
          <cell r="H121" t="str">
            <v>ORG. TRABAJO</v>
          </cell>
          <cell r="I121" t="str">
            <v>Organización del Trabajo y RRHH E/I</v>
          </cell>
          <cell r="J121">
            <v>6</v>
          </cell>
          <cell r="K121" t="str">
            <v>Ana María Lara Palma</v>
          </cell>
          <cell r="L121" t="str">
            <v>Ana María Lara Palma</v>
          </cell>
        </row>
        <row r="122">
          <cell r="F122">
            <v>6222</v>
          </cell>
          <cell r="G122">
            <v>5</v>
          </cell>
          <cell r="H122" t="str">
            <v>MÁRKETING</v>
          </cell>
          <cell r="I122" t="str">
            <v xml:space="preserve">Márketing Industrial </v>
          </cell>
          <cell r="J122">
            <v>6</v>
          </cell>
          <cell r="K122" t="str">
            <v>Miguel Angel Camino</v>
          </cell>
          <cell r="L122" t="str">
            <v>Miguel Angel Camino</v>
          </cell>
        </row>
        <row r="123">
          <cell r="F123">
            <v>6223</v>
          </cell>
          <cell r="G123">
            <v>5</v>
          </cell>
          <cell r="H123" t="str">
            <v>ESTRATEGIA</v>
          </cell>
          <cell r="I123" t="str">
            <v>Estrategia y Política de Empresa</v>
          </cell>
          <cell r="J123">
            <v>6</v>
          </cell>
          <cell r="K123" t="str">
            <v>Oscar Manuel Carrasco Saiz</v>
          </cell>
          <cell r="L123" t="str">
            <v>Oscar Manuel Carrasco Saiz</v>
          </cell>
        </row>
        <row r="124">
          <cell r="F124">
            <v>6224</v>
          </cell>
          <cell r="G124">
            <v>5</v>
          </cell>
          <cell r="H124" t="str">
            <v>PROD. Y FABRIC.</v>
          </cell>
          <cell r="I124" t="str">
            <v>Sistemas de Producción y Fab. Indust.</v>
          </cell>
          <cell r="J124">
            <v>6</v>
          </cell>
          <cell r="K124" t="str">
            <v>Miguel Angel Mariscal</v>
          </cell>
          <cell r="L124" t="str">
            <v>Miguel Angel Mariscal</v>
          </cell>
        </row>
        <row r="125">
          <cell r="F125"/>
          <cell r="G125"/>
          <cell r="H125"/>
          <cell r="I125"/>
          <cell r="J125"/>
          <cell r="K125" t="str">
            <v/>
          </cell>
          <cell r="L125"/>
        </row>
        <row r="126">
          <cell r="F126"/>
          <cell r="G126"/>
          <cell r="H126"/>
          <cell r="I126"/>
          <cell r="J126"/>
          <cell r="K126" t="str">
            <v/>
          </cell>
          <cell r="L126"/>
        </row>
        <row r="127">
          <cell r="F127"/>
          <cell r="G127"/>
          <cell r="H127"/>
          <cell r="I127"/>
          <cell r="J127"/>
          <cell r="K127" t="str">
            <v/>
          </cell>
          <cell r="L127"/>
        </row>
        <row r="128">
          <cell r="F128">
            <v>6225</v>
          </cell>
          <cell r="G128">
            <v>6</v>
          </cell>
          <cell r="H128" t="str">
            <v>INVESTIGACIÓN II</v>
          </cell>
          <cell r="I128" t="str">
            <v>Investigación operativa II</v>
          </cell>
          <cell r="J128">
            <v>6</v>
          </cell>
          <cell r="K128" t="str">
            <v>Susana García Herrero</v>
          </cell>
          <cell r="L128" t="str">
            <v>Susana García Herrero</v>
          </cell>
        </row>
        <row r="129">
          <cell r="F129">
            <v>6226</v>
          </cell>
          <cell r="G129">
            <v>6</v>
          </cell>
          <cell r="H129" t="str">
            <v>CALIDAD</v>
          </cell>
          <cell r="I129" t="str">
            <v>Calidad</v>
          </cell>
          <cell r="J129">
            <v>6</v>
          </cell>
          <cell r="K129" t="str">
            <v>Ignacio Fontaneda</v>
          </cell>
          <cell r="L129" t="str">
            <v>Ignacio Fontaneda</v>
          </cell>
        </row>
        <row r="130">
          <cell r="F130">
            <v>6227</v>
          </cell>
          <cell r="G130">
            <v>6</v>
          </cell>
          <cell r="H130" t="str">
            <v>DIR. FINANCIERA</v>
          </cell>
          <cell r="I130" t="str">
            <v>Dirección financiera (Español/Inglés)</v>
          </cell>
          <cell r="J130">
            <v>6</v>
          </cell>
          <cell r="K130" t="str">
            <v>Luis R. Izquierdo, Luis Santiago García</v>
          </cell>
          <cell r="L130" t="str">
            <v>Luis R. Izquierdo</v>
          </cell>
        </row>
        <row r="131">
          <cell r="F131">
            <v>6228</v>
          </cell>
          <cell r="G131">
            <v>6</v>
          </cell>
          <cell r="H131" t="str">
            <v>DISEÑO</v>
          </cell>
          <cell r="I131" t="str">
            <v xml:space="preserve">Diseño, Planifica. y Control de Sist. Prod. E/I
Design, Planning and Control of Productive Systems </v>
          </cell>
          <cell r="J131">
            <v>6</v>
          </cell>
          <cell r="K131" t="str">
            <v>Juan José Lavios</v>
          </cell>
          <cell r="L131" t="str">
            <v>Juan José Lavios</v>
          </cell>
        </row>
        <row r="132">
          <cell r="F132">
            <v>6229</v>
          </cell>
          <cell r="G132">
            <v>6</v>
          </cell>
          <cell r="H132" t="str">
            <v>M.AMB Y RENOV.</v>
          </cell>
          <cell r="I132" t="str">
            <v>Medio Ambiente y Energías Renovables</v>
          </cell>
          <cell r="J132">
            <v>6</v>
          </cell>
          <cell r="K132" t="str">
            <v>Alfonso Blasco Sanz, Fco. Javier Rodríguez Vidal</v>
          </cell>
          <cell r="L132" t="str">
            <v>Alfonso Blasco Sanz</v>
          </cell>
        </row>
        <row r="133">
          <cell r="F133"/>
          <cell r="G133"/>
          <cell r="H133" t="str">
            <v>DESIGN AND PLANING</v>
          </cell>
          <cell r="I133"/>
          <cell r="J133"/>
          <cell r="K133" t="str">
            <v/>
          </cell>
          <cell r="L133"/>
        </row>
        <row r="134">
          <cell r="F134"/>
          <cell r="G134"/>
          <cell r="H134" t="str">
            <v>CORPORATE FINANCE</v>
          </cell>
          <cell r="I134"/>
          <cell r="J134"/>
          <cell r="K134"/>
          <cell r="L134"/>
        </row>
        <row r="135">
          <cell r="F135"/>
          <cell r="G135"/>
          <cell r="H135" t="str">
            <v>QUALITY</v>
          </cell>
          <cell r="I135"/>
          <cell r="J135"/>
          <cell r="K135" t="str">
            <v/>
          </cell>
          <cell r="L135"/>
        </row>
        <row r="136">
          <cell r="F136">
            <v>6230</v>
          </cell>
          <cell r="G136">
            <v>7</v>
          </cell>
          <cell r="H136" t="str">
            <v>OFICINA TÉCNICA</v>
          </cell>
          <cell r="I136" t="str">
            <v>Oficina Técnica</v>
          </cell>
          <cell r="J136">
            <v>6</v>
          </cell>
          <cell r="K136" t="str">
            <v>Raul Zamora</v>
          </cell>
          <cell r="L136" t="str">
            <v>Raul Zamora</v>
          </cell>
        </row>
        <row r="137">
          <cell r="F137">
            <v>8888</v>
          </cell>
          <cell r="G137">
            <v>7</v>
          </cell>
          <cell r="H137" t="str">
            <v>PROYECTOS</v>
          </cell>
          <cell r="I137" t="str">
            <v>Gestion de proyectos</v>
          </cell>
          <cell r="J137">
            <v>6</v>
          </cell>
          <cell r="K137" t="str">
            <v>Santiago  García</v>
          </cell>
          <cell r="L137" t="str">
            <v>Santiago  García</v>
          </cell>
        </row>
        <row r="138">
          <cell r="F138">
            <v>8889</v>
          </cell>
          <cell r="G138">
            <v>7</v>
          </cell>
          <cell r="H138" t="str">
            <v>SIST. INFORMACIÓN</v>
          </cell>
          <cell r="I138" t="str">
            <v xml:space="preserve">Sistemas de información gerencial </v>
          </cell>
          <cell r="J138">
            <v>6</v>
          </cell>
          <cell r="K138" t="str">
            <v>Esteban Marcos</v>
          </cell>
          <cell r="L138" t="str">
            <v>Esteban Marcos</v>
          </cell>
        </row>
        <row r="139">
          <cell r="F139">
            <v>6237</v>
          </cell>
          <cell r="G139">
            <v>7</v>
          </cell>
          <cell r="H139" t="str">
            <v>PREVENCIÓN</v>
          </cell>
          <cell r="I139" t="str">
            <v>Prevención de Riesgos Laborales E/I</v>
          </cell>
          <cell r="J139">
            <v>6</v>
          </cell>
          <cell r="K139" t="str">
            <v>Roberto Arce, Rosa Sánchez</v>
          </cell>
          <cell r="L139" t="str">
            <v>Roberto Arce</v>
          </cell>
        </row>
        <row r="140">
          <cell r="F140">
            <v>6238</v>
          </cell>
          <cell r="G140">
            <v>7</v>
          </cell>
          <cell r="H140" t="str">
            <v>LOGÍSTICA</v>
          </cell>
          <cell r="I140" t="str">
            <v>Logística</v>
          </cell>
          <cell r="J140">
            <v>6</v>
          </cell>
          <cell r="K140" t="str">
            <v>Carlos Alonso de Armiño Pérez</v>
          </cell>
          <cell r="L140" t="str">
            <v>Carlos Alonso de Armiño Pérez</v>
          </cell>
        </row>
        <row r="141">
          <cell r="F141"/>
          <cell r="G141"/>
          <cell r="H141" t="str">
            <v>E-INFORMATION</v>
          </cell>
          <cell r="I141"/>
          <cell r="J141"/>
          <cell r="K141"/>
          <cell r="L141"/>
        </row>
        <row r="142">
          <cell r="F142"/>
          <cell r="G142"/>
          <cell r="H142" t="str">
            <v>E-PREVENTION</v>
          </cell>
          <cell r="I142"/>
          <cell r="J142"/>
          <cell r="K142"/>
          <cell r="L142"/>
        </row>
        <row r="143">
          <cell r="F143"/>
          <cell r="G143"/>
          <cell r="H143"/>
          <cell r="I143"/>
          <cell r="J143"/>
          <cell r="K143"/>
          <cell r="L143"/>
        </row>
        <row r="144">
          <cell r="F144"/>
          <cell r="G144"/>
          <cell r="H144"/>
          <cell r="I144"/>
          <cell r="J144"/>
          <cell r="K144"/>
          <cell r="L144"/>
        </row>
        <row r="145">
          <cell r="F145"/>
          <cell r="G145"/>
          <cell r="H145"/>
          <cell r="I145"/>
          <cell r="J145"/>
          <cell r="K145"/>
          <cell r="L145"/>
        </row>
        <row r="146">
          <cell r="F146">
            <v>8988</v>
          </cell>
          <cell r="G146">
            <v>8</v>
          </cell>
          <cell r="H146" t="str">
            <v>TECN. ELÉCTRI</v>
          </cell>
          <cell r="I146" t="str">
            <v>Tecnología eléctrica (Español/Inglés)</v>
          </cell>
          <cell r="J146" t="str">
            <v>6 (OP)</v>
          </cell>
          <cell r="K146" t="str">
            <v>Ricardo Martínez, Javier González</v>
          </cell>
          <cell r="L146" t="str">
            <v>Ricardo Martínez</v>
          </cell>
        </row>
        <row r="147">
          <cell r="F147">
            <v>8508</v>
          </cell>
          <cell r="G147">
            <v>8</v>
          </cell>
          <cell r="H147" t="str">
            <v>ENERGÍA Y ECONOMIA</v>
          </cell>
          <cell r="I147" t="str">
            <v>Energía y economía circular</v>
          </cell>
          <cell r="J147" t="str">
            <v>6 (OP)</v>
          </cell>
          <cell r="K147" t="str">
            <v>Cristina Alonso, Rocio Barros, Sonia Martel</v>
          </cell>
          <cell r="L147" t="str">
            <v>Cristina Alonso</v>
          </cell>
        </row>
        <row r="148">
          <cell r="F148">
            <v>8998</v>
          </cell>
          <cell r="G148">
            <v>8</v>
          </cell>
          <cell r="H148" t="str">
            <v>BUSINESS</v>
          </cell>
          <cell r="I148" t="str">
            <v>Business intelligence (Inglés)</v>
          </cell>
          <cell r="J148" t="str">
            <v>6 (OP)</v>
          </cell>
          <cell r="K148" t="str">
            <v>Luis R. Izquierdo</v>
          </cell>
          <cell r="L148" t="str">
            <v>Luis R. Izquierdo</v>
          </cell>
        </row>
        <row r="149">
          <cell r="F149">
            <v>8988</v>
          </cell>
          <cell r="G149"/>
          <cell r="H149" t="str">
            <v>TECHNOLOGY</v>
          </cell>
          <cell r="I149"/>
          <cell r="J149"/>
          <cell r="K149"/>
          <cell r="L149"/>
        </row>
        <row r="150">
          <cell r="F150">
            <v>8998</v>
          </cell>
          <cell r="G150"/>
          <cell r="H150" t="str">
            <v>INTELLIGENCE</v>
          </cell>
          <cell r="I150"/>
          <cell r="J150"/>
          <cell r="K150"/>
          <cell r="L150"/>
        </row>
        <row r="151">
          <cell r="F151" t="str">
            <v>GRADO EN INGENIERIA INFORMATICA</v>
          </cell>
          <cell r="G151"/>
          <cell r="K151" t="str">
            <v/>
          </cell>
          <cell r="L151"/>
        </row>
        <row r="152">
          <cell r="F152">
            <v>8797</v>
          </cell>
          <cell r="G152">
            <v>1</v>
          </cell>
          <cell r="H152" t="str">
            <v>ÁLGEBRA</v>
          </cell>
          <cell r="I152" t="str">
            <v xml:space="preserve">Álgebra Lineal </v>
          </cell>
          <cell r="J152">
            <v>6</v>
          </cell>
          <cell r="K152" t="str">
            <v>Mª Begoña Torres, Zaíra Pérez</v>
          </cell>
          <cell r="L152" t="str">
            <v>Mª Begoña Torres</v>
          </cell>
        </row>
        <row r="153">
          <cell r="F153">
            <v>8798</v>
          </cell>
          <cell r="G153">
            <v>1</v>
          </cell>
          <cell r="H153" t="str">
            <v>INFORMÁTICA</v>
          </cell>
          <cell r="I153" t="str">
            <v xml:space="preserve">Informática Básica </v>
          </cell>
          <cell r="J153">
            <v>6</v>
          </cell>
          <cell r="K153" t="str">
            <v>Virginia Martínez, Mario Martínez</v>
          </cell>
          <cell r="L153" t="str">
            <v>Virginia Martínez</v>
          </cell>
        </row>
        <row r="154">
          <cell r="F154">
            <v>8799</v>
          </cell>
          <cell r="G154">
            <v>1</v>
          </cell>
          <cell r="H154" t="str">
            <v>FUND. FÍSICOS</v>
          </cell>
          <cell r="I154" t="str">
            <v xml:space="preserve">Fundamentos Físicos de la Informática </v>
          </cell>
          <cell r="J154">
            <v>6</v>
          </cell>
          <cell r="K154" t="str">
            <v>Fernando Manuel García, Alfredo Bol</v>
          </cell>
          <cell r="L154" t="str">
            <v>Fernando Manuel García</v>
          </cell>
        </row>
        <row r="155">
          <cell r="F155">
            <v>8800</v>
          </cell>
          <cell r="G155">
            <v>1</v>
          </cell>
          <cell r="H155" t="str">
            <v>MAT DISCRETA</v>
          </cell>
          <cell r="I155" t="str">
            <v xml:space="preserve">Matemática Discreta </v>
          </cell>
          <cell r="J155">
            <v>6</v>
          </cell>
          <cell r="K155" t="str">
            <v>Mª Pilar de las Heras, María Saez-Royuela</v>
          </cell>
          <cell r="L155" t="str">
            <v>Mª Pilar de las Heras</v>
          </cell>
        </row>
        <row r="156">
          <cell r="F156">
            <v>8796</v>
          </cell>
          <cell r="G156">
            <v>1</v>
          </cell>
          <cell r="H156" t="str">
            <v>FUND. TICS</v>
          </cell>
          <cell r="I156" t="str">
            <v xml:space="preserve">Fund. Deont. y Jurídicos de las TICs </v>
          </cell>
          <cell r="J156">
            <v>6</v>
          </cell>
          <cell r="K156" t="str">
            <v>Mª del Rosario González, Rosa Sánchez</v>
          </cell>
          <cell r="L156" t="str">
            <v>Mª del Rosario González</v>
          </cell>
        </row>
        <row r="157">
          <cell r="F157">
            <v>8801</v>
          </cell>
          <cell r="G157">
            <v>2</v>
          </cell>
          <cell r="H157" t="str">
            <v>INGLÉS</v>
          </cell>
          <cell r="I157" t="str">
            <v xml:space="preserve">Inglés Aplicado a la Informática </v>
          </cell>
          <cell r="J157">
            <v>6</v>
          </cell>
          <cell r="K157" t="str">
            <v xml:space="preserve">Parisa del Shad </v>
          </cell>
          <cell r="L157" t="str">
            <v xml:space="preserve">Parisa del Shad </v>
          </cell>
        </row>
        <row r="158">
          <cell r="F158">
            <v>8802</v>
          </cell>
          <cell r="G158">
            <v>2</v>
          </cell>
          <cell r="H158" t="str">
            <v>CÁLCULO</v>
          </cell>
          <cell r="I158" t="str">
            <v>Cálculo</v>
          </cell>
          <cell r="J158">
            <v>6</v>
          </cell>
          <cell r="K158" t="str">
            <v>Sol García, María Saez-Royuela</v>
          </cell>
          <cell r="L158" t="str">
            <v>Sol García</v>
          </cell>
        </row>
        <row r="159">
          <cell r="F159">
            <v>8803</v>
          </cell>
          <cell r="G159">
            <v>2</v>
          </cell>
          <cell r="H159" t="str">
            <v>PROGRAMACIÓN</v>
          </cell>
          <cell r="I159" t="str">
            <v xml:space="preserve">Programación </v>
          </cell>
          <cell r="J159">
            <v>6</v>
          </cell>
          <cell r="K159" t="str">
            <v>Virginia Martínez, Carlos Pardo</v>
          </cell>
          <cell r="L159" t="str">
            <v>Virginia Martínez</v>
          </cell>
        </row>
        <row r="160">
          <cell r="F160">
            <v>8804</v>
          </cell>
          <cell r="G160">
            <v>2</v>
          </cell>
          <cell r="H160" t="str">
            <v>COMPUTADORES</v>
          </cell>
          <cell r="I160" t="str">
            <v xml:space="preserve">Fundamentos de Computadores </v>
          </cell>
          <cell r="J160">
            <v>6</v>
          </cell>
          <cell r="K160" t="str">
            <v>Pedro Luis Sánchez</v>
          </cell>
          <cell r="L160" t="str">
            <v>Pedro Luis Sánchez</v>
          </cell>
        </row>
        <row r="161">
          <cell r="F161">
            <v>8805</v>
          </cell>
          <cell r="G161">
            <v>2</v>
          </cell>
          <cell r="H161" t="str">
            <v>SIST. OPERATIV.</v>
          </cell>
          <cell r="I161" t="str">
            <v xml:space="preserve">Sistemas Operativos </v>
          </cell>
          <cell r="J161">
            <v>6</v>
          </cell>
          <cell r="K161" t="str">
            <v>José Manuel Sáiz Díez, Ana Searrano</v>
          </cell>
          <cell r="L161" t="str">
            <v>José Manuel Sáiz Díez</v>
          </cell>
        </row>
        <row r="162">
          <cell r="F162">
            <v>8806</v>
          </cell>
          <cell r="G162">
            <v>3</v>
          </cell>
          <cell r="H162" t="str">
            <v>MET. PROG.</v>
          </cell>
          <cell r="I162" t="str">
            <v xml:space="preserve">Metodología de la Programación </v>
          </cell>
          <cell r="J162">
            <v>6</v>
          </cell>
          <cell r="K162" t="str">
            <v>Raúl Marticorena Sánchez</v>
          </cell>
          <cell r="L162" t="str">
            <v>Raúl Marticorena Sánchez</v>
          </cell>
        </row>
        <row r="163">
          <cell r="F163">
            <v>8807</v>
          </cell>
          <cell r="G163">
            <v>3</v>
          </cell>
          <cell r="H163" t="str">
            <v>ESTADISTÍCA</v>
          </cell>
          <cell r="I163" t="str">
            <v>Estadística</v>
          </cell>
          <cell r="J163">
            <v>6</v>
          </cell>
          <cell r="K163" t="str">
            <v xml:space="preserve">Diego Sedano, Alvaro Díez </v>
          </cell>
          <cell r="L163" t="str">
            <v>Diego Sedano</v>
          </cell>
        </row>
        <row r="164">
          <cell r="F164">
            <v>8808</v>
          </cell>
          <cell r="G164">
            <v>3</v>
          </cell>
          <cell r="H164" t="str">
            <v>SOFTWARE</v>
          </cell>
          <cell r="I164" t="str">
            <v>Ingeniería del Software</v>
          </cell>
          <cell r="J164">
            <v>6</v>
          </cell>
          <cell r="K164" t="str">
            <v>Jorge San Miguel Navazo, Belén Vaquerizo</v>
          </cell>
          <cell r="L164" t="str">
            <v>Jorge San Miguel Navazo</v>
          </cell>
        </row>
        <row r="165">
          <cell r="F165">
            <v>8809</v>
          </cell>
          <cell r="G165">
            <v>3</v>
          </cell>
          <cell r="H165" t="str">
            <v>BASES DATOS</v>
          </cell>
          <cell r="I165" t="str">
            <v>Bases de Datos</v>
          </cell>
          <cell r="J165">
            <v>6</v>
          </cell>
          <cell r="K165" t="str">
            <v>Jesús Manuel Maudes Raedo</v>
          </cell>
          <cell r="L165" t="str">
            <v>Jesús Manuel Maudes Raedo</v>
          </cell>
        </row>
        <row r="166">
          <cell r="F166">
            <v>8810</v>
          </cell>
          <cell r="G166">
            <v>3</v>
          </cell>
          <cell r="H166" t="str">
            <v>ARQUIT. COMP.</v>
          </cell>
          <cell r="I166" t="str">
            <v>Arquitectura de Computadores</v>
          </cell>
          <cell r="J166">
            <v>6</v>
          </cell>
          <cell r="K166" t="str">
            <v>César Represa Pérez, Ana Serna</v>
          </cell>
          <cell r="L166" t="str">
            <v>César Represa Pérez</v>
          </cell>
        </row>
        <row r="167">
          <cell r="F167">
            <v>8811</v>
          </cell>
          <cell r="G167">
            <v>4</v>
          </cell>
          <cell r="H167" t="str">
            <v>EST. DATOS</v>
          </cell>
          <cell r="I167" t="str">
            <v>Estructuras de Datos</v>
          </cell>
          <cell r="J167">
            <v>6</v>
          </cell>
          <cell r="K167" t="str">
            <v>Bruno Baruque Zanón, Ramón Moreno, Francisco Godoy</v>
          </cell>
          <cell r="L167" t="str">
            <v>Bruno Baruque Zanón</v>
          </cell>
        </row>
        <row r="168">
          <cell r="F168">
            <v>8812</v>
          </cell>
          <cell r="G168">
            <v>4</v>
          </cell>
          <cell r="H168" t="str">
            <v>REDES</v>
          </cell>
          <cell r="I168" t="str">
            <v>Redes</v>
          </cell>
          <cell r="J168">
            <v>6</v>
          </cell>
          <cell r="K168" t="str">
            <v>Rubén Ruiz, Alejandro Merino</v>
          </cell>
          <cell r="L168" t="str">
            <v>Rubén Ruiz</v>
          </cell>
        </row>
        <row r="169">
          <cell r="F169">
            <v>8813</v>
          </cell>
          <cell r="G169">
            <v>4</v>
          </cell>
          <cell r="H169" t="str">
            <v>HOMBRE-MAQ.</v>
          </cell>
          <cell r="I169" t="str">
            <v>Interacción Hombre-Máquina</v>
          </cell>
          <cell r="J169">
            <v>6</v>
          </cell>
          <cell r="K169" t="str">
            <v>Diego Granados</v>
          </cell>
          <cell r="L169" t="str">
            <v>Diego Granados</v>
          </cell>
        </row>
        <row r="170">
          <cell r="F170">
            <v>8814</v>
          </cell>
          <cell r="G170">
            <v>4</v>
          </cell>
          <cell r="H170" t="str">
            <v>ORGANIZACIÓN</v>
          </cell>
          <cell r="I170" t="str">
            <v>Fundamentos de Organización y Gestión de Empresas</v>
          </cell>
          <cell r="J170">
            <v>6</v>
          </cell>
          <cell r="K170" t="str">
            <v>Mª Teresa Peña Pérez, Santiago Arcos Arcos</v>
          </cell>
          <cell r="L170" t="str">
            <v>Mª Teresa Peña Pérez</v>
          </cell>
        </row>
        <row r="171">
          <cell r="F171">
            <v>8815</v>
          </cell>
          <cell r="G171">
            <v>4</v>
          </cell>
          <cell r="H171" t="str">
            <v>SISTEMAS</v>
          </cell>
          <cell r="I171" t="str">
            <v>Análisis y Diseño de Sistemas</v>
          </cell>
          <cell r="J171">
            <v>6</v>
          </cell>
          <cell r="K171" t="str">
            <v>Carlos Cambra, Mª Teresa Vicente, Rubén Lesmes</v>
          </cell>
          <cell r="L171" t="str">
            <v>Carlos Cambra</v>
          </cell>
        </row>
        <row r="172">
          <cell r="F172">
            <v>8816</v>
          </cell>
          <cell r="G172">
            <v>5</v>
          </cell>
          <cell r="H172" t="str">
            <v>ARQ. PARALELAS</v>
          </cell>
          <cell r="I172" t="str">
            <v>Arquitecturas Paralelas</v>
          </cell>
          <cell r="J172">
            <v>6</v>
          </cell>
          <cell r="K172" t="str">
            <v>José Cámara Nebreda, Fernando Rivas</v>
          </cell>
          <cell r="L172" t="str">
            <v>José Cámara Nebreda</v>
          </cell>
        </row>
        <row r="173">
          <cell r="F173">
            <v>8817</v>
          </cell>
          <cell r="G173">
            <v>5</v>
          </cell>
          <cell r="H173" t="str">
            <v>SIST. INTELIG.</v>
          </cell>
          <cell r="I173" t="str">
            <v>Sistemas Inteligentes</v>
          </cell>
          <cell r="J173">
            <v>6</v>
          </cell>
          <cell r="K173" t="str">
            <v>César García Osorio, Pedro Latorre Carmona</v>
          </cell>
          <cell r="L173" t="str">
            <v>César García Osorio</v>
          </cell>
        </row>
        <row r="174">
          <cell r="F174">
            <v>8818</v>
          </cell>
          <cell r="G174">
            <v>5</v>
          </cell>
          <cell r="H174" t="str">
            <v>GEST. PROYECTOS</v>
          </cell>
          <cell r="I174" t="str">
            <v>Gestión de Proyectos</v>
          </cell>
          <cell r="J174">
            <v>6</v>
          </cell>
          <cell r="K174" t="str">
            <v>Jose Manuel Galán, Daniel Urda, Carlos López, Virginia Ahedo</v>
          </cell>
          <cell r="L174" t="str">
            <v>Jose Manuel Galán</v>
          </cell>
        </row>
        <row r="175">
          <cell r="F175">
            <v>8819</v>
          </cell>
          <cell r="G175">
            <v>5</v>
          </cell>
          <cell r="H175" t="str">
            <v>SIST. Y REDES</v>
          </cell>
          <cell r="I175" t="str">
            <v>Diseño y Admin. de Sistemas y Redes</v>
          </cell>
          <cell r="J175">
            <v>6</v>
          </cell>
          <cell r="K175" t="str">
            <v>Jose Manuel Saiz Diez, Ignacio Pardo Aguilar</v>
          </cell>
          <cell r="L175" t="str">
            <v>Jose Manuel Saiz Diez</v>
          </cell>
        </row>
        <row r="176">
          <cell r="F176">
            <v>8820</v>
          </cell>
          <cell r="G176">
            <v>5</v>
          </cell>
          <cell r="H176" t="str">
            <v>PROC. LENGUAJE</v>
          </cell>
          <cell r="I176" t="str">
            <v>Procesadores del Lenguaje</v>
          </cell>
          <cell r="J176">
            <v>6</v>
          </cell>
          <cell r="K176" t="str">
            <v>César Ignacio García, Álvar Arnaiz González</v>
          </cell>
          <cell r="L176" t="str">
            <v>César Ignacio García</v>
          </cell>
        </row>
        <row r="177">
          <cell r="F177">
            <v>8824</v>
          </cell>
          <cell r="G177">
            <v>6</v>
          </cell>
          <cell r="H177" t="str">
            <v>ALGORITMIA</v>
          </cell>
          <cell r="I177" t="str">
            <v>Algorítmia</v>
          </cell>
          <cell r="J177">
            <v>6</v>
          </cell>
          <cell r="K177" t="str">
            <v>Juan José Rodríguez Diez</v>
          </cell>
          <cell r="L177" t="str">
            <v>Juan José Rodríguez Diez</v>
          </cell>
        </row>
        <row r="178">
          <cell r="F178">
            <v>8823</v>
          </cell>
          <cell r="G178">
            <v>6</v>
          </cell>
          <cell r="H178" t="str">
            <v>APL. BASES DAT.</v>
          </cell>
          <cell r="I178" t="str">
            <v>Aplicaciones de Bases de Datos</v>
          </cell>
          <cell r="J178">
            <v>6</v>
          </cell>
          <cell r="K178" t="str">
            <v>Jesús Manuel Maudes Raedo</v>
          </cell>
          <cell r="L178" t="str">
            <v>Jesús Manuel Maudes Raedo</v>
          </cell>
        </row>
        <row r="179">
          <cell r="F179">
            <v>8825</v>
          </cell>
          <cell r="G179">
            <v>6</v>
          </cell>
          <cell r="H179" t="str">
            <v>MÉTODOS NUM.</v>
          </cell>
          <cell r="I179" t="str">
            <v>Métodos Numéricos y Optimización</v>
          </cell>
          <cell r="J179">
            <v>6</v>
          </cell>
          <cell r="K179" t="str">
            <v>Mª José Zapatero</v>
          </cell>
          <cell r="L179" t="str">
            <v>Mª José Zapatero</v>
          </cell>
        </row>
        <row r="180">
          <cell r="F180">
            <v>8821</v>
          </cell>
          <cell r="G180">
            <v>6</v>
          </cell>
          <cell r="H180" t="str">
            <v>PROG. CONCUR.</v>
          </cell>
          <cell r="I180" t="str">
            <v>Programación Concurrente y de Tiempo Real</v>
          </cell>
          <cell r="J180">
            <v>6</v>
          </cell>
          <cell r="K180" t="str">
            <v>Carlos López Nozal, Rubén Ruiz</v>
          </cell>
          <cell r="L180" t="str">
            <v>Carlos López Nozal</v>
          </cell>
        </row>
        <row r="181">
          <cell r="F181">
            <v>8822</v>
          </cell>
          <cell r="G181">
            <v>6</v>
          </cell>
          <cell r="H181" t="str">
            <v>SEGURIDAD</v>
          </cell>
          <cell r="I181" t="str">
            <v>Seguridad Informática</v>
          </cell>
          <cell r="J181">
            <v>6</v>
          </cell>
          <cell r="K181" t="str">
            <v>Jose Manuel Saiz Díez</v>
          </cell>
          <cell r="L181" t="str">
            <v>Jose Manuel Saiz Díez</v>
          </cell>
        </row>
        <row r="182">
          <cell r="F182">
            <v>8840</v>
          </cell>
          <cell r="G182">
            <v>7</v>
          </cell>
          <cell r="H182" t="str">
            <v>CONTROL</v>
          </cell>
          <cell r="I182" t="str">
            <v>Control por Computador</v>
          </cell>
          <cell r="J182" t="str">
            <v>6 (OP)</v>
          </cell>
          <cell r="K182" t="str">
            <v>Daniel Sarabia Ortiz</v>
          </cell>
          <cell r="L182" t="str">
            <v>Daniel Sarabia Ortiz</v>
          </cell>
        </row>
        <row r="183">
          <cell r="F183">
            <v>8827</v>
          </cell>
          <cell r="G183">
            <v>7</v>
          </cell>
          <cell r="H183" t="str">
            <v>SIST. DIGITALES</v>
          </cell>
          <cell r="I183" t="str">
            <v>Diseño e Implementación de Sistemas Dig.</v>
          </cell>
          <cell r="J183" t="str">
            <v>6 (OP)</v>
          </cell>
          <cell r="K183" t="str">
            <v>Miguel Ángel Lozano Pérez</v>
          </cell>
          <cell r="L183" t="str">
            <v>Miguel Ángel Lozano Pérez</v>
          </cell>
        </row>
        <row r="184">
          <cell r="F184">
            <v>8828</v>
          </cell>
          <cell r="G184">
            <v>7</v>
          </cell>
          <cell r="H184" t="str">
            <v>VALID. Y PRUEB.</v>
          </cell>
          <cell r="I184" t="str">
            <v>Validación y Pruebas</v>
          </cell>
          <cell r="J184" t="str">
            <v>6 (OP)</v>
          </cell>
          <cell r="K184" t="str">
            <v>Pedro Renedo Fernandez</v>
          </cell>
          <cell r="L184" t="str">
            <v>Pedro Renedo Fernandez</v>
          </cell>
        </row>
        <row r="185">
          <cell r="F185">
            <v>8829</v>
          </cell>
          <cell r="G185">
            <v>7</v>
          </cell>
          <cell r="H185" t="str">
            <v>GESTIÓN INFO</v>
          </cell>
          <cell r="I185" t="str">
            <v>Gestión de la Información</v>
          </cell>
          <cell r="J185" t="str">
            <v>6 (OP)</v>
          </cell>
          <cell r="K185" t="str">
            <v>José Ignacio Santos, José M. Galan Ordax, Virginia Ahedo</v>
          </cell>
          <cell r="L185" t="str">
            <v>José Ignacio Santos</v>
          </cell>
        </row>
        <row r="186">
          <cell r="F186">
            <v>8830</v>
          </cell>
          <cell r="G186">
            <v>7</v>
          </cell>
          <cell r="H186" t="str">
            <v>DIS-MAN SOFT</v>
          </cell>
          <cell r="I186" t="str">
            <v>Diseño y Mantenimiento del Software</v>
          </cell>
          <cell r="J186" t="str">
            <v>6 (OP)</v>
          </cell>
          <cell r="K186" t="str">
            <v>Carlos López Nozal, Jesús Alonso Abad</v>
          </cell>
          <cell r="L186" t="str">
            <v>Carlos López Nozal</v>
          </cell>
        </row>
        <row r="187">
          <cell r="F187">
            <v>8831</v>
          </cell>
          <cell r="G187">
            <v>7</v>
          </cell>
          <cell r="H187" t="str">
            <v>ORG. Y GEST.</v>
          </cell>
          <cell r="I187" t="str">
            <v>Organización y Gestión de Empresas</v>
          </cell>
          <cell r="J187" t="str">
            <v>6 (OP)</v>
          </cell>
          <cell r="K187" t="str">
            <v>J. Manuel Galan Ordax, José Ignacio Santos</v>
          </cell>
          <cell r="L187" t="str">
            <v>J. Manuel Galan Ordax</v>
          </cell>
        </row>
        <row r="188">
          <cell r="F188">
            <v>8832</v>
          </cell>
          <cell r="G188">
            <v>7</v>
          </cell>
          <cell r="H188" t="str">
            <v>MANT. EQUIPOS</v>
          </cell>
          <cell r="I188" t="str">
            <v>Mantenimiento de Equipos Informáticos</v>
          </cell>
          <cell r="J188" t="str">
            <v>6 (OP)</v>
          </cell>
          <cell r="K188" t="str">
            <v>Ignacio Moreno Velasco</v>
          </cell>
          <cell r="L188" t="str">
            <v>Ignacio Moreno Velasco</v>
          </cell>
        </row>
        <row r="189">
          <cell r="F189">
            <v>8833</v>
          </cell>
          <cell r="G189">
            <v>7</v>
          </cell>
          <cell r="H189" t="str">
            <v>HARD ESP</v>
          </cell>
          <cell r="I189" t="str">
            <v>Hardware de Aplicación Específica</v>
          </cell>
          <cell r="J189" t="str">
            <v>6 (OP)</v>
          </cell>
          <cell r="K189" t="str">
            <v>César Represa Pérez</v>
          </cell>
          <cell r="L189" t="str">
            <v>César Represa Pérez</v>
          </cell>
        </row>
        <row r="190">
          <cell r="F190">
            <v>8834</v>
          </cell>
          <cell r="G190">
            <v>7</v>
          </cell>
          <cell r="H190" t="str">
            <v>COMP. NEURONAL</v>
          </cell>
          <cell r="I190" t="str">
            <v>Computación Neuronal y Evolutiva</v>
          </cell>
          <cell r="J190" t="str">
            <v>6 (OP)</v>
          </cell>
          <cell r="K190" t="str">
            <v>Daniel Urda, Bruno Baruque Zanón</v>
          </cell>
          <cell r="L190" t="str">
            <v>Daniel Urda</v>
          </cell>
        </row>
        <row r="191">
          <cell r="F191">
            <v>8841</v>
          </cell>
          <cell r="G191">
            <v>7</v>
          </cell>
          <cell r="H191" t="str">
            <v>PROG. S.O.</v>
          </cell>
          <cell r="I191" t="str">
            <v>Programación de Sistemas Operativos</v>
          </cell>
          <cell r="J191" t="str">
            <v>6 (OP)</v>
          </cell>
          <cell r="K191" t="str">
            <v/>
          </cell>
          <cell r="L191"/>
        </row>
        <row r="192">
          <cell r="F192">
            <v>8835</v>
          </cell>
          <cell r="G192">
            <v>8</v>
          </cell>
          <cell r="H192" t="str">
            <v>SIST. DISTRIB.</v>
          </cell>
          <cell r="I192" t="str">
            <v>Sistemas Distribuidos</v>
          </cell>
          <cell r="J192" t="str">
            <v>6 (OP)</v>
          </cell>
          <cell r="K192" t="str">
            <v>José Manuel Aroca Fernández</v>
          </cell>
          <cell r="L192" t="str">
            <v>José Manuel Aroca Fernández</v>
          </cell>
        </row>
        <row r="193">
          <cell r="F193">
            <v>8842</v>
          </cell>
          <cell r="G193">
            <v>8</v>
          </cell>
          <cell r="H193" t="str">
            <v>SIST. EMPOT.</v>
          </cell>
          <cell r="I193" t="str">
            <v>Sistemas Empotrados y de Tiempo Real</v>
          </cell>
          <cell r="J193" t="str">
            <v>6 (OP)</v>
          </cell>
          <cell r="K193" t="str">
            <v>Alejandro Merino, Jesus Enrique Sierra</v>
          </cell>
          <cell r="L193" t="str">
            <v>Alejandro Merino</v>
          </cell>
        </row>
        <row r="194">
          <cell r="F194">
            <v>8843</v>
          </cell>
          <cell r="G194">
            <v>8</v>
          </cell>
          <cell r="H194" t="str">
            <v>MET. FORMALES</v>
          </cell>
          <cell r="I194" t="str">
            <v>Métodos Formales</v>
          </cell>
          <cell r="J194" t="str">
            <v>6 (OP)</v>
          </cell>
          <cell r="K194" t="str">
            <v xml:space="preserve">César Ignacio García Osorio, </v>
          </cell>
          <cell r="L194" t="str">
            <v>César Ignacio García Osorio</v>
          </cell>
        </row>
        <row r="195">
          <cell r="F195">
            <v>8836</v>
          </cell>
          <cell r="G195">
            <v>8</v>
          </cell>
          <cell r="H195" t="str">
            <v>NUEVAS TECN.</v>
          </cell>
          <cell r="I195" t="str">
            <v>Nuevas Tecnologías y Empresa</v>
          </cell>
          <cell r="J195" t="str">
            <v>6 (OP)</v>
          </cell>
          <cell r="K195" t="str">
            <v>Jose Ignacio Santos Martín, Virginia Ahedo</v>
          </cell>
          <cell r="L195" t="str">
            <v>Jose Ignacio Santos Martín</v>
          </cell>
        </row>
        <row r="196">
          <cell r="F196">
            <v>8837</v>
          </cell>
          <cell r="G196">
            <v>8</v>
          </cell>
          <cell r="H196" t="str">
            <v>MINERÍA</v>
          </cell>
          <cell r="I196" t="str">
            <v>Minería de Datos</v>
          </cell>
          <cell r="J196" t="str">
            <v>6 (OP)</v>
          </cell>
          <cell r="K196" t="str">
            <v>Juan José Rodríguez Díez</v>
          </cell>
          <cell r="L196" t="str">
            <v>Juan José Rodríguez Díez</v>
          </cell>
        </row>
        <row r="197">
          <cell r="F197">
            <v>8838</v>
          </cell>
          <cell r="G197">
            <v>8</v>
          </cell>
          <cell r="H197" t="str">
            <v>D.A.SISTEMAS</v>
          </cell>
          <cell r="I197" t="str">
            <v>Desarrollo Avanzado de Sistemas Software</v>
          </cell>
          <cell r="J197" t="str">
            <v>6 (OP)</v>
          </cell>
          <cell r="K197" t="str">
            <v>Carlos López Nozal</v>
          </cell>
          <cell r="L197" t="str">
            <v>Carlos López Nozal</v>
          </cell>
        </row>
        <row r="198">
          <cell r="K198" t="str">
            <v/>
          </cell>
          <cell r="L198"/>
        </row>
        <row r="199">
          <cell r="F199" t="str">
            <v>MASTER DE INGENIERIA INDUSTRIAL</v>
          </cell>
          <cell r="K199" t="str">
            <v/>
          </cell>
          <cell r="L199"/>
        </row>
        <row r="200">
          <cell r="F200">
            <v>7036</v>
          </cell>
          <cell r="G200">
            <v>1</v>
          </cell>
          <cell r="H200" t="str">
            <v>TECN. ESTRUCT.</v>
          </cell>
          <cell r="I200" t="str">
            <v>Tecnología  de Estructuras</v>
          </cell>
          <cell r="J200">
            <v>6</v>
          </cell>
          <cell r="K200" t="str">
            <v xml:space="preserve">Luis Suarez Vivar, Wilco Verbeeten </v>
          </cell>
          <cell r="L200" t="str">
            <v>Luis Suarez Vivar</v>
          </cell>
        </row>
        <row r="201">
          <cell r="F201">
            <v>7037</v>
          </cell>
          <cell r="G201">
            <v>1</v>
          </cell>
          <cell r="H201" t="str">
            <v>GESTIÓN</v>
          </cell>
          <cell r="I201" t="str">
            <v>Gestión de Empresas</v>
          </cell>
          <cell r="J201">
            <v>6</v>
          </cell>
          <cell r="K201" t="str">
            <v>Juan José Lavios Villahoz</v>
          </cell>
          <cell r="L201" t="str">
            <v>Juan José Lavios Villahoz</v>
          </cell>
        </row>
        <row r="202">
          <cell r="F202">
            <v>7038</v>
          </cell>
          <cell r="G202">
            <v>1</v>
          </cell>
          <cell r="H202" t="str">
            <v>FABRIC. Y MAQ.</v>
          </cell>
          <cell r="I202" t="str">
            <v>Fabricación y Máquinas</v>
          </cell>
          <cell r="J202">
            <v>6</v>
          </cell>
          <cell r="K202" t="str">
            <v>Francisco Javier Gómez Gil</v>
          </cell>
          <cell r="L202" t="str">
            <v>Francisco Javier Gómez Gil</v>
          </cell>
        </row>
        <row r="203">
          <cell r="F203">
            <v>7039</v>
          </cell>
          <cell r="G203">
            <v>1</v>
          </cell>
          <cell r="H203" t="str">
            <v>SIST. ELÉCTRIC.</v>
          </cell>
          <cell r="I203" t="str">
            <v>Sistemas Eléctricos de Potencia</v>
          </cell>
          <cell r="J203">
            <v>6</v>
          </cell>
          <cell r="K203" t="str">
            <v>Jesús Sagredo González</v>
          </cell>
          <cell r="L203" t="str">
            <v>Jesús Sagredo González</v>
          </cell>
        </row>
        <row r="204">
          <cell r="F204">
            <v>7040</v>
          </cell>
          <cell r="G204">
            <v>1</v>
          </cell>
          <cell r="H204" t="str">
            <v>DERECHO</v>
          </cell>
          <cell r="I204" t="str">
            <v>Derecho Mercantil y Laboral</v>
          </cell>
          <cell r="J204">
            <v>3</v>
          </cell>
          <cell r="K204" t="str">
            <v>Juan Cruz Monje Santillana</v>
          </cell>
          <cell r="L204" t="str">
            <v>Juan Cruz Monje Santillana</v>
          </cell>
        </row>
        <row r="205">
          <cell r="F205">
            <v>7041</v>
          </cell>
          <cell r="G205">
            <v>1</v>
          </cell>
          <cell r="H205" t="str">
            <v>QUÍMICA IND.</v>
          </cell>
          <cell r="I205" t="str">
            <v>Química Industrial</v>
          </cell>
          <cell r="J205">
            <v>3</v>
          </cell>
          <cell r="K205" t="str">
            <v>Fco. Javier Rodríguez Vidal, Luis Marcos Naveira</v>
          </cell>
          <cell r="L205" t="str">
            <v>Fco. Javier Rodríguez Vidal</v>
          </cell>
        </row>
        <row r="206">
          <cell r="F206">
            <v>7042</v>
          </cell>
          <cell r="G206">
            <v>2</v>
          </cell>
          <cell r="H206" t="str">
            <v>CONST. Y EDIFIC.</v>
          </cell>
          <cell r="I206" t="str">
            <v>Construcción y Edificación de Plantas Industriales</v>
          </cell>
          <cell r="J206">
            <v>6</v>
          </cell>
          <cell r="K206" t="str">
            <v>Luis Alfredo Suárez Vivar</v>
          </cell>
          <cell r="L206" t="str">
            <v>Luis Alfredo Suárez Vivar</v>
          </cell>
        </row>
        <row r="207">
          <cell r="F207">
            <v>7043</v>
          </cell>
          <cell r="G207">
            <v>2</v>
          </cell>
          <cell r="H207" t="str">
            <v>DIRECCIÓN PROD.</v>
          </cell>
          <cell r="I207" t="str">
            <v>Dirección de la Producción y Proyectos</v>
          </cell>
          <cell r="J207">
            <v>6</v>
          </cell>
          <cell r="K207" t="str">
            <v>Miguel Angel Mariscal, Ricardo del Olmo</v>
          </cell>
          <cell r="L207" t="str">
            <v>Miguel Angel Mariscal</v>
          </cell>
        </row>
        <row r="208">
          <cell r="F208">
            <v>7044</v>
          </cell>
          <cell r="G208">
            <v>2</v>
          </cell>
          <cell r="H208" t="str">
            <v>ING. ENERGÉTICA</v>
          </cell>
          <cell r="I208" t="str">
            <v>Ingeniería Energética</v>
          </cell>
          <cell r="J208">
            <v>6</v>
          </cell>
          <cell r="K208" t="str">
            <v>Fernando Aguilar Romero, Natalia Muñoz</v>
          </cell>
          <cell r="L208" t="str">
            <v>Fernando Aguilar Romero</v>
          </cell>
        </row>
        <row r="209">
          <cell r="F209">
            <v>7045</v>
          </cell>
          <cell r="G209">
            <v>2</v>
          </cell>
          <cell r="H209" t="str">
            <v>CONT. PROCESOS</v>
          </cell>
          <cell r="I209" t="str">
            <v>Control Avanzado de Procesos</v>
          </cell>
          <cell r="J209">
            <v>6</v>
          </cell>
          <cell r="K209" t="str">
            <v>Daniel Sarabia Ortiz</v>
          </cell>
          <cell r="L209" t="str">
            <v>Daniel Sarabia Ortiz</v>
          </cell>
        </row>
        <row r="210">
          <cell r="F210">
            <v>7046</v>
          </cell>
          <cell r="G210">
            <v>2</v>
          </cell>
          <cell r="H210" t="str">
            <v>ING. ELECTRÓN.</v>
          </cell>
          <cell r="I210" t="str">
            <v>Ingeniería Electrónica</v>
          </cell>
          <cell r="J210">
            <v>6</v>
          </cell>
          <cell r="K210" t="str">
            <v>Alberto Estébanez</v>
          </cell>
          <cell r="L210" t="str">
            <v>Alberto Estébanez</v>
          </cell>
        </row>
        <row r="211">
          <cell r="F211">
            <v>7152</v>
          </cell>
          <cell r="G211">
            <v>3</v>
          </cell>
          <cell r="H211" t="str">
            <v>MANT. INDUST</v>
          </cell>
          <cell r="I211" t="str">
            <v>Manutención y Mantenimiento Industrial</v>
          </cell>
          <cell r="J211">
            <v>3</v>
          </cell>
          <cell r="K211" t="str">
            <v>Miriam Lorenzo Bañuelos</v>
          </cell>
          <cell r="L211" t="str">
            <v>Miriam Lorenzo Bañuelos</v>
          </cell>
        </row>
        <row r="212">
          <cell r="F212">
            <v>7047</v>
          </cell>
          <cell r="G212">
            <v>3</v>
          </cell>
          <cell r="H212" t="str">
            <v>CENTRALES</v>
          </cell>
          <cell r="I212" t="str">
            <v>Centrales de Producción de Energía</v>
          </cell>
          <cell r="J212">
            <v>3</v>
          </cell>
          <cell r="K212" t="str">
            <v>David González</v>
          </cell>
          <cell r="L212" t="str">
            <v>David González</v>
          </cell>
        </row>
        <row r="213">
          <cell r="F213">
            <v>7048</v>
          </cell>
          <cell r="G213">
            <v>3</v>
          </cell>
          <cell r="H213" t="str">
            <v>AUTOMOCIÓN</v>
          </cell>
          <cell r="I213" t="str">
            <v>Ingeniería de Automoción</v>
          </cell>
          <cell r="J213">
            <v>6</v>
          </cell>
          <cell r="K213" t="str">
            <v>Mª José García</v>
          </cell>
          <cell r="L213" t="str">
            <v>Mª José García</v>
          </cell>
        </row>
        <row r="214">
          <cell r="F214">
            <v>7049</v>
          </cell>
          <cell r="G214">
            <v>3</v>
          </cell>
          <cell r="H214" t="str">
            <v>MATERIALES</v>
          </cell>
          <cell r="I214" t="str">
            <v>Tecnología de Materiales</v>
          </cell>
          <cell r="J214">
            <v>6</v>
          </cell>
          <cell r="K214" t="str">
            <v>Mónica Preciado Calzada , José Calaf Chica</v>
          </cell>
          <cell r="L214" t="str">
            <v xml:space="preserve">Mónica Preciado Calzada </v>
          </cell>
        </row>
        <row r="215">
          <cell r="F215">
            <v>7050</v>
          </cell>
          <cell r="G215">
            <v>3</v>
          </cell>
          <cell r="H215" t="str">
            <v>CALIDAD Y PROD.</v>
          </cell>
          <cell r="I215" t="str">
            <v>Calidad y Productividad</v>
          </cell>
          <cell r="J215">
            <v>3</v>
          </cell>
          <cell r="K215" t="str">
            <v>Ignacio Fontaneda González</v>
          </cell>
          <cell r="L215" t="str">
            <v>Ignacio Fontaneda González</v>
          </cell>
        </row>
        <row r="216">
          <cell r="F216">
            <v>7051</v>
          </cell>
          <cell r="G216">
            <v>3</v>
          </cell>
          <cell r="H216" t="str">
            <v>INST. ECON.</v>
          </cell>
          <cell r="I216" t="str">
            <v>Teoría e Instituciones Económicas</v>
          </cell>
          <cell r="J216">
            <v>6</v>
          </cell>
          <cell r="K216" t="str">
            <v>Ricardo del Olmo Martínez</v>
          </cell>
          <cell r="L216" t="str">
            <v>Ricardo del Olmo Martínez</v>
          </cell>
        </row>
        <row r="217">
          <cell r="F217">
            <v>7052</v>
          </cell>
          <cell r="G217">
            <v>3</v>
          </cell>
          <cell r="H217" t="str">
            <v>ERGONOMÍA</v>
          </cell>
          <cell r="I217" t="str">
            <v>Ergonomía y Psicosociología</v>
          </cell>
          <cell r="J217">
            <v>3</v>
          </cell>
          <cell r="K217" t="str">
            <v>Miguel Ángel Camino López</v>
          </cell>
          <cell r="L217" t="str">
            <v>Miguel Ángel Camino López</v>
          </cell>
        </row>
        <row r="218">
          <cell r="F218">
            <v>7053</v>
          </cell>
          <cell r="G218">
            <v>3</v>
          </cell>
          <cell r="H218" t="str">
            <v>MÉTODOS IOI</v>
          </cell>
          <cell r="I218" t="str">
            <v>Métodos Avanzados en Ingeniería de Organización</v>
          </cell>
          <cell r="J218">
            <v>3</v>
          </cell>
          <cell r="K218" t="str">
            <v>Virginia Ahedo,José Manuel Galán</v>
          </cell>
          <cell r="L218" t="str">
            <v>Virginia Ahedo</v>
          </cell>
        </row>
        <row r="219">
          <cell r="F219">
            <v>7054</v>
          </cell>
          <cell r="G219">
            <v>3</v>
          </cell>
          <cell r="H219" t="str">
            <v>I. TÉRMICAS</v>
          </cell>
          <cell r="I219" t="str">
            <v>Instalaciones Térmicas</v>
          </cell>
          <cell r="J219">
            <v>3</v>
          </cell>
          <cell r="K219" t="str">
            <v>Francisco José González, Fernando Aguilar</v>
          </cell>
          <cell r="L219" t="str">
            <v>Francisco José González</v>
          </cell>
        </row>
        <row r="220">
          <cell r="F220">
            <v>7055</v>
          </cell>
          <cell r="G220">
            <v>3</v>
          </cell>
          <cell r="H220" t="str">
            <v>I. ELÉCTRICAS</v>
          </cell>
          <cell r="I220" t="str">
            <v>Instalaciones Eléctricas</v>
          </cell>
          <cell r="J220">
            <v>3</v>
          </cell>
          <cell r="K220" t="str">
            <v>Jesús Sagredo González</v>
          </cell>
          <cell r="L220" t="str">
            <v>Jesús Sagredo González</v>
          </cell>
        </row>
        <row r="221">
          <cell r="F221">
            <v>7056</v>
          </cell>
          <cell r="G221">
            <v>3</v>
          </cell>
          <cell r="H221" t="str">
            <v>C. DINÁMICO</v>
          </cell>
          <cell r="I221" t="str">
            <v>Cálculo Dinámico de Estructuras</v>
          </cell>
          <cell r="J221">
            <v>3</v>
          </cell>
          <cell r="K221" t="str">
            <v>Luis Suárez,</v>
          </cell>
          <cell r="L221" t="str">
            <v>Luis Suárez</v>
          </cell>
        </row>
        <row r="222">
          <cell r="F222">
            <v>7057</v>
          </cell>
          <cell r="G222">
            <v>3</v>
          </cell>
          <cell r="H222" t="str">
            <v>DISEÑO PLANT.</v>
          </cell>
          <cell r="I222" t="str">
            <v>Diseño y Ejecución de Plantas Industriales</v>
          </cell>
          <cell r="J222">
            <v>6</v>
          </cell>
          <cell r="K222" t="str">
            <v>Luis Suárez, Rosario Moradillo</v>
          </cell>
          <cell r="L222" t="str">
            <v>Luis Suárez</v>
          </cell>
        </row>
        <row r="223">
          <cell r="J223">
            <v>6</v>
          </cell>
          <cell r="K223" t="str">
            <v/>
          </cell>
          <cell r="L223"/>
        </row>
        <row r="224">
          <cell r="F224" t="str">
            <v>MASTER EN INGENIERIA INFORMATICA</v>
          </cell>
          <cell r="J224">
            <v>6</v>
          </cell>
          <cell r="K224" t="str">
            <v/>
          </cell>
          <cell r="L224"/>
        </row>
        <row r="225">
          <cell r="F225">
            <v>8111</v>
          </cell>
          <cell r="G225">
            <v>1</v>
          </cell>
          <cell r="H225" t="str">
            <v>GESTIÓN TIC</v>
          </cell>
          <cell r="I225" t="str">
            <v xml:space="preserve">Gestión Téc. y Estratégica de las TIC </v>
          </cell>
          <cell r="J225">
            <v>6</v>
          </cell>
          <cell r="K225" t="str">
            <v>Santiago Arcos Arcos</v>
          </cell>
          <cell r="L225" t="str">
            <v>Santiago Arcos Arcos</v>
          </cell>
        </row>
        <row r="226">
          <cell r="F226">
            <v>8112</v>
          </cell>
          <cell r="G226">
            <v>1</v>
          </cell>
          <cell r="H226" t="str">
            <v>ARQ. AVANZADAS</v>
          </cell>
          <cell r="I226" t="str">
            <v>Arquit. Avanzadas de Computadores</v>
          </cell>
          <cell r="J226">
            <v>6</v>
          </cell>
          <cell r="K226" t="str">
            <v>José Mª Cámara Nebreda</v>
          </cell>
          <cell r="L226" t="str">
            <v>José Mª Cámara Nebreda</v>
          </cell>
        </row>
        <row r="227">
          <cell r="F227">
            <v>8113</v>
          </cell>
          <cell r="G227">
            <v>1</v>
          </cell>
          <cell r="H227" t="str">
            <v>INT. ARTIFICIAL</v>
          </cell>
          <cell r="I227" t="str">
            <v>Inteligencia Artifiicial</v>
          </cell>
          <cell r="J227">
            <v>6</v>
          </cell>
          <cell r="K227" t="str">
            <v>Alvar Arnáiz, Álvaro Herrero Cosio</v>
          </cell>
          <cell r="L227" t="str">
            <v>Alvar Arnáiz</v>
          </cell>
        </row>
        <row r="228">
          <cell r="F228">
            <v>8114</v>
          </cell>
          <cell r="G228">
            <v>1</v>
          </cell>
          <cell r="H228" t="str">
            <v>ARQ. Y SERV. INT.</v>
          </cell>
          <cell r="I228" t="str">
            <v>Arquitectura y Servicios de Internet</v>
          </cell>
          <cell r="J228">
            <v>6</v>
          </cell>
          <cell r="K228" t="str">
            <v/>
          </cell>
          <cell r="L228"/>
        </row>
        <row r="229">
          <cell r="F229">
            <v>8115</v>
          </cell>
          <cell r="G229">
            <v>1</v>
          </cell>
          <cell r="H229" t="str">
            <v>SIST. INFORM.</v>
          </cell>
          <cell r="I229" t="str">
            <v>Sistemas de Información Avanzados</v>
          </cell>
          <cell r="J229">
            <v>6</v>
          </cell>
          <cell r="K229" t="str">
            <v/>
          </cell>
          <cell r="L229"/>
        </row>
        <row r="230">
          <cell r="F230">
            <v>8116</v>
          </cell>
          <cell r="G230">
            <v>2</v>
          </cell>
          <cell r="H230" t="str">
            <v>DIRECCIÓN PROY.</v>
          </cell>
          <cell r="I230" t="str">
            <v xml:space="preserve">Dirección de Proyectos Informáticos y Gestión de I+D+i </v>
          </cell>
          <cell r="J230">
            <v>6</v>
          </cell>
          <cell r="K230" t="str">
            <v>Santiago Arcos Arcos</v>
          </cell>
          <cell r="L230" t="str">
            <v>Santiago Arcos Arcos</v>
          </cell>
        </row>
        <row r="231">
          <cell r="F231">
            <v>8117</v>
          </cell>
          <cell r="G231">
            <v>2</v>
          </cell>
          <cell r="H231" t="str">
            <v>INST. INF.</v>
          </cell>
          <cell r="I231" t="str">
            <v>Ingeniería de Instalaciones Informáticas</v>
          </cell>
          <cell r="J231">
            <v>6</v>
          </cell>
          <cell r="K231" t="str">
            <v>Ignacio Moreno Velasco</v>
          </cell>
          <cell r="L231" t="str">
            <v>Ignacio Moreno Velasco</v>
          </cell>
        </row>
        <row r="232">
          <cell r="F232">
            <v>8118</v>
          </cell>
          <cell r="G232">
            <v>2</v>
          </cell>
          <cell r="H232" t="str">
            <v>INFORM. GRAF.</v>
          </cell>
          <cell r="I232" t="str">
            <v>Informática Gráfica</v>
          </cell>
          <cell r="J232">
            <v>6</v>
          </cell>
          <cell r="K232" t="str">
            <v>Pedro Burgos</v>
          </cell>
          <cell r="L232" t="str">
            <v>Pedro Burgos</v>
          </cell>
        </row>
        <row r="233">
          <cell r="F233">
            <v>8119</v>
          </cell>
          <cell r="G233">
            <v>2</v>
          </cell>
          <cell r="H233" t="str">
            <v>SIST. EMPOTRAD.</v>
          </cell>
          <cell r="I233" t="str">
            <v>Sistemas Empotrados y Ubicuos</v>
          </cell>
          <cell r="J233">
            <v>6</v>
          </cell>
          <cell r="K233" t="str">
            <v>Alejandro Merino Gómez</v>
          </cell>
          <cell r="L233" t="str">
            <v>Alejandro Merino Gómez</v>
          </cell>
        </row>
        <row r="234">
          <cell r="F234">
            <v>8120</v>
          </cell>
          <cell r="G234">
            <v>2</v>
          </cell>
          <cell r="H234" t="str">
            <v>AUDITORÍA</v>
          </cell>
          <cell r="I234" t="str">
            <v>Auditoría, Calidad y Seguridad</v>
          </cell>
          <cell r="J234">
            <v>6</v>
          </cell>
          <cell r="K234" t="str">
            <v>José Manuel Sáiz, Pedro Burgos, Carlos Armiño</v>
          </cell>
          <cell r="L234" t="str">
            <v>José Manuel Sáiz</v>
          </cell>
        </row>
        <row r="235">
          <cell r="F235"/>
          <cell r="G235"/>
          <cell r="H235"/>
          <cell r="I235"/>
          <cell r="J235"/>
          <cell r="K235"/>
          <cell r="L235"/>
        </row>
        <row r="236">
          <cell r="F236"/>
          <cell r="G236"/>
          <cell r="H236"/>
          <cell r="I236"/>
          <cell r="J236"/>
          <cell r="K236"/>
          <cell r="L236"/>
        </row>
        <row r="237">
          <cell r="F237"/>
          <cell r="G237"/>
          <cell r="H237"/>
          <cell r="I237"/>
          <cell r="J237"/>
          <cell r="K237"/>
          <cell r="L237"/>
        </row>
        <row r="238">
          <cell r="F238"/>
          <cell r="G238"/>
          <cell r="H238"/>
          <cell r="I238"/>
          <cell r="J238"/>
          <cell r="K238"/>
          <cell r="L238"/>
        </row>
        <row r="239">
          <cell r="F239"/>
          <cell r="G239"/>
          <cell r="H239"/>
          <cell r="I239"/>
          <cell r="J239"/>
          <cell r="K239"/>
          <cell r="L239"/>
        </row>
        <row r="240">
          <cell r="F240"/>
          <cell r="G240"/>
          <cell r="H240"/>
          <cell r="I240"/>
          <cell r="J240"/>
          <cell r="K240"/>
          <cell r="L240"/>
        </row>
        <row r="241">
          <cell r="F241"/>
          <cell r="G241"/>
          <cell r="H241"/>
          <cell r="I241"/>
          <cell r="J241"/>
          <cell r="K241"/>
          <cell r="L241"/>
        </row>
        <row r="242">
          <cell r="F242"/>
          <cell r="G242"/>
          <cell r="H242"/>
          <cell r="I242"/>
          <cell r="J242"/>
          <cell r="K242"/>
          <cell r="L242"/>
        </row>
        <row r="243">
          <cell r="K243" t="str">
            <v/>
          </cell>
          <cell r="L243"/>
        </row>
        <row r="244">
          <cell r="F244" t="str">
            <v>MASTER EN INTEGRIDAD Y DURABILIDAD DE MATERIALES</v>
          </cell>
          <cell r="K244" t="str">
            <v/>
          </cell>
          <cell r="L244"/>
        </row>
        <row r="245">
          <cell r="F245">
            <v>7101</v>
          </cell>
          <cell r="G245">
            <v>1</v>
          </cell>
          <cell r="H245" t="str">
            <v>MATERIALES</v>
          </cell>
          <cell r="I245" t="str">
            <v>Materiales Estructurales</v>
          </cell>
          <cell r="J245">
            <v>4</v>
          </cell>
          <cell r="K245" t="str">
            <v>Fco. Javier Belzunce (UNIOVI), Monica Preciado (UBU)</v>
          </cell>
          <cell r="L245" t="str">
            <v>Fco. Javier Belzunce (UNIOVI)</v>
          </cell>
        </row>
        <row r="246">
          <cell r="F246">
            <v>7102</v>
          </cell>
          <cell r="G246">
            <v>1</v>
          </cell>
          <cell r="H246" t="str">
            <v>ELAST-PLAS</v>
          </cell>
          <cell r="I246" t="str">
            <v>Teoría de la Elasticidad y Plasticidad</v>
          </cell>
          <cell r="J246">
            <v>4</v>
          </cell>
          <cell r="K246" t="str">
            <v>Wilco Verbeeten (UBU)</v>
          </cell>
          <cell r="L246" t="str">
            <v>Wilco Verbeeten (UBU)</v>
          </cell>
        </row>
        <row r="247">
          <cell r="F247">
            <v>7103</v>
          </cell>
          <cell r="G247">
            <v>1</v>
          </cell>
          <cell r="H247" t="str">
            <v>FRACTURA</v>
          </cell>
          <cell r="I247" t="str">
            <v>Mecánica de la Fractura</v>
          </cell>
          <cell r="J247">
            <v>4</v>
          </cell>
          <cell r="K247" t="str">
            <v xml:space="preserve"> Covadonga Betegón Biempica (UNIOVI), Ivan Cuesta Segura (UBU)</v>
          </cell>
          <cell r="L247" t="str">
            <v xml:space="preserve"> Covadonga Betegón Biempica (UNIOVI)</v>
          </cell>
        </row>
        <row r="248">
          <cell r="F248">
            <v>7104</v>
          </cell>
          <cell r="G248">
            <v>1</v>
          </cell>
          <cell r="H248" t="str">
            <v>FATIGA</v>
          </cell>
          <cell r="I248" t="str">
            <v>Fatiga, Corrosión Bajo Tensión y Fluencia</v>
          </cell>
          <cell r="J248">
            <v>4</v>
          </cell>
          <cell r="K248" t="str">
            <v>Jose Alberto Alvarez (UNICAN), Jesús Manuel Alegre (UBU)</v>
          </cell>
          <cell r="L248" t="str">
            <v>Jose Alberto Alvarez (UNICAN)</v>
          </cell>
        </row>
        <row r="249">
          <cell r="F249">
            <v>7105</v>
          </cell>
          <cell r="G249">
            <v>1</v>
          </cell>
          <cell r="H249" t="str">
            <v>CORROSIÓN</v>
          </cell>
          <cell r="I249" t="str">
            <v>Corrosión, Oxidación, Desgaste y Protección</v>
          </cell>
          <cell r="J249">
            <v>4</v>
          </cell>
          <cell r="K249" t="str">
            <v>Pedro Bravo Diez (UBU)</v>
          </cell>
          <cell r="L249" t="str">
            <v>Pedro Bravo Diez (UBU)</v>
          </cell>
        </row>
        <row r="250">
          <cell r="F250">
            <v>7108</v>
          </cell>
          <cell r="G250">
            <v>1</v>
          </cell>
          <cell r="H250" t="str">
            <v>SOLDADURA</v>
          </cell>
          <cell r="I250" t="str">
            <v>Soldadura y Tecnologías de Unión</v>
          </cell>
          <cell r="J250">
            <v>4</v>
          </cell>
          <cell r="K250" t="str">
            <v>Cristina Rodriguez (UNIOVI), Monica Preciado (UBU)</v>
          </cell>
          <cell r="L250" t="str">
            <v>Cristina Rodriguez (UNIOVI)</v>
          </cell>
        </row>
        <row r="251">
          <cell r="F251">
            <v>7106</v>
          </cell>
          <cell r="G251">
            <v>1</v>
          </cell>
          <cell r="H251" t="str">
            <v>SIMULACIÓN NÚMERICA</v>
          </cell>
          <cell r="I251" t="str">
            <v>Simulación Numérica de Mat, Comp y Est.</v>
          </cell>
          <cell r="J251">
            <v>4</v>
          </cell>
          <cell r="K251" t="str">
            <v>Ivan Cuesta Segura (UBU)</v>
          </cell>
          <cell r="L251" t="str">
            <v>Ivan Cuesta Segura (UBU)</v>
          </cell>
        </row>
        <row r="252">
          <cell r="F252">
            <v>7109</v>
          </cell>
          <cell r="G252">
            <v>2</v>
          </cell>
          <cell r="H252" t="str">
            <v>INSPECCIÓN Y END</v>
          </cell>
          <cell r="I252" t="str">
            <v>Técnicas de Inspección y END</v>
          </cell>
          <cell r="J252">
            <v>4</v>
          </cell>
          <cell r="K252" t="str">
            <v>Fco. J. Belzunce (UNIOVI), Pedro Bravo (UBU)</v>
          </cell>
          <cell r="L252" t="str">
            <v>Fco. J. Belzunce (UNIOVI)</v>
          </cell>
        </row>
        <row r="253">
          <cell r="F253">
            <v>7107</v>
          </cell>
          <cell r="G253">
            <v>2</v>
          </cell>
          <cell r="H253" t="str">
            <v>INTEGRIDAD ESTRUCTURAL</v>
          </cell>
          <cell r="I253" t="str">
            <v>Procedimientos de Integridad Estructural</v>
          </cell>
          <cell r="J253">
            <v>4</v>
          </cell>
          <cell r="K253" t="str">
            <v>Roberto Lacalle (UNICAM), Ivan Cuesta Segura (UBU)</v>
          </cell>
          <cell r="L253" t="str">
            <v>Roberto Lacalle (UNICAM)</v>
          </cell>
        </row>
        <row r="254">
          <cell r="F254">
            <v>7110</v>
          </cell>
          <cell r="G254">
            <v>2</v>
          </cell>
          <cell r="H254" t="str">
            <v>ANÁLISIS DE FALLOS</v>
          </cell>
          <cell r="I254" t="str">
            <v>Análisis de Fallos</v>
          </cell>
          <cell r="J254">
            <v>4</v>
          </cell>
          <cell r="K254" t="str">
            <v>Sergio Cicero (UNICAN), Pedro Bravo (UBU)</v>
          </cell>
          <cell r="L254" t="str">
            <v>Sergio Cicero (UNICAN)</v>
          </cell>
        </row>
        <row r="255">
          <cell r="F255">
            <v>7111</v>
          </cell>
          <cell r="G255">
            <v>2</v>
          </cell>
          <cell r="H255" t="str">
            <v>SEMINARIO I</v>
          </cell>
          <cell r="I255" t="str">
            <v>Seminario Especializado I</v>
          </cell>
          <cell r="J255">
            <v>4</v>
          </cell>
          <cell r="K255" t="str">
            <v>Jesús Manuel Alegre (UBU), Wilco Verbeeten (UBU)</v>
          </cell>
          <cell r="L255" t="str">
            <v>Jesús Manuel Alegre (UBU)</v>
          </cell>
        </row>
        <row r="256">
          <cell r="F256">
            <v>7112</v>
          </cell>
          <cell r="G256">
            <v>2</v>
          </cell>
          <cell r="H256" t="str">
            <v>SEMINARIO II</v>
          </cell>
          <cell r="I256" t="str">
            <v>Seminario Especializado II</v>
          </cell>
          <cell r="J256">
            <v>4</v>
          </cell>
          <cell r="K256" t="str">
            <v>Wilco Verbeeten (UBU)</v>
          </cell>
          <cell r="L256" t="str">
            <v>Wilco Verbeeten (UBU)</v>
          </cell>
        </row>
        <row r="257">
          <cell r="F257"/>
          <cell r="G257"/>
          <cell r="H257"/>
          <cell r="I257"/>
          <cell r="J257"/>
          <cell r="K257"/>
          <cell r="L257"/>
        </row>
        <row r="258">
          <cell r="F258" t="str">
            <v>DOBLE GRADO INGENIERIA MECANICA -ELECTRONICA AUTOMATICA</v>
          </cell>
          <cell r="G258"/>
          <cell r="H258"/>
          <cell r="I258"/>
          <cell r="J258"/>
          <cell r="K258"/>
          <cell r="L258"/>
        </row>
        <row r="259">
          <cell r="F259">
            <v>7711</v>
          </cell>
          <cell r="G259">
            <v>1</v>
          </cell>
          <cell r="H259" t="str">
            <v>CÁLCULO</v>
          </cell>
          <cell r="I259" t="str">
            <v xml:space="preserve">Cálculo </v>
          </cell>
          <cell r="J259">
            <v>6</v>
          </cell>
          <cell r="K259" t="str">
            <v>Elena Cebrián de Barrio</v>
          </cell>
          <cell r="L259" t="str">
            <v>Elena Cebrián de Barrio</v>
          </cell>
        </row>
        <row r="260">
          <cell r="F260">
            <v>7712</v>
          </cell>
          <cell r="G260">
            <v>1</v>
          </cell>
          <cell r="H260" t="str">
            <v>ÁLGEBRA</v>
          </cell>
          <cell r="I260" t="str">
            <v>Álgebra y Ecuaciones Diferenciales</v>
          </cell>
          <cell r="J260">
            <v>6</v>
          </cell>
          <cell r="K260" t="str">
            <v/>
          </cell>
          <cell r="L260"/>
        </row>
        <row r="261">
          <cell r="F261">
            <v>7713</v>
          </cell>
          <cell r="G261">
            <v>1</v>
          </cell>
          <cell r="H261" t="str">
            <v>FÍSICA I</v>
          </cell>
          <cell r="I261" t="str">
            <v>Física I</v>
          </cell>
          <cell r="J261">
            <v>6</v>
          </cell>
          <cell r="K261" t="str">
            <v xml:space="preserve">Juan José Villalaín , </v>
          </cell>
          <cell r="L261" t="str">
            <v xml:space="preserve">Juan José Villalaín </v>
          </cell>
        </row>
        <row r="262">
          <cell r="F262">
            <v>7714</v>
          </cell>
          <cell r="G262">
            <v>1</v>
          </cell>
          <cell r="H262" t="str">
            <v>QUÍMICA</v>
          </cell>
          <cell r="I262" t="str">
            <v>Química</v>
          </cell>
          <cell r="J262">
            <v>6</v>
          </cell>
          <cell r="K262" t="str">
            <v xml:space="preserve">Indalecio Peñacoba, Francisco Javier Rodriguez , </v>
          </cell>
          <cell r="L262" t="str">
            <v>Indalecio Peñacoba</v>
          </cell>
        </row>
        <row r="263">
          <cell r="F263">
            <v>7715</v>
          </cell>
          <cell r="G263">
            <v>1</v>
          </cell>
          <cell r="H263" t="str">
            <v>EXP. GRÁFICA I</v>
          </cell>
          <cell r="I263" t="str">
            <v>Expresión Gráfica I</v>
          </cell>
          <cell r="J263">
            <v>6</v>
          </cell>
          <cell r="K263" t="str">
            <v>Arturo de Román Miguel, Elías Martínez</v>
          </cell>
          <cell r="L263" t="str">
            <v>Arturo de Román Miguel</v>
          </cell>
        </row>
        <row r="264">
          <cell r="F264">
            <v>7716</v>
          </cell>
          <cell r="G264">
            <v>2</v>
          </cell>
          <cell r="H264" t="str">
            <v>AMP. CÁLCULO</v>
          </cell>
          <cell r="I264" t="str">
            <v>Ampliación de Cálculo y Geometría</v>
          </cell>
          <cell r="J264">
            <v>6</v>
          </cell>
          <cell r="K264" t="str">
            <v>Leticia Sainz</v>
          </cell>
          <cell r="L264" t="str">
            <v>Leticia Sainz</v>
          </cell>
        </row>
        <row r="265">
          <cell r="F265">
            <v>7717</v>
          </cell>
          <cell r="G265">
            <v>2</v>
          </cell>
          <cell r="H265" t="str">
            <v>INFORMÁTICA</v>
          </cell>
          <cell r="I265" t="str">
            <v>Informática Básica</v>
          </cell>
          <cell r="J265">
            <v>6</v>
          </cell>
          <cell r="K265" t="str">
            <v>Ángel Arroyo</v>
          </cell>
          <cell r="L265" t="str">
            <v>Ángel Arroyo</v>
          </cell>
        </row>
        <row r="266">
          <cell r="F266">
            <v>7718</v>
          </cell>
          <cell r="G266">
            <v>2</v>
          </cell>
          <cell r="H266" t="str">
            <v>FÍSICA II</v>
          </cell>
          <cell r="I266" t="str">
            <v>Física II</v>
          </cell>
          <cell r="J266">
            <v>6</v>
          </cell>
          <cell r="K266" t="str">
            <v>Mª Felicidad Bogalo Román</v>
          </cell>
          <cell r="L266" t="str">
            <v>Mª Felicidad Bogalo Román</v>
          </cell>
        </row>
        <row r="267">
          <cell r="F267">
            <v>7719</v>
          </cell>
          <cell r="G267">
            <v>2</v>
          </cell>
          <cell r="H267" t="str">
            <v xml:space="preserve">CIENCIA DE MATERIALES </v>
          </cell>
          <cell r="I267" t="str">
            <v>Ciencia de Materiales, Estrucutura y Propiedades</v>
          </cell>
          <cell r="J267">
            <v>6</v>
          </cell>
          <cell r="K267" t="str">
            <v>Mónica Preciado Calzada, José Ángel Zapatero</v>
          </cell>
          <cell r="L267" t="str">
            <v>Mónica Preciado Calzada</v>
          </cell>
        </row>
        <row r="268">
          <cell r="F268">
            <v>7720</v>
          </cell>
          <cell r="G268">
            <v>2</v>
          </cell>
          <cell r="H268" t="str">
            <v>ECONOMÍA</v>
          </cell>
          <cell r="I268" t="str">
            <v>Economía de la Empresa</v>
          </cell>
          <cell r="J268">
            <v>6</v>
          </cell>
          <cell r="K268" t="str">
            <v>Mª Teresa Peña Pérez</v>
          </cell>
          <cell r="L268" t="str">
            <v>Mª Teresa Peña Pérez</v>
          </cell>
        </row>
        <row r="269">
          <cell r="F269">
            <v>7721</v>
          </cell>
          <cell r="G269">
            <v>2</v>
          </cell>
          <cell r="H269" t="str">
            <v>EXP. GRÁFICA II</v>
          </cell>
          <cell r="I269" t="str">
            <v>Expresión Gráfica II</v>
          </cell>
          <cell r="J269">
            <v>6</v>
          </cell>
          <cell r="K269" t="str">
            <v>Arturo de Roman Miguel, Esteban García Maté</v>
          </cell>
          <cell r="L269" t="str">
            <v>Arturo de Roman Miguel</v>
          </cell>
        </row>
        <row r="270">
          <cell r="F270">
            <v>7722</v>
          </cell>
          <cell r="G270">
            <v>3</v>
          </cell>
          <cell r="H270" t="str">
            <v>ING. TÉRMICA I</v>
          </cell>
          <cell r="I270" t="str">
            <v>Ingeniería Térmica I</v>
          </cell>
          <cell r="J270">
            <v>6</v>
          </cell>
          <cell r="K270" t="str">
            <v>Cristina Alonso Tristán</v>
          </cell>
          <cell r="L270" t="str">
            <v>Cristina Alonso Tristán</v>
          </cell>
        </row>
        <row r="271">
          <cell r="F271">
            <v>7723</v>
          </cell>
          <cell r="G271">
            <v>3</v>
          </cell>
          <cell r="H271" t="str">
            <v>ING. ELÉCTRICA</v>
          </cell>
          <cell r="I271" t="str">
            <v>Fundamentos de Ingeniería Eléctrica</v>
          </cell>
          <cell r="J271">
            <v>6</v>
          </cell>
          <cell r="K271" t="str">
            <v>Jesús Sagredo González</v>
          </cell>
          <cell r="L271" t="str">
            <v>Jesús Sagredo González</v>
          </cell>
        </row>
        <row r="272">
          <cell r="F272">
            <v>7724</v>
          </cell>
          <cell r="G272">
            <v>3</v>
          </cell>
          <cell r="H272" t="str">
            <v>ERMAT-I</v>
          </cell>
          <cell r="I272" t="str">
            <v>Elasticidad y Resistencia de Materiales</v>
          </cell>
          <cell r="J272">
            <v>6</v>
          </cell>
          <cell r="K272" t="str">
            <v xml:space="preserve">Isidoro Ivan Cuesta </v>
          </cell>
          <cell r="L272" t="str">
            <v xml:space="preserve">Isidoro Ivan Cuesta </v>
          </cell>
        </row>
        <row r="273">
          <cell r="F273">
            <v>7725</v>
          </cell>
          <cell r="G273">
            <v>3</v>
          </cell>
          <cell r="H273" t="str">
            <v>E.C.N.</v>
          </cell>
          <cell r="I273" t="str">
            <v>Estadística y Cálculo Numérico</v>
          </cell>
          <cell r="J273">
            <v>6</v>
          </cell>
          <cell r="K273" t="str">
            <v/>
          </cell>
          <cell r="L273"/>
        </row>
        <row r="274">
          <cell r="F274">
            <v>7726</v>
          </cell>
          <cell r="G274">
            <v>3</v>
          </cell>
          <cell r="H274" t="str">
            <v>PRODUCCIÓN</v>
          </cell>
          <cell r="I274" t="str">
            <v>Organización de la Producción</v>
          </cell>
          <cell r="J274">
            <v>6</v>
          </cell>
          <cell r="K274" t="str">
            <v>Miguel Angel Manzanedo, Ricardo del Olmo, Oscar González</v>
          </cell>
          <cell r="L274" t="str">
            <v>Miguel Angel Manzanedo</v>
          </cell>
        </row>
        <row r="275">
          <cell r="F275">
            <v>7727</v>
          </cell>
          <cell r="G275">
            <v>3</v>
          </cell>
          <cell r="H275" t="str">
            <v>RENOVABLES</v>
          </cell>
          <cell r="I275" t="str">
            <v>Energías Renovables y Medio Ambiente</v>
          </cell>
          <cell r="J275">
            <v>6</v>
          </cell>
          <cell r="K275" t="str">
            <v>Manuel Iván González, Fco Javier Rodríguez</v>
          </cell>
          <cell r="L275" t="str">
            <v>Manuel Iván González</v>
          </cell>
        </row>
        <row r="276">
          <cell r="F276">
            <v>7728</v>
          </cell>
          <cell r="G276">
            <v>4</v>
          </cell>
          <cell r="H276" t="str">
            <v xml:space="preserve"> CIRCUITOS</v>
          </cell>
          <cell r="I276" t="str">
            <v>Teoria de Circuitos</v>
          </cell>
          <cell r="J276">
            <v>6</v>
          </cell>
          <cell r="K276" t="str">
            <v>Jesús Sagredo González</v>
          </cell>
          <cell r="L276" t="str">
            <v>Jesús Sagredo González</v>
          </cell>
        </row>
        <row r="277">
          <cell r="F277">
            <v>7729</v>
          </cell>
          <cell r="G277">
            <v>4</v>
          </cell>
          <cell r="H277" t="str">
            <v>FUND. ELECTRÓNICA</v>
          </cell>
          <cell r="I277" t="str">
            <v xml:space="preserve">Fundamentos de Electrónica </v>
          </cell>
          <cell r="J277">
            <v>6</v>
          </cell>
          <cell r="K277" t="str">
            <v>Jesús H. Lucio</v>
          </cell>
          <cell r="L277" t="str">
            <v>Jesús H. Lucio</v>
          </cell>
        </row>
        <row r="278">
          <cell r="F278">
            <v>7730</v>
          </cell>
          <cell r="G278">
            <v>4</v>
          </cell>
          <cell r="H278" t="str">
            <v>MECANISMOS</v>
          </cell>
          <cell r="I278" t="str">
            <v>Mecanismos</v>
          </cell>
          <cell r="J278">
            <v>6</v>
          </cell>
          <cell r="K278" t="str">
            <v>Alberto Martínez Martínez</v>
          </cell>
          <cell r="L278" t="str">
            <v>Alberto Martínez Martínez</v>
          </cell>
        </row>
        <row r="279">
          <cell r="F279">
            <v>7731</v>
          </cell>
          <cell r="G279">
            <v>4</v>
          </cell>
          <cell r="H279" t="str">
            <v xml:space="preserve"> FLUIDOMECÁNICA</v>
          </cell>
          <cell r="I279" t="str">
            <v>Ingeniería Fluidomecánica</v>
          </cell>
          <cell r="J279">
            <v>6</v>
          </cell>
          <cell r="K279" t="str">
            <v>José Antonio Barón</v>
          </cell>
          <cell r="L279" t="str">
            <v>José Antonio Barón</v>
          </cell>
        </row>
        <row r="280">
          <cell r="F280">
            <v>7732</v>
          </cell>
          <cell r="G280">
            <v>4</v>
          </cell>
          <cell r="H280" t="str">
            <v>AUTOMATISMOS</v>
          </cell>
          <cell r="I280" t="str">
            <v>Automatismos y Control Industrial</v>
          </cell>
          <cell r="J280">
            <v>6</v>
          </cell>
          <cell r="K280" t="str">
            <v>Juan Vicente Martín Fraile</v>
          </cell>
          <cell r="L280" t="str">
            <v>Juan Vicente Martín Fraile</v>
          </cell>
        </row>
        <row r="281">
          <cell r="F281">
            <v>7733</v>
          </cell>
          <cell r="G281">
            <v>5</v>
          </cell>
          <cell r="H281" t="str">
            <v>MATERIALES</v>
          </cell>
          <cell r="I281" t="str">
            <v>Ingeniería de Materiales</v>
          </cell>
          <cell r="J281">
            <v>6</v>
          </cell>
          <cell r="K281" t="str">
            <v>Mónica Preciado, David Cardenas</v>
          </cell>
          <cell r="L281" t="str">
            <v>Mónica Preciado</v>
          </cell>
        </row>
        <row r="282">
          <cell r="F282">
            <v>7740</v>
          </cell>
          <cell r="G282">
            <v>5</v>
          </cell>
          <cell r="H282" t="str">
            <v>M ELÉCTRICAS</v>
          </cell>
          <cell r="I282" t="str">
            <v>Máquinas Eléctricas</v>
          </cell>
          <cell r="J282">
            <v>6</v>
          </cell>
          <cell r="K282" t="str">
            <v>Vanesa Fernández Cavero</v>
          </cell>
          <cell r="L282" t="str">
            <v>Vanesa Fernández Cavero</v>
          </cell>
        </row>
        <row r="283">
          <cell r="F283">
            <v>7735</v>
          </cell>
          <cell r="G283">
            <v>5</v>
          </cell>
          <cell r="H283" t="str">
            <v>RESISTENCIA II</v>
          </cell>
          <cell r="I283" t="str">
            <v>Resistencia de Materiales II</v>
          </cell>
          <cell r="J283">
            <v>6</v>
          </cell>
          <cell r="K283" t="str">
            <v>Wilco Verbeeten,  Jesús Manuel Alegre</v>
          </cell>
          <cell r="L283" t="str">
            <v>Wilco Verbeeten</v>
          </cell>
        </row>
        <row r="284">
          <cell r="F284">
            <v>7736</v>
          </cell>
          <cell r="G284">
            <v>5</v>
          </cell>
          <cell r="H284" t="str">
            <v>MECANISMOS II</v>
          </cell>
          <cell r="I284" t="str">
            <v>Mecanismos II</v>
          </cell>
          <cell r="J284">
            <v>6</v>
          </cell>
          <cell r="K284" t="str">
            <v>Eduardo Pérez Colina</v>
          </cell>
          <cell r="L284" t="str">
            <v>Eduardo Pérez Colina</v>
          </cell>
        </row>
        <row r="285">
          <cell r="F285">
            <v>7737</v>
          </cell>
          <cell r="G285">
            <v>5</v>
          </cell>
          <cell r="H285" t="str">
            <v>ANALÓGICA</v>
          </cell>
          <cell r="I285" t="str">
            <v>Electrónica Analógica</v>
          </cell>
          <cell r="J285">
            <v>6</v>
          </cell>
          <cell r="K285" t="str">
            <v>Jesús H. Lucio</v>
          </cell>
          <cell r="L285" t="str">
            <v>Jesús H. Lucio</v>
          </cell>
        </row>
        <row r="286">
          <cell r="F286">
            <v>7738</v>
          </cell>
          <cell r="G286">
            <v>5</v>
          </cell>
          <cell r="H286" t="str">
            <v>DIGITAL</v>
          </cell>
          <cell r="I286" t="str">
            <v>Electrónica Digital</v>
          </cell>
          <cell r="J286">
            <v>6</v>
          </cell>
          <cell r="K286" t="str">
            <v xml:space="preserve">Miguel Angel Lozano </v>
          </cell>
          <cell r="L286" t="str">
            <v xml:space="preserve">Miguel Angel Lozano </v>
          </cell>
        </row>
        <row r="287">
          <cell r="F287">
            <v>7739</v>
          </cell>
          <cell r="G287">
            <v>6</v>
          </cell>
          <cell r="H287" t="str">
            <v>FABRICACIÓN</v>
          </cell>
          <cell r="I287" t="str">
            <v>Sistemas de Producción y Fabricación Industrial</v>
          </cell>
          <cell r="J287">
            <v>6</v>
          </cell>
          <cell r="K287" t="str">
            <v>Miriam Lorenzo</v>
          </cell>
          <cell r="L287" t="str">
            <v>Miriam Lorenzo</v>
          </cell>
        </row>
        <row r="288">
          <cell r="F288">
            <v>7734</v>
          </cell>
          <cell r="G288">
            <v>6</v>
          </cell>
          <cell r="H288" t="str">
            <v>TÉRMICA II</v>
          </cell>
          <cell r="I288" t="str">
            <v>Ingeniería Térmica II</v>
          </cell>
          <cell r="J288">
            <v>6</v>
          </cell>
          <cell r="K288" t="str">
            <v>Cristina Alonso Tristán</v>
          </cell>
          <cell r="L288" t="str">
            <v>Cristina Alonso Tristán</v>
          </cell>
        </row>
        <row r="289">
          <cell r="F289">
            <v>7741</v>
          </cell>
          <cell r="G289">
            <v>6</v>
          </cell>
          <cell r="H289" t="str">
            <v xml:space="preserve">REGULACIÓN </v>
          </cell>
          <cell r="I289" t="str">
            <v>Regulación Automática</v>
          </cell>
          <cell r="J289">
            <v>6</v>
          </cell>
          <cell r="K289" t="str">
            <v xml:space="preserve">Jesús Enrique Sierra García, </v>
          </cell>
          <cell r="L289" t="str">
            <v>Jesús Enrique Sierra García</v>
          </cell>
        </row>
        <row r="290">
          <cell r="F290">
            <v>7742</v>
          </cell>
          <cell r="G290">
            <v>6</v>
          </cell>
          <cell r="H290" t="str">
            <v>MICROS</v>
          </cell>
          <cell r="I290" t="str">
            <v>Sistemas Basados en Microprocesadores</v>
          </cell>
          <cell r="J290">
            <v>6</v>
          </cell>
          <cell r="K290" t="str">
            <v>Fernando Rívas, Miguel Ángel Cantera</v>
          </cell>
          <cell r="L290" t="str">
            <v>Fernando Rívas</v>
          </cell>
        </row>
        <row r="291">
          <cell r="F291">
            <v>7743</v>
          </cell>
          <cell r="G291">
            <v>6</v>
          </cell>
          <cell r="H291" t="str">
            <v>D MÁQUINAS I</v>
          </cell>
          <cell r="I291" t="str">
            <v>Diseño de Máquinas I</v>
          </cell>
          <cell r="J291">
            <v>6</v>
          </cell>
          <cell r="K291" t="str">
            <v>Mª José García</v>
          </cell>
          <cell r="L291" t="str">
            <v>Mª José García</v>
          </cell>
        </row>
        <row r="292">
          <cell r="F292">
            <v>7749</v>
          </cell>
          <cell r="G292">
            <v>7</v>
          </cell>
          <cell r="H292" t="str">
            <v>TEC. MECÁNICA I</v>
          </cell>
          <cell r="I292" t="str">
            <v>Tecnología Mecánica I</v>
          </cell>
          <cell r="J292">
            <v>6</v>
          </cell>
          <cell r="K292" t="str">
            <v>Miriam Lorenzo Bañuelos</v>
          </cell>
          <cell r="L292" t="str">
            <v>Miriam Lorenzo Bañuelos</v>
          </cell>
        </row>
        <row r="293">
          <cell r="F293">
            <v>7745</v>
          </cell>
          <cell r="G293">
            <v>7</v>
          </cell>
          <cell r="H293" t="str">
            <v>D MÁQUINAS II</v>
          </cell>
          <cell r="I293" t="str">
            <v>Diseño de Máquinas II</v>
          </cell>
          <cell r="J293">
            <v>6</v>
          </cell>
          <cell r="K293" t="str">
            <v>Alberto Martínez Martínez</v>
          </cell>
          <cell r="L293" t="str">
            <v>Alberto Martínez Martínez</v>
          </cell>
        </row>
        <row r="294">
          <cell r="F294">
            <v>7746</v>
          </cell>
          <cell r="G294">
            <v>7</v>
          </cell>
          <cell r="H294" t="str">
            <v>INSTRUMENTACIÓN</v>
          </cell>
          <cell r="I294" t="str">
            <v>Instrumentación Electrónica</v>
          </cell>
          <cell r="J294">
            <v>6</v>
          </cell>
          <cell r="K294" t="str">
            <v>Ignacio Moreno Velasco</v>
          </cell>
          <cell r="L294" t="str">
            <v>Ignacio Moreno Velasco</v>
          </cell>
        </row>
        <row r="295">
          <cell r="F295">
            <v>7747</v>
          </cell>
          <cell r="G295">
            <v>7</v>
          </cell>
          <cell r="H295" t="str">
            <v>ING. GRÁFICA</v>
          </cell>
          <cell r="I295" t="str">
            <v>Ingeniería Gráfica</v>
          </cell>
          <cell r="J295">
            <v>6</v>
          </cell>
          <cell r="K295" t="str">
            <v xml:space="preserve">Elías Martínez, </v>
          </cell>
          <cell r="L295" t="str">
            <v>Elías Martínez</v>
          </cell>
        </row>
        <row r="296">
          <cell r="F296">
            <v>7748</v>
          </cell>
          <cell r="G296">
            <v>7</v>
          </cell>
          <cell r="H296" t="str">
            <v>SIST. ELECTRÓN.</v>
          </cell>
          <cell r="I296" t="str">
            <v>Tecnología de los Sistemas Electrónicos</v>
          </cell>
          <cell r="J296">
            <v>6</v>
          </cell>
          <cell r="K296" t="str">
            <v xml:space="preserve">Jose Mª Cámara, Guzmán Moreno </v>
          </cell>
          <cell r="L296" t="str">
            <v>Jose Mª Cámara</v>
          </cell>
        </row>
        <row r="297">
          <cell r="F297">
            <v>7744</v>
          </cell>
          <cell r="G297">
            <v>8</v>
          </cell>
          <cell r="H297" t="str">
            <v>POTENCIA</v>
          </cell>
          <cell r="I297" t="str">
            <v>Electrónica de Potencia</v>
          </cell>
          <cell r="J297">
            <v>6</v>
          </cell>
          <cell r="K297" t="str">
            <v>Guirguis Zaki</v>
          </cell>
          <cell r="L297" t="str">
            <v>Guirguis Zaki</v>
          </cell>
        </row>
        <row r="298">
          <cell r="F298">
            <v>7750</v>
          </cell>
          <cell r="G298">
            <v>8</v>
          </cell>
          <cell r="H298" t="str">
            <v>CONTROL PROC.</v>
          </cell>
          <cell r="I298" t="str">
            <v>Control de Procesos Industriales</v>
          </cell>
          <cell r="J298">
            <v>6</v>
          </cell>
          <cell r="K298" t="str">
            <v>Gabriel Rubio Pérez</v>
          </cell>
          <cell r="L298" t="str">
            <v>Gabriel Rubio Pérez</v>
          </cell>
        </row>
        <row r="299">
          <cell r="F299">
            <v>7751</v>
          </cell>
          <cell r="G299">
            <v>8</v>
          </cell>
          <cell r="H299" t="str">
            <v>INSTALACIONES I</v>
          </cell>
          <cell r="I299" t="str">
            <v>Instalaciones Industriales I</v>
          </cell>
          <cell r="J299">
            <v>6</v>
          </cell>
          <cell r="K299" t="str">
            <v>Luís Alfredo Suarez Vivar</v>
          </cell>
          <cell r="L299" t="str">
            <v>Luís Alfredo Suarez Vivar</v>
          </cell>
        </row>
        <row r="300">
          <cell r="F300">
            <v>7752</v>
          </cell>
          <cell r="G300">
            <v>8</v>
          </cell>
          <cell r="H300" t="str">
            <v>INF INDUSTRIAL</v>
          </cell>
          <cell r="I300" t="str">
            <v>Informática Industrial</v>
          </cell>
          <cell r="J300">
            <v>6</v>
          </cell>
          <cell r="K300" t="str">
            <v>José Luis Jabato</v>
          </cell>
          <cell r="L300" t="str">
            <v>José Luis Jabato</v>
          </cell>
        </row>
        <row r="301">
          <cell r="F301">
            <v>7753</v>
          </cell>
          <cell r="G301">
            <v>8</v>
          </cell>
          <cell r="H301" t="str">
            <v>ESTRUCTURAS I</v>
          </cell>
          <cell r="I301" t="str">
            <v>Estructuras I</v>
          </cell>
          <cell r="J301">
            <v>6</v>
          </cell>
          <cell r="K301" t="str">
            <v xml:space="preserve">Jesús Moreno, </v>
          </cell>
          <cell r="L301" t="str">
            <v>Jesús Moreno</v>
          </cell>
        </row>
        <row r="302">
          <cell r="F302">
            <v>7763</v>
          </cell>
          <cell r="G302">
            <v>8</v>
          </cell>
          <cell r="H302" t="str">
            <v>M HIDRÁULICAS</v>
          </cell>
          <cell r="I302" t="str">
            <v>Máquinas Hidráulicas</v>
          </cell>
          <cell r="J302">
            <v>6</v>
          </cell>
          <cell r="K302" t="str">
            <v>David GonzálezIgnacio Velázquez</v>
          </cell>
          <cell r="L302" t="str">
            <v>David González</v>
          </cell>
        </row>
        <row r="303">
          <cell r="F303">
            <v>7754</v>
          </cell>
          <cell r="G303">
            <v>9</v>
          </cell>
          <cell r="H303" t="str">
            <v>OFICINA</v>
          </cell>
          <cell r="I303" t="str">
            <v>Oficina Técnica</v>
          </cell>
          <cell r="J303">
            <v>6</v>
          </cell>
          <cell r="K303" t="str">
            <v>Raul Zamora</v>
          </cell>
          <cell r="L303" t="str">
            <v>Raul Zamora</v>
          </cell>
        </row>
        <row r="304">
          <cell r="F304">
            <v>7755</v>
          </cell>
          <cell r="G304">
            <v>9</v>
          </cell>
          <cell r="H304" t="str">
            <v xml:space="preserve">AUTOMATIZACIÓN </v>
          </cell>
          <cell r="I304" t="str">
            <v>Automatización Industrial</v>
          </cell>
          <cell r="J304">
            <v>6</v>
          </cell>
          <cell r="K304" t="str">
            <v>Juan Vicente Martín</v>
          </cell>
          <cell r="L304" t="str">
            <v>Juan Vicente Martín</v>
          </cell>
        </row>
        <row r="305">
          <cell r="F305">
            <v>7756</v>
          </cell>
          <cell r="G305">
            <v>9</v>
          </cell>
          <cell r="H305" t="str">
            <v>ESTRUCTURAS II</v>
          </cell>
          <cell r="I305" t="str">
            <v>Estructuras II</v>
          </cell>
          <cell r="J305">
            <v>6</v>
          </cell>
          <cell r="K305" t="str">
            <v>José Antonio Martínez</v>
          </cell>
          <cell r="L305" t="str">
            <v>José Antonio Martínez</v>
          </cell>
        </row>
        <row r="306">
          <cell r="F306">
            <v>7757</v>
          </cell>
          <cell r="G306">
            <v>9</v>
          </cell>
          <cell r="H306" t="str">
            <v>M TÉRMICAS</v>
          </cell>
          <cell r="I306" t="str">
            <v xml:space="preserve">Máquinas Térmicas </v>
          </cell>
          <cell r="J306">
            <v>6</v>
          </cell>
          <cell r="K306" t="str">
            <v xml:space="preserve">Fernando Aguilar, </v>
          </cell>
          <cell r="L306" t="str">
            <v>Fernando Aguilar</v>
          </cell>
        </row>
        <row r="307">
          <cell r="F307">
            <v>7758</v>
          </cell>
          <cell r="G307">
            <v>9</v>
          </cell>
          <cell r="H307" t="str">
            <v xml:space="preserve">ROBÓTICA </v>
          </cell>
          <cell r="I307" t="str">
            <v>Robótica Industrial</v>
          </cell>
          <cell r="J307">
            <v>6</v>
          </cell>
          <cell r="K307" t="str">
            <v>Jesús Enrique Sierra, Mónica Briongos</v>
          </cell>
          <cell r="L307" t="str">
            <v>Jesús Enrique Sierra</v>
          </cell>
        </row>
        <row r="308">
          <cell r="F308">
            <v>7760</v>
          </cell>
          <cell r="G308">
            <v>10</v>
          </cell>
          <cell r="H308" t="str">
            <v>INGLÉS</v>
          </cell>
          <cell r="I308" t="str">
            <v>Inglés Aplicado a la Ing Mecánica</v>
          </cell>
          <cell r="J308">
            <v>6</v>
          </cell>
          <cell r="K308" t="str">
            <v>Ana Isabel Gómez</v>
          </cell>
          <cell r="L308" t="str">
            <v>Ana Isabel Gómez</v>
          </cell>
        </row>
        <row r="309">
          <cell r="F309"/>
          <cell r="G309"/>
          <cell r="H309"/>
          <cell r="I309"/>
          <cell r="J309"/>
          <cell r="K309"/>
          <cell r="L309"/>
        </row>
        <row r="310">
          <cell r="F310"/>
          <cell r="G310"/>
          <cell r="H310"/>
          <cell r="I310"/>
          <cell r="J310"/>
          <cell r="K310"/>
          <cell r="L310"/>
        </row>
        <row r="311">
          <cell r="F311"/>
          <cell r="G311"/>
          <cell r="H311"/>
          <cell r="I311"/>
          <cell r="J311"/>
          <cell r="K311"/>
          <cell r="L311"/>
        </row>
        <row r="312">
          <cell r="F312"/>
          <cell r="G312"/>
          <cell r="H312"/>
          <cell r="I312"/>
          <cell r="J312"/>
          <cell r="K312"/>
          <cell r="L312"/>
        </row>
        <row r="313">
          <cell r="F313" t="str">
            <v>GRADO INGENIERIA DE LA SALUD</v>
          </cell>
          <cell r="G313"/>
          <cell r="H313"/>
          <cell r="I313"/>
          <cell r="J313"/>
          <cell r="K313"/>
          <cell r="L313"/>
        </row>
        <row r="314">
          <cell r="F314">
            <v>8213</v>
          </cell>
          <cell r="G314">
            <v>1</v>
          </cell>
          <cell r="H314" t="str">
            <v>ÁLGEBRA</v>
          </cell>
          <cell r="I314" t="str">
            <v>Algebra</v>
          </cell>
          <cell r="J314">
            <v>6</v>
          </cell>
          <cell r="K314" t="str">
            <v>Antonio Manzano Rodríguez</v>
          </cell>
          <cell r="L314" t="str">
            <v>Antonio Manzano Rodríguez</v>
          </cell>
        </row>
        <row r="315">
          <cell r="F315">
            <v>8214</v>
          </cell>
          <cell r="G315">
            <v>1</v>
          </cell>
          <cell r="H315" t="str">
            <v>FÍSICA</v>
          </cell>
          <cell r="I315" t="str">
            <v>Física Aplicada a la Salud</v>
          </cell>
          <cell r="J315">
            <v>6</v>
          </cell>
          <cell r="K315" t="str">
            <v>Flavio Mercati, Manuel Iván González</v>
          </cell>
          <cell r="L315" t="str">
            <v>Flavio Mercati</v>
          </cell>
        </row>
        <row r="316">
          <cell r="F316">
            <v>8215</v>
          </cell>
          <cell r="G316">
            <v>1</v>
          </cell>
          <cell r="H316" t="str">
            <v>F.BIOÉTICOS</v>
          </cell>
          <cell r="I316" t="str">
            <v>F. Bioéticos, Deontológicos y Jurídicos de la Salud</v>
          </cell>
          <cell r="J316">
            <v>6</v>
          </cell>
          <cell r="K316" t="str">
            <v>Rosa María Sanchez, Juan Ayllon Barasoain</v>
          </cell>
          <cell r="L316" t="str">
            <v>Rosa María Sanchez</v>
          </cell>
        </row>
        <row r="317">
          <cell r="F317">
            <v>8216</v>
          </cell>
          <cell r="G317">
            <v>1</v>
          </cell>
          <cell r="H317" t="str">
            <v>INFORMÁTICA</v>
          </cell>
          <cell r="I317" t="str">
            <v>Informática Básica</v>
          </cell>
          <cell r="J317">
            <v>6</v>
          </cell>
          <cell r="K317" t="str">
            <v>Carlos Pardo Aguilar, Jose Francisco Díez</v>
          </cell>
          <cell r="L317" t="str">
            <v>Carlos Pardo Aguilar</v>
          </cell>
        </row>
        <row r="318">
          <cell r="F318">
            <v>8217</v>
          </cell>
          <cell r="G318">
            <v>1</v>
          </cell>
          <cell r="H318" t="str">
            <v>BIOLOGÍA</v>
          </cell>
          <cell r="I318" t="str">
            <v>Biología Celular y Genética</v>
          </cell>
          <cell r="J318">
            <v>6</v>
          </cell>
          <cell r="K318" t="str">
            <v>Mª Concepción Pilar , Mónica Cavia , Silvia Sevillano</v>
          </cell>
          <cell r="L318" t="str">
            <v xml:space="preserve">Mª Concepción Pilar </v>
          </cell>
        </row>
        <row r="319">
          <cell r="F319">
            <v>8218</v>
          </cell>
          <cell r="G319">
            <v>2</v>
          </cell>
          <cell r="H319" t="str">
            <v>CÁLCULO</v>
          </cell>
          <cell r="I319" t="str">
            <v>Cálculo</v>
          </cell>
          <cell r="J319">
            <v>6</v>
          </cell>
          <cell r="K319" t="str">
            <v>Elena Cebrian de Barrio</v>
          </cell>
          <cell r="L319" t="str">
            <v>Elena Cebrian de Barrio</v>
          </cell>
        </row>
        <row r="320">
          <cell r="F320">
            <v>8219</v>
          </cell>
          <cell r="G320">
            <v>2</v>
          </cell>
          <cell r="H320" t="str">
            <v>ELECTRICIDAD</v>
          </cell>
          <cell r="I320" t="str">
            <v>Fundamentos de Electricdad en Medicina</v>
          </cell>
          <cell r="J320">
            <v>6</v>
          </cell>
          <cell r="K320" t="str">
            <v>Ricardo Martínez Rayón</v>
          </cell>
          <cell r="L320" t="str">
            <v>Ricardo Martínez Rayón</v>
          </cell>
        </row>
        <row r="321">
          <cell r="F321">
            <v>8220</v>
          </cell>
          <cell r="G321">
            <v>2</v>
          </cell>
          <cell r="H321" t="str">
            <v>F CUERPO  I</v>
          </cell>
          <cell r="I321" t="str">
            <v>Estructura y Función del Cuerpo Humano I</v>
          </cell>
          <cell r="J321">
            <v>6</v>
          </cell>
          <cell r="K321" t="str">
            <v>Idoya Rodríguez Alonso, Dario Fernández</v>
          </cell>
          <cell r="L321" t="str">
            <v>Idoya Rodríguez Alonso</v>
          </cell>
        </row>
        <row r="322">
          <cell r="F322">
            <v>8221</v>
          </cell>
          <cell r="G322">
            <v>2</v>
          </cell>
          <cell r="H322" t="str">
            <v xml:space="preserve">PROGRAMACIÓN </v>
          </cell>
          <cell r="I322" t="str">
            <v xml:space="preserve">Fundamentos de Programación </v>
          </cell>
          <cell r="J322">
            <v>6</v>
          </cell>
          <cell r="K322" t="str">
            <v>José Francisco Díez Pastor</v>
          </cell>
          <cell r="L322" t="str">
            <v>José Francisco Díez Pastor</v>
          </cell>
        </row>
        <row r="323">
          <cell r="F323">
            <v>8222</v>
          </cell>
          <cell r="G323">
            <v>2</v>
          </cell>
          <cell r="H323" t="str">
            <v>BIOQUÍMICA</v>
          </cell>
          <cell r="I323" t="str">
            <v>Bioquímica Estructural y Metabólica</v>
          </cell>
          <cell r="J323">
            <v>6</v>
          </cell>
          <cell r="K323" t="str">
            <v>Natividad Ortega, David Palacios</v>
          </cell>
          <cell r="L323" t="str">
            <v>Natividad Ortega</v>
          </cell>
        </row>
        <row r="324">
          <cell r="F324">
            <v>8223</v>
          </cell>
          <cell r="G324">
            <v>3</v>
          </cell>
          <cell r="H324" t="str">
            <v xml:space="preserve">GENÉTICA </v>
          </cell>
          <cell r="I324" t="str">
            <v>Genética Molecular</v>
          </cell>
          <cell r="J324">
            <v>6</v>
          </cell>
          <cell r="K324" t="str">
            <v>Sonia Ramos Gómez, Alfredo Marcos Reguero</v>
          </cell>
          <cell r="L324" t="str">
            <v>Sonia Ramos Gómez</v>
          </cell>
        </row>
        <row r="325">
          <cell r="F325">
            <v>8224</v>
          </cell>
          <cell r="G325">
            <v>3</v>
          </cell>
          <cell r="H325" t="str">
            <v>F CUERPO II</v>
          </cell>
          <cell r="I325" t="str">
            <v>Estructura y Función del Cuerpo Humano II</v>
          </cell>
          <cell r="J325">
            <v>6</v>
          </cell>
          <cell r="K325" t="str">
            <v>Jonatan Rojo, Miriam Saíz, Juan Valencia</v>
          </cell>
          <cell r="L325" t="str">
            <v>Jonatan Rojo</v>
          </cell>
        </row>
        <row r="326">
          <cell r="F326">
            <v>8225</v>
          </cell>
          <cell r="G326">
            <v>3</v>
          </cell>
          <cell r="H326" t="str">
            <v>BIOESTADÍSTICA</v>
          </cell>
          <cell r="I326" t="str">
            <v>Bioestadística</v>
          </cell>
          <cell r="J326">
            <v>6</v>
          </cell>
          <cell r="K326" t="str">
            <v>Olga Valencia García</v>
          </cell>
          <cell r="L326" t="str">
            <v>Olga Valencia García</v>
          </cell>
        </row>
        <row r="327">
          <cell r="F327">
            <v>8226</v>
          </cell>
          <cell r="G327">
            <v>3</v>
          </cell>
          <cell r="H327" t="str">
            <v>BASES DE DATOS</v>
          </cell>
          <cell r="I327" t="str">
            <v>Bases de datos</v>
          </cell>
          <cell r="J327">
            <v>6</v>
          </cell>
          <cell r="K327" t="str">
            <v>Jesús Manuel Maudes, Antonio Jesús Canepa</v>
          </cell>
          <cell r="L327" t="str">
            <v>Jesús Manuel Maudes</v>
          </cell>
        </row>
        <row r="328">
          <cell r="F328">
            <v>8227</v>
          </cell>
          <cell r="G328">
            <v>3</v>
          </cell>
          <cell r="H328" t="str">
            <v>METODOLOGÍA</v>
          </cell>
          <cell r="I328" t="str">
            <v>Metodología de la Programación</v>
          </cell>
          <cell r="J328">
            <v>6</v>
          </cell>
          <cell r="K328" t="str">
            <v>Daniel Urda Muñoz</v>
          </cell>
          <cell r="L328" t="str">
            <v>Daniel Urda Muñoz</v>
          </cell>
        </row>
        <row r="329">
          <cell r="F329">
            <v>8228</v>
          </cell>
          <cell r="G329">
            <v>4</v>
          </cell>
          <cell r="H329" t="str">
            <v>FISIO</v>
          </cell>
          <cell r="I329" t="str">
            <v>Fisiopatología Humana</v>
          </cell>
          <cell r="J329">
            <v>6</v>
          </cell>
          <cell r="K329" t="str">
            <v>Jonatan Rojo, Miriam Saíz, Juan Valencia</v>
          </cell>
          <cell r="L329" t="str">
            <v>Jonatan Rojo</v>
          </cell>
        </row>
        <row r="330">
          <cell r="F330">
            <v>8229</v>
          </cell>
          <cell r="G330">
            <v>4</v>
          </cell>
          <cell r="H330" t="str">
            <v>REDES</v>
          </cell>
          <cell r="I330" t="str">
            <v>Pipios de Comunicaciones y Redes</v>
          </cell>
          <cell r="J330">
            <v>6</v>
          </cell>
          <cell r="K330" t="str">
            <v>Alejandro Merino Gómez</v>
          </cell>
          <cell r="L330" t="str">
            <v>Alejandro Merino Gómez</v>
          </cell>
        </row>
        <row r="331">
          <cell r="F331">
            <v>8230</v>
          </cell>
          <cell r="G331">
            <v>4</v>
          </cell>
          <cell r="H331" t="str">
            <v>ELECTRÓNICA</v>
          </cell>
          <cell r="I331" t="str">
            <v>Electrónica</v>
          </cell>
          <cell r="J331">
            <v>6</v>
          </cell>
          <cell r="K331" t="str">
            <v>Mª Isabel Dieste Velasco</v>
          </cell>
          <cell r="L331" t="str">
            <v>Mª Isabel Dieste Velasco</v>
          </cell>
        </row>
        <row r="332">
          <cell r="F332">
            <v>8231</v>
          </cell>
          <cell r="G332">
            <v>4</v>
          </cell>
          <cell r="H332" t="str">
            <v>ALGORITMOS</v>
          </cell>
          <cell r="I332" t="str">
            <v>Estructura de Datos y Algoritmos</v>
          </cell>
          <cell r="J332">
            <v>6</v>
          </cell>
          <cell r="K332" t="str">
            <v>Juan José Rodríguez Díez</v>
          </cell>
          <cell r="L332" t="str">
            <v>Juan José Rodríguez Díez</v>
          </cell>
        </row>
        <row r="333">
          <cell r="F333">
            <v>8232</v>
          </cell>
          <cell r="G333">
            <v>4</v>
          </cell>
          <cell r="H333" t="str">
            <v>SOFTWARE</v>
          </cell>
          <cell r="I333" t="str">
            <v>Ing. Y Gestión de Proyectos de Software Clínico</v>
          </cell>
          <cell r="J333">
            <v>6</v>
          </cell>
          <cell r="K333" t="str">
            <v/>
          </cell>
          <cell r="L333"/>
        </row>
        <row r="334">
          <cell r="F334">
            <v>8233</v>
          </cell>
          <cell r="G334">
            <v>5</v>
          </cell>
          <cell r="H334" t="str">
            <v>I GENÉTICA</v>
          </cell>
          <cell r="I334" t="str">
            <v>Ing. Genética y Terapia Genética</v>
          </cell>
          <cell r="J334">
            <v>6</v>
          </cell>
          <cell r="K334" t="str">
            <v>Sonia Ramos Gómez</v>
          </cell>
          <cell r="L334" t="str">
            <v>Sonia Ramos Gómez</v>
          </cell>
        </row>
        <row r="335">
          <cell r="F335">
            <v>8234</v>
          </cell>
          <cell r="G335">
            <v>5</v>
          </cell>
          <cell r="H335" t="str">
            <v>I CONTROL</v>
          </cell>
          <cell r="I335" t="str">
            <v>Ing. De Control</v>
          </cell>
          <cell r="J335">
            <v>6</v>
          </cell>
          <cell r="K335" t="str">
            <v>Daniel Sarabia</v>
          </cell>
          <cell r="L335" t="str">
            <v>Daniel Sarabia</v>
          </cell>
        </row>
        <row r="336">
          <cell r="F336">
            <v>8235</v>
          </cell>
          <cell r="G336">
            <v>5</v>
          </cell>
          <cell r="H336" t="str">
            <v>FUENTES</v>
          </cell>
          <cell r="I336" t="str">
            <v>Fuentes de Datos Biomédicas y Web Semánficas</v>
          </cell>
          <cell r="J336">
            <v>6</v>
          </cell>
          <cell r="K336" t="str">
            <v>Antonio Canepa</v>
          </cell>
          <cell r="L336" t="str">
            <v>Antonio Canepa</v>
          </cell>
        </row>
        <row r="337">
          <cell r="F337">
            <v>8236</v>
          </cell>
          <cell r="G337">
            <v>5</v>
          </cell>
          <cell r="H337" t="str">
            <v>SISTEMAS</v>
          </cell>
          <cell r="I337" t="str">
            <v>Sistemas Inteligentes Aplicados a Salud</v>
          </cell>
          <cell r="J337">
            <v>6</v>
          </cell>
          <cell r="K337" t="str">
            <v>Alberto Maestro</v>
          </cell>
          <cell r="L337" t="str">
            <v>Alberto Maestro</v>
          </cell>
        </row>
        <row r="338">
          <cell r="F338">
            <v>8237</v>
          </cell>
          <cell r="G338">
            <v>5</v>
          </cell>
          <cell r="H338" t="str">
            <v>BIOINFORMÁTICA</v>
          </cell>
          <cell r="I338" t="str">
            <v>Bioinformática</v>
          </cell>
          <cell r="J338">
            <v>6</v>
          </cell>
          <cell r="K338" t="str">
            <v>David Palacios</v>
          </cell>
          <cell r="L338" t="str">
            <v>David Palacios</v>
          </cell>
        </row>
        <row r="339">
          <cell r="F339">
            <v>8238</v>
          </cell>
          <cell r="G339">
            <v>6</v>
          </cell>
          <cell r="H339" t="str">
            <v>DISEÑO</v>
          </cell>
          <cell r="I339" t="str">
            <v>Diseño Mecánico</v>
          </cell>
          <cell r="J339">
            <v>6</v>
          </cell>
          <cell r="K339" t="str">
            <v>María José García</v>
          </cell>
          <cell r="L339" t="str">
            <v>María José García</v>
          </cell>
        </row>
        <row r="340">
          <cell r="F340">
            <v>8239</v>
          </cell>
          <cell r="G340">
            <v>6</v>
          </cell>
          <cell r="H340" t="str">
            <v>INSTRUMENTACIÓN</v>
          </cell>
          <cell r="I340" t="str">
            <v>Instrumentación y Señales Biomédicas</v>
          </cell>
          <cell r="J340">
            <v>6</v>
          </cell>
          <cell r="K340" t="str">
            <v>GuirguisZaqui</v>
          </cell>
          <cell r="L340" t="str">
            <v>GuirguisZaqui</v>
          </cell>
        </row>
        <row r="341">
          <cell r="F341">
            <v>8240</v>
          </cell>
          <cell r="G341">
            <v>6</v>
          </cell>
          <cell r="H341" t="str">
            <v xml:space="preserve">MINERÍA </v>
          </cell>
          <cell r="I341" t="str">
            <v>Minería de Datos Clínicos y Biológicos</v>
          </cell>
          <cell r="J341">
            <v>6</v>
          </cell>
          <cell r="K341" t="str">
            <v xml:space="preserve">José Francisco Díez Juan José Rodríguez, </v>
          </cell>
          <cell r="L341" t="str">
            <v>José Francisco Díez</v>
          </cell>
        </row>
        <row r="342">
          <cell r="F342">
            <v>8241</v>
          </cell>
          <cell r="G342">
            <v>6</v>
          </cell>
          <cell r="H342" t="str">
            <v>ARQUITECTURA</v>
          </cell>
          <cell r="I342" t="str">
            <v>Arquitectura de Computadores</v>
          </cell>
          <cell r="J342">
            <v>3</v>
          </cell>
          <cell r="K342" t="str">
            <v>Pedro Luis Sánchez</v>
          </cell>
          <cell r="L342" t="str">
            <v>Pedro Luis Sánchez</v>
          </cell>
        </row>
        <row r="343">
          <cell r="F343">
            <v>8242</v>
          </cell>
          <cell r="G343">
            <v>6</v>
          </cell>
          <cell r="H343" t="str">
            <v>TELEMEDICINA</v>
          </cell>
          <cell r="I343" t="str">
            <v>Telemedicina</v>
          </cell>
          <cell r="J343">
            <v>3</v>
          </cell>
          <cell r="K343" t="str">
            <v>GuirguisZaqui</v>
          </cell>
          <cell r="L343" t="str">
            <v>GuirguisZaqui</v>
          </cell>
        </row>
        <row r="344">
          <cell r="F344">
            <v>8243</v>
          </cell>
          <cell r="G344">
            <v>6</v>
          </cell>
          <cell r="H344" t="str">
            <v>PRÁCTICAS</v>
          </cell>
          <cell r="I344" t="str">
            <v>Prácticas en Hospitales /Empresas</v>
          </cell>
          <cell r="J344">
            <v>6</v>
          </cell>
          <cell r="K344"/>
          <cell r="L344"/>
        </row>
        <row r="345">
          <cell r="F345"/>
          <cell r="G345"/>
          <cell r="H345" t="str">
            <v>INSTRUMENTACIÓN 101</v>
          </cell>
          <cell r="I345"/>
          <cell r="J345"/>
          <cell r="K345"/>
          <cell r="L345"/>
        </row>
        <row r="346">
          <cell r="F346"/>
          <cell r="G346"/>
          <cell r="H346" t="str">
            <v>INSTRUMENTACIÓN 102</v>
          </cell>
          <cell r="I346"/>
          <cell r="J346"/>
          <cell r="K346"/>
          <cell r="L346"/>
        </row>
        <row r="347">
          <cell r="F347"/>
          <cell r="G347"/>
          <cell r="H347" t="str">
            <v>ARQUITEC-TELEME</v>
          </cell>
          <cell r="I347"/>
          <cell r="J347"/>
          <cell r="K347"/>
          <cell r="L347"/>
        </row>
        <row r="348">
          <cell r="F348"/>
          <cell r="G348"/>
          <cell r="H348"/>
          <cell r="I348"/>
          <cell r="J348"/>
          <cell r="K348"/>
          <cell r="L348"/>
        </row>
        <row r="349">
          <cell r="F349"/>
          <cell r="G349"/>
          <cell r="H349"/>
          <cell r="I349"/>
          <cell r="J349"/>
          <cell r="K349"/>
          <cell r="L349"/>
        </row>
        <row r="350">
          <cell r="F350"/>
          <cell r="G350"/>
          <cell r="H350"/>
          <cell r="I350"/>
          <cell r="J350"/>
          <cell r="K350"/>
          <cell r="L350"/>
        </row>
        <row r="351">
          <cell r="F351"/>
          <cell r="G351"/>
          <cell r="H351"/>
          <cell r="I351"/>
          <cell r="J351"/>
          <cell r="K351"/>
          <cell r="L351"/>
        </row>
        <row r="356">
          <cell r="F356" t="str">
            <v>MASTER SECUNDARIA</v>
          </cell>
          <cell r="K356" t="str">
            <v/>
          </cell>
          <cell r="L356"/>
        </row>
        <row r="357">
          <cell r="F357"/>
          <cell r="G357">
            <v>1</v>
          </cell>
          <cell r="H357" t="str">
            <v>T. Industriales</v>
          </cell>
          <cell r="I357" t="str">
            <v>Tecnologías Industriales</v>
          </cell>
          <cell r="J357">
            <v>6</v>
          </cell>
          <cell r="K357" t="str">
            <v xml:space="preserve">Luis Suarez Vivar, Wilco Verbeeten </v>
          </cell>
          <cell r="L357" t="str">
            <v>Luis Suarez Vivar</v>
          </cell>
        </row>
        <row r="358">
          <cell r="F358"/>
          <cell r="G358">
            <v>1</v>
          </cell>
          <cell r="H358" t="str">
            <v xml:space="preserve">T. información </v>
          </cell>
          <cell r="I358" t="str">
            <v>Infraestructuras y tecnologías de la información en centros educativos</v>
          </cell>
          <cell r="J358">
            <v>6</v>
          </cell>
          <cell r="K358" t="str">
            <v>Juan José Lavios Villahoz</v>
          </cell>
          <cell r="L358" t="str">
            <v>Juan José Lavios Villahoz</v>
          </cell>
        </row>
        <row r="359">
          <cell r="F359"/>
          <cell r="G359">
            <v>1</v>
          </cell>
          <cell r="H359" t="str">
            <v>TICRobótica</v>
          </cell>
          <cell r="I359" t="str">
            <v>Tecnología de la informaqción, las comunicaciones y la robótica</v>
          </cell>
          <cell r="J359">
            <v>6</v>
          </cell>
          <cell r="K359" t="str">
            <v>Francisco Javier Gómez Gil</v>
          </cell>
          <cell r="L359" t="str">
            <v>Francisco Javier Gómez Gil</v>
          </cell>
        </row>
        <row r="360">
          <cell r="F360"/>
          <cell r="G360"/>
          <cell r="H360"/>
          <cell r="I360"/>
          <cell r="J360"/>
          <cell r="K360"/>
          <cell r="L360"/>
        </row>
        <row r="361">
          <cell r="F361"/>
          <cell r="G361"/>
          <cell r="H361"/>
          <cell r="I361"/>
          <cell r="J361"/>
          <cell r="K361"/>
          <cell r="L361"/>
        </row>
        <row r="362">
          <cell r="F362"/>
          <cell r="G362"/>
          <cell r="H362"/>
          <cell r="I362"/>
          <cell r="J362"/>
          <cell r="K362"/>
          <cell r="L362"/>
        </row>
        <row r="363">
          <cell r="F363"/>
          <cell r="G363">
            <v>2</v>
          </cell>
          <cell r="H363" t="str">
            <v>FOL</v>
          </cell>
          <cell r="I363" t="str">
            <v>Estructura y gestión de la formación profesional</v>
          </cell>
          <cell r="J363">
            <v>6</v>
          </cell>
          <cell r="K363" t="str">
            <v>Luis Alfredo Suárez Vivar</v>
          </cell>
          <cell r="L363" t="str">
            <v>Luis Alfredo Suárez Vivar</v>
          </cell>
        </row>
        <row r="364">
          <cell r="F364"/>
          <cell r="G364">
            <v>2</v>
          </cell>
          <cell r="H364" t="str">
            <v>AB PROYECTOS</v>
          </cell>
          <cell r="I364" t="str">
            <v>Aprendizaje basado en proyectos</v>
          </cell>
          <cell r="J364">
            <v>6</v>
          </cell>
          <cell r="K364" t="str">
            <v>Miguel Angel Mariscal, Ricardo del Olmo</v>
          </cell>
          <cell r="L364" t="str">
            <v>Miguel Angel Mariscal</v>
          </cell>
        </row>
        <row r="365">
          <cell r="F365"/>
          <cell r="G365">
            <v>2</v>
          </cell>
          <cell r="H365" t="str">
            <v>INNOVACIÓN</v>
          </cell>
          <cell r="I365" t="str">
            <v>Innovación docente e iniciación a la investigación educativa en tecnología</v>
          </cell>
          <cell r="J365">
            <v>6</v>
          </cell>
          <cell r="K365" t="str">
            <v>Fernando Aguilar Romero, Matalia Muñoz</v>
          </cell>
          <cell r="L365" t="str">
            <v>Fernando Aguilar Romero</v>
          </cell>
        </row>
        <row r="366">
          <cell r="F366"/>
          <cell r="G366">
            <v>2</v>
          </cell>
          <cell r="H366"/>
          <cell r="I366"/>
          <cell r="J366"/>
          <cell r="K366"/>
          <cell r="L366"/>
        </row>
        <row r="367">
          <cell r="F367"/>
          <cell r="G367">
            <v>2</v>
          </cell>
          <cell r="H367"/>
          <cell r="I367"/>
          <cell r="J367"/>
          <cell r="K367"/>
          <cell r="L367"/>
        </row>
        <row r="368">
          <cell r="F368"/>
          <cell r="G368"/>
          <cell r="H368"/>
          <cell r="I368"/>
          <cell r="J368"/>
          <cell r="K368"/>
          <cell r="L368"/>
        </row>
        <row r="369">
          <cell r="F369"/>
          <cell r="G369"/>
          <cell r="H369"/>
          <cell r="I369"/>
          <cell r="J369"/>
          <cell r="K369"/>
          <cell r="L369"/>
        </row>
        <row r="370">
          <cell r="F370"/>
          <cell r="G370"/>
          <cell r="H370"/>
          <cell r="I370"/>
          <cell r="J370"/>
          <cell r="K370"/>
          <cell r="L370" t="str">
            <v>Mª José García</v>
          </cell>
        </row>
        <row r="371">
          <cell r="F371"/>
          <cell r="G371"/>
          <cell r="H371"/>
          <cell r="I371"/>
          <cell r="J371"/>
          <cell r="K371"/>
          <cell r="L371" t="str">
            <v xml:space="preserve">Mónica Preciado Calzada </v>
          </cell>
        </row>
        <row r="372">
          <cell r="F372"/>
          <cell r="G372"/>
          <cell r="H372"/>
          <cell r="I372"/>
          <cell r="J372"/>
          <cell r="K372"/>
          <cell r="L372" t="str">
            <v>Ignacio Fontaneda González</v>
          </cell>
        </row>
        <row r="373">
          <cell r="F373"/>
          <cell r="G373"/>
          <cell r="H373"/>
          <cell r="I373"/>
          <cell r="J373"/>
          <cell r="K373"/>
          <cell r="L373" t="str">
            <v>Ricardo del Olmo Martínez</v>
          </cell>
        </row>
        <row r="374">
          <cell r="F374"/>
          <cell r="G374"/>
          <cell r="H374"/>
          <cell r="I374"/>
          <cell r="J374"/>
          <cell r="K374"/>
          <cell r="L374" t="str">
            <v>Miguel Ángel Camino López</v>
          </cell>
        </row>
        <row r="375">
          <cell r="F375"/>
          <cell r="G375"/>
          <cell r="H375"/>
          <cell r="I375"/>
          <cell r="J375"/>
          <cell r="K375"/>
          <cell r="L375" t="str">
            <v>Virginia Ahedo</v>
          </cell>
        </row>
        <row r="376">
          <cell r="F376"/>
          <cell r="G376"/>
          <cell r="H376"/>
          <cell r="I376"/>
          <cell r="J376"/>
          <cell r="K376"/>
          <cell r="L376"/>
        </row>
        <row r="377">
          <cell r="F377"/>
          <cell r="G377"/>
          <cell r="H377"/>
          <cell r="I377"/>
          <cell r="J377"/>
          <cell r="K377"/>
          <cell r="L377" t="str">
            <v>Jesús Sagredo González</v>
          </cell>
        </row>
        <row r="378">
          <cell r="F378"/>
          <cell r="G378"/>
          <cell r="H378"/>
          <cell r="I378"/>
          <cell r="J378"/>
          <cell r="K378"/>
          <cell r="L378" t="str">
            <v>Luis Suárez</v>
          </cell>
        </row>
        <row r="379">
          <cell r="F379"/>
          <cell r="G379"/>
          <cell r="H379"/>
          <cell r="I379"/>
          <cell r="J379"/>
          <cell r="K379"/>
          <cell r="L379" t="str">
            <v>Luis Suárez</v>
          </cell>
        </row>
      </sheetData>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IGNATURAS"/>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externalLinkPath" Target="file:///\\fil1.ubu.es\datoscifs$\COMUN\DIRECCION%20EPS\SUBDIRECCI&#211;N%20DE%20ORDENACI&#211;N%20ACADEM\CURSO%2019-20\HORARIOS%20VENA\prueba%20para%20salud.xlsx"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256"/>
  <sheetViews>
    <sheetView view="pageBreakPreview" topLeftCell="A194" zoomScale="69" zoomScaleNormal="89" zoomScaleSheetLayoutView="80" zoomScalePageLayoutView="80" workbookViewId="0">
      <selection activeCell="E201" sqref="E201:E204"/>
    </sheetView>
  </sheetViews>
  <sheetFormatPr baseColWidth="10" defaultRowHeight="13.2" x14ac:dyDescent="0.25"/>
  <cols>
    <col min="1" max="1" width="15.6640625" customWidth="1"/>
    <col min="2" max="9" width="3.6640625" customWidth="1"/>
    <col min="10" max="10" width="6" customWidth="1"/>
    <col min="11" max="31" width="3.6640625" customWidth="1"/>
    <col min="32" max="32" width="9.109375" customWidth="1"/>
    <col min="33" max="45" width="2.88671875" customWidth="1"/>
    <col min="46" max="218" width="9.109375" customWidth="1"/>
  </cols>
  <sheetData>
    <row r="1" spans="1:39" s="1" customFormat="1" ht="31.5" customHeight="1" thickBot="1" x14ac:dyDescent="0.45">
      <c r="A1" s="1094" t="str">
        <f>VLOOKUP(A4,ASIGNATURAS!$A$2:$D$151, 3, FALSE)</f>
        <v>1º Grado en Ingeniería Electrónica Industrial y Automática</v>
      </c>
      <c r="B1" s="1095"/>
      <c r="C1" s="1095"/>
      <c r="D1" s="1095"/>
      <c r="E1" s="1095"/>
      <c r="F1" s="1095"/>
      <c r="G1" s="1095"/>
      <c r="H1" s="1095"/>
      <c r="I1" s="1095"/>
      <c r="J1" s="1095"/>
      <c r="K1" s="1095"/>
      <c r="L1" s="1095"/>
      <c r="M1" s="1095"/>
      <c r="N1" s="1095"/>
      <c r="O1" s="1095"/>
      <c r="P1" s="1095"/>
      <c r="Q1" s="1095"/>
      <c r="R1" s="1095"/>
      <c r="S1" s="1095"/>
      <c r="T1" s="1095"/>
      <c r="U1" s="1095"/>
      <c r="V1" s="1095"/>
      <c r="W1" s="1095"/>
      <c r="X1" s="1095"/>
      <c r="Y1" s="1096"/>
      <c r="Z1" s="1076" t="str">
        <f>Aulas!G5</f>
        <v>Curso 2024-2025</v>
      </c>
      <c r="AA1" s="1077"/>
      <c r="AB1" s="1077"/>
      <c r="AC1" s="1077"/>
      <c r="AD1" s="1077"/>
      <c r="AE1" s="1078"/>
    </row>
    <row r="2" spans="1:39" s="8" customFormat="1" ht="23.25" customHeight="1" thickBot="1" x14ac:dyDescent="0.45">
      <c r="A2" s="1083" t="str">
        <f>VLOOKUP(A4,ASIGNATURAS!$A$2:$D$151, 2, FALSE)</f>
        <v>Semestre temporal: 1º        (1º Semestre Académico)</v>
      </c>
      <c r="B2" s="1084"/>
      <c r="C2" s="1084"/>
      <c r="D2" s="1084"/>
      <c r="E2" s="1084"/>
      <c r="F2" s="1084"/>
      <c r="G2" s="1084"/>
      <c r="H2" s="1084"/>
      <c r="I2" s="1084"/>
      <c r="J2" s="1084"/>
      <c r="K2" s="1084"/>
      <c r="L2" s="1084"/>
      <c r="M2" s="1084"/>
      <c r="N2" s="1084"/>
      <c r="O2" s="1084"/>
      <c r="P2" s="1084"/>
      <c r="Q2" s="1084"/>
      <c r="R2" s="1084"/>
      <c r="S2" s="1084"/>
      <c r="T2" s="1084"/>
      <c r="U2" s="1084"/>
      <c r="V2" s="1084"/>
      <c r="W2" s="1084"/>
      <c r="X2" s="1084"/>
      <c r="Y2" s="1085"/>
      <c r="Z2" s="1072" t="s">
        <v>156</v>
      </c>
      <c r="AA2" s="1072"/>
      <c r="AB2" s="1072"/>
      <c r="AC2" s="1072"/>
      <c r="AD2" s="1072"/>
      <c r="AE2" s="1073"/>
    </row>
    <row r="3" spans="1:39" s="8" customFormat="1" ht="23.25" customHeight="1" thickBot="1" x14ac:dyDescent="0.45">
      <c r="A3" s="1083" t="s">
        <v>142</v>
      </c>
      <c r="B3" s="1084"/>
      <c r="C3" s="1084"/>
      <c r="D3" s="1084"/>
      <c r="E3" s="1084"/>
      <c r="F3" s="1084"/>
      <c r="G3" s="1084"/>
      <c r="H3" s="1084"/>
      <c r="I3" s="1084"/>
      <c r="J3" s="1084"/>
      <c r="K3" s="1084"/>
      <c r="L3" s="1084"/>
      <c r="M3" s="1084"/>
      <c r="N3" s="1084"/>
      <c r="O3" s="1084"/>
      <c r="P3" s="1084"/>
      <c r="Q3" s="1084"/>
      <c r="R3" s="1084"/>
      <c r="S3" s="1084"/>
      <c r="T3" s="1084"/>
      <c r="U3" s="1084"/>
      <c r="V3" s="1084"/>
      <c r="W3" s="1084"/>
      <c r="X3" s="1084"/>
      <c r="Y3" s="1085"/>
      <c r="Z3" s="1074"/>
      <c r="AA3" s="1074"/>
      <c r="AB3" s="1074"/>
      <c r="AC3" s="1074"/>
      <c r="AD3" s="1074"/>
      <c r="AE3" s="1075"/>
    </row>
    <row r="4" spans="1:39" ht="38.25" customHeight="1" thickBot="1" x14ac:dyDescent="0.3">
      <c r="A4" s="9" t="s">
        <v>51</v>
      </c>
    </row>
    <row r="5" spans="1:39" s="2" customFormat="1" ht="24" customHeight="1" thickBot="1" x14ac:dyDescent="0.3">
      <c r="A5" s="19" t="s">
        <v>1</v>
      </c>
      <c r="B5" s="1076" t="s">
        <v>2</v>
      </c>
      <c r="C5" s="1077"/>
      <c r="D5" s="1077"/>
      <c r="E5" s="1077"/>
      <c r="F5" s="1077"/>
      <c r="G5" s="1078"/>
      <c r="H5" s="1076" t="s">
        <v>3</v>
      </c>
      <c r="I5" s="1077"/>
      <c r="J5" s="1077"/>
      <c r="K5" s="1077"/>
      <c r="L5" s="1077"/>
      <c r="M5" s="1078"/>
      <c r="N5" s="1076" t="s">
        <v>139</v>
      </c>
      <c r="O5" s="1077"/>
      <c r="P5" s="1077"/>
      <c r="Q5" s="1077"/>
      <c r="R5" s="1077"/>
      <c r="S5" s="1078"/>
      <c r="T5" s="1076" t="s">
        <v>4</v>
      </c>
      <c r="U5" s="1077"/>
      <c r="V5" s="1077"/>
      <c r="W5" s="1077"/>
      <c r="X5" s="1077"/>
      <c r="Y5" s="1078"/>
      <c r="Z5" s="1076" t="s">
        <v>5</v>
      </c>
      <c r="AA5" s="1077"/>
      <c r="AB5" s="1077"/>
      <c r="AC5" s="1077"/>
      <c r="AD5" s="1077"/>
      <c r="AE5" s="1078"/>
    </row>
    <row r="6" spans="1:39" ht="30" customHeight="1" x14ac:dyDescent="0.3">
      <c r="A6" s="1086" t="s">
        <v>10</v>
      </c>
      <c r="B6" s="1079" t="s">
        <v>50</v>
      </c>
      <c r="C6" s="1039"/>
      <c r="D6" s="1039"/>
      <c r="E6" s="1039"/>
      <c r="F6" s="1039"/>
      <c r="G6" s="1080"/>
      <c r="H6" s="1039" t="s">
        <v>934</v>
      </c>
      <c r="I6" s="1039"/>
      <c r="J6" s="1039"/>
      <c r="K6" s="1039"/>
      <c r="L6" s="1039"/>
      <c r="M6" s="1080"/>
      <c r="N6" s="1039" t="s">
        <v>80</v>
      </c>
      <c r="O6" s="1039"/>
      <c r="P6" s="1039"/>
      <c r="Q6" s="1039"/>
      <c r="R6" s="1039"/>
      <c r="S6" s="1080"/>
      <c r="T6" s="1039" t="s">
        <v>12</v>
      </c>
      <c r="U6" s="1039"/>
      <c r="V6" s="1039"/>
      <c r="W6" s="1039"/>
      <c r="X6" s="1039"/>
      <c r="Y6" s="1080"/>
      <c r="Z6" s="1039" t="s">
        <v>79</v>
      </c>
      <c r="AA6" s="1039"/>
      <c r="AB6" s="1039"/>
      <c r="AC6" s="1039"/>
      <c r="AD6" s="1039"/>
      <c r="AE6" s="1080"/>
    </row>
    <row r="7" spans="1:39" ht="30" customHeight="1" x14ac:dyDescent="0.25">
      <c r="A7" s="1087"/>
      <c r="B7" s="1067" t="s">
        <v>156</v>
      </c>
      <c r="C7" s="944"/>
      <c r="D7" s="944"/>
      <c r="E7" s="944"/>
      <c r="F7" s="944"/>
      <c r="G7" s="1068"/>
      <c r="H7" s="1067" t="s">
        <v>156</v>
      </c>
      <c r="I7" s="944"/>
      <c r="J7" s="944"/>
      <c r="K7" s="944"/>
      <c r="L7" s="944"/>
      <c r="M7" s="1068"/>
      <c r="N7" s="1067" t="s">
        <v>832</v>
      </c>
      <c r="O7" s="944"/>
      <c r="P7" s="944"/>
      <c r="Q7" s="944"/>
      <c r="R7" s="944"/>
      <c r="S7" s="1068"/>
      <c r="T7" s="1067" t="s">
        <v>156</v>
      </c>
      <c r="U7" s="944"/>
      <c r="V7" s="944"/>
      <c r="W7" s="944"/>
      <c r="X7" s="944"/>
      <c r="Y7" s="1068"/>
      <c r="Z7" s="1067" t="s">
        <v>156</v>
      </c>
      <c r="AA7" s="944"/>
      <c r="AB7" s="944"/>
      <c r="AC7" s="944"/>
      <c r="AD7" s="944"/>
      <c r="AE7" s="1068"/>
    </row>
    <row r="8" spans="1:39" ht="30" customHeight="1" x14ac:dyDescent="0.3">
      <c r="A8" s="1087" t="s">
        <v>11</v>
      </c>
      <c r="B8" s="1069" t="s">
        <v>942</v>
      </c>
      <c r="C8" s="940"/>
      <c r="D8" s="940"/>
      <c r="E8" s="940"/>
      <c r="F8" s="940"/>
      <c r="G8" s="1070"/>
      <c r="H8" s="940" t="s">
        <v>13</v>
      </c>
      <c r="I8" s="940"/>
      <c r="J8" s="940"/>
      <c r="K8" s="940"/>
      <c r="L8" s="940"/>
      <c r="M8" s="1070"/>
      <c r="N8" s="508" t="s">
        <v>579</v>
      </c>
      <c r="O8" s="1136" t="s">
        <v>147</v>
      </c>
      <c r="P8" s="599" t="s">
        <v>580</v>
      </c>
      <c r="Q8" s="1136" t="s">
        <v>832</v>
      </c>
      <c r="R8" s="378"/>
      <c r="S8" s="1103"/>
      <c r="T8" s="940" t="s">
        <v>13</v>
      </c>
      <c r="U8" s="940"/>
      <c r="V8" s="940"/>
      <c r="W8" s="940"/>
      <c r="X8" s="940"/>
      <c r="Y8" s="1070"/>
      <c r="Z8" s="940" t="s">
        <v>50</v>
      </c>
      <c r="AA8" s="940"/>
      <c r="AB8" s="940"/>
      <c r="AC8" s="940"/>
      <c r="AD8" s="940"/>
      <c r="AE8" s="1070"/>
    </row>
    <row r="9" spans="1:39" ht="30" customHeight="1" x14ac:dyDescent="0.25">
      <c r="A9" s="1087"/>
      <c r="B9" s="1067" t="s">
        <v>156</v>
      </c>
      <c r="C9" s="944"/>
      <c r="D9" s="944"/>
      <c r="E9" s="944"/>
      <c r="F9" s="944"/>
      <c r="G9" s="1068"/>
      <c r="H9" s="1067" t="s">
        <v>156</v>
      </c>
      <c r="I9" s="944"/>
      <c r="J9" s="944"/>
      <c r="K9" s="944"/>
      <c r="L9" s="944"/>
      <c r="M9" s="1068"/>
      <c r="N9" s="1118" t="s">
        <v>263</v>
      </c>
      <c r="O9" s="1137"/>
      <c r="P9" s="1153" t="s">
        <v>263</v>
      </c>
      <c r="Q9" s="1137"/>
      <c r="R9" s="1126"/>
      <c r="S9" s="1104"/>
      <c r="T9" s="1067" t="s">
        <v>156</v>
      </c>
      <c r="U9" s="944"/>
      <c r="V9" s="944"/>
      <c r="W9" s="944"/>
      <c r="X9" s="944"/>
      <c r="Y9" s="1068"/>
      <c r="Z9" s="1067" t="s">
        <v>156</v>
      </c>
      <c r="AA9" s="944"/>
      <c r="AB9" s="944"/>
      <c r="AC9" s="944"/>
      <c r="AD9" s="944"/>
      <c r="AE9" s="1068"/>
    </row>
    <row r="10" spans="1:39" ht="30" customHeight="1" x14ac:dyDescent="0.25">
      <c r="A10" s="1143" t="s">
        <v>6</v>
      </c>
      <c r="B10" s="391" t="s">
        <v>579</v>
      </c>
      <c r="C10" s="1226" t="s">
        <v>560</v>
      </c>
      <c r="D10" s="391" t="s">
        <v>580</v>
      </c>
      <c r="E10" s="1217" t="s">
        <v>1305</v>
      </c>
      <c r="F10" s="378"/>
      <c r="G10" s="1251"/>
      <c r="H10" s="599" t="s">
        <v>579</v>
      </c>
      <c r="I10" s="1216" t="s">
        <v>1321</v>
      </c>
      <c r="J10" s="391" t="s">
        <v>580</v>
      </c>
      <c r="K10" s="1216" t="s">
        <v>752</v>
      </c>
      <c r="N10" s="1118"/>
      <c r="O10" s="1137"/>
      <c r="P10" s="1153"/>
      <c r="Q10" s="1137"/>
      <c r="R10" s="1126"/>
      <c r="S10" s="1104"/>
      <c r="T10" s="599" t="s">
        <v>580</v>
      </c>
      <c r="U10" s="1216" t="s">
        <v>1321</v>
      </c>
      <c r="V10" s="568"/>
      <c r="W10" s="1243"/>
      <c r="X10" s="568"/>
      <c r="Y10" s="1243"/>
      <c r="Z10" s="508" t="s">
        <v>579</v>
      </c>
      <c r="AA10" s="1216" t="s">
        <v>752</v>
      </c>
      <c r="AB10" s="391" t="s">
        <v>580</v>
      </c>
      <c r="AC10" s="1226" t="s">
        <v>560</v>
      </c>
      <c r="AD10" s="266"/>
      <c r="AE10" s="1237"/>
      <c r="AL10" s="616"/>
      <c r="AM10" s="617"/>
    </row>
    <row r="11" spans="1:39" ht="30" customHeight="1" x14ac:dyDescent="0.25">
      <c r="A11" s="1143"/>
      <c r="B11" s="1221" t="s">
        <v>942</v>
      </c>
      <c r="C11" s="1226"/>
      <c r="D11" s="1219" t="s">
        <v>12</v>
      </c>
      <c r="E11" s="1217"/>
      <c r="F11" s="1241"/>
      <c r="G11" s="1252"/>
      <c r="H11" s="1219" t="s">
        <v>13</v>
      </c>
      <c r="I11" s="1217"/>
      <c r="J11" s="1221" t="s">
        <v>949</v>
      </c>
      <c r="K11" s="1217"/>
      <c r="N11" s="1118"/>
      <c r="O11" s="1137"/>
      <c r="P11" s="1153"/>
      <c r="Q11" s="1137"/>
      <c r="R11" s="1126"/>
      <c r="S11" s="1104"/>
      <c r="T11" s="1219" t="s">
        <v>13</v>
      </c>
      <c r="U11" s="1217"/>
      <c r="V11" s="1224"/>
      <c r="W11" s="1243"/>
      <c r="X11" s="1224"/>
      <c r="Y11" s="1243"/>
      <c r="Z11" s="1191" t="s">
        <v>50</v>
      </c>
      <c r="AA11" s="1217"/>
      <c r="AB11" s="1221" t="s">
        <v>79</v>
      </c>
      <c r="AC11" s="1226"/>
      <c r="AD11" s="1224"/>
      <c r="AE11" s="1238"/>
      <c r="AL11" s="124"/>
      <c r="AM11" s="617"/>
    </row>
    <row r="12" spans="1:39" ht="30" customHeight="1" x14ac:dyDescent="0.25">
      <c r="A12" s="1143" t="s">
        <v>7</v>
      </c>
      <c r="B12" s="1221"/>
      <c r="C12" s="1226"/>
      <c r="D12" s="1219"/>
      <c r="E12" s="1217"/>
      <c r="F12" s="1241"/>
      <c r="G12" s="1252"/>
      <c r="H12" s="1219"/>
      <c r="I12" s="1217"/>
      <c r="J12" s="1221"/>
      <c r="K12" s="1217"/>
      <c r="N12" s="1118"/>
      <c r="O12" s="1137"/>
      <c r="P12" s="1153"/>
      <c r="Q12" s="1137"/>
      <c r="R12" s="1126"/>
      <c r="S12" s="1104"/>
      <c r="T12" s="1219"/>
      <c r="U12" s="1217"/>
      <c r="V12" s="1224"/>
      <c r="W12" s="1243"/>
      <c r="X12" s="1224"/>
      <c r="Y12" s="1243"/>
      <c r="Z12" s="1191"/>
      <c r="AA12" s="1217"/>
      <c r="AB12" s="1221"/>
      <c r="AC12" s="1226"/>
      <c r="AD12" s="1224"/>
      <c r="AE12" s="1238"/>
      <c r="AF12" s="33"/>
      <c r="AG12" s="20"/>
      <c r="AL12" s="124"/>
      <c r="AM12" s="617"/>
    </row>
    <row r="13" spans="1:39" ht="30" customHeight="1" x14ac:dyDescent="0.25">
      <c r="A13" s="1143"/>
      <c r="B13" s="1222"/>
      <c r="C13" s="1227"/>
      <c r="D13" s="1220"/>
      <c r="E13" s="1218"/>
      <c r="F13" s="1242"/>
      <c r="G13" s="1253"/>
      <c r="H13" s="1220"/>
      <c r="I13" s="1218"/>
      <c r="J13" s="1222"/>
      <c r="K13" s="1218"/>
      <c r="N13" s="1119"/>
      <c r="O13" s="1138"/>
      <c r="P13" s="1154"/>
      <c r="Q13" s="1138"/>
      <c r="R13" s="1142"/>
      <c r="S13" s="1105"/>
      <c r="T13" s="1220"/>
      <c r="U13" s="1218"/>
      <c r="V13" s="1240"/>
      <c r="W13" s="1244"/>
      <c r="X13" s="1240"/>
      <c r="Y13" s="1244"/>
      <c r="Z13" s="1192"/>
      <c r="AA13" s="1218"/>
      <c r="AB13" s="1222"/>
      <c r="AC13" s="1227"/>
      <c r="AD13" s="1240"/>
      <c r="AE13" s="1239"/>
      <c r="AL13" s="124"/>
      <c r="AM13" s="617"/>
    </row>
    <row r="14" spans="1:39" ht="30" customHeight="1" x14ac:dyDescent="0.25">
      <c r="A14" s="1143" t="s">
        <v>8</v>
      </c>
      <c r="B14" s="599" t="s">
        <v>579</v>
      </c>
      <c r="C14" s="1216" t="s">
        <v>1305</v>
      </c>
      <c r="D14" s="378"/>
      <c r="E14" s="1256"/>
      <c r="G14" s="32"/>
      <c r="H14" s="1160"/>
      <c r="I14" s="1161"/>
      <c r="J14" s="1161"/>
      <c r="K14" s="1161"/>
      <c r="L14" s="1161"/>
      <c r="M14" s="1162"/>
      <c r="N14" s="1207"/>
      <c r="O14" s="1208"/>
      <c r="P14" s="1208"/>
      <c r="Q14" s="1208"/>
      <c r="R14" s="1208"/>
      <c r="S14" s="1209"/>
      <c r="T14" s="1207"/>
      <c r="U14" s="1208"/>
      <c r="V14" s="1208"/>
      <c r="W14" s="1208"/>
      <c r="X14" s="1208"/>
      <c r="Y14" s="1209"/>
      <c r="Z14" s="1228"/>
      <c r="AA14" s="1229"/>
      <c r="AB14" s="1229"/>
      <c r="AC14" s="1229"/>
      <c r="AD14" s="1229"/>
      <c r="AE14" s="1230"/>
      <c r="AL14" s="124"/>
      <c r="AM14" s="617"/>
    </row>
    <row r="15" spans="1:39" ht="30" customHeight="1" x14ac:dyDescent="0.25">
      <c r="A15" s="1143"/>
      <c r="B15" s="1221" t="s">
        <v>12</v>
      </c>
      <c r="C15" s="1217"/>
      <c r="D15" s="1224"/>
      <c r="E15" s="1243"/>
      <c r="G15" s="32"/>
      <c r="H15" s="1163"/>
      <c r="I15" s="1164"/>
      <c r="J15" s="1164"/>
      <c r="K15" s="1164"/>
      <c r="L15" s="1164"/>
      <c r="M15" s="1165"/>
      <c r="N15" s="1210"/>
      <c r="O15" s="1211"/>
      <c r="P15" s="1211"/>
      <c r="Q15" s="1211"/>
      <c r="R15" s="1211"/>
      <c r="S15" s="1212"/>
      <c r="T15" s="1210"/>
      <c r="U15" s="1211"/>
      <c r="V15" s="1211"/>
      <c r="W15" s="1211"/>
      <c r="X15" s="1211"/>
      <c r="Y15" s="1212"/>
      <c r="Z15" s="1231"/>
      <c r="AA15" s="1232"/>
      <c r="AB15" s="1232"/>
      <c r="AC15" s="1232"/>
      <c r="AD15" s="1232"/>
      <c r="AE15" s="1233"/>
      <c r="AL15" s="124"/>
      <c r="AM15" s="617"/>
    </row>
    <row r="16" spans="1:39" ht="30" customHeight="1" x14ac:dyDescent="0.25">
      <c r="A16" s="1143" t="s">
        <v>9</v>
      </c>
      <c r="B16" s="1221"/>
      <c r="C16" s="1217"/>
      <c r="D16" s="1224"/>
      <c r="E16" s="1243"/>
      <c r="G16" s="32"/>
      <c r="H16" s="1163"/>
      <c r="I16" s="1164"/>
      <c r="J16" s="1164"/>
      <c r="K16" s="1164"/>
      <c r="L16" s="1164"/>
      <c r="M16" s="1165"/>
      <c r="N16" s="1210"/>
      <c r="O16" s="1211"/>
      <c r="P16" s="1211"/>
      <c r="Q16" s="1211"/>
      <c r="R16" s="1211"/>
      <c r="S16" s="1212"/>
      <c r="T16" s="1210"/>
      <c r="U16" s="1211"/>
      <c r="V16" s="1211"/>
      <c r="W16" s="1211"/>
      <c r="X16" s="1211"/>
      <c r="Y16" s="1212"/>
      <c r="Z16" s="1231"/>
      <c r="AA16" s="1232"/>
      <c r="AB16" s="1232"/>
      <c r="AC16" s="1232"/>
      <c r="AD16" s="1232"/>
      <c r="AE16" s="1233"/>
    </row>
    <row r="17" spans="1:32" ht="30" customHeight="1" thickBot="1" x14ac:dyDescent="0.3">
      <c r="A17" s="1223"/>
      <c r="B17" s="1255"/>
      <c r="C17" s="1254"/>
      <c r="D17" s="1225"/>
      <c r="E17" s="1257"/>
      <c r="F17" s="35"/>
      <c r="G17" s="36"/>
      <c r="H17" s="1166"/>
      <c r="I17" s="1167"/>
      <c r="J17" s="1167"/>
      <c r="K17" s="1167"/>
      <c r="L17" s="1167"/>
      <c r="M17" s="1168"/>
      <c r="N17" s="1213"/>
      <c r="O17" s="1214"/>
      <c r="P17" s="1214"/>
      <c r="Q17" s="1214"/>
      <c r="R17" s="1214"/>
      <c r="S17" s="1215"/>
      <c r="T17" s="1213"/>
      <c r="U17" s="1214"/>
      <c r="V17" s="1214"/>
      <c r="W17" s="1214"/>
      <c r="X17" s="1214"/>
      <c r="Y17" s="1215"/>
      <c r="Z17" s="1234"/>
      <c r="AA17" s="1235"/>
      <c r="AB17" s="1235"/>
      <c r="AC17" s="1235"/>
      <c r="AD17" s="1235"/>
      <c r="AE17" s="1236"/>
      <c r="AF17" s="33"/>
    </row>
    <row r="18" spans="1:32" ht="41.25" customHeight="1" thickBot="1" x14ac:dyDescent="0.3">
      <c r="A18" s="231"/>
      <c r="B18" s="231"/>
      <c r="C18" s="231"/>
      <c r="K18" s="35"/>
      <c r="L18" s="231"/>
      <c r="M18" s="231"/>
      <c r="V18" s="231"/>
      <c r="W18" s="231"/>
      <c r="X18" s="231"/>
      <c r="Y18" s="231"/>
      <c r="Z18" s="231"/>
    </row>
    <row r="19" spans="1:32" ht="18.75" customHeight="1" x14ac:dyDescent="0.25">
      <c r="A19" s="1190" t="s">
        <v>218</v>
      </c>
      <c r="B19" s="1147"/>
      <c r="C19" s="1146" t="s">
        <v>219</v>
      </c>
      <c r="D19" s="1146"/>
      <c r="E19" s="1146"/>
      <c r="F19" s="1146"/>
      <c r="G19" s="1146"/>
      <c r="H19" s="1146"/>
      <c r="I19" s="1146"/>
      <c r="J19" s="1146"/>
      <c r="K19" s="1146"/>
      <c r="L19" s="58"/>
      <c r="M19" s="1144" t="s">
        <v>310</v>
      </c>
      <c r="N19" s="1145"/>
      <c r="O19" s="1146" t="s">
        <v>143</v>
      </c>
      <c r="P19" s="1147"/>
      <c r="Q19" s="1146" t="s">
        <v>167</v>
      </c>
      <c r="R19" s="1146"/>
      <c r="S19" s="1146"/>
      <c r="T19" s="1146"/>
      <c r="U19" s="1146"/>
      <c r="V19" s="1146"/>
      <c r="W19" s="1146"/>
      <c r="X19" s="1146"/>
      <c r="Y19" s="1146"/>
      <c r="Z19" s="1146"/>
      <c r="AA19" s="1146"/>
      <c r="AB19" s="1146"/>
      <c r="AC19" s="1146"/>
      <c r="AD19" s="1146"/>
      <c r="AE19" s="1147"/>
    </row>
    <row r="20" spans="1:32" ht="13.8" x14ac:dyDescent="0.25">
      <c r="A20" s="1065" t="str">
        <f>VLOOKUP(M20,ASIGNATURAS!$F$1:$L$1022, 3, FALSE)</f>
        <v>ÁLGEBRA</v>
      </c>
      <c r="B20" s="1066"/>
      <c r="C20" s="982" t="str">
        <f>VLOOKUP(M20,ASIGNATURAS!$F$1:$L$1022, 4, FALSE)</f>
        <v>Álgebra y Ecuaciones Diferenciales</v>
      </c>
      <c r="D20" s="983"/>
      <c r="E20" s="983"/>
      <c r="F20" s="983"/>
      <c r="G20" s="983"/>
      <c r="H20" s="983"/>
      <c r="I20" s="983"/>
      <c r="J20" s="983"/>
      <c r="K20" s="983"/>
      <c r="L20" s="1018"/>
      <c r="M20" s="981">
        <v>6392</v>
      </c>
      <c r="N20" s="1071"/>
      <c r="O20" s="981">
        <f>VLOOKUP(M20,ASIGNATURAS!$F$1:$L$1022, 5, FALSE)</f>
        <v>6</v>
      </c>
      <c r="P20" s="1071"/>
      <c r="Q20" s="982" t="str">
        <f>VLOOKUP(M20,ASIGNATURAS!$F$1:$L$1022, 6, FALSE)</f>
        <v>Roberto Casado</v>
      </c>
      <c r="R20" s="983"/>
      <c r="S20" s="983"/>
      <c r="T20" s="983"/>
      <c r="U20" s="983"/>
      <c r="V20" s="983"/>
      <c r="W20" s="983"/>
      <c r="X20" s="983"/>
      <c r="Y20" s="983"/>
      <c r="Z20" s="983"/>
      <c r="AA20" s="983"/>
      <c r="AB20" s="983"/>
      <c r="AC20" s="983"/>
      <c r="AD20" s="983"/>
      <c r="AE20" s="1018"/>
    </row>
    <row r="21" spans="1:32" ht="13.8" x14ac:dyDescent="0.25">
      <c r="A21" s="1065" t="str">
        <f>VLOOKUP(M21,ASIGNATURAS!$F$1:$L$1022, 3, FALSE)</f>
        <v>CÁLCULO</v>
      </c>
      <c r="B21" s="1066"/>
      <c r="C21" s="982" t="str">
        <f>VLOOKUP(M21,ASIGNATURAS!$F$1:$L$1022, 4, FALSE)</f>
        <v>Cálculo</v>
      </c>
      <c r="D21" s="983"/>
      <c r="E21" s="983"/>
      <c r="F21" s="983"/>
      <c r="G21" s="983"/>
      <c r="H21" s="983"/>
      <c r="I21" s="983"/>
      <c r="J21" s="983"/>
      <c r="K21" s="983"/>
      <c r="L21" s="1018"/>
      <c r="M21" s="981">
        <v>6393</v>
      </c>
      <c r="N21" s="1071"/>
      <c r="O21" s="981">
        <f>VLOOKUP(M21,ASIGNATURAS!$F$1:$L$1022, 5, FALSE)</f>
        <v>6</v>
      </c>
      <c r="P21" s="1071"/>
      <c r="Q21" s="982" t="str">
        <f>VLOOKUP(M21,ASIGNATURAS!$F$1:$L$1022, 6, FALSE)</f>
        <v>Roberto Casado</v>
      </c>
      <c r="R21" s="983"/>
      <c r="S21" s="983"/>
      <c r="T21" s="983"/>
      <c r="U21" s="983"/>
      <c r="V21" s="983"/>
      <c r="W21" s="983"/>
      <c r="X21" s="983"/>
      <c r="Y21" s="983"/>
      <c r="Z21" s="983"/>
      <c r="AA21" s="983"/>
      <c r="AB21" s="983"/>
      <c r="AC21" s="983"/>
      <c r="AD21" s="983"/>
      <c r="AE21" s="1018"/>
    </row>
    <row r="22" spans="1:32" ht="13.8" x14ac:dyDescent="0.25">
      <c r="A22" s="1065" t="str">
        <f>VLOOKUP(M22,ASIGNATURAS!$F$1:$L$1022, 3, FALSE)</f>
        <v>FÍSICA I</v>
      </c>
      <c r="B22" s="1066"/>
      <c r="C22" s="982" t="str">
        <f>VLOOKUP(M22,ASIGNATURAS!$F$1:$L$1022, 4, FALSE)</f>
        <v>Física I</v>
      </c>
      <c r="D22" s="983"/>
      <c r="E22" s="983"/>
      <c r="F22" s="983"/>
      <c r="G22" s="983"/>
      <c r="H22" s="983"/>
      <c r="I22" s="983"/>
      <c r="J22" s="983"/>
      <c r="K22" s="983"/>
      <c r="L22" s="1018"/>
      <c r="M22" s="981">
        <v>6394</v>
      </c>
      <c r="N22" s="1071"/>
      <c r="O22" s="981">
        <f>VLOOKUP(M22,ASIGNATURAS!$F$1:$L$1022, 5, FALSE)</f>
        <v>6</v>
      </c>
      <c r="P22" s="1071"/>
      <c r="Q22" s="982" t="str">
        <f>VLOOKUP(M22,ASIGNATURAS!$F$1:$L$1022, 6, FALSE)</f>
        <v>Alfonso Blasco Sanz</v>
      </c>
      <c r="R22" s="983"/>
      <c r="S22" s="983"/>
      <c r="T22" s="983"/>
      <c r="U22" s="983"/>
      <c r="V22" s="983"/>
      <c r="W22" s="983"/>
      <c r="X22" s="983"/>
      <c r="Y22" s="983"/>
      <c r="Z22" s="983"/>
      <c r="AA22" s="983"/>
      <c r="AB22" s="983"/>
      <c r="AC22" s="983"/>
      <c r="AD22" s="983"/>
      <c r="AE22" s="1018"/>
    </row>
    <row r="23" spans="1:32" ht="13.8" x14ac:dyDescent="0.25">
      <c r="A23" s="1065" t="str">
        <f>VLOOKUP(M23,ASIGNATURAS!$F$1:$L$1022, 3, FALSE)</f>
        <v>EXP. GRÁFICA</v>
      </c>
      <c r="B23" s="1066"/>
      <c r="C23" s="982" t="str">
        <f>VLOOKUP(M23,ASIGNATURAS!$F$1:$L$1022, 4, FALSE)</f>
        <v>Expresión Gráfica</v>
      </c>
      <c r="D23" s="983"/>
      <c r="E23" s="983"/>
      <c r="F23" s="983"/>
      <c r="G23" s="983"/>
      <c r="H23" s="983"/>
      <c r="I23" s="983"/>
      <c r="J23" s="983"/>
      <c r="K23" s="983"/>
      <c r="L23" s="1018"/>
      <c r="M23" s="981">
        <v>6395</v>
      </c>
      <c r="N23" s="1071"/>
      <c r="O23" s="981">
        <f>VLOOKUP(M23,ASIGNATURAS!$F$1:$L$1022, 5, FALSE)</f>
        <v>6</v>
      </c>
      <c r="P23" s="1071"/>
      <c r="Q23" s="982" t="str">
        <f>VLOOKUP(M23,ASIGNATURAS!$F$1:$L$1022, 6, FALSE)</f>
        <v>Esteban García Maté, Esther Baños García</v>
      </c>
      <c r="R23" s="983"/>
      <c r="S23" s="983"/>
      <c r="T23" s="983"/>
      <c r="U23" s="983"/>
      <c r="V23" s="983"/>
      <c r="W23" s="983"/>
      <c r="X23" s="983"/>
      <c r="Y23" s="983"/>
      <c r="Z23" s="983"/>
      <c r="AA23" s="983"/>
      <c r="AB23" s="983"/>
      <c r="AC23" s="983"/>
      <c r="AD23" s="983"/>
      <c r="AE23" s="1018"/>
    </row>
    <row r="24" spans="1:32" ht="14.4" thickBot="1" x14ac:dyDescent="0.3">
      <c r="A24" s="1097" t="str">
        <f>VLOOKUP(M24,ASIGNATURAS!$F$1:$L$1022, 3, FALSE)</f>
        <v>INFORMÁTICA</v>
      </c>
      <c r="B24" s="1098"/>
      <c r="C24" s="1088" t="str">
        <f>VLOOKUP(M24,ASIGNATURAS!$F$1:$L$1022, 4, FALSE)</f>
        <v>Informática Básica</v>
      </c>
      <c r="D24" s="1089"/>
      <c r="E24" s="1089"/>
      <c r="F24" s="1089"/>
      <c r="G24" s="1089"/>
      <c r="H24" s="1089"/>
      <c r="I24" s="1089"/>
      <c r="J24" s="1089"/>
      <c r="K24" s="1089"/>
      <c r="L24" s="1090"/>
      <c r="M24" s="1099">
        <v>6396</v>
      </c>
      <c r="N24" s="1100"/>
      <c r="O24" s="1099">
        <f>VLOOKUP(M24,ASIGNATURAS!$F$1:$L$1022, 5, FALSE)</f>
        <v>6</v>
      </c>
      <c r="P24" s="1100"/>
      <c r="Q24" s="1088" t="str">
        <f>VLOOKUP(M24,ASIGNATURAS!$F$1:$L$1022, 6, FALSE)</f>
        <v>Beatriz Gil Arroyo, Sergio Martín Marquina</v>
      </c>
      <c r="R24" s="1089"/>
      <c r="S24" s="1089"/>
      <c r="T24" s="1089"/>
      <c r="U24" s="1089"/>
      <c r="V24" s="1089"/>
      <c r="W24" s="1089"/>
      <c r="X24" s="1089"/>
      <c r="Y24" s="1089"/>
      <c r="Z24" s="1089"/>
      <c r="AA24" s="1089"/>
      <c r="AB24" s="1089"/>
      <c r="AC24" s="1089"/>
      <c r="AD24" s="1089"/>
      <c r="AE24" s="1090"/>
    </row>
    <row r="27" spans="1:32" ht="24" customHeight="1" x14ac:dyDescent="0.25">
      <c r="A27" s="1101" t="s">
        <v>1044</v>
      </c>
      <c r="B27" s="1101"/>
      <c r="C27" s="1101"/>
      <c r="D27" s="1101"/>
      <c r="E27" s="1101"/>
    </row>
    <row r="28" spans="1:32" ht="24" customHeight="1" x14ac:dyDescent="0.25">
      <c r="A28" s="1102" t="s">
        <v>1046</v>
      </c>
      <c r="B28" s="1102"/>
      <c r="C28" s="1102"/>
      <c r="D28" s="1102"/>
      <c r="E28" s="1102"/>
    </row>
    <row r="30" spans="1:32" x14ac:dyDescent="0.25">
      <c r="A30" s="25" t="s">
        <v>217</v>
      </c>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row>
    <row r="31" spans="1:32"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row>
    <row r="32" spans="1:32" ht="13.8" thickBot="1"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row>
    <row r="33" spans="1:33" s="1" customFormat="1" ht="31.5" customHeight="1" thickBot="1" x14ac:dyDescent="0.45">
      <c r="A33" s="1094" t="str">
        <f>VLOOKUP(A36,ASIGNATURAS!$A$2:$D$151, 3, FALSE)</f>
        <v>1º Grado en Ingeniería Electrónica Industrial y Automática</v>
      </c>
      <c r="B33" s="1095"/>
      <c r="C33" s="1095"/>
      <c r="D33" s="1095"/>
      <c r="E33" s="1095"/>
      <c r="F33" s="1095"/>
      <c r="G33" s="1095"/>
      <c r="H33" s="1095"/>
      <c r="I33" s="1095"/>
      <c r="J33" s="1095"/>
      <c r="K33" s="1095"/>
      <c r="L33" s="1095"/>
      <c r="M33" s="1095"/>
      <c r="N33" s="1095"/>
      <c r="O33" s="1095"/>
      <c r="P33" s="1095"/>
      <c r="Q33" s="1095"/>
      <c r="R33" s="1095"/>
      <c r="S33" s="1095"/>
      <c r="T33" s="1095"/>
      <c r="U33" s="1095"/>
      <c r="V33" s="1095"/>
      <c r="W33" s="1095"/>
      <c r="X33" s="1095"/>
      <c r="Y33" s="1096"/>
      <c r="Z33" s="1076" t="str">
        <f>Z1</f>
        <v>Curso 2024-2025</v>
      </c>
      <c r="AA33" s="1077"/>
      <c r="AB33" s="1077"/>
      <c r="AC33" s="1077"/>
      <c r="AD33" s="1077"/>
      <c r="AE33" s="1078"/>
    </row>
    <row r="34" spans="1:33" s="8" customFormat="1" ht="23.25" customHeight="1" thickBot="1" x14ac:dyDescent="0.45">
      <c r="A34" s="1083" t="str">
        <f>VLOOKUP(A36,ASIGNATURAS!$A$2:$D$151, 2, FALSE)</f>
        <v>Semestre temporal: 2º        (2º Semestre Académico)</v>
      </c>
      <c r="B34" s="1084"/>
      <c r="C34" s="1084"/>
      <c r="D34" s="1084"/>
      <c r="E34" s="1084"/>
      <c r="F34" s="1084"/>
      <c r="G34" s="1084"/>
      <c r="H34" s="1084"/>
      <c r="I34" s="1084"/>
      <c r="J34" s="1084"/>
      <c r="K34" s="1084"/>
      <c r="L34" s="1084"/>
      <c r="M34" s="1084"/>
      <c r="N34" s="1084"/>
      <c r="O34" s="1084"/>
      <c r="P34" s="1084"/>
      <c r="Q34" s="1084"/>
      <c r="R34" s="1084"/>
      <c r="S34" s="1084"/>
      <c r="T34" s="1084"/>
      <c r="U34" s="1084"/>
      <c r="V34" s="1084"/>
      <c r="W34" s="1084"/>
      <c r="X34" s="1084"/>
      <c r="Y34" s="1085"/>
      <c r="Z34" s="1072" t="s">
        <v>158</v>
      </c>
      <c r="AA34" s="1072"/>
      <c r="AB34" s="1072"/>
      <c r="AC34" s="1072"/>
      <c r="AD34" s="1072"/>
      <c r="AE34" s="1073"/>
    </row>
    <row r="35" spans="1:33" s="8" customFormat="1" ht="23.25" customHeight="1" thickBot="1" x14ac:dyDescent="0.45">
      <c r="A35" s="1083" t="s">
        <v>142</v>
      </c>
      <c r="B35" s="1084"/>
      <c r="C35" s="1084"/>
      <c r="D35" s="1084"/>
      <c r="E35" s="1084"/>
      <c r="F35" s="1084"/>
      <c r="G35" s="1084"/>
      <c r="H35" s="1084"/>
      <c r="I35" s="1084"/>
      <c r="J35" s="1084"/>
      <c r="K35" s="1084"/>
      <c r="L35" s="1084"/>
      <c r="M35" s="1084"/>
      <c r="N35" s="1084"/>
      <c r="O35" s="1084"/>
      <c r="P35" s="1084"/>
      <c r="Q35" s="1084"/>
      <c r="R35" s="1084"/>
      <c r="S35" s="1084"/>
      <c r="T35" s="1084"/>
      <c r="U35" s="1084"/>
      <c r="V35" s="1084"/>
      <c r="W35" s="1084"/>
      <c r="X35" s="1084"/>
      <c r="Y35" s="1085"/>
      <c r="Z35" s="1074"/>
      <c r="AA35" s="1074"/>
      <c r="AB35" s="1074"/>
      <c r="AC35" s="1074"/>
      <c r="AD35" s="1074"/>
      <c r="AE35" s="1075"/>
    </row>
    <row r="36" spans="1:33" ht="38.25" customHeight="1" thickBot="1" x14ac:dyDescent="0.3">
      <c r="A36" s="9" t="s">
        <v>52</v>
      </c>
    </row>
    <row r="37" spans="1:33" s="2" customFormat="1" ht="24" customHeight="1" thickBot="1" x14ac:dyDescent="0.3">
      <c r="A37" s="19" t="s">
        <v>1</v>
      </c>
      <c r="B37" s="1076" t="s">
        <v>2</v>
      </c>
      <c r="C37" s="1077"/>
      <c r="D37" s="1077"/>
      <c r="E37" s="1077"/>
      <c r="F37" s="1077"/>
      <c r="G37" s="1078"/>
      <c r="H37" s="1076" t="s">
        <v>3</v>
      </c>
      <c r="I37" s="1077"/>
      <c r="J37" s="1077"/>
      <c r="K37" s="1077"/>
      <c r="L37" s="1077"/>
      <c r="M37" s="1078"/>
      <c r="N37" s="1091" t="s">
        <v>139</v>
      </c>
      <c r="O37" s="1092"/>
      <c r="P37" s="1092"/>
      <c r="Q37" s="1092"/>
      <c r="R37" s="1092"/>
      <c r="S37" s="1093"/>
      <c r="T37" s="1076" t="s">
        <v>4</v>
      </c>
      <c r="U37" s="1077"/>
      <c r="V37" s="1077"/>
      <c r="W37" s="1077"/>
      <c r="X37" s="1077"/>
      <c r="Y37" s="1078"/>
      <c r="Z37" s="1076" t="s">
        <v>5</v>
      </c>
      <c r="AA37" s="1077"/>
      <c r="AB37" s="1077"/>
      <c r="AC37" s="1077"/>
      <c r="AD37" s="1077"/>
      <c r="AE37" s="1078"/>
    </row>
    <row r="38" spans="1:33" ht="33.75" customHeight="1" x14ac:dyDescent="0.3">
      <c r="A38" s="1086" t="s">
        <v>10</v>
      </c>
      <c r="B38" s="1079" t="s">
        <v>23</v>
      </c>
      <c r="C38" s="1039"/>
      <c r="D38" s="1039"/>
      <c r="E38" s="1039"/>
      <c r="F38" s="1039"/>
      <c r="G38" s="1080"/>
      <c r="H38" s="1039" t="s">
        <v>23</v>
      </c>
      <c r="I38" s="1039"/>
      <c r="J38" s="1039"/>
      <c r="K38" s="1039"/>
      <c r="L38" s="1039"/>
      <c r="M38" s="1039"/>
      <c r="N38" s="1081" t="s">
        <v>26</v>
      </c>
      <c r="O38" s="939"/>
      <c r="P38" s="939"/>
      <c r="Q38" s="939"/>
      <c r="R38" s="939"/>
      <c r="S38" s="1082"/>
      <c r="T38" s="1079" t="s">
        <v>25</v>
      </c>
      <c r="U38" s="1039"/>
      <c r="V38" s="1039"/>
      <c r="W38" s="1039"/>
      <c r="X38" s="1039"/>
      <c r="Y38" s="1080"/>
      <c r="Z38" s="1079" t="s">
        <v>24</v>
      </c>
      <c r="AA38" s="1039"/>
      <c r="AB38" s="1039"/>
      <c r="AC38" s="1039"/>
      <c r="AD38" s="1039"/>
      <c r="AE38" s="1080"/>
      <c r="AF38" s="33"/>
    </row>
    <row r="39" spans="1:33" ht="33.75" customHeight="1" x14ac:dyDescent="0.25">
      <c r="A39" s="1087"/>
      <c r="B39" s="1067" t="s">
        <v>158</v>
      </c>
      <c r="C39" s="944"/>
      <c r="D39" s="944"/>
      <c r="E39" s="944"/>
      <c r="F39" s="944"/>
      <c r="G39" s="1068"/>
      <c r="H39" s="1067" t="s">
        <v>158</v>
      </c>
      <c r="I39" s="944"/>
      <c r="J39" s="944"/>
      <c r="K39" s="944"/>
      <c r="L39" s="944"/>
      <c r="M39" s="1068"/>
      <c r="N39" s="1067" t="s">
        <v>150</v>
      </c>
      <c r="O39" s="944"/>
      <c r="P39" s="944"/>
      <c r="Q39" s="944"/>
      <c r="R39" s="944"/>
      <c r="S39" s="1068"/>
      <c r="T39" s="1067" t="s">
        <v>158</v>
      </c>
      <c r="U39" s="944"/>
      <c r="V39" s="944"/>
      <c r="W39" s="944"/>
      <c r="X39" s="944"/>
      <c r="Y39" s="1068"/>
      <c r="Z39" s="1067" t="s">
        <v>158</v>
      </c>
      <c r="AA39" s="944"/>
      <c r="AB39" s="944"/>
      <c r="AC39" s="944"/>
      <c r="AD39" s="944"/>
      <c r="AE39" s="1068"/>
    </row>
    <row r="40" spans="1:33" ht="33.75" customHeight="1" x14ac:dyDescent="0.3">
      <c r="A40" s="1087" t="s">
        <v>11</v>
      </c>
      <c r="B40" s="1069" t="s">
        <v>27</v>
      </c>
      <c r="C40" s="940"/>
      <c r="D40" s="940"/>
      <c r="E40" s="940"/>
      <c r="F40" s="940"/>
      <c r="G40" s="940"/>
      <c r="H40" s="1069" t="s">
        <v>27</v>
      </c>
      <c r="I40" s="940"/>
      <c r="J40" s="940"/>
      <c r="K40" s="940"/>
      <c r="L40" s="940"/>
      <c r="M40" s="1070"/>
      <c r="N40" s="1069" t="s">
        <v>26</v>
      </c>
      <c r="O40" s="940"/>
      <c r="P40" s="940"/>
      <c r="Q40" s="940"/>
      <c r="R40" s="940"/>
      <c r="S40" s="1070"/>
      <c r="T40" s="1069" t="s">
        <v>24</v>
      </c>
      <c r="U40" s="940"/>
      <c r="V40" s="940"/>
      <c r="W40" s="940"/>
      <c r="X40" s="940"/>
      <c r="Y40" s="1070"/>
      <c r="Z40" s="1069" t="s">
        <v>25</v>
      </c>
      <c r="AA40" s="940"/>
      <c r="AB40" s="940"/>
      <c r="AC40" s="940"/>
      <c r="AD40" s="940"/>
      <c r="AE40" s="1070"/>
    </row>
    <row r="41" spans="1:33" ht="33.75" customHeight="1" x14ac:dyDescent="0.25">
      <c r="A41" s="1087"/>
      <c r="B41" s="1067" t="s">
        <v>158</v>
      </c>
      <c r="C41" s="944"/>
      <c r="D41" s="944"/>
      <c r="E41" s="944"/>
      <c r="F41" s="944"/>
      <c r="G41" s="1068"/>
      <c r="H41" s="1067" t="s">
        <v>158</v>
      </c>
      <c r="I41" s="944"/>
      <c r="J41" s="944"/>
      <c r="K41" s="944"/>
      <c r="L41" s="944"/>
      <c r="M41" s="1068"/>
      <c r="N41" s="1067" t="s">
        <v>150</v>
      </c>
      <c r="O41" s="944"/>
      <c r="P41" s="944"/>
      <c r="Q41" s="944"/>
      <c r="R41" s="944"/>
      <c r="S41" s="1068"/>
      <c r="T41" s="1067" t="s">
        <v>158</v>
      </c>
      <c r="U41" s="944"/>
      <c r="V41" s="944"/>
      <c r="W41" s="944"/>
      <c r="X41" s="944"/>
      <c r="Y41" s="1068"/>
      <c r="Z41" s="1067" t="s">
        <v>158</v>
      </c>
      <c r="AA41" s="944"/>
      <c r="AB41" s="944"/>
      <c r="AC41" s="944"/>
      <c r="AD41" s="944"/>
      <c r="AE41" s="1068"/>
    </row>
    <row r="42" spans="1:33" ht="33.75" customHeight="1" x14ac:dyDescent="0.25">
      <c r="A42" s="1143" t="s">
        <v>6</v>
      </c>
      <c r="B42" s="804"/>
      <c r="C42" s="1155"/>
      <c r="D42" s="160" t="s">
        <v>580</v>
      </c>
      <c r="E42" s="1116" t="s">
        <v>150</v>
      </c>
      <c r="F42" s="490"/>
      <c r="G42" s="1111"/>
      <c r="H42" s="230" t="s">
        <v>579</v>
      </c>
      <c r="I42" s="1116" t="s">
        <v>150</v>
      </c>
      <c r="J42" s="160" t="s">
        <v>580</v>
      </c>
      <c r="K42" s="1137" t="s">
        <v>164</v>
      </c>
      <c r="L42" s="190"/>
      <c r="M42" s="1111"/>
      <c r="N42" s="161" t="s">
        <v>579</v>
      </c>
      <c r="O42" s="1137" t="s">
        <v>164</v>
      </c>
      <c r="P42" s="160" t="s">
        <v>580</v>
      </c>
      <c r="Q42" s="1136" t="s">
        <v>1276</v>
      </c>
      <c r="R42" s="490"/>
      <c r="S42" s="1104"/>
      <c r="T42" s="307"/>
      <c r="U42" s="1148"/>
      <c r="V42" s="308" t="s">
        <v>580</v>
      </c>
      <c r="W42" s="1116" t="s">
        <v>570</v>
      </c>
      <c r="X42" s="190"/>
      <c r="Y42" s="1120"/>
      <c r="Z42" s="160" t="s">
        <v>579</v>
      </c>
      <c r="AA42" s="1115" t="s">
        <v>570</v>
      </c>
      <c r="AD42" s="190"/>
      <c r="AE42" s="1103"/>
    </row>
    <row r="43" spans="1:33" ht="33.75" customHeight="1" x14ac:dyDescent="0.25">
      <c r="A43" s="1143"/>
      <c r="B43" s="1158"/>
      <c r="C43" s="1156"/>
      <c r="D43" s="1109" t="s">
        <v>26</v>
      </c>
      <c r="E43" s="1116"/>
      <c r="F43" s="1185"/>
      <c r="G43" s="1111"/>
      <c r="H43" s="1118" t="s">
        <v>26</v>
      </c>
      <c r="I43" s="1116"/>
      <c r="J43" s="1109" t="s">
        <v>27</v>
      </c>
      <c r="K43" s="1137"/>
      <c r="L43" s="1113"/>
      <c r="M43" s="1111"/>
      <c r="N43" s="1118" t="s">
        <v>27</v>
      </c>
      <c r="O43" s="1137"/>
      <c r="P43" s="1123" t="s">
        <v>24</v>
      </c>
      <c r="Q43" s="1137"/>
      <c r="R43" s="1128"/>
      <c r="S43" s="1104"/>
      <c r="T43" s="1106"/>
      <c r="U43" s="1149"/>
      <c r="V43" s="1153" t="s">
        <v>25</v>
      </c>
      <c r="W43" s="1151"/>
      <c r="X43" s="1113"/>
      <c r="Y43" s="1120"/>
      <c r="Z43" s="1109" t="s">
        <v>25</v>
      </c>
      <c r="AA43" s="1116"/>
      <c r="AD43" s="1128"/>
      <c r="AE43" s="1104"/>
    </row>
    <row r="44" spans="1:33" ht="33.75" customHeight="1" x14ac:dyDescent="0.25">
      <c r="A44" s="1143" t="s">
        <v>7</v>
      </c>
      <c r="B44" s="1158"/>
      <c r="C44" s="1156"/>
      <c r="D44" s="1109"/>
      <c r="E44" s="1116"/>
      <c r="F44" s="1185"/>
      <c r="G44" s="1111"/>
      <c r="H44" s="1118"/>
      <c r="I44" s="1116"/>
      <c r="J44" s="1109"/>
      <c r="K44" s="1137"/>
      <c r="L44" s="1113"/>
      <c r="M44" s="1111"/>
      <c r="N44" s="1118"/>
      <c r="O44" s="1137"/>
      <c r="P44" s="1123"/>
      <c r="Q44" s="1137"/>
      <c r="R44" s="1128"/>
      <c r="S44" s="1104"/>
      <c r="T44" s="1106"/>
      <c r="U44" s="1149"/>
      <c r="V44" s="1153"/>
      <c r="W44" s="1151"/>
      <c r="X44" s="1113"/>
      <c r="Y44" s="1120"/>
      <c r="Z44" s="1109"/>
      <c r="AA44" s="1116"/>
      <c r="AD44" s="1128"/>
      <c r="AE44" s="1104"/>
      <c r="AG44" s="20"/>
    </row>
    <row r="45" spans="1:33" ht="33.75" customHeight="1" x14ac:dyDescent="0.25">
      <c r="A45" s="1143"/>
      <c r="B45" s="1158"/>
      <c r="C45" s="1156"/>
      <c r="D45" s="1184"/>
      <c r="E45" s="1117"/>
      <c r="F45" s="1186"/>
      <c r="G45" s="1112"/>
      <c r="H45" s="1119"/>
      <c r="I45" s="1117"/>
      <c r="J45" s="1184"/>
      <c r="K45" s="1138"/>
      <c r="L45" s="1114"/>
      <c r="M45" s="1112"/>
      <c r="N45" s="1119"/>
      <c r="O45" s="1138"/>
      <c r="P45" s="1123"/>
      <c r="Q45" s="1137"/>
      <c r="R45" s="1129"/>
      <c r="S45" s="1105"/>
      <c r="T45" s="1107"/>
      <c r="U45" s="1150"/>
      <c r="V45" s="1154"/>
      <c r="W45" s="1152"/>
      <c r="X45" s="1114"/>
      <c r="Y45" s="1121"/>
      <c r="Z45" s="1109"/>
      <c r="AA45" s="1117"/>
      <c r="AD45" s="1129"/>
      <c r="AE45" s="1105"/>
    </row>
    <row r="46" spans="1:33" ht="33.75" customHeight="1" x14ac:dyDescent="0.25">
      <c r="A46" s="1087" t="s">
        <v>8</v>
      </c>
      <c r="B46" s="802"/>
      <c r="C46" s="1133"/>
      <c r="D46" s="805"/>
      <c r="E46" s="1155"/>
      <c r="F46" s="173"/>
      <c r="G46" s="1187"/>
      <c r="H46" s="1160"/>
      <c r="I46" s="1161"/>
      <c r="J46" s="1161"/>
      <c r="K46" s="1161"/>
      <c r="L46" s="1161"/>
      <c r="M46" s="1162"/>
      <c r="N46" s="308" t="s">
        <v>579</v>
      </c>
      <c r="O46" s="1115" t="s">
        <v>1119</v>
      </c>
      <c r="P46" s="490"/>
      <c r="Q46" s="1133"/>
      <c r="R46" s="173"/>
      <c r="S46" s="1104"/>
      <c r="T46" s="307"/>
      <c r="U46" s="1149"/>
      <c r="V46" s="160" t="s">
        <v>580</v>
      </c>
      <c r="W46" s="1115" t="s">
        <v>1119</v>
      </c>
      <c r="X46" s="173"/>
      <c r="Y46" s="1120"/>
      <c r="Z46" s="230" t="s">
        <v>579</v>
      </c>
      <c r="AA46" s="1137" t="s">
        <v>1276</v>
      </c>
      <c r="AB46" s="125"/>
      <c r="AC46" s="125"/>
      <c r="AD46" s="125"/>
      <c r="AE46" s="727"/>
    </row>
    <row r="47" spans="1:33" ht="33.75" customHeight="1" x14ac:dyDescent="0.25">
      <c r="A47" s="1087"/>
      <c r="B47" s="1124"/>
      <c r="C47" s="1134"/>
      <c r="D47" s="1132"/>
      <c r="E47" s="1156"/>
      <c r="F47" s="1126"/>
      <c r="G47" s="1120"/>
      <c r="H47" s="1163"/>
      <c r="I47" s="1164"/>
      <c r="J47" s="1164"/>
      <c r="K47" s="1164"/>
      <c r="L47" s="1164"/>
      <c r="M47" s="1165"/>
      <c r="N47" s="1153" t="s">
        <v>23</v>
      </c>
      <c r="O47" s="1116"/>
      <c r="P47" s="1113"/>
      <c r="Q47" s="1134"/>
      <c r="R47" s="1126"/>
      <c r="S47" s="1104"/>
      <c r="T47" s="1106"/>
      <c r="U47" s="1172"/>
      <c r="V47" s="1109" t="s">
        <v>23</v>
      </c>
      <c r="W47" s="1116"/>
      <c r="X47" s="1113"/>
      <c r="Y47" s="1120"/>
      <c r="Z47" s="1169" t="s">
        <v>24</v>
      </c>
      <c r="AA47" s="1137"/>
      <c r="AB47" s="69"/>
      <c r="AC47" s="69"/>
      <c r="AD47" s="69"/>
      <c r="AE47" s="728"/>
    </row>
    <row r="48" spans="1:33" ht="33.75" customHeight="1" x14ac:dyDescent="0.25">
      <c r="A48" s="1087" t="s">
        <v>9</v>
      </c>
      <c r="B48" s="1124"/>
      <c r="C48" s="1134"/>
      <c r="D48" s="1132"/>
      <c r="E48" s="1156"/>
      <c r="F48" s="1126"/>
      <c r="G48" s="1120"/>
      <c r="H48" s="1163"/>
      <c r="I48" s="1164"/>
      <c r="J48" s="1164"/>
      <c r="K48" s="1164"/>
      <c r="L48" s="1164"/>
      <c r="M48" s="1165"/>
      <c r="N48" s="1109"/>
      <c r="O48" s="1116"/>
      <c r="P48" s="1113"/>
      <c r="Q48" s="1134"/>
      <c r="R48" s="1126"/>
      <c r="S48" s="1104"/>
      <c r="T48" s="1106"/>
      <c r="U48" s="1172"/>
      <c r="V48" s="1109"/>
      <c r="W48" s="1116"/>
      <c r="X48" s="1113"/>
      <c r="Y48" s="1120"/>
      <c r="Z48" s="1169"/>
      <c r="AA48" s="1137"/>
      <c r="AB48" s="69"/>
      <c r="AC48" s="69"/>
      <c r="AD48" s="69"/>
      <c r="AE48" s="728"/>
    </row>
    <row r="49" spans="1:31" ht="33.75" customHeight="1" thickBot="1" x14ac:dyDescent="0.3">
      <c r="A49" s="1171"/>
      <c r="B49" s="1125"/>
      <c r="C49" s="1134"/>
      <c r="D49" s="1132"/>
      <c r="E49" s="1157"/>
      <c r="F49" s="1127"/>
      <c r="G49" s="1130"/>
      <c r="H49" s="1166"/>
      <c r="I49" s="1167"/>
      <c r="J49" s="1167"/>
      <c r="K49" s="1167"/>
      <c r="L49" s="1167"/>
      <c r="M49" s="1168"/>
      <c r="N49" s="1110"/>
      <c r="O49" s="1122"/>
      <c r="P49" s="1131"/>
      <c r="Q49" s="1135"/>
      <c r="R49" s="1127"/>
      <c r="S49" s="1108"/>
      <c r="T49" s="1159"/>
      <c r="U49" s="1173"/>
      <c r="V49" s="1110"/>
      <c r="W49" s="1122"/>
      <c r="X49" s="1131"/>
      <c r="Y49" s="1130"/>
      <c r="Z49" s="1170"/>
      <c r="AA49" s="1138"/>
      <c r="AB49" s="224"/>
      <c r="AC49" s="224"/>
      <c r="AD49" s="224"/>
      <c r="AE49" s="729"/>
    </row>
    <row r="50" spans="1:31" ht="41.25" customHeight="1" thickBot="1" x14ac:dyDescent="0.3">
      <c r="C50" s="231"/>
      <c r="D50" s="231"/>
      <c r="E50" s="231"/>
      <c r="W50" s="231"/>
      <c r="Z50" s="231"/>
      <c r="AA50" s="231"/>
    </row>
    <row r="51" spans="1:31" ht="18.75" customHeight="1" x14ac:dyDescent="0.25">
      <c r="A51" s="1190" t="s">
        <v>218</v>
      </c>
      <c r="B51" s="1147"/>
      <c r="C51" s="1146" t="s">
        <v>219</v>
      </c>
      <c r="D51" s="1146"/>
      <c r="E51" s="1146"/>
      <c r="F51" s="1146"/>
      <c r="G51" s="1146"/>
      <c r="H51" s="1146"/>
      <c r="I51" s="1146"/>
      <c r="J51" s="1146"/>
      <c r="K51" s="1146"/>
      <c r="L51" s="58"/>
      <c r="M51" s="1144" t="s">
        <v>311</v>
      </c>
      <c r="N51" s="1145"/>
      <c r="O51" s="1146" t="s">
        <v>143</v>
      </c>
      <c r="P51" s="1147"/>
      <c r="Q51" s="1146" t="s">
        <v>167</v>
      </c>
      <c r="R51" s="1146"/>
      <c r="S51" s="1146"/>
      <c r="T51" s="1146"/>
      <c r="U51" s="1146"/>
      <c r="V51" s="1146"/>
      <c r="W51" s="1146"/>
      <c r="X51" s="1146"/>
      <c r="Y51" s="1146"/>
      <c r="Z51" s="1146"/>
      <c r="AA51" s="1146"/>
      <c r="AB51" s="1146"/>
      <c r="AC51" s="1146"/>
      <c r="AD51" s="1146"/>
      <c r="AE51" s="1147"/>
    </row>
    <row r="52" spans="1:31" ht="13.8" x14ac:dyDescent="0.25">
      <c r="A52" s="1065" t="str">
        <f>VLOOKUP(M52,ASIGNATURAS!$F$1:$L$1022, 3, FALSE)</f>
        <v>MATERIALES</v>
      </c>
      <c r="B52" s="1066"/>
      <c r="C52" s="982" t="str">
        <f>VLOOKUP(M52,ASIGNATURAS!$F$1:$L$1022, 4, FALSE)</f>
        <v>Ciencia de Materiales: Est. y propiedades</v>
      </c>
      <c r="D52" s="983"/>
      <c r="E52" s="983"/>
      <c r="F52" s="983"/>
      <c r="G52" s="983"/>
      <c r="H52" s="983"/>
      <c r="I52" s="983"/>
      <c r="J52" s="983"/>
      <c r="K52" s="983"/>
      <c r="L52" s="1018"/>
      <c r="M52" s="981">
        <v>6397</v>
      </c>
      <c r="N52" s="1071"/>
      <c r="O52" s="981">
        <f>VLOOKUP(M52,ASIGNATURAS!$F$1:$L$1022, 5, FALSE)</f>
        <v>6</v>
      </c>
      <c r="P52" s="1071"/>
      <c r="Q52" s="982" t="str">
        <f>VLOOKUP(M52,ASIGNATURAS!$F$1:$L$1022, 6, FALSE)</f>
        <v xml:space="preserve">Mónica Preciado Calzada </v>
      </c>
      <c r="R52" s="983"/>
      <c r="S52" s="983"/>
      <c r="T52" s="983"/>
      <c r="U52" s="983"/>
      <c r="V52" s="983"/>
      <c r="W52" s="983"/>
      <c r="X52" s="983"/>
      <c r="Y52" s="983"/>
      <c r="Z52" s="983"/>
      <c r="AA52" s="983"/>
      <c r="AB52" s="983"/>
      <c r="AC52" s="983"/>
      <c r="AD52" s="983"/>
      <c r="AE52" s="1018"/>
    </row>
    <row r="53" spans="1:31" ht="13.8" x14ac:dyDescent="0.25">
      <c r="A53" s="1065" t="str">
        <f>VLOOKUP(M53,ASIGNATURAS!$F$1:$L$1022, 3, FALSE)</f>
        <v>AMP. CÁLCULO</v>
      </c>
      <c r="B53" s="1066"/>
      <c r="C53" s="982" t="str">
        <f>VLOOKUP(M53,ASIGNATURAS!$F$1:$L$1022, 4, FALSE)</f>
        <v>Ampliación de Cálculo y Geometría</v>
      </c>
      <c r="D53" s="983"/>
      <c r="E53" s="983"/>
      <c r="F53" s="983"/>
      <c r="G53" s="983"/>
      <c r="H53" s="983"/>
      <c r="I53" s="983"/>
      <c r="J53" s="983"/>
      <c r="K53" s="983"/>
      <c r="L53" s="1018"/>
      <c r="M53" s="981">
        <v>6398</v>
      </c>
      <c r="N53" s="1071"/>
      <c r="O53" s="981">
        <f>VLOOKUP(M53,ASIGNATURAS!$F$1:$L$1022, 5, FALSE)</f>
        <v>6</v>
      </c>
      <c r="P53" s="1071"/>
      <c r="Q53" s="982" t="str">
        <f>VLOOKUP(M53,ASIGNATURAS!$F$1:$L$1022, 6, FALSE)</f>
        <v>Antonio Manzano, Leticia Sainz</v>
      </c>
      <c r="R53" s="983"/>
      <c r="S53" s="983"/>
      <c r="T53" s="983"/>
      <c r="U53" s="983"/>
      <c r="V53" s="983"/>
      <c r="W53" s="983"/>
      <c r="X53" s="983"/>
      <c r="Y53" s="983"/>
      <c r="Z53" s="983"/>
      <c r="AA53" s="983"/>
      <c r="AB53" s="983"/>
      <c r="AC53" s="983"/>
      <c r="AD53" s="983"/>
      <c r="AE53" s="1018"/>
    </row>
    <row r="54" spans="1:31" ht="13.8" x14ac:dyDescent="0.25">
      <c r="A54" s="1065" t="str">
        <f>VLOOKUP(M54,ASIGNATURAS!$F$1:$L$1022, 3, FALSE)</f>
        <v>FÍSICA II</v>
      </c>
      <c r="B54" s="1066"/>
      <c r="C54" s="982" t="str">
        <f>VLOOKUP(M54,ASIGNATURAS!$F$1:$L$1022, 4, FALSE)</f>
        <v>Física II</v>
      </c>
      <c r="D54" s="983"/>
      <c r="E54" s="983"/>
      <c r="F54" s="983"/>
      <c r="G54" s="983"/>
      <c r="H54" s="983"/>
      <c r="I54" s="983"/>
      <c r="J54" s="983"/>
      <c r="K54" s="983"/>
      <c r="L54" s="1018"/>
      <c r="M54" s="981">
        <v>6399</v>
      </c>
      <c r="N54" s="1071"/>
      <c r="O54" s="981">
        <f>VLOOKUP(M54,ASIGNATURAS!$F$1:$L$1022, 5, FALSE)</f>
        <v>6</v>
      </c>
      <c r="P54" s="1071"/>
      <c r="Q54" s="982" t="str">
        <f>VLOOKUP(M54,ASIGNATURAS!$F$1:$L$1022, 6, FALSE)</f>
        <v>Maria Felicidad Bogalo Roman</v>
      </c>
      <c r="R54" s="983"/>
      <c r="S54" s="983"/>
      <c r="T54" s="983"/>
      <c r="U54" s="983"/>
      <c r="V54" s="983"/>
      <c r="W54" s="983"/>
      <c r="X54" s="983"/>
      <c r="Y54" s="983"/>
      <c r="Z54" s="983"/>
      <c r="AA54" s="983"/>
      <c r="AB54" s="983"/>
      <c r="AC54" s="983"/>
      <c r="AD54" s="983"/>
      <c r="AE54" s="1018"/>
    </row>
    <row r="55" spans="1:31" ht="13.8" x14ac:dyDescent="0.25">
      <c r="A55" s="1065" t="str">
        <f>VLOOKUP(M55,ASIGNATURAS!$F$1:$L$1022, 3, FALSE)</f>
        <v>QUÍMICA</v>
      </c>
      <c r="B55" s="1066"/>
      <c r="C55" s="982" t="str">
        <f>VLOOKUP(M55,ASIGNATURAS!$F$1:$L$1022, 4, FALSE)</f>
        <v>Química</v>
      </c>
      <c r="D55" s="983"/>
      <c r="E55" s="983"/>
      <c r="F55" s="983"/>
      <c r="G55" s="983"/>
      <c r="H55" s="983"/>
      <c r="I55" s="983"/>
      <c r="J55" s="983"/>
      <c r="K55" s="983"/>
      <c r="L55" s="1018"/>
      <c r="M55" s="981">
        <v>6400</v>
      </c>
      <c r="N55" s="1071"/>
      <c r="O55" s="981">
        <f>VLOOKUP(M55,ASIGNATURAS!$F$1:$L$1022, 5, FALSE)</f>
        <v>6</v>
      </c>
      <c r="P55" s="1071"/>
      <c r="Q55" s="982" t="str">
        <f>VLOOKUP(M55,ASIGNATURAS!$F$1:$L$1022, 6, FALSE)</f>
        <v>Rafael Alcalde García, Santiago Aparicio</v>
      </c>
      <c r="R55" s="983"/>
      <c r="S55" s="983"/>
      <c r="T55" s="983"/>
      <c r="U55" s="983"/>
      <c r="V55" s="983"/>
      <c r="W55" s="983"/>
      <c r="X55" s="983"/>
      <c r="Y55" s="983"/>
      <c r="Z55" s="983"/>
      <c r="AA55" s="983"/>
      <c r="AB55" s="983"/>
      <c r="AC55" s="983"/>
      <c r="AD55" s="983"/>
      <c r="AE55" s="1018"/>
    </row>
    <row r="56" spans="1:31" ht="14.4" thickBot="1" x14ac:dyDescent="0.3">
      <c r="A56" s="1097" t="str">
        <f>VLOOKUP(M56,ASIGNATURAS!$F$1:$L$1022, 3, FALSE)</f>
        <v>ECONOMÍA</v>
      </c>
      <c r="B56" s="1098"/>
      <c r="C56" s="1088" t="str">
        <f>VLOOKUP(M56,ASIGNATURAS!$F$1:$L$1022, 4, FALSE)</f>
        <v>Economía de la Empresa</v>
      </c>
      <c r="D56" s="1089"/>
      <c r="E56" s="1089"/>
      <c r="F56" s="1089"/>
      <c r="G56" s="1089"/>
      <c r="H56" s="1089"/>
      <c r="I56" s="1089"/>
      <c r="J56" s="1089"/>
      <c r="K56" s="1089"/>
      <c r="L56" s="1090"/>
      <c r="M56" s="1099">
        <v>6401</v>
      </c>
      <c r="N56" s="1100"/>
      <c r="O56" s="1099">
        <f>VLOOKUP(M56,ASIGNATURAS!$F$1:$L$1022, 5, FALSE)</f>
        <v>6</v>
      </c>
      <c r="P56" s="1100"/>
      <c r="Q56" s="1088" t="str">
        <f>VLOOKUP(M56,ASIGNATURAS!$F$1:$L$1022, 6, FALSE)</f>
        <v>María Teresa Peña Pérez</v>
      </c>
      <c r="R56" s="1089"/>
      <c r="S56" s="1089"/>
      <c r="T56" s="1089"/>
      <c r="U56" s="1089"/>
      <c r="V56" s="1089"/>
      <c r="W56" s="1089"/>
      <c r="X56" s="1089"/>
      <c r="Y56" s="1089"/>
      <c r="Z56" s="1089"/>
      <c r="AA56" s="1089"/>
      <c r="AB56" s="1089"/>
      <c r="AC56" s="1089"/>
      <c r="AD56" s="1089"/>
      <c r="AE56" s="1090"/>
    </row>
    <row r="57" spans="1:31" x14ac:dyDescent="0.25">
      <c r="A57" s="453" t="s">
        <v>1271</v>
      </c>
      <c r="B57" s="440"/>
      <c r="C57" s="440"/>
      <c r="D57" s="440"/>
      <c r="E57" s="440"/>
      <c r="F57" s="440"/>
      <c r="G57" s="440"/>
      <c r="H57" s="440"/>
      <c r="I57" s="440"/>
      <c r="J57" s="440"/>
      <c r="K57" s="440"/>
      <c r="L57" s="440"/>
      <c r="M57" s="440"/>
      <c r="N57" s="440"/>
      <c r="O57" s="440"/>
      <c r="P57" s="440"/>
      <c r="Q57" s="440"/>
      <c r="R57" s="440"/>
      <c r="S57" s="440"/>
      <c r="T57" s="440"/>
      <c r="U57" s="440"/>
      <c r="V57" s="440"/>
      <c r="W57" s="440"/>
      <c r="X57" s="440"/>
      <c r="Y57" s="440"/>
      <c r="Z57" s="440"/>
      <c r="AA57" s="440"/>
      <c r="AB57" s="440"/>
      <c r="AC57" s="440"/>
      <c r="AD57" s="440"/>
      <c r="AE57" s="440"/>
    </row>
    <row r="59" spans="1:31" ht="24" customHeight="1" x14ac:dyDescent="0.25">
      <c r="A59" s="1101" t="s">
        <v>1044</v>
      </c>
      <c r="B59" s="1101"/>
      <c r="C59" s="1101"/>
      <c r="D59" s="1101"/>
      <c r="E59" s="1101"/>
    </row>
    <row r="60" spans="1:31" ht="24" customHeight="1" x14ac:dyDescent="0.25">
      <c r="A60" s="1102" t="s">
        <v>1046</v>
      </c>
      <c r="B60" s="1102"/>
      <c r="C60" s="1102"/>
      <c r="D60" s="1102"/>
      <c r="E60" s="1102"/>
    </row>
    <row r="62" spans="1:31" x14ac:dyDescent="0.25">
      <c r="A62" s="25" t="s">
        <v>217</v>
      </c>
    </row>
    <row r="63" spans="1:31" ht="13.8" thickBot="1" x14ac:dyDescent="0.3"/>
    <row r="64" spans="1:31" s="1" customFormat="1" ht="31.5" customHeight="1" thickBot="1" x14ac:dyDescent="0.45">
      <c r="A64" s="1094" t="str">
        <f>VLOOKUP(A67,ASIGNATURAS!$A$2:$D$151, 3, FALSE)</f>
        <v>2º Grado en Ingeniería Electrónica Industrial y Automática</v>
      </c>
      <c r="B64" s="1095"/>
      <c r="C64" s="1095"/>
      <c r="D64" s="1095"/>
      <c r="E64" s="1095"/>
      <c r="F64" s="1095"/>
      <c r="G64" s="1095"/>
      <c r="H64" s="1095"/>
      <c r="I64" s="1095"/>
      <c r="J64" s="1095"/>
      <c r="K64" s="1095"/>
      <c r="L64" s="1095"/>
      <c r="M64" s="1095"/>
      <c r="N64" s="1095"/>
      <c r="O64" s="1095"/>
      <c r="P64" s="1095"/>
      <c r="Q64" s="1095"/>
      <c r="R64" s="1095"/>
      <c r="S64" s="1095"/>
      <c r="T64" s="1095"/>
      <c r="U64" s="1095"/>
      <c r="V64" s="1095"/>
      <c r="W64" s="1095"/>
      <c r="X64" s="1095"/>
      <c r="Y64" s="1096"/>
      <c r="Z64" s="1076" t="str">
        <f>Z33</f>
        <v>Curso 2024-2025</v>
      </c>
      <c r="AA64" s="1077"/>
      <c r="AB64" s="1077"/>
      <c r="AC64" s="1077"/>
      <c r="AD64" s="1077"/>
      <c r="AE64" s="1078"/>
    </row>
    <row r="65" spans="1:48" s="8" customFormat="1" ht="23.25" customHeight="1" thickBot="1" x14ac:dyDescent="0.45">
      <c r="A65" s="1083" t="str">
        <f>VLOOKUP(A67,ASIGNATURAS!$A$2:$D$151, 2, FALSE)</f>
        <v>Semestre temporal: 1º        (3º Semestre Académico)</v>
      </c>
      <c r="B65" s="1193"/>
      <c r="C65" s="1193"/>
      <c r="D65" s="1193"/>
      <c r="E65" s="1193"/>
      <c r="F65" s="1193"/>
      <c r="G65" s="1193"/>
      <c r="H65" s="1193"/>
      <c r="I65" s="1193"/>
      <c r="J65" s="1193"/>
      <c r="K65" s="1193"/>
      <c r="L65" s="1193"/>
      <c r="M65" s="1193"/>
      <c r="N65" s="1193"/>
      <c r="O65" s="1193"/>
      <c r="P65" s="1193"/>
      <c r="Q65" s="1193"/>
      <c r="R65" s="1193"/>
      <c r="S65" s="1193"/>
      <c r="T65" s="1193"/>
      <c r="U65" s="1193"/>
      <c r="V65" s="1193"/>
      <c r="W65" s="1193"/>
      <c r="X65" s="1193"/>
      <c r="Y65" s="1194"/>
      <c r="Z65" s="1072" t="s">
        <v>161</v>
      </c>
      <c r="AA65" s="1072"/>
      <c r="AB65" s="1072"/>
      <c r="AC65" s="1072"/>
      <c r="AD65" s="1072"/>
      <c r="AE65" s="1073"/>
    </row>
    <row r="66" spans="1:48" s="8" customFormat="1" ht="23.25" customHeight="1" thickBot="1" x14ac:dyDescent="0.45">
      <c r="A66" s="1083" t="s">
        <v>181</v>
      </c>
      <c r="B66" s="1083"/>
      <c r="C66" s="1084"/>
      <c r="D66" s="1084"/>
      <c r="E66" s="1084"/>
      <c r="F66" s="1084"/>
      <c r="G66" s="1084"/>
      <c r="H66" s="1084"/>
      <c r="I66" s="1084"/>
      <c r="J66" s="1084"/>
      <c r="K66" s="1084"/>
      <c r="L66" s="1084"/>
      <c r="M66" s="1084"/>
      <c r="N66" s="1084"/>
      <c r="O66" s="1084"/>
      <c r="P66" s="1084"/>
      <c r="Q66" s="1084"/>
      <c r="R66" s="1084"/>
      <c r="S66" s="1084"/>
      <c r="T66" s="1084"/>
      <c r="U66" s="1084"/>
      <c r="V66" s="1084"/>
      <c r="W66" s="1084"/>
      <c r="X66" s="1084"/>
      <c r="Y66" s="1085"/>
      <c r="Z66" s="1180"/>
      <c r="AA66" s="1180"/>
      <c r="AB66" s="1180"/>
      <c r="AC66" s="1180"/>
      <c r="AD66" s="1180"/>
      <c r="AE66" s="1181"/>
    </row>
    <row r="67" spans="1:48" ht="38.25" customHeight="1" thickBot="1" x14ac:dyDescent="0.3">
      <c r="A67" s="90" t="s">
        <v>53</v>
      </c>
      <c r="B67" s="33"/>
      <c r="AE67" s="32"/>
    </row>
    <row r="68" spans="1:48" s="2" customFormat="1" ht="24" customHeight="1" thickBot="1" x14ac:dyDescent="0.3">
      <c r="A68" s="89" t="s">
        <v>1</v>
      </c>
      <c r="B68" s="1091" t="s">
        <v>2</v>
      </c>
      <c r="C68" s="1092"/>
      <c r="D68" s="1092"/>
      <c r="E68" s="1092"/>
      <c r="F68" s="1092"/>
      <c r="G68" s="1093"/>
      <c r="H68" s="1091" t="s">
        <v>3</v>
      </c>
      <c r="I68" s="1092"/>
      <c r="J68" s="1092"/>
      <c r="K68" s="1092"/>
      <c r="L68" s="1092"/>
      <c r="M68" s="1093"/>
      <c r="N68" s="1091" t="s">
        <v>139</v>
      </c>
      <c r="O68" s="1092"/>
      <c r="P68" s="1092"/>
      <c r="Q68" s="1092"/>
      <c r="R68" s="1092"/>
      <c r="S68" s="1093"/>
      <c r="T68" s="1091" t="s">
        <v>4</v>
      </c>
      <c r="U68" s="1092"/>
      <c r="V68" s="1092"/>
      <c r="W68" s="1092"/>
      <c r="X68" s="1092"/>
      <c r="Y68" s="1093"/>
      <c r="Z68" s="1091" t="s">
        <v>5</v>
      </c>
      <c r="AA68" s="1092"/>
      <c r="AB68" s="1092"/>
      <c r="AC68" s="1092"/>
      <c r="AD68" s="1092"/>
      <c r="AE68" s="1093"/>
    </row>
    <row r="69" spans="1:48" ht="30" customHeight="1" x14ac:dyDescent="0.25">
      <c r="A69" s="966" t="s">
        <v>1131</v>
      </c>
      <c r="B69" s="1191" t="s">
        <v>256</v>
      </c>
      <c r="C69" s="1153" t="s">
        <v>579</v>
      </c>
      <c r="D69" s="1137" t="s">
        <v>161</v>
      </c>
      <c r="E69" s="1109" t="s">
        <v>484</v>
      </c>
      <c r="F69" s="1153" t="s">
        <v>580</v>
      </c>
      <c r="G69" s="1188" t="s">
        <v>565</v>
      </c>
      <c r="H69" s="1118" t="s">
        <v>971</v>
      </c>
      <c r="I69" s="1153" t="s">
        <v>579</v>
      </c>
      <c r="J69" s="1137" t="s">
        <v>1307</v>
      </c>
      <c r="K69" s="1109" t="s">
        <v>950</v>
      </c>
      <c r="L69" s="1153" t="s">
        <v>580</v>
      </c>
      <c r="M69" s="1188" t="s">
        <v>1102</v>
      </c>
      <c r="N69" s="1118" t="s">
        <v>484</v>
      </c>
      <c r="O69" s="1153" t="s">
        <v>579</v>
      </c>
      <c r="P69" s="1137" t="s">
        <v>565</v>
      </c>
      <c r="Q69" s="1109" t="s">
        <v>256</v>
      </c>
      <c r="R69" s="1153" t="s">
        <v>580</v>
      </c>
      <c r="S69" s="1188" t="s">
        <v>161</v>
      </c>
      <c r="T69" s="1118" t="s">
        <v>950</v>
      </c>
      <c r="U69" s="1153" t="s">
        <v>579</v>
      </c>
      <c r="V69" s="1195" t="s">
        <v>1102</v>
      </c>
      <c r="W69" s="1109" t="s">
        <v>971</v>
      </c>
      <c r="X69" s="1153" t="s">
        <v>580</v>
      </c>
      <c r="Y69" s="1137" t="s">
        <v>1307</v>
      </c>
      <c r="Z69" s="1106"/>
      <c r="AA69" s="1126"/>
      <c r="AB69" s="1134"/>
      <c r="AC69" s="1113"/>
      <c r="AD69" s="1126"/>
      <c r="AE69" s="1104"/>
    </row>
    <row r="70" spans="1:48" ht="30" customHeight="1" x14ac:dyDescent="0.25">
      <c r="A70" s="935"/>
      <c r="B70" s="1191"/>
      <c r="C70" s="1153"/>
      <c r="D70" s="1137"/>
      <c r="E70" s="1109"/>
      <c r="F70" s="1153"/>
      <c r="G70" s="1188"/>
      <c r="H70" s="1118"/>
      <c r="I70" s="1153"/>
      <c r="J70" s="1137"/>
      <c r="K70" s="1109"/>
      <c r="L70" s="1153"/>
      <c r="M70" s="1188"/>
      <c r="N70" s="1118"/>
      <c r="O70" s="1153"/>
      <c r="P70" s="1137"/>
      <c r="Q70" s="1109"/>
      <c r="R70" s="1153"/>
      <c r="S70" s="1188"/>
      <c r="T70" s="1118"/>
      <c r="U70" s="1153"/>
      <c r="V70" s="1195"/>
      <c r="W70" s="1109"/>
      <c r="X70" s="1153"/>
      <c r="Y70" s="1137"/>
      <c r="Z70" s="1106"/>
      <c r="AA70" s="1126"/>
      <c r="AB70" s="1134"/>
      <c r="AC70" s="1113"/>
      <c r="AD70" s="1126"/>
      <c r="AE70" s="1104"/>
    </row>
    <row r="71" spans="1:48" ht="30" customHeight="1" x14ac:dyDescent="0.25">
      <c r="A71" s="934" t="s">
        <v>187</v>
      </c>
      <c r="B71" s="1191"/>
      <c r="C71" s="1153"/>
      <c r="D71" s="1137"/>
      <c r="E71" s="1109"/>
      <c r="F71" s="1153"/>
      <c r="G71" s="1188"/>
      <c r="H71" s="1118"/>
      <c r="I71" s="1153"/>
      <c r="J71" s="1137"/>
      <c r="K71" s="1109"/>
      <c r="L71" s="1153"/>
      <c r="M71" s="1188"/>
      <c r="N71" s="1118"/>
      <c r="O71" s="1153"/>
      <c r="P71" s="1137"/>
      <c r="Q71" s="1109"/>
      <c r="R71" s="1153"/>
      <c r="S71" s="1188"/>
      <c r="T71" s="1118"/>
      <c r="U71" s="1153"/>
      <c r="V71" s="1195"/>
      <c r="W71" s="1109"/>
      <c r="X71" s="1153"/>
      <c r="Y71" s="1137"/>
      <c r="Z71" s="1106"/>
      <c r="AA71" s="1126"/>
      <c r="AB71" s="1134"/>
      <c r="AC71" s="1113"/>
      <c r="AD71" s="1126"/>
      <c r="AE71" s="1104"/>
    </row>
    <row r="72" spans="1:48" ht="30" customHeight="1" x14ac:dyDescent="0.25">
      <c r="A72" s="935"/>
      <c r="B72" s="1192"/>
      <c r="C72" s="1154"/>
      <c r="D72" s="1138"/>
      <c r="E72" s="1184"/>
      <c r="F72" s="1154"/>
      <c r="G72" s="1189"/>
      <c r="H72" s="1119"/>
      <c r="I72" s="1154"/>
      <c r="J72" s="1138"/>
      <c r="K72" s="1184"/>
      <c r="L72" s="1154"/>
      <c r="M72" s="1189"/>
      <c r="N72" s="1119"/>
      <c r="O72" s="1154"/>
      <c r="P72" s="1138"/>
      <c r="Q72" s="1184"/>
      <c r="R72" s="1154"/>
      <c r="S72" s="1189"/>
      <c r="T72" s="1119"/>
      <c r="U72" s="1154"/>
      <c r="V72" s="1196"/>
      <c r="W72" s="1184"/>
      <c r="X72" s="1154"/>
      <c r="Y72" s="1138"/>
      <c r="Z72" s="1107"/>
      <c r="AA72" s="1142"/>
      <c r="AB72" s="1141"/>
      <c r="AC72" s="1114"/>
      <c r="AD72" s="1142"/>
      <c r="AE72" s="1105"/>
    </row>
    <row r="73" spans="1:48" ht="30" customHeight="1" x14ac:dyDescent="0.3">
      <c r="A73" s="1143" t="s">
        <v>186</v>
      </c>
      <c r="B73" s="1069" t="s">
        <v>484</v>
      </c>
      <c r="C73" s="940"/>
      <c r="D73" s="940"/>
      <c r="E73" s="940"/>
      <c r="F73" s="940"/>
      <c r="G73" s="1070"/>
      <c r="H73" s="1069" t="s">
        <v>1250</v>
      </c>
      <c r="I73" s="940"/>
      <c r="J73" s="940"/>
      <c r="K73" s="940"/>
      <c r="L73" s="940"/>
      <c r="M73" s="1070"/>
      <c r="N73" s="940" t="s">
        <v>484</v>
      </c>
      <c r="O73" s="940"/>
      <c r="P73" s="940"/>
      <c r="Q73" s="940"/>
      <c r="R73" s="940"/>
      <c r="S73" s="940"/>
      <c r="T73" s="1069" t="s">
        <v>950</v>
      </c>
      <c r="U73" s="940"/>
      <c r="V73" s="940"/>
      <c r="W73" s="940"/>
      <c r="X73" s="940"/>
      <c r="Y73" s="1070"/>
      <c r="Z73" s="967"/>
      <c r="AA73" s="967"/>
      <c r="AB73" s="967"/>
      <c r="AC73" s="967"/>
      <c r="AD73" s="967"/>
      <c r="AE73" s="1139"/>
      <c r="AH73" s="20"/>
    </row>
    <row r="74" spans="1:48" ht="30" customHeight="1" x14ac:dyDescent="0.25">
      <c r="A74" s="1143"/>
      <c r="B74" s="1067" t="s">
        <v>161</v>
      </c>
      <c r="C74" s="944"/>
      <c r="D74" s="944"/>
      <c r="E74" s="944"/>
      <c r="F74" s="944"/>
      <c r="G74" s="1068"/>
      <c r="H74" s="1067" t="s">
        <v>161</v>
      </c>
      <c r="I74" s="944"/>
      <c r="J74" s="944"/>
      <c r="K74" s="944"/>
      <c r="L74" s="944"/>
      <c r="M74" s="1068"/>
      <c r="N74" s="1067" t="s">
        <v>161</v>
      </c>
      <c r="O74" s="944"/>
      <c r="P74" s="944"/>
      <c r="Q74" s="944"/>
      <c r="R74" s="944"/>
      <c r="S74" s="1068"/>
      <c r="T74" s="1067" t="s">
        <v>161</v>
      </c>
      <c r="U74" s="944"/>
      <c r="V74" s="944"/>
      <c r="W74" s="944"/>
      <c r="X74" s="944"/>
      <c r="Y74" s="1068"/>
      <c r="Z74" s="999"/>
      <c r="AA74" s="930"/>
      <c r="AB74" s="930"/>
      <c r="AC74" s="930"/>
      <c r="AD74" s="930"/>
      <c r="AE74" s="1140"/>
      <c r="AH74" s="20"/>
    </row>
    <row r="75" spans="1:48" ht="30" customHeight="1" x14ac:dyDescent="0.3">
      <c r="A75" s="935" t="s">
        <v>188</v>
      </c>
      <c r="B75" s="940" t="s">
        <v>256</v>
      </c>
      <c r="C75" s="940"/>
      <c r="D75" s="940"/>
      <c r="E75" s="940"/>
      <c r="F75" s="940"/>
      <c r="G75" s="1070"/>
      <c r="H75" s="940" t="s">
        <v>950</v>
      </c>
      <c r="I75" s="940"/>
      <c r="J75" s="940"/>
      <c r="K75" s="940"/>
      <c r="L75" s="940"/>
      <c r="M75" s="1070"/>
      <c r="N75" s="1069" t="s">
        <v>256</v>
      </c>
      <c r="O75" s="940"/>
      <c r="P75" s="940"/>
      <c r="Q75" s="940"/>
      <c r="R75" s="940"/>
      <c r="S75" s="1070"/>
      <c r="T75" s="1069" t="s">
        <v>1250</v>
      </c>
      <c r="U75" s="940"/>
      <c r="V75" s="940"/>
      <c r="W75" s="940"/>
      <c r="X75" s="940"/>
      <c r="Y75" s="940"/>
      <c r="Z75" s="1000"/>
      <c r="AA75" s="967"/>
      <c r="AB75" s="967"/>
      <c r="AC75" s="967"/>
      <c r="AD75" s="967"/>
      <c r="AE75" s="1139"/>
    </row>
    <row r="76" spans="1:48" ht="30" customHeight="1" x14ac:dyDescent="0.25">
      <c r="A76" s="1143"/>
      <c r="B76" s="944" t="s">
        <v>161</v>
      </c>
      <c r="C76" s="944"/>
      <c r="D76" s="944"/>
      <c r="E76" s="944"/>
      <c r="F76" s="944"/>
      <c r="G76" s="1068"/>
      <c r="H76" s="1067" t="s">
        <v>161</v>
      </c>
      <c r="I76" s="944"/>
      <c r="J76" s="944"/>
      <c r="K76" s="944"/>
      <c r="L76" s="944"/>
      <c r="M76" s="1068"/>
      <c r="N76" s="1067" t="s">
        <v>161</v>
      </c>
      <c r="O76" s="944"/>
      <c r="P76" s="944"/>
      <c r="Q76" s="944"/>
      <c r="R76" s="944"/>
      <c r="S76" s="1068"/>
      <c r="T76" s="1067" t="s">
        <v>161</v>
      </c>
      <c r="U76" s="944"/>
      <c r="V76" s="944"/>
      <c r="W76" s="944"/>
      <c r="X76" s="944"/>
      <c r="Y76" s="1068"/>
      <c r="Z76" s="999"/>
      <c r="AA76" s="930"/>
      <c r="AB76" s="930"/>
      <c r="AC76" s="930"/>
      <c r="AD76" s="930"/>
      <c r="AE76" s="1140"/>
    </row>
    <row r="77" spans="1:48" ht="30" customHeight="1" x14ac:dyDescent="0.3">
      <c r="A77" s="935" t="s">
        <v>189</v>
      </c>
      <c r="B77" s="940" t="s">
        <v>971</v>
      </c>
      <c r="C77" s="940"/>
      <c r="D77" s="940"/>
      <c r="E77" s="940"/>
      <c r="F77" s="940"/>
      <c r="G77" s="1070"/>
      <c r="H77" s="1317" t="s">
        <v>1250</v>
      </c>
      <c r="I77" s="1182" t="s">
        <v>580</v>
      </c>
      <c r="J77" s="1136" t="s">
        <v>149</v>
      </c>
      <c r="M77" s="801"/>
      <c r="Q77" s="1178"/>
      <c r="R77" s="1126"/>
      <c r="S77" s="1111"/>
      <c r="T77" s="1176" t="s">
        <v>1250</v>
      </c>
      <c r="U77" s="1182" t="s">
        <v>579</v>
      </c>
      <c r="V77" s="1136" t="s">
        <v>149</v>
      </c>
      <c r="Z77" s="1106"/>
      <c r="AA77" s="1126"/>
      <c r="AB77" s="1134"/>
      <c r="AC77" s="1126"/>
      <c r="AD77" s="1126"/>
      <c r="AE77" s="1104"/>
      <c r="AQ77" s="939"/>
      <c r="AR77" s="939"/>
      <c r="AS77" s="939"/>
      <c r="AT77" s="939"/>
      <c r="AU77" s="939"/>
      <c r="AV77" s="939"/>
    </row>
    <row r="78" spans="1:48" ht="30" customHeight="1" x14ac:dyDescent="0.25">
      <c r="A78" s="1143"/>
      <c r="B78" s="1067" t="s">
        <v>161</v>
      </c>
      <c r="C78" s="944"/>
      <c r="D78" s="944"/>
      <c r="E78" s="944"/>
      <c r="F78" s="944"/>
      <c r="G78" s="1068"/>
      <c r="H78" s="1109"/>
      <c r="I78" s="1153"/>
      <c r="J78" s="1137"/>
      <c r="M78" s="32"/>
      <c r="Q78" s="1113"/>
      <c r="R78" s="1126"/>
      <c r="S78" s="1111"/>
      <c r="T78" s="1118"/>
      <c r="U78" s="1153"/>
      <c r="V78" s="1137"/>
      <c r="Z78" s="1106"/>
      <c r="AA78" s="1126"/>
      <c r="AB78" s="1134"/>
      <c r="AC78" s="1126"/>
      <c r="AD78" s="1126"/>
      <c r="AE78" s="1104"/>
      <c r="AQ78" s="1174"/>
      <c r="AR78" s="1174"/>
      <c r="AS78" s="1174"/>
      <c r="AT78" s="1174"/>
      <c r="AU78" s="1174"/>
      <c r="AV78" s="1174"/>
    </row>
    <row r="79" spans="1:48" ht="30" customHeight="1" x14ac:dyDescent="0.3">
      <c r="A79" s="998" t="s">
        <v>190</v>
      </c>
      <c r="B79" s="1069" t="s">
        <v>971</v>
      </c>
      <c r="C79" s="940"/>
      <c r="D79" s="940"/>
      <c r="E79" s="940"/>
      <c r="F79" s="940"/>
      <c r="G79" s="1070"/>
      <c r="H79" s="1109"/>
      <c r="I79" s="1153"/>
      <c r="J79" s="1137"/>
      <c r="K79" s="20"/>
      <c r="L79" s="20"/>
      <c r="M79" s="366"/>
      <c r="Q79" s="1113"/>
      <c r="R79" s="1126"/>
      <c r="S79" s="1111"/>
      <c r="T79" s="1118"/>
      <c r="U79" s="1153"/>
      <c r="V79" s="1137"/>
      <c r="W79" s="20"/>
      <c r="X79" s="20"/>
      <c r="Y79" s="205"/>
      <c r="Z79" s="1106"/>
      <c r="AA79" s="1126"/>
      <c r="AB79" s="1134"/>
      <c r="AC79" s="1126"/>
      <c r="AD79" s="1126"/>
      <c r="AE79" s="1104"/>
      <c r="AF79" s="33"/>
    </row>
    <row r="80" spans="1:48" ht="30" customHeight="1" thickBot="1" x14ac:dyDescent="0.3">
      <c r="A80" s="997"/>
      <c r="B80" s="1303" t="s">
        <v>161</v>
      </c>
      <c r="C80" s="1304"/>
      <c r="D80" s="1304"/>
      <c r="E80" s="1304"/>
      <c r="F80" s="1304"/>
      <c r="G80" s="1305"/>
      <c r="H80" s="1110"/>
      <c r="I80" s="1183"/>
      <c r="J80" s="1175"/>
      <c r="K80" s="419"/>
      <c r="L80" s="419"/>
      <c r="M80" s="624"/>
      <c r="P80" s="225"/>
      <c r="Q80" s="1131"/>
      <c r="R80" s="1127"/>
      <c r="S80" s="1179"/>
      <c r="T80" s="1177"/>
      <c r="U80" s="1183"/>
      <c r="V80" s="1175"/>
      <c r="W80" s="419"/>
      <c r="X80" s="419"/>
      <c r="Y80" s="500"/>
      <c r="Z80" s="1159"/>
      <c r="AA80" s="1127"/>
      <c r="AB80" s="1135"/>
      <c r="AC80" s="1127"/>
      <c r="AD80" s="1127"/>
      <c r="AE80" s="1108"/>
    </row>
    <row r="81" spans="1:31" ht="41.25" customHeight="1" thickBot="1" x14ac:dyDescent="0.3">
      <c r="A81" s="231"/>
      <c r="N81" s="231"/>
      <c r="O81" s="231"/>
    </row>
    <row r="82" spans="1:31" ht="18.75" customHeight="1" x14ac:dyDescent="0.25">
      <c r="A82" s="1190" t="s">
        <v>218</v>
      </c>
      <c r="B82" s="1147"/>
      <c r="C82" s="1146" t="s">
        <v>219</v>
      </c>
      <c r="D82" s="1146"/>
      <c r="E82" s="1146"/>
      <c r="F82" s="1146"/>
      <c r="G82" s="1146"/>
      <c r="H82" s="1146"/>
      <c r="I82" s="1146"/>
      <c r="J82" s="1146"/>
      <c r="K82" s="1146"/>
      <c r="L82" s="58"/>
      <c r="M82" s="1144" t="s">
        <v>312</v>
      </c>
      <c r="N82" s="1145"/>
      <c r="O82" s="1146" t="s">
        <v>143</v>
      </c>
      <c r="P82" s="1147"/>
      <c r="Q82" s="1146" t="s">
        <v>167</v>
      </c>
      <c r="R82" s="1146"/>
      <c r="S82" s="1146"/>
      <c r="T82" s="1146"/>
      <c r="U82" s="1146"/>
      <c r="V82" s="1146"/>
      <c r="W82" s="1146"/>
      <c r="X82" s="1146"/>
      <c r="Y82" s="1146"/>
      <c r="Z82" s="1146"/>
      <c r="AA82" s="1146"/>
      <c r="AB82" s="1146"/>
      <c r="AC82" s="1146"/>
      <c r="AD82" s="1146"/>
      <c r="AE82" s="1147"/>
    </row>
    <row r="83" spans="1:31" ht="13.8" x14ac:dyDescent="0.25">
      <c r="A83" s="1065" t="str">
        <f>VLOOKUP(M83,ASIGNATURAS!$F$1:$L$1022, 3, FALSE)</f>
        <v>TÉRMICA</v>
      </c>
      <c r="B83" s="1066"/>
      <c r="C83" s="982" t="str">
        <f>VLOOKUP(M83,ASIGNATURAS!$F$1:$L$1022, 4, FALSE)</f>
        <v>Ingeniería Térmica</v>
      </c>
      <c r="D83" s="983"/>
      <c r="E83" s="983"/>
      <c r="F83" s="983"/>
      <c r="G83" s="983"/>
      <c r="H83" s="983"/>
      <c r="I83" s="983"/>
      <c r="J83" s="983"/>
      <c r="K83" s="983"/>
      <c r="L83" s="1018"/>
      <c r="M83" s="981">
        <v>6402</v>
      </c>
      <c r="N83" s="1071"/>
      <c r="O83" s="981">
        <f>VLOOKUP(M83,ASIGNATURAS!$F$1:$L$1022, 5, FALSE)</f>
        <v>6</v>
      </c>
      <c r="P83" s="1071"/>
      <c r="Q83" s="982" t="str">
        <f>VLOOKUP(M83,ASIGNATURAS!$F$1:$L$1022, 6, FALSE)</f>
        <v>Natalia Muñoz Rujas</v>
      </c>
      <c r="R83" s="983"/>
      <c r="S83" s="983"/>
      <c r="T83" s="983"/>
      <c r="U83" s="983"/>
      <c r="V83" s="983"/>
      <c r="W83" s="983"/>
      <c r="X83" s="983"/>
      <c r="Y83" s="983"/>
      <c r="Z83" s="983"/>
      <c r="AA83" s="983"/>
      <c r="AB83" s="983"/>
      <c r="AC83" s="983"/>
      <c r="AD83" s="983"/>
      <c r="AE83" s="1018"/>
    </row>
    <row r="84" spans="1:31" ht="13.8" x14ac:dyDescent="0.25">
      <c r="A84" s="1315" t="str">
        <f>VLOOKUP(M84,ASIGNATURAS!$F$1:$L$1022, 3, FALSE)</f>
        <v>E.C.N.</v>
      </c>
      <c r="B84" s="1316"/>
      <c r="C84" s="1302" t="str">
        <f>VLOOKUP(M84,ASIGNATURAS!$F$1:$L$1022, 4, FALSE)</f>
        <v>Estadística y Cálculo Numérico</v>
      </c>
      <c r="D84" s="993"/>
      <c r="E84" s="993"/>
      <c r="F84" s="993"/>
      <c r="G84" s="993"/>
      <c r="H84" s="993"/>
      <c r="I84" s="993"/>
      <c r="J84" s="993"/>
      <c r="K84" s="993"/>
      <c r="L84" s="1060"/>
      <c r="M84" s="1329">
        <v>6403</v>
      </c>
      <c r="N84" s="1330"/>
      <c r="O84" s="1329">
        <f>VLOOKUP(M84,ASIGNATURAS!$F$1:$L$1022, 5, FALSE)</f>
        <v>6</v>
      </c>
      <c r="P84" s="1330"/>
      <c r="Q84" s="1302" t="str">
        <f>VLOOKUP(M84,ASIGNATURAS!$F$1:$L$1022, 6, FALSE)</f>
        <v/>
      </c>
      <c r="R84" s="993"/>
      <c r="S84" s="993"/>
      <c r="T84" s="993"/>
      <c r="U84" s="993"/>
      <c r="V84" s="993"/>
      <c r="W84" s="993"/>
      <c r="X84" s="993"/>
      <c r="Y84" s="993"/>
      <c r="Z84" s="993"/>
      <c r="AA84" s="993"/>
      <c r="AB84" s="993"/>
      <c r="AC84" s="993"/>
      <c r="AD84" s="993"/>
      <c r="AE84" s="1060"/>
    </row>
    <row r="85" spans="1:31" ht="13.8" x14ac:dyDescent="0.25">
      <c r="A85" s="1065" t="str">
        <f>VLOOKUP(M85,ASIGNATURAS!$F$1:$L$1022, 3, FALSE)</f>
        <v>ING. ELÉCTRICA</v>
      </c>
      <c r="B85" s="1066"/>
      <c r="C85" s="982" t="str">
        <f>VLOOKUP(M85,ASIGNATURAS!$F$1:$L$1022, 4, FALSE)</f>
        <v>Fundamentos de Ingeniería Eléctrica</v>
      </c>
      <c r="D85" s="983"/>
      <c r="E85" s="983"/>
      <c r="F85" s="983"/>
      <c r="G85" s="983"/>
      <c r="H85" s="983"/>
      <c r="I85" s="983"/>
      <c r="J85" s="983"/>
      <c r="K85" s="983"/>
      <c r="L85" s="1018"/>
      <c r="M85" s="981">
        <v>6404</v>
      </c>
      <c r="N85" s="1071"/>
      <c r="O85" s="981">
        <f>VLOOKUP(M85,ASIGNATURAS!$F$1:$L$1022, 5, FALSE)</f>
        <v>6</v>
      </c>
      <c r="P85" s="1071"/>
      <c r="Q85" s="982" t="str">
        <f>VLOOKUP(M85,ASIGNATURAS!$F$1:$L$1022, 6, FALSE)</f>
        <v>Javier González</v>
      </c>
      <c r="R85" s="983"/>
      <c r="S85" s="983"/>
      <c r="T85" s="983"/>
      <c r="U85" s="983"/>
      <c r="V85" s="983"/>
      <c r="W85" s="983"/>
      <c r="X85" s="983"/>
      <c r="Y85" s="983"/>
      <c r="Z85" s="983"/>
      <c r="AA85" s="983"/>
      <c r="AB85" s="983"/>
      <c r="AC85" s="983"/>
      <c r="AD85" s="983"/>
      <c r="AE85" s="1018"/>
    </row>
    <row r="86" spans="1:31" ht="13.8" x14ac:dyDescent="0.25">
      <c r="A86" s="1065" t="str">
        <f>VLOOKUP(M86,ASIGNATURAS!$F$1:$L$1022, 3, FALSE)</f>
        <v>ORG. PROD.</v>
      </c>
      <c r="B86" s="1066"/>
      <c r="C86" s="982" t="str">
        <f>VLOOKUP(M86,ASIGNATURAS!$F$1:$L$1022, 4, FALSE)</f>
        <v>Organización de la Producción</v>
      </c>
      <c r="D86" s="983"/>
      <c r="E86" s="983"/>
      <c r="F86" s="983"/>
      <c r="G86" s="983"/>
      <c r="H86" s="983"/>
      <c r="I86" s="983"/>
      <c r="J86" s="983"/>
      <c r="K86" s="983"/>
      <c r="L86" s="1018"/>
      <c r="M86" s="981">
        <v>6405</v>
      </c>
      <c r="N86" s="1071"/>
      <c r="O86" s="981">
        <f>VLOOKUP(M86,ASIGNATURAS!$F$1:$L$1022, 5, FALSE)</f>
        <v>6</v>
      </c>
      <c r="P86" s="1071"/>
      <c r="Q86" s="982" t="str">
        <f>VLOOKUP(M86,ASIGNATURAS!$F$1:$L$1022, 6, FALSE)</f>
        <v>Miguel Angel Manzanedo, Carlos Alonso, Ricardo del Olmo</v>
      </c>
      <c r="R86" s="983"/>
      <c r="S86" s="983"/>
      <c r="T86" s="983"/>
      <c r="U86" s="983"/>
      <c r="V86" s="983"/>
      <c r="W86" s="983"/>
      <c r="X86" s="983"/>
      <c r="Y86" s="983"/>
      <c r="Z86" s="983"/>
      <c r="AA86" s="983"/>
      <c r="AB86" s="983"/>
      <c r="AC86" s="983"/>
      <c r="AD86" s="983"/>
      <c r="AE86" s="1018"/>
    </row>
    <row r="87" spans="1:31" ht="14.4" thickBot="1" x14ac:dyDescent="0.3">
      <c r="A87" s="1097" t="str">
        <f>VLOOKUP(M87,ASIGNATURAS!$F$1:$L$1022, 3, FALSE)</f>
        <v>ERMAT</v>
      </c>
      <c r="B87" s="1098"/>
      <c r="C87" s="1088" t="str">
        <f>VLOOKUP(M87,ASIGNATURAS!$F$1:$L$1022, 4, FALSE)</f>
        <v>Elasticidad y Resistencia de Materiales</v>
      </c>
      <c r="D87" s="1089"/>
      <c r="E87" s="1089"/>
      <c r="F87" s="1089"/>
      <c r="G87" s="1089"/>
      <c r="H87" s="1089"/>
      <c r="I87" s="1089"/>
      <c r="J87" s="1089"/>
      <c r="K87" s="1089"/>
      <c r="L87" s="1090"/>
      <c r="M87" s="1099">
        <v>6406</v>
      </c>
      <c r="N87" s="1100"/>
      <c r="O87" s="1099">
        <f>VLOOKUP(M87,ASIGNATURAS!$F$1:$L$1022, 5, FALSE)</f>
        <v>6</v>
      </c>
      <c r="P87" s="1100"/>
      <c r="Q87" s="1088" t="str">
        <f>VLOOKUP(M87,ASIGNATURAS!$F$1:$L$1022, 6, FALSE)</f>
        <v xml:space="preserve">Manuel Solaguren-Beascoa </v>
      </c>
      <c r="R87" s="1089"/>
      <c r="S87" s="1089"/>
      <c r="T87" s="1089"/>
      <c r="U87" s="1089"/>
      <c r="V87" s="1089"/>
      <c r="W87" s="1089"/>
      <c r="X87" s="1089"/>
      <c r="Y87" s="1089"/>
      <c r="Z87" s="1089"/>
      <c r="AA87" s="1089"/>
      <c r="AB87" s="1089"/>
      <c r="AC87" s="1089"/>
      <c r="AD87" s="1089"/>
      <c r="AE87" s="1090"/>
    </row>
    <row r="90" spans="1:31" ht="24" customHeight="1" x14ac:dyDescent="0.25">
      <c r="A90" s="1101" t="s">
        <v>1044</v>
      </c>
      <c r="B90" s="1101"/>
      <c r="C90" s="1101"/>
      <c r="D90" s="1101"/>
      <c r="E90" s="1101"/>
    </row>
    <row r="91" spans="1:31" ht="24" customHeight="1" x14ac:dyDescent="0.25">
      <c r="A91" s="1102" t="s">
        <v>1046</v>
      </c>
      <c r="B91" s="1102"/>
      <c r="C91" s="1102"/>
      <c r="D91" s="1102"/>
      <c r="E91" s="1102"/>
    </row>
    <row r="93" spans="1:31" x14ac:dyDescent="0.25">
      <c r="A93" s="25" t="s">
        <v>217</v>
      </c>
    </row>
    <row r="95" spans="1:31" ht="13.8" thickBot="1" x14ac:dyDescent="0.3"/>
    <row r="96" spans="1:31" s="1" customFormat="1" ht="31.5" customHeight="1" thickBot="1" x14ac:dyDescent="0.45">
      <c r="A96" s="1094" t="str">
        <f>VLOOKUP(A99,ASIGNATURAS!$A$2:$D$151, 3, FALSE)</f>
        <v>2º Grado en Ingeniería Electrónica Industrial y Automática</v>
      </c>
      <c r="B96" s="1095"/>
      <c r="C96" s="1095"/>
      <c r="D96" s="1095"/>
      <c r="E96" s="1095"/>
      <c r="F96" s="1095"/>
      <c r="G96" s="1095"/>
      <c r="H96" s="1095"/>
      <c r="I96" s="1095"/>
      <c r="J96" s="1095"/>
      <c r="K96" s="1095"/>
      <c r="L96" s="1095"/>
      <c r="M96" s="1095"/>
      <c r="N96" s="1095"/>
      <c r="O96" s="1095"/>
      <c r="P96" s="1095"/>
      <c r="Q96" s="1095"/>
      <c r="R96" s="1095"/>
      <c r="S96" s="1095"/>
      <c r="T96" s="1095"/>
      <c r="U96" s="1095"/>
      <c r="V96" s="1095"/>
      <c r="W96" s="1095"/>
      <c r="X96" s="1095"/>
      <c r="Y96" s="1096"/>
      <c r="Z96" s="1076" t="str">
        <f>Z64</f>
        <v>Curso 2024-2025</v>
      </c>
      <c r="AA96" s="1077"/>
      <c r="AB96" s="1077"/>
      <c r="AC96" s="1077"/>
      <c r="AD96" s="1077"/>
      <c r="AE96" s="1078"/>
    </row>
    <row r="97" spans="1:32" s="8" customFormat="1" ht="23.25" customHeight="1" thickBot="1" x14ac:dyDescent="0.45">
      <c r="A97" s="1083" t="str">
        <f>VLOOKUP(A99,ASIGNATURAS!$A$2:$D$151, 2, FALSE)</f>
        <v>Semestre temporal: 2º        (4º Semestre Académico)</v>
      </c>
      <c r="B97" s="1084"/>
      <c r="C97" s="1084"/>
      <c r="D97" s="1084"/>
      <c r="E97" s="1084"/>
      <c r="F97" s="1084"/>
      <c r="G97" s="1084"/>
      <c r="H97" s="1084"/>
      <c r="I97" s="1084"/>
      <c r="J97" s="1084"/>
      <c r="K97" s="1084"/>
      <c r="L97" s="1084"/>
      <c r="M97" s="1084"/>
      <c r="N97" s="1084"/>
      <c r="O97" s="1084"/>
      <c r="P97" s="1084"/>
      <c r="Q97" s="1084"/>
      <c r="R97" s="1084"/>
      <c r="S97" s="1084"/>
      <c r="T97" s="1084"/>
      <c r="U97" s="1084"/>
      <c r="V97" s="1084"/>
      <c r="W97" s="1084"/>
      <c r="X97" s="1084"/>
      <c r="Y97" s="1085"/>
      <c r="Z97" s="1072" t="s">
        <v>156</v>
      </c>
      <c r="AA97" s="1072"/>
      <c r="AB97" s="1072"/>
      <c r="AC97" s="1072"/>
      <c r="AD97" s="1072"/>
      <c r="AE97" s="1073"/>
    </row>
    <row r="98" spans="1:32" s="8" customFormat="1" ht="23.25" customHeight="1" thickBot="1" x14ac:dyDescent="0.45">
      <c r="A98" s="1083" t="s">
        <v>181</v>
      </c>
      <c r="B98" s="1084"/>
      <c r="C98" s="1084"/>
      <c r="D98" s="1084"/>
      <c r="E98" s="1084"/>
      <c r="F98" s="1084"/>
      <c r="G98" s="1084"/>
      <c r="H98" s="1084"/>
      <c r="I98" s="1084"/>
      <c r="J98" s="1084"/>
      <c r="K98" s="1084"/>
      <c r="L98" s="1084"/>
      <c r="M98" s="1084"/>
      <c r="N98" s="1084"/>
      <c r="O98" s="1084"/>
      <c r="P98" s="1084"/>
      <c r="Q98" s="1084"/>
      <c r="R98" s="1084"/>
      <c r="S98" s="1084"/>
      <c r="T98" s="1084"/>
      <c r="U98" s="1084"/>
      <c r="V98" s="1084"/>
      <c r="W98" s="1084"/>
      <c r="X98" s="1084"/>
      <c r="Y98" s="1085"/>
      <c r="Z98" s="1074"/>
      <c r="AA98" s="1074"/>
      <c r="AB98" s="1074"/>
      <c r="AC98" s="1074"/>
      <c r="AD98" s="1074"/>
      <c r="AE98" s="1075"/>
    </row>
    <row r="99" spans="1:32" ht="39.75" customHeight="1" thickBot="1" x14ac:dyDescent="0.3">
      <c r="A99" s="9" t="s">
        <v>54</v>
      </c>
      <c r="Z99" s="231"/>
      <c r="AA99" s="231"/>
      <c r="AB99" s="231"/>
      <c r="AD99" s="231"/>
    </row>
    <row r="100" spans="1:32" s="2" customFormat="1" ht="24" customHeight="1" thickBot="1" x14ac:dyDescent="0.3">
      <c r="A100" s="19" t="s">
        <v>1</v>
      </c>
      <c r="B100" s="1076" t="s">
        <v>2</v>
      </c>
      <c r="C100" s="1077"/>
      <c r="D100" s="1077"/>
      <c r="E100" s="1077"/>
      <c r="F100" s="1077"/>
      <c r="G100" s="1078"/>
      <c r="H100" s="1076" t="s">
        <v>3</v>
      </c>
      <c r="I100" s="1077"/>
      <c r="J100" s="1077"/>
      <c r="K100" s="1077"/>
      <c r="L100" s="1077"/>
      <c r="M100" s="1078"/>
      <c r="N100" s="1076" t="s">
        <v>139</v>
      </c>
      <c r="O100" s="1077"/>
      <c r="P100" s="1077"/>
      <c r="Q100" s="1077"/>
      <c r="R100" s="1077"/>
      <c r="S100" s="1078"/>
      <c r="T100" s="1076" t="s">
        <v>4</v>
      </c>
      <c r="U100" s="1077"/>
      <c r="V100" s="1077"/>
      <c r="W100" s="1077"/>
      <c r="X100" s="1077"/>
      <c r="Y100" s="1078"/>
      <c r="Z100" s="1091" t="s">
        <v>5</v>
      </c>
      <c r="AA100" s="1092"/>
      <c r="AB100" s="1092"/>
      <c r="AC100" s="1092"/>
      <c r="AD100" s="1092"/>
      <c r="AE100" s="1093"/>
    </row>
    <row r="101" spans="1:32" ht="30" customHeight="1" x14ac:dyDescent="0.3">
      <c r="A101" s="1292" t="s">
        <v>1131</v>
      </c>
      <c r="B101" s="1296" t="s">
        <v>81</v>
      </c>
      <c r="C101" s="1295" t="s">
        <v>579</v>
      </c>
      <c r="D101" s="1293" t="s">
        <v>1102</v>
      </c>
      <c r="E101" s="1294" t="s">
        <v>29</v>
      </c>
      <c r="F101" s="1295" t="s">
        <v>580</v>
      </c>
      <c r="G101" s="1326" t="s">
        <v>1287</v>
      </c>
      <c r="H101" s="1296" t="s">
        <v>31</v>
      </c>
      <c r="I101" s="1295" t="s">
        <v>579</v>
      </c>
      <c r="J101" s="1293" t="s">
        <v>156</v>
      </c>
      <c r="K101" s="1294" t="s">
        <v>81</v>
      </c>
      <c r="L101" s="1295" t="s">
        <v>580</v>
      </c>
      <c r="M101" s="1293" t="s">
        <v>1102</v>
      </c>
      <c r="N101" s="1297"/>
      <c r="O101" s="1331"/>
      <c r="P101" s="1320"/>
      <c r="Q101" s="1294" t="s">
        <v>31</v>
      </c>
      <c r="R101" s="1295" t="s">
        <v>580</v>
      </c>
      <c r="S101" s="1293" t="s">
        <v>156</v>
      </c>
      <c r="T101" s="1296" t="s">
        <v>29</v>
      </c>
      <c r="U101" s="1295" t="s">
        <v>579</v>
      </c>
      <c r="V101" s="1293" t="s">
        <v>1287</v>
      </c>
      <c r="W101" s="845"/>
      <c r="X101" s="845"/>
      <c r="Y101" s="846"/>
      <c r="Z101" s="1324" t="s">
        <v>49</v>
      </c>
      <c r="AA101" s="1318" t="s">
        <v>579</v>
      </c>
      <c r="AB101" s="1327" t="s">
        <v>1305</v>
      </c>
      <c r="AC101" s="1295" t="s">
        <v>30</v>
      </c>
      <c r="AD101" s="1295" t="s">
        <v>580</v>
      </c>
      <c r="AE101" s="1326" t="s">
        <v>682</v>
      </c>
    </row>
    <row r="102" spans="1:32" ht="30" customHeight="1" x14ac:dyDescent="0.25">
      <c r="A102" s="935"/>
      <c r="B102" s="1118"/>
      <c r="C102" s="1153"/>
      <c r="D102" s="1137"/>
      <c r="E102" s="1109"/>
      <c r="F102" s="1153"/>
      <c r="G102" s="1188"/>
      <c r="H102" s="1118"/>
      <c r="I102" s="1153"/>
      <c r="J102" s="1137"/>
      <c r="K102" s="1109"/>
      <c r="L102" s="1153"/>
      <c r="M102" s="1137"/>
      <c r="N102" s="1298"/>
      <c r="O102" s="1332"/>
      <c r="P102" s="1321"/>
      <c r="Q102" s="1109"/>
      <c r="R102" s="1153"/>
      <c r="S102" s="1137"/>
      <c r="T102" s="1118"/>
      <c r="U102" s="1153"/>
      <c r="V102" s="1137"/>
      <c r="W102" s="74"/>
      <c r="X102" s="74"/>
      <c r="Y102" s="75"/>
      <c r="Z102" s="1325"/>
      <c r="AA102" s="1314"/>
      <c r="AB102" s="1328"/>
      <c r="AC102" s="1153"/>
      <c r="AD102" s="1153"/>
      <c r="AE102" s="1188"/>
    </row>
    <row r="103" spans="1:32" ht="30" customHeight="1" x14ac:dyDescent="0.3">
      <c r="A103" s="934" t="s">
        <v>187</v>
      </c>
      <c r="B103" s="1118"/>
      <c r="C103" s="1153"/>
      <c r="D103" s="1137"/>
      <c r="E103" s="1109"/>
      <c r="F103" s="1153"/>
      <c r="G103" s="1188"/>
      <c r="H103" s="1118"/>
      <c r="I103" s="1153"/>
      <c r="J103" s="1137"/>
      <c r="K103" s="1109"/>
      <c r="L103" s="1153"/>
      <c r="M103" s="1137"/>
      <c r="N103" s="1298"/>
      <c r="O103" s="1332"/>
      <c r="P103" s="1321"/>
      <c r="Q103" s="1109"/>
      <c r="R103" s="1153"/>
      <c r="S103" s="1137"/>
      <c r="T103" s="1118"/>
      <c r="U103" s="1153"/>
      <c r="V103" s="1137"/>
      <c r="W103" s="398"/>
      <c r="X103" s="84"/>
      <c r="Y103" s="85"/>
      <c r="Z103" s="1325"/>
      <c r="AA103" s="1314"/>
      <c r="AB103" s="1328"/>
      <c r="AC103" s="1153"/>
      <c r="AD103" s="1153"/>
      <c r="AE103" s="1188"/>
    </row>
    <row r="104" spans="1:32" ht="30" customHeight="1" x14ac:dyDescent="0.25">
      <c r="A104" s="935"/>
      <c r="B104" s="1119"/>
      <c r="C104" s="1154"/>
      <c r="D104" s="1138"/>
      <c r="E104" s="1184"/>
      <c r="F104" s="1154"/>
      <c r="G104" s="1189"/>
      <c r="H104" s="1119"/>
      <c r="I104" s="1154"/>
      <c r="J104" s="1138"/>
      <c r="K104" s="1184"/>
      <c r="L104" s="1154"/>
      <c r="M104" s="1138"/>
      <c r="N104" s="1298"/>
      <c r="O104" s="1332"/>
      <c r="P104" s="1321"/>
      <c r="Q104" s="1109"/>
      <c r="R104" s="1153"/>
      <c r="S104" s="1137"/>
      <c r="T104" s="1119"/>
      <c r="U104" s="1154"/>
      <c r="V104" s="1138"/>
      <c r="W104" s="813"/>
      <c r="X104" s="813"/>
      <c r="Y104" s="814"/>
      <c r="Z104" s="1325"/>
      <c r="AA104" s="1319"/>
      <c r="AB104" s="1328"/>
      <c r="AC104" s="1154"/>
      <c r="AD104" s="1154"/>
      <c r="AE104" s="1188"/>
    </row>
    <row r="105" spans="1:32" ht="30" customHeight="1" x14ac:dyDescent="0.3">
      <c r="A105" s="1143" t="s">
        <v>186</v>
      </c>
      <c r="B105" s="1081" t="s">
        <v>29</v>
      </c>
      <c r="C105" s="939"/>
      <c r="D105" s="939"/>
      <c r="E105" s="939"/>
      <c r="F105" s="939"/>
      <c r="G105" s="1082"/>
      <c r="H105" s="1081" t="s">
        <v>81</v>
      </c>
      <c r="I105" s="939"/>
      <c r="J105" s="939"/>
      <c r="K105" s="939"/>
      <c r="L105" s="939"/>
      <c r="M105" s="1082"/>
      <c r="N105" s="1069" t="s">
        <v>31</v>
      </c>
      <c r="O105" s="940"/>
      <c r="P105" s="940"/>
      <c r="Q105" s="940"/>
      <c r="R105" s="940"/>
      <c r="S105" s="1070"/>
      <c r="T105" s="1081" t="s">
        <v>30</v>
      </c>
      <c r="U105" s="939"/>
      <c r="V105" s="939"/>
      <c r="W105" s="939"/>
      <c r="X105" s="939"/>
      <c r="Y105" s="1082"/>
      <c r="Z105" s="1176" t="s">
        <v>30</v>
      </c>
      <c r="AA105" s="1182" t="s">
        <v>579</v>
      </c>
      <c r="AB105" s="1136" t="s">
        <v>682</v>
      </c>
      <c r="AC105" s="1206" t="s">
        <v>49</v>
      </c>
      <c r="AD105" s="1314" t="s">
        <v>580</v>
      </c>
      <c r="AE105" s="1299" t="s">
        <v>1305</v>
      </c>
    </row>
    <row r="106" spans="1:32" ht="30" customHeight="1" x14ac:dyDescent="0.25">
      <c r="A106" s="1143"/>
      <c r="B106" s="1067" t="s">
        <v>156</v>
      </c>
      <c r="C106" s="944"/>
      <c r="D106" s="944"/>
      <c r="E106" s="944"/>
      <c r="F106" s="944"/>
      <c r="G106" s="1068"/>
      <c r="H106" s="1067" t="s">
        <v>156</v>
      </c>
      <c r="I106" s="944"/>
      <c r="J106" s="944"/>
      <c r="K106" s="944"/>
      <c r="L106" s="944"/>
      <c r="M106" s="1068"/>
      <c r="N106" s="1067" t="s">
        <v>156</v>
      </c>
      <c r="O106" s="944"/>
      <c r="P106" s="944"/>
      <c r="Q106" s="944"/>
      <c r="R106" s="944"/>
      <c r="S106" s="1068"/>
      <c r="T106" s="1067" t="s">
        <v>156</v>
      </c>
      <c r="U106" s="944"/>
      <c r="V106" s="944"/>
      <c r="W106" s="944"/>
      <c r="X106" s="944"/>
      <c r="Y106" s="1068"/>
      <c r="Z106" s="1118"/>
      <c r="AA106" s="1153"/>
      <c r="AB106" s="1137"/>
      <c r="AC106" s="1206"/>
      <c r="AD106" s="1314"/>
      <c r="AE106" s="1300"/>
    </row>
    <row r="107" spans="1:32" ht="30" customHeight="1" x14ac:dyDescent="0.3">
      <c r="A107" s="935" t="s">
        <v>188</v>
      </c>
      <c r="B107" s="1081" t="s">
        <v>81</v>
      </c>
      <c r="C107" s="939"/>
      <c r="D107" s="939"/>
      <c r="E107" s="939"/>
      <c r="F107" s="939"/>
      <c r="G107" s="1082"/>
      <c r="H107" s="1081" t="s">
        <v>31</v>
      </c>
      <c r="I107" s="939"/>
      <c r="J107" s="939"/>
      <c r="K107" s="939"/>
      <c r="L107" s="939"/>
      <c r="M107" s="1082"/>
      <c r="N107" s="1081" t="s">
        <v>29</v>
      </c>
      <c r="O107" s="939"/>
      <c r="P107" s="939"/>
      <c r="Q107" s="939"/>
      <c r="R107" s="939"/>
      <c r="S107" s="1082"/>
      <c r="T107" s="1081" t="s">
        <v>30</v>
      </c>
      <c r="U107" s="939"/>
      <c r="V107" s="939"/>
      <c r="W107" s="939"/>
      <c r="X107" s="939"/>
      <c r="Y107" s="1082"/>
      <c r="Z107" s="1118"/>
      <c r="AA107" s="1153"/>
      <c r="AB107" s="1137"/>
      <c r="AC107" s="1206"/>
      <c r="AD107" s="1314"/>
      <c r="AE107" s="1300"/>
      <c r="AF107" s="33"/>
    </row>
    <row r="108" spans="1:32" ht="30" customHeight="1" x14ac:dyDescent="0.25">
      <c r="A108" s="1143"/>
      <c r="B108" s="1322" t="s">
        <v>156</v>
      </c>
      <c r="C108" s="1174"/>
      <c r="D108" s="1174"/>
      <c r="E108" s="1174"/>
      <c r="F108" s="1174"/>
      <c r="G108" s="1323"/>
      <c r="H108" s="1067" t="s">
        <v>156</v>
      </c>
      <c r="I108" s="944"/>
      <c r="J108" s="944"/>
      <c r="K108" s="944"/>
      <c r="L108" s="944"/>
      <c r="M108" s="1068"/>
      <c r="N108" s="1067" t="s">
        <v>156</v>
      </c>
      <c r="O108" s="944"/>
      <c r="P108" s="944"/>
      <c r="Q108" s="944"/>
      <c r="R108" s="944"/>
      <c r="S108" s="1068"/>
      <c r="T108" s="1067" t="s">
        <v>156</v>
      </c>
      <c r="U108" s="944"/>
      <c r="V108" s="944"/>
      <c r="W108" s="944"/>
      <c r="X108" s="944"/>
      <c r="Y108" s="1068"/>
      <c r="Z108" s="1118"/>
      <c r="AA108" s="1153"/>
      <c r="AB108" s="1137"/>
      <c r="AC108" s="1206"/>
      <c r="AD108" s="1314"/>
      <c r="AE108" s="1301"/>
    </row>
    <row r="109" spans="1:32" ht="30" customHeight="1" thickBot="1" x14ac:dyDescent="0.35">
      <c r="A109" s="935" t="s">
        <v>189</v>
      </c>
      <c r="B109" s="1069" t="s">
        <v>49</v>
      </c>
      <c r="C109" s="940"/>
      <c r="D109" s="940"/>
      <c r="E109" s="940"/>
      <c r="F109" s="940"/>
      <c r="G109" s="1070"/>
      <c r="H109" s="1334" t="s">
        <v>49</v>
      </c>
      <c r="I109" s="1306" t="s">
        <v>579</v>
      </c>
      <c r="J109" s="1311" t="s">
        <v>1307</v>
      </c>
      <c r="K109" s="84"/>
      <c r="L109" s="84"/>
      <c r="M109" s="85"/>
      <c r="N109" s="96"/>
      <c r="O109" s="84"/>
      <c r="P109" s="84"/>
      <c r="Q109" s="1333" t="s">
        <v>49</v>
      </c>
      <c r="R109" s="1306" t="s">
        <v>580</v>
      </c>
      <c r="S109" s="1309" t="s">
        <v>1305</v>
      </c>
      <c r="T109" s="1204"/>
      <c r="U109" s="932"/>
      <c r="V109" s="932"/>
      <c r="W109" s="932"/>
      <c r="X109" s="932"/>
      <c r="Y109" s="1205"/>
      <c r="Z109" s="1000"/>
      <c r="AA109" s="967"/>
      <c r="AB109" s="967"/>
      <c r="AC109" s="967"/>
      <c r="AD109" s="967"/>
      <c r="AE109" s="1139"/>
      <c r="AF109" s="34"/>
    </row>
    <row r="110" spans="1:32" ht="30" customHeight="1" x14ac:dyDescent="0.25">
      <c r="A110" s="1143"/>
      <c r="B110" s="1067" t="s">
        <v>156</v>
      </c>
      <c r="C110" s="944"/>
      <c r="D110" s="944"/>
      <c r="E110" s="944"/>
      <c r="F110" s="944"/>
      <c r="G110" s="1068"/>
      <c r="H110" s="1334"/>
      <c r="I110" s="1307"/>
      <c r="J110" s="1312"/>
      <c r="K110" s="813"/>
      <c r="L110" s="813"/>
      <c r="M110" s="814"/>
      <c r="N110" s="866"/>
      <c r="O110" s="813"/>
      <c r="P110" s="813"/>
      <c r="Q110" s="1333"/>
      <c r="R110" s="1307"/>
      <c r="S110" s="1310"/>
      <c r="T110" s="1258"/>
      <c r="U110" s="1259"/>
      <c r="V110" s="1259"/>
      <c r="W110" s="1259"/>
      <c r="X110" s="1259"/>
      <c r="Y110" s="1260"/>
      <c r="Z110" s="1258"/>
      <c r="AA110" s="1259"/>
      <c r="AB110" s="1259"/>
      <c r="AC110" s="1259"/>
      <c r="AD110" s="1259"/>
      <c r="AE110" s="1260"/>
    </row>
    <row r="111" spans="1:32" ht="30" customHeight="1" x14ac:dyDescent="0.3">
      <c r="A111" s="998" t="s">
        <v>190</v>
      </c>
      <c r="B111" s="1081" t="s">
        <v>49</v>
      </c>
      <c r="C111" s="939"/>
      <c r="D111" s="939"/>
      <c r="E111" s="939"/>
      <c r="F111" s="939"/>
      <c r="G111" s="1082"/>
      <c r="H111" s="1334"/>
      <c r="I111" s="1307"/>
      <c r="J111" s="1312"/>
      <c r="K111" s="84"/>
      <c r="L111" s="84"/>
      <c r="M111" s="85"/>
      <c r="N111" s="96"/>
      <c r="O111" s="84"/>
      <c r="P111" s="84"/>
      <c r="Q111" s="1333"/>
      <c r="R111" s="1307"/>
      <c r="S111" s="1310"/>
      <c r="T111" s="1204"/>
      <c r="U111" s="932"/>
      <c r="V111" s="932"/>
      <c r="W111" s="932"/>
      <c r="X111" s="932"/>
      <c r="Y111" s="1205"/>
      <c r="Z111" s="1204"/>
      <c r="AA111" s="932"/>
      <c r="AB111" s="932"/>
      <c r="AC111" s="932"/>
      <c r="AD111" s="932"/>
      <c r="AE111" s="1205"/>
    </row>
    <row r="112" spans="1:32" ht="30" customHeight="1" thickBot="1" x14ac:dyDescent="0.3">
      <c r="A112" s="997"/>
      <c r="B112" s="1303" t="s">
        <v>156</v>
      </c>
      <c r="C112" s="1304"/>
      <c r="D112" s="1304"/>
      <c r="E112" s="1304"/>
      <c r="F112" s="1304"/>
      <c r="G112" s="1305"/>
      <c r="H112" s="1334"/>
      <c r="I112" s="1308"/>
      <c r="J112" s="1313"/>
      <c r="K112" s="38"/>
      <c r="L112" s="38"/>
      <c r="M112" s="39"/>
      <c r="N112" s="867"/>
      <c r="O112" s="38"/>
      <c r="P112" s="38"/>
      <c r="Q112" s="1333"/>
      <c r="R112" s="1308"/>
      <c r="S112" s="1310"/>
      <c r="T112" s="1263"/>
      <c r="U112" s="1264"/>
      <c r="V112" s="1264"/>
      <c r="W112" s="1264"/>
      <c r="X112" s="1264"/>
      <c r="Y112" s="1265"/>
      <c r="Z112" s="1263"/>
      <c r="AA112" s="1264"/>
      <c r="AB112" s="1264"/>
      <c r="AC112" s="1264"/>
      <c r="AD112" s="1264"/>
      <c r="AE112" s="1265"/>
    </row>
    <row r="113" spans="1:31" ht="41.25" customHeight="1" thickBot="1" x14ac:dyDescent="0.3">
      <c r="A113" s="231"/>
      <c r="D113" s="35"/>
      <c r="F113" s="35"/>
      <c r="H113" s="231"/>
      <c r="Q113" s="231"/>
      <c r="S113" s="231"/>
    </row>
    <row r="114" spans="1:31" ht="18.75" customHeight="1" x14ac:dyDescent="0.25">
      <c r="A114" s="1190" t="s">
        <v>218</v>
      </c>
      <c r="B114" s="1147"/>
      <c r="C114" s="1146" t="s">
        <v>219</v>
      </c>
      <c r="D114" s="1146"/>
      <c r="E114" s="1146"/>
      <c r="F114" s="1146"/>
      <c r="G114" s="1146"/>
      <c r="H114" s="1146"/>
      <c r="I114" s="1146"/>
      <c r="J114" s="1146"/>
      <c r="K114" s="1146"/>
      <c r="L114" s="58"/>
      <c r="M114" s="1144" t="s">
        <v>313</v>
      </c>
      <c r="N114" s="1145"/>
      <c r="O114" s="1146" t="s">
        <v>143</v>
      </c>
      <c r="P114" s="1147"/>
      <c r="Q114" s="1146" t="s">
        <v>167</v>
      </c>
      <c r="R114" s="1146"/>
      <c r="S114" s="1146"/>
      <c r="T114" s="1146"/>
      <c r="U114" s="1146"/>
      <c r="V114" s="1146"/>
      <c r="W114" s="1146"/>
      <c r="X114" s="1146"/>
      <c r="Y114" s="1146"/>
      <c r="Z114" s="1146"/>
      <c r="AA114" s="1146"/>
      <c r="AB114" s="1146"/>
      <c r="AC114" s="1146"/>
      <c r="AD114" s="1146"/>
      <c r="AE114" s="1147"/>
    </row>
    <row r="115" spans="1:31" ht="13.8" x14ac:dyDescent="0.25">
      <c r="A115" s="1065" t="str">
        <f>VLOOKUP(M115,ASIGNATURAS!$F$1:$L$1022, 3, FALSE)</f>
        <v>FLUIDOMECÁNICA</v>
      </c>
      <c r="B115" s="1066"/>
      <c r="C115" s="982" t="str">
        <f>VLOOKUP(M115,ASIGNATURAS!$F$1:$L$1022, 4, FALSE)</f>
        <v>Ingeniería Fluidomecánica</v>
      </c>
      <c r="D115" s="983"/>
      <c r="E115" s="983"/>
      <c r="F115" s="983"/>
      <c r="G115" s="983"/>
      <c r="H115" s="983"/>
      <c r="I115" s="983"/>
      <c r="J115" s="983"/>
      <c r="K115" s="983"/>
      <c r="L115" s="1018"/>
      <c r="M115" s="981">
        <v>6407</v>
      </c>
      <c r="N115" s="1071"/>
      <c r="O115" s="981">
        <f>VLOOKUP(M115,ASIGNATURAS!$F$1:$L$1022, 5, FALSE)</f>
        <v>6</v>
      </c>
      <c r="P115" s="1071"/>
      <c r="Q115" s="982" t="str">
        <f>VLOOKUP(M115,ASIGNATURAS!$F$1:$L$1022, 6, FALSE)</f>
        <v>Jesús Marcos García</v>
      </c>
      <c r="R115" s="983"/>
      <c r="S115" s="983"/>
      <c r="T115" s="983"/>
      <c r="U115" s="983"/>
      <c r="V115" s="983"/>
      <c r="W115" s="983"/>
      <c r="X115" s="983"/>
      <c r="Y115" s="983"/>
      <c r="Z115" s="983"/>
      <c r="AA115" s="983"/>
      <c r="AB115" s="983"/>
      <c r="AC115" s="983"/>
      <c r="AD115" s="983"/>
      <c r="AE115" s="1018"/>
    </row>
    <row r="116" spans="1:31" ht="13.8" x14ac:dyDescent="0.25">
      <c r="A116" s="1065" t="str">
        <f>VLOOKUP(M116,ASIGNATURAS!$F$1:$L$1022, 3, FALSE)</f>
        <v>ELECTRÓNICA</v>
      </c>
      <c r="B116" s="1066"/>
      <c r="C116" s="982" t="str">
        <f>VLOOKUP(M116,ASIGNATURAS!$F$1:$L$1022, 4, FALSE)</f>
        <v>Fundamentos de Electrónica</v>
      </c>
      <c r="D116" s="983"/>
      <c r="E116" s="983"/>
      <c r="F116" s="983"/>
      <c r="G116" s="983"/>
      <c r="H116" s="983"/>
      <c r="I116" s="983"/>
      <c r="J116" s="983"/>
      <c r="K116" s="983"/>
      <c r="L116" s="1018"/>
      <c r="M116" s="981">
        <v>6408</v>
      </c>
      <c r="N116" s="1071"/>
      <c r="O116" s="981">
        <f>VLOOKUP(M116,ASIGNATURAS!$F$1:$L$1022, 5, FALSE)</f>
        <v>6</v>
      </c>
      <c r="P116" s="1071"/>
      <c r="Q116" s="982" t="str">
        <f>VLOOKUP(M116,ASIGNATURAS!$F$1:$L$1022, 6, FALSE)</f>
        <v>Jesús H. Lucio, Guzmán Moreno</v>
      </c>
      <c r="R116" s="983"/>
      <c r="S116" s="983"/>
      <c r="T116" s="983"/>
      <c r="U116" s="983"/>
      <c r="V116" s="983"/>
      <c r="W116" s="983"/>
      <c r="X116" s="983"/>
      <c r="Y116" s="983"/>
      <c r="Z116" s="983"/>
      <c r="AA116" s="983"/>
      <c r="AB116" s="983"/>
      <c r="AC116" s="983"/>
      <c r="AD116" s="983"/>
      <c r="AE116" s="1018"/>
    </row>
    <row r="117" spans="1:31" ht="13.8" x14ac:dyDescent="0.25">
      <c r="A117" s="1065" t="str">
        <f>VLOOKUP(M117,ASIGNATURAS!$F$1:$L$1022, 3, FALSE)</f>
        <v>MECANISMOS</v>
      </c>
      <c r="B117" s="1066"/>
      <c r="C117" s="982" t="str">
        <f>VLOOKUP(M117,ASIGNATURAS!$F$1:$L$1022, 4, FALSE)</f>
        <v>Mecanismos</v>
      </c>
      <c r="D117" s="983"/>
      <c r="E117" s="983"/>
      <c r="F117" s="983"/>
      <c r="G117" s="983"/>
      <c r="H117" s="983"/>
      <c r="I117" s="983"/>
      <c r="J117" s="983"/>
      <c r="K117" s="983"/>
      <c r="L117" s="1018"/>
      <c r="M117" s="981">
        <v>6409</v>
      </c>
      <c r="N117" s="1071"/>
      <c r="O117" s="981">
        <f>VLOOKUP(M117,ASIGNATURAS!$F$1:$L$1022, 5, FALSE)</f>
        <v>6</v>
      </c>
      <c r="P117" s="1071"/>
      <c r="Q117" s="982" t="str">
        <f>VLOOKUP(M117,ASIGNATURAS!$F$1:$L$1022, 6, FALSE)</f>
        <v>Francisco Javier Gómez Gil</v>
      </c>
      <c r="R117" s="983"/>
      <c r="S117" s="983"/>
      <c r="T117" s="983"/>
      <c r="U117" s="983"/>
      <c r="V117" s="983"/>
      <c r="W117" s="983"/>
      <c r="X117" s="983"/>
      <c r="Y117" s="983"/>
      <c r="Z117" s="983"/>
      <c r="AA117" s="983"/>
      <c r="AB117" s="983"/>
      <c r="AC117" s="983"/>
      <c r="AD117" s="983"/>
      <c r="AE117" s="1018"/>
    </row>
    <row r="118" spans="1:31" ht="13.8" x14ac:dyDescent="0.25">
      <c r="A118" s="1065" t="str">
        <f>VLOOKUP(M118,ASIGNATURAS!$F$1:$L$1022, 3, FALSE)</f>
        <v>AUTOMATISMOS</v>
      </c>
      <c r="B118" s="1066"/>
      <c r="C118" s="982" t="str">
        <f>VLOOKUP(M118,ASIGNATURAS!$F$1:$L$1022, 4, FALSE)</f>
        <v>Automatismos y Control Industrial</v>
      </c>
      <c r="D118" s="983"/>
      <c r="E118" s="983"/>
      <c r="F118" s="983"/>
      <c r="G118" s="983"/>
      <c r="H118" s="983"/>
      <c r="I118" s="983"/>
      <c r="J118" s="983"/>
      <c r="K118" s="983"/>
      <c r="L118" s="1018"/>
      <c r="M118" s="981">
        <v>6410</v>
      </c>
      <c r="N118" s="1071"/>
      <c r="O118" s="981">
        <f>VLOOKUP(M118,ASIGNATURAS!$F$1:$L$1022, 5, FALSE)</f>
        <v>6</v>
      </c>
      <c r="P118" s="1071"/>
      <c r="Q118" s="982" t="str">
        <f>VLOOKUP(M118,ASIGNATURAS!$F$1:$L$1022, 6, FALSE)</f>
        <v>José María Vela Castresana</v>
      </c>
      <c r="R118" s="983"/>
      <c r="S118" s="983"/>
      <c r="T118" s="983"/>
      <c r="U118" s="983"/>
      <c r="V118" s="983"/>
      <c r="W118" s="983"/>
      <c r="X118" s="983"/>
      <c r="Y118" s="983"/>
      <c r="Z118" s="983"/>
      <c r="AA118" s="983"/>
      <c r="AB118" s="983"/>
      <c r="AC118" s="983"/>
      <c r="AD118" s="983"/>
      <c r="AE118" s="1018"/>
    </row>
    <row r="119" spans="1:31" ht="14.4" thickBot="1" x14ac:dyDescent="0.3">
      <c r="A119" s="1097" t="str">
        <f>VLOOKUP(M119,ASIGNATURAS!$F$1:$L$1022, 3, FALSE)</f>
        <v>CIRCUITOS</v>
      </c>
      <c r="B119" s="1098"/>
      <c r="C119" s="1088" t="str">
        <f>VLOOKUP(M119,ASIGNATURAS!$F$1:$L$1022, 4, FALSE)</f>
        <v>Teoría de Circuitos</v>
      </c>
      <c r="D119" s="1089"/>
      <c r="E119" s="1089"/>
      <c r="F119" s="1089"/>
      <c r="G119" s="1089"/>
      <c r="H119" s="1089"/>
      <c r="I119" s="1089"/>
      <c r="J119" s="1089"/>
      <c r="K119" s="1089"/>
      <c r="L119" s="1090"/>
      <c r="M119" s="1099">
        <v>6411</v>
      </c>
      <c r="N119" s="1100"/>
      <c r="O119" s="1099">
        <f>VLOOKUP(M119,ASIGNATURAS!$F$1:$L$1022, 5, FALSE)</f>
        <v>6</v>
      </c>
      <c r="P119" s="1100"/>
      <c r="Q119" s="1088" t="str">
        <f>VLOOKUP(M119,ASIGNATURAS!$F$1:$L$1022, 6, FALSE)</f>
        <v>Victoria Abad, Jesús Sagredo</v>
      </c>
      <c r="R119" s="1089"/>
      <c r="S119" s="1089"/>
      <c r="T119" s="1089"/>
      <c r="U119" s="1089"/>
      <c r="V119" s="1089"/>
      <c r="W119" s="1089"/>
      <c r="X119" s="1089"/>
      <c r="Y119" s="1089"/>
      <c r="Z119" s="1089"/>
      <c r="AA119" s="1089"/>
      <c r="AB119" s="1089"/>
      <c r="AC119" s="1089"/>
      <c r="AD119" s="1089"/>
      <c r="AE119" s="1090"/>
    </row>
    <row r="120" spans="1:31" x14ac:dyDescent="0.25">
      <c r="A120" s="10"/>
      <c r="B120" s="10"/>
      <c r="C120" s="10"/>
      <c r="D120" s="10"/>
      <c r="E120" s="10"/>
    </row>
    <row r="121" spans="1:31" x14ac:dyDescent="0.25">
      <c r="A121" s="10"/>
      <c r="B121" s="10"/>
      <c r="C121" s="10"/>
      <c r="D121" s="10"/>
      <c r="E121" s="10"/>
    </row>
    <row r="122" spans="1:31" ht="24" customHeight="1" x14ac:dyDescent="0.25">
      <c r="A122" s="1101" t="s">
        <v>1044</v>
      </c>
      <c r="B122" s="1101"/>
      <c r="C122" s="1101"/>
      <c r="D122" s="1101"/>
      <c r="E122" s="1101"/>
    </row>
    <row r="123" spans="1:31" ht="24" customHeight="1" x14ac:dyDescent="0.25">
      <c r="A123" s="1102" t="s">
        <v>1046</v>
      </c>
      <c r="B123" s="1102"/>
      <c r="C123" s="1102"/>
      <c r="D123" s="1102"/>
      <c r="E123" s="1102"/>
    </row>
    <row r="125" spans="1:31" x14ac:dyDescent="0.25">
      <c r="A125" s="25" t="s">
        <v>217</v>
      </c>
    </row>
    <row r="126" spans="1:31" ht="13.8" thickBot="1" x14ac:dyDescent="0.3"/>
    <row r="127" spans="1:31" s="1" customFormat="1" ht="31.5" customHeight="1" thickBot="1" x14ac:dyDescent="0.45">
      <c r="A127" s="1094" t="str">
        <f>VLOOKUP(A130,ASIGNATURAS!$A$2:$D$151, 3, FALSE)</f>
        <v>3º Grado en Ingeniería Electrónica Industrial y Automática</v>
      </c>
      <c r="B127" s="1095"/>
      <c r="C127" s="1095"/>
      <c r="D127" s="1095"/>
      <c r="E127" s="1095"/>
      <c r="F127" s="1095"/>
      <c r="G127" s="1095"/>
      <c r="H127" s="1095"/>
      <c r="I127" s="1095"/>
      <c r="J127" s="1095"/>
      <c r="K127" s="1095"/>
      <c r="L127" s="1095"/>
      <c r="M127" s="1095"/>
      <c r="N127" s="1095"/>
      <c r="O127" s="1095"/>
      <c r="P127" s="1095"/>
      <c r="Q127" s="1095"/>
      <c r="R127" s="1095"/>
      <c r="S127" s="1095"/>
      <c r="T127" s="1095"/>
      <c r="U127" s="1095"/>
      <c r="V127" s="1095"/>
      <c r="W127" s="1095"/>
      <c r="X127" s="1095"/>
      <c r="Y127" s="1096"/>
      <c r="Z127" s="1076" t="str">
        <f>Z96</f>
        <v>Curso 2024-2025</v>
      </c>
      <c r="AA127" s="1077"/>
      <c r="AB127" s="1077"/>
      <c r="AC127" s="1077"/>
      <c r="AD127" s="1077"/>
      <c r="AE127" s="1078"/>
    </row>
    <row r="128" spans="1:31" s="8" customFormat="1" ht="23.25" customHeight="1" thickBot="1" x14ac:dyDescent="0.45">
      <c r="A128" s="1083" t="str">
        <f>VLOOKUP(A130,ASIGNATURAS!$A$2:$D$151, 2, FALSE)</f>
        <v>Semestre temporal: 1º        (5º Semestre Académico)</v>
      </c>
      <c r="B128" s="1084"/>
      <c r="C128" s="1084"/>
      <c r="D128" s="1084"/>
      <c r="E128" s="1084"/>
      <c r="F128" s="1084"/>
      <c r="G128" s="1084"/>
      <c r="H128" s="1084"/>
      <c r="I128" s="1084"/>
      <c r="J128" s="1084"/>
      <c r="K128" s="1084"/>
      <c r="L128" s="1084"/>
      <c r="M128" s="1084"/>
      <c r="N128" s="1084"/>
      <c r="O128" s="1084"/>
      <c r="P128" s="1084"/>
      <c r="Q128" s="1084"/>
      <c r="R128" s="1084"/>
      <c r="S128" s="1084"/>
      <c r="T128" s="1084"/>
      <c r="U128" s="1084"/>
      <c r="V128" s="1084"/>
      <c r="W128" s="1084"/>
      <c r="X128" s="1084"/>
      <c r="Y128" s="1085"/>
      <c r="Z128" s="1072" t="s">
        <v>162</v>
      </c>
      <c r="AA128" s="1072"/>
      <c r="AB128" s="1072"/>
      <c r="AC128" s="1072"/>
      <c r="AD128" s="1072"/>
      <c r="AE128" s="1073"/>
    </row>
    <row r="129" spans="1:32" s="8" customFormat="1" ht="23.25" customHeight="1" thickBot="1" x14ac:dyDescent="0.45">
      <c r="A129" s="1083" t="s">
        <v>142</v>
      </c>
      <c r="B129" s="1084"/>
      <c r="C129" s="1084"/>
      <c r="D129" s="1084"/>
      <c r="E129" s="1084"/>
      <c r="F129" s="1084"/>
      <c r="G129" s="1084"/>
      <c r="H129" s="1084"/>
      <c r="I129" s="1084"/>
      <c r="J129" s="1084"/>
      <c r="K129" s="1084"/>
      <c r="L129" s="1084"/>
      <c r="M129" s="1084"/>
      <c r="N129" s="1084"/>
      <c r="O129" s="1084"/>
      <c r="P129" s="1084"/>
      <c r="Q129" s="1084"/>
      <c r="R129" s="1084"/>
      <c r="S129" s="1084"/>
      <c r="T129" s="1084"/>
      <c r="U129" s="1084"/>
      <c r="V129" s="1084"/>
      <c r="W129" s="1084"/>
      <c r="X129" s="1084"/>
      <c r="Y129" s="1085"/>
      <c r="Z129" s="1074"/>
      <c r="AA129" s="1074"/>
      <c r="AB129" s="1074"/>
      <c r="AC129" s="1074"/>
      <c r="AD129" s="1074"/>
      <c r="AE129" s="1075"/>
    </row>
    <row r="130" spans="1:32" ht="38.25" customHeight="1" thickBot="1" x14ac:dyDescent="0.3">
      <c r="A130" s="9" t="s">
        <v>55</v>
      </c>
    </row>
    <row r="131" spans="1:32" s="2" customFormat="1" ht="24" customHeight="1" thickBot="1" x14ac:dyDescent="0.3">
      <c r="A131" s="19" t="s">
        <v>1</v>
      </c>
      <c r="B131" s="1076" t="s">
        <v>2</v>
      </c>
      <c r="C131" s="1077"/>
      <c r="D131" s="1077"/>
      <c r="E131" s="1077"/>
      <c r="F131" s="1077"/>
      <c r="G131" s="1078"/>
      <c r="H131" s="1076" t="s">
        <v>3</v>
      </c>
      <c r="I131" s="1077"/>
      <c r="J131" s="1077"/>
      <c r="K131" s="1077"/>
      <c r="L131" s="1077"/>
      <c r="M131" s="1078"/>
      <c r="N131" s="1076" t="s">
        <v>139</v>
      </c>
      <c r="O131" s="1077"/>
      <c r="P131" s="1077"/>
      <c r="Q131" s="1077"/>
      <c r="R131" s="1077"/>
      <c r="S131" s="1078"/>
      <c r="T131" s="1076" t="s">
        <v>4</v>
      </c>
      <c r="U131" s="1077"/>
      <c r="V131" s="1077"/>
      <c r="W131" s="1077"/>
      <c r="X131" s="1077"/>
      <c r="Y131" s="1078"/>
      <c r="Z131" s="1076" t="s">
        <v>5</v>
      </c>
      <c r="AA131" s="1077"/>
      <c r="AB131" s="1077"/>
      <c r="AC131" s="1077"/>
      <c r="AD131" s="1077"/>
      <c r="AE131" s="1078"/>
    </row>
    <row r="132" spans="1:32" ht="30" customHeight="1" x14ac:dyDescent="0.3">
      <c r="A132" s="1086" t="s">
        <v>10</v>
      </c>
      <c r="B132" s="1079" t="s">
        <v>90</v>
      </c>
      <c r="C132" s="1039"/>
      <c r="D132" s="1039"/>
      <c r="E132" s="1039"/>
      <c r="F132" s="1039"/>
      <c r="G132" s="1080"/>
      <c r="H132" s="1079" t="s">
        <v>91</v>
      </c>
      <c r="I132" s="1039"/>
      <c r="J132" s="1039"/>
      <c r="K132" s="1039"/>
      <c r="L132" s="1039"/>
      <c r="M132" s="1080"/>
      <c r="N132" s="1079" t="s">
        <v>92</v>
      </c>
      <c r="O132" s="1039"/>
      <c r="P132" s="1039"/>
      <c r="Q132" s="1039"/>
      <c r="R132" s="1039"/>
      <c r="S132" s="1080"/>
      <c r="T132" s="1079" t="s">
        <v>259</v>
      </c>
      <c r="U132" s="1039"/>
      <c r="V132" s="1039"/>
      <c r="W132" s="1039"/>
      <c r="X132" s="1039"/>
      <c r="Y132" s="1080"/>
      <c r="Z132" s="1079" t="s">
        <v>82</v>
      </c>
      <c r="AA132" s="1039"/>
      <c r="AB132" s="1039"/>
      <c r="AC132" s="1039"/>
      <c r="AD132" s="1039"/>
      <c r="AE132" s="1080"/>
    </row>
    <row r="133" spans="1:32" ht="30" customHeight="1" x14ac:dyDescent="0.25">
      <c r="A133" s="1087"/>
      <c r="B133" s="1067" t="s">
        <v>162</v>
      </c>
      <c r="C133" s="944"/>
      <c r="D133" s="944"/>
      <c r="E133" s="944"/>
      <c r="F133" s="944"/>
      <c r="G133" s="1068"/>
      <c r="H133" s="1067" t="s">
        <v>162</v>
      </c>
      <c r="I133" s="944"/>
      <c r="J133" s="944"/>
      <c r="K133" s="944"/>
      <c r="L133" s="944"/>
      <c r="M133" s="1068"/>
      <c r="N133" s="1067" t="s">
        <v>162</v>
      </c>
      <c r="O133" s="944"/>
      <c r="P133" s="944"/>
      <c r="Q133" s="944"/>
      <c r="R133" s="944"/>
      <c r="S133" s="1068"/>
      <c r="T133" s="1067" t="s">
        <v>162</v>
      </c>
      <c r="U133" s="944"/>
      <c r="V133" s="944"/>
      <c r="W133" s="944"/>
      <c r="X133" s="944"/>
      <c r="Y133" s="1068"/>
      <c r="Z133" s="1067" t="s">
        <v>162</v>
      </c>
      <c r="AA133" s="944"/>
      <c r="AB133" s="944"/>
      <c r="AC133" s="944"/>
      <c r="AD133" s="944"/>
      <c r="AE133" s="1068"/>
    </row>
    <row r="134" spans="1:32" ht="30" customHeight="1" x14ac:dyDescent="0.3">
      <c r="A134" s="1087" t="s">
        <v>11</v>
      </c>
      <c r="B134" s="1069" t="s">
        <v>90</v>
      </c>
      <c r="C134" s="940"/>
      <c r="D134" s="940"/>
      <c r="E134" s="940"/>
      <c r="F134" s="940"/>
      <c r="G134" s="1070"/>
      <c r="H134" s="1069" t="s">
        <v>91</v>
      </c>
      <c r="I134" s="940"/>
      <c r="J134" s="940"/>
      <c r="K134" s="940"/>
      <c r="L134" s="940"/>
      <c r="M134" s="1070"/>
      <c r="N134" s="1069" t="s">
        <v>92</v>
      </c>
      <c r="O134" s="940"/>
      <c r="P134" s="940"/>
      <c r="Q134" s="940"/>
      <c r="R134" s="940"/>
      <c r="S134" s="1070"/>
      <c r="T134" s="1069" t="s">
        <v>259</v>
      </c>
      <c r="U134" s="940"/>
      <c r="V134" s="940"/>
      <c r="W134" s="940"/>
      <c r="X134" s="940"/>
      <c r="Y134" s="1070"/>
      <c r="Z134" s="1069" t="s">
        <v>82</v>
      </c>
      <c r="AA134" s="940"/>
      <c r="AB134" s="940"/>
      <c r="AC134" s="940"/>
      <c r="AD134" s="940"/>
      <c r="AE134" s="1070"/>
    </row>
    <row r="135" spans="1:32" ht="30" customHeight="1" x14ac:dyDescent="0.25">
      <c r="A135" s="1087"/>
      <c r="B135" s="1067" t="s">
        <v>162</v>
      </c>
      <c r="C135" s="944"/>
      <c r="D135" s="944"/>
      <c r="E135" s="944"/>
      <c r="F135" s="944"/>
      <c r="G135" s="1068"/>
      <c r="H135" s="1067" t="s">
        <v>162</v>
      </c>
      <c r="I135" s="944"/>
      <c r="J135" s="944"/>
      <c r="K135" s="944"/>
      <c r="L135" s="944"/>
      <c r="M135" s="1068"/>
      <c r="N135" s="1067" t="s">
        <v>162</v>
      </c>
      <c r="O135" s="944"/>
      <c r="P135" s="944"/>
      <c r="Q135" s="944"/>
      <c r="R135" s="944"/>
      <c r="S135" s="1068"/>
      <c r="T135" s="1067" t="s">
        <v>162</v>
      </c>
      <c r="U135" s="944"/>
      <c r="V135" s="944"/>
      <c r="W135" s="944"/>
      <c r="X135" s="944"/>
      <c r="Y135" s="1068"/>
      <c r="Z135" s="1067" t="s">
        <v>162</v>
      </c>
      <c r="AA135" s="944"/>
      <c r="AB135" s="944"/>
      <c r="AC135" s="944"/>
      <c r="AD135" s="944"/>
      <c r="AE135" s="1068"/>
      <c r="AF135" s="33"/>
    </row>
    <row r="136" spans="1:32" ht="30" customHeight="1" x14ac:dyDescent="0.25">
      <c r="A136" s="1087" t="s">
        <v>6</v>
      </c>
      <c r="B136" s="1287" t="s">
        <v>82</v>
      </c>
      <c r="C136" s="1182" t="s">
        <v>579</v>
      </c>
      <c r="D136" s="1216" t="s">
        <v>645</v>
      </c>
      <c r="E136" s="1198"/>
      <c r="F136" s="1336"/>
      <c r="G136" s="1339"/>
      <c r="H136" s="1288" t="s">
        <v>90</v>
      </c>
      <c r="I136" s="1153" t="s">
        <v>579</v>
      </c>
      <c r="J136" s="1342" t="s">
        <v>1355</v>
      </c>
      <c r="K136" s="1198"/>
      <c r="L136" s="1336"/>
      <c r="M136" s="1339"/>
      <c r="N136" s="1287" t="s">
        <v>91</v>
      </c>
      <c r="O136" s="1182" t="s">
        <v>579</v>
      </c>
      <c r="P136" s="1216" t="s">
        <v>682</v>
      </c>
      <c r="Q136" s="1201"/>
      <c r="R136" s="1197"/>
      <c r="S136" s="1251"/>
      <c r="T136" s="1352"/>
      <c r="U136" s="1197"/>
      <c r="V136" s="1256"/>
      <c r="W136" s="1198"/>
      <c r="X136" s="1336"/>
      <c r="Y136" s="1339"/>
      <c r="Z136" s="1287" t="s">
        <v>92</v>
      </c>
      <c r="AA136" s="1182" t="s">
        <v>579</v>
      </c>
      <c r="AB136" s="1216" t="s">
        <v>682</v>
      </c>
      <c r="AC136" s="1358"/>
      <c r="AD136" s="1197"/>
      <c r="AE136" s="1251"/>
    </row>
    <row r="137" spans="1:32" ht="30" customHeight="1" x14ac:dyDescent="0.25">
      <c r="A137" s="1087"/>
      <c r="B137" s="1288"/>
      <c r="C137" s="1153"/>
      <c r="D137" s="1217"/>
      <c r="E137" s="1199"/>
      <c r="F137" s="1337"/>
      <c r="G137" s="1340"/>
      <c r="H137" s="1288"/>
      <c r="I137" s="1153"/>
      <c r="J137" s="1342"/>
      <c r="K137" s="1199"/>
      <c r="L137" s="1337"/>
      <c r="M137" s="1340"/>
      <c r="N137" s="1288"/>
      <c r="O137" s="1153"/>
      <c r="P137" s="1217"/>
      <c r="Q137" s="1202"/>
      <c r="R137" s="1126"/>
      <c r="S137" s="1252"/>
      <c r="T137" s="1346"/>
      <c r="U137" s="1126"/>
      <c r="V137" s="1243"/>
      <c r="W137" s="1199"/>
      <c r="X137" s="1337"/>
      <c r="Y137" s="1340"/>
      <c r="Z137" s="1288"/>
      <c r="AA137" s="1153"/>
      <c r="AB137" s="1217"/>
      <c r="AC137" s="1348"/>
      <c r="AD137" s="1126"/>
      <c r="AE137" s="1252"/>
    </row>
    <row r="138" spans="1:32" ht="30" customHeight="1" x14ac:dyDescent="0.25">
      <c r="A138" s="1087" t="s">
        <v>7</v>
      </c>
      <c r="B138" s="1288"/>
      <c r="C138" s="1153"/>
      <c r="D138" s="1217"/>
      <c r="E138" s="1199"/>
      <c r="F138" s="1337"/>
      <c r="G138" s="1340"/>
      <c r="H138" s="1288"/>
      <c r="I138" s="1153"/>
      <c r="J138" s="1342"/>
      <c r="K138" s="1199"/>
      <c r="L138" s="1337"/>
      <c r="M138" s="1340"/>
      <c r="N138" s="1288"/>
      <c r="O138" s="1153"/>
      <c r="P138" s="1217"/>
      <c r="Q138" s="1202"/>
      <c r="R138" s="1126"/>
      <c r="S138" s="1252"/>
      <c r="T138" s="1346"/>
      <c r="U138" s="1126"/>
      <c r="V138" s="1243"/>
      <c r="W138" s="1199"/>
      <c r="X138" s="1337"/>
      <c r="Y138" s="1340"/>
      <c r="Z138" s="1288"/>
      <c r="AA138" s="1153"/>
      <c r="AB138" s="1217"/>
      <c r="AC138" s="1348"/>
      <c r="AD138" s="1126"/>
      <c r="AE138" s="1252"/>
    </row>
    <row r="139" spans="1:32" ht="30" customHeight="1" x14ac:dyDescent="0.25">
      <c r="A139" s="1087"/>
      <c r="B139" s="1335"/>
      <c r="C139" s="1154"/>
      <c r="D139" s="1218"/>
      <c r="E139" s="1200"/>
      <c r="F139" s="1338"/>
      <c r="G139" s="1341"/>
      <c r="H139" s="1288"/>
      <c r="I139" s="1153"/>
      <c r="J139" s="1343"/>
      <c r="K139" s="1200"/>
      <c r="L139" s="1338"/>
      <c r="M139" s="1341"/>
      <c r="N139" s="1335"/>
      <c r="O139" s="1154"/>
      <c r="P139" s="1218"/>
      <c r="Q139" s="1203"/>
      <c r="R139" s="1142"/>
      <c r="S139" s="1253"/>
      <c r="T139" s="1390"/>
      <c r="U139" s="1142"/>
      <c r="V139" s="1244"/>
      <c r="W139" s="1200"/>
      <c r="X139" s="1338"/>
      <c r="Y139" s="1341"/>
      <c r="Z139" s="1335"/>
      <c r="AA139" s="1154"/>
      <c r="AB139" s="1218"/>
      <c r="AC139" s="1362"/>
      <c r="AD139" s="1142"/>
      <c r="AE139" s="1253"/>
    </row>
    <row r="140" spans="1:32" ht="30" customHeight="1" x14ac:dyDescent="0.25">
      <c r="A140" s="1087" t="s">
        <v>8</v>
      </c>
      <c r="B140" s="1287" t="s">
        <v>259</v>
      </c>
      <c r="C140" s="1182" t="s">
        <v>579</v>
      </c>
      <c r="D140" s="1353" t="s">
        <v>682</v>
      </c>
      <c r="E140" s="1198"/>
      <c r="F140" s="1336"/>
      <c r="G140" s="1339"/>
      <c r="H140" s="1352"/>
      <c r="I140" s="1197"/>
      <c r="J140" s="1350"/>
      <c r="K140" s="1358"/>
      <c r="L140" s="1126"/>
      <c r="M140" s="1251"/>
      <c r="N140" s="1346"/>
      <c r="O140" s="1126"/>
      <c r="P140" s="1243"/>
      <c r="Q140" s="1348"/>
      <c r="R140" s="1126"/>
      <c r="S140" s="1252"/>
      <c r="T140" s="1346"/>
      <c r="U140" s="1126"/>
      <c r="V140" s="1243"/>
      <c r="W140" s="1348"/>
      <c r="X140" s="1126"/>
      <c r="Y140" s="1252"/>
      <c r="Z140" s="1346"/>
      <c r="AA140" s="1126"/>
      <c r="AB140" s="1243"/>
      <c r="AC140" s="1348"/>
      <c r="AD140" s="1126"/>
      <c r="AE140" s="1252"/>
    </row>
    <row r="141" spans="1:32" ht="30" customHeight="1" x14ac:dyDescent="0.25">
      <c r="A141" s="1087"/>
      <c r="B141" s="1288"/>
      <c r="C141" s="1153"/>
      <c r="D141" s="1342"/>
      <c r="E141" s="1199"/>
      <c r="F141" s="1337"/>
      <c r="G141" s="1340"/>
      <c r="H141" s="1346"/>
      <c r="I141" s="1126"/>
      <c r="J141" s="1350"/>
      <c r="K141" s="1348"/>
      <c r="L141" s="1126"/>
      <c r="M141" s="1252"/>
      <c r="N141" s="1346"/>
      <c r="O141" s="1126"/>
      <c r="P141" s="1243"/>
      <c r="Q141" s="1348"/>
      <c r="R141" s="1126"/>
      <c r="S141" s="1252"/>
      <c r="T141" s="1346"/>
      <c r="U141" s="1126"/>
      <c r="V141" s="1243"/>
      <c r="W141" s="1348"/>
      <c r="X141" s="1126"/>
      <c r="Y141" s="1252"/>
      <c r="Z141" s="1346"/>
      <c r="AA141" s="1126"/>
      <c r="AB141" s="1243"/>
      <c r="AC141" s="1348"/>
      <c r="AD141" s="1126"/>
      <c r="AE141" s="1252"/>
    </row>
    <row r="142" spans="1:32" ht="30" customHeight="1" x14ac:dyDescent="0.25">
      <c r="A142" s="1087" t="s">
        <v>9</v>
      </c>
      <c r="B142" s="1288"/>
      <c r="C142" s="1153"/>
      <c r="D142" s="1342"/>
      <c r="E142" s="1199"/>
      <c r="F142" s="1337"/>
      <c r="G142" s="1340"/>
      <c r="H142" s="1346"/>
      <c r="I142" s="1126"/>
      <c r="J142" s="1350"/>
      <c r="K142" s="1348"/>
      <c r="L142" s="1126"/>
      <c r="M142" s="1252"/>
      <c r="N142" s="1346"/>
      <c r="O142" s="1126"/>
      <c r="P142" s="1243"/>
      <c r="Q142" s="1348"/>
      <c r="R142" s="1126"/>
      <c r="S142" s="1252"/>
      <c r="T142" s="1346"/>
      <c r="U142" s="1126"/>
      <c r="V142" s="1243"/>
      <c r="W142" s="1348"/>
      <c r="X142" s="1126"/>
      <c r="Y142" s="1252"/>
      <c r="Z142" s="1346"/>
      <c r="AA142" s="1126"/>
      <c r="AB142" s="1243"/>
      <c r="AC142" s="1348"/>
      <c r="AD142" s="1126"/>
      <c r="AE142" s="1252"/>
      <c r="AF142" s="33"/>
    </row>
    <row r="143" spans="1:32" ht="30" customHeight="1" thickBot="1" x14ac:dyDescent="0.3">
      <c r="A143" s="1171"/>
      <c r="B143" s="1355"/>
      <c r="C143" s="1183"/>
      <c r="D143" s="1354"/>
      <c r="E143" s="1357"/>
      <c r="F143" s="1345"/>
      <c r="G143" s="1356"/>
      <c r="H143" s="1347"/>
      <c r="I143" s="1127"/>
      <c r="J143" s="1351"/>
      <c r="K143" s="1349"/>
      <c r="L143" s="1127"/>
      <c r="M143" s="1344"/>
      <c r="N143" s="1347"/>
      <c r="O143" s="1127"/>
      <c r="P143" s="1257"/>
      <c r="Q143" s="1349"/>
      <c r="R143" s="1127"/>
      <c r="S143" s="1344"/>
      <c r="T143" s="1347"/>
      <c r="U143" s="1127"/>
      <c r="V143" s="1257"/>
      <c r="W143" s="1349"/>
      <c r="X143" s="1127"/>
      <c r="Y143" s="1344"/>
      <c r="Z143" s="1347"/>
      <c r="AA143" s="1127"/>
      <c r="AB143" s="1257"/>
      <c r="AC143" s="1349"/>
      <c r="AD143" s="1127"/>
      <c r="AE143" s="1344"/>
    </row>
    <row r="144" spans="1:32" ht="14.25" customHeight="1" x14ac:dyDescent="0.25">
      <c r="J144" s="31"/>
    </row>
    <row r="145" spans="1:31" ht="12.75" customHeight="1" thickBot="1" x14ac:dyDescent="0.3"/>
    <row r="146" spans="1:31" ht="18.75" customHeight="1" x14ac:dyDescent="0.25">
      <c r="A146" s="1190" t="s">
        <v>218</v>
      </c>
      <c r="B146" s="1147"/>
      <c r="C146" s="1146" t="s">
        <v>219</v>
      </c>
      <c r="D146" s="1146"/>
      <c r="E146" s="1146"/>
      <c r="F146" s="1146"/>
      <c r="G146" s="1146"/>
      <c r="H146" s="1146"/>
      <c r="I146" s="1146"/>
      <c r="J146" s="1146"/>
      <c r="K146" s="1146"/>
      <c r="L146" s="58"/>
      <c r="M146" s="1144" t="s">
        <v>314</v>
      </c>
      <c r="N146" s="1145"/>
      <c r="O146" s="1146" t="s">
        <v>143</v>
      </c>
      <c r="P146" s="1147"/>
      <c r="Q146" s="1146" t="s">
        <v>167</v>
      </c>
      <c r="R146" s="1146"/>
      <c r="S146" s="1146"/>
      <c r="T146" s="1146"/>
      <c r="U146" s="1146"/>
      <c r="V146" s="1146"/>
      <c r="W146" s="1146"/>
      <c r="X146" s="1146"/>
      <c r="Y146" s="1146"/>
      <c r="Z146" s="1146"/>
      <c r="AA146" s="1146"/>
      <c r="AB146" s="1146"/>
      <c r="AC146" s="1146"/>
      <c r="AD146" s="1146"/>
      <c r="AE146" s="1147"/>
    </row>
    <row r="147" spans="1:31" ht="13.8" x14ac:dyDescent="0.25">
      <c r="A147" s="1065" t="str">
        <f>VLOOKUP(M147,ASIGNATURAS!$F$1:$L$1022, 3, FALSE)</f>
        <v>ELECT. ANALOG.</v>
      </c>
      <c r="B147" s="1066"/>
      <c r="C147" s="982" t="str">
        <f>VLOOKUP(M147,ASIGNATURAS!$F$1:$L$1022, 4, FALSE)</f>
        <v>Electrónica Analógica</v>
      </c>
      <c r="D147" s="983"/>
      <c r="E147" s="983"/>
      <c r="F147" s="983"/>
      <c r="G147" s="983"/>
      <c r="H147" s="983"/>
      <c r="I147" s="983"/>
      <c r="J147" s="983"/>
      <c r="K147" s="983"/>
      <c r="L147" s="1018"/>
      <c r="M147" s="981">
        <v>6412</v>
      </c>
      <c r="N147" s="1071"/>
      <c r="O147" s="981">
        <f>VLOOKUP(M147,ASIGNATURAS!$F$1:$L$1022, 5, FALSE)</f>
        <v>6</v>
      </c>
      <c r="P147" s="1071"/>
      <c r="Q147" s="982" t="str">
        <f>VLOOKUP(M147,ASIGNATURAS!$F$1:$L$1022, 6, FALSE)</f>
        <v xml:space="preserve">Jesús H. Lucio, </v>
      </c>
      <c r="R147" s="983"/>
      <c r="S147" s="983"/>
      <c r="T147" s="983"/>
      <c r="U147" s="983"/>
      <c r="V147" s="983"/>
      <c r="W147" s="983"/>
      <c r="X147" s="983"/>
      <c r="Y147" s="983"/>
      <c r="Z147" s="983"/>
      <c r="AA147" s="983"/>
      <c r="AB147" s="983"/>
      <c r="AC147" s="983"/>
      <c r="AD147" s="983"/>
      <c r="AE147" s="1018"/>
    </row>
    <row r="148" spans="1:31" ht="13.8" x14ac:dyDescent="0.25">
      <c r="A148" s="1065" t="str">
        <f>VLOOKUP(M148,ASIGNATURAS!$F$1:$L$1022, 3, FALSE)</f>
        <v>ELECT. DIGITAL</v>
      </c>
      <c r="B148" s="1066"/>
      <c r="C148" s="982" t="str">
        <f>VLOOKUP(M148,ASIGNATURAS!$F$1:$L$1022, 4, FALSE)</f>
        <v>Electrónica Digital</v>
      </c>
      <c r="D148" s="983"/>
      <c r="E148" s="983"/>
      <c r="F148" s="983"/>
      <c r="G148" s="983"/>
      <c r="H148" s="983"/>
      <c r="I148" s="983"/>
      <c r="J148" s="983"/>
      <c r="K148" s="983"/>
      <c r="L148" s="1018"/>
      <c r="M148" s="981">
        <v>6413</v>
      </c>
      <c r="N148" s="1071"/>
      <c r="O148" s="981">
        <f>VLOOKUP(M148,ASIGNATURAS!$F$1:$L$1022, 5, FALSE)</f>
        <v>6</v>
      </c>
      <c r="P148" s="1071"/>
      <c r="Q148" s="982" t="str">
        <f>VLOOKUP(M148,ASIGNATURAS!$F$1:$L$1022, 6, FALSE)</f>
        <v>Miguel Angel Lozano Pérez</v>
      </c>
      <c r="R148" s="983"/>
      <c r="S148" s="983"/>
      <c r="T148" s="983"/>
      <c r="U148" s="983"/>
      <c r="V148" s="983"/>
      <c r="W148" s="983"/>
      <c r="X148" s="983"/>
      <c r="Y148" s="983"/>
      <c r="Z148" s="983"/>
      <c r="AA148" s="983"/>
      <c r="AB148" s="983"/>
      <c r="AC148" s="983"/>
      <c r="AD148" s="983"/>
      <c r="AE148" s="1018"/>
    </row>
    <row r="149" spans="1:31" ht="13.8" x14ac:dyDescent="0.25">
      <c r="A149" s="1065" t="str">
        <f>VLOOKUP(M149,ASIGNATURAS!$F$1:$L$1022, 3, FALSE)</f>
        <v>REG. AUTOMAT.</v>
      </c>
      <c r="B149" s="1066"/>
      <c r="C149" s="982" t="str">
        <f>VLOOKUP(M149,ASIGNATURAS!$F$1:$L$1022, 4, FALSE)</f>
        <v>Regulación Automática</v>
      </c>
      <c r="D149" s="983"/>
      <c r="E149" s="983"/>
      <c r="F149" s="983"/>
      <c r="G149" s="983"/>
      <c r="H149" s="983"/>
      <c r="I149" s="983"/>
      <c r="J149" s="983"/>
      <c r="K149" s="983"/>
      <c r="L149" s="1018"/>
      <c r="M149" s="981">
        <v>6414</v>
      </c>
      <c r="N149" s="1071"/>
      <c r="O149" s="981">
        <f>VLOOKUP(M149,ASIGNATURAS!$F$1:$L$1022, 5, FALSE)</f>
        <v>6</v>
      </c>
      <c r="P149" s="1071"/>
      <c r="Q149" s="982" t="str">
        <f>VLOOKUP(M149,ASIGNATURAS!$F$1:$L$1022, 6, FALSE)</f>
        <v>Gabriel  Rubio Pérez</v>
      </c>
      <c r="R149" s="983"/>
      <c r="S149" s="983"/>
      <c r="T149" s="983"/>
      <c r="U149" s="983"/>
      <c r="V149" s="983"/>
      <c r="W149" s="983"/>
      <c r="X149" s="983"/>
      <c r="Y149" s="983"/>
      <c r="Z149" s="983"/>
      <c r="AA149" s="983"/>
      <c r="AB149" s="983"/>
      <c r="AC149" s="983"/>
      <c r="AD149" s="983"/>
      <c r="AE149" s="1018"/>
    </row>
    <row r="150" spans="1:31" ht="13.8" x14ac:dyDescent="0.25">
      <c r="A150" s="1065" t="str">
        <f>VLOOKUP(M150,ASIGNATURAS!$F$1:$L$1022, 3, FALSE)</f>
        <v>SIST. ELECTRÓN.</v>
      </c>
      <c r="B150" s="1066"/>
      <c r="C150" s="982" t="str">
        <f>VLOOKUP(M150,ASIGNATURAS!$F$1:$L$1022, 4, FALSE)</f>
        <v>Tecnología de los Sistemas Electrónicos</v>
      </c>
      <c r="D150" s="983"/>
      <c r="E150" s="983"/>
      <c r="F150" s="983"/>
      <c r="G150" s="983"/>
      <c r="H150" s="983"/>
      <c r="I150" s="983"/>
      <c r="J150" s="983"/>
      <c r="K150" s="983"/>
      <c r="L150" s="1018"/>
      <c r="M150" s="981">
        <v>6415</v>
      </c>
      <c r="N150" s="1071"/>
      <c r="O150" s="981">
        <f>VLOOKUP(M150,ASIGNATURAS!$F$1:$L$1022, 5, FALSE)</f>
        <v>6</v>
      </c>
      <c r="P150" s="1071"/>
      <c r="Q150" s="982" t="str">
        <f>VLOOKUP(M150,ASIGNATURAS!$F$1:$L$1022, 6, FALSE)</f>
        <v>Miguel Ángel Cantera, Guzmán Moreno</v>
      </c>
      <c r="R150" s="983"/>
      <c r="S150" s="983"/>
      <c r="T150" s="983"/>
      <c r="U150" s="983"/>
      <c r="V150" s="983"/>
      <c r="W150" s="983"/>
      <c r="X150" s="983"/>
      <c r="Y150" s="983"/>
      <c r="Z150" s="983"/>
      <c r="AA150" s="983"/>
      <c r="AB150" s="983"/>
      <c r="AC150" s="983"/>
      <c r="AD150" s="983"/>
      <c r="AE150" s="1018"/>
    </row>
    <row r="151" spans="1:31" ht="14.4" thickBot="1" x14ac:dyDescent="0.3">
      <c r="A151" s="1097" t="str">
        <f>VLOOKUP(M151,ASIGNATURAS!$F$1:$L$1022, 3, FALSE)</f>
        <v>MAQUINAS ELÉC.</v>
      </c>
      <c r="B151" s="1098"/>
      <c r="C151" s="1088" t="str">
        <f>VLOOKUP(M151,ASIGNATURAS!$F$1:$L$1022, 4, FALSE)</f>
        <v>Máquinas Eléctricas</v>
      </c>
      <c r="D151" s="1089"/>
      <c r="E151" s="1089"/>
      <c r="F151" s="1089"/>
      <c r="G151" s="1089"/>
      <c r="H151" s="1089"/>
      <c r="I151" s="1089"/>
      <c r="J151" s="1089"/>
      <c r="K151" s="1089"/>
      <c r="L151" s="1090"/>
      <c r="M151" s="1099">
        <v>6416</v>
      </c>
      <c r="N151" s="1100"/>
      <c r="O151" s="1099">
        <f>VLOOKUP(M151,ASIGNATURAS!$F$1:$L$1022, 5, FALSE)</f>
        <v>6</v>
      </c>
      <c r="P151" s="1100"/>
      <c r="Q151" s="1088" t="str">
        <f>VLOOKUP(M151,ASIGNATURAS!$F$1:$L$1022, 6, FALSE)</f>
        <v>Vanesa Fernández Cavero</v>
      </c>
      <c r="R151" s="1089"/>
      <c r="S151" s="1089"/>
      <c r="T151" s="1089"/>
      <c r="U151" s="1089"/>
      <c r="V151" s="1089"/>
      <c r="W151" s="1089"/>
      <c r="X151" s="1089"/>
      <c r="Y151" s="1089"/>
      <c r="Z151" s="1089"/>
      <c r="AA151" s="1089"/>
      <c r="AB151" s="1089"/>
      <c r="AC151" s="1089"/>
      <c r="AD151" s="1089"/>
      <c r="AE151" s="1090"/>
    </row>
    <row r="154" spans="1:31" ht="24" customHeight="1" x14ac:dyDescent="0.25">
      <c r="A154" s="1101" t="s">
        <v>1044</v>
      </c>
      <c r="B154" s="1101"/>
      <c r="C154" s="1101"/>
      <c r="D154" s="1101"/>
      <c r="E154" s="1101"/>
    </row>
    <row r="155" spans="1:31" ht="24" customHeight="1" x14ac:dyDescent="0.25">
      <c r="A155" s="1359" t="s">
        <v>1046</v>
      </c>
      <c r="B155" s="1359"/>
      <c r="C155" s="1359"/>
      <c r="D155" s="1359"/>
      <c r="E155" s="1359"/>
    </row>
    <row r="157" spans="1:31" ht="13.8" thickBot="1" x14ac:dyDescent="0.3">
      <c r="A157" s="25" t="s">
        <v>217</v>
      </c>
    </row>
    <row r="158" spans="1:31" s="1" customFormat="1" ht="31.5" customHeight="1" thickBot="1" x14ac:dyDescent="0.45">
      <c r="A158" s="1094" t="str">
        <f>VLOOKUP(A161,ASIGNATURAS!$A$2:$D$151, 3, FALSE)</f>
        <v>3º Grado en Ingeniería Electrónica Industrial y Automática</v>
      </c>
      <c r="B158" s="1095"/>
      <c r="C158" s="1095"/>
      <c r="D158" s="1095"/>
      <c r="E158" s="1095"/>
      <c r="F158" s="1095"/>
      <c r="G158" s="1095"/>
      <c r="H158" s="1095"/>
      <c r="I158" s="1095"/>
      <c r="J158" s="1095"/>
      <c r="K158" s="1095"/>
      <c r="L158" s="1095"/>
      <c r="M158" s="1095"/>
      <c r="N158" s="1095"/>
      <c r="O158" s="1095"/>
      <c r="P158" s="1095"/>
      <c r="Q158" s="1095"/>
      <c r="R158" s="1095"/>
      <c r="S158" s="1095"/>
      <c r="T158" s="1095"/>
      <c r="U158" s="1095"/>
      <c r="V158" s="1095"/>
      <c r="W158" s="1095"/>
      <c r="X158" s="1095"/>
      <c r="Y158" s="1096"/>
      <c r="Z158" s="1076" t="str">
        <f>Z127</f>
        <v>Curso 2024-2025</v>
      </c>
      <c r="AA158" s="1077"/>
      <c r="AB158" s="1077"/>
      <c r="AC158" s="1077"/>
      <c r="AD158" s="1077"/>
      <c r="AE158" s="1078"/>
    </row>
    <row r="159" spans="1:31" s="8" customFormat="1" ht="23.25" customHeight="1" thickBot="1" x14ac:dyDescent="0.45">
      <c r="A159" s="1083" t="str">
        <f>VLOOKUP(A161,ASIGNATURAS!$A$2:$D$151, 2, FALSE)</f>
        <v>Semestre temporal: 2º        (6º Semestre Académico)</v>
      </c>
      <c r="B159" s="1084"/>
      <c r="C159" s="1084"/>
      <c r="D159" s="1084"/>
      <c r="E159" s="1084"/>
      <c r="F159" s="1084"/>
      <c r="G159" s="1084"/>
      <c r="H159" s="1084"/>
      <c r="I159" s="1084"/>
      <c r="J159" s="1084"/>
      <c r="K159" s="1084"/>
      <c r="L159" s="1084"/>
      <c r="M159" s="1084"/>
      <c r="N159" s="1084"/>
      <c r="O159" s="1084"/>
      <c r="P159" s="1084"/>
      <c r="Q159" s="1084"/>
      <c r="R159" s="1084"/>
      <c r="S159" s="1084"/>
      <c r="T159" s="1084"/>
      <c r="U159" s="1084"/>
      <c r="V159" s="1084"/>
      <c r="W159" s="1084"/>
      <c r="X159" s="1084"/>
      <c r="Y159" s="1085"/>
      <c r="Z159" s="1072" t="s">
        <v>162</v>
      </c>
      <c r="AA159" s="1072"/>
      <c r="AB159" s="1072"/>
      <c r="AC159" s="1072"/>
      <c r="AD159" s="1072"/>
      <c r="AE159" s="1073"/>
    </row>
    <row r="160" spans="1:31" s="8" customFormat="1" ht="23.25" customHeight="1" thickBot="1" x14ac:dyDescent="0.45">
      <c r="A160" s="1083" t="s">
        <v>142</v>
      </c>
      <c r="B160" s="1084"/>
      <c r="C160" s="1084"/>
      <c r="D160" s="1084"/>
      <c r="E160" s="1084"/>
      <c r="F160" s="1084"/>
      <c r="G160" s="1084"/>
      <c r="H160" s="1084"/>
      <c r="I160" s="1084"/>
      <c r="J160" s="1084"/>
      <c r="K160" s="1084"/>
      <c r="L160" s="1084"/>
      <c r="M160" s="1084"/>
      <c r="N160" s="1084"/>
      <c r="O160" s="1084"/>
      <c r="P160" s="1084"/>
      <c r="Q160" s="1084"/>
      <c r="R160" s="1084"/>
      <c r="S160" s="1084"/>
      <c r="T160" s="1084"/>
      <c r="U160" s="1084"/>
      <c r="V160" s="1084"/>
      <c r="W160" s="1084"/>
      <c r="X160" s="1084"/>
      <c r="Y160" s="1085"/>
      <c r="Z160" s="1074"/>
      <c r="AA160" s="1074"/>
      <c r="AB160" s="1074"/>
      <c r="AC160" s="1074"/>
      <c r="AD160" s="1074"/>
      <c r="AE160" s="1075"/>
    </row>
    <row r="161" spans="1:46" ht="38.25" customHeight="1" thickBot="1" x14ac:dyDescent="0.3">
      <c r="A161" s="9" t="s">
        <v>56</v>
      </c>
    </row>
    <row r="162" spans="1:46" s="2" customFormat="1" ht="24" customHeight="1" thickBot="1" x14ac:dyDescent="0.3">
      <c r="A162" s="19" t="s">
        <v>1</v>
      </c>
      <c r="B162" s="1076" t="s">
        <v>2</v>
      </c>
      <c r="C162" s="1077"/>
      <c r="D162" s="1077"/>
      <c r="E162" s="1077"/>
      <c r="F162" s="1077"/>
      <c r="G162" s="1078"/>
      <c r="H162" s="1076" t="s">
        <v>3</v>
      </c>
      <c r="I162" s="1077"/>
      <c r="J162" s="1077"/>
      <c r="K162" s="1077"/>
      <c r="L162" s="1077"/>
      <c r="M162" s="1078"/>
      <c r="N162" s="1076" t="s">
        <v>139</v>
      </c>
      <c r="O162" s="1077"/>
      <c r="P162" s="1077"/>
      <c r="Q162" s="1077"/>
      <c r="R162" s="1077"/>
      <c r="S162" s="1078"/>
      <c r="T162" s="1076" t="s">
        <v>4</v>
      </c>
      <c r="U162" s="1077"/>
      <c r="V162" s="1077"/>
      <c r="W162" s="1077"/>
      <c r="X162" s="1077"/>
      <c r="Y162" s="1078"/>
      <c r="Z162" s="1091" t="s">
        <v>5</v>
      </c>
      <c r="AA162" s="1092"/>
      <c r="AB162" s="1092"/>
      <c r="AC162" s="1092"/>
      <c r="AD162" s="1092"/>
      <c r="AE162" s="1093"/>
    </row>
    <row r="163" spans="1:46" ht="30" customHeight="1" x14ac:dyDescent="0.3">
      <c r="A163" s="1086" t="s">
        <v>10</v>
      </c>
      <c r="B163" s="1079" t="s">
        <v>264</v>
      </c>
      <c r="C163" s="1039"/>
      <c r="D163" s="1039"/>
      <c r="E163" s="1039"/>
      <c r="F163" s="1039"/>
      <c r="G163" s="1080"/>
      <c r="H163" s="1039" t="s">
        <v>84</v>
      </c>
      <c r="I163" s="1039"/>
      <c r="J163" s="1039"/>
      <c r="K163" s="1039"/>
      <c r="L163" s="1039"/>
      <c r="M163" s="1080"/>
      <c r="N163" s="1079" t="s">
        <v>83</v>
      </c>
      <c r="O163" s="1039"/>
      <c r="P163" s="1039"/>
      <c r="Q163" s="1039"/>
      <c r="R163" s="1039"/>
      <c r="S163" s="1080"/>
      <c r="T163" s="1079" t="s">
        <v>93</v>
      </c>
      <c r="U163" s="1039"/>
      <c r="V163" s="1039"/>
      <c r="W163" s="1039"/>
      <c r="X163" s="1039"/>
      <c r="Y163" s="1080"/>
      <c r="Z163" s="939" t="s">
        <v>85</v>
      </c>
      <c r="AA163" s="939"/>
      <c r="AB163" s="939"/>
      <c r="AC163" s="939"/>
      <c r="AD163" s="939"/>
      <c r="AE163" s="1082"/>
    </row>
    <row r="164" spans="1:46" ht="30" customHeight="1" x14ac:dyDescent="0.25">
      <c r="A164" s="1087"/>
      <c r="B164" s="1067" t="s">
        <v>162</v>
      </c>
      <c r="C164" s="944"/>
      <c r="D164" s="944"/>
      <c r="E164" s="944"/>
      <c r="F164" s="944"/>
      <c r="G164" s="1068"/>
      <c r="H164" s="1067" t="s">
        <v>162</v>
      </c>
      <c r="I164" s="944"/>
      <c r="J164" s="944"/>
      <c r="K164" s="944"/>
      <c r="L164" s="944"/>
      <c r="M164" s="1068"/>
      <c r="N164" s="1067" t="s">
        <v>162</v>
      </c>
      <c r="O164" s="944"/>
      <c r="P164" s="944"/>
      <c r="Q164" s="944"/>
      <c r="R164" s="944"/>
      <c r="S164" s="1068"/>
      <c r="T164" s="1067" t="s">
        <v>162</v>
      </c>
      <c r="U164" s="944"/>
      <c r="V164" s="944"/>
      <c r="W164" s="944"/>
      <c r="X164" s="944"/>
      <c r="Y164" s="1068"/>
      <c r="Z164" s="1067" t="s">
        <v>162</v>
      </c>
      <c r="AA164" s="944"/>
      <c r="AB164" s="944"/>
      <c r="AC164" s="944"/>
      <c r="AD164" s="944"/>
      <c r="AE164" s="1068"/>
    </row>
    <row r="165" spans="1:46" ht="30" customHeight="1" x14ac:dyDescent="0.3">
      <c r="A165" s="1087" t="s">
        <v>11</v>
      </c>
      <c r="B165" s="1081" t="s">
        <v>264</v>
      </c>
      <c r="C165" s="939"/>
      <c r="D165" s="939"/>
      <c r="E165" s="939"/>
      <c r="F165" s="939"/>
      <c r="G165" s="1082"/>
      <c r="H165" s="939" t="s">
        <v>84</v>
      </c>
      <c r="I165" s="939"/>
      <c r="J165" s="939"/>
      <c r="K165" s="939"/>
      <c r="L165" s="939"/>
      <c r="M165" s="1082"/>
      <c r="N165" s="1081" t="s">
        <v>83</v>
      </c>
      <c r="O165" s="939"/>
      <c r="P165" s="939"/>
      <c r="Q165" s="939"/>
      <c r="R165" s="939"/>
      <c r="S165" s="1082"/>
      <c r="T165" s="1081" t="s">
        <v>93</v>
      </c>
      <c r="U165" s="939"/>
      <c r="V165" s="939"/>
      <c r="W165" s="939"/>
      <c r="X165" s="939"/>
      <c r="Y165" s="1082"/>
      <c r="Z165" s="939" t="s">
        <v>85</v>
      </c>
      <c r="AA165" s="939"/>
      <c r="AB165" s="939"/>
      <c r="AC165" s="939"/>
      <c r="AD165" s="939"/>
      <c r="AE165" s="1082"/>
      <c r="AS165" s="102"/>
      <c r="AT165" s="102"/>
    </row>
    <row r="166" spans="1:46" ht="30" customHeight="1" x14ac:dyDescent="0.25">
      <c r="A166" s="1087"/>
      <c r="B166" s="1067" t="s">
        <v>162</v>
      </c>
      <c r="C166" s="944"/>
      <c r="D166" s="944"/>
      <c r="E166" s="944"/>
      <c r="F166" s="944"/>
      <c r="G166" s="1068"/>
      <c r="H166" s="1067" t="s">
        <v>162</v>
      </c>
      <c r="I166" s="944"/>
      <c r="J166" s="944"/>
      <c r="K166" s="944"/>
      <c r="L166" s="944"/>
      <c r="M166" s="1068"/>
      <c r="N166" s="1067" t="s">
        <v>162</v>
      </c>
      <c r="O166" s="944"/>
      <c r="P166" s="944"/>
      <c r="Q166" s="944"/>
      <c r="R166" s="944"/>
      <c r="S166" s="1068"/>
      <c r="T166" s="1067" t="s">
        <v>162</v>
      </c>
      <c r="U166" s="944"/>
      <c r="V166" s="944"/>
      <c r="W166" s="944"/>
      <c r="X166" s="944"/>
      <c r="Y166" s="1068"/>
      <c r="Z166" s="1067" t="s">
        <v>162</v>
      </c>
      <c r="AA166" s="944"/>
      <c r="AB166" s="944"/>
      <c r="AC166" s="944"/>
      <c r="AD166" s="944"/>
      <c r="AE166" s="1068"/>
    </row>
    <row r="167" spans="1:46" ht="30" customHeight="1" x14ac:dyDescent="0.25">
      <c r="A167" s="1143" t="s">
        <v>6</v>
      </c>
      <c r="B167" s="20"/>
      <c r="C167" s="20"/>
      <c r="D167" s="20"/>
      <c r="E167" s="1358"/>
      <c r="F167" s="1126"/>
      <c r="G167" s="1252"/>
      <c r="H167" s="1288" t="s">
        <v>83</v>
      </c>
      <c r="I167" s="1153" t="s">
        <v>579</v>
      </c>
      <c r="J167" s="1217" t="s">
        <v>682</v>
      </c>
      <c r="K167" s="1394"/>
      <c r="L167" s="1337"/>
      <c r="M167" s="1363"/>
      <c r="N167" s="1358"/>
      <c r="O167" s="1126"/>
      <c r="P167" s="1350"/>
      <c r="Q167" s="1391" t="s">
        <v>85</v>
      </c>
      <c r="R167" s="1153" t="s">
        <v>579</v>
      </c>
      <c r="S167" s="1360" t="s">
        <v>645</v>
      </c>
      <c r="T167" s="1287" t="s">
        <v>84</v>
      </c>
      <c r="U167" s="1182" t="s">
        <v>579</v>
      </c>
      <c r="V167" s="1216" t="s">
        <v>682</v>
      </c>
      <c r="W167" s="1198"/>
      <c r="X167" s="1337"/>
      <c r="Y167" s="1340"/>
      <c r="Z167" s="1358"/>
      <c r="AA167" s="1126"/>
      <c r="AB167" s="1350"/>
      <c r="AC167" s="1358"/>
      <c r="AD167" s="1126"/>
      <c r="AE167" s="1365"/>
    </row>
    <row r="168" spans="1:46" ht="30" customHeight="1" x14ac:dyDescent="0.25">
      <c r="A168" s="1143"/>
      <c r="B168" s="20"/>
      <c r="C168" s="20"/>
      <c r="D168" s="20"/>
      <c r="E168" s="1348"/>
      <c r="F168" s="1126"/>
      <c r="G168" s="1252"/>
      <c r="H168" s="1288"/>
      <c r="I168" s="1153"/>
      <c r="J168" s="1217"/>
      <c r="K168" s="1394"/>
      <c r="L168" s="1337"/>
      <c r="M168" s="1363"/>
      <c r="N168" s="1348"/>
      <c r="O168" s="1126"/>
      <c r="P168" s="1350"/>
      <c r="Q168" s="1392"/>
      <c r="R168" s="1153"/>
      <c r="S168" s="1360"/>
      <c r="T168" s="1288"/>
      <c r="U168" s="1153"/>
      <c r="V168" s="1217"/>
      <c r="W168" s="1199"/>
      <c r="X168" s="1337"/>
      <c r="Y168" s="1340"/>
      <c r="Z168" s="1348"/>
      <c r="AA168" s="1126"/>
      <c r="AB168" s="1350"/>
      <c r="AC168" s="1348"/>
      <c r="AD168" s="1126"/>
      <c r="AE168" s="1365"/>
      <c r="AF168" s="33"/>
    </row>
    <row r="169" spans="1:46" ht="30" customHeight="1" x14ac:dyDescent="0.25">
      <c r="A169" s="1087" t="s">
        <v>7</v>
      </c>
      <c r="B169" s="499"/>
      <c r="C169" s="20"/>
      <c r="D169" s="20"/>
      <c r="E169" s="1348"/>
      <c r="F169" s="1126"/>
      <c r="G169" s="1252"/>
      <c r="H169" s="1288"/>
      <c r="I169" s="1153"/>
      <c r="J169" s="1217"/>
      <c r="K169" s="1394"/>
      <c r="L169" s="1337"/>
      <c r="M169" s="1363"/>
      <c r="N169" s="1348"/>
      <c r="O169" s="1126"/>
      <c r="P169" s="1350"/>
      <c r="Q169" s="1392"/>
      <c r="R169" s="1153"/>
      <c r="S169" s="1360"/>
      <c r="T169" s="1288"/>
      <c r="U169" s="1153"/>
      <c r="V169" s="1217"/>
      <c r="W169" s="1199"/>
      <c r="X169" s="1337"/>
      <c r="Y169" s="1340"/>
      <c r="Z169" s="1348"/>
      <c r="AA169" s="1126"/>
      <c r="AB169" s="1350"/>
      <c r="AC169" s="1348"/>
      <c r="AD169" s="1126"/>
      <c r="AE169" s="1365"/>
    </row>
    <row r="170" spans="1:46" ht="30" customHeight="1" x14ac:dyDescent="0.25">
      <c r="A170" s="1087"/>
      <c r="B170" s="496"/>
      <c r="C170" s="497"/>
      <c r="D170" s="422"/>
      <c r="E170" s="1362"/>
      <c r="F170" s="1142"/>
      <c r="G170" s="1253"/>
      <c r="H170" s="1335"/>
      <c r="I170" s="1154"/>
      <c r="J170" s="1218"/>
      <c r="K170" s="1395"/>
      <c r="L170" s="1338"/>
      <c r="M170" s="1364"/>
      <c r="N170" s="1362"/>
      <c r="O170" s="1142"/>
      <c r="P170" s="1351"/>
      <c r="Q170" s="1393"/>
      <c r="R170" s="1154"/>
      <c r="S170" s="1361"/>
      <c r="T170" s="1335"/>
      <c r="U170" s="1153"/>
      <c r="V170" s="1218"/>
      <c r="W170" s="1200"/>
      <c r="X170" s="1337"/>
      <c r="Y170" s="1341"/>
      <c r="Z170" s="1362"/>
      <c r="AA170" s="1142"/>
      <c r="AB170" s="1351"/>
      <c r="AC170" s="1362"/>
      <c r="AD170" s="1142"/>
      <c r="AE170" s="1366"/>
    </row>
    <row r="171" spans="1:46" ht="30" customHeight="1" x14ac:dyDescent="0.25">
      <c r="A171" s="1143" t="s">
        <v>8</v>
      </c>
      <c r="B171" s="20"/>
      <c r="C171" s="20"/>
      <c r="D171" s="20"/>
      <c r="E171" s="1358"/>
      <c r="F171" s="1197"/>
      <c r="G171" s="1251"/>
      <c r="H171" s="1287" t="s">
        <v>264</v>
      </c>
      <c r="I171" s="1182" t="s">
        <v>579</v>
      </c>
      <c r="J171" s="1360" t="s">
        <v>1356</v>
      </c>
      <c r="K171" s="1198"/>
      <c r="L171" s="1336"/>
      <c r="M171" s="1339"/>
      <c r="N171" s="1346"/>
      <c r="O171" s="1126"/>
      <c r="P171" s="1444"/>
      <c r="Q171" s="1391" t="s">
        <v>93</v>
      </c>
      <c r="R171" s="1153" t="s">
        <v>579</v>
      </c>
      <c r="S171" s="1342" t="s">
        <v>682</v>
      </c>
      <c r="T171" s="1346"/>
      <c r="U171" s="1197"/>
      <c r="V171" s="1243"/>
      <c r="W171" s="1201"/>
      <c r="X171" s="1197"/>
      <c r="Y171" s="1251"/>
      <c r="Z171" s="1352"/>
      <c r="AA171" s="1197"/>
      <c r="AB171" s="1256"/>
      <c r="AC171" s="1460"/>
      <c r="AD171" s="1161"/>
      <c r="AE171" s="1162"/>
    </row>
    <row r="172" spans="1:46" ht="30" customHeight="1" x14ac:dyDescent="0.25">
      <c r="A172" s="1143"/>
      <c r="B172" s="20"/>
      <c r="C172" s="20"/>
      <c r="D172" s="20"/>
      <c r="E172" s="1348"/>
      <c r="F172" s="1126"/>
      <c r="G172" s="1252"/>
      <c r="H172" s="1288"/>
      <c r="I172" s="1153"/>
      <c r="J172" s="1360"/>
      <c r="K172" s="1199"/>
      <c r="L172" s="1337"/>
      <c r="M172" s="1340"/>
      <c r="N172" s="1346"/>
      <c r="O172" s="1126"/>
      <c r="P172" s="1350"/>
      <c r="Q172" s="1392"/>
      <c r="R172" s="1153"/>
      <c r="S172" s="1342"/>
      <c r="T172" s="1346"/>
      <c r="U172" s="1126"/>
      <c r="V172" s="1243"/>
      <c r="W172" s="1202"/>
      <c r="X172" s="1126"/>
      <c r="Y172" s="1252"/>
      <c r="Z172" s="1346"/>
      <c r="AA172" s="1126"/>
      <c r="AB172" s="1243"/>
      <c r="AC172" s="1461"/>
      <c r="AD172" s="1164"/>
      <c r="AE172" s="1165"/>
    </row>
    <row r="173" spans="1:46" ht="30" customHeight="1" x14ac:dyDescent="0.25">
      <c r="A173" s="1143" t="s">
        <v>9</v>
      </c>
      <c r="B173" s="20"/>
      <c r="C173" s="20"/>
      <c r="D173" s="20"/>
      <c r="E173" s="1348"/>
      <c r="F173" s="1126"/>
      <c r="G173" s="1252"/>
      <c r="H173" s="1288"/>
      <c r="I173" s="1153"/>
      <c r="J173" s="1360"/>
      <c r="K173" s="1199"/>
      <c r="L173" s="1337"/>
      <c r="M173" s="1340"/>
      <c r="N173" s="1346"/>
      <c r="O173" s="1126"/>
      <c r="P173" s="1350"/>
      <c r="Q173" s="1392"/>
      <c r="R173" s="1153"/>
      <c r="S173" s="1342"/>
      <c r="T173" s="1346"/>
      <c r="U173" s="1126"/>
      <c r="V173" s="1243"/>
      <c r="W173" s="1202"/>
      <c r="X173" s="1126"/>
      <c r="Y173" s="1252"/>
      <c r="Z173" s="1346"/>
      <c r="AA173" s="1126"/>
      <c r="AB173" s="1243"/>
      <c r="AC173" s="1461"/>
      <c r="AD173" s="1164"/>
      <c r="AE173" s="1165"/>
    </row>
    <row r="174" spans="1:46" ht="30" customHeight="1" thickBot="1" x14ac:dyDescent="0.3">
      <c r="A174" s="1223"/>
      <c r="B174" s="419"/>
      <c r="C174" s="419"/>
      <c r="D174" s="20"/>
      <c r="E174" s="1349"/>
      <c r="F174" s="1127"/>
      <c r="G174" s="1344"/>
      <c r="H174" s="1355"/>
      <c r="I174" s="1183"/>
      <c r="J174" s="1360"/>
      <c r="K174" s="1357"/>
      <c r="L174" s="1345"/>
      <c r="M174" s="1356"/>
      <c r="N174" s="1347"/>
      <c r="O174" s="1127"/>
      <c r="P174" s="1445"/>
      <c r="Q174" s="1393"/>
      <c r="R174" s="1154"/>
      <c r="S174" s="1343"/>
      <c r="T174" s="1347"/>
      <c r="U174" s="1127"/>
      <c r="V174" s="1257"/>
      <c r="W174" s="1439"/>
      <c r="X174" s="1127"/>
      <c r="Y174" s="1344"/>
      <c r="Z174" s="1347"/>
      <c r="AA174" s="1127"/>
      <c r="AB174" s="1257"/>
      <c r="AC174" s="1462"/>
      <c r="AD174" s="1167"/>
      <c r="AE174" s="1168"/>
    </row>
    <row r="175" spans="1:46" ht="41.25" customHeight="1" thickBot="1" x14ac:dyDescent="0.3">
      <c r="D175" s="231"/>
      <c r="G175" s="231"/>
      <c r="J175" s="231"/>
      <c r="Q175" s="231"/>
      <c r="R175" s="231"/>
      <c r="S175" s="231"/>
    </row>
    <row r="176" spans="1:46" ht="18.75" customHeight="1" x14ac:dyDescent="0.25">
      <c r="A176" s="1190" t="s">
        <v>218</v>
      </c>
      <c r="B176" s="1147"/>
      <c r="C176" s="1146" t="s">
        <v>219</v>
      </c>
      <c r="D176" s="1146"/>
      <c r="E176" s="1146"/>
      <c r="F176" s="1146"/>
      <c r="G176" s="1146"/>
      <c r="H176" s="1146"/>
      <c r="I176" s="1146"/>
      <c r="J176" s="1146"/>
      <c r="K176" s="1146"/>
      <c r="L176" s="58"/>
      <c r="M176" s="1144" t="s">
        <v>315</v>
      </c>
      <c r="N176" s="1145"/>
      <c r="O176" s="1146" t="s">
        <v>143</v>
      </c>
      <c r="P176" s="1147"/>
      <c r="Q176" s="1146" t="s">
        <v>167</v>
      </c>
      <c r="R176" s="1146"/>
      <c r="S176" s="1146"/>
      <c r="T176" s="1146"/>
      <c r="U176" s="1146"/>
      <c r="V176" s="1146"/>
      <c r="W176" s="1146"/>
      <c r="X176" s="1146"/>
      <c r="Y176" s="1146"/>
      <c r="Z176" s="1146"/>
      <c r="AA176" s="1146"/>
      <c r="AB176" s="1146"/>
      <c r="AC176" s="1146"/>
      <c r="AD176" s="1146"/>
      <c r="AE176" s="1147"/>
    </row>
    <row r="177" spans="1:31" ht="13.8" x14ac:dyDescent="0.25">
      <c r="A177" s="1065" t="str">
        <f>VLOOKUP(M177,ASIGNATURAS!$F$1:$L$1022, 3, FALSE)</f>
        <v>ELECT. POTENCIA</v>
      </c>
      <c r="B177" s="1066"/>
      <c r="C177" s="982" t="str">
        <f>VLOOKUP(M177,ASIGNATURAS!$F$1:$L$1022, 4, FALSE)</f>
        <v>Electrónica de Potencia</v>
      </c>
      <c r="D177" s="983"/>
      <c r="E177" s="983"/>
      <c r="F177" s="983"/>
      <c r="G177" s="983"/>
      <c r="H177" s="983"/>
      <c r="I177" s="983"/>
      <c r="J177" s="983"/>
      <c r="K177" s="983"/>
      <c r="L177" s="1018"/>
      <c r="M177" s="981">
        <v>6417</v>
      </c>
      <c r="N177" s="1071"/>
      <c r="O177" s="981">
        <f>VLOOKUP(M177,ASIGNATURAS!$F$1:$L$1022, 5, FALSE)</f>
        <v>6</v>
      </c>
      <c r="P177" s="1071"/>
      <c r="Q177" s="982" t="str">
        <f>VLOOKUP(M177,ASIGNATURAS!$F$1:$L$1022, 6, FALSE)</f>
        <v>Guirguis Zaki, Guzmán Moreno</v>
      </c>
      <c r="R177" s="983"/>
      <c r="S177" s="983"/>
      <c r="T177" s="983"/>
      <c r="U177" s="983"/>
      <c r="V177" s="983"/>
      <c r="W177" s="983"/>
      <c r="X177" s="983"/>
      <c r="Y177" s="983"/>
      <c r="Z177" s="983"/>
      <c r="AA177" s="983"/>
      <c r="AB177" s="983"/>
      <c r="AC177" s="983"/>
      <c r="AD177" s="983"/>
      <c r="AE177" s="1018"/>
    </row>
    <row r="178" spans="1:31" ht="13.8" x14ac:dyDescent="0.25">
      <c r="A178" s="1065" t="str">
        <f>VLOOKUP(M178,ASIGNATURAS!$F$1:$L$1022, 3, FALSE)</f>
        <v>SIST. MICRO.</v>
      </c>
      <c r="B178" s="1066"/>
      <c r="C178" s="982" t="str">
        <f>VLOOKUP(M178,ASIGNATURAS!$F$1:$L$1022, 4, FALSE)</f>
        <v>Sistemas Basados en Microprocesad.</v>
      </c>
      <c r="D178" s="983"/>
      <c r="E178" s="983"/>
      <c r="F178" s="983"/>
      <c r="G178" s="983"/>
      <c r="H178" s="983"/>
      <c r="I178" s="983"/>
      <c r="J178" s="983"/>
      <c r="K178" s="983"/>
      <c r="L178" s="1018"/>
      <c r="M178" s="981">
        <v>6418</v>
      </c>
      <c r="N178" s="1071"/>
      <c r="O178" s="981">
        <f>VLOOKUP(M178,ASIGNATURAS!$F$1:$L$1022, 5, FALSE)</f>
        <v>6</v>
      </c>
      <c r="P178" s="1071"/>
      <c r="Q178" s="982" t="str">
        <f>VLOOKUP(M178,ASIGNATURAS!$F$1:$L$1022, 6, FALSE)</f>
        <v>Miguel Ángel Cantera Cuartango,</v>
      </c>
      <c r="R178" s="983"/>
      <c r="S178" s="983"/>
      <c r="T178" s="983"/>
      <c r="U178" s="983"/>
      <c r="V178" s="983"/>
      <c r="W178" s="983"/>
      <c r="X178" s="983"/>
      <c r="Y178" s="983"/>
      <c r="Z178" s="983"/>
      <c r="AA178" s="983"/>
      <c r="AB178" s="983"/>
      <c r="AC178" s="983"/>
      <c r="AD178" s="983"/>
      <c r="AE178" s="1018"/>
    </row>
    <row r="179" spans="1:31" ht="13.8" x14ac:dyDescent="0.25">
      <c r="A179" s="1065" t="str">
        <f>VLOOKUP(M179,ASIGNATURAS!$F$1:$L$1022, 3, FALSE)</f>
        <v>INSTR. ELECT.</v>
      </c>
      <c r="B179" s="1066"/>
      <c r="C179" s="982" t="str">
        <f>VLOOKUP(M179,ASIGNATURAS!$F$1:$L$1022, 4, FALSE)</f>
        <v>Instrumentación Electrónica</v>
      </c>
      <c r="D179" s="983"/>
      <c r="E179" s="983"/>
      <c r="F179" s="983"/>
      <c r="G179" s="983"/>
      <c r="H179" s="983"/>
      <c r="I179" s="983"/>
      <c r="J179" s="983"/>
      <c r="K179" s="983"/>
      <c r="L179" s="1018"/>
      <c r="M179" s="981">
        <v>6419</v>
      </c>
      <c r="N179" s="1071"/>
      <c r="O179" s="981">
        <f>VLOOKUP(M179,ASIGNATURAS!$F$1:$L$1022, 5, FALSE)</f>
        <v>6</v>
      </c>
      <c r="P179" s="1071"/>
      <c r="Q179" s="982" t="str">
        <f>VLOOKUP(M179,ASIGNATURAS!$F$1:$L$1022, 6, FALSE)</f>
        <v>Ignacio Moreno Velasco</v>
      </c>
      <c r="R179" s="983"/>
      <c r="S179" s="983"/>
      <c r="T179" s="983"/>
      <c r="U179" s="983"/>
      <c r="V179" s="983"/>
      <c r="W179" s="983"/>
      <c r="X179" s="983"/>
      <c r="Y179" s="983"/>
      <c r="Z179" s="983"/>
      <c r="AA179" s="983"/>
      <c r="AB179" s="983"/>
      <c r="AC179" s="983"/>
      <c r="AD179" s="983"/>
      <c r="AE179" s="1018"/>
    </row>
    <row r="180" spans="1:31" ht="13.8" x14ac:dyDescent="0.25">
      <c r="A180" s="1065" t="str">
        <f>VLOOKUP(M180,ASIGNATURAS!$F$1:$L$1022, 3, FALSE)</f>
        <v>CONTROL PROC.</v>
      </c>
      <c r="B180" s="1066"/>
      <c r="C180" s="982" t="str">
        <f>VLOOKUP(M180,ASIGNATURAS!$F$1:$L$1022, 4, FALSE)</f>
        <v>Control de Procesos Industriales</v>
      </c>
      <c r="D180" s="983"/>
      <c r="E180" s="983"/>
      <c r="F180" s="983"/>
      <c r="G180" s="983"/>
      <c r="H180" s="983"/>
      <c r="I180" s="983"/>
      <c r="J180" s="983"/>
      <c r="K180" s="983"/>
      <c r="L180" s="1018"/>
      <c r="M180" s="981">
        <v>6420</v>
      </c>
      <c r="N180" s="1071"/>
      <c r="O180" s="981">
        <f>VLOOKUP(M180,ASIGNATURAS!$F$1:$L$1022, 5, FALSE)</f>
        <v>6</v>
      </c>
      <c r="P180" s="1071"/>
      <c r="Q180" s="982" t="str">
        <f>VLOOKUP(M180,ASIGNATURAS!$F$1:$L$1022, 6, FALSE)</f>
        <v>Rubén Ruiz</v>
      </c>
      <c r="R180" s="983"/>
      <c r="S180" s="983"/>
      <c r="T180" s="983"/>
      <c r="U180" s="983"/>
      <c r="V180" s="983"/>
      <c r="W180" s="983"/>
      <c r="X180" s="983"/>
      <c r="Y180" s="983"/>
      <c r="Z180" s="983"/>
      <c r="AA180" s="983"/>
      <c r="AB180" s="983"/>
      <c r="AC180" s="983"/>
      <c r="AD180" s="983"/>
      <c r="AE180" s="1018"/>
    </row>
    <row r="181" spans="1:31" ht="14.4" thickBot="1" x14ac:dyDescent="0.3">
      <c r="A181" s="1097" t="str">
        <f>VLOOKUP(M181,ASIGNATURAS!$F$1:$L$1022, 3, FALSE)</f>
        <v>PROD. Y FABRIC.</v>
      </c>
      <c r="B181" s="1098"/>
      <c r="C181" s="1088" t="str">
        <f>VLOOKUP(M181,ASIGNATURAS!$F$1:$L$1022, 4, FALSE)</f>
        <v>Sistemas de Producción y Fabricación</v>
      </c>
      <c r="D181" s="1089"/>
      <c r="E181" s="1089"/>
      <c r="F181" s="1089"/>
      <c r="G181" s="1089"/>
      <c r="H181" s="1089"/>
      <c r="I181" s="1089"/>
      <c r="J181" s="1089"/>
      <c r="K181" s="1089"/>
      <c r="L181" s="1090"/>
      <c r="M181" s="1099">
        <v>6421</v>
      </c>
      <c r="N181" s="1100"/>
      <c r="O181" s="1099">
        <f>VLOOKUP(M181,ASIGNATURAS!$F$1:$L$1022, 5, FALSE)</f>
        <v>6</v>
      </c>
      <c r="P181" s="1100"/>
      <c r="Q181" s="1088" t="str">
        <f>VLOOKUP(M181,ASIGNATURAS!$F$1:$L$1022, 6, FALSE)</f>
        <v xml:space="preserve">Juan Marcos de las Heras, Miriam Lorenzo </v>
      </c>
      <c r="R181" s="1089"/>
      <c r="S181" s="1089"/>
      <c r="T181" s="1089"/>
      <c r="U181" s="1089"/>
      <c r="V181" s="1089"/>
      <c r="W181" s="1089"/>
      <c r="X181" s="1089"/>
      <c r="Y181" s="1089"/>
      <c r="Z181" s="1089"/>
      <c r="AA181" s="1089"/>
      <c r="AB181" s="1089"/>
      <c r="AC181" s="1089"/>
      <c r="AD181" s="1089"/>
      <c r="AE181" s="1090"/>
    </row>
    <row r="184" spans="1:31" ht="24" customHeight="1" x14ac:dyDescent="0.25">
      <c r="A184" s="1101" t="s">
        <v>1044</v>
      </c>
      <c r="B184" s="1101"/>
      <c r="C184" s="1101"/>
      <c r="D184" s="1101"/>
      <c r="E184" s="1101"/>
    </row>
    <row r="185" spans="1:31" ht="24" customHeight="1" x14ac:dyDescent="0.25">
      <c r="A185" s="1359" t="s">
        <v>1046</v>
      </c>
      <c r="B185" s="1359"/>
      <c r="C185" s="1359"/>
      <c r="D185" s="1359"/>
      <c r="E185" s="1359"/>
    </row>
    <row r="187" spans="1:31" x14ac:dyDescent="0.25">
      <c r="A187" s="25" t="s">
        <v>217</v>
      </c>
    </row>
    <row r="188" spans="1:31" ht="13.8" thickBot="1" x14ac:dyDescent="0.3"/>
    <row r="189" spans="1:31" s="1" customFormat="1" ht="31.5" customHeight="1" thickBot="1" x14ac:dyDescent="0.45">
      <c r="A189" s="1094" t="str">
        <f>VLOOKUP(A192,ASIGNATURAS!$A$2:$D$151, 3, FALSE)</f>
        <v>4º Grado en Ingeniería Electrónica Industrial y Automática</v>
      </c>
      <c r="B189" s="1095"/>
      <c r="C189" s="1095"/>
      <c r="D189" s="1095"/>
      <c r="E189" s="1095"/>
      <c r="F189" s="1095"/>
      <c r="G189" s="1095"/>
      <c r="H189" s="1095"/>
      <c r="I189" s="1095"/>
      <c r="J189" s="1095"/>
      <c r="K189" s="1095"/>
      <c r="L189" s="1095"/>
      <c r="M189" s="1095"/>
      <c r="N189" s="1095"/>
      <c r="O189" s="1095"/>
      <c r="P189" s="1095"/>
      <c r="Q189" s="1095"/>
      <c r="R189" s="1095"/>
      <c r="S189" s="1095"/>
      <c r="T189" s="1095"/>
      <c r="U189" s="1095"/>
      <c r="V189" s="1095"/>
      <c r="W189" s="1095"/>
      <c r="X189" s="1095"/>
      <c r="Y189" s="1096"/>
      <c r="Z189" s="1076" t="str">
        <f>Z158</f>
        <v>Curso 2024-2025</v>
      </c>
      <c r="AA189" s="1077"/>
      <c r="AB189" s="1077"/>
      <c r="AC189" s="1077"/>
      <c r="AD189" s="1077"/>
      <c r="AE189" s="1078"/>
    </row>
    <row r="190" spans="1:31" s="8" customFormat="1" ht="23.25" customHeight="1" thickBot="1" x14ac:dyDescent="0.45">
      <c r="A190" s="1083" t="str">
        <f>VLOOKUP(A192,ASIGNATURAS!$A$2:$D$151, 2, FALSE)</f>
        <v>Semestre temporal: 1º        (7º Semestre Académico)</v>
      </c>
      <c r="B190" s="1084"/>
      <c r="C190" s="1084"/>
      <c r="D190" s="1084"/>
      <c r="E190" s="1084"/>
      <c r="F190" s="1084"/>
      <c r="G190" s="1084"/>
      <c r="H190" s="1084"/>
      <c r="I190" s="1084"/>
      <c r="J190" s="1084"/>
      <c r="K190" s="1084"/>
      <c r="L190" s="1084"/>
      <c r="M190" s="1084"/>
      <c r="N190" s="1084"/>
      <c r="O190" s="1084"/>
      <c r="P190" s="1084"/>
      <c r="Q190" s="1084"/>
      <c r="R190" s="1084"/>
      <c r="S190" s="1084"/>
      <c r="T190" s="1084"/>
      <c r="U190" s="1084"/>
      <c r="V190" s="1084"/>
      <c r="W190" s="1084"/>
      <c r="X190" s="1084"/>
      <c r="Y190" s="1085"/>
      <c r="Z190" s="1072" t="s">
        <v>160</v>
      </c>
      <c r="AA190" s="1072"/>
      <c r="AB190" s="1072"/>
      <c r="AC190" s="1072"/>
      <c r="AD190" s="1072"/>
      <c r="AE190" s="1073"/>
    </row>
    <row r="191" spans="1:31" s="8" customFormat="1" ht="23.25" customHeight="1" thickBot="1" x14ac:dyDescent="0.45">
      <c r="A191" s="1083" t="s">
        <v>181</v>
      </c>
      <c r="B191" s="1084"/>
      <c r="C191" s="1084"/>
      <c r="D191" s="1084"/>
      <c r="E191" s="1084"/>
      <c r="F191" s="1084"/>
      <c r="G191" s="1084"/>
      <c r="H191" s="1084"/>
      <c r="I191" s="1084"/>
      <c r="J191" s="1084"/>
      <c r="K191" s="1084"/>
      <c r="L191" s="1084"/>
      <c r="M191" s="1084"/>
      <c r="N191" s="1084"/>
      <c r="O191" s="1084"/>
      <c r="P191" s="1084"/>
      <c r="Q191" s="1084"/>
      <c r="R191" s="1084"/>
      <c r="S191" s="1084"/>
      <c r="T191" s="1084"/>
      <c r="U191" s="1084"/>
      <c r="V191" s="1084"/>
      <c r="W191" s="1084"/>
      <c r="X191" s="1084"/>
      <c r="Y191" s="1085"/>
      <c r="Z191" s="1074"/>
      <c r="AA191" s="1074"/>
      <c r="AB191" s="1074"/>
      <c r="AC191" s="1074"/>
      <c r="AD191" s="1074"/>
      <c r="AE191" s="1075"/>
    </row>
    <row r="192" spans="1:31" ht="38.25" customHeight="1" thickBot="1" x14ac:dyDescent="0.3">
      <c r="A192" s="9" t="s">
        <v>57</v>
      </c>
    </row>
    <row r="193" spans="1:43" s="2" customFormat="1" ht="24" customHeight="1" thickBot="1" x14ac:dyDescent="0.3">
      <c r="A193" s="19" t="s">
        <v>1</v>
      </c>
      <c r="B193" s="1076" t="s">
        <v>2</v>
      </c>
      <c r="C193" s="1077"/>
      <c r="D193" s="1077"/>
      <c r="E193" s="1077"/>
      <c r="F193" s="1077"/>
      <c r="G193" s="1078"/>
      <c r="H193" s="1076" t="s">
        <v>3</v>
      </c>
      <c r="I193" s="1077"/>
      <c r="J193" s="1077"/>
      <c r="K193" s="1077"/>
      <c r="L193" s="1077"/>
      <c r="M193" s="1078"/>
      <c r="N193" s="1076" t="s">
        <v>139</v>
      </c>
      <c r="O193" s="1077"/>
      <c r="P193" s="1077"/>
      <c r="Q193" s="1077"/>
      <c r="R193" s="1077"/>
      <c r="S193" s="1078"/>
      <c r="T193" s="1076" t="s">
        <v>4</v>
      </c>
      <c r="U193" s="1077"/>
      <c r="V193" s="1077"/>
      <c r="W193" s="1077"/>
      <c r="X193" s="1077"/>
      <c r="Y193" s="1078"/>
      <c r="Z193" s="1076" t="s">
        <v>5</v>
      </c>
      <c r="AA193" s="1077"/>
      <c r="AB193" s="1077"/>
      <c r="AC193" s="1077"/>
      <c r="AD193" s="1077"/>
      <c r="AE193" s="1078"/>
    </row>
    <row r="194" spans="1:43" ht="87" customHeight="1" x14ac:dyDescent="0.3">
      <c r="A194" s="966" t="s">
        <v>1156</v>
      </c>
      <c r="B194" s="1378"/>
      <c r="C194" s="1379"/>
      <c r="D194" s="1379"/>
      <c r="E194" s="1379"/>
      <c r="F194" s="1379"/>
      <c r="G194" s="1380"/>
      <c r="H194" s="1449" t="s">
        <v>88</v>
      </c>
      <c r="I194" s="1450"/>
      <c r="J194" s="1450"/>
      <c r="K194" s="1450"/>
      <c r="L194" s="1450"/>
      <c r="M194" s="1451"/>
      <c r="N194" s="338"/>
      <c r="O194" s="339"/>
      <c r="P194" s="339"/>
      <c r="Q194" s="339"/>
      <c r="R194" s="339"/>
      <c r="S194" s="340"/>
      <c r="T194" s="1378"/>
      <c r="U194" s="1379"/>
      <c r="V194" s="1379"/>
      <c r="W194" s="1379"/>
      <c r="X194" s="1379"/>
      <c r="Y194" s="1380"/>
      <c r="Z194" s="1369"/>
      <c r="AA194" s="1370"/>
      <c r="AB194" s="1370"/>
      <c r="AC194" s="1370"/>
      <c r="AD194" s="1370"/>
      <c r="AE194" s="1371"/>
      <c r="AF194" s="33"/>
    </row>
    <row r="195" spans="1:43" ht="27" customHeight="1" x14ac:dyDescent="0.25">
      <c r="A195" s="935"/>
      <c r="B195" s="1457"/>
      <c r="C195" s="1458"/>
      <c r="D195" s="1458"/>
      <c r="E195" s="1458"/>
      <c r="F195" s="1458"/>
      <c r="G195" s="1459"/>
      <c r="H195" s="1384" t="s">
        <v>147</v>
      </c>
      <c r="I195" s="1385"/>
      <c r="J195" s="1385"/>
      <c r="K195" s="1385"/>
      <c r="L195" s="1385"/>
      <c r="M195" s="1386"/>
      <c r="N195" s="341"/>
      <c r="O195" s="342"/>
      <c r="P195" s="342"/>
      <c r="Q195" s="342"/>
      <c r="R195" s="342"/>
      <c r="S195" s="343"/>
      <c r="T195" s="1446"/>
      <c r="U195" s="1447"/>
      <c r="V195" s="1447"/>
      <c r="W195" s="1447"/>
      <c r="X195" s="1447"/>
      <c r="Y195" s="1448"/>
      <c r="Z195" s="1430"/>
      <c r="AA195" s="1431"/>
      <c r="AB195" s="1431"/>
      <c r="AC195" s="1431"/>
      <c r="AD195" s="1431"/>
      <c r="AE195" s="1432"/>
    </row>
    <row r="196" spans="1:43" ht="27" customHeight="1" x14ac:dyDescent="0.3">
      <c r="A196" s="1292" t="s">
        <v>8</v>
      </c>
      <c r="B196" s="1375" t="s">
        <v>368</v>
      </c>
      <c r="C196" s="1376"/>
      <c r="D196" s="1376"/>
      <c r="E196" s="1376"/>
      <c r="F196" s="1376"/>
      <c r="G196" s="1377"/>
      <c r="H196" s="1375" t="s">
        <v>359</v>
      </c>
      <c r="I196" s="1376"/>
      <c r="J196" s="1376"/>
      <c r="K196" s="1376"/>
      <c r="L196" s="1376"/>
      <c r="M196" s="1377"/>
      <c r="N196" s="1436"/>
      <c r="O196" s="1433"/>
      <c r="P196" s="1372"/>
      <c r="Q196" s="1201"/>
      <c r="R196" s="1197"/>
      <c r="S196" s="1256"/>
      <c r="T196" s="1375" t="s">
        <v>828</v>
      </c>
      <c r="U196" s="1376"/>
      <c r="V196" s="1376"/>
      <c r="W196" s="1376"/>
      <c r="X196" s="1376"/>
      <c r="Y196" s="1377"/>
      <c r="Z196" s="1452" t="s">
        <v>368</v>
      </c>
      <c r="AA196" s="1182" t="s">
        <v>579</v>
      </c>
      <c r="AB196" s="1216" t="s">
        <v>1285</v>
      </c>
      <c r="AC196" s="1201"/>
      <c r="AD196" s="1197"/>
      <c r="AE196" s="1251"/>
    </row>
    <row r="197" spans="1:43" ht="21" customHeight="1" x14ac:dyDescent="0.25">
      <c r="A197" s="935"/>
      <c r="B197" s="1384" t="s">
        <v>1285</v>
      </c>
      <c r="C197" s="1385"/>
      <c r="D197" s="1385"/>
      <c r="E197" s="1385"/>
      <c r="F197" s="1385"/>
      <c r="G197" s="1386"/>
      <c r="H197" s="1384" t="s">
        <v>1285</v>
      </c>
      <c r="I197" s="1385"/>
      <c r="J197" s="1385"/>
      <c r="K197" s="1385"/>
      <c r="L197" s="1385"/>
      <c r="M197" s="1386"/>
      <c r="N197" s="1437"/>
      <c r="O197" s="1434"/>
      <c r="P197" s="1373"/>
      <c r="Q197" s="1202"/>
      <c r="R197" s="1126"/>
      <c r="S197" s="1243"/>
      <c r="T197" s="1384" t="s">
        <v>1285</v>
      </c>
      <c r="U197" s="1385"/>
      <c r="V197" s="1385"/>
      <c r="W197" s="1385"/>
      <c r="X197" s="1385"/>
      <c r="Y197" s="1386"/>
      <c r="Z197" s="1453"/>
      <c r="AA197" s="1153"/>
      <c r="AB197" s="1217"/>
      <c r="AC197" s="1202"/>
      <c r="AD197" s="1126"/>
      <c r="AE197" s="1252"/>
    </row>
    <row r="198" spans="1:43" ht="27" customHeight="1" x14ac:dyDescent="0.3">
      <c r="A198" s="1455" t="s">
        <v>9</v>
      </c>
      <c r="B198" s="1420" t="s">
        <v>368</v>
      </c>
      <c r="C198" s="1421"/>
      <c r="D198" s="1421"/>
      <c r="E198" s="1421"/>
      <c r="F198" s="1421"/>
      <c r="G198" s="1422"/>
      <c r="H198" s="1420" t="s">
        <v>359</v>
      </c>
      <c r="I198" s="1421"/>
      <c r="J198" s="1421"/>
      <c r="K198" s="1421"/>
      <c r="L198" s="1421"/>
      <c r="M198" s="1422"/>
      <c r="N198" s="1437"/>
      <c r="O198" s="1434"/>
      <c r="P198" s="1373"/>
      <c r="Q198" s="1202"/>
      <c r="R198" s="1126"/>
      <c r="S198" s="1243"/>
      <c r="T198" s="1375" t="s">
        <v>828</v>
      </c>
      <c r="U198" s="1376"/>
      <c r="V198" s="1376"/>
      <c r="W198" s="1376"/>
      <c r="X198" s="1376"/>
      <c r="Y198" s="1377"/>
      <c r="Z198" s="1453"/>
      <c r="AA198" s="1153"/>
      <c r="AB198" s="1217"/>
      <c r="AC198" s="1202"/>
      <c r="AD198" s="1126"/>
      <c r="AE198" s="1252"/>
    </row>
    <row r="199" spans="1:43" ht="21.75" customHeight="1" thickBot="1" x14ac:dyDescent="0.3">
      <c r="A199" s="1456"/>
      <c r="B199" s="1381" t="s">
        <v>1285</v>
      </c>
      <c r="C199" s="1382"/>
      <c r="D199" s="1382"/>
      <c r="E199" s="1382"/>
      <c r="F199" s="1382"/>
      <c r="G199" s="1383"/>
      <c r="H199" s="1381" t="s">
        <v>1285</v>
      </c>
      <c r="I199" s="1382"/>
      <c r="J199" s="1382"/>
      <c r="K199" s="1382"/>
      <c r="L199" s="1382"/>
      <c r="M199" s="1383"/>
      <c r="N199" s="1438"/>
      <c r="O199" s="1435"/>
      <c r="P199" s="1374"/>
      <c r="Q199" s="1439"/>
      <c r="R199" s="1127"/>
      <c r="S199" s="1257"/>
      <c r="T199" s="1381" t="s">
        <v>1285</v>
      </c>
      <c r="U199" s="1382"/>
      <c r="V199" s="1382"/>
      <c r="W199" s="1382"/>
      <c r="X199" s="1382"/>
      <c r="Y199" s="1383"/>
      <c r="Z199" s="1454"/>
      <c r="AA199" s="1183"/>
      <c r="AB199" s="1254"/>
      <c r="AC199" s="1439"/>
      <c r="AD199" s="1127"/>
      <c r="AE199" s="1344"/>
    </row>
    <row r="200" spans="1:43" s="2" customFormat="1" ht="24" customHeight="1" thickBot="1" x14ac:dyDescent="0.3">
      <c r="A200" s="19" t="s">
        <v>1</v>
      </c>
      <c r="B200" s="1091" t="s">
        <v>2</v>
      </c>
      <c r="C200" s="1092"/>
      <c r="D200" s="1092"/>
      <c r="E200" s="1092"/>
      <c r="F200" s="1092"/>
      <c r="G200" s="1093"/>
      <c r="H200" s="1091" t="s">
        <v>3</v>
      </c>
      <c r="I200" s="1092"/>
      <c r="J200" s="1092"/>
      <c r="K200" s="1092"/>
      <c r="L200" s="1092"/>
      <c r="M200" s="1093"/>
      <c r="N200" s="1091" t="s">
        <v>139</v>
      </c>
      <c r="O200" s="1092"/>
      <c r="P200" s="1092"/>
      <c r="Q200" s="1092"/>
      <c r="R200" s="1092"/>
      <c r="S200" s="1093"/>
      <c r="T200" s="1091" t="s">
        <v>4</v>
      </c>
      <c r="U200" s="1092"/>
      <c r="V200" s="1092"/>
      <c r="W200" s="1092"/>
      <c r="X200" s="1092"/>
      <c r="Y200" s="1093"/>
      <c r="Z200" s="1091" t="s">
        <v>5</v>
      </c>
      <c r="AA200" s="1092"/>
      <c r="AB200" s="1092"/>
      <c r="AC200" s="1092"/>
      <c r="AD200" s="1092"/>
      <c r="AE200" s="1093"/>
    </row>
    <row r="201" spans="1:43" ht="27" customHeight="1" x14ac:dyDescent="0.3">
      <c r="A201" s="1292" t="s">
        <v>1131</v>
      </c>
      <c r="B201" s="1346"/>
      <c r="C201" s="1126"/>
      <c r="D201" s="1243"/>
      <c r="E201" s="1443" t="s">
        <v>87</v>
      </c>
      <c r="F201" s="1441"/>
      <c r="G201" s="1442" t="s">
        <v>160</v>
      </c>
      <c r="H201" s="1389" t="s">
        <v>87</v>
      </c>
      <c r="I201" s="1153" t="s">
        <v>579</v>
      </c>
      <c r="J201" s="1217" t="s">
        <v>1305</v>
      </c>
      <c r="K201" s="768"/>
      <c r="L201" s="768"/>
      <c r="M201" s="769"/>
      <c r="N201" s="1288" t="s">
        <v>359</v>
      </c>
      <c r="O201" s="1153" t="s">
        <v>579</v>
      </c>
      <c r="P201" s="1217" t="s">
        <v>1285</v>
      </c>
      <c r="Q201" s="1201"/>
      <c r="R201" s="1197"/>
      <c r="S201" s="1256"/>
      <c r="T201" s="1118" t="s">
        <v>86</v>
      </c>
      <c r="U201" s="1153" t="s">
        <v>579</v>
      </c>
      <c r="V201" s="1137" t="s">
        <v>538</v>
      </c>
      <c r="W201" s="1387"/>
      <c r="X201" s="1367"/>
      <c r="Y201" s="1423"/>
      <c r="Z201" s="1288" t="s">
        <v>828</v>
      </c>
      <c r="AA201" s="1153" t="s">
        <v>579</v>
      </c>
      <c r="AB201" s="1342" t="s">
        <v>1285</v>
      </c>
      <c r="AC201" s="1348"/>
      <c r="AD201" s="1126"/>
      <c r="AE201" s="1252"/>
    </row>
    <row r="202" spans="1:43" ht="21.75" customHeight="1" x14ac:dyDescent="0.25">
      <c r="A202" s="935"/>
      <c r="B202" s="1346"/>
      <c r="C202" s="1126"/>
      <c r="D202" s="1243"/>
      <c r="E202" s="1443"/>
      <c r="F202" s="1441"/>
      <c r="G202" s="1442"/>
      <c r="H202" s="1288"/>
      <c r="I202" s="1153"/>
      <c r="J202" s="1217"/>
      <c r="K202" s="770"/>
      <c r="L202" s="770"/>
      <c r="M202" s="771"/>
      <c r="N202" s="1288"/>
      <c r="O202" s="1153"/>
      <c r="P202" s="1217"/>
      <c r="Q202" s="1202"/>
      <c r="R202" s="1126"/>
      <c r="S202" s="1243"/>
      <c r="T202" s="1118"/>
      <c r="U202" s="1153"/>
      <c r="V202" s="1137"/>
      <c r="W202" s="1387"/>
      <c r="X202" s="1367"/>
      <c r="Y202" s="1423"/>
      <c r="Z202" s="1288"/>
      <c r="AA202" s="1153"/>
      <c r="AB202" s="1342"/>
      <c r="AC202" s="1348"/>
      <c r="AD202" s="1126"/>
      <c r="AE202" s="1252"/>
    </row>
    <row r="203" spans="1:43" ht="27" customHeight="1" x14ac:dyDescent="0.3">
      <c r="A203" s="934" t="s">
        <v>187</v>
      </c>
      <c r="B203" s="1346"/>
      <c r="C203" s="1126"/>
      <c r="D203" s="1243"/>
      <c r="E203" s="1443"/>
      <c r="F203" s="1441"/>
      <c r="G203" s="1442"/>
      <c r="H203" s="1288"/>
      <c r="I203" s="1153"/>
      <c r="J203" s="1217"/>
      <c r="K203" s="768"/>
      <c r="L203" s="768"/>
      <c r="M203" s="769"/>
      <c r="N203" s="1288"/>
      <c r="O203" s="1153"/>
      <c r="P203" s="1217"/>
      <c r="Q203" s="1202"/>
      <c r="R203" s="1126"/>
      <c r="S203" s="1243"/>
      <c r="T203" s="1118"/>
      <c r="U203" s="1153"/>
      <c r="V203" s="1137"/>
      <c r="W203" s="1387"/>
      <c r="X203" s="1367"/>
      <c r="Y203" s="1423"/>
      <c r="Z203" s="1288"/>
      <c r="AA203" s="1153"/>
      <c r="AB203" s="1342"/>
      <c r="AC203" s="1348"/>
      <c r="AD203" s="1126"/>
      <c r="AE203" s="1252"/>
    </row>
    <row r="204" spans="1:43" ht="21.75" customHeight="1" x14ac:dyDescent="0.25">
      <c r="A204" s="935"/>
      <c r="B204" s="1346"/>
      <c r="C204" s="1126"/>
      <c r="D204" s="1244"/>
      <c r="E204" s="1443"/>
      <c r="F204" s="1441"/>
      <c r="G204" s="1442"/>
      <c r="H204" s="1335"/>
      <c r="I204" s="1153"/>
      <c r="J204" s="1217"/>
      <c r="K204" s="770"/>
      <c r="L204" s="770"/>
      <c r="M204" s="771"/>
      <c r="N204" s="1288"/>
      <c r="O204" s="1153"/>
      <c r="P204" s="1218"/>
      <c r="Q204" s="1202"/>
      <c r="R204" s="1126"/>
      <c r="S204" s="1243"/>
      <c r="T204" s="1118"/>
      <c r="U204" s="1153"/>
      <c r="V204" s="1137"/>
      <c r="W204" s="1388"/>
      <c r="X204" s="1368"/>
      <c r="Y204" s="1424"/>
      <c r="Z204" s="1288"/>
      <c r="AA204" s="1153"/>
      <c r="AB204" s="1342"/>
      <c r="AC204" s="1348"/>
      <c r="AD204" s="1126"/>
      <c r="AE204" s="1253"/>
    </row>
    <row r="205" spans="1:43" ht="27" customHeight="1" x14ac:dyDescent="0.3">
      <c r="A205" s="1143" t="s">
        <v>186</v>
      </c>
      <c r="B205" s="1069" t="s">
        <v>86</v>
      </c>
      <c r="C205" s="940"/>
      <c r="D205" s="940"/>
      <c r="E205" s="940"/>
      <c r="F205" s="940"/>
      <c r="G205" s="1070"/>
      <c r="H205" s="1287" t="s">
        <v>120</v>
      </c>
      <c r="I205" s="1182" t="s">
        <v>579</v>
      </c>
      <c r="J205" s="1216" t="s">
        <v>166</v>
      </c>
      <c r="K205" s="1201"/>
      <c r="L205" s="1197"/>
      <c r="M205" s="1256"/>
      <c r="N205" s="1000"/>
      <c r="O205" s="967"/>
      <c r="P205" s="967"/>
      <c r="Q205" s="967"/>
      <c r="R205" s="967"/>
      <c r="S205" s="1139"/>
      <c r="T205" s="1118"/>
      <c r="U205" s="1153"/>
      <c r="V205" s="1137"/>
      <c r="W205" s="198"/>
      <c r="Y205" s="32"/>
      <c r="Z205" s="1000"/>
      <c r="AA205" s="967"/>
      <c r="AB205" s="967"/>
      <c r="AC205" s="967"/>
      <c r="AD205" s="967"/>
      <c r="AE205" s="1139"/>
      <c r="AH205" s="394"/>
      <c r="AI205" s="394"/>
      <c r="AJ205" s="394"/>
      <c r="AK205" s="394"/>
      <c r="AL205" s="394"/>
      <c r="AM205" s="394"/>
    </row>
    <row r="206" spans="1:43" ht="21.75" customHeight="1" x14ac:dyDescent="0.25">
      <c r="A206" s="1143"/>
      <c r="B206" s="1248" t="s">
        <v>160</v>
      </c>
      <c r="C206" s="1249"/>
      <c r="D206" s="1249"/>
      <c r="E206" s="1249"/>
      <c r="F206" s="1249"/>
      <c r="G206" s="1250"/>
      <c r="H206" s="1288"/>
      <c r="I206" s="1153"/>
      <c r="J206" s="1217"/>
      <c r="K206" s="1202"/>
      <c r="L206" s="1126"/>
      <c r="M206" s="1243"/>
      <c r="N206" s="1430"/>
      <c r="O206" s="1431"/>
      <c r="P206" s="1431"/>
      <c r="Q206" s="1431"/>
      <c r="R206" s="1431"/>
      <c r="S206" s="1432"/>
      <c r="T206" s="1119"/>
      <c r="U206" s="1154"/>
      <c r="V206" s="1138"/>
      <c r="W206" s="102"/>
      <c r="X206" s="102"/>
      <c r="Y206" s="103"/>
      <c r="Z206" s="1258"/>
      <c r="AA206" s="1259"/>
      <c r="AB206" s="1259"/>
      <c r="AC206" s="1259"/>
      <c r="AD206" s="1259"/>
      <c r="AE206" s="1260"/>
      <c r="AL206" s="1267"/>
      <c r="AM206" s="1268"/>
      <c r="AN206" s="1268"/>
      <c r="AO206" s="1268"/>
      <c r="AP206" s="1268"/>
      <c r="AQ206" s="1269"/>
    </row>
    <row r="207" spans="1:43" ht="27" customHeight="1" x14ac:dyDescent="0.3">
      <c r="A207" s="935" t="s">
        <v>188</v>
      </c>
      <c r="B207" s="1287" t="s">
        <v>521</v>
      </c>
      <c r="C207" s="1182" t="s">
        <v>579</v>
      </c>
      <c r="D207" s="1216" t="s">
        <v>577</v>
      </c>
      <c r="E207" s="428"/>
      <c r="F207" s="428"/>
      <c r="G207" s="812"/>
      <c r="H207" s="1288"/>
      <c r="I207" s="1153"/>
      <c r="J207" s="1217"/>
      <c r="K207" s="1202"/>
      <c r="L207" s="1126"/>
      <c r="M207" s="1243"/>
      <c r="N207" s="1000"/>
      <c r="O207" s="967"/>
      <c r="P207" s="967"/>
      <c r="Q207" s="967"/>
      <c r="R207" s="967"/>
      <c r="S207" s="1139"/>
      <c r="T207" s="1000"/>
      <c r="U207" s="967"/>
      <c r="V207" s="967"/>
      <c r="W207" s="967"/>
      <c r="X207" s="967"/>
      <c r="Y207" s="1139"/>
      <c r="Z207" s="1000"/>
      <c r="AA207" s="967"/>
      <c r="AB207" s="967"/>
      <c r="AC207" s="967"/>
      <c r="AD207" s="967"/>
      <c r="AE207" s="1139"/>
    </row>
    <row r="208" spans="1:43" ht="21.75" customHeight="1" x14ac:dyDescent="0.25">
      <c r="A208" s="1143"/>
      <c r="B208" s="1288"/>
      <c r="C208" s="1153"/>
      <c r="D208" s="1342"/>
      <c r="E208" s="661"/>
      <c r="F208" s="10"/>
      <c r="G208" s="10"/>
      <c r="H208" s="1288"/>
      <c r="I208" s="1154"/>
      <c r="J208" s="1218"/>
      <c r="K208" s="1202"/>
      <c r="L208" s="1126"/>
      <c r="M208" s="1243"/>
      <c r="N208" s="1430"/>
      <c r="O208" s="1431"/>
      <c r="P208" s="1431"/>
      <c r="Q208" s="1431"/>
      <c r="R208" s="1431"/>
      <c r="S208" s="1432"/>
      <c r="T208" s="1258"/>
      <c r="U208" s="1259"/>
      <c r="V208" s="1259"/>
      <c r="W208" s="1259"/>
      <c r="X208" s="1259"/>
      <c r="Y208" s="1260"/>
      <c r="Z208" s="1258"/>
      <c r="AA208" s="1259"/>
      <c r="AB208" s="1259"/>
      <c r="AC208" s="1259"/>
      <c r="AD208" s="1259"/>
      <c r="AE208" s="1260"/>
      <c r="AH208" s="20"/>
      <c r="AI208" s="1396"/>
      <c r="AJ208" s="1153"/>
      <c r="AK208" s="1429"/>
    </row>
    <row r="209" spans="1:37" ht="27" customHeight="1" x14ac:dyDescent="0.3">
      <c r="A209" s="935" t="s">
        <v>189</v>
      </c>
      <c r="B209" s="1288"/>
      <c r="C209" s="1153"/>
      <c r="D209" s="1217"/>
      <c r="E209" s="84"/>
      <c r="F209" s="84"/>
      <c r="G209" s="812"/>
      <c r="H209" s="1069" t="s">
        <v>521</v>
      </c>
      <c r="I209" s="940"/>
      <c r="J209" s="940"/>
      <c r="K209" s="940"/>
      <c r="L209" s="940"/>
      <c r="M209" s="1070"/>
      <c r="N209" s="1069" t="s">
        <v>120</v>
      </c>
      <c r="O209" s="940"/>
      <c r="P209" s="940"/>
      <c r="Q209" s="940"/>
      <c r="R209" s="940"/>
      <c r="S209" s="1070"/>
      <c r="T209" s="1025" t="s">
        <v>768</v>
      </c>
      <c r="U209" s="956"/>
      <c r="V209" s="956"/>
      <c r="W209" s="956"/>
      <c r="X209" s="956"/>
      <c r="Y209" s="680" t="s">
        <v>579</v>
      </c>
      <c r="Z209" s="1069" t="s">
        <v>768</v>
      </c>
      <c r="AA209" s="940"/>
      <c r="AB209" s="940"/>
      <c r="AC209" s="940"/>
      <c r="AD209" s="940"/>
      <c r="AE209" s="1070"/>
      <c r="AF209" s="33"/>
      <c r="AI209" s="1396"/>
      <c r="AJ209" s="1153"/>
      <c r="AK209" s="1429"/>
    </row>
    <row r="210" spans="1:37" ht="21.75" customHeight="1" x14ac:dyDescent="0.25">
      <c r="A210" s="1143"/>
      <c r="B210" s="1288"/>
      <c r="C210" s="1154"/>
      <c r="D210" s="1218"/>
      <c r="E210" s="813"/>
      <c r="F210" s="813"/>
      <c r="G210" s="814"/>
      <c r="H210" s="1248" t="s">
        <v>160</v>
      </c>
      <c r="I210" s="1249"/>
      <c r="J210" s="1249"/>
      <c r="K210" s="1249"/>
      <c r="L210" s="1249"/>
      <c r="M210" s="1250"/>
      <c r="N210" s="1248" t="s">
        <v>160</v>
      </c>
      <c r="O210" s="1249"/>
      <c r="P210" s="1249"/>
      <c r="Q210" s="1249"/>
      <c r="R210" s="1249"/>
      <c r="S210" s="1250"/>
      <c r="T210" s="1267"/>
      <c r="U210" s="1268"/>
      <c r="V210" s="1268"/>
      <c r="W210" s="1268"/>
      <c r="X210" s="1268"/>
      <c r="Y210" s="1269"/>
      <c r="Z210" s="1248"/>
      <c r="AA210" s="1249"/>
      <c r="AB210" s="1249"/>
      <c r="AC210" s="1249"/>
      <c r="AD210" s="1249"/>
      <c r="AE210" s="1250"/>
      <c r="AF210" s="33"/>
      <c r="AI210" s="1396"/>
      <c r="AJ210" s="1153"/>
      <c r="AK210" s="1429"/>
    </row>
    <row r="211" spans="1:37" ht="27" customHeight="1" x14ac:dyDescent="0.3">
      <c r="A211" s="998" t="s">
        <v>190</v>
      </c>
      <c r="B211" s="1160"/>
      <c r="C211" s="1161"/>
      <c r="D211" s="1161"/>
      <c r="E211" s="1161"/>
      <c r="F211" s="1161"/>
      <c r="G211" s="1162"/>
      <c r="H211" s="1069" t="s">
        <v>521</v>
      </c>
      <c r="I211" s="940"/>
      <c r="J211" s="940"/>
      <c r="K211" s="940"/>
      <c r="L211" s="940"/>
      <c r="M211" s="1070"/>
      <c r="N211" s="1420" t="s">
        <v>120</v>
      </c>
      <c r="O211" s="1421"/>
      <c r="P211" s="1421"/>
      <c r="Q211" s="1421"/>
      <c r="R211" s="1421"/>
      <c r="S211" s="1422"/>
      <c r="T211" s="1025" t="s">
        <v>768</v>
      </c>
      <c r="U211" s="956"/>
      <c r="V211" s="956"/>
      <c r="W211" s="956"/>
      <c r="X211" s="956"/>
      <c r="Y211" s="680" t="s">
        <v>579</v>
      </c>
      <c r="Z211" s="1420" t="s">
        <v>768</v>
      </c>
      <c r="AA211" s="1421"/>
      <c r="AB211" s="1421"/>
      <c r="AC211" s="1421"/>
      <c r="AD211" s="1421"/>
      <c r="AE211" s="1422"/>
      <c r="AF211" s="33"/>
      <c r="AI211" s="1396"/>
      <c r="AJ211" s="1153"/>
      <c r="AK211" s="1429"/>
    </row>
    <row r="212" spans="1:37" ht="21.75" customHeight="1" thickBot="1" x14ac:dyDescent="0.3">
      <c r="A212" s="997"/>
      <c r="B212" s="1166"/>
      <c r="C212" s="1167"/>
      <c r="D212" s="1167"/>
      <c r="E212" s="1167"/>
      <c r="F212" s="1167"/>
      <c r="G212" s="1168"/>
      <c r="H212" s="1248" t="s">
        <v>160</v>
      </c>
      <c r="I212" s="1249"/>
      <c r="J212" s="1249"/>
      <c r="K212" s="1249"/>
      <c r="L212" s="1249"/>
      <c r="M212" s="1250"/>
      <c r="N212" s="1248" t="s">
        <v>160</v>
      </c>
      <c r="O212" s="1249"/>
      <c r="P212" s="1249"/>
      <c r="Q212" s="1249"/>
      <c r="R212" s="1249"/>
      <c r="S212" s="1250"/>
      <c r="T212" s="1267"/>
      <c r="U212" s="1268"/>
      <c r="V212" s="1268"/>
      <c r="W212" s="1268"/>
      <c r="X212" s="1268"/>
      <c r="Y212" s="1269"/>
      <c r="Z212" s="1425"/>
      <c r="AA212" s="1426"/>
      <c r="AB212" s="1426"/>
      <c r="AC212" s="1426"/>
      <c r="AD212" s="1426"/>
      <c r="AE212" s="1427"/>
      <c r="AF212" s="33"/>
    </row>
    <row r="213" spans="1:37" ht="27" customHeight="1" x14ac:dyDescent="0.25">
      <c r="A213" s="443"/>
      <c r="B213" s="1440"/>
      <c r="C213" s="1440"/>
      <c r="D213" s="1440"/>
      <c r="E213" s="1440"/>
      <c r="F213" s="1440"/>
      <c r="G213" s="1440"/>
      <c r="H213" s="1440"/>
      <c r="I213" s="1440"/>
      <c r="J213" s="1440"/>
      <c r="K213" s="1440"/>
      <c r="L213" s="1440"/>
      <c r="M213" s="1440"/>
      <c r="N213" s="1440"/>
      <c r="O213" s="1440"/>
      <c r="P213" s="1440"/>
      <c r="Q213" s="1440"/>
      <c r="R213" s="1440"/>
      <c r="S213" s="1440"/>
      <c r="T213" s="1440"/>
      <c r="U213" s="1440"/>
      <c r="V213" s="1440"/>
      <c r="W213" s="1440"/>
      <c r="X213" s="1440"/>
      <c r="Y213" s="1440"/>
      <c r="Z213" s="86"/>
      <c r="AA213" s="86"/>
      <c r="AB213" s="86"/>
      <c r="AC213" s="86"/>
      <c r="AD213" s="86"/>
      <c r="AE213" s="86"/>
    </row>
    <row r="214" spans="1:37" ht="26.25" customHeight="1" thickBot="1" x14ac:dyDescent="0.3"/>
    <row r="215" spans="1:37" ht="18.75" customHeight="1" x14ac:dyDescent="0.25">
      <c r="A215" s="1246" t="s">
        <v>218</v>
      </c>
      <c r="B215" s="1247"/>
      <c r="C215" s="1247" t="s">
        <v>219</v>
      </c>
      <c r="D215" s="1247"/>
      <c r="E215" s="1247"/>
      <c r="F215" s="1247"/>
      <c r="G215" s="1247"/>
      <c r="H215" s="1247"/>
      <c r="I215" s="1247"/>
      <c r="J215" s="1247"/>
      <c r="K215" s="1247"/>
      <c r="L215" s="91"/>
      <c r="M215" s="1266" t="s">
        <v>316</v>
      </c>
      <c r="N215" s="1266"/>
      <c r="O215" s="1247" t="s">
        <v>143</v>
      </c>
      <c r="P215" s="1247"/>
      <c r="Q215" s="1247" t="s">
        <v>167</v>
      </c>
      <c r="R215" s="1247"/>
      <c r="S215" s="1247"/>
      <c r="T215" s="1247"/>
      <c r="U215" s="1247"/>
      <c r="V215" s="1247"/>
      <c r="W215" s="1247"/>
      <c r="X215" s="1247"/>
      <c r="Y215" s="1247"/>
      <c r="Z215" s="1247"/>
      <c r="AA215" s="1247"/>
      <c r="AB215" s="1247"/>
      <c r="AC215" s="1247"/>
      <c r="AD215" s="1247"/>
      <c r="AE215" s="1428"/>
    </row>
    <row r="216" spans="1:37" ht="13.8" x14ac:dyDescent="0.25">
      <c r="A216" s="1065" t="str">
        <f>VLOOKUP(M216,ASIGNATURAS!$F$1:$L$1022, 3, FALSE)</f>
        <v>INFIND</v>
      </c>
      <c r="B216" s="1245"/>
      <c r="C216" s="983" t="str">
        <f>VLOOKUP(M216,ASIGNATURAS!$F$1:$L$1022, 4, FALSE)</f>
        <v>Informática Industrial</v>
      </c>
      <c r="D216" s="983"/>
      <c r="E216" s="983"/>
      <c r="F216" s="983"/>
      <c r="G216" s="983"/>
      <c r="H216" s="983"/>
      <c r="I216" s="983"/>
      <c r="J216" s="983"/>
      <c r="K216" s="983"/>
      <c r="L216" s="983"/>
      <c r="M216" s="972">
        <v>6422</v>
      </c>
      <c r="N216" s="972"/>
      <c r="O216" s="972">
        <f>VLOOKUP(M216,ASIGNATURAS!$F$1:$L$1022, 5, FALSE)</f>
        <v>6</v>
      </c>
      <c r="P216" s="972"/>
      <c r="Q216" s="983" t="str">
        <f>VLOOKUP(M216,ASIGNATURAS!$F$1:$L$1022, 6, FALSE)</f>
        <v>José Luis Jabato</v>
      </c>
      <c r="R216" s="983"/>
      <c r="S216" s="983"/>
      <c r="T216" s="983"/>
      <c r="U216" s="983"/>
      <c r="V216" s="983"/>
      <c r="W216" s="983"/>
      <c r="X216" s="983"/>
      <c r="Y216" s="983"/>
      <c r="Z216" s="983"/>
      <c r="AA216" s="983"/>
      <c r="AB216" s="983"/>
      <c r="AC216" s="983"/>
      <c r="AD216" s="983"/>
      <c r="AE216" s="1018"/>
    </row>
    <row r="217" spans="1:37" ht="13.8" x14ac:dyDescent="0.25">
      <c r="A217" s="1065" t="str">
        <f>VLOOKUP(M217,ASIGNATURAS!$F$1:$L$1022, 3, FALSE)</f>
        <v>OFICINA TÉCNICA</v>
      </c>
      <c r="B217" s="1245"/>
      <c r="C217" s="983" t="str">
        <f>VLOOKUP(M217,ASIGNATURAS!$F$1:$L$1022, 4, FALSE)</f>
        <v>Oficina Técnica</v>
      </c>
      <c r="D217" s="983"/>
      <c r="E217" s="983"/>
      <c r="F217" s="983"/>
      <c r="G217" s="983"/>
      <c r="H217" s="983"/>
      <c r="I217" s="983"/>
      <c r="J217" s="983"/>
      <c r="K217" s="983"/>
      <c r="L217" s="983"/>
      <c r="M217" s="972">
        <v>6423</v>
      </c>
      <c r="N217" s="972"/>
      <c r="O217" s="972">
        <f>VLOOKUP(M217,ASIGNATURAS!$F$1:$L$1022, 5, FALSE)</f>
        <v>6</v>
      </c>
      <c r="P217" s="972"/>
      <c r="Q217" s="983" t="str">
        <f>VLOOKUP(M217,ASIGNATURAS!$F$1:$L$1022, 6, FALSE)</f>
        <v xml:space="preserve">Raúl Zamora </v>
      </c>
      <c r="R217" s="983"/>
      <c r="S217" s="983"/>
      <c r="T217" s="983"/>
      <c r="U217" s="983"/>
      <c r="V217" s="983"/>
      <c r="W217" s="983"/>
      <c r="X217" s="983"/>
      <c r="Y217" s="983"/>
      <c r="Z217" s="983"/>
      <c r="AA217" s="983"/>
      <c r="AB217" s="983"/>
      <c r="AC217" s="983"/>
      <c r="AD217" s="983"/>
      <c r="AE217" s="1018"/>
    </row>
    <row r="218" spans="1:37" ht="13.8" x14ac:dyDescent="0.25">
      <c r="A218" s="1065" t="str">
        <f>VLOOKUP(M218,ASIGNATURAS!$F$1:$L$1022, 3, FALSE)</f>
        <v>ELECTRON. IND.</v>
      </c>
      <c r="B218" s="1245"/>
      <c r="C218" s="983" t="str">
        <f>VLOOKUP(M218,ASIGNATURAS!$F$1:$L$1022, 4, FALSE)</f>
        <v>Aplicación de la Electrónica Industrial</v>
      </c>
      <c r="D218" s="983"/>
      <c r="E218" s="983"/>
      <c r="F218" s="983"/>
      <c r="G218" s="983"/>
      <c r="H218" s="983"/>
      <c r="I218" s="983"/>
      <c r="J218" s="983"/>
      <c r="K218" s="983"/>
      <c r="L218" s="983"/>
      <c r="M218" s="972">
        <v>6424</v>
      </c>
      <c r="N218" s="972"/>
      <c r="O218" s="972" t="str">
        <f>VLOOKUP(M218,ASIGNATURAS!$F$1:$L$1022, 5, FALSE)</f>
        <v>6 (OP)</v>
      </c>
      <c r="P218" s="972"/>
      <c r="Q218" s="983" t="str">
        <f>VLOOKUP(M218,ASIGNATURAS!$F$1:$L$1022, 6, FALSE)</f>
        <v>Miguel Angel Lozano Pérez</v>
      </c>
      <c r="R218" s="983"/>
      <c r="S218" s="983"/>
      <c r="T218" s="983"/>
      <c r="U218" s="983"/>
      <c r="V218" s="983"/>
      <c r="W218" s="983"/>
      <c r="X218" s="983"/>
      <c r="Y218" s="983"/>
      <c r="Z218" s="983"/>
      <c r="AA218" s="983"/>
      <c r="AB218" s="983"/>
      <c r="AC218" s="983"/>
      <c r="AD218" s="983"/>
      <c r="AE218" s="1018"/>
      <c r="AG218" s="20"/>
    </row>
    <row r="219" spans="1:37" ht="13.8" x14ac:dyDescent="0.25">
      <c r="A219" s="1065" t="str">
        <f>VLOOKUP(M219,ASIGNATURAS!$F$1:$L$1022, 3, FALSE)</f>
        <v>INST SOLARES</v>
      </c>
      <c r="B219" s="1245"/>
      <c r="C219" s="983" t="str">
        <f>VLOOKUP(M219,ASIGNATURAS!$F$1:$L$1022, 4, FALSE)</f>
        <v>Automatización de instalaciones solares y eólicas</v>
      </c>
      <c r="D219" s="983"/>
      <c r="E219" s="983"/>
      <c r="F219" s="983"/>
      <c r="G219" s="983"/>
      <c r="H219" s="983"/>
      <c r="I219" s="983"/>
      <c r="J219" s="983"/>
      <c r="K219" s="983"/>
      <c r="L219" s="983"/>
      <c r="M219" s="972">
        <v>6425</v>
      </c>
      <c r="N219" s="972"/>
      <c r="O219" s="972" t="str">
        <f>VLOOKUP(M219,ASIGNATURAS!$F$1:$L$1022, 5, FALSE)</f>
        <v>6 (OP)</v>
      </c>
      <c r="P219" s="972"/>
      <c r="Q219" s="983" t="str">
        <f>VLOOKUP(M219,ASIGNATURAS!$F$1:$L$1022, 6, FALSE)</f>
        <v/>
      </c>
      <c r="R219" s="983"/>
      <c r="S219" s="983"/>
      <c r="T219" s="983"/>
      <c r="U219" s="983"/>
      <c r="V219" s="983"/>
      <c r="W219" s="983"/>
      <c r="X219" s="983"/>
      <c r="Y219" s="983"/>
      <c r="Z219" s="983"/>
      <c r="AA219" s="983"/>
      <c r="AB219" s="983"/>
      <c r="AC219" s="983"/>
      <c r="AD219" s="983"/>
      <c r="AE219" s="1018"/>
    </row>
    <row r="220" spans="1:37" ht="13.8" x14ac:dyDescent="0.25">
      <c r="A220" s="1065" t="str">
        <f>VLOOKUP(M220,ASIGNATURAS!$F$1:$L$1022, 3, FALSE)</f>
        <v>RENOVABLES</v>
      </c>
      <c r="B220" s="1245"/>
      <c r="C220" s="983" t="str">
        <f>VLOOKUP(M220,ASIGNATURAS!$F$1:$L$1022, 4, FALSE)</f>
        <v>Energías Renovables</v>
      </c>
      <c r="D220" s="983"/>
      <c r="E220" s="983"/>
      <c r="F220" s="983"/>
      <c r="G220" s="983"/>
      <c r="H220" s="983"/>
      <c r="I220" s="983"/>
      <c r="J220" s="983"/>
      <c r="K220" s="983"/>
      <c r="L220" s="983"/>
      <c r="M220" s="972">
        <v>6426</v>
      </c>
      <c r="N220" s="972"/>
      <c r="O220" s="972" t="str">
        <f>VLOOKUP(M220,ASIGNATURAS!$F$1:$L$1022, 5, FALSE)</f>
        <v>6 (OP)</v>
      </c>
      <c r="P220" s="972"/>
      <c r="Q220" s="983" t="str">
        <f>VLOOKUP(M220,ASIGNATURAS!$F$1:$L$1022, 6, FALSE)</f>
        <v>Manuel Iván González Martín</v>
      </c>
      <c r="R220" s="983"/>
      <c r="S220" s="983"/>
      <c r="T220" s="983"/>
      <c r="U220" s="983"/>
      <c r="V220" s="983"/>
      <c r="W220" s="983"/>
      <c r="X220" s="983"/>
      <c r="Y220" s="983"/>
      <c r="Z220" s="983"/>
      <c r="AA220" s="983"/>
      <c r="AB220" s="983"/>
      <c r="AC220" s="983"/>
      <c r="AD220" s="983"/>
      <c r="AE220" s="1018"/>
    </row>
    <row r="221" spans="1:37" ht="13.8" x14ac:dyDescent="0.25">
      <c r="A221" s="1065" t="str">
        <f>VLOOKUP(M221,ASIGNATURAS!$F$1:$L$1022, 3, FALSE)</f>
        <v>PREV. RIESGOS</v>
      </c>
      <c r="B221" s="1245"/>
      <c r="C221" s="983" t="str">
        <f>VLOOKUP(M221,ASIGNATURAS!$F$1:$L$1022, 4, FALSE)</f>
        <v>Seguridad y Prevención de Riesgos</v>
      </c>
      <c r="D221" s="983"/>
      <c r="E221" s="983"/>
      <c r="F221" s="983"/>
      <c r="G221" s="983"/>
      <c r="H221" s="983"/>
      <c r="I221" s="983"/>
      <c r="J221" s="983"/>
      <c r="K221" s="983"/>
      <c r="L221" s="983"/>
      <c r="M221" s="972">
        <v>6427</v>
      </c>
      <c r="N221" s="972"/>
      <c r="O221" s="972" t="str">
        <f>VLOOKUP(M221,ASIGNATURAS!$F$1:$L$1022, 5, FALSE)</f>
        <v>6 (OP)</v>
      </c>
      <c r="P221" s="972"/>
      <c r="Q221" s="983" t="str">
        <f>VLOOKUP(M221,ASIGNATURAS!$F$1:$L$1022, 6, FALSE)</f>
        <v/>
      </c>
      <c r="R221" s="983"/>
      <c r="S221" s="983"/>
      <c r="T221" s="983"/>
      <c r="U221" s="983"/>
      <c r="V221" s="983"/>
      <c r="W221" s="983"/>
      <c r="X221" s="983"/>
      <c r="Y221" s="983"/>
      <c r="Z221" s="983"/>
      <c r="AA221" s="983"/>
      <c r="AB221" s="983"/>
      <c r="AC221" s="983"/>
      <c r="AD221" s="983"/>
      <c r="AE221" s="1018"/>
      <c r="AG221" s="20"/>
    </row>
    <row r="222" spans="1:37" ht="13.8" x14ac:dyDescent="0.25">
      <c r="A222" s="1065" t="str">
        <f>VLOOKUP(M222,ASIGNATURAS!$F$1:$L$1022, 3, FALSE)</f>
        <v>INTEG S.E.</v>
      </c>
      <c r="B222" s="1245"/>
      <c r="C222" s="983" t="str">
        <f>VLOOKUP(M222,ASIGNATURAS!$F$1:$L$1022, 4, FALSE)</f>
        <v>Integración de los Sist. Electron.</v>
      </c>
      <c r="D222" s="983"/>
      <c r="E222" s="983"/>
      <c r="F222" s="983"/>
      <c r="G222" s="983"/>
      <c r="H222" s="983"/>
      <c r="I222" s="983"/>
      <c r="J222" s="983"/>
      <c r="K222" s="983"/>
      <c r="L222" s="983"/>
      <c r="M222" s="972">
        <v>6428</v>
      </c>
      <c r="N222" s="972"/>
      <c r="O222" s="972" t="str">
        <f>VLOOKUP(M222,ASIGNATURAS!$F$1:$L$1022, 5, FALSE)</f>
        <v>6 (OP)</v>
      </c>
      <c r="P222" s="972"/>
      <c r="Q222" s="983" t="str">
        <f>VLOOKUP(M222,ASIGNATURAS!$F$1:$L$1022, 6, FALSE)</f>
        <v>Miguel Angel Lozano Pérez</v>
      </c>
      <c r="R222" s="983"/>
      <c r="S222" s="983"/>
      <c r="T222" s="983"/>
      <c r="U222" s="983"/>
      <c r="V222" s="983"/>
      <c r="W222" s="983"/>
      <c r="X222" s="983"/>
      <c r="Y222" s="983"/>
      <c r="Z222" s="983"/>
      <c r="AA222" s="983"/>
      <c r="AB222" s="983"/>
      <c r="AC222" s="983"/>
      <c r="AD222" s="983"/>
      <c r="AE222" s="1018"/>
    </row>
    <row r="223" spans="1:37" ht="13.8" x14ac:dyDescent="0.25">
      <c r="A223" s="1065" t="str">
        <f>VLOOKUP(M223,ASIGNATURAS!$F$1:$L$1022, 3, FALSE)</f>
        <v>INSTAL. ELEC.</v>
      </c>
      <c r="B223" s="1245"/>
      <c r="C223" s="983" t="str">
        <f>VLOOKUP(M223,ASIGNATURAS!$F$1:$L$1022, 4, FALSE)</f>
        <v>Instalaciones Eléctricas</v>
      </c>
      <c r="D223" s="983"/>
      <c r="E223" s="983"/>
      <c r="F223" s="983"/>
      <c r="G223" s="983"/>
      <c r="H223" s="983"/>
      <c r="I223" s="983"/>
      <c r="J223" s="983"/>
      <c r="K223" s="983"/>
      <c r="L223" s="983"/>
      <c r="M223" s="972">
        <v>6429</v>
      </c>
      <c r="N223" s="972"/>
      <c r="O223" s="972" t="str">
        <f>VLOOKUP(M223,ASIGNATURAS!$F$1:$L$1022, 5, FALSE)</f>
        <v>6 (OP)</v>
      </c>
      <c r="P223" s="972"/>
      <c r="Q223" s="983" t="str">
        <f>VLOOKUP(M223,ASIGNATURAS!$F$1:$L$1022, 6, FALSE)</f>
        <v>Vanesa Fernández Cavero</v>
      </c>
      <c r="R223" s="983"/>
      <c r="S223" s="983"/>
      <c r="T223" s="983"/>
      <c r="U223" s="983"/>
      <c r="V223" s="983"/>
      <c r="W223" s="983"/>
      <c r="X223" s="983"/>
      <c r="Y223" s="983"/>
      <c r="Z223" s="983"/>
      <c r="AA223" s="983"/>
      <c r="AB223" s="983"/>
      <c r="AC223" s="983"/>
      <c r="AD223" s="983"/>
      <c r="AE223" s="1018"/>
    </row>
    <row r="224" spans="1:37" ht="14.4" thickBot="1" x14ac:dyDescent="0.3">
      <c r="A224" s="1097" t="str">
        <f>VLOOKUP(M224,ASIGNATURAS!$F$1:$L$1022, 3, FALSE)</f>
        <v>DAO</v>
      </c>
      <c r="B224" s="1280"/>
      <c r="C224" s="1089" t="str">
        <f>VLOOKUP(M224,ASIGNATURAS!$F$1:$L$1022, 4, FALSE)</f>
        <v>Diseño Asistido por Ordenador</v>
      </c>
      <c r="D224" s="1089"/>
      <c r="E224" s="1089"/>
      <c r="F224" s="1089"/>
      <c r="G224" s="1089"/>
      <c r="H224" s="1089"/>
      <c r="I224" s="1089"/>
      <c r="J224" s="1089"/>
      <c r="K224" s="1089"/>
      <c r="L224" s="1089"/>
      <c r="M224" s="1279">
        <v>6430</v>
      </c>
      <c r="N224" s="1279"/>
      <c r="O224" s="1279" t="str">
        <f>VLOOKUP(M224,ASIGNATURAS!$F$1:$L$1022, 5, FALSE)</f>
        <v>6 (OP)</v>
      </c>
      <c r="P224" s="1279"/>
      <c r="Q224" s="1089" t="str">
        <f>VLOOKUP(M224,ASIGNATURAS!$F$1:$L$1022, 6, FALSE)</f>
        <v>Carlos Melgosa Pedrosa</v>
      </c>
      <c r="R224" s="1089"/>
      <c r="S224" s="1089"/>
      <c r="T224" s="1089"/>
      <c r="U224" s="1089"/>
      <c r="V224" s="1089"/>
      <c r="W224" s="1089"/>
      <c r="X224" s="1089"/>
      <c r="Y224" s="1089"/>
      <c r="Z224" s="1089"/>
      <c r="AA224" s="1089"/>
      <c r="AB224" s="1089"/>
      <c r="AC224" s="1089"/>
      <c r="AD224" s="1089"/>
      <c r="AE224" s="1090"/>
    </row>
    <row r="226" spans="1:32" ht="24" customHeight="1" thickBot="1" x14ac:dyDescent="0.3"/>
    <row r="227" spans="1:32" ht="15.6" thickBot="1" x14ac:dyDescent="0.3">
      <c r="A227" s="1273" t="s">
        <v>1044</v>
      </c>
      <c r="B227" s="1274"/>
      <c r="C227" s="1274"/>
      <c r="D227" s="1274"/>
      <c r="E227" s="1275"/>
      <c r="G227" s="1276" t="s">
        <v>1045</v>
      </c>
      <c r="H227" s="1277"/>
      <c r="I227" s="1277"/>
      <c r="J227" s="1277"/>
      <c r="K227" s="1277"/>
      <c r="L227" s="1277"/>
      <c r="M227" s="1277"/>
      <c r="N227" s="1278"/>
    </row>
    <row r="229" spans="1:32" s="1" customFormat="1" ht="31.5" customHeight="1" thickBot="1" x14ac:dyDescent="0.45">
      <c r="A229" s="25" t="s">
        <v>217</v>
      </c>
      <c r="B229"/>
      <c r="C229"/>
      <c r="D229"/>
      <c r="E229"/>
      <c r="F229"/>
      <c r="G229"/>
      <c r="H229"/>
      <c r="I229"/>
      <c r="J229"/>
      <c r="K229"/>
      <c r="L229"/>
      <c r="M229"/>
      <c r="N229"/>
      <c r="O229"/>
      <c r="P229"/>
      <c r="Q229"/>
      <c r="R229"/>
      <c r="S229"/>
      <c r="T229"/>
      <c r="U229"/>
      <c r="V229"/>
      <c r="W229"/>
      <c r="X229"/>
      <c r="Y229"/>
      <c r="Z229"/>
      <c r="AA229"/>
      <c r="AB229"/>
      <c r="AC229"/>
      <c r="AD229"/>
      <c r="AE229"/>
    </row>
    <row r="230" spans="1:32" s="8" customFormat="1" ht="23.25" customHeight="1" thickBot="1" x14ac:dyDescent="0.45">
      <c r="A230" s="1094" t="str">
        <f>VLOOKUP(A233,ASIGNATURAS!$A$2:$D$151, 3, FALSE)</f>
        <v>4º Grado en Ingeniería Electrónica Industrial y Automática</v>
      </c>
      <c r="B230" s="1095"/>
      <c r="C230" s="1095"/>
      <c r="D230" s="1095"/>
      <c r="E230" s="1095"/>
      <c r="F230" s="1095"/>
      <c r="G230" s="1095"/>
      <c r="H230" s="1095"/>
      <c r="I230" s="1095"/>
      <c r="J230" s="1095"/>
      <c r="K230" s="1095"/>
      <c r="L230" s="1095"/>
      <c r="M230" s="1095"/>
      <c r="N230" s="1095"/>
      <c r="O230" s="1095"/>
      <c r="P230" s="1095"/>
      <c r="Q230" s="1095"/>
      <c r="R230" s="1095"/>
      <c r="S230" s="1095"/>
      <c r="T230" s="1095"/>
      <c r="U230" s="1095"/>
      <c r="V230" s="1095"/>
      <c r="W230" s="1095"/>
      <c r="X230" s="1095"/>
      <c r="Y230" s="1096"/>
      <c r="Z230" s="1076" t="str">
        <f>Z189</f>
        <v>Curso 2024-2025</v>
      </c>
      <c r="AA230" s="1077"/>
      <c r="AB230" s="1077"/>
      <c r="AC230" s="1077"/>
      <c r="AD230" s="1077"/>
      <c r="AE230" s="1078"/>
    </row>
    <row r="231" spans="1:32" s="8" customFormat="1" ht="23.25" customHeight="1" thickBot="1" x14ac:dyDescent="0.45">
      <c r="A231" s="1083" t="str">
        <f>VLOOKUP(A233,ASIGNATURAS!$A$2:$D$151, 2, FALSE)</f>
        <v>Semestre temporal: 2º        (8º Semestre Académico)</v>
      </c>
      <c r="B231" s="1084"/>
      <c r="C231" s="1084"/>
      <c r="D231" s="1084"/>
      <c r="E231" s="1084"/>
      <c r="F231" s="1084"/>
      <c r="G231" s="1084"/>
      <c r="H231" s="1084"/>
      <c r="I231" s="1084"/>
      <c r="J231" s="1084"/>
      <c r="K231" s="1084"/>
      <c r="L231" s="1084"/>
      <c r="M231" s="1084"/>
      <c r="N231" s="1084"/>
      <c r="O231" s="1084"/>
      <c r="P231" s="1084"/>
      <c r="Q231" s="1084"/>
      <c r="R231" s="1084"/>
      <c r="S231" s="1084"/>
      <c r="T231" s="1084"/>
      <c r="U231" s="1084"/>
      <c r="V231" s="1084"/>
      <c r="W231" s="1084"/>
      <c r="X231" s="1084"/>
      <c r="Y231" s="1085"/>
      <c r="Z231" s="1072" t="s">
        <v>162</v>
      </c>
      <c r="AA231" s="1072"/>
      <c r="AB231" s="1072"/>
      <c r="AC231" s="1072"/>
      <c r="AD231" s="1072"/>
      <c r="AE231" s="1073"/>
    </row>
    <row r="232" spans="1:32" ht="38.25" customHeight="1" thickBot="1" x14ac:dyDescent="0.3">
      <c r="A232" s="1083" t="s">
        <v>181</v>
      </c>
      <c r="B232" s="1084"/>
      <c r="C232" s="1084"/>
      <c r="D232" s="1084"/>
      <c r="E232" s="1084"/>
      <c r="F232" s="1084"/>
      <c r="G232" s="1084"/>
      <c r="H232" s="1084"/>
      <c r="I232" s="1084"/>
      <c r="J232" s="1084"/>
      <c r="K232" s="1084"/>
      <c r="L232" s="1084"/>
      <c r="M232" s="1084"/>
      <c r="N232" s="1084"/>
      <c r="O232" s="1084"/>
      <c r="P232" s="1084"/>
      <c r="Q232" s="1084"/>
      <c r="R232" s="1084"/>
      <c r="S232" s="1084"/>
      <c r="T232" s="1084"/>
      <c r="U232" s="1084"/>
      <c r="V232" s="1084"/>
      <c r="W232" s="1084"/>
      <c r="X232" s="1084"/>
      <c r="Y232" s="1085"/>
      <c r="Z232" s="1074"/>
      <c r="AA232" s="1074"/>
      <c r="AB232" s="1074"/>
      <c r="AC232" s="1074"/>
      <c r="AD232" s="1074"/>
      <c r="AE232" s="1075"/>
    </row>
    <row r="233" spans="1:32" s="2" customFormat="1" ht="24" customHeight="1" thickBot="1" x14ac:dyDescent="0.3">
      <c r="A233" s="9" t="s">
        <v>58</v>
      </c>
      <c r="B233"/>
      <c r="C233"/>
      <c r="D233"/>
      <c r="E233"/>
      <c r="F233"/>
      <c r="G233"/>
      <c r="H233"/>
      <c r="I233"/>
      <c r="J233"/>
      <c r="K233"/>
      <c r="L233"/>
      <c r="M233"/>
      <c r="N233"/>
      <c r="O233"/>
      <c r="P233"/>
      <c r="Q233"/>
      <c r="R233"/>
      <c r="S233"/>
      <c r="T233"/>
      <c r="U233"/>
      <c r="V233"/>
      <c r="W233"/>
      <c r="X233"/>
      <c r="Y233"/>
      <c r="Z233"/>
      <c r="AA233"/>
      <c r="AB233"/>
      <c r="AC233"/>
      <c r="AD233"/>
      <c r="AE233"/>
    </row>
    <row r="234" spans="1:32" ht="30" customHeight="1" thickBot="1" x14ac:dyDescent="0.3">
      <c r="A234" s="19" t="s">
        <v>1</v>
      </c>
      <c r="B234" s="1076" t="s">
        <v>2</v>
      </c>
      <c r="C234" s="1077"/>
      <c r="D234" s="1077"/>
      <c r="E234" s="1077"/>
      <c r="F234" s="1077"/>
      <c r="G234" s="1078"/>
      <c r="H234" s="1091" t="s">
        <v>3</v>
      </c>
      <c r="I234" s="1092"/>
      <c r="J234" s="1092"/>
      <c r="K234" s="1092"/>
      <c r="L234" s="1092"/>
      <c r="M234" s="1093"/>
      <c r="N234" s="1091" t="s">
        <v>139</v>
      </c>
      <c r="O234" s="1092"/>
      <c r="P234" s="1092"/>
      <c r="Q234" s="1092"/>
      <c r="R234" s="1092"/>
      <c r="S234" s="1093"/>
      <c r="T234" s="1076" t="s">
        <v>4</v>
      </c>
      <c r="U234" s="1077"/>
      <c r="V234" s="1077"/>
      <c r="W234" s="1077"/>
      <c r="X234" s="1077"/>
      <c r="Y234" s="1078"/>
      <c r="Z234" s="1076" t="s">
        <v>5</v>
      </c>
      <c r="AA234" s="1077"/>
      <c r="AB234" s="1077"/>
      <c r="AC234" s="1077"/>
      <c r="AD234" s="1077"/>
      <c r="AE234" s="1078"/>
    </row>
    <row r="235" spans="1:32" ht="30" customHeight="1" x14ac:dyDescent="0.3">
      <c r="A235" s="1292" t="s">
        <v>1131</v>
      </c>
      <c r="B235" s="1270" t="s">
        <v>89</v>
      </c>
      <c r="C235" s="1271"/>
      <c r="D235" s="1271"/>
      <c r="E235" s="1271"/>
      <c r="F235" s="1271"/>
      <c r="G235" s="1272"/>
      <c r="H235" s="1281" t="s">
        <v>89</v>
      </c>
      <c r="I235" s="1282"/>
      <c r="J235" s="1282"/>
      <c r="K235" s="1282"/>
      <c r="L235" s="1282"/>
      <c r="M235" s="1283"/>
      <c r="N235" s="1261"/>
      <c r="O235" s="1050"/>
      <c r="P235" s="1050"/>
      <c r="Q235" s="1050"/>
      <c r="R235" s="1050"/>
      <c r="S235" s="1262"/>
      <c r="T235" s="1261"/>
      <c r="U235" s="1050"/>
      <c r="V235" s="1050"/>
      <c r="W235" s="1050"/>
      <c r="X235" s="1050"/>
      <c r="Y235" s="1262"/>
      <c r="Z235" s="1261"/>
      <c r="AA235" s="1050"/>
      <c r="AB235" s="1050"/>
      <c r="AC235" s="1050"/>
      <c r="AD235" s="1050"/>
      <c r="AE235" s="1262"/>
    </row>
    <row r="236" spans="1:32" ht="30" customHeight="1" x14ac:dyDescent="0.25">
      <c r="A236" s="935"/>
      <c r="B236" s="1284" t="s">
        <v>162</v>
      </c>
      <c r="C236" s="1285"/>
      <c r="D236" s="1285"/>
      <c r="E236" s="1285"/>
      <c r="F236" s="1285"/>
      <c r="G236" s="1286"/>
      <c r="H236" s="1284" t="s">
        <v>162</v>
      </c>
      <c r="I236" s="1285"/>
      <c r="J236" s="1285"/>
      <c r="K236" s="1285"/>
      <c r="L236" s="1285"/>
      <c r="M236" s="1286"/>
      <c r="N236" s="1258"/>
      <c r="O236" s="1259"/>
      <c r="P236" s="1259"/>
      <c r="Q236" s="1259"/>
      <c r="R236" s="1259"/>
      <c r="S236" s="1260"/>
      <c r="T236" s="1258"/>
      <c r="U236" s="1259"/>
      <c r="V236" s="1259"/>
      <c r="W236" s="1259"/>
      <c r="X236" s="1259"/>
      <c r="Y236" s="1260"/>
      <c r="Z236" s="1258"/>
      <c r="AA236" s="1259"/>
      <c r="AB236" s="1259"/>
      <c r="AC236" s="1259"/>
      <c r="AD236" s="1259"/>
      <c r="AE236" s="1260"/>
      <c r="AF236" s="33"/>
    </row>
    <row r="237" spans="1:32" ht="30" customHeight="1" x14ac:dyDescent="0.3">
      <c r="A237" s="934" t="s">
        <v>187</v>
      </c>
      <c r="B237" s="1289" t="s">
        <v>520</v>
      </c>
      <c r="C237" s="1290"/>
      <c r="D237" s="1290"/>
      <c r="E237" s="1290"/>
      <c r="F237" s="1290"/>
      <c r="G237" s="1291"/>
      <c r="H237" s="1289" t="s">
        <v>520</v>
      </c>
      <c r="I237" s="1290"/>
      <c r="J237" s="1290"/>
      <c r="K237" s="1290"/>
      <c r="L237" s="1290"/>
      <c r="M237" s="1291"/>
      <c r="N237" s="1000"/>
      <c r="O237" s="967"/>
      <c r="P237" s="967"/>
      <c r="Q237" s="967"/>
      <c r="R237" s="967"/>
      <c r="S237" s="1139"/>
      <c r="T237" s="1000"/>
      <c r="U237" s="967"/>
      <c r="V237" s="967"/>
      <c r="W237" s="967"/>
      <c r="X237" s="967"/>
      <c r="Y237" s="1139"/>
      <c r="Z237" s="1000"/>
      <c r="AA237" s="967"/>
      <c r="AB237" s="967"/>
      <c r="AC237" s="967"/>
      <c r="AD237" s="967"/>
      <c r="AE237" s="1139"/>
    </row>
    <row r="238" spans="1:32" ht="30" customHeight="1" x14ac:dyDescent="0.25">
      <c r="A238" s="935"/>
      <c r="B238" s="1284" t="s">
        <v>162</v>
      </c>
      <c r="C238" s="1285"/>
      <c r="D238" s="1285"/>
      <c r="E238" s="1285"/>
      <c r="F238" s="1285"/>
      <c r="G238" s="1286"/>
      <c r="H238" s="1284" t="s">
        <v>162</v>
      </c>
      <c r="I238" s="1285"/>
      <c r="J238" s="1285"/>
      <c r="K238" s="1285"/>
      <c r="L238" s="1285"/>
      <c r="M238" s="1286"/>
      <c r="N238" s="1258"/>
      <c r="O238" s="1259"/>
      <c r="P238" s="1259"/>
      <c r="Q238" s="1259"/>
      <c r="R238" s="1259"/>
      <c r="S238" s="1260"/>
      <c r="T238" s="1258"/>
      <c r="U238" s="1259"/>
      <c r="V238" s="1259"/>
      <c r="W238" s="1259"/>
      <c r="X238" s="1259"/>
      <c r="Y238" s="1260"/>
      <c r="Z238" s="1258"/>
      <c r="AA238" s="1259"/>
      <c r="AB238" s="1259"/>
      <c r="AC238" s="1259"/>
      <c r="AD238" s="1259"/>
      <c r="AE238" s="1260"/>
      <c r="AF238" s="33"/>
    </row>
    <row r="239" spans="1:32" ht="30" customHeight="1" x14ac:dyDescent="0.3">
      <c r="A239" s="1143" t="s">
        <v>186</v>
      </c>
      <c r="B239" s="1287" t="s">
        <v>89</v>
      </c>
      <c r="C239" s="1182" t="s">
        <v>579</v>
      </c>
      <c r="D239" s="1216" t="s">
        <v>1287</v>
      </c>
      <c r="E239" s="1407"/>
      <c r="F239" s="1408"/>
      <c r="G239" s="1409"/>
      <c r="H239" s="1287" t="s">
        <v>520</v>
      </c>
      <c r="I239" s="1182" t="s">
        <v>579</v>
      </c>
      <c r="J239" s="1216" t="s">
        <v>577</v>
      </c>
      <c r="K239" s="1407"/>
      <c r="L239" s="1408"/>
      <c r="M239" s="1409"/>
      <c r="N239" s="1000"/>
      <c r="O239" s="967"/>
      <c r="P239" s="967"/>
      <c r="Q239" s="967"/>
      <c r="R239" s="967"/>
      <c r="S239" s="1139"/>
      <c r="T239" s="1000"/>
      <c r="U239" s="967"/>
      <c r="V239" s="967"/>
      <c r="W239" s="967"/>
      <c r="X239" s="967"/>
      <c r="Y239" s="1139"/>
      <c r="Z239" s="1000"/>
      <c r="AA239" s="967"/>
      <c r="AB239" s="967"/>
      <c r="AC239" s="967"/>
      <c r="AD239" s="967"/>
      <c r="AE239" s="1139"/>
    </row>
    <row r="240" spans="1:32" ht="30" customHeight="1" x14ac:dyDescent="0.25">
      <c r="A240" s="1143"/>
      <c r="B240" s="1288"/>
      <c r="C240" s="1153"/>
      <c r="D240" s="1217"/>
      <c r="E240" s="1410"/>
      <c r="F240" s="1411"/>
      <c r="G240" s="1412"/>
      <c r="H240" s="1288"/>
      <c r="I240" s="1153"/>
      <c r="J240" s="1217"/>
      <c r="K240" s="1410"/>
      <c r="L240" s="1411"/>
      <c r="M240" s="1412"/>
      <c r="N240" s="1258"/>
      <c r="O240" s="1259"/>
      <c r="P240" s="1259"/>
      <c r="Q240" s="1259"/>
      <c r="R240" s="1259"/>
      <c r="S240" s="1260"/>
      <c r="T240" s="1258"/>
      <c r="U240" s="1259"/>
      <c r="V240" s="1259"/>
      <c r="W240" s="1259"/>
      <c r="X240" s="1259"/>
      <c r="Y240" s="1260"/>
      <c r="Z240" s="1258"/>
      <c r="AA240" s="1259"/>
      <c r="AB240" s="1259"/>
      <c r="AC240" s="1259"/>
      <c r="AD240" s="1259"/>
      <c r="AE240" s="1260"/>
      <c r="AF240" s="33"/>
    </row>
    <row r="241" spans="1:41" ht="30" customHeight="1" x14ac:dyDescent="0.3">
      <c r="A241" s="935" t="s">
        <v>188</v>
      </c>
      <c r="B241" s="1288"/>
      <c r="C241" s="1153"/>
      <c r="D241" s="1217"/>
      <c r="E241" s="1410"/>
      <c r="F241" s="1411"/>
      <c r="G241" s="1412"/>
      <c r="H241" s="1288"/>
      <c r="I241" s="1153"/>
      <c r="J241" s="1217"/>
      <c r="K241" s="1410"/>
      <c r="L241" s="1411"/>
      <c r="M241" s="1412"/>
      <c r="N241" s="1000"/>
      <c r="O241" s="967"/>
      <c r="P241" s="967"/>
      <c r="Q241" s="967"/>
      <c r="R241" s="967"/>
      <c r="S241" s="1139"/>
      <c r="T241" s="1000"/>
      <c r="U241" s="967"/>
      <c r="V241" s="967"/>
      <c r="W241" s="967"/>
      <c r="X241" s="967"/>
      <c r="Y241" s="1139"/>
      <c r="Z241" s="1000"/>
      <c r="AA241" s="967"/>
      <c r="AB241" s="967"/>
      <c r="AC241" s="967"/>
      <c r="AD241" s="967"/>
      <c r="AE241" s="1139"/>
    </row>
    <row r="242" spans="1:41" ht="30" customHeight="1" x14ac:dyDescent="0.25">
      <c r="A242" s="1143"/>
      <c r="B242" s="1288"/>
      <c r="C242" s="1154"/>
      <c r="D242" s="1218"/>
      <c r="E242" s="1413"/>
      <c r="F242" s="1414"/>
      <c r="G242" s="1415"/>
      <c r="H242" s="1335"/>
      <c r="I242" s="1154"/>
      <c r="J242" s="1218"/>
      <c r="K242" s="1413"/>
      <c r="L242" s="1414"/>
      <c r="M242" s="1415"/>
      <c r="N242" s="1258"/>
      <c r="O242" s="1259"/>
      <c r="P242" s="1259"/>
      <c r="Q242" s="1259"/>
      <c r="R242" s="1259"/>
      <c r="S242" s="1260"/>
      <c r="T242" s="1258"/>
      <c r="U242" s="1259"/>
      <c r="V242" s="1259"/>
      <c r="W242" s="1259"/>
      <c r="X242" s="1259"/>
      <c r="Y242" s="1260"/>
      <c r="Z242" s="1258"/>
      <c r="AA242" s="1259"/>
      <c r="AB242" s="1259"/>
      <c r="AC242" s="1259"/>
      <c r="AD242" s="1259"/>
      <c r="AE242" s="1260"/>
      <c r="AM242" s="1396"/>
      <c r="AN242" s="1153"/>
      <c r="AO242" s="1342"/>
    </row>
    <row r="243" spans="1:41" ht="30" customHeight="1" x14ac:dyDescent="0.3">
      <c r="A243" s="934" t="s">
        <v>189</v>
      </c>
      <c r="B243" s="967"/>
      <c r="C243" s="967"/>
      <c r="D243" s="967"/>
      <c r="E243" s="967"/>
      <c r="F243" s="967"/>
      <c r="G243" s="1139"/>
      <c r="H243" s="967"/>
      <c r="I243" s="967"/>
      <c r="J243" s="967"/>
      <c r="K243" s="967"/>
      <c r="L243" s="967"/>
      <c r="M243" s="1139"/>
      <c r="N243" s="967"/>
      <c r="O243" s="967"/>
      <c r="P243" s="967"/>
      <c r="Q243" s="967"/>
      <c r="R243" s="967"/>
      <c r="S243" s="1139"/>
      <c r="T243" s="1204"/>
      <c r="U243" s="932"/>
      <c r="V243" s="932"/>
      <c r="W243" s="932"/>
      <c r="X243" s="932"/>
      <c r="Y243" s="1205"/>
      <c r="Z243" s="1000"/>
      <c r="AA243" s="967"/>
      <c r="AB243" s="967"/>
      <c r="AC243" s="967"/>
      <c r="AD243" s="967"/>
      <c r="AE243" s="1139"/>
      <c r="AM243" s="1396"/>
      <c r="AN243" s="1153"/>
      <c r="AO243" s="1342"/>
    </row>
    <row r="244" spans="1:41" ht="30" customHeight="1" x14ac:dyDescent="0.25">
      <c r="A244" s="935"/>
      <c r="B244" s="1405"/>
      <c r="C244" s="1405"/>
      <c r="D244" s="1405"/>
      <c r="E244" s="1405"/>
      <c r="F244" s="1405"/>
      <c r="G244" s="1406"/>
      <c r="H244" s="1405"/>
      <c r="I244" s="1405"/>
      <c r="J244" s="1405"/>
      <c r="K244" s="1405"/>
      <c r="L244" s="1405"/>
      <c r="M244" s="1406"/>
      <c r="N244" s="1405"/>
      <c r="O244" s="1405"/>
      <c r="P244" s="1405"/>
      <c r="Q244" s="1405"/>
      <c r="R244" s="1405"/>
      <c r="S244" s="1406"/>
      <c r="T244" s="1404"/>
      <c r="U244" s="1405"/>
      <c r="V244" s="1405"/>
      <c r="W244" s="1405"/>
      <c r="X244" s="1405"/>
      <c r="Y244" s="1406"/>
      <c r="Z244" s="1404"/>
      <c r="AA244" s="1405"/>
      <c r="AB244" s="1405"/>
      <c r="AC244" s="1405"/>
      <c r="AD244" s="1405"/>
      <c r="AE244" s="1406"/>
      <c r="AF244" s="33"/>
      <c r="AM244" s="1396"/>
      <c r="AN244" s="1153"/>
      <c r="AO244" s="1342"/>
    </row>
    <row r="245" spans="1:41" ht="30" customHeight="1" x14ac:dyDescent="0.3">
      <c r="A245" s="998" t="s">
        <v>190</v>
      </c>
      <c r="B245" s="1416"/>
      <c r="C245" s="1417"/>
      <c r="D245" s="1417"/>
      <c r="E245" s="1417"/>
      <c r="F245" s="1418"/>
      <c r="G245" s="1419"/>
      <c r="H245" s="1000"/>
      <c r="I245" s="967"/>
      <c r="J245" s="967"/>
      <c r="K245" s="967"/>
      <c r="L245" s="967"/>
      <c r="M245" s="1139"/>
      <c r="N245" s="1000"/>
      <c r="O245" s="967"/>
      <c r="P245" s="967"/>
      <c r="Q245" s="967"/>
      <c r="R245" s="967"/>
      <c r="S245" s="1139"/>
      <c r="T245" s="1000"/>
      <c r="U245" s="967"/>
      <c r="V245" s="967"/>
      <c r="W245" s="967"/>
      <c r="X245" s="967"/>
      <c r="Y245" s="1139"/>
      <c r="Z245" s="1000"/>
      <c r="AA245" s="967"/>
      <c r="AB245" s="967"/>
      <c r="AC245" s="967"/>
      <c r="AD245" s="967"/>
      <c r="AE245" s="1139"/>
      <c r="AM245" s="1396"/>
      <c r="AN245" s="1153"/>
      <c r="AO245" s="1342"/>
    </row>
    <row r="246" spans="1:41" ht="41.25" customHeight="1" thickBot="1" x14ac:dyDescent="0.3">
      <c r="A246" s="997"/>
      <c r="B246" s="1263"/>
      <c r="C246" s="1264"/>
      <c r="D246" s="1264"/>
      <c r="E246" s="1264"/>
      <c r="F246" s="1264"/>
      <c r="G246" s="1265"/>
      <c r="H246" s="1263"/>
      <c r="I246" s="1264"/>
      <c r="J246" s="1264"/>
      <c r="K246" s="1264"/>
      <c r="L246" s="1264"/>
      <c r="M246" s="1265"/>
      <c r="N246" s="1263"/>
      <c r="O246" s="1264"/>
      <c r="P246" s="1264"/>
      <c r="Q246" s="1264"/>
      <c r="R246" s="1264"/>
      <c r="S246" s="1265"/>
      <c r="T246" s="1263"/>
      <c r="U246" s="1264"/>
      <c r="V246" s="1264"/>
      <c r="W246" s="1264"/>
      <c r="X246" s="1264"/>
      <c r="Y246" s="1265"/>
      <c r="Z246" s="1263"/>
      <c r="AA246" s="1264"/>
      <c r="AB246" s="1264"/>
      <c r="AC246" s="1264"/>
      <c r="AD246" s="1264"/>
      <c r="AE246" s="1265"/>
    </row>
    <row r="247" spans="1:41" ht="18.75" customHeight="1" thickBot="1" x14ac:dyDescent="0.3">
      <c r="A247" s="231"/>
    </row>
    <row r="248" spans="1:41" ht="15.6" thickBot="1" x14ac:dyDescent="0.3">
      <c r="A248" s="1190" t="s">
        <v>218</v>
      </c>
      <c r="B248" s="1147"/>
      <c r="C248" s="1146" t="s">
        <v>219</v>
      </c>
      <c r="D248" s="1146"/>
      <c r="E248" s="1146"/>
      <c r="F248" s="1146"/>
      <c r="G248" s="1146"/>
      <c r="H248" s="1146"/>
      <c r="I248" s="1146"/>
      <c r="J248" s="1146"/>
      <c r="K248" s="1146"/>
      <c r="L248" s="58"/>
      <c r="M248" s="1144" t="s">
        <v>317</v>
      </c>
      <c r="N248" s="1145"/>
      <c r="O248" s="1146" t="s">
        <v>143</v>
      </c>
      <c r="P248" s="1147"/>
      <c r="Q248" s="1146" t="s">
        <v>167</v>
      </c>
      <c r="R248" s="1146"/>
      <c r="S248" s="1146"/>
      <c r="T248" s="1146"/>
      <c r="U248" s="1146"/>
      <c r="V248" s="1146"/>
      <c r="W248" s="1146"/>
      <c r="X248" s="1146"/>
      <c r="Y248" s="1146"/>
      <c r="Z248" s="1146"/>
      <c r="AA248" s="1146"/>
      <c r="AB248" s="1146"/>
      <c r="AC248" s="1146"/>
      <c r="AD248" s="1146"/>
      <c r="AE248" s="1147"/>
    </row>
    <row r="249" spans="1:41" ht="13.8" x14ac:dyDescent="0.25">
      <c r="A249" s="1400" t="str">
        <f>VLOOKUP(M249,ASIGNATURAS!$F$1:$L$1022, 3, FALSE)</f>
        <v>AUTIND</v>
      </c>
      <c r="B249" s="1401"/>
      <c r="C249" s="1397" t="str">
        <f>VLOOKUP(M249,ASIGNATURAS!$F$1:$L$1022, 4, FALSE)</f>
        <v>Automatización Industrial</v>
      </c>
      <c r="D249" s="1398"/>
      <c r="E249" s="1398"/>
      <c r="F249" s="1398"/>
      <c r="G249" s="1398"/>
      <c r="H249" s="1398"/>
      <c r="I249" s="1398"/>
      <c r="J249" s="1398"/>
      <c r="K249" s="1398"/>
      <c r="L249" s="1399"/>
      <c r="M249" s="1402">
        <v>6431</v>
      </c>
      <c r="N249" s="1403"/>
      <c r="O249" s="1402">
        <f>VLOOKUP(M249,ASIGNATURAS!$F$1:$L$1022, 5, FALSE)</f>
        <v>6</v>
      </c>
      <c r="P249" s="1403"/>
      <c r="Q249" s="1397" t="str">
        <f>VLOOKUP(M249,ASIGNATURAS!$F$1:$L$1022, 6, FALSE)</f>
        <v>Juan Vicente Martín Fraile</v>
      </c>
      <c r="R249" s="1398"/>
      <c r="S249" s="1398"/>
      <c r="T249" s="1398"/>
      <c r="U249" s="1398"/>
      <c r="V249" s="1398"/>
      <c r="W249" s="1398"/>
      <c r="X249" s="1398"/>
      <c r="Y249" s="1398"/>
      <c r="Z249" s="1398"/>
      <c r="AA249" s="1398"/>
      <c r="AB249" s="1398"/>
      <c r="AC249" s="1398"/>
      <c r="AD249" s="1398"/>
      <c r="AE249" s="1399"/>
    </row>
    <row r="250" spans="1:41" ht="13.8" x14ac:dyDescent="0.25">
      <c r="A250" s="1065" t="str">
        <f>VLOOKUP(M250,ASIGNATURAS!$F$1:$L$1022, 3, FALSE)</f>
        <v>ROBÓTICA</v>
      </c>
      <c r="B250" s="1066"/>
      <c r="C250" s="982" t="str">
        <f>VLOOKUP(M250,ASIGNATURAS!$F$1:$L$1022, 4, FALSE)</f>
        <v>Robótica Industrial</v>
      </c>
      <c r="D250" s="983"/>
      <c r="E250" s="983"/>
      <c r="F250" s="983"/>
      <c r="G250" s="983"/>
      <c r="H250" s="983"/>
      <c r="I250" s="983"/>
      <c r="J250" s="983"/>
      <c r="K250" s="983"/>
      <c r="L250" s="1018"/>
      <c r="M250" s="981">
        <v>6432</v>
      </c>
      <c r="N250" s="1071"/>
      <c r="O250" s="981">
        <f>VLOOKUP(M250,ASIGNATURAS!$F$1:$L$1022, 5, FALSE)</f>
        <v>6</v>
      </c>
      <c r="P250" s="1071"/>
      <c r="Q250" s="982" t="str">
        <f>VLOOKUP(M250,ASIGNATURAS!$F$1:$L$1022, 6, FALSE)</f>
        <v>Jesús Enrique Sierra</v>
      </c>
      <c r="R250" s="983"/>
      <c r="S250" s="983"/>
      <c r="T250" s="983"/>
      <c r="U250" s="983"/>
      <c r="V250" s="983"/>
      <c r="W250" s="983"/>
      <c r="X250" s="983"/>
      <c r="Y250" s="983"/>
      <c r="Z250" s="983"/>
      <c r="AA250" s="983"/>
      <c r="AB250" s="983"/>
      <c r="AC250" s="983"/>
      <c r="AD250" s="983"/>
      <c r="AE250" s="1018"/>
    </row>
    <row r="252" spans="1:41" ht="24" customHeight="1" x14ac:dyDescent="0.25"/>
    <row r="253" spans="1:41" ht="24" customHeight="1" x14ac:dyDescent="0.25">
      <c r="A253" s="1101" t="s">
        <v>1044</v>
      </c>
      <c r="B253" s="1101"/>
      <c r="C253" s="1101"/>
      <c r="D253" s="1101"/>
      <c r="E253" s="1101"/>
    </row>
    <row r="254" spans="1:41" ht="15" x14ac:dyDescent="0.25">
      <c r="A254" s="1102" t="s">
        <v>1045</v>
      </c>
      <c r="B254" s="1102"/>
      <c r="C254" s="1102"/>
      <c r="D254" s="1102"/>
      <c r="E254" s="1102"/>
    </row>
    <row r="256" spans="1:41" x14ac:dyDescent="0.25">
      <c r="A256" s="25" t="s">
        <v>217</v>
      </c>
    </row>
  </sheetData>
  <mergeCells count="976">
    <mergeCell ref="Z134:AE134"/>
    <mergeCell ref="C136:C139"/>
    <mergeCell ref="Y171:Y174"/>
    <mergeCell ref="M171:M174"/>
    <mergeCell ref="F171:F174"/>
    <mergeCell ref="O171:O174"/>
    <mergeCell ref="AC136:AC139"/>
    <mergeCell ref="AB136:AB139"/>
    <mergeCell ref="Q147:AE147"/>
    <mergeCell ref="V140:V143"/>
    <mergeCell ref="H162:M162"/>
    <mergeCell ref="C148:L148"/>
    <mergeCell ref="C151:L151"/>
    <mergeCell ref="Q151:AE151"/>
    <mergeCell ref="N163:S163"/>
    <mergeCell ref="AB140:AB143"/>
    <mergeCell ref="AB167:AB170"/>
    <mergeCell ref="Z171:Z174"/>
    <mergeCell ref="AC171:AE174"/>
    <mergeCell ref="Z163:AE163"/>
    <mergeCell ref="B163:G163"/>
    <mergeCell ref="H163:M163"/>
    <mergeCell ref="T166:Y166"/>
    <mergeCell ref="T165:Y165"/>
    <mergeCell ref="Z190:AE191"/>
    <mergeCell ref="A190:Y190"/>
    <mergeCell ref="N193:S193"/>
    <mergeCell ref="M181:N181"/>
    <mergeCell ref="A185:E185"/>
    <mergeCell ref="AE196:AE199"/>
    <mergeCell ref="A184:E184"/>
    <mergeCell ref="T193:Y193"/>
    <mergeCell ref="A191:Y191"/>
    <mergeCell ref="AD196:AD199"/>
    <mergeCell ref="AC196:AC199"/>
    <mergeCell ref="AA196:AA199"/>
    <mergeCell ref="T195:Y195"/>
    <mergeCell ref="A194:A195"/>
    <mergeCell ref="B196:G196"/>
    <mergeCell ref="H194:M194"/>
    <mergeCell ref="H198:M198"/>
    <mergeCell ref="Z196:Z199"/>
    <mergeCell ref="H197:M197"/>
    <mergeCell ref="A198:A199"/>
    <mergeCell ref="A181:B181"/>
    <mergeCell ref="B195:G195"/>
    <mergeCell ref="B199:G199"/>
    <mergeCell ref="S196:S199"/>
    <mergeCell ref="A171:A172"/>
    <mergeCell ref="C181:L181"/>
    <mergeCell ref="O179:P179"/>
    <mergeCell ref="A173:A174"/>
    <mergeCell ref="A150:B150"/>
    <mergeCell ref="H209:M209"/>
    <mergeCell ref="L205:L208"/>
    <mergeCell ref="I205:I208"/>
    <mergeCell ref="I201:I204"/>
    <mergeCell ref="A189:Y189"/>
    <mergeCell ref="O181:P181"/>
    <mergeCell ref="M180:N180"/>
    <mergeCell ref="A176:B176"/>
    <mergeCell ref="C178:L178"/>
    <mergeCell ref="A180:B180"/>
    <mergeCell ref="I171:I174"/>
    <mergeCell ref="W171:W174"/>
    <mergeCell ref="X171:X174"/>
    <mergeCell ref="P171:P174"/>
    <mergeCell ref="M177:N177"/>
    <mergeCell ref="M178:N178"/>
    <mergeCell ref="A178:B178"/>
    <mergeCell ref="E171:E174"/>
    <mergeCell ref="C176:K176"/>
    <mergeCell ref="A216:B216"/>
    <mergeCell ref="A201:A202"/>
    <mergeCell ref="A203:A204"/>
    <mergeCell ref="B207:B210"/>
    <mergeCell ref="C207:C210"/>
    <mergeCell ref="A211:A212"/>
    <mergeCell ref="B213:Y213"/>
    <mergeCell ref="O215:P215"/>
    <mergeCell ref="F201:F204"/>
    <mergeCell ref="G201:G204"/>
    <mergeCell ref="R201:R204"/>
    <mergeCell ref="B206:G206"/>
    <mergeCell ref="M205:M208"/>
    <mergeCell ref="E201:E204"/>
    <mergeCell ref="B205:G205"/>
    <mergeCell ref="A205:A206"/>
    <mergeCell ref="Q201:Q204"/>
    <mergeCell ref="S201:S204"/>
    <mergeCell ref="B201:B204"/>
    <mergeCell ref="J201:J204"/>
    <mergeCell ref="N211:S211"/>
    <mergeCell ref="B211:G212"/>
    <mergeCell ref="N209:S209"/>
    <mergeCell ref="N206:S206"/>
    <mergeCell ref="Q179:AE179"/>
    <mergeCell ref="Z189:AE189"/>
    <mergeCell ref="A179:B179"/>
    <mergeCell ref="C180:L180"/>
    <mergeCell ref="AB171:AB174"/>
    <mergeCell ref="J171:J174"/>
    <mergeCell ref="N171:N174"/>
    <mergeCell ref="Q171:Q174"/>
    <mergeCell ref="H199:M199"/>
    <mergeCell ref="L171:L174"/>
    <mergeCell ref="G171:G174"/>
    <mergeCell ref="U171:U174"/>
    <mergeCell ref="C177:L177"/>
    <mergeCell ref="H171:H174"/>
    <mergeCell ref="O178:P178"/>
    <mergeCell ref="O176:P176"/>
    <mergeCell ref="Q176:AE176"/>
    <mergeCell ref="M176:N176"/>
    <mergeCell ref="O177:P177"/>
    <mergeCell ref="Q177:AE177"/>
    <mergeCell ref="K171:K174"/>
    <mergeCell ref="R171:R174"/>
    <mergeCell ref="S171:S174"/>
    <mergeCell ref="V171:V174"/>
    <mergeCell ref="Z207:AE207"/>
    <mergeCell ref="M217:N217"/>
    <mergeCell ref="AK208:AK211"/>
    <mergeCell ref="N208:S208"/>
    <mergeCell ref="C217:L217"/>
    <mergeCell ref="O216:P216"/>
    <mergeCell ref="Q216:AE216"/>
    <mergeCell ref="Z200:AE200"/>
    <mergeCell ref="H193:M193"/>
    <mergeCell ref="Z195:AE195"/>
    <mergeCell ref="B193:G193"/>
    <mergeCell ref="T197:Y197"/>
    <mergeCell ref="B197:G197"/>
    <mergeCell ref="Z193:AE193"/>
    <mergeCell ref="O196:O199"/>
    <mergeCell ref="B198:G198"/>
    <mergeCell ref="N196:N199"/>
    <mergeCell ref="Q196:Q199"/>
    <mergeCell ref="R196:R199"/>
    <mergeCell ref="T196:Y196"/>
    <mergeCell ref="AI208:AI211"/>
    <mergeCell ref="AJ208:AJ211"/>
    <mergeCell ref="Q217:AE217"/>
    <mergeCell ref="M216:N216"/>
    <mergeCell ref="O217:P217"/>
    <mergeCell ref="H210:M210"/>
    <mergeCell ref="N210:S210"/>
    <mergeCell ref="Z211:AE211"/>
    <mergeCell ref="N205:S205"/>
    <mergeCell ref="Z208:AE208"/>
    <mergeCell ref="U201:U206"/>
    <mergeCell ref="T201:T206"/>
    <mergeCell ref="Y201:Y204"/>
    <mergeCell ref="P201:P204"/>
    <mergeCell ref="AA201:AA204"/>
    <mergeCell ref="Z209:AE209"/>
    <mergeCell ref="Z210:AE210"/>
    <mergeCell ref="C215:K215"/>
    <mergeCell ref="Z212:AE212"/>
    <mergeCell ref="T212:Y212"/>
    <mergeCell ref="H205:H208"/>
    <mergeCell ref="H211:M211"/>
    <mergeCell ref="Z205:AE205"/>
    <mergeCell ref="H212:M212"/>
    <mergeCell ref="Q215:AE215"/>
    <mergeCell ref="T209:X209"/>
    <mergeCell ref="T211:X211"/>
    <mergeCell ref="Z206:AE206"/>
    <mergeCell ref="T238:Y238"/>
    <mergeCell ref="Z239:AE239"/>
    <mergeCell ref="Z240:AE240"/>
    <mergeCell ref="H239:H242"/>
    <mergeCell ref="I239:I242"/>
    <mergeCell ref="Z243:AE243"/>
    <mergeCell ref="T244:Y244"/>
    <mergeCell ref="T245:Y245"/>
    <mergeCell ref="Z238:AE238"/>
    <mergeCell ref="H245:M245"/>
    <mergeCell ref="M248:N248"/>
    <mergeCell ref="T243:Y243"/>
    <mergeCell ref="B246:G246"/>
    <mergeCell ref="N244:S244"/>
    <mergeCell ref="O248:P248"/>
    <mergeCell ref="AO242:AO245"/>
    <mergeCell ref="Z246:AE246"/>
    <mergeCell ref="N246:S246"/>
    <mergeCell ref="AN242:AN245"/>
    <mergeCell ref="T246:Y246"/>
    <mergeCell ref="H244:M244"/>
    <mergeCell ref="B243:G243"/>
    <mergeCell ref="B244:G244"/>
    <mergeCell ref="E239:G242"/>
    <mergeCell ref="K239:M242"/>
    <mergeCell ref="T240:Y240"/>
    <mergeCell ref="B245:E245"/>
    <mergeCell ref="F245:G245"/>
    <mergeCell ref="T241:Y241"/>
    <mergeCell ref="N245:S245"/>
    <mergeCell ref="C179:L179"/>
    <mergeCell ref="M179:N179"/>
    <mergeCell ref="A177:B177"/>
    <mergeCell ref="Q219:AE219"/>
    <mergeCell ref="Z164:AE164"/>
    <mergeCell ref="AM242:AM245"/>
    <mergeCell ref="A254:E254"/>
    <mergeCell ref="A253:E253"/>
    <mergeCell ref="H236:M236"/>
    <mergeCell ref="Q250:AE250"/>
    <mergeCell ref="A250:B250"/>
    <mergeCell ref="C250:L250"/>
    <mergeCell ref="M250:N250"/>
    <mergeCell ref="O250:P250"/>
    <mergeCell ref="Q249:AE249"/>
    <mergeCell ref="A249:B249"/>
    <mergeCell ref="C249:L249"/>
    <mergeCell ref="M249:N249"/>
    <mergeCell ref="O249:P249"/>
    <mergeCell ref="Q248:AE248"/>
    <mergeCell ref="Z244:AE244"/>
    <mergeCell ref="Z241:AE241"/>
    <mergeCell ref="B237:G237"/>
    <mergeCell ref="Z245:AE245"/>
    <mergeCell ref="N200:S200"/>
    <mergeCell ref="D207:D210"/>
    <mergeCell ref="N242:S242"/>
    <mergeCell ref="T162:Y162"/>
    <mergeCell ref="R136:R139"/>
    <mergeCell ref="O149:P149"/>
    <mergeCell ref="W140:W143"/>
    <mergeCell ref="T136:T139"/>
    <mergeCell ref="N207:S207"/>
    <mergeCell ref="T242:Y242"/>
    <mergeCell ref="C216:L216"/>
    <mergeCell ref="G167:G170"/>
    <mergeCell ref="I167:I170"/>
    <mergeCell ref="J167:J170"/>
    <mergeCell ref="Q167:Q170"/>
    <mergeCell ref="O167:O170"/>
    <mergeCell ref="N164:S164"/>
    <mergeCell ref="B165:G165"/>
    <mergeCell ref="K167:K170"/>
    <mergeCell ref="P167:P170"/>
    <mergeCell ref="T167:T170"/>
    <mergeCell ref="T163:Y163"/>
    <mergeCell ref="T164:Y164"/>
    <mergeCell ref="H164:M164"/>
    <mergeCell ref="AB201:AB204"/>
    <mergeCell ref="AC201:AC204"/>
    <mergeCell ref="AE201:AE204"/>
    <mergeCell ref="Z194:AE194"/>
    <mergeCell ref="AB196:AB199"/>
    <mergeCell ref="A209:A210"/>
    <mergeCell ref="P196:P199"/>
    <mergeCell ref="T198:Y198"/>
    <mergeCell ref="H196:M196"/>
    <mergeCell ref="T194:Y194"/>
    <mergeCell ref="A196:A197"/>
    <mergeCell ref="B194:G194"/>
    <mergeCell ref="T199:Y199"/>
    <mergeCell ref="T200:Y200"/>
    <mergeCell ref="H195:M195"/>
    <mergeCell ref="T208:Y208"/>
    <mergeCell ref="J205:J208"/>
    <mergeCell ref="K205:K208"/>
    <mergeCell ref="V201:V206"/>
    <mergeCell ref="D201:D204"/>
    <mergeCell ref="N201:N204"/>
    <mergeCell ref="W201:W204"/>
    <mergeCell ref="H201:H204"/>
    <mergeCell ref="O201:O204"/>
    <mergeCell ref="Z165:AE165"/>
    <mergeCell ref="Z166:AE166"/>
    <mergeCell ref="AE167:AE170"/>
    <mergeCell ref="AD167:AD170"/>
    <mergeCell ref="H200:M200"/>
    <mergeCell ref="B200:G200"/>
    <mergeCell ref="C201:C204"/>
    <mergeCell ref="Q178:AE178"/>
    <mergeCell ref="Z167:Z170"/>
    <mergeCell ref="AA167:AA170"/>
    <mergeCell ref="V167:V170"/>
    <mergeCell ref="E167:E170"/>
    <mergeCell ref="X167:X170"/>
    <mergeCell ref="AC167:AC170"/>
    <mergeCell ref="U167:U170"/>
    <mergeCell ref="R167:R170"/>
    <mergeCell ref="O180:P180"/>
    <mergeCell ref="Q181:AE181"/>
    <mergeCell ref="Q180:AE180"/>
    <mergeCell ref="X201:X204"/>
    <mergeCell ref="Z201:Z204"/>
    <mergeCell ref="AD201:AD204"/>
    <mergeCell ref="AA171:AA174"/>
    <mergeCell ref="T171:T174"/>
    <mergeCell ref="A165:A166"/>
    <mergeCell ref="Y167:Y170"/>
    <mergeCell ref="A163:A164"/>
    <mergeCell ref="A169:A170"/>
    <mergeCell ref="W167:W170"/>
    <mergeCell ref="S167:S170"/>
    <mergeCell ref="N162:S162"/>
    <mergeCell ref="B162:G162"/>
    <mergeCell ref="F167:F170"/>
    <mergeCell ref="N167:N170"/>
    <mergeCell ref="B166:G166"/>
    <mergeCell ref="N166:S166"/>
    <mergeCell ref="L167:L170"/>
    <mergeCell ref="H165:M165"/>
    <mergeCell ref="N165:S165"/>
    <mergeCell ref="H166:M166"/>
    <mergeCell ref="M167:M170"/>
    <mergeCell ref="H167:H170"/>
    <mergeCell ref="B164:G164"/>
    <mergeCell ref="A167:A168"/>
    <mergeCell ref="Z162:AE162"/>
    <mergeCell ref="Z159:AE160"/>
    <mergeCell ref="A151:B151"/>
    <mergeCell ref="M150:N150"/>
    <mergeCell ref="O146:P146"/>
    <mergeCell ref="Q148:AE148"/>
    <mergeCell ref="Q146:AE146"/>
    <mergeCell ref="O147:P147"/>
    <mergeCell ref="Q150:AE150"/>
    <mergeCell ref="M151:N151"/>
    <mergeCell ref="O150:P150"/>
    <mergeCell ref="M148:N148"/>
    <mergeCell ref="A155:E155"/>
    <mergeCell ref="A154:E154"/>
    <mergeCell ref="A159:Y159"/>
    <mergeCell ref="I140:I143"/>
    <mergeCell ref="U140:U143"/>
    <mergeCell ref="N140:N143"/>
    <mergeCell ref="A140:A141"/>
    <mergeCell ref="G140:G143"/>
    <mergeCell ref="C147:L147"/>
    <mergeCell ref="O140:O143"/>
    <mergeCell ref="T140:T143"/>
    <mergeCell ref="P140:P143"/>
    <mergeCell ref="E140:E143"/>
    <mergeCell ref="K140:K143"/>
    <mergeCell ref="S140:S143"/>
    <mergeCell ref="AA136:AA139"/>
    <mergeCell ref="M136:M139"/>
    <mergeCell ref="O136:O139"/>
    <mergeCell ref="Z158:AE158"/>
    <mergeCell ref="A160:Y160"/>
    <mergeCell ref="J140:J143"/>
    <mergeCell ref="H140:H143"/>
    <mergeCell ref="D140:D143"/>
    <mergeCell ref="L140:L143"/>
    <mergeCell ref="M140:M143"/>
    <mergeCell ref="A148:B148"/>
    <mergeCell ref="C150:L150"/>
    <mergeCell ref="B140:B143"/>
    <mergeCell ref="C149:L149"/>
    <mergeCell ref="A149:B149"/>
    <mergeCell ref="M149:N149"/>
    <mergeCell ref="AC140:AC143"/>
    <mergeCell ref="A158:Y158"/>
    <mergeCell ref="AD140:AD143"/>
    <mergeCell ref="O148:P148"/>
    <mergeCell ref="Q149:AE149"/>
    <mergeCell ref="O151:P151"/>
    <mergeCell ref="A146:B146"/>
    <mergeCell ref="Y140:Y143"/>
    <mergeCell ref="B133:G133"/>
    <mergeCell ref="AE140:AE143"/>
    <mergeCell ref="A147:B147"/>
    <mergeCell ref="R140:R143"/>
    <mergeCell ref="Z135:AE135"/>
    <mergeCell ref="A136:A137"/>
    <mergeCell ref="Y136:Y139"/>
    <mergeCell ref="A142:A143"/>
    <mergeCell ref="M147:N147"/>
    <mergeCell ref="C140:C143"/>
    <mergeCell ref="E136:E139"/>
    <mergeCell ref="AD136:AD139"/>
    <mergeCell ref="Z136:Z139"/>
    <mergeCell ref="F140:F143"/>
    <mergeCell ref="X140:X143"/>
    <mergeCell ref="X136:X139"/>
    <mergeCell ref="C146:K146"/>
    <mergeCell ref="M146:N146"/>
    <mergeCell ref="D136:D139"/>
    <mergeCell ref="V136:V139"/>
    <mergeCell ref="AE136:AE139"/>
    <mergeCell ref="Z140:Z143"/>
    <mergeCell ref="AA140:AA143"/>
    <mergeCell ref="Q140:Q143"/>
    <mergeCell ref="Z128:AE129"/>
    <mergeCell ref="N136:N139"/>
    <mergeCell ref="B134:G134"/>
    <mergeCell ref="T133:Y133"/>
    <mergeCell ref="A134:A135"/>
    <mergeCell ref="B136:B139"/>
    <mergeCell ref="A132:A133"/>
    <mergeCell ref="T134:Y134"/>
    <mergeCell ref="L136:L139"/>
    <mergeCell ref="H134:M134"/>
    <mergeCell ref="N133:S133"/>
    <mergeCell ref="H132:M132"/>
    <mergeCell ref="K136:K139"/>
    <mergeCell ref="F136:F139"/>
    <mergeCell ref="H136:H139"/>
    <mergeCell ref="A138:A139"/>
    <mergeCell ref="G136:G139"/>
    <mergeCell ref="H135:M135"/>
    <mergeCell ref="S136:S139"/>
    <mergeCell ref="P136:P139"/>
    <mergeCell ref="J136:J139"/>
    <mergeCell ref="B135:G135"/>
    <mergeCell ref="I136:I139"/>
    <mergeCell ref="N135:S135"/>
    <mergeCell ref="I109:I112"/>
    <mergeCell ref="H133:M133"/>
    <mergeCell ref="T132:Y132"/>
    <mergeCell ref="A122:E122"/>
    <mergeCell ref="N131:S131"/>
    <mergeCell ref="A118:B118"/>
    <mergeCell ref="C118:L118"/>
    <mergeCell ref="Q117:AE117"/>
    <mergeCell ref="A117:B117"/>
    <mergeCell ref="O117:P117"/>
    <mergeCell ref="M119:N119"/>
    <mergeCell ref="C119:L119"/>
    <mergeCell ref="O119:P119"/>
    <mergeCell ref="T131:Y131"/>
    <mergeCell ref="C117:L117"/>
    <mergeCell ref="Z127:AE127"/>
    <mergeCell ref="Q119:AE119"/>
    <mergeCell ref="A123:E123"/>
    <mergeCell ref="M117:N117"/>
    <mergeCell ref="M118:N118"/>
    <mergeCell ref="A127:Y127"/>
    <mergeCell ref="A119:B119"/>
    <mergeCell ref="O118:P118"/>
    <mergeCell ref="A129:Y129"/>
    <mergeCell ref="AE77:AE80"/>
    <mergeCell ref="B132:G132"/>
    <mergeCell ref="B131:G131"/>
    <mergeCell ref="H108:M108"/>
    <mergeCell ref="O116:P116"/>
    <mergeCell ref="Z111:AE111"/>
    <mergeCell ref="O114:P114"/>
    <mergeCell ref="H131:M131"/>
    <mergeCell ref="Z110:AE110"/>
    <mergeCell ref="M116:N116"/>
    <mergeCell ref="C116:L116"/>
    <mergeCell ref="Q116:AE116"/>
    <mergeCell ref="Q115:AE115"/>
    <mergeCell ref="C115:L115"/>
    <mergeCell ref="Z112:AE112"/>
    <mergeCell ref="Z109:AE109"/>
    <mergeCell ref="B109:G109"/>
    <mergeCell ref="O115:P115"/>
    <mergeCell ref="A115:B115"/>
    <mergeCell ref="M115:N115"/>
    <mergeCell ref="C114:K114"/>
    <mergeCell ref="A114:B114"/>
    <mergeCell ref="Q109:Q112"/>
    <mergeCell ref="H109:H112"/>
    <mergeCell ref="Q82:AE82"/>
    <mergeCell ref="B80:G80"/>
    <mergeCell ref="A86:B86"/>
    <mergeCell ref="A85:B85"/>
    <mergeCell ref="M83:N83"/>
    <mergeCell ref="M82:N82"/>
    <mergeCell ref="T101:T104"/>
    <mergeCell ref="Q86:AE86"/>
    <mergeCell ref="M85:N85"/>
    <mergeCell ref="O82:P82"/>
    <mergeCell ref="O86:P86"/>
    <mergeCell ref="M84:N84"/>
    <mergeCell ref="O84:P84"/>
    <mergeCell ref="A79:A80"/>
    <mergeCell ref="A83:B83"/>
    <mergeCell ref="A90:E90"/>
    <mergeCell ref="G101:G104"/>
    <mergeCell ref="A97:Y97"/>
    <mergeCell ref="Z100:AE100"/>
    <mergeCell ref="H100:M100"/>
    <mergeCell ref="Z97:AE98"/>
    <mergeCell ref="N100:S100"/>
    <mergeCell ref="O101:O104"/>
    <mergeCell ref="O87:P87"/>
    <mergeCell ref="AE101:AE104"/>
    <mergeCell ref="AD101:AD104"/>
    <mergeCell ref="S101:S104"/>
    <mergeCell ref="C85:L85"/>
    <mergeCell ref="A91:E91"/>
    <mergeCell ref="AB101:AB104"/>
    <mergeCell ref="A98:Y98"/>
    <mergeCell ref="T100:Y100"/>
    <mergeCell ref="Q83:AE83"/>
    <mergeCell ref="O83:P83"/>
    <mergeCell ref="C83:L83"/>
    <mergeCell ref="T135:Y135"/>
    <mergeCell ref="Z105:Z108"/>
    <mergeCell ref="H77:H80"/>
    <mergeCell ref="I77:I80"/>
    <mergeCell ref="J77:J80"/>
    <mergeCell ref="B77:G77"/>
    <mergeCell ref="B78:G78"/>
    <mergeCell ref="B79:G79"/>
    <mergeCell ref="AA105:AA108"/>
    <mergeCell ref="Q101:Q104"/>
    <mergeCell ref="AA101:AA104"/>
    <mergeCell ref="B105:G105"/>
    <mergeCell ref="P101:P104"/>
    <mergeCell ref="B108:G108"/>
    <mergeCell ref="T105:Y105"/>
    <mergeCell ref="C87:L87"/>
    <mergeCell ref="O85:P85"/>
    <mergeCell ref="C84:L84"/>
    <mergeCell ref="Z96:AE96"/>
    <mergeCell ref="Z101:Z104"/>
    <mergeCell ref="AD77:AD80"/>
    <mergeCell ref="C82:K82"/>
    <mergeCell ref="AA77:AA80"/>
    <mergeCell ref="AB77:AB80"/>
    <mergeCell ref="AE105:AE108"/>
    <mergeCell ref="H106:M106"/>
    <mergeCell ref="R101:R104"/>
    <mergeCell ref="B106:G106"/>
    <mergeCell ref="I101:I104"/>
    <mergeCell ref="Q87:AE87"/>
    <mergeCell ref="Q84:AE84"/>
    <mergeCell ref="B112:G112"/>
    <mergeCell ref="A107:A108"/>
    <mergeCell ref="A105:A106"/>
    <mergeCell ref="AC101:AC104"/>
    <mergeCell ref="U101:U104"/>
    <mergeCell ref="R109:R112"/>
    <mergeCell ref="S109:S112"/>
    <mergeCell ref="V101:V104"/>
    <mergeCell ref="J109:J112"/>
    <mergeCell ref="A109:A110"/>
    <mergeCell ref="A87:B87"/>
    <mergeCell ref="T108:Y108"/>
    <mergeCell ref="AD105:AD108"/>
    <mergeCell ref="C86:L86"/>
    <mergeCell ref="M86:N86"/>
    <mergeCell ref="A84:B84"/>
    <mergeCell ref="Q85:AE85"/>
    <mergeCell ref="A73:A74"/>
    <mergeCell ref="M53:N53"/>
    <mergeCell ref="E101:E104"/>
    <mergeCell ref="F101:F104"/>
    <mergeCell ref="C53:L53"/>
    <mergeCell ref="C54:L54"/>
    <mergeCell ref="A103:A104"/>
    <mergeCell ref="C101:C104"/>
    <mergeCell ref="J101:J104"/>
    <mergeCell ref="L101:L104"/>
    <mergeCell ref="M101:M104"/>
    <mergeCell ref="K101:K104"/>
    <mergeCell ref="B101:B104"/>
    <mergeCell ref="N101:N104"/>
    <mergeCell ref="H101:H104"/>
    <mergeCell ref="C69:C72"/>
    <mergeCell ref="B68:G68"/>
    <mergeCell ref="A101:A102"/>
    <mergeCell ref="A77:A78"/>
    <mergeCell ref="B75:G75"/>
    <mergeCell ref="B100:G100"/>
    <mergeCell ref="A82:B82"/>
    <mergeCell ref="B76:G76"/>
    <mergeCell ref="A96:Y96"/>
    <mergeCell ref="A237:A238"/>
    <mergeCell ref="A235:A236"/>
    <mergeCell ref="M224:N224"/>
    <mergeCell ref="A219:B219"/>
    <mergeCell ref="A221:B221"/>
    <mergeCell ref="A75:A76"/>
    <mergeCell ref="D101:D104"/>
    <mergeCell ref="Z133:AE133"/>
    <mergeCell ref="Z131:AE131"/>
    <mergeCell ref="Z132:AE132"/>
    <mergeCell ref="N132:S132"/>
    <mergeCell ref="M114:N114"/>
    <mergeCell ref="A111:A112"/>
    <mergeCell ref="B110:G110"/>
    <mergeCell ref="T110:Y110"/>
    <mergeCell ref="N105:S105"/>
    <mergeCell ref="T112:Y112"/>
    <mergeCell ref="T111:Y111"/>
    <mergeCell ref="H105:M105"/>
    <mergeCell ref="T107:Y107"/>
    <mergeCell ref="B107:G107"/>
    <mergeCell ref="Q114:AE114"/>
    <mergeCell ref="AB105:AB108"/>
    <mergeCell ref="N107:S107"/>
    <mergeCell ref="N237:S237"/>
    <mergeCell ref="N238:S238"/>
    <mergeCell ref="H243:M243"/>
    <mergeCell ref="N241:S241"/>
    <mergeCell ref="B239:B242"/>
    <mergeCell ref="C239:C242"/>
    <mergeCell ref="D239:D242"/>
    <mergeCell ref="B238:G238"/>
    <mergeCell ref="H237:M237"/>
    <mergeCell ref="N243:S243"/>
    <mergeCell ref="H238:M238"/>
    <mergeCell ref="C221:L221"/>
    <mergeCell ref="A218:B218"/>
    <mergeCell ref="Q218:AE218"/>
    <mergeCell ref="O218:P218"/>
    <mergeCell ref="O219:P219"/>
    <mergeCell ref="T237:Y237"/>
    <mergeCell ref="O222:P222"/>
    <mergeCell ref="M219:N219"/>
    <mergeCell ref="T234:Y234"/>
    <mergeCell ref="H235:M235"/>
    <mergeCell ref="H234:M234"/>
    <mergeCell ref="A222:B222"/>
    <mergeCell ref="N234:S234"/>
    <mergeCell ref="C224:L224"/>
    <mergeCell ref="Q224:AE224"/>
    <mergeCell ref="T235:Y235"/>
    <mergeCell ref="Z237:AE237"/>
    <mergeCell ref="C223:L223"/>
    <mergeCell ref="Q222:AE222"/>
    <mergeCell ref="C218:L218"/>
    <mergeCell ref="C219:L219"/>
    <mergeCell ref="Z236:AE236"/>
    <mergeCell ref="B236:G236"/>
    <mergeCell ref="T236:Y236"/>
    <mergeCell ref="AL206:AQ206"/>
    <mergeCell ref="A207:A208"/>
    <mergeCell ref="M221:N221"/>
    <mergeCell ref="O221:P221"/>
    <mergeCell ref="B235:G235"/>
    <mergeCell ref="O223:P223"/>
    <mergeCell ref="M218:N218"/>
    <mergeCell ref="A220:B220"/>
    <mergeCell ref="C220:L220"/>
    <mergeCell ref="M220:N220"/>
    <mergeCell ref="O220:P220"/>
    <mergeCell ref="Q220:AE220"/>
    <mergeCell ref="Z230:AE230"/>
    <mergeCell ref="A227:E227"/>
    <mergeCell ref="G227:N227"/>
    <mergeCell ref="C222:L222"/>
    <mergeCell ref="M222:N222"/>
    <mergeCell ref="Z231:AE232"/>
    <mergeCell ref="A232:Y232"/>
    <mergeCell ref="O224:P224"/>
    <mergeCell ref="Q223:AE223"/>
    <mergeCell ref="M223:N223"/>
    <mergeCell ref="A224:B224"/>
    <mergeCell ref="B234:G234"/>
    <mergeCell ref="B15:B17"/>
    <mergeCell ref="E14:E17"/>
    <mergeCell ref="A248:B248"/>
    <mergeCell ref="N239:S239"/>
    <mergeCell ref="N240:S240"/>
    <mergeCell ref="Z242:AE242"/>
    <mergeCell ref="Z235:AE235"/>
    <mergeCell ref="A245:A246"/>
    <mergeCell ref="A223:B223"/>
    <mergeCell ref="H246:M246"/>
    <mergeCell ref="A241:A242"/>
    <mergeCell ref="C248:K248"/>
    <mergeCell ref="T239:Y239"/>
    <mergeCell ref="J239:J242"/>
    <mergeCell ref="N235:S235"/>
    <mergeCell ref="A231:Y231"/>
    <mergeCell ref="A230:Y230"/>
    <mergeCell ref="A243:A244"/>
    <mergeCell ref="A239:A240"/>
    <mergeCell ref="N236:S236"/>
    <mergeCell ref="Q221:AE221"/>
    <mergeCell ref="M215:N215"/>
    <mergeCell ref="T210:Y210"/>
    <mergeCell ref="T207:Y207"/>
    <mergeCell ref="AB11:AB13"/>
    <mergeCell ref="A8:A9"/>
    <mergeCell ref="T6:Y6"/>
    <mergeCell ref="A217:B217"/>
    <mergeCell ref="A215:B215"/>
    <mergeCell ref="Z234:AE234"/>
    <mergeCell ref="N212:S212"/>
    <mergeCell ref="M19:N19"/>
    <mergeCell ref="A12:A13"/>
    <mergeCell ref="A10:A11"/>
    <mergeCell ref="G10:G13"/>
    <mergeCell ref="A20:B20"/>
    <mergeCell ref="H14:M17"/>
    <mergeCell ref="N40:S40"/>
    <mergeCell ref="C22:L22"/>
    <mergeCell ref="M22:N22"/>
    <mergeCell ref="C23:L23"/>
    <mergeCell ref="O23:P23"/>
    <mergeCell ref="M23:N23"/>
    <mergeCell ref="Q22:AE22"/>
    <mergeCell ref="O19:P19"/>
    <mergeCell ref="C19:K19"/>
    <mergeCell ref="A19:B19"/>
    <mergeCell ref="C14:C17"/>
    <mergeCell ref="Z6:AE6"/>
    <mergeCell ref="B7:G7"/>
    <mergeCell ref="H7:M7"/>
    <mergeCell ref="T7:Y7"/>
    <mergeCell ref="A1:Y1"/>
    <mergeCell ref="Z1:AE1"/>
    <mergeCell ref="A2:Y2"/>
    <mergeCell ref="Z2:AE3"/>
    <mergeCell ref="A3:Y3"/>
    <mergeCell ref="B5:G5"/>
    <mergeCell ref="H5:M5"/>
    <mergeCell ref="N5:S5"/>
    <mergeCell ref="T5:Y5"/>
    <mergeCell ref="Z5:AE5"/>
    <mergeCell ref="A6:A7"/>
    <mergeCell ref="N6:S6"/>
    <mergeCell ref="B6:G6"/>
    <mergeCell ref="H6:M6"/>
    <mergeCell ref="A14:A15"/>
    <mergeCell ref="A16:A17"/>
    <mergeCell ref="O21:P21"/>
    <mergeCell ref="Q21:AE21"/>
    <mergeCell ref="D15:D17"/>
    <mergeCell ref="J11:J13"/>
    <mergeCell ref="E10:E13"/>
    <mergeCell ref="D11:D13"/>
    <mergeCell ref="K10:K13"/>
    <mergeCell ref="C10:C13"/>
    <mergeCell ref="M20:N20"/>
    <mergeCell ref="Z14:AE17"/>
    <mergeCell ref="AE10:AE13"/>
    <mergeCell ref="AD11:AD13"/>
    <mergeCell ref="F11:F13"/>
    <mergeCell ref="Y10:Y13"/>
    <mergeCell ref="T11:T13"/>
    <mergeCell ref="Z11:Z13"/>
    <mergeCell ref="AA10:AA13"/>
    <mergeCell ref="U10:U13"/>
    <mergeCell ref="W10:W13"/>
    <mergeCell ref="V11:V13"/>
    <mergeCell ref="X11:X13"/>
    <mergeCell ref="AC10:AC13"/>
    <mergeCell ref="C21:L21"/>
    <mergeCell ref="M21:N21"/>
    <mergeCell ref="Z7:AE7"/>
    <mergeCell ref="N7:S7"/>
    <mergeCell ref="C20:L20"/>
    <mergeCell ref="T9:Y9"/>
    <mergeCell ref="H8:M8"/>
    <mergeCell ref="B9:G9"/>
    <mergeCell ref="T14:Y17"/>
    <mergeCell ref="Z8:AE8"/>
    <mergeCell ref="Z9:AE9"/>
    <mergeCell ref="B8:G8"/>
    <mergeCell ref="T8:Y8"/>
    <mergeCell ref="Q8:Q13"/>
    <mergeCell ref="S8:S13"/>
    <mergeCell ref="R9:R13"/>
    <mergeCell ref="I10:I13"/>
    <mergeCell ref="H11:H13"/>
    <mergeCell ref="O8:O13"/>
    <mergeCell ref="H9:M9"/>
    <mergeCell ref="N14:S17"/>
    <mergeCell ref="B11:B13"/>
    <mergeCell ref="N9:N13"/>
    <mergeCell ref="P9:P13"/>
    <mergeCell ref="O20:P20"/>
    <mergeCell ref="Q20:AE20"/>
    <mergeCell ref="Q19:AE19"/>
    <mergeCell ref="Q23:AE23"/>
    <mergeCell ref="Q118:AE118"/>
    <mergeCell ref="U136:U139"/>
    <mergeCell ref="W136:W139"/>
    <mergeCell ref="Q136:Q139"/>
    <mergeCell ref="N134:S134"/>
    <mergeCell ref="M87:N87"/>
    <mergeCell ref="N108:S108"/>
    <mergeCell ref="T109:Y109"/>
    <mergeCell ref="A128:Y128"/>
    <mergeCell ref="A116:B116"/>
    <mergeCell ref="B111:G111"/>
    <mergeCell ref="H69:H72"/>
    <mergeCell ref="K69:K72"/>
    <mergeCell ref="U69:U72"/>
    <mergeCell ref="Q69:Q72"/>
    <mergeCell ref="AC105:AC108"/>
    <mergeCell ref="H107:M107"/>
    <mergeCell ref="N106:S106"/>
    <mergeCell ref="T106:Y106"/>
    <mergeCell ref="A21:B21"/>
    <mergeCell ref="B74:G74"/>
    <mergeCell ref="B73:G73"/>
    <mergeCell ref="L69:L72"/>
    <mergeCell ref="M69:M72"/>
    <mergeCell ref="AA69:AA72"/>
    <mergeCell ref="G69:G72"/>
    <mergeCell ref="I69:I72"/>
    <mergeCell ref="P69:P72"/>
    <mergeCell ref="X69:X72"/>
    <mergeCell ref="Y69:Y72"/>
    <mergeCell ref="W69:W72"/>
    <mergeCell ref="H74:M74"/>
    <mergeCell ref="N74:S74"/>
    <mergeCell ref="H73:M73"/>
    <mergeCell ref="V69:V72"/>
    <mergeCell ref="D69:D72"/>
    <mergeCell ref="H76:M76"/>
    <mergeCell ref="T73:Y73"/>
    <mergeCell ref="Z76:AE76"/>
    <mergeCell ref="T74:Y74"/>
    <mergeCell ref="T75:Y75"/>
    <mergeCell ref="AC69:AC72"/>
    <mergeCell ref="Z75:AE75"/>
    <mergeCell ref="A55:B55"/>
    <mergeCell ref="Q53:AE53"/>
    <mergeCell ref="A54:B54"/>
    <mergeCell ref="M54:N54"/>
    <mergeCell ref="A53:B53"/>
    <mergeCell ref="O54:P54"/>
    <mergeCell ref="O53:P53"/>
    <mergeCell ref="B69:B72"/>
    <mergeCell ref="F69:F72"/>
    <mergeCell ref="E69:E72"/>
    <mergeCell ref="Q56:AE56"/>
    <mergeCell ref="O55:P55"/>
    <mergeCell ref="A66:Y66"/>
    <mergeCell ref="A64:Y64"/>
    <mergeCell ref="A60:E60"/>
    <mergeCell ref="A65:Y65"/>
    <mergeCell ref="C55:L55"/>
    <mergeCell ref="A56:B56"/>
    <mergeCell ref="C56:L56"/>
    <mergeCell ref="M56:N56"/>
    <mergeCell ref="H68:M68"/>
    <mergeCell ref="S69:S72"/>
    <mergeCell ref="N69:N72"/>
    <mergeCell ref="A59:E59"/>
    <mergeCell ref="A51:B51"/>
    <mergeCell ref="A52:B52"/>
    <mergeCell ref="J69:J72"/>
    <mergeCell ref="O69:O72"/>
    <mergeCell ref="A71:A72"/>
    <mergeCell ref="A69:A70"/>
    <mergeCell ref="D43:D45"/>
    <mergeCell ref="G42:G45"/>
    <mergeCell ref="F43:F45"/>
    <mergeCell ref="C52:L52"/>
    <mergeCell ref="C51:K51"/>
    <mergeCell ref="N47:N49"/>
    <mergeCell ref="M52:N52"/>
    <mergeCell ref="K42:K45"/>
    <mergeCell ref="F47:F49"/>
    <mergeCell ref="J43:J45"/>
    <mergeCell ref="G46:G49"/>
    <mergeCell ref="AQ78:AV78"/>
    <mergeCell ref="V77:V80"/>
    <mergeCell ref="AQ77:AV77"/>
    <mergeCell ref="T77:T80"/>
    <mergeCell ref="T76:Y76"/>
    <mergeCell ref="R77:R80"/>
    <mergeCell ref="Q77:Q80"/>
    <mergeCell ref="S77:S80"/>
    <mergeCell ref="Q55:AE55"/>
    <mergeCell ref="Z68:AE68"/>
    <mergeCell ref="R69:R72"/>
    <mergeCell ref="N73:S73"/>
    <mergeCell ref="T69:T72"/>
    <mergeCell ref="N75:S75"/>
    <mergeCell ref="AE69:AE72"/>
    <mergeCell ref="N68:S68"/>
    <mergeCell ref="T68:Y68"/>
    <mergeCell ref="O56:P56"/>
    <mergeCell ref="Z65:AE66"/>
    <mergeCell ref="M55:N55"/>
    <mergeCell ref="N76:S76"/>
    <mergeCell ref="U77:U80"/>
    <mergeCell ref="AC77:AC80"/>
    <mergeCell ref="Z77:Z80"/>
    <mergeCell ref="A44:A45"/>
    <mergeCell ref="M51:N51"/>
    <mergeCell ref="O51:P51"/>
    <mergeCell ref="U42:U45"/>
    <mergeCell ref="W42:W45"/>
    <mergeCell ref="V43:V45"/>
    <mergeCell ref="W46:W49"/>
    <mergeCell ref="E46:E49"/>
    <mergeCell ref="Q51:AE51"/>
    <mergeCell ref="C42:C45"/>
    <mergeCell ref="B43:B45"/>
    <mergeCell ref="N43:N45"/>
    <mergeCell ref="AD43:AD45"/>
    <mergeCell ref="E42:E45"/>
    <mergeCell ref="C46:C49"/>
    <mergeCell ref="P47:P49"/>
    <mergeCell ref="T47:T49"/>
    <mergeCell ref="H46:M49"/>
    <mergeCell ref="AA46:AA49"/>
    <mergeCell ref="Z47:Z49"/>
    <mergeCell ref="A46:A47"/>
    <mergeCell ref="A48:A49"/>
    <mergeCell ref="A42:A43"/>
    <mergeCell ref="U46:U49"/>
    <mergeCell ref="H75:M75"/>
    <mergeCell ref="T41:Y41"/>
    <mergeCell ref="Q46:Q49"/>
    <mergeCell ref="O52:P52"/>
    <mergeCell ref="Q42:Q45"/>
    <mergeCell ref="Q52:AE52"/>
    <mergeCell ref="S42:S45"/>
    <mergeCell ref="O42:O45"/>
    <mergeCell ref="Q54:AE54"/>
    <mergeCell ref="Z64:AE64"/>
    <mergeCell ref="Z73:AE73"/>
    <mergeCell ref="Z69:Z72"/>
    <mergeCell ref="Z74:AE74"/>
    <mergeCell ref="AB69:AB72"/>
    <mergeCell ref="AD69:AD72"/>
    <mergeCell ref="B40:G40"/>
    <mergeCell ref="H40:M40"/>
    <mergeCell ref="Z41:AE41"/>
    <mergeCell ref="T40:Y40"/>
    <mergeCell ref="AE42:AE45"/>
    <mergeCell ref="T43:T45"/>
    <mergeCell ref="S46:S49"/>
    <mergeCell ref="Z43:Z45"/>
    <mergeCell ref="V47:V49"/>
    <mergeCell ref="M42:M45"/>
    <mergeCell ref="L43:L45"/>
    <mergeCell ref="AA42:AA45"/>
    <mergeCell ref="I42:I45"/>
    <mergeCell ref="H43:H45"/>
    <mergeCell ref="Y42:Y45"/>
    <mergeCell ref="O46:O49"/>
    <mergeCell ref="P43:P45"/>
    <mergeCell ref="B47:B49"/>
    <mergeCell ref="R47:R49"/>
    <mergeCell ref="X43:X45"/>
    <mergeCell ref="R43:R45"/>
    <mergeCell ref="Y46:Y49"/>
    <mergeCell ref="X47:X49"/>
    <mergeCell ref="D47:D49"/>
    <mergeCell ref="Q24:AE24"/>
    <mergeCell ref="N37:S37"/>
    <mergeCell ref="Z33:AE33"/>
    <mergeCell ref="A34:Y34"/>
    <mergeCell ref="A33:Y33"/>
    <mergeCell ref="Z37:AE37"/>
    <mergeCell ref="A24:B24"/>
    <mergeCell ref="C24:L24"/>
    <mergeCell ref="M24:N24"/>
    <mergeCell ref="O24:P24"/>
    <mergeCell ref="A27:E27"/>
    <mergeCell ref="A28:E28"/>
    <mergeCell ref="A22:B22"/>
    <mergeCell ref="H39:M39"/>
    <mergeCell ref="Z40:AE40"/>
    <mergeCell ref="Z39:AE39"/>
    <mergeCell ref="O22:P22"/>
    <mergeCell ref="A23:B23"/>
    <mergeCell ref="Z34:AE35"/>
    <mergeCell ref="B37:G37"/>
    <mergeCell ref="H37:M37"/>
    <mergeCell ref="B38:G38"/>
    <mergeCell ref="T37:Y37"/>
    <mergeCell ref="Z38:AE38"/>
    <mergeCell ref="N38:S38"/>
    <mergeCell ref="N39:S39"/>
    <mergeCell ref="A35:Y35"/>
    <mergeCell ref="A38:A39"/>
    <mergeCell ref="T39:Y39"/>
    <mergeCell ref="A40:A41"/>
    <mergeCell ref="T38:Y38"/>
    <mergeCell ref="B41:G41"/>
    <mergeCell ref="B39:G39"/>
    <mergeCell ref="H41:M41"/>
    <mergeCell ref="H38:M38"/>
    <mergeCell ref="N41:S41"/>
  </mergeCells>
  <dataValidations count="22">
    <dataValidation type="list" allowBlank="1" showInputMessage="1" showErrorMessage="1" sqref="B245 N241:AE241 N239:AE239 B235:AE235 H245:AE245 B237:AE237 B243:AE243" xr:uid="{00000000-0002-0000-0000-000000000000}">
      <formula1>INDIRECT($A$233)</formula1>
    </dataValidation>
    <dataValidation type="list" allowBlank="1" showInputMessage="1" showErrorMessage="1" sqref="Z205:AE205 K203:M203 H209:T209 H211:T211 N207:AE207 T196:Y196 B196:M196 T198:Y198 B198:M198 K201:M201 B205:G205 N205:S205 H194:M194 Z211:AE211 Z209:AE209" xr:uid="{00000000-0002-0000-0000-000001000000}">
      <formula1>INDIRECT($A$192)</formula1>
    </dataValidation>
    <dataValidation type="list" allowBlank="1" showInputMessage="1" showErrorMessage="1" sqref="Z167:Z174 T167:T174 E167:E174 H167:H174 B163:AE163 AC167:AC170 Q196:Q199 AC196:AC199 AC201:AC204 K205:K208 W167:W174 Q201:Q204 B165:AE165 N167:N174 K167:K174 Q167:Q174" xr:uid="{00000000-0002-0000-0000-000002000000}">
      <formula1>INDIRECT($A$161)</formula1>
    </dataValidation>
    <dataValidation type="list" allowBlank="1" showInputMessage="1" showErrorMessage="1" sqref="N136:N143 H136:H143 Q136:Q143 B134:AE134 E136:E143 Z136:Z143 B132:AE132 AC136:AC143 K136:K143 W136:W143 B136:B143 T136:T143" xr:uid="{00000000-0002-0000-0000-000003000000}">
      <formula1>INDIRECT($A$130)</formula1>
    </dataValidation>
    <dataValidation type="list" allowBlank="1" showInputMessage="1" showErrorMessage="1" sqref="T109:AE109 W101:Z101 B105:Z105 T101 B107:Y107 E101 H101 T111:AE111 K101 AC105 Q101 AC101 B101 W103:Y103 K111:P111 N101 B111:G111 B109:H109 K109:Q109" xr:uid="{00000000-0002-0000-0000-000004000000}">
      <formula1>INDIRECT($A$99)</formula1>
    </dataValidation>
    <dataValidation type="list" allowBlank="1" showInputMessage="1" showErrorMessage="1" sqref="B69 AC77 B73:AE73 Z77 Q77 E69 N69 H69 T69 K69 B79:G79 Q69 M79 AC69 Z69 B77:H77 AQ77:AV77 T77 B75:AE75 W69" xr:uid="{00000000-0002-0000-0000-000005000000}">
      <formula1>INDIRECT($A$67)</formula1>
    </dataValidation>
    <dataValidation type="list" allowBlank="1" showInputMessage="1" showErrorMessage="1" sqref="T47:T49 B38:AE38 V43:V45 B47:B49 F47:F49 V47:V49 T43:T45 N47:N49 B40:AE40 X47:X49 Z47:Z49 P47:P49 H43:H45 F43:F45 Z43:Z45 AD43:AD45 D47:D49 D43:D45 J43:J45 X43:X45 L43:L45 R43:R45 R47:R49 B43:B45 P43:P45 N43:N45" xr:uid="{00000000-0002-0000-0000-000006000000}">
      <formula1>INDIRECT($A$36)</formula1>
    </dataValidation>
    <dataValidation type="list" allowBlank="1" showInputMessage="1" showErrorMessage="1" sqref="A30 A229 A93 A256 A157 A187 A62 A125" xr:uid="{00000000-0002-0000-0000-000007000000}">
      <formula1>notas</formula1>
    </dataValidation>
    <dataValidation type="list" allowBlank="1" showInputMessage="1" showErrorMessage="1" sqref="A235:A246 A201:A213 A101:A112 A69:A80 A38:A49 A6:A17 A196:A199 A132:A143 A163:A174" xr:uid="{00000000-0002-0000-0000-000008000000}">
      <formula1>HORARIO</formula1>
    </dataValidation>
    <dataValidation type="list" allowBlank="1" showInputMessage="1" showErrorMessage="1" sqref="Z2:AE3 Y136:Y143 Z34:AE35 Z65:AE66 V69 G10:G13 Z231:AE232 Z206:AE206 Z190:AE191 Y42:Y49 D69 S42:S49 K42:K45 Z128:AE129 J69 AE136:AE143 M80 AE101 M42:M45 S136:S143 S69 S77 G69 P69 AB136:AB143 T112:AE112 E42:E49 P136:P143 B41:AE41 AE10:AE13 D101 O42:O49 B166:AE166 T9:AE9 M101 AE42:AE45 J101 M69 B39:AE39 Z97:AE98 G201:G204 AE196:AE199 N208:AE208 O8 B106:Y106 V77 AQ78:AV78 B9:M9 AB69 N240:AE240 U10:U13 V136:V143 D136:D143 S167:S174 S101 Z159:AE160 C42:C49 B133:AE133 AE77 S109 B78:G78 Y69 J167:J174 J239:J242 K10:K13 B108:Y108 W102:Y102 B135:AE135 K204:M204 AH205:AM205 W42:W49 Y10:Y13 M136:M143 P201:P204 AE167:AE170 B74:AE74 V201 Y201:Y204 J201:J208 P167:P174 AB101 U42:U49 Y167:Y174 AK208 AB201:AB204 G42:G49 AB105 AE69 AB77 M205:M208 H195:M195 W10:W13 B199:M199 D207:D210 AB196:AB199 S196:S199 G136:G143 J136:J143 M167:M174 G167:G174 AA10:AA13 K202:M202 AB167:AB174 J109 B238:AE238 AE105 B246:AE246 E10:E17 C10:C17 B197:M197 P196:P199 Q42:Q49 AE201:AE204 AL206:AQ206 S201:S204 D201:D204 V167:V174 T197:Y197 B80:G80 B236:AE236 B7:AE7 B164:AE164 N242:AE242 AO242:AO245 B244:AE244 G101 N206:S206 B206:G206 V101 D239:D242 AM10 S8 I10:I13 Q8 AC10:AC13 H212:AE212 I42:I45 J77 B76:AE76 T199:Y199 E210:AE210 W104:Y104 K110:P110 P101 T110:AE110 B110:G110 B112:G112 K112:P112 AA42:AA45 AA46:AA49" xr:uid="{00000000-0002-0000-0000-000009000000}">
      <formula1>AULAS</formula1>
    </dataValidation>
    <dataValidation type="list" allowBlank="1" showInputMessage="1" showErrorMessage="1" sqref="AA69:AA72 R8 H10 T14 B42 I109 V10 Z14 AD10 X10 O136:O143 B14 Z10 T10 I167:I174 U77:U80 D42 AD42 R46 F10 L69:L72 X69:X72 C69:C72 F201:F204 AA105 AD136:AD143 L136:L143 I77:I80 R77:R80 O69:O72 I69:I72 U69:U72 P42 R42 F69:F72 X42 F136:F143 Z42 T46 L42 D46 N42 AB10 J42 N46 V46 C101 F101 AA101 R109 B10 I101 AD101 R101 AD105 L101 C239:C242 D14 X136:X143 AD77:AD80 H42 U136:U143 R69:R72 F245 O201:O204 R136:R143 AA77:AA80 AN242:AN245 U167:U174 R201:R204 B46 AJ208:AJ211 Z46 T42 F46 X201:X204 J10 P8 AL10 U201 V42 AA167:AA174 AD167:AD170 C136:C143 N8 N14 F42 P46 R167:R174 I136:I143 X167:X174 F167:F174 O167:O174 X46 AD69:AD72 I239:I242 O196:O199 R196:R199 AA196:AA199 AD196:AD199 AA201:AA204 AD201:AD204 L205:L208 I201:I208 C201:C204 AA136:AA143 L167:L174 D10 C207:C210 U101 O101" xr:uid="{00000000-0002-0000-0000-00000A000000}">
      <formula1>grupos</formula1>
    </dataValidation>
    <dataValidation type="list" allowBlank="1" showInputMessage="1" showErrorMessage="1" sqref="Z11 R9 X11 F11 T8:AE8 AB11 B8:M8 A52:A56 AD11 D11 V11 H11 B15 T11 A177:A181 J11 A249:A250 A20:A24 A83:A87 D15 A115:A119 A147:A151 B6:AE6 AL11 N9 B11 P9 A216:A224" xr:uid="{00000000-0002-0000-0000-00000B000000}">
      <formula1>INDIRECT($A$4)</formula1>
    </dataValidation>
    <dataValidation type="list" allowBlank="1" showInputMessage="1" showErrorMessage="1" sqref="A4 A36 A99 A192 A130 A161 A233 A67" xr:uid="{00000000-0002-0000-0000-00000C000000}">
      <formula1>GIM</formula1>
    </dataValidation>
    <dataValidation type="list" allowBlank="1" showInputMessage="1" showErrorMessage="1" sqref="A3:Y3 A35:Y35 A66:Y66 A98:Y98 A129:Y129 A160:Y160 A191:Y191 A232:Y232" xr:uid="{00000000-0002-0000-0000-00000D000000}">
      <formula1>GRUPO</formula1>
    </dataValidation>
    <dataValidation type="list" allowBlank="1" showInputMessage="1" showErrorMessage="1" sqref="M24:N24 M87:N87 M119:N119 M151:N151 M181:N181 M221:N224" xr:uid="{00000000-0002-0000-0000-00000E000000}">
      <formula1>INDIRECT(M19)</formula1>
    </dataValidation>
    <dataValidation type="list" allowBlank="1" showInputMessage="1" showErrorMessage="1" sqref="M23:N23 M180:N180 M118:N118 M150:N150 M55:N56 M219:N220" xr:uid="{00000000-0002-0000-0000-00000F000000}">
      <formula1>INDIRECT(M19)</formula1>
    </dataValidation>
    <dataValidation type="list" allowBlank="1" showInputMessage="1" showErrorMessage="1" sqref="M22:N22 M54:N54 M218:N218 M117:N117 M149:N149 M179:N179 M85:N86" xr:uid="{00000000-0002-0000-0000-000010000000}">
      <formula1>INDIRECT(M19)</formula1>
    </dataValidation>
    <dataValidation type="list" allowBlank="1" showInputMessage="1" showErrorMessage="1" sqref="M21:N21 M53:N53 M84:N84 M116:N116 M148:N148 M178:N178 M217:N217 M250:N250" xr:uid="{00000000-0002-0000-0000-000011000000}">
      <formula1>INDIRECT(M19)</formula1>
    </dataValidation>
    <dataValidation type="list" allowBlank="1" showInputMessage="1" showErrorMessage="1" sqref="M20:N20 M52:N52 M83:N83 M115:N115 M147:N147 M177:N177 M216:N216 M249:N249" xr:uid="{00000000-0002-0000-0000-000012000000}">
      <formula1>INDIRECT(M19)</formula1>
    </dataValidation>
    <dataValidation type="list" allowBlank="1" showInputMessage="1" showErrorMessage="1" sqref="M19:N19 M51:N51 M82:N82 M114:N114 M146:N146 M176:N176 M215:N215 M248:N248" xr:uid="{00000000-0002-0000-0000-000013000000}">
      <formula1>Asignaturas2</formula1>
    </dataValidation>
    <dataValidation type="list" allowBlank="1" showInputMessage="1" showErrorMessage="1" sqref="AI208:AI211 W201:W204 T201 N196:N199 Z196:Z199 Z201:Z204 E201:E204 B201:B204 H201:H208 N201:N204 B207:B210" xr:uid="{00000000-0002-0000-0000-000014000000}">
      <formula1>GIE_7</formula1>
    </dataValidation>
    <dataValidation type="list" allowBlank="1" showInputMessage="1" showErrorMessage="1" sqref="B239:B242 AM242:AM245 H239:H242" xr:uid="{00000000-0002-0000-0000-000015000000}">
      <formula1>GIE_8</formula1>
    </dataValidation>
  </dataValidations>
  <pageMargins left="0.35433070866141736" right="0.39370078740157483" top="0.94488188976377963" bottom="0.86614173228346458" header="0.27559055118110237" footer="0"/>
  <pageSetup paperSize="9" scale="72" orientation="portrait" r:id="rId1"/>
  <headerFooter alignWithMargins="0">
    <oddHeader>&amp;C&amp;"Arial Narrow,Negrita"&amp;18ESCUELA POLITECNICA SUPERIOR&amp;"Arial,Normal"&amp;10
&amp;"Arial Narrow,Negrita"&amp;16Campus Vena&amp;R&amp;"Chiller,Normal"&amp;24&amp;K05-044&amp;A</oddHeader>
    <oddFooter>&amp;L&amp;12ESCUELA POLITECNICA SUPERIOR - Campus Vena&amp;11
&amp;9SUBDIRECCION  DE  ORDENACION  ACADEMICA Y PROFESORADO&amp;R&amp;12&amp;D</oddFooter>
  </headerFooter>
  <rowBreaks count="7" manualBreakCount="7">
    <brk id="32" max="16383" man="1"/>
    <brk id="63" max="16383" man="1"/>
    <brk id="95" max="16383" man="1"/>
    <brk id="126" max="16383" man="1"/>
    <brk id="157" max="16383" man="1"/>
    <brk id="188" max="31" man="1"/>
    <brk id="228" max="1638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16000000}">
          <x14:formula1>
            <xm:f>Aulas!$B$2:$B$32</xm:f>
          </x14:formula1>
          <xm:sqref>G207 G209 Y209 Y211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G248"/>
  <sheetViews>
    <sheetView view="pageBreakPreview" topLeftCell="A222" zoomScale="69" zoomScaleNormal="60" zoomScaleSheetLayoutView="69" zoomScalePageLayoutView="59" workbookViewId="0">
      <selection activeCell="V232" sqref="V232:AE232"/>
    </sheetView>
  </sheetViews>
  <sheetFormatPr baseColWidth="10" defaultColWidth="11.44140625" defaultRowHeight="13.2" x14ac:dyDescent="0.25"/>
  <cols>
    <col min="1" max="1" width="14.88671875" customWidth="1"/>
    <col min="2" max="42" width="4.88671875" customWidth="1"/>
    <col min="43" max="43" width="5.5546875" customWidth="1"/>
    <col min="44" max="51" width="4.88671875" customWidth="1"/>
    <col min="52" max="58" width="2.44140625" customWidth="1"/>
    <col min="59" max="108" width="4" customWidth="1"/>
    <col min="109" max="261" width="9.109375" customWidth="1"/>
  </cols>
  <sheetData>
    <row r="1" spans="1:59" s="1" customFormat="1" ht="31.5" customHeight="1" thickBot="1" x14ac:dyDescent="0.45">
      <c r="A1" s="1470" t="str">
        <f>VLOOKUP(A4,ASIGNATURAS!$A$2:$D$151, 3, FALSE)</f>
        <v>1º Grado en Ingeniería Mecánica</v>
      </c>
      <c r="B1" s="1471"/>
      <c r="C1" s="1471"/>
      <c r="D1" s="1471"/>
      <c r="E1" s="1471"/>
      <c r="F1" s="1471"/>
      <c r="G1" s="1471"/>
      <c r="H1" s="1471"/>
      <c r="I1" s="1471"/>
      <c r="J1" s="1471"/>
      <c r="K1" s="1471"/>
      <c r="L1" s="1471"/>
      <c r="M1" s="1471"/>
      <c r="N1" s="1471"/>
      <c r="O1" s="1471"/>
      <c r="P1" s="1471"/>
      <c r="Q1" s="1471"/>
      <c r="R1" s="1471"/>
      <c r="S1" s="1471"/>
      <c r="T1" s="1471"/>
      <c r="U1" s="1471"/>
      <c r="V1" s="1471"/>
      <c r="W1" s="1471"/>
      <c r="X1" s="1471"/>
      <c r="Y1" s="1471"/>
      <c r="Z1" s="1471"/>
      <c r="AA1" s="1471"/>
      <c r="AB1" s="1471"/>
      <c r="AC1" s="1471"/>
      <c r="AD1" s="1471"/>
      <c r="AE1" s="1471"/>
      <c r="AF1" s="1471"/>
      <c r="AG1" s="1471"/>
      <c r="AH1" s="1471"/>
      <c r="AI1" s="1471"/>
      <c r="AJ1" s="1471"/>
      <c r="AK1" s="1471"/>
      <c r="AL1" s="1471"/>
      <c r="AM1" s="1471"/>
      <c r="AN1" s="1471"/>
      <c r="AO1" s="1472"/>
      <c r="AP1" s="1076" t="str">
        <f>Aulas!G5</f>
        <v>Curso 2024-2025</v>
      </c>
      <c r="AQ1" s="1077"/>
      <c r="AR1" s="1077"/>
      <c r="AS1" s="1077"/>
      <c r="AT1" s="1077"/>
      <c r="AU1" s="1077"/>
      <c r="AV1" s="1077"/>
      <c r="AW1" s="1077"/>
      <c r="AX1" s="1077"/>
      <c r="AY1" s="1078"/>
    </row>
    <row r="2" spans="1:59" s="8" customFormat="1" ht="23.25" customHeight="1" thickBot="1" x14ac:dyDescent="0.45">
      <c r="A2" s="1083" t="str">
        <f>VLOOKUP(A4,ASIGNATURAS!$A$2:$D$151, 2, FALSE)</f>
        <v>Semestre temporal: 1º        (1º Semestre Académico)</v>
      </c>
      <c r="B2" s="1084"/>
      <c r="C2" s="1084"/>
      <c r="D2" s="1084"/>
      <c r="E2" s="1084"/>
      <c r="F2" s="1084"/>
      <c r="G2" s="1084"/>
      <c r="H2" s="1084"/>
      <c r="I2" s="1084"/>
      <c r="J2" s="1084"/>
      <c r="K2" s="1084"/>
      <c r="L2" s="1084"/>
      <c r="M2" s="1084"/>
      <c r="N2" s="1084"/>
      <c r="O2" s="1084"/>
      <c r="P2" s="1084"/>
      <c r="Q2" s="1084"/>
      <c r="R2" s="1084"/>
      <c r="S2" s="1084"/>
      <c r="T2" s="1084"/>
      <c r="U2" s="1084"/>
      <c r="V2" s="1084"/>
      <c r="W2" s="1084"/>
      <c r="X2" s="1084"/>
      <c r="Y2" s="1084"/>
      <c r="Z2" s="1084"/>
      <c r="AA2" s="1084"/>
      <c r="AB2" s="1084"/>
      <c r="AC2" s="1084"/>
      <c r="AD2" s="1084"/>
      <c r="AE2" s="1084"/>
      <c r="AF2" s="1084"/>
      <c r="AG2" s="1084"/>
      <c r="AH2" s="1084"/>
      <c r="AI2" s="1084"/>
      <c r="AJ2" s="1084"/>
      <c r="AK2" s="1084"/>
      <c r="AL2" s="1084"/>
      <c r="AM2" s="1084"/>
      <c r="AN2" s="1084"/>
      <c r="AO2" s="1085"/>
      <c r="AP2" s="1765" t="s">
        <v>151</v>
      </c>
      <c r="AQ2" s="1765"/>
      <c r="AR2" s="1765"/>
      <c r="AS2" s="1765"/>
      <c r="AT2" s="1765"/>
      <c r="AU2" s="1765"/>
      <c r="AV2" s="1765"/>
      <c r="AW2" s="1765"/>
      <c r="AX2" s="1765"/>
      <c r="AY2" s="1766"/>
    </row>
    <row r="3" spans="1:59" s="8" customFormat="1" ht="23.25" customHeight="1" thickBot="1" x14ac:dyDescent="0.45">
      <c r="A3" s="1083" t="s">
        <v>142</v>
      </c>
      <c r="B3" s="1084"/>
      <c r="C3" s="1084"/>
      <c r="D3" s="1084"/>
      <c r="E3" s="1084"/>
      <c r="F3" s="1084"/>
      <c r="G3" s="1084"/>
      <c r="H3" s="1084"/>
      <c r="I3" s="1084"/>
      <c r="J3" s="1084"/>
      <c r="K3" s="1084"/>
      <c r="L3" s="1084"/>
      <c r="M3" s="1084"/>
      <c r="N3" s="1084"/>
      <c r="O3" s="1084"/>
      <c r="P3" s="1084"/>
      <c r="Q3" s="1084"/>
      <c r="R3" s="1084"/>
      <c r="S3" s="1084"/>
      <c r="T3" s="1084"/>
      <c r="U3" s="1084"/>
      <c r="V3" s="1084"/>
      <c r="W3" s="1084"/>
      <c r="X3" s="1084"/>
      <c r="Y3" s="1084"/>
      <c r="Z3" s="1084"/>
      <c r="AA3" s="1084"/>
      <c r="AB3" s="1084"/>
      <c r="AC3" s="1084"/>
      <c r="AD3" s="1084"/>
      <c r="AE3" s="1084"/>
      <c r="AF3" s="1084"/>
      <c r="AG3" s="1084"/>
      <c r="AH3" s="1084"/>
      <c r="AI3" s="1084"/>
      <c r="AJ3" s="1084"/>
      <c r="AK3" s="1084"/>
      <c r="AL3" s="1084"/>
      <c r="AM3" s="1084"/>
      <c r="AN3" s="1084"/>
      <c r="AO3" s="1085"/>
      <c r="AP3" s="1767"/>
      <c r="AQ3" s="1767"/>
      <c r="AR3" s="1767"/>
      <c r="AS3" s="1767"/>
      <c r="AT3" s="1767"/>
      <c r="AU3" s="1767"/>
      <c r="AV3" s="1767"/>
      <c r="AW3" s="1767"/>
      <c r="AX3" s="1767"/>
      <c r="AY3" s="1768"/>
    </row>
    <row r="4" spans="1:59" ht="18" thickBot="1" x14ac:dyDescent="0.3">
      <c r="A4" s="23" t="s">
        <v>14</v>
      </c>
    </row>
    <row r="5" spans="1:59" s="2" customFormat="1" ht="24" customHeight="1" thickBot="1" x14ac:dyDescent="0.3">
      <c r="A5" s="24" t="s">
        <v>1</v>
      </c>
      <c r="B5" s="1091" t="s">
        <v>2</v>
      </c>
      <c r="C5" s="1092"/>
      <c r="D5" s="1092"/>
      <c r="E5" s="1092"/>
      <c r="F5" s="1092"/>
      <c r="G5" s="1092"/>
      <c r="H5" s="1092"/>
      <c r="I5" s="1092"/>
      <c r="J5" s="1092"/>
      <c r="K5" s="1093"/>
      <c r="L5" s="1076" t="s">
        <v>3</v>
      </c>
      <c r="M5" s="1077"/>
      <c r="N5" s="1077"/>
      <c r="O5" s="1077"/>
      <c r="P5" s="1077"/>
      <c r="Q5" s="1077"/>
      <c r="R5" s="1077"/>
      <c r="S5" s="1077"/>
      <c r="T5" s="1077"/>
      <c r="U5" s="1078"/>
      <c r="V5" s="1076" t="s">
        <v>139</v>
      </c>
      <c r="W5" s="1077"/>
      <c r="X5" s="1077"/>
      <c r="Y5" s="1077"/>
      <c r="Z5" s="1077"/>
      <c r="AA5" s="1077"/>
      <c r="AB5" s="1077"/>
      <c r="AC5" s="1077"/>
      <c r="AD5" s="1077"/>
      <c r="AE5" s="1078"/>
      <c r="AF5" s="1091" t="s">
        <v>4</v>
      </c>
      <c r="AG5" s="1092"/>
      <c r="AH5" s="1092"/>
      <c r="AI5" s="1092"/>
      <c r="AJ5" s="1092"/>
      <c r="AK5" s="1092"/>
      <c r="AL5" s="1092"/>
      <c r="AM5" s="1092"/>
      <c r="AN5" s="1092"/>
      <c r="AO5" s="1093"/>
      <c r="AP5" s="1091" t="s">
        <v>5</v>
      </c>
      <c r="AQ5" s="1092"/>
      <c r="AR5" s="1092"/>
      <c r="AS5" s="1092"/>
      <c r="AT5" s="1092"/>
      <c r="AU5" s="1092"/>
      <c r="AV5" s="1092"/>
      <c r="AW5" s="1092"/>
      <c r="AX5" s="1092"/>
      <c r="AY5" s="1093"/>
    </row>
    <row r="6" spans="1:59" ht="35.25" customHeight="1" x14ac:dyDescent="0.25">
      <c r="A6" s="1086" t="s">
        <v>10</v>
      </c>
      <c r="B6" s="483" t="s">
        <v>579</v>
      </c>
      <c r="C6" s="1560" t="s">
        <v>1337</v>
      </c>
      <c r="D6" s="491"/>
      <c r="E6" s="393"/>
      <c r="F6" s="485" t="s">
        <v>581</v>
      </c>
      <c r="G6" s="1560" t="s">
        <v>1336</v>
      </c>
      <c r="H6" s="505"/>
      <c r="I6" s="20"/>
      <c r="J6" s="522"/>
      <c r="K6" s="523"/>
      <c r="L6" s="82"/>
      <c r="M6" s="1541"/>
      <c r="N6" s="78"/>
      <c r="O6" s="1541"/>
      <c r="P6" s="228" t="s">
        <v>581</v>
      </c>
      <c r="Q6" s="1559" t="s">
        <v>1191</v>
      </c>
      <c r="R6" s="841" t="s">
        <v>582</v>
      </c>
      <c r="S6" s="1741" t="s">
        <v>165</v>
      </c>
      <c r="T6" s="842" t="s">
        <v>1185</v>
      </c>
      <c r="U6" s="1477" t="s">
        <v>149</v>
      </c>
      <c r="V6" s="94" t="s">
        <v>579</v>
      </c>
      <c r="W6" s="1774" t="s">
        <v>674</v>
      </c>
      <c r="X6" s="95" t="s">
        <v>580</v>
      </c>
      <c r="Y6" s="1477" t="s">
        <v>1322</v>
      </c>
      <c r="Z6" s="235"/>
      <c r="AA6" s="1625"/>
      <c r="AB6" s="78"/>
      <c r="AC6" s="1541"/>
      <c r="AD6" s="571"/>
      <c r="AE6" s="1771"/>
      <c r="AF6" s="552" t="s">
        <v>579</v>
      </c>
      <c r="AG6" s="1478" t="s">
        <v>149</v>
      </c>
      <c r="AH6" s="388" t="s">
        <v>580</v>
      </c>
      <c r="AI6" s="1478" t="s">
        <v>569</v>
      </c>
      <c r="AJ6" s="388" t="s">
        <v>581</v>
      </c>
      <c r="AK6" s="1478" t="s">
        <v>165</v>
      </c>
      <c r="AL6" s="1164"/>
      <c r="AM6" s="1739"/>
      <c r="AN6" s="476"/>
      <c r="AO6" s="1542"/>
      <c r="AP6" s="843"/>
      <c r="AQ6" s="1541"/>
      <c r="AR6" s="266"/>
      <c r="AS6" s="1542"/>
      <c r="AT6" s="266"/>
      <c r="AU6" s="1542"/>
      <c r="AV6" s="388" t="s">
        <v>582</v>
      </c>
      <c r="AW6" s="1559" t="s">
        <v>1191</v>
      </c>
      <c r="AX6" s="306"/>
      <c r="AY6" s="1769"/>
      <c r="BA6" s="309"/>
      <c r="BB6" s="1639"/>
    </row>
    <row r="7" spans="1:59" ht="40.5" customHeight="1" x14ac:dyDescent="0.25">
      <c r="A7" s="1087"/>
      <c r="B7" s="1544" t="s">
        <v>1358</v>
      </c>
      <c r="C7" s="1560"/>
      <c r="D7" s="492"/>
      <c r="E7" s="105"/>
      <c r="F7" s="1468" t="s">
        <v>1358</v>
      </c>
      <c r="G7" s="1560"/>
      <c r="H7" s="505"/>
      <c r="I7" s="20"/>
      <c r="J7" s="817"/>
      <c r="K7" s="818"/>
      <c r="L7" s="1770"/>
      <c r="M7" s="1542"/>
      <c r="N7" s="1750"/>
      <c r="O7" s="1542"/>
      <c r="P7" s="1468" t="s">
        <v>79</v>
      </c>
      <c r="Q7" s="1560"/>
      <c r="R7" s="1742" t="s">
        <v>23</v>
      </c>
      <c r="S7" s="1553"/>
      <c r="T7" s="1576" t="s">
        <v>12</v>
      </c>
      <c r="U7" s="1478"/>
      <c r="V7" s="1776" t="s">
        <v>79</v>
      </c>
      <c r="W7" s="1775"/>
      <c r="X7" s="1576" t="s">
        <v>13</v>
      </c>
      <c r="Y7" s="1478"/>
      <c r="Z7" s="1492"/>
      <c r="AA7" s="1594"/>
      <c r="AB7" s="1737"/>
      <c r="AC7" s="1542"/>
      <c r="AD7" s="1738"/>
      <c r="AE7" s="1769"/>
      <c r="AF7" s="1776" t="s">
        <v>12</v>
      </c>
      <c r="AG7" s="1478"/>
      <c r="AH7" s="1576" t="s">
        <v>79</v>
      </c>
      <c r="AI7" s="1478"/>
      <c r="AJ7" s="1576" t="s">
        <v>23</v>
      </c>
      <c r="AK7" s="1478"/>
      <c r="AL7" s="1164"/>
      <c r="AM7" s="1739"/>
      <c r="AN7" s="1770"/>
      <c r="AO7" s="1542"/>
      <c r="AP7" s="1568"/>
      <c r="AQ7" s="1542"/>
      <c r="AR7" s="1737"/>
      <c r="AS7" s="1542"/>
      <c r="AT7" s="1737"/>
      <c r="AU7" s="1542"/>
      <c r="AV7" s="1576" t="s">
        <v>79</v>
      </c>
      <c r="AW7" s="1560"/>
      <c r="AX7" s="1738"/>
      <c r="AY7" s="1769"/>
      <c r="BA7" s="1638"/>
      <c r="BB7" s="1639"/>
    </row>
    <row r="8" spans="1:59" ht="33.75" customHeight="1" x14ac:dyDescent="0.25">
      <c r="A8" s="1087" t="s">
        <v>11</v>
      </c>
      <c r="B8" s="1544"/>
      <c r="C8" s="1560"/>
      <c r="D8" s="484" t="s">
        <v>580</v>
      </c>
      <c r="E8" s="1773" t="s">
        <v>165</v>
      </c>
      <c r="F8" s="1468"/>
      <c r="G8" s="1560"/>
      <c r="H8" s="163" t="s">
        <v>582</v>
      </c>
      <c r="I8" s="1520" t="s">
        <v>1322</v>
      </c>
      <c r="J8" s="817"/>
      <c r="K8" s="818"/>
      <c r="L8" s="1770"/>
      <c r="M8" s="1542"/>
      <c r="N8" s="1750"/>
      <c r="O8" s="1542"/>
      <c r="P8" s="1468"/>
      <c r="Q8" s="1560"/>
      <c r="R8" s="1742"/>
      <c r="S8" s="1553"/>
      <c r="T8" s="1576"/>
      <c r="U8" s="1478"/>
      <c r="V8" s="1776"/>
      <c r="W8" s="1775"/>
      <c r="X8" s="1576"/>
      <c r="Y8" s="1478"/>
      <c r="Z8" s="1492"/>
      <c r="AA8" s="1594"/>
      <c r="AB8" s="1737"/>
      <c r="AC8" s="1542"/>
      <c r="AD8" s="1738"/>
      <c r="AE8" s="1769"/>
      <c r="AF8" s="1776"/>
      <c r="AG8" s="1478"/>
      <c r="AH8" s="1576"/>
      <c r="AI8" s="1478"/>
      <c r="AJ8" s="1576"/>
      <c r="AK8" s="1478"/>
      <c r="AL8" s="1164"/>
      <c r="AM8" s="1739"/>
      <c r="AN8" s="1770"/>
      <c r="AO8" s="1542"/>
      <c r="AP8" s="1568"/>
      <c r="AQ8" s="1542"/>
      <c r="AR8" s="1737"/>
      <c r="AS8" s="1542"/>
      <c r="AT8" s="1737"/>
      <c r="AU8" s="1542"/>
      <c r="AV8" s="1576"/>
      <c r="AW8" s="1560"/>
      <c r="AX8" s="1738"/>
      <c r="AY8" s="1769"/>
      <c r="BA8" s="1638"/>
      <c r="BB8" s="1639"/>
    </row>
    <row r="9" spans="1:59" ht="40.5" customHeight="1" thickBot="1" x14ac:dyDescent="0.3">
      <c r="A9" s="1087"/>
      <c r="B9" s="1544"/>
      <c r="C9" s="1560"/>
      <c r="D9" s="1468" t="s">
        <v>23</v>
      </c>
      <c r="E9" s="1560"/>
      <c r="F9" s="1468"/>
      <c r="G9" s="1560"/>
      <c r="H9" s="1576" t="s">
        <v>13</v>
      </c>
      <c r="I9" s="1478"/>
      <c r="J9" s="817"/>
      <c r="K9" s="818"/>
      <c r="L9" s="1770"/>
      <c r="M9" s="1542"/>
      <c r="N9" s="1750"/>
      <c r="O9" s="1542"/>
      <c r="P9" s="1468"/>
      <c r="Q9" s="1561"/>
      <c r="R9" s="1743"/>
      <c r="S9" s="1553"/>
      <c r="T9" s="1576"/>
      <c r="U9" s="1478"/>
      <c r="V9" s="1776"/>
      <c r="W9" s="1775"/>
      <c r="X9" s="1576"/>
      <c r="Y9" s="1478"/>
      <c r="Z9" s="1492"/>
      <c r="AA9" s="1594"/>
      <c r="AB9" s="1737"/>
      <c r="AC9" s="1542"/>
      <c r="AD9" s="1738"/>
      <c r="AE9" s="1772"/>
      <c r="AF9" s="1776"/>
      <c r="AG9" s="1748"/>
      <c r="AH9" s="1576"/>
      <c r="AI9" s="1748"/>
      <c r="AJ9" s="1576"/>
      <c r="AK9" s="1748"/>
      <c r="AL9" s="1167"/>
      <c r="AM9" s="1740"/>
      <c r="AN9" s="1770"/>
      <c r="AO9" s="1747"/>
      <c r="AP9" s="1757"/>
      <c r="AQ9" s="1542"/>
      <c r="AR9" s="1737"/>
      <c r="AS9" s="1542"/>
      <c r="AT9" s="1737"/>
      <c r="AU9" s="1542"/>
      <c r="AV9" s="1576"/>
      <c r="AW9" s="1560"/>
      <c r="AX9" s="1738"/>
      <c r="AY9" s="1769"/>
      <c r="BA9" s="1638"/>
      <c r="BB9" s="1639"/>
    </row>
    <row r="10" spans="1:59" ht="30.75" customHeight="1" x14ac:dyDescent="0.25">
      <c r="A10" s="1087" t="s">
        <v>6</v>
      </c>
      <c r="B10" s="1544"/>
      <c r="C10" s="1560"/>
      <c r="D10" s="1468"/>
      <c r="E10" s="1560"/>
      <c r="F10" s="1468"/>
      <c r="G10" s="1560"/>
      <c r="H10" s="1576"/>
      <c r="I10" s="1478"/>
      <c r="J10" s="817"/>
      <c r="K10" s="818"/>
      <c r="L10" s="1555" t="s">
        <v>12</v>
      </c>
      <c r="M10" s="1556"/>
      <c r="N10" s="1556"/>
      <c r="O10" s="1556"/>
      <c r="P10" s="1556"/>
      <c r="Q10" s="1556"/>
      <c r="R10" s="1537" t="s">
        <v>151</v>
      </c>
      <c r="S10" s="1537"/>
      <c r="T10" s="1537"/>
      <c r="U10" s="1538"/>
      <c r="V10" s="1555" t="s">
        <v>13</v>
      </c>
      <c r="W10" s="1556"/>
      <c r="X10" s="1556"/>
      <c r="Y10" s="1556"/>
      <c r="Z10" s="1556"/>
      <c r="AA10" s="1556"/>
      <c r="AB10" s="1537" t="s">
        <v>151</v>
      </c>
      <c r="AC10" s="1537"/>
      <c r="AD10" s="1537"/>
      <c r="AE10" s="1538"/>
      <c r="AF10" s="1555" t="s">
        <v>12</v>
      </c>
      <c r="AG10" s="1556"/>
      <c r="AH10" s="1556"/>
      <c r="AI10" s="1556"/>
      <c r="AJ10" s="1556"/>
      <c r="AK10" s="1556"/>
      <c r="AL10" s="1537" t="s">
        <v>151</v>
      </c>
      <c r="AM10" s="1537"/>
      <c r="AN10" s="1537"/>
      <c r="AO10" s="1538"/>
      <c r="AP10" s="1555" t="s">
        <v>23</v>
      </c>
      <c r="AQ10" s="1556"/>
      <c r="AR10" s="1556"/>
      <c r="AS10" s="1556"/>
      <c r="AT10" s="1556"/>
      <c r="AU10" s="1556"/>
      <c r="AV10" s="1537" t="s">
        <v>151</v>
      </c>
      <c r="AW10" s="1537"/>
      <c r="AX10" s="1537"/>
      <c r="AY10" s="1538"/>
    </row>
    <row r="11" spans="1:59" ht="35.25" customHeight="1" thickBot="1" x14ac:dyDescent="0.3">
      <c r="A11" s="1087"/>
      <c r="B11" s="1545"/>
      <c r="C11" s="1561"/>
      <c r="D11" s="1491"/>
      <c r="E11" s="1561"/>
      <c r="F11" s="1491"/>
      <c r="G11" s="1561"/>
      <c r="H11" s="1576"/>
      <c r="I11" s="1748"/>
      <c r="J11" s="819"/>
      <c r="K11" s="820"/>
      <c r="L11" s="1557"/>
      <c r="M11" s="1558"/>
      <c r="N11" s="1558"/>
      <c r="O11" s="1558"/>
      <c r="P11" s="1558"/>
      <c r="Q11" s="1558"/>
      <c r="R11" s="1539"/>
      <c r="S11" s="1539"/>
      <c r="T11" s="1539"/>
      <c r="U11" s="1540"/>
      <c r="V11" s="1557"/>
      <c r="W11" s="1558"/>
      <c r="X11" s="1558"/>
      <c r="Y11" s="1558"/>
      <c r="Z11" s="1558"/>
      <c r="AA11" s="1558"/>
      <c r="AB11" s="1539"/>
      <c r="AC11" s="1539"/>
      <c r="AD11" s="1539"/>
      <c r="AE11" s="1540"/>
      <c r="AF11" s="1557"/>
      <c r="AG11" s="1558"/>
      <c r="AH11" s="1558"/>
      <c r="AI11" s="1558"/>
      <c r="AJ11" s="1558"/>
      <c r="AK11" s="1558"/>
      <c r="AL11" s="1539"/>
      <c r="AM11" s="1539"/>
      <c r="AN11" s="1539"/>
      <c r="AO11" s="1540"/>
      <c r="AP11" s="1557"/>
      <c r="AQ11" s="1558"/>
      <c r="AR11" s="1558"/>
      <c r="AS11" s="1558"/>
      <c r="AT11" s="1558"/>
      <c r="AU11" s="1558"/>
      <c r="AV11" s="1539"/>
      <c r="AW11" s="1539"/>
      <c r="AX11" s="1539"/>
      <c r="AY11" s="1540"/>
    </row>
    <row r="12" spans="1:59" ht="35.25" customHeight="1" x14ac:dyDescent="0.25">
      <c r="A12" s="1087" t="s">
        <v>7</v>
      </c>
      <c r="B12" s="824" t="s">
        <v>579</v>
      </c>
      <c r="C12" s="1741" t="s">
        <v>165</v>
      </c>
      <c r="D12" s="228" t="s">
        <v>580</v>
      </c>
      <c r="E12" s="1559" t="s">
        <v>1337</v>
      </c>
      <c r="F12" s="95" t="s">
        <v>581</v>
      </c>
      <c r="G12" s="1477" t="s">
        <v>1322</v>
      </c>
      <c r="H12" s="228" t="s">
        <v>582</v>
      </c>
      <c r="I12" s="1560" t="s">
        <v>1336</v>
      </c>
      <c r="J12" s="1579"/>
      <c r="K12" s="1580"/>
      <c r="L12" s="1555" t="s">
        <v>79</v>
      </c>
      <c r="M12" s="1556"/>
      <c r="N12" s="1556"/>
      <c r="O12" s="1556"/>
      <c r="P12" s="1556"/>
      <c r="Q12" s="1556"/>
      <c r="R12" s="1537" t="s">
        <v>151</v>
      </c>
      <c r="S12" s="1537"/>
      <c r="T12" s="1537"/>
      <c r="U12" s="1538"/>
      <c r="V12" s="1555" t="s">
        <v>79</v>
      </c>
      <c r="W12" s="1556"/>
      <c r="X12" s="1556"/>
      <c r="Y12" s="1556"/>
      <c r="Z12" s="1556"/>
      <c r="AA12" s="1556"/>
      <c r="AB12" s="1537" t="s">
        <v>151</v>
      </c>
      <c r="AC12" s="1537"/>
      <c r="AD12" s="1537"/>
      <c r="AE12" s="1538"/>
      <c r="AF12" s="1555" t="s">
        <v>23</v>
      </c>
      <c r="AG12" s="1556"/>
      <c r="AH12" s="1556"/>
      <c r="AI12" s="1556"/>
      <c r="AJ12" s="1556"/>
      <c r="AK12" s="1556"/>
      <c r="AL12" s="1537" t="s">
        <v>151</v>
      </c>
      <c r="AM12" s="1537"/>
      <c r="AN12" s="1537"/>
      <c r="AO12" s="1538"/>
      <c r="AP12" s="1555" t="s">
        <v>13</v>
      </c>
      <c r="AQ12" s="1556"/>
      <c r="AR12" s="1556"/>
      <c r="AS12" s="1556"/>
      <c r="AT12" s="1556"/>
      <c r="AU12" s="1556"/>
      <c r="AV12" s="1537" t="s">
        <v>151</v>
      </c>
      <c r="AW12" s="1537"/>
      <c r="AX12" s="1537"/>
      <c r="AY12" s="1538"/>
    </row>
    <row r="13" spans="1:59" ht="35.25" customHeight="1" thickBot="1" x14ac:dyDescent="0.3">
      <c r="A13" s="1087"/>
      <c r="B13" s="1490" t="s">
        <v>23</v>
      </c>
      <c r="C13" s="1553"/>
      <c r="D13" s="1468" t="s">
        <v>1358</v>
      </c>
      <c r="E13" s="1560"/>
      <c r="F13" s="1576" t="s">
        <v>13</v>
      </c>
      <c r="G13" s="1478"/>
      <c r="H13" s="1468" t="s">
        <v>1358</v>
      </c>
      <c r="I13" s="1560"/>
      <c r="J13" s="1581"/>
      <c r="K13" s="1582"/>
      <c r="L13" s="1557"/>
      <c r="M13" s="1558"/>
      <c r="N13" s="1558"/>
      <c r="O13" s="1558"/>
      <c r="P13" s="1558"/>
      <c r="Q13" s="1558"/>
      <c r="R13" s="1539"/>
      <c r="S13" s="1539"/>
      <c r="T13" s="1539"/>
      <c r="U13" s="1540"/>
      <c r="V13" s="1557"/>
      <c r="W13" s="1558"/>
      <c r="X13" s="1558"/>
      <c r="Y13" s="1558"/>
      <c r="Z13" s="1558"/>
      <c r="AA13" s="1558"/>
      <c r="AB13" s="1539"/>
      <c r="AC13" s="1539"/>
      <c r="AD13" s="1539"/>
      <c r="AE13" s="1540"/>
      <c r="AF13" s="1557"/>
      <c r="AG13" s="1558"/>
      <c r="AH13" s="1558"/>
      <c r="AI13" s="1558"/>
      <c r="AJ13" s="1558"/>
      <c r="AK13" s="1558"/>
      <c r="AL13" s="1539"/>
      <c r="AM13" s="1539"/>
      <c r="AN13" s="1539"/>
      <c r="AO13" s="1540"/>
      <c r="AP13" s="1557"/>
      <c r="AQ13" s="1558"/>
      <c r="AR13" s="1558"/>
      <c r="AS13" s="1558"/>
      <c r="AT13" s="1558"/>
      <c r="AU13" s="1558"/>
      <c r="AV13" s="1539"/>
      <c r="AW13" s="1539"/>
      <c r="AX13" s="1539"/>
      <c r="AY13" s="1540"/>
      <c r="BG13" s="20"/>
    </row>
    <row r="14" spans="1:59" ht="33.75" customHeight="1" x14ac:dyDescent="0.25">
      <c r="A14" s="1087" t="s">
        <v>8</v>
      </c>
      <c r="B14" s="1490"/>
      <c r="C14" s="1553"/>
      <c r="D14" s="1468"/>
      <c r="E14" s="1560"/>
      <c r="F14" s="1576"/>
      <c r="G14" s="1478"/>
      <c r="H14" s="1468"/>
      <c r="I14" s="1560"/>
      <c r="J14" s="1581"/>
      <c r="K14" s="1582"/>
      <c r="L14" s="1555" t="s">
        <v>1358</v>
      </c>
      <c r="M14" s="1556"/>
      <c r="N14" s="1556"/>
      <c r="O14" s="1556"/>
      <c r="P14" s="1556"/>
      <c r="Q14" s="1556"/>
      <c r="R14" s="1537" t="s">
        <v>151</v>
      </c>
      <c r="S14" s="1537"/>
      <c r="T14" s="1537"/>
      <c r="U14" s="1538"/>
      <c r="V14" s="693"/>
      <c r="W14" s="694"/>
      <c r="X14" s="694"/>
      <c r="Y14" s="694"/>
      <c r="Z14" s="78"/>
      <c r="AA14" s="1541"/>
      <c r="AB14" s="694"/>
      <c r="AC14" s="694"/>
      <c r="AD14" s="825" t="s">
        <v>1185</v>
      </c>
      <c r="AE14" s="1577" t="s">
        <v>674</v>
      </c>
      <c r="AF14" s="681"/>
      <c r="AG14" s="682"/>
      <c r="AH14" s="682"/>
      <c r="AI14" s="682"/>
      <c r="AJ14" s="682"/>
      <c r="AK14" s="682"/>
      <c r="AL14" s="78"/>
      <c r="AM14" s="1542"/>
      <c r="AN14" s="683"/>
      <c r="AO14" s="684"/>
      <c r="AP14" s="1261"/>
      <c r="AQ14" s="1050"/>
      <c r="AR14" s="1050"/>
      <c r="AS14" s="1050"/>
      <c r="AT14" s="1050"/>
      <c r="AU14" s="1050"/>
      <c r="AV14" s="1050"/>
      <c r="AW14" s="1050"/>
      <c r="AX14" s="1050"/>
      <c r="AY14" s="1262"/>
      <c r="BG14" s="20"/>
    </row>
    <row r="15" spans="1:59" ht="34.200000000000003" customHeight="1" thickBot="1" x14ac:dyDescent="0.3">
      <c r="A15" s="1087"/>
      <c r="B15" s="1567"/>
      <c r="C15" s="1553"/>
      <c r="D15" s="1468"/>
      <c r="E15" s="1560"/>
      <c r="F15" s="1576"/>
      <c r="G15" s="1479"/>
      <c r="H15" s="1468"/>
      <c r="I15" s="1560"/>
      <c r="J15" s="1581"/>
      <c r="K15" s="1582"/>
      <c r="L15" s="1557"/>
      <c r="M15" s="1558"/>
      <c r="N15" s="1558"/>
      <c r="O15" s="1558"/>
      <c r="P15" s="1558"/>
      <c r="Q15" s="1558"/>
      <c r="R15" s="1539"/>
      <c r="S15" s="1539"/>
      <c r="T15" s="1539"/>
      <c r="U15" s="1540"/>
      <c r="V15" s="691"/>
      <c r="W15" s="692"/>
      <c r="X15" s="692"/>
      <c r="Y15" s="692"/>
      <c r="Z15" s="1750"/>
      <c r="AA15" s="1542"/>
      <c r="AB15" s="692"/>
      <c r="AC15" s="692"/>
      <c r="AD15" s="1521" t="s">
        <v>79</v>
      </c>
      <c r="AE15" s="1578"/>
      <c r="AF15" s="685"/>
      <c r="AG15" s="686"/>
      <c r="AH15" s="686"/>
      <c r="AI15" s="686"/>
      <c r="AJ15" s="686"/>
      <c r="AK15" s="725"/>
      <c r="AL15" s="1518"/>
      <c r="AM15" s="1542"/>
      <c r="AN15" s="687"/>
      <c r="AO15" s="688"/>
      <c r="AP15" s="1744"/>
      <c r="AQ15" s="1745"/>
      <c r="AR15" s="1745"/>
      <c r="AS15" s="1745"/>
      <c r="AT15" s="1745"/>
      <c r="AU15" s="1745"/>
      <c r="AV15" s="1745"/>
      <c r="AW15" s="1745"/>
      <c r="AX15" s="1745"/>
      <c r="AY15" s="1746"/>
    </row>
    <row r="16" spans="1:59" ht="31.5" customHeight="1" x14ac:dyDescent="0.3">
      <c r="A16" s="1087" t="s">
        <v>9</v>
      </c>
      <c r="B16" s="821"/>
      <c r="C16" s="613"/>
      <c r="D16" s="1468"/>
      <c r="E16" s="1560"/>
      <c r="F16" s="614"/>
      <c r="G16" s="613"/>
      <c r="H16" s="1468"/>
      <c r="I16" s="1560"/>
      <c r="J16" s="1581"/>
      <c r="K16" s="1582"/>
      <c r="L16" s="1533"/>
      <c r="M16" s="1534"/>
      <c r="N16" s="1534"/>
      <c r="O16" s="1534"/>
      <c r="P16" s="1534"/>
      <c r="Q16" s="1534"/>
      <c r="R16" s="1548"/>
      <c r="S16" s="1548"/>
      <c r="T16" s="1548"/>
      <c r="U16" s="1549"/>
      <c r="V16" s="689"/>
      <c r="W16" s="690"/>
      <c r="X16" s="690"/>
      <c r="Y16" s="690"/>
      <c r="Z16" s="1750"/>
      <c r="AA16" s="1542"/>
      <c r="AB16" s="690"/>
      <c r="AC16" s="690"/>
      <c r="AD16" s="1521"/>
      <c r="AE16" s="1578"/>
      <c r="AF16" s="681"/>
      <c r="AG16" s="682"/>
      <c r="AH16" s="682"/>
      <c r="AI16" s="682"/>
      <c r="AJ16" s="682"/>
      <c r="AK16" s="726"/>
      <c r="AL16" s="1518"/>
      <c r="AM16" s="1542"/>
      <c r="AN16" s="683"/>
      <c r="AO16" s="684"/>
      <c r="AP16" s="96"/>
      <c r="AQ16" s="84"/>
      <c r="AR16" s="84"/>
      <c r="AS16" s="84"/>
      <c r="AT16" s="84"/>
      <c r="AU16" s="84"/>
      <c r="AV16" s="84"/>
      <c r="AW16" s="84"/>
      <c r="AX16" s="84"/>
      <c r="AY16" s="85"/>
    </row>
    <row r="17" spans="1:59" ht="38.4" customHeight="1" thickBot="1" x14ac:dyDescent="0.35">
      <c r="A17" s="1171"/>
      <c r="B17" s="821"/>
      <c r="C17" s="488"/>
      <c r="D17" s="1491"/>
      <c r="E17" s="1561"/>
      <c r="F17" s="234"/>
      <c r="G17" s="488"/>
      <c r="H17" s="1491"/>
      <c r="I17" s="1561"/>
      <c r="J17" s="1583"/>
      <c r="K17" s="1584"/>
      <c r="L17" s="1535"/>
      <c r="M17" s="1536"/>
      <c r="N17" s="1536"/>
      <c r="O17" s="1536"/>
      <c r="P17" s="1536"/>
      <c r="Q17" s="1536"/>
      <c r="R17" s="1550"/>
      <c r="S17" s="1550"/>
      <c r="T17" s="1550"/>
      <c r="U17" s="1551"/>
      <c r="V17" s="691"/>
      <c r="W17" s="692"/>
      <c r="X17" s="692"/>
      <c r="Y17" s="692"/>
      <c r="Z17" s="1751"/>
      <c r="AA17" s="1542"/>
      <c r="AB17" s="692"/>
      <c r="AC17" s="692"/>
      <c r="AD17" s="1521"/>
      <c r="AE17" s="1578"/>
      <c r="AF17" s="685"/>
      <c r="AG17" s="686"/>
      <c r="AH17" s="686"/>
      <c r="AI17" s="686"/>
      <c r="AJ17" s="686"/>
      <c r="AK17" s="725"/>
      <c r="AL17" s="1519"/>
      <c r="AM17" s="1747"/>
      <c r="AN17" s="687"/>
      <c r="AO17" s="688"/>
      <c r="AP17" s="672"/>
      <c r="AQ17" s="673"/>
      <c r="AR17" s="673"/>
      <c r="AS17" s="673"/>
      <c r="AT17" s="673"/>
      <c r="AU17" s="673"/>
      <c r="AV17" s="673"/>
      <c r="AW17" s="673"/>
      <c r="AX17" s="673"/>
      <c r="AY17" s="674"/>
    </row>
    <row r="18" spans="1:59" s="2" customFormat="1" ht="24.75" customHeight="1" thickBot="1" x14ac:dyDescent="0.3">
      <c r="A18" s="24" t="s">
        <v>1</v>
      </c>
      <c r="B18" s="1091" t="s">
        <v>2</v>
      </c>
      <c r="C18" s="1092"/>
      <c r="D18" s="1092"/>
      <c r="E18" s="1092"/>
      <c r="F18" s="1092"/>
      <c r="G18" s="1092"/>
      <c r="H18" s="1092"/>
      <c r="I18" s="1092"/>
      <c r="J18" s="1092"/>
      <c r="K18" s="1093"/>
      <c r="L18" s="1091" t="s">
        <v>3</v>
      </c>
      <c r="M18" s="1092"/>
      <c r="N18" s="1092"/>
      <c r="O18" s="1092"/>
      <c r="P18" s="1092"/>
      <c r="Q18" s="1092"/>
      <c r="R18" s="1092"/>
      <c r="S18" s="1092"/>
      <c r="T18" s="1092"/>
      <c r="U18" s="1093"/>
      <c r="V18" s="1091" t="s">
        <v>139</v>
      </c>
      <c r="W18" s="1092"/>
      <c r="X18" s="1092"/>
      <c r="Y18" s="1092"/>
      <c r="Z18" s="1092"/>
      <c r="AA18" s="1092"/>
      <c r="AB18" s="1092"/>
      <c r="AC18" s="1092"/>
      <c r="AD18" s="1092"/>
      <c r="AE18" s="1093"/>
      <c r="AF18" s="1091" t="s">
        <v>4</v>
      </c>
      <c r="AG18" s="1092"/>
      <c r="AH18" s="1092"/>
      <c r="AI18" s="1092"/>
      <c r="AJ18" s="1092"/>
      <c r="AK18" s="1092"/>
      <c r="AL18" s="1092"/>
      <c r="AM18" s="1092"/>
      <c r="AN18" s="1092"/>
      <c r="AO18" s="1093"/>
      <c r="AP18" s="1091" t="s">
        <v>5</v>
      </c>
      <c r="AQ18" s="1092"/>
      <c r="AR18" s="1092"/>
      <c r="AS18" s="1092"/>
      <c r="AT18" s="1092"/>
      <c r="AU18" s="1092"/>
      <c r="AV18" s="1092"/>
      <c r="AW18" s="1092"/>
      <c r="AX18" s="1092"/>
      <c r="AY18" s="1093"/>
    </row>
    <row r="19" spans="1:59" ht="33.75" customHeight="1" x14ac:dyDescent="0.25">
      <c r="A19" s="1087" t="s">
        <v>187</v>
      </c>
      <c r="B19" s="821"/>
      <c r="C19" s="822"/>
      <c r="D19" s="173"/>
      <c r="E19" s="822"/>
      <c r="F19" s="592"/>
      <c r="G19" s="822"/>
      <c r="H19" s="69"/>
      <c r="I19" s="822"/>
      <c r="J19" s="828"/>
      <c r="K19" s="818"/>
      <c r="L19" s="592"/>
      <c r="M19" s="822"/>
      <c r="N19" s="592"/>
      <c r="O19" s="822"/>
      <c r="P19" s="592"/>
      <c r="Q19" s="822"/>
      <c r="R19" s="246"/>
      <c r="S19" s="826"/>
      <c r="T19" s="836" t="s">
        <v>1185</v>
      </c>
      <c r="U19" s="1552" t="s">
        <v>148</v>
      </c>
      <c r="V19" s="837" t="s">
        <v>579</v>
      </c>
      <c r="W19" s="1477" t="s">
        <v>1339</v>
      </c>
      <c r="X19" s="592"/>
      <c r="Y19" s="822"/>
      <c r="AB19" s="69"/>
      <c r="AC19" s="822"/>
      <c r="AD19" s="829"/>
      <c r="AE19" s="827"/>
      <c r="AF19" s="821"/>
      <c r="AG19" s="822"/>
      <c r="AH19" s="592"/>
      <c r="AI19" s="822"/>
      <c r="AJ19" s="592"/>
      <c r="AK19" s="822"/>
      <c r="AL19" s="835" t="s">
        <v>582</v>
      </c>
      <c r="AM19" s="1477" t="s">
        <v>148</v>
      </c>
      <c r="AN19" s="592"/>
      <c r="AO19" s="669"/>
      <c r="AP19" s="592"/>
      <c r="AQ19" s="822"/>
      <c r="AR19" s="69"/>
      <c r="AS19" s="822"/>
      <c r="AT19" s="69"/>
      <c r="AU19" s="822"/>
      <c r="AV19" s="592"/>
      <c r="AW19" s="822"/>
      <c r="AX19" s="829"/>
      <c r="AY19" s="827"/>
      <c r="AZ19" s="33"/>
      <c r="BA19" s="1638"/>
      <c r="BB19" s="1639"/>
    </row>
    <row r="20" spans="1:59" ht="33.75" customHeight="1" x14ac:dyDescent="0.25">
      <c r="A20" s="1087"/>
      <c r="B20" s="821"/>
      <c r="C20" s="822"/>
      <c r="D20" s="592"/>
      <c r="E20" s="822"/>
      <c r="F20" s="592"/>
      <c r="G20" s="822"/>
      <c r="H20" s="592"/>
      <c r="I20" s="822"/>
      <c r="J20" s="828"/>
      <c r="K20" s="818"/>
      <c r="L20" s="592"/>
      <c r="M20" s="822"/>
      <c r="N20" s="592"/>
      <c r="O20" s="822"/>
      <c r="P20" s="592"/>
      <c r="Q20" s="822"/>
      <c r="R20" s="246"/>
      <c r="S20" s="826"/>
      <c r="T20" s="1521" t="s">
        <v>13</v>
      </c>
      <c r="U20" s="1553"/>
      <c r="V20" s="1490" t="s">
        <v>13</v>
      </c>
      <c r="W20" s="1478"/>
      <c r="X20" s="592"/>
      <c r="Y20" s="822"/>
      <c r="AB20" s="69"/>
      <c r="AC20" s="822"/>
      <c r="AD20" s="829"/>
      <c r="AE20" s="823"/>
      <c r="AF20" s="592"/>
      <c r="AG20" s="822"/>
      <c r="AH20" s="592"/>
      <c r="AI20" s="822"/>
      <c r="AJ20" s="592"/>
      <c r="AK20" s="822"/>
      <c r="AL20" s="1497" t="s">
        <v>12</v>
      </c>
      <c r="AM20" s="1478"/>
      <c r="AN20" s="592"/>
      <c r="AO20" s="822"/>
      <c r="AP20" s="821"/>
      <c r="AQ20" s="822"/>
      <c r="AR20" s="69"/>
      <c r="AS20" s="822"/>
      <c r="AT20" s="69"/>
      <c r="AU20" s="822"/>
      <c r="AV20" s="592"/>
      <c r="AW20" s="822"/>
      <c r="AX20" s="829"/>
      <c r="AY20" s="823"/>
      <c r="BA20" s="1638"/>
      <c r="BB20" s="1639"/>
    </row>
    <row r="21" spans="1:59" ht="35.25" customHeight="1" x14ac:dyDescent="0.25">
      <c r="A21" s="1087" t="s">
        <v>186</v>
      </c>
      <c r="B21" s="821"/>
      <c r="C21" s="822"/>
      <c r="D21" s="836" t="s">
        <v>580</v>
      </c>
      <c r="E21" s="1520" t="s">
        <v>148</v>
      </c>
      <c r="F21" s="592"/>
      <c r="G21" s="822"/>
      <c r="H21" s="592"/>
      <c r="I21" s="822"/>
      <c r="J21" s="828"/>
      <c r="K21" s="818"/>
      <c r="L21" s="601"/>
      <c r="M21" s="601"/>
      <c r="N21" s="601"/>
      <c r="O21" s="601"/>
      <c r="P21" s="601"/>
      <c r="Q21" s="601"/>
      <c r="R21" s="79"/>
      <c r="S21" s="79"/>
      <c r="T21" s="1521"/>
      <c r="U21" s="1553"/>
      <c r="V21" s="1490"/>
      <c r="W21" s="1478"/>
      <c r="X21" s="601"/>
      <c r="Y21" s="601"/>
      <c r="AB21" s="79"/>
      <c r="AC21" s="79"/>
      <c r="AD21" s="79"/>
      <c r="AE21" s="414"/>
      <c r="AF21" s="601"/>
      <c r="AG21" s="601"/>
      <c r="AH21" s="601"/>
      <c r="AI21" s="601"/>
      <c r="AJ21" s="601"/>
      <c r="AK21" s="601"/>
      <c r="AL21" s="1497"/>
      <c r="AM21" s="1478"/>
      <c r="AN21" s="79"/>
      <c r="AO21" s="414"/>
      <c r="AP21" s="601"/>
      <c r="AQ21" s="601"/>
      <c r="AR21" s="601"/>
      <c r="AS21" s="601"/>
      <c r="AT21" s="601"/>
      <c r="AU21" s="601"/>
      <c r="AV21" s="79"/>
      <c r="AW21" s="79"/>
      <c r="AX21" s="79"/>
      <c r="AY21" s="414"/>
    </row>
    <row r="22" spans="1:59" ht="40.5" customHeight="1" x14ac:dyDescent="0.25">
      <c r="A22" s="1087"/>
      <c r="B22" s="821"/>
      <c r="C22" s="822"/>
      <c r="D22" s="1497" t="s">
        <v>12</v>
      </c>
      <c r="E22" s="1478"/>
      <c r="F22" s="592"/>
      <c r="G22" s="822"/>
      <c r="H22" s="592"/>
      <c r="I22" s="822"/>
      <c r="J22" s="828"/>
      <c r="K22" s="818"/>
      <c r="L22" s="601"/>
      <c r="M22" s="601"/>
      <c r="N22" s="601"/>
      <c r="O22" s="601"/>
      <c r="P22" s="601"/>
      <c r="Q22" s="601"/>
      <c r="R22" s="79"/>
      <c r="S22" s="79"/>
      <c r="T22" s="1522"/>
      <c r="U22" s="1554"/>
      <c r="V22" s="1490"/>
      <c r="W22" s="1479"/>
      <c r="X22" s="601"/>
      <c r="Y22" s="601"/>
      <c r="AA22" s="102"/>
      <c r="AB22" s="79"/>
      <c r="AC22" s="79"/>
      <c r="AD22" s="79"/>
      <c r="AE22" s="414"/>
      <c r="AF22" s="601"/>
      <c r="AG22" s="601"/>
      <c r="AH22" s="601"/>
      <c r="AI22" s="601"/>
      <c r="AJ22" s="601"/>
      <c r="AK22" s="601"/>
      <c r="AL22" s="1497"/>
      <c r="AM22" s="1479"/>
      <c r="AN22" s="79"/>
      <c r="AO22" s="414"/>
      <c r="AP22" s="601"/>
      <c r="AQ22" s="601"/>
      <c r="AR22" s="601"/>
      <c r="AS22" s="601"/>
      <c r="AT22" s="601"/>
      <c r="AU22" s="601"/>
      <c r="AV22" s="79"/>
      <c r="AW22" s="79"/>
      <c r="AX22" s="79"/>
      <c r="AY22" s="414"/>
    </row>
    <row r="23" spans="1:59" ht="35.25" customHeight="1" x14ac:dyDescent="0.25">
      <c r="A23" s="1087" t="s">
        <v>188</v>
      </c>
      <c r="B23" s="138"/>
      <c r="C23" s="1531"/>
      <c r="D23" s="1497"/>
      <c r="E23" s="1478"/>
      <c r="F23" s="69"/>
      <c r="G23" s="1562"/>
      <c r="H23" s="173"/>
      <c r="I23" s="830"/>
      <c r="J23" s="828"/>
      <c r="K23" s="818"/>
      <c r="L23" s="601"/>
      <c r="M23" s="601"/>
      <c r="N23" s="601"/>
      <c r="O23" s="601"/>
      <c r="P23" s="601"/>
      <c r="Q23" s="601"/>
      <c r="R23" s="79"/>
      <c r="S23" s="79"/>
      <c r="T23" s="79"/>
      <c r="U23" s="840"/>
      <c r="V23" s="838"/>
      <c r="W23" s="601"/>
      <c r="X23" s="601"/>
      <c r="Y23" s="601"/>
      <c r="Z23" s="836" t="s">
        <v>581</v>
      </c>
      <c r="AA23" s="1478" t="s">
        <v>148</v>
      </c>
      <c r="AB23" s="79"/>
      <c r="AC23" s="79"/>
      <c r="AD23" s="79"/>
      <c r="AE23" s="414"/>
      <c r="AF23" s="601"/>
      <c r="AG23" s="601"/>
      <c r="AH23" s="601"/>
      <c r="AI23" s="601"/>
      <c r="AJ23" s="601"/>
      <c r="AK23" s="601"/>
      <c r="AL23" s="839"/>
      <c r="AM23" s="79"/>
      <c r="AN23" s="79"/>
      <c r="AO23" s="79"/>
      <c r="AP23" s="833"/>
      <c r="AQ23" s="601"/>
      <c r="AR23" s="601"/>
      <c r="AS23" s="601"/>
      <c r="AT23" s="601"/>
      <c r="AU23" s="601"/>
      <c r="AV23" s="79"/>
      <c r="AW23" s="79"/>
      <c r="AX23" s="79"/>
      <c r="AY23" s="79"/>
      <c r="AZ23" s="33"/>
    </row>
    <row r="24" spans="1:59" ht="40.5" customHeight="1" x14ac:dyDescent="0.25">
      <c r="A24" s="1087"/>
      <c r="B24" s="1529"/>
      <c r="C24" s="1531"/>
      <c r="D24" s="1749"/>
      <c r="E24" s="1479"/>
      <c r="F24" s="1518"/>
      <c r="G24" s="1562"/>
      <c r="H24" s="830"/>
      <c r="I24" s="830"/>
      <c r="J24" s="828"/>
      <c r="K24" s="818"/>
      <c r="L24" s="601"/>
      <c r="M24" s="601"/>
      <c r="N24" s="601"/>
      <c r="O24" s="601"/>
      <c r="P24" s="601"/>
      <c r="Q24" s="601"/>
      <c r="R24" s="79"/>
      <c r="S24" s="79"/>
      <c r="T24" s="79"/>
      <c r="U24" s="414"/>
      <c r="V24" s="601"/>
      <c r="W24" s="601"/>
      <c r="X24" s="601"/>
      <c r="Y24" s="601"/>
      <c r="Z24" s="1497" t="s">
        <v>12</v>
      </c>
      <c r="AA24" s="1478"/>
      <c r="AB24" s="79"/>
      <c r="AC24" s="79"/>
      <c r="AD24" s="79"/>
      <c r="AE24" s="414"/>
      <c r="AF24" s="601"/>
      <c r="AG24" s="601"/>
      <c r="AH24" s="601"/>
      <c r="AI24" s="601"/>
      <c r="AJ24" s="601"/>
      <c r="AK24" s="601"/>
      <c r="AL24" s="79"/>
      <c r="AM24" s="79"/>
      <c r="AN24" s="79"/>
      <c r="AO24" s="79"/>
      <c r="AP24" s="833"/>
      <c r="AQ24" s="601"/>
      <c r="AR24" s="601"/>
      <c r="AS24" s="601"/>
      <c r="AT24" s="601"/>
      <c r="AU24" s="601"/>
      <c r="AV24" s="79"/>
      <c r="AW24" s="79"/>
      <c r="AX24" s="79"/>
      <c r="AY24" s="414"/>
      <c r="BG24" s="20"/>
    </row>
    <row r="25" spans="1:59" ht="28.5" customHeight="1" x14ac:dyDescent="0.3">
      <c r="A25" s="1087" t="s">
        <v>189</v>
      </c>
      <c r="B25" s="1529"/>
      <c r="C25" s="1531"/>
      <c r="D25" s="10"/>
      <c r="E25" s="287"/>
      <c r="F25" s="1518"/>
      <c r="G25" s="1562"/>
      <c r="H25" s="10"/>
      <c r="I25" s="10"/>
      <c r="J25" s="828"/>
      <c r="K25" s="818"/>
      <c r="L25" s="601"/>
      <c r="M25" s="601"/>
      <c r="N25" s="601"/>
      <c r="O25" s="601"/>
      <c r="P25" s="601"/>
      <c r="Q25" s="601"/>
      <c r="R25" s="79"/>
      <c r="S25" s="79"/>
      <c r="T25" s="79"/>
      <c r="U25" s="414"/>
      <c r="V25" s="690"/>
      <c r="W25" s="690"/>
      <c r="X25" s="690"/>
      <c r="Y25" s="690"/>
      <c r="Z25" s="1497"/>
      <c r="AA25" s="1478"/>
      <c r="AB25" s="690"/>
      <c r="AC25" s="690"/>
      <c r="AD25" s="203"/>
      <c r="AE25" s="10"/>
      <c r="AF25" s="753"/>
      <c r="AG25" s="755"/>
      <c r="AH25" s="755"/>
      <c r="AI25" s="755"/>
      <c r="AJ25" s="755"/>
      <c r="AK25" s="755"/>
      <c r="AL25" s="69"/>
      <c r="AM25" s="10"/>
      <c r="AN25" s="831"/>
      <c r="AO25" s="831"/>
      <c r="AP25" s="96"/>
      <c r="AQ25" s="84"/>
      <c r="AR25" s="84"/>
      <c r="AS25" s="84"/>
      <c r="AT25" s="84"/>
      <c r="AU25" s="84"/>
      <c r="AV25" s="84"/>
      <c r="AW25" s="84"/>
      <c r="AX25" s="84"/>
      <c r="AY25" s="85"/>
      <c r="BG25" s="20"/>
    </row>
    <row r="26" spans="1:59" ht="21" customHeight="1" thickBot="1" x14ac:dyDescent="0.35">
      <c r="A26" s="1087"/>
      <c r="B26" s="1530"/>
      <c r="C26" s="1531"/>
      <c r="D26" s="798"/>
      <c r="E26" s="798"/>
      <c r="F26" s="1519"/>
      <c r="G26" s="1563"/>
      <c r="H26" s="10"/>
      <c r="I26" s="10"/>
      <c r="J26" s="834"/>
      <c r="K26" s="818"/>
      <c r="L26" s="601"/>
      <c r="M26" s="676"/>
      <c r="N26" s="601"/>
      <c r="O26" s="601"/>
      <c r="P26" s="601"/>
      <c r="Q26" s="676"/>
      <c r="R26" s="79"/>
      <c r="S26" s="80"/>
      <c r="T26" s="79"/>
      <c r="U26" s="415"/>
      <c r="V26" s="692"/>
      <c r="W26" s="690"/>
      <c r="X26" s="690"/>
      <c r="Y26" s="690"/>
      <c r="Z26" s="1498"/>
      <c r="AA26" s="1478"/>
      <c r="AB26" s="690"/>
      <c r="AC26" s="692"/>
      <c r="AD26" s="798"/>
      <c r="AE26" s="832"/>
      <c r="AF26" s="685"/>
      <c r="AG26" s="686"/>
      <c r="AH26" s="755"/>
      <c r="AI26" s="755"/>
      <c r="AJ26" s="755"/>
      <c r="AK26" s="686"/>
      <c r="AL26" s="10"/>
      <c r="AM26" s="10"/>
      <c r="AN26" s="831"/>
      <c r="AO26" s="831"/>
      <c r="AP26" s="672"/>
      <c r="AQ26" s="673"/>
      <c r="AR26" s="673"/>
      <c r="AS26" s="84"/>
      <c r="AT26" s="84"/>
      <c r="AU26" s="84"/>
      <c r="AV26" s="84"/>
      <c r="AW26" s="84"/>
      <c r="AX26" s="84"/>
      <c r="AY26" s="85"/>
    </row>
    <row r="27" spans="1:59" ht="18.75" customHeight="1" thickBot="1" x14ac:dyDescent="0.3">
      <c r="A27" s="1190" t="s">
        <v>218</v>
      </c>
      <c r="B27" s="1147"/>
      <c r="C27" s="1190" t="s">
        <v>219</v>
      </c>
      <c r="D27" s="1146"/>
      <c r="E27" s="1146"/>
      <c r="F27" s="1146"/>
      <c r="G27" s="1146"/>
      <c r="H27" s="1146"/>
      <c r="I27" s="1146"/>
      <c r="J27" s="1146"/>
      <c r="K27" s="1146"/>
      <c r="L27" s="1146"/>
      <c r="M27" s="1146"/>
      <c r="N27" s="1146"/>
      <c r="O27" s="1190" t="s">
        <v>302</v>
      </c>
      <c r="P27" s="1146"/>
      <c r="Q27" s="1146"/>
      <c r="R27" s="1147"/>
      <c r="S27" s="1190" t="s">
        <v>143</v>
      </c>
      <c r="T27" s="1147"/>
      <c r="U27" s="1507" t="s">
        <v>167</v>
      </c>
      <c r="V27" s="1508"/>
      <c r="W27" s="1508"/>
      <c r="X27" s="1508"/>
      <c r="Y27" s="1508"/>
      <c r="Z27" s="1508"/>
      <c r="AA27" s="1508"/>
      <c r="AB27" s="1508"/>
      <c r="AC27" s="1508"/>
      <c r="AD27" s="1508"/>
      <c r="AE27" s="1508"/>
      <c r="AF27" s="1508"/>
      <c r="AG27" s="1508"/>
      <c r="AH27" s="1508"/>
      <c r="AI27" s="1508"/>
      <c r="AJ27" s="1508"/>
      <c r="AK27" s="1508"/>
      <c r="AL27" s="1508"/>
      <c r="AM27" s="1508"/>
      <c r="AN27" s="1508"/>
      <c r="AO27" s="1509"/>
      <c r="AQ27" s="1499" t="s">
        <v>1051</v>
      </c>
      <c r="AR27" s="1500"/>
      <c r="AS27" s="1500"/>
      <c r="AT27" s="1501"/>
      <c r="AU27" s="68"/>
      <c r="AV27" s="1505"/>
      <c r="AW27" s="1505"/>
      <c r="AX27" s="1505"/>
      <c r="AY27" s="1505"/>
    </row>
    <row r="28" spans="1:59" ht="15" x14ac:dyDescent="0.25">
      <c r="A28" s="1564" t="str">
        <f>VLOOKUP(O28,[2]ASIGNATURAS!$F$1:$L$1022, 3, FALSE)</f>
        <v>CÁLCULO</v>
      </c>
      <c r="B28" s="1565"/>
      <c r="C28" s="1566" t="str">
        <f>VLOOKUP(O28,[2]ASIGNATURAS!$F$1:$L$1022, 4, FALSE)</f>
        <v>Cálculo</v>
      </c>
      <c r="D28" s="1566"/>
      <c r="E28" s="1566"/>
      <c r="F28" s="1566"/>
      <c r="G28" s="1566"/>
      <c r="H28" s="1566"/>
      <c r="I28" s="1566"/>
      <c r="J28" s="1566"/>
      <c r="K28" s="1566"/>
      <c r="L28" s="1566"/>
      <c r="M28" s="1566"/>
      <c r="N28" s="1566"/>
      <c r="O28" s="1517">
        <v>6302</v>
      </c>
      <c r="P28" s="1517"/>
      <c r="Q28" s="1517"/>
      <c r="R28" s="1517"/>
      <c r="S28" s="1517">
        <f>VLOOKUP(O28,[2]ASIGNATURAS!$F$1:$L$1022, 5, FALSE)</f>
        <v>6</v>
      </c>
      <c r="T28" s="1517"/>
      <c r="U28" s="1570" t="str">
        <f>VLOOKUP(O28,[2]ASIGNATURAS!$F$1:$L$1022, 6, FALSE)</f>
        <v>Ana García</v>
      </c>
      <c r="V28" s="1571"/>
      <c r="W28" s="1571"/>
      <c r="X28" s="1571"/>
      <c r="Y28" s="1571"/>
      <c r="Z28" s="1571"/>
      <c r="AA28" s="1571"/>
      <c r="AB28" s="1571"/>
      <c r="AC28" s="1571"/>
      <c r="AD28" s="1571"/>
      <c r="AE28" s="1571"/>
      <c r="AF28" s="1571"/>
      <c r="AG28" s="1571"/>
      <c r="AH28" s="1571"/>
      <c r="AI28" s="1571"/>
      <c r="AJ28" s="1571"/>
      <c r="AK28" s="1571"/>
      <c r="AL28" s="1571"/>
      <c r="AM28" s="1571"/>
      <c r="AN28" s="1571"/>
      <c r="AO28" s="1572"/>
      <c r="AQ28" s="1502"/>
      <c r="AR28" s="1503"/>
      <c r="AS28" s="1503"/>
      <c r="AT28" s="1504"/>
      <c r="AV28" s="1506"/>
      <c r="AW28" s="1506"/>
      <c r="AX28" s="1506"/>
      <c r="AY28" s="1506"/>
    </row>
    <row r="29" spans="1:59" ht="15" x14ac:dyDescent="0.25">
      <c r="A29" s="1510" t="str">
        <f>VLOOKUP(O29,[2]ASIGNATURAS!$F$1:$L$1022, 3, FALSE)</f>
        <v>ÁLGEBRA</v>
      </c>
      <c r="B29" s="1511"/>
      <c r="C29" s="1532" t="str">
        <f>VLOOKUP(O29,[2]ASIGNATURAS!$F$1:$L$1022, 4, FALSE)</f>
        <v>Álgebra y Ecuaciones Diferenciales</v>
      </c>
      <c r="D29" s="1532"/>
      <c r="E29" s="1532"/>
      <c r="F29" s="1532"/>
      <c r="G29" s="1532"/>
      <c r="H29" s="1532"/>
      <c r="I29" s="1532"/>
      <c r="J29" s="1532"/>
      <c r="K29" s="1532"/>
      <c r="L29" s="1532"/>
      <c r="M29" s="1532"/>
      <c r="N29" s="1532"/>
      <c r="O29" s="1469">
        <v>6303</v>
      </c>
      <c r="P29" s="1469"/>
      <c r="Q29" s="1469"/>
      <c r="R29" s="1469"/>
      <c r="S29" s="1469">
        <f>VLOOKUP(O29,[2]ASIGNATURAS!$F$1:$L$1022, 5, FALSE)</f>
        <v>6</v>
      </c>
      <c r="T29" s="1469"/>
      <c r="U29" s="1494" t="str">
        <f>VLOOKUP(O29,[2]ASIGNATURAS!$F$1:$L$1022, 6, FALSE)</f>
        <v>José Javier Relancio</v>
      </c>
      <c r="V29" s="1495"/>
      <c r="W29" s="1495"/>
      <c r="X29" s="1495"/>
      <c r="Y29" s="1495"/>
      <c r="Z29" s="1495"/>
      <c r="AA29" s="1495"/>
      <c r="AB29" s="1495"/>
      <c r="AC29" s="1495"/>
      <c r="AD29" s="1495"/>
      <c r="AE29" s="1495"/>
      <c r="AF29" s="1495"/>
      <c r="AG29" s="1495"/>
      <c r="AH29" s="1495"/>
      <c r="AI29" s="1495"/>
      <c r="AJ29" s="1495"/>
      <c r="AK29" s="1495"/>
      <c r="AL29" s="1495"/>
      <c r="AM29" s="1495"/>
      <c r="AN29" s="1495"/>
      <c r="AO29" s="1496"/>
      <c r="AQ29" s="1654" t="s">
        <v>1047</v>
      </c>
      <c r="AR29" s="1655"/>
      <c r="AS29" s="1655"/>
      <c r="AT29" s="1656"/>
      <c r="AV29" s="1633"/>
      <c r="AW29" s="1633"/>
      <c r="AX29" s="1633"/>
      <c r="AY29" s="1633"/>
    </row>
    <row r="30" spans="1:59" ht="15" x14ac:dyDescent="0.25">
      <c r="A30" s="1510" t="str">
        <f>VLOOKUP(O30,[2]ASIGNATURAS!$F$1:$L$1022, 3, FALSE)</f>
        <v>FÍSICA I</v>
      </c>
      <c r="B30" s="1511"/>
      <c r="C30" s="1532" t="str">
        <f>VLOOKUP(O30,[2]ASIGNATURAS!$F$1:$L$1022, 4, FALSE)</f>
        <v>Física I</v>
      </c>
      <c r="D30" s="1532"/>
      <c r="E30" s="1532"/>
      <c r="F30" s="1532"/>
      <c r="G30" s="1532"/>
      <c r="H30" s="1532"/>
      <c r="I30" s="1532"/>
      <c r="J30" s="1532"/>
      <c r="K30" s="1532"/>
      <c r="L30" s="1532"/>
      <c r="M30" s="1532"/>
      <c r="N30" s="1532"/>
      <c r="O30" s="1469">
        <v>6304</v>
      </c>
      <c r="P30" s="1469"/>
      <c r="Q30" s="1469"/>
      <c r="R30" s="1469"/>
      <c r="S30" s="1469">
        <f>VLOOKUP(O30,[2]ASIGNATURAS!$F$1:$L$1022, 5, FALSE)</f>
        <v>6</v>
      </c>
      <c r="T30" s="1469"/>
      <c r="U30" s="1494" t="str">
        <f>VLOOKUP(O30,[2]ASIGNATURAS!$F$1:$L$1022, 6, FALSE)</f>
        <v>Juan José Villalaín, Alfonso Blasco, María del Mar Chichón</v>
      </c>
      <c r="V30" s="1495"/>
      <c r="W30" s="1495"/>
      <c r="X30" s="1495"/>
      <c r="Y30" s="1495"/>
      <c r="Z30" s="1495"/>
      <c r="AA30" s="1495"/>
      <c r="AB30" s="1495"/>
      <c r="AC30" s="1495"/>
      <c r="AD30" s="1495"/>
      <c r="AE30" s="1495"/>
      <c r="AF30" s="1495"/>
      <c r="AG30" s="1495"/>
      <c r="AH30" s="1495"/>
      <c r="AI30" s="1495"/>
      <c r="AJ30" s="1495"/>
      <c r="AK30" s="1495"/>
      <c r="AL30" s="1495"/>
      <c r="AM30" s="1495"/>
      <c r="AN30" s="1495"/>
      <c r="AO30" s="1496"/>
      <c r="AQ30" s="1473" t="s">
        <v>579</v>
      </c>
      <c r="AR30" s="1474"/>
      <c r="AS30" s="1474"/>
      <c r="AT30" s="1475"/>
      <c r="AV30" s="1476"/>
      <c r="AW30" s="1476"/>
      <c r="AX30" s="1476"/>
      <c r="AY30" s="1476"/>
    </row>
    <row r="31" spans="1:59" ht="15" x14ac:dyDescent="0.25">
      <c r="A31" s="1510" t="str">
        <f>VLOOKUP(O31,[2]ASIGNATURAS!$F$1:$L$1022, 3, FALSE)</f>
        <v>QUÍMICA</v>
      </c>
      <c r="B31" s="1511"/>
      <c r="C31" s="1532" t="str">
        <f>VLOOKUP(O31,[2]ASIGNATURAS!$F$1:$L$1022, 4, FALSE)</f>
        <v>Química</v>
      </c>
      <c r="D31" s="1532"/>
      <c r="E31" s="1532"/>
      <c r="F31" s="1532"/>
      <c r="G31" s="1532"/>
      <c r="H31" s="1532"/>
      <c r="I31" s="1532"/>
      <c r="J31" s="1532"/>
      <c r="K31" s="1532"/>
      <c r="L31" s="1532"/>
      <c r="M31" s="1532"/>
      <c r="N31" s="1532"/>
      <c r="O31" s="1469">
        <v>6305</v>
      </c>
      <c r="P31" s="1469"/>
      <c r="Q31" s="1469"/>
      <c r="R31" s="1469"/>
      <c r="S31" s="1469">
        <f>VLOOKUP(O31,[2]ASIGNATURAS!$F$1:$L$1022, 5, FALSE)</f>
        <v>6</v>
      </c>
      <c r="T31" s="1469"/>
      <c r="U31" s="1494" t="str">
        <f>VLOOKUP(O31,[2]ASIGNATURAS!$F$1:$L$1022, 6, FALSE)</f>
        <v>Fco. Javier Rodríguez</v>
      </c>
      <c r="V31" s="1495"/>
      <c r="W31" s="1495"/>
      <c r="X31" s="1495"/>
      <c r="Y31" s="1495"/>
      <c r="Z31" s="1495"/>
      <c r="AA31" s="1495"/>
      <c r="AB31" s="1495"/>
      <c r="AC31" s="1495"/>
      <c r="AD31" s="1495"/>
      <c r="AE31" s="1495"/>
      <c r="AF31" s="1495"/>
      <c r="AG31" s="1495"/>
      <c r="AH31" s="1495"/>
      <c r="AI31" s="1495"/>
      <c r="AJ31" s="1495"/>
      <c r="AK31" s="1495"/>
      <c r="AL31" s="1495"/>
      <c r="AM31" s="1495"/>
      <c r="AN31" s="1495"/>
      <c r="AO31" s="1496"/>
      <c r="AQ31" s="1473" t="s">
        <v>580</v>
      </c>
      <c r="AR31" s="1474"/>
      <c r="AS31" s="1474"/>
      <c r="AT31" s="1475"/>
      <c r="AV31" s="1476"/>
      <c r="AW31" s="1476"/>
      <c r="AX31" s="1476"/>
      <c r="AY31" s="1476"/>
    </row>
    <row r="32" spans="1:59" ht="15.6" thickBot="1" x14ac:dyDescent="0.3">
      <c r="A32" s="1523" t="str">
        <f>VLOOKUP(O32,[2]ASIGNATURAS!$F$1:$L$1022, 3, FALSE)</f>
        <v>EXP. GRÁFICA I</v>
      </c>
      <c r="B32" s="1524"/>
      <c r="C32" s="1736" t="str">
        <f>VLOOKUP(O32,[2]ASIGNATURAS!$F$1:$L$1022, 4, FALSE)</f>
        <v>Expresión Gráfica I</v>
      </c>
      <c r="D32" s="1736"/>
      <c r="E32" s="1736"/>
      <c r="F32" s="1736"/>
      <c r="G32" s="1736"/>
      <c r="H32" s="1736"/>
      <c r="I32" s="1736"/>
      <c r="J32" s="1736"/>
      <c r="K32" s="1736"/>
      <c r="L32" s="1736"/>
      <c r="M32" s="1736"/>
      <c r="N32" s="1736"/>
      <c r="O32" s="1486">
        <v>6306</v>
      </c>
      <c r="P32" s="1486"/>
      <c r="Q32" s="1486"/>
      <c r="R32" s="1486"/>
      <c r="S32" s="1486">
        <f>VLOOKUP(O32,[2]ASIGNATURAS!$F$1:$L$1022, 5, FALSE)</f>
        <v>6</v>
      </c>
      <c r="T32" s="1486"/>
      <c r="U32" s="1487" t="str">
        <f>VLOOKUP(O32,[2]ASIGNATURAS!$F$1:$L$1022, 6, FALSE)</f>
        <v>Arturo de Román , Elías Martínez</v>
      </c>
      <c r="V32" s="1488"/>
      <c r="W32" s="1488"/>
      <c r="X32" s="1488"/>
      <c r="Y32" s="1488"/>
      <c r="Z32" s="1488"/>
      <c r="AA32" s="1488"/>
      <c r="AB32" s="1488"/>
      <c r="AC32" s="1488"/>
      <c r="AD32" s="1488"/>
      <c r="AE32" s="1488"/>
      <c r="AF32" s="1488"/>
      <c r="AG32" s="1488"/>
      <c r="AH32" s="1488"/>
      <c r="AI32" s="1488"/>
      <c r="AJ32" s="1488"/>
      <c r="AK32" s="1488"/>
      <c r="AL32" s="1488"/>
      <c r="AM32" s="1488"/>
      <c r="AN32" s="1488"/>
      <c r="AO32" s="1489"/>
      <c r="AQ32" s="1473" t="s">
        <v>1254</v>
      </c>
      <c r="AR32" s="1474"/>
      <c r="AS32" s="1474"/>
      <c r="AT32" s="1475"/>
      <c r="AV32" s="1476"/>
      <c r="AW32" s="1476"/>
      <c r="AX32" s="1476"/>
      <c r="AY32" s="1476"/>
    </row>
    <row r="33" spans="1:108" ht="15" customHeight="1" thickBot="1" x14ac:dyDescent="0.3">
      <c r="A33" s="104" t="s">
        <v>217</v>
      </c>
    </row>
    <row r="34" spans="1:108" s="1" customFormat="1" ht="31.5" customHeight="1" thickBot="1" x14ac:dyDescent="0.45">
      <c r="A34" s="1470" t="str">
        <f>VLOOKUP(A37,ASIGNATURAS!$A$2:$D$151, 3, FALSE)</f>
        <v>1º Grado en Ingeniería Mecánica</v>
      </c>
      <c r="B34" s="1471"/>
      <c r="C34" s="1471"/>
      <c r="D34" s="1471"/>
      <c r="E34" s="1471"/>
      <c r="F34" s="1471"/>
      <c r="G34" s="1471"/>
      <c r="H34" s="1471"/>
      <c r="I34" s="1471"/>
      <c r="J34" s="1471"/>
      <c r="K34" s="1471"/>
      <c r="L34" s="1471"/>
      <c r="M34" s="1471"/>
      <c r="N34" s="1471"/>
      <c r="O34" s="1471"/>
      <c r="P34" s="1471"/>
      <c r="Q34" s="1471"/>
      <c r="R34" s="1471"/>
      <c r="S34" s="1471"/>
      <c r="T34" s="1471"/>
      <c r="U34" s="1471"/>
      <c r="V34" s="1471"/>
      <c r="W34" s="1471"/>
      <c r="X34" s="1471"/>
      <c r="Y34" s="1471"/>
      <c r="Z34" s="1471"/>
      <c r="AA34" s="1471"/>
      <c r="AB34" s="1471"/>
      <c r="AC34" s="1471"/>
      <c r="AD34" s="1471"/>
      <c r="AE34" s="1471"/>
      <c r="AF34" s="1471"/>
      <c r="AG34" s="1471"/>
      <c r="AH34" s="1471"/>
      <c r="AI34" s="1471"/>
      <c r="AJ34" s="1471"/>
      <c r="AK34" s="1471"/>
      <c r="AL34" s="1471"/>
      <c r="AM34" s="1471"/>
      <c r="AN34" s="1471"/>
      <c r="AO34" s="1472"/>
      <c r="AP34" s="1076" t="str">
        <f>Aulas!G5</f>
        <v>Curso 2024-2025</v>
      </c>
      <c r="AQ34" s="1077"/>
      <c r="AR34" s="1077"/>
      <c r="AS34" s="1077"/>
      <c r="AT34" s="1077"/>
      <c r="AU34" s="1077"/>
      <c r="AV34" s="1077"/>
      <c r="AW34" s="1077"/>
      <c r="AX34" s="1077"/>
      <c r="AY34" s="1078"/>
    </row>
    <row r="35" spans="1:108" s="8" customFormat="1" ht="23.25" customHeight="1" thickBot="1" x14ac:dyDescent="0.45">
      <c r="A35" s="1083" t="str">
        <f>VLOOKUP(A37,ASIGNATURAS!$A$2:$D$151, 2, FALSE)</f>
        <v>Semestre temporal: 2º        (2º Semestre Académico)</v>
      </c>
      <c r="B35" s="1084"/>
      <c r="C35" s="1084"/>
      <c r="D35" s="1084"/>
      <c r="E35" s="1084"/>
      <c r="F35" s="1084"/>
      <c r="G35" s="1084"/>
      <c r="H35" s="1084"/>
      <c r="I35" s="1084"/>
      <c r="J35" s="1084"/>
      <c r="K35" s="1084"/>
      <c r="L35" s="1084"/>
      <c r="M35" s="1084"/>
      <c r="N35" s="1084"/>
      <c r="O35" s="1084"/>
      <c r="P35" s="1084"/>
      <c r="Q35" s="1084"/>
      <c r="R35" s="1084"/>
      <c r="S35" s="1084"/>
      <c r="T35" s="1084"/>
      <c r="U35" s="1084"/>
      <c r="V35" s="1084"/>
      <c r="W35" s="1084"/>
      <c r="X35" s="1084"/>
      <c r="Y35" s="1084"/>
      <c r="Z35" s="1084"/>
      <c r="AA35" s="1084"/>
      <c r="AB35" s="1084"/>
      <c r="AC35" s="1084"/>
      <c r="AD35" s="1084"/>
      <c r="AE35" s="1084"/>
      <c r="AF35" s="1084"/>
      <c r="AG35" s="1084"/>
      <c r="AH35" s="1084"/>
      <c r="AI35" s="1084"/>
      <c r="AJ35" s="1084"/>
      <c r="AK35" s="1084"/>
      <c r="AL35" s="1084"/>
      <c r="AM35" s="1084"/>
      <c r="AN35" s="1084"/>
      <c r="AO35" s="1085"/>
      <c r="AP35" s="1072" t="s">
        <v>151</v>
      </c>
      <c r="AQ35" s="1072"/>
      <c r="AR35" s="1072"/>
      <c r="AS35" s="1072"/>
      <c r="AT35" s="1072"/>
      <c r="AU35" s="1072"/>
      <c r="AV35" s="1072"/>
      <c r="AW35" s="1072"/>
      <c r="AX35" s="1072"/>
      <c r="AY35" s="1073"/>
    </row>
    <row r="36" spans="1:108" s="8" customFormat="1" ht="23.25" customHeight="1" thickBot="1" x14ac:dyDescent="0.45">
      <c r="A36" s="1483" t="s">
        <v>596</v>
      </c>
      <c r="B36" s="1484"/>
      <c r="C36" s="1484"/>
      <c r="D36" s="1484"/>
      <c r="E36" s="1484"/>
      <c r="F36" s="1484"/>
      <c r="G36" s="1484"/>
      <c r="H36" s="1484"/>
      <c r="I36" s="1484"/>
      <c r="J36" s="1484"/>
      <c r="K36" s="1484"/>
      <c r="L36" s="1484"/>
      <c r="M36" s="1484"/>
      <c r="N36" s="1484"/>
      <c r="O36" s="1484"/>
      <c r="P36" s="1484"/>
      <c r="Q36" s="1484"/>
      <c r="R36" s="1484"/>
      <c r="S36" s="1484"/>
      <c r="T36" s="1484"/>
      <c r="U36" s="1484"/>
      <c r="V36" s="1484"/>
      <c r="W36" s="1484"/>
      <c r="X36" s="1484"/>
      <c r="Y36" s="1484"/>
      <c r="Z36" s="1484"/>
      <c r="AA36" s="1484"/>
      <c r="AB36" s="1484"/>
      <c r="AC36" s="1484"/>
      <c r="AD36" s="1484"/>
      <c r="AE36" s="1484"/>
      <c r="AF36" s="1484"/>
      <c r="AG36" s="1484"/>
      <c r="AH36" s="1484"/>
      <c r="AI36" s="1484"/>
      <c r="AJ36" s="1484"/>
      <c r="AK36" s="1484"/>
      <c r="AL36" s="1484"/>
      <c r="AM36" s="1484"/>
      <c r="AN36" s="1484"/>
      <c r="AO36" s="1485"/>
      <c r="AP36" s="1074"/>
      <c r="AQ36" s="1074"/>
      <c r="AR36" s="1074"/>
      <c r="AS36" s="1074"/>
      <c r="AT36" s="1074"/>
      <c r="AU36" s="1074"/>
      <c r="AV36" s="1074"/>
      <c r="AW36" s="1074"/>
      <c r="AX36" s="1074"/>
      <c r="AY36" s="1075"/>
    </row>
    <row r="37" spans="1:108" ht="18.75" customHeight="1" thickBot="1" x14ac:dyDescent="0.3">
      <c r="A37" s="9" t="s">
        <v>15</v>
      </c>
    </row>
    <row r="38" spans="1:108" s="2" customFormat="1" ht="24" customHeight="1" thickBot="1" x14ac:dyDescent="0.3">
      <c r="A38" s="19" t="s">
        <v>1</v>
      </c>
      <c r="B38" s="1091" t="s">
        <v>2</v>
      </c>
      <c r="C38" s="1092"/>
      <c r="D38" s="1092"/>
      <c r="E38" s="1092"/>
      <c r="F38" s="1092"/>
      <c r="G38" s="1092"/>
      <c r="H38" s="1092"/>
      <c r="I38" s="1092"/>
      <c r="J38" s="1092"/>
      <c r="K38" s="1093"/>
      <c r="L38" s="1076" t="s">
        <v>3</v>
      </c>
      <c r="M38" s="1077"/>
      <c r="N38" s="1077"/>
      <c r="O38" s="1077"/>
      <c r="P38" s="1077"/>
      <c r="Q38" s="1077"/>
      <c r="R38" s="1077"/>
      <c r="S38" s="1077"/>
      <c r="T38" s="1077"/>
      <c r="U38" s="1078"/>
      <c r="V38" s="1091" t="s">
        <v>139</v>
      </c>
      <c r="W38" s="1092"/>
      <c r="X38" s="1092"/>
      <c r="Y38" s="1092"/>
      <c r="Z38" s="1092"/>
      <c r="AA38" s="1092"/>
      <c r="AB38" s="1092"/>
      <c r="AC38" s="1092"/>
      <c r="AD38" s="1092"/>
      <c r="AE38" s="1093"/>
      <c r="AF38" s="1091" t="s">
        <v>4</v>
      </c>
      <c r="AG38" s="1092"/>
      <c r="AH38" s="1092"/>
      <c r="AI38" s="1092"/>
      <c r="AJ38" s="1092"/>
      <c r="AK38" s="1092"/>
      <c r="AL38" s="1092"/>
      <c r="AM38" s="1092"/>
      <c r="AN38" s="1092"/>
      <c r="AO38" s="1093"/>
      <c r="AP38" s="1091" t="s">
        <v>5</v>
      </c>
      <c r="AQ38" s="1092"/>
      <c r="AR38" s="1092"/>
      <c r="AS38" s="1092"/>
      <c r="AT38" s="1092"/>
      <c r="AU38" s="1092"/>
      <c r="AV38" s="1092"/>
      <c r="AW38" s="1092"/>
      <c r="AX38" s="1092"/>
      <c r="AY38" s="1093"/>
      <c r="BG38" s="1880"/>
      <c r="BH38" s="1880"/>
      <c r="BI38" s="1880"/>
      <c r="BJ38" s="1880"/>
      <c r="BK38" s="1880"/>
      <c r="BL38" s="1880"/>
      <c r="BM38" s="1880"/>
      <c r="BN38" s="1880"/>
      <c r="BO38" s="1880"/>
      <c r="BP38" s="1880"/>
      <c r="BQ38" s="1880"/>
      <c r="BR38" s="1880"/>
      <c r="BS38" s="1880"/>
      <c r="BT38" s="1880"/>
      <c r="BU38" s="1880"/>
      <c r="BV38" s="1880"/>
      <c r="BW38" s="1880"/>
      <c r="BX38" s="1880"/>
      <c r="BY38" s="1880"/>
      <c r="BZ38" s="1880"/>
      <c r="CA38" s="1880"/>
      <c r="CB38" s="1880"/>
      <c r="CC38" s="1880"/>
      <c r="CD38" s="1880"/>
      <c r="CE38" s="1880"/>
      <c r="CF38" s="1880"/>
      <c r="CG38" s="1880"/>
      <c r="CH38" s="1880"/>
      <c r="CI38" s="1880"/>
      <c r="CJ38" s="1880"/>
      <c r="CK38" s="1880"/>
      <c r="CL38" s="1880"/>
      <c r="CM38" s="1880"/>
      <c r="CN38" s="1880"/>
      <c r="CO38" s="1880"/>
      <c r="CP38" s="1880"/>
      <c r="CQ38" s="1880"/>
      <c r="CR38" s="1880"/>
      <c r="CS38" s="1880"/>
      <c r="CT38" s="1880"/>
      <c r="CU38" s="1880"/>
      <c r="CV38" s="1880"/>
      <c r="CW38" s="1880"/>
      <c r="CX38" s="1880"/>
      <c r="CY38" s="1880"/>
      <c r="CZ38" s="1880"/>
      <c r="DA38" s="1880"/>
      <c r="DB38" s="1880"/>
      <c r="DC38" s="1880"/>
      <c r="DD38" s="1880"/>
    </row>
    <row r="39" spans="1:108" s="2" customFormat="1" ht="40.5" customHeight="1" x14ac:dyDescent="0.25">
      <c r="A39" s="1526" t="s">
        <v>10</v>
      </c>
      <c r="B39" s="486" t="s">
        <v>579</v>
      </c>
      <c r="C39" s="1137" t="s">
        <v>752</v>
      </c>
      <c r="D39" s="584"/>
      <c r="E39" s="1512"/>
      <c r="F39" s="429" t="s">
        <v>581</v>
      </c>
      <c r="G39" s="1513" t="s">
        <v>674</v>
      </c>
      <c r="H39" s="585"/>
      <c r="I39" s="1516"/>
      <c r="K39" s="193"/>
      <c r="L39" s="429" t="s">
        <v>579</v>
      </c>
      <c r="M39" s="1513" t="s">
        <v>674</v>
      </c>
      <c r="N39" s="216"/>
      <c r="O39" s="1466"/>
      <c r="P39" s="587"/>
      <c r="Q39" s="1585"/>
      <c r="R39" s="586"/>
      <c r="S39" s="1515"/>
      <c r="T39" s="586"/>
      <c r="U39" s="1756"/>
      <c r="V39" s="429" t="s">
        <v>579</v>
      </c>
      <c r="W39" s="1116" t="s">
        <v>1189</v>
      </c>
      <c r="X39" s="742"/>
      <c r="Y39" s="1149"/>
      <c r="Z39" s="588"/>
      <c r="AA39" s="1512"/>
      <c r="AB39" s="429" t="s">
        <v>582</v>
      </c>
      <c r="AC39" s="1588" t="s">
        <v>701</v>
      </c>
      <c r="AD39" s="392"/>
      <c r="AE39" s="1702"/>
      <c r="AF39" s="477"/>
      <c r="AG39" s="1149"/>
      <c r="AH39" s="390" t="s">
        <v>580</v>
      </c>
      <c r="AI39" s="1116" t="s">
        <v>164</v>
      </c>
      <c r="AJ39" s="108" t="s">
        <v>581</v>
      </c>
      <c r="AK39" s="1151" t="s">
        <v>563</v>
      </c>
      <c r="AL39" s="216"/>
      <c r="AM39" s="1466"/>
      <c r="AN39" s="585"/>
      <c r="AO39" s="1482"/>
      <c r="AP39" s="390" t="s">
        <v>579</v>
      </c>
      <c r="AQ39" s="1151" t="s">
        <v>563</v>
      </c>
      <c r="AR39" s="486" t="s">
        <v>580</v>
      </c>
      <c r="AS39" s="1137" t="s">
        <v>752</v>
      </c>
      <c r="AT39" s="108" t="s">
        <v>581</v>
      </c>
      <c r="AU39" s="1116" t="s">
        <v>1189</v>
      </c>
      <c r="AV39" s="761"/>
      <c r="AW39" s="1480"/>
      <c r="AX39" s="585"/>
      <c r="AY39" s="1482"/>
      <c r="BG39" s="486"/>
      <c r="BH39" s="1151"/>
      <c r="BI39" s="486"/>
      <c r="BJ39" s="1151"/>
      <c r="BK39" s="477"/>
      <c r="BL39" s="1172"/>
      <c r="BM39" s="578"/>
      <c r="BN39" s="1882"/>
      <c r="BO39" s="578"/>
      <c r="BP39" s="1882"/>
      <c r="BQ39" s="486"/>
      <c r="BR39" s="1151"/>
      <c r="BS39" s="486"/>
      <c r="BT39" s="1151"/>
      <c r="BU39" s="477"/>
      <c r="BV39" s="1172"/>
      <c r="BW39" s="578"/>
      <c r="BX39" s="1882"/>
      <c r="BY39" s="578"/>
      <c r="BZ39" s="1882"/>
      <c r="CA39" s="486"/>
      <c r="CB39" s="1151"/>
      <c r="CC39" s="486"/>
      <c r="CD39" s="1151"/>
      <c r="CE39" s="477"/>
      <c r="CF39" s="1172"/>
      <c r="CG39" s="578"/>
      <c r="CH39" s="1882"/>
      <c r="CI39" s="579"/>
      <c r="CJ39" s="1883"/>
      <c r="CK39" s="486"/>
      <c r="CL39" s="1151"/>
      <c r="CM39" s="486"/>
      <c r="CN39" s="1151"/>
      <c r="CO39" s="486"/>
      <c r="CP39" s="1151"/>
      <c r="CQ39" s="578"/>
      <c r="CR39" s="1882"/>
      <c r="CS39" s="578"/>
      <c r="CT39" s="1882"/>
      <c r="CU39" s="486"/>
      <c r="CV39" s="1151"/>
      <c r="CW39" s="486"/>
      <c r="CX39" s="1151"/>
      <c r="CY39" s="477"/>
      <c r="CZ39" s="1172"/>
      <c r="DA39" s="579"/>
      <c r="DB39" s="1883"/>
      <c r="DC39" s="578"/>
      <c r="DD39" s="1882"/>
    </row>
    <row r="40" spans="1:108" s="2" customFormat="1" ht="40.5" customHeight="1" x14ac:dyDescent="0.25">
      <c r="A40" s="1143"/>
      <c r="B40" s="1463" t="s">
        <v>50</v>
      </c>
      <c r="C40" s="1137"/>
      <c r="D40" s="1527"/>
      <c r="E40" s="1512"/>
      <c r="F40" s="1463" t="s">
        <v>25</v>
      </c>
      <c r="G40" s="1151"/>
      <c r="H40" s="1465"/>
      <c r="I40" s="1516"/>
      <c r="L40" s="1544" t="s">
        <v>25</v>
      </c>
      <c r="M40" s="1151"/>
      <c r="N40" s="1492"/>
      <c r="O40" s="1149"/>
      <c r="P40" s="1527"/>
      <c r="Q40" s="1512"/>
      <c r="R40" s="1465"/>
      <c r="S40" s="1516"/>
      <c r="T40" s="1465"/>
      <c r="U40" s="1482"/>
      <c r="V40" s="1463" t="s">
        <v>242</v>
      </c>
      <c r="W40" s="1116"/>
      <c r="X40" s="1492"/>
      <c r="Y40" s="1149"/>
      <c r="Z40" s="1543"/>
      <c r="AA40" s="1512"/>
      <c r="AB40" s="1463" t="s">
        <v>25</v>
      </c>
      <c r="AC40" s="1151"/>
      <c r="AD40" s="1528"/>
      <c r="AE40" s="1703"/>
      <c r="AF40" s="1589"/>
      <c r="AG40" s="1149"/>
      <c r="AH40" s="1468" t="s">
        <v>27</v>
      </c>
      <c r="AI40" s="1116"/>
      <c r="AJ40" s="1468" t="s">
        <v>26</v>
      </c>
      <c r="AK40" s="1151"/>
      <c r="AL40" s="1492"/>
      <c r="AM40" s="1149"/>
      <c r="AN40" s="1465"/>
      <c r="AO40" s="1482"/>
      <c r="AP40" s="1468" t="s">
        <v>26</v>
      </c>
      <c r="AQ40" s="1151"/>
      <c r="AR40" s="1463" t="s">
        <v>50</v>
      </c>
      <c r="AS40" s="1137"/>
      <c r="AT40" s="1468" t="s">
        <v>242</v>
      </c>
      <c r="AU40" s="1116"/>
      <c r="AV40" s="1700"/>
      <c r="AW40" s="1480"/>
      <c r="AX40" s="1465"/>
      <c r="AY40" s="1482"/>
      <c r="BG40" s="1463"/>
      <c r="BH40" s="1151"/>
      <c r="BI40" s="1463"/>
      <c r="BJ40" s="1151"/>
      <c r="BK40" s="1589"/>
      <c r="BL40" s="1172"/>
      <c r="BM40" s="1611"/>
      <c r="BN40" s="1882"/>
      <c r="BO40" s="1611"/>
      <c r="BP40" s="1882"/>
      <c r="BQ40" s="1463"/>
      <c r="BR40" s="1151"/>
      <c r="BS40" s="1463"/>
      <c r="BT40" s="1151"/>
      <c r="BU40" s="1589"/>
      <c r="BV40" s="1172"/>
      <c r="BW40" s="1611"/>
      <c r="BX40" s="1882"/>
      <c r="BY40" s="1611"/>
      <c r="BZ40" s="1882"/>
      <c r="CA40" s="1463"/>
      <c r="CB40" s="1151"/>
      <c r="CC40" s="1463"/>
      <c r="CD40" s="1151"/>
      <c r="CE40" s="1589"/>
      <c r="CF40" s="1172"/>
      <c r="CG40" s="1611"/>
      <c r="CH40" s="1882"/>
      <c r="CI40" s="1884"/>
      <c r="CJ40" s="1883"/>
      <c r="CK40" s="1463"/>
      <c r="CL40" s="1151"/>
      <c r="CM40" s="1463"/>
      <c r="CN40" s="1151"/>
      <c r="CO40" s="1463"/>
      <c r="CP40" s="1151"/>
      <c r="CQ40" s="1611"/>
      <c r="CR40" s="1882"/>
      <c r="CS40" s="1611"/>
      <c r="CT40" s="1882"/>
      <c r="CU40" s="1463"/>
      <c r="CV40" s="1151"/>
      <c r="CW40" s="1463"/>
      <c r="CX40" s="1151"/>
      <c r="CY40" s="1589"/>
      <c r="CZ40" s="1172"/>
      <c r="DA40" s="1884"/>
      <c r="DB40" s="1883"/>
      <c r="DC40" s="1611"/>
      <c r="DD40" s="1882"/>
    </row>
    <row r="41" spans="1:108" s="2" customFormat="1" ht="40.5" customHeight="1" x14ac:dyDescent="0.25">
      <c r="A41" s="1087" t="s">
        <v>11</v>
      </c>
      <c r="B41" s="1544"/>
      <c r="C41" s="1137"/>
      <c r="D41" s="1527"/>
      <c r="E41" s="1512"/>
      <c r="F41" s="1463"/>
      <c r="G41" s="1151"/>
      <c r="H41" s="1465"/>
      <c r="I41" s="1516"/>
      <c r="L41" s="1544"/>
      <c r="M41" s="1151"/>
      <c r="N41" s="1492"/>
      <c r="O41" s="1149"/>
      <c r="P41" s="1527"/>
      <c r="Q41" s="1512"/>
      <c r="R41" s="1465"/>
      <c r="S41" s="1516"/>
      <c r="T41" s="1465"/>
      <c r="U41" s="1482"/>
      <c r="V41" s="1463"/>
      <c r="W41" s="1116"/>
      <c r="X41" s="1492"/>
      <c r="Y41" s="1149"/>
      <c r="Z41" s="1543"/>
      <c r="AA41" s="1512"/>
      <c r="AB41" s="1463"/>
      <c r="AC41" s="1151"/>
      <c r="AD41" s="1528"/>
      <c r="AE41" s="1703"/>
      <c r="AF41" s="1589"/>
      <c r="AG41" s="1149"/>
      <c r="AH41" s="1468"/>
      <c r="AI41" s="1116"/>
      <c r="AJ41" s="1468"/>
      <c r="AK41" s="1151"/>
      <c r="AL41" s="1492"/>
      <c r="AM41" s="1149"/>
      <c r="AN41" s="1465"/>
      <c r="AO41" s="1482"/>
      <c r="AP41" s="1468"/>
      <c r="AQ41" s="1151"/>
      <c r="AR41" s="1463"/>
      <c r="AS41" s="1137"/>
      <c r="AT41" s="1468"/>
      <c r="AU41" s="1116"/>
      <c r="AV41" s="1700"/>
      <c r="AW41" s="1480"/>
      <c r="AX41" s="1465"/>
      <c r="AY41" s="1482"/>
      <c r="BG41" s="1463"/>
      <c r="BH41" s="1151"/>
      <c r="BI41" s="1463"/>
      <c r="BJ41" s="1151"/>
      <c r="BK41" s="1589"/>
      <c r="BL41" s="1172"/>
      <c r="BM41" s="1611"/>
      <c r="BN41" s="1882"/>
      <c r="BO41" s="1611"/>
      <c r="BP41" s="1882"/>
      <c r="BQ41" s="1463"/>
      <c r="BR41" s="1151"/>
      <c r="BS41" s="1463"/>
      <c r="BT41" s="1151"/>
      <c r="BU41" s="1589"/>
      <c r="BV41" s="1172"/>
      <c r="BW41" s="1611"/>
      <c r="BX41" s="1882"/>
      <c r="BY41" s="1611"/>
      <c r="BZ41" s="1882"/>
      <c r="CA41" s="1463"/>
      <c r="CB41" s="1151"/>
      <c r="CC41" s="1463"/>
      <c r="CD41" s="1151"/>
      <c r="CE41" s="1589"/>
      <c r="CF41" s="1172"/>
      <c r="CG41" s="1611"/>
      <c r="CH41" s="1882"/>
      <c r="CI41" s="1884"/>
      <c r="CJ41" s="1883"/>
      <c r="CK41" s="1463"/>
      <c r="CL41" s="1151"/>
      <c r="CM41" s="1463"/>
      <c r="CN41" s="1151"/>
      <c r="CO41" s="1463"/>
      <c r="CP41" s="1151"/>
      <c r="CQ41" s="1611"/>
      <c r="CR41" s="1882"/>
      <c r="CS41" s="1611"/>
      <c r="CT41" s="1882"/>
      <c r="CU41" s="1463"/>
      <c r="CV41" s="1151"/>
      <c r="CW41" s="1463"/>
      <c r="CX41" s="1151"/>
      <c r="CY41" s="1589"/>
      <c r="CZ41" s="1172"/>
      <c r="DA41" s="1884"/>
      <c r="DB41" s="1883"/>
      <c r="DC41" s="1611"/>
      <c r="DD41" s="1882"/>
    </row>
    <row r="42" spans="1:108" s="2" customFormat="1" ht="40.5" customHeight="1" thickBot="1" x14ac:dyDescent="0.3">
      <c r="A42" s="1087"/>
      <c r="B42" s="1545"/>
      <c r="C42" s="1137"/>
      <c r="D42" s="1527"/>
      <c r="E42" s="1512"/>
      <c r="F42" s="1464"/>
      <c r="G42" s="1514"/>
      <c r="H42" s="1465"/>
      <c r="I42" s="1516"/>
      <c r="L42" s="1545"/>
      <c r="M42" s="1514"/>
      <c r="N42" s="1492"/>
      <c r="O42" s="1467"/>
      <c r="P42" s="1527"/>
      <c r="Q42" s="1512"/>
      <c r="R42" s="1465"/>
      <c r="S42" s="1516"/>
      <c r="T42" s="1465"/>
      <c r="U42" s="1705"/>
      <c r="V42" s="1464"/>
      <c r="W42" s="1122"/>
      <c r="X42" s="1492"/>
      <c r="Y42" s="1467"/>
      <c r="Z42" s="1543"/>
      <c r="AA42" s="1512"/>
      <c r="AB42" s="1464"/>
      <c r="AC42" s="1514"/>
      <c r="AD42" s="1528"/>
      <c r="AE42" s="1704"/>
      <c r="AF42" s="1590"/>
      <c r="AG42" s="1467"/>
      <c r="AH42" s="1468"/>
      <c r="AI42" s="1122"/>
      <c r="AJ42" s="1491"/>
      <c r="AK42" s="1151"/>
      <c r="AL42" s="1493"/>
      <c r="AM42" s="1467"/>
      <c r="AN42" s="1525"/>
      <c r="AO42" s="1705"/>
      <c r="AP42" s="1468"/>
      <c r="AQ42" s="1151"/>
      <c r="AR42" s="1464"/>
      <c r="AS42" s="1137"/>
      <c r="AT42" s="1491"/>
      <c r="AU42" s="1122"/>
      <c r="AV42" s="1701"/>
      <c r="AW42" s="1481"/>
      <c r="AX42" s="1465"/>
      <c r="AY42" s="1482"/>
      <c r="BG42" s="1463"/>
      <c r="BH42" s="1151"/>
      <c r="BI42" s="1463"/>
      <c r="BJ42" s="1151"/>
      <c r="BK42" s="1589"/>
      <c r="BL42" s="1172"/>
      <c r="BM42" s="1611"/>
      <c r="BN42" s="1882"/>
      <c r="BO42" s="1611"/>
      <c r="BP42" s="1882"/>
      <c r="BQ42" s="1463"/>
      <c r="BR42" s="1151"/>
      <c r="BS42" s="1463"/>
      <c r="BT42" s="1151"/>
      <c r="BU42" s="1589"/>
      <c r="BV42" s="1172"/>
      <c r="BW42" s="1611"/>
      <c r="BX42" s="1882"/>
      <c r="BY42" s="1611"/>
      <c r="BZ42" s="1882"/>
      <c r="CA42" s="1463"/>
      <c r="CB42" s="1151"/>
      <c r="CC42" s="1463"/>
      <c r="CD42" s="1151"/>
      <c r="CE42" s="1589"/>
      <c r="CF42" s="1172"/>
      <c r="CG42" s="1611"/>
      <c r="CH42" s="1882"/>
      <c r="CI42" s="1884"/>
      <c r="CJ42" s="1883"/>
      <c r="CK42" s="1463"/>
      <c r="CL42" s="1151"/>
      <c r="CM42" s="1463"/>
      <c r="CN42" s="1151"/>
      <c r="CO42" s="1463"/>
      <c r="CP42" s="1151"/>
      <c r="CQ42" s="1611"/>
      <c r="CR42" s="1882"/>
      <c r="CS42" s="1611"/>
      <c r="CT42" s="1882"/>
      <c r="CU42" s="1463"/>
      <c r="CV42" s="1151"/>
      <c r="CW42" s="1463"/>
      <c r="CX42" s="1151"/>
      <c r="CY42" s="1589"/>
      <c r="CZ42" s="1172"/>
      <c r="DA42" s="1884"/>
      <c r="DB42" s="1883"/>
      <c r="DC42" s="1611"/>
      <c r="DD42" s="1882"/>
    </row>
    <row r="43" spans="1:108" s="2" customFormat="1" ht="40.5" customHeight="1" x14ac:dyDescent="0.25">
      <c r="A43" s="1087" t="s">
        <v>6</v>
      </c>
      <c r="B43" s="1555" t="s">
        <v>27</v>
      </c>
      <c r="C43" s="1556"/>
      <c r="D43" s="1556"/>
      <c r="E43" s="1556"/>
      <c r="F43" s="1556"/>
      <c r="G43" s="1556"/>
      <c r="H43" s="1546" t="s">
        <v>151</v>
      </c>
      <c r="I43" s="1546"/>
      <c r="J43" s="1546"/>
      <c r="K43" s="1547"/>
      <c r="L43" s="1555" t="s">
        <v>50</v>
      </c>
      <c r="M43" s="1556"/>
      <c r="N43" s="1556"/>
      <c r="O43" s="1556"/>
      <c r="P43" s="1556"/>
      <c r="Q43" s="1556"/>
      <c r="R43" s="1546" t="s">
        <v>151</v>
      </c>
      <c r="S43" s="1546"/>
      <c r="T43" s="1546"/>
      <c r="U43" s="1547"/>
      <c r="V43" s="1555" t="s">
        <v>27</v>
      </c>
      <c r="W43" s="1556"/>
      <c r="X43" s="1556"/>
      <c r="Y43" s="1556"/>
      <c r="Z43" s="1556"/>
      <c r="AA43" s="1556"/>
      <c r="AB43" s="1546" t="s">
        <v>151</v>
      </c>
      <c r="AC43" s="1546"/>
      <c r="AD43" s="1546"/>
      <c r="AE43" s="1547"/>
      <c r="AF43" s="1555" t="s">
        <v>929</v>
      </c>
      <c r="AG43" s="1556"/>
      <c r="AH43" s="1556"/>
      <c r="AI43" s="1556"/>
      <c r="AJ43" s="1556"/>
      <c r="AK43" s="1556"/>
      <c r="AL43" s="1546" t="s">
        <v>151</v>
      </c>
      <c r="AM43" s="1546"/>
      <c r="AN43" s="1546"/>
      <c r="AO43" s="1547"/>
      <c r="AP43" s="1555" t="s">
        <v>937</v>
      </c>
      <c r="AQ43" s="1556"/>
      <c r="AR43" s="1556"/>
      <c r="AS43" s="1556"/>
      <c r="AT43" s="1556"/>
      <c r="AU43" s="1556"/>
      <c r="AV43" s="1546" t="s">
        <v>151</v>
      </c>
      <c r="AW43" s="1546"/>
      <c r="AX43" s="1546"/>
      <c r="AY43" s="1547"/>
      <c r="BG43" s="1881"/>
      <c r="BH43" s="1881"/>
      <c r="BI43" s="1881"/>
      <c r="BJ43" s="1881"/>
      <c r="BK43" s="1881"/>
      <c r="BL43" s="1881"/>
      <c r="BM43" s="1174"/>
      <c r="BN43" s="1174"/>
      <c r="BO43" s="1174"/>
      <c r="BP43" s="580"/>
      <c r="BQ43" s="1881"/>
      <c r="BR43" s="1881"/>
      <c r="BS43" s="1881"/>
      <c r="BT43" s="1881"/>
      <c r="BU43" s="1881"/>
      <c r="BV43" s="1881"/>
      <c r="BW43" s="1174"/>
      <c r="BX43" s="1174"/>
      <c r="BY43" s="1174"/>
      <c r="BZ43" s="580"/>
      <c r="CA43" s="1885"/>
      <c r="CB43" s="1885"/>
      <c r="CC43" s="1885"/>
      <c r="CD43" s="1885"/>
      <c r="CE43" s="1885"/>
      <c r="CF43" s="1885"/>
      <c r="CG43" s="1174"/>
      <c r="CH43" s="1174"/>
      <c r="CI43" s="1174"/>
      <c r="CJ43" s="580"/>
      <c r="CK43" s="1881"/>
      <c r="CL43" s="1881"/>
      <c r="CM43" s="1881"/>
      <c r="CN43" s="1881"/>
      <c r="CO43" s="1881"/>
      <c r="CP43" s="1881"/>
      <c r="CQ43" s="1174"/>
      <c r="CR43" s="1174"/>
      <c r="CS43" s="1174"/>
      <c r="CT43" s="580"/>
      <c r="CU43" s="1881"/>
      <c r="CV43" s="1881"/>
      <c r="CW43" s="1881"/>
      <c r="CX43" s="1881"/>
      <c r="CY43" s="1881"/>
      <c r="CZ43" s="1881"/>
      <c r="DA43" s="1174"/>
      <c r="DB43" s="1174"/>
      <c r="DC43" s="1174"/>
      <c r="DD43" s="580"/>
    </row>
    <row r="44" spans="1:108" s="2" customFormat="1" ht="40.5" customHeight="1" thickBot="1" x14ac:dyDescent="0.3">
      <c r="A44" s="1087"/>
      <c r="B44" s="1557"/>
      <c r="C44" s="1558"/>
      <c r="D44" s="1558"/>
      <c r="E44" s="1558"/>
      <c r="F44" s="1558"/>
      <c r="G44" s="1558"/>
      <c r="H44" s="1304"/>
      <c r="I44" s="1304"/>
      <c r="J44" s="1304"/>
      <c r="K44" s="1305"/>
      <c r="L44" s="1557"/>
      <c r="M44" s="1558"/>
      <c r="N44" s="1558"/>
      <c r="O44" s="1558"/>
      <c r="P44" s="1558"/>
      <c r="Q44" s="1558"/>
      <c r="R44" s="1304"/>
      <c r="S44" s="1304"/>
      <c r="T44" s="1304"/>
      <c r="U44" s="1305"/>
      <c r="V44" s="1557"/>
      <c r="W44" s="1558"/>
      <c r="X44" s="1558"/>
      <c r="Y44" s="1558"/>
      <c r="Z44" s="1558"/>
      <c r="AA44" s="1558"/>
      <c r="AB44" s="1304"/>
      <c r="AC44" s="1304"/>
      <c r="AD44" s="1304"/>
      <c r="AE44" s="1305"/>
      <c r="AF44" s="1557"/>
      <c r="AG44" s="1558"/>
      <c r="AH44" s="1558"/>
      <c r="AI44" s="1558"/>
      <c r="AJ44" s="1558"/>
      <c r="AK44" s="1558"/>
      <c r="AL44" s="1304"/>
      <c r="AM44" s="1304"/>
      <c r="AN44" s="1304"/>
      <c r="AO44" s="1305"/>
      <c r="AP44" s="1557"/>
      <c r="AQ44" s="1558"/>
      <c r="AR44" s="1558"/>
      <c r="AS44" s="1558"/>
      <c r="AT44" s="1558"/>
      <c r="AU44" s="1558"/>
      <c r="AV44" s="1304"/>
      <c r="AW44" s="1304"/>
      <c r="AX44" s="1304"/>
      <c r="AY44" s="1305"/>
      <c r="BG44" s="1624"/>
      <c r="BH44" s="1624"/>
      <c r="BI44" s="1624"/>
      <c r="BJ44" s="1624"/>
      <c r="BK44" s="1624"/>
      <c r="BL44" s="1624"/>
      <c r="BM44" s="1593"/>
      <c r="BN44" s="1593"/>
      <c r="BO44" s="1593"/>
      <c r="BP44" s="581"/>
      <c r="BQ44" s="1886"/>
      <c r="BR44" s="1886"/>
      <c r="BS44" s="1886"/>
      <c r="BT44" s="1886"/>
      <c r="BU44" s="1886"/>
      <c r="BV44" s="1886"/>
      <c r="BW44" s="1593"/>
      <c r="BX44" s="1593"/>
      <c r="BY44" s="1593"/>
      <c r="BZ44" s="581"/>
      <c r="CA44" s="1885"/>
      <c r="CB44" s="1885"/>
      <c r="CC44" s="1885"/>
      <c r="CD44" s="1885"/>
      <c r="CE44" s="1885"/>
      <c r="CF44" s="1885"/>
      <c r="CG44" s="1174"/>
      <c r="CH44" s="1174"/>
      <c r="CI44" s="1174"/>
      <c r="CJ44" s="580"/>
      <c r="CK44" s="1624"/>
      <c r="CL44" s="1624"/>
      <c r="CM44" s="1624"/>
      <c r="CN44" s="1624"/>
      <c r="CO44" s="1624"/>
      <c r="CP44" s="1624"/>
      <c r="CQ44" s="1593"/>
      <c r="CR44" s="1593"/>
      <c r="CS44" s="1593"/>
      <c r="CT44" s="581"/>
    </row>
    <row r="45" spans="1:108" s="2" customFormat="1" ht="40.5" customHeight="1" x14ac:dyDescent="0.25">
      <c r="A45" s="1087" t="s">
        <v>7</v>
      </c>
      <c r="B45" s="1555" t="s">
        <v>25</v>
      </c>
      <c r="C45" s="1556"/>
      <c r="D45" s="1556"/>
      <c r="E45" s="1556"/>
      <c r="F45" s="1556"/>
      <c r="G45" s="1556"/>
      <c r="H45" s="1546" t="s">
        <v>151</v>
      </c>
      <c r="I45" s="1546"/>
      <c r="J45" s="1546"/>
      <c r="K45" s="1547"/>
      <c r="L45" s="1555" t="s">
        <v>25</v>
      </c>
      <c r="M45" s="1556"/>
      <c r="N45" s="1556"/>
      <c r="O45" s="1556"/>
      <c r="P45" s="1556"/>
      <c r="Q45" s="1556"/>
      <c r="R45" s="1546" t="s">
        <v>151</v>
      </c>
      <c r="S45" s="1546"/>
      <c r="T45" s="1546"/>
      <c r="U45" s="1547"/>
      <c r="V45" s="1555" t="s">
        <v>242</v>
      </c>
      <c r="W45" s="1556"/>
      <c r="X45" s="1556"/>
      <c r="Y45" s="1556"/>
      <c r="Z45" s="1556"/>
      <c r="AA45" s="1556"/>
      <c r="AB45" s="1546" t="s">
        <v>151</v>
      </c>
      <c r="AC45" s="1546"/>
      <c r="AD45" s="1546"/>
      <c r="AE45" s="1547"/>
      <c r="AF45" s="1555" t="s">
        <v>937</v>
      </c>
      <c r="AG45" s="1556"/>
      <c r="AH45" s="1556"/>
      <c r="AI45" s="1556"/>
      <c r="AJ45" s="1556"/>
      <c r="AK45" s="1556"/>
      <c r="AL45" s="1546" t="s">
        <v>151</v>
      </c>
      <c r="AM45" s="1546"/>
      <c r="AN45" s="1546"/>
      <c r="AO45" s="1547"/>
      <c r="AP45" s="1555" t="s">
        <v>949</v>
      </c>
      <c r="AQ45" s="1556"/>
      <c r="AR45" s="1556"/>
      <c r="AS45" s="1556"/>
      <c r="AT45" s="1556"/>
      <c r="AU45" s="1556"/>
      <c r="AV45" s="1546" t="s">
        <v>151</v>
      </c>
      <c r="AW45" s="1546"/>
      <c r="AX45" s="1546"/>
      <c r="AY45" s="1547"/>
      <c r="BG45" s="1881"/>
      <c r="BH45" s="1881"/>
      <c r="BI45" s="1881"/>
      <c r="BJ45" s="1881"/>
      <c r="BK45" s="1881"/>
      <c r="BL45" s="1881"/>
      <c r="BM45" s="1174"/>
      <c r="BN45" s="1174"/>
      <c r="BO45" s="1174"/>
      <c r="BP45" s="580"/>
      <c r="BQ45" s="1885"/>
      <c r="BR45" s="1885"/>
      <c r="BS45" s="1885"/>
      <c r="BT45" s="1885"/>
      <c r="BU45" s="1885"/>
      <c r="BV45" s="1885"/>
      <c r="BW45" s="1174"/>
      <c r="BX45" s="1174"/>
      <c r="BY45" s="1174"/>
      <c r="BZ45" s="580"/>
      <c r="CA45" s="1881"/>
      <c r="CB45" s="1881"/>
      <c r="CC45" s="1881"/>
      <c r="CD45" s="1881"/>
      <c r="CE45" s="1881"/>
      <c r="CF45" s="1881"/>
      <c r="CG45" s="1174"/>
      <c r="CH45" s="1174"/>
      <c r="CI45" s="1174"/>
      <c r="CJ45" s="580"/>
      <c r="CK45" s="1881"/>
      <c r="CL45" s="1881"/>
      <c r="CM45" s="1881"/>
      <c r="CN45" s="1881"/>
      <c r="CO45" s="1881"/>
      <c r="CP45" s="1881"/>
      <c r="CQ45" s="1174"/>
      <c r="CR45" s="1174"/>
      <c r="CS45" s="1174"/>
      <c r="CT45" s="580"/>
    </row>
    <row r="46" spans="1:108" s="2" customFormat="1" ht="40.5" customHeight="1" thickBot="1" x14ac:dyDescent="0.3">
      <c r="A46" s="1087"/>
      <c r="B46" s="1557"/>
      <c r="C46" s="1558"/>
      <c r="D46" s="1558"/>
      <c r="E46" s="1558"/>
      <c r="F46" s="1558"/>
      <c r="G46" s="1558"/>
      <c r="H46" s="1304"/>
      <c r="I46" s="1304"/>
      <c r="J46" s="1304"/>
      <c r="K46" s="1305"/>
      <c r="L46" s="1557"/>
      <c r="M46" s="1558"/>
      <c r="N46" s="1558"/>
      <c r="O46" s="1558"/>
      <c r="P46" s="1558"/>
      <c r="Q46" s="1558"/>
      <c r="R46" s="1304"/>
      <c r="S46" s="1304"/>
      <c r="T46" s="1304"/>
      <c r="U46" s="1305"/>
      <c r="V46" s="1557"/>
      <c r="W46" s="1558"/>
      <c r="X46" s="1558"/>
      <c r="Y46" s="1558"/>
      <c r="Z46" s="1558"/>
      <c r="AA46" s="1558"/>
      <c r="AB46" s="1304"/>
      <c r="AC46" s="1304"/>
      <c r="AD46" s="1304"/>
      <c r="AE46" s="1305"/>
      <c r="AF46" s="1557"/>
      <c r="AG46" s="1558"/>
      <c r="AH46" s="1558"/>
      <c r="AI46" s="1558"/>
      <c r="AJ46" s="1558"/>
      <c r="AK46" s="1558"/>
      <c r="AL46" s="1304"/>
      <c r="AM46" s="1304"/>
      <c r="AN46" s="1304"/>
      <c r="AO46" s="1305"/>
      <c r="AP46" s="1557"/>
      <c r="AQ46" s="1558"/>
      <c r="AR46" s="1558"/>
      <c r="AS46" s="1558"/>
      <c r="AT46" s="1558"/>
      <c r="AU46" s="1558"/>
      <c r="AV46" s="1304"/>
      <c r="AW46" s="1304"/>
      <c r="AX46" s="1304"/>
      <c r="AY46" s="1305"/>
      <c r="BG46" s="1624"/>
      <c r="BH46" s="1624"/>
      <c r="BI46" s="1624"/>
      <c r="BJ46" s="1624"/>
      <c r="BK46" s="1624"/>
      <c r="BL46" s="1624"/>
      <c r="BM46" s="1593"/>
      <c r="BN46" s="1593"/>
      <c r="BO46" s="1593"/>
      <c r="BP46" s="581"/>
      <c r="BQ46" s="1624"/>
      <c r="BR46" s="1624"/>
      <c r="BS46" s="1624"/>
      <c r="BT46" s="1624"/>
      <c r="BU46" s="1624"/>
      <c r="BV46" s="1624"/>
      <c r="BW46" s="1593"/>
      <c r="BX46" s="1593"/>
      <c r="BY46" s="1593"/>
      <c r="BZ46" s="581"/>
      <c r="CK46" s="1886"/>
      <c r="CL46" s="1886"/>
      <c r="CM46" s="1886"/>
      <c r="CN46" s="1886"/>
      <c r="CO46" s="1886"/>
      <c r="CP46" s="1886"/>
      <c r="CQ46" s="1593"/>
      <c r="CR46" s="1593"/>
      <c r="CS46" s="1593"/>
      <c r="CT46" s="581"/>
    </row>
    <row r="47" spans="1:108" s="2" customFormat="1" ht="40.5" customHeight="1" x14ac:dyDescent="0.25">
      <c r="A47" s="1087" t="s">
        <v>8</v>
      </c>
      <c r="B47" s="744"/>
      <c r="C47" s="1466"/>
      <c r="D47" s="429" t="s">
        <v>580</v>
      </c>
      <c r="E47" s="1588" t="s">
        <v>674</v>
      </c>
      <c r="F47" s="477"/>
      <c r="G47" s="1730"/>
      <c r="H47" s="865" t="s">
        <v>582</v>
      </c>
      <c r="I47" s="1312" t="s">
        <v>752</v>
      </c>
      <c r="J47" s="216"/>
      <c r="K47" s="1591"/>
      <c r="L47" s="216"/>
      <c r="M47" s="1466"/>
      <c r="N47" s="216"/>
      <c r="O47" s="1466"/>
      <c r="P47" s="216"/>
      <c r="Q47" s="1466"/>
      <c r="R47" s="216"/>
      <c r="S47" s="1466"/>
      <c r="T47" s="216"/>
      <c r="U47" s="1591"/>
      <c r="V47" s="216"/>
      <c r="W47" s="1466"/>
      <c r="X47" s="216"/>
      <c r="Y47" s="1466"/>
      <c r="Z47" s="392"/>
      <c r="AA47" s="1573"/>
      <c r="AB47" s="108" t="s">
        <v>582</v>
      </c>
      <c r="AC47" s="1116" t="s">
        <v>1357</v>
      </c>
      <c r="AD47" s="216"/>
      <c r="AE47" s="1591"/>
      <c r="AF47" s="583"/>
      <c r="AG47" s="1466"/>
      <c r="AH47" s="108" t="s">
        <v>580</v>
      </c>
      <c r="AI47" s="1588" t="s">
        <v>151</v>
      </c>
      <c r="AJ47" s="216"/>
      <c r="AK47" s="1466"/>
      <c r="AL47" s="216"/>
      <c r="AM47" s="1466"/>
      <c r="AN47" s="216"/>
      <c r="AO47" s="1591"/>
      <c r="AP47" s="744"/>
      <c r="AQ47" s="1466"/>
      <c r="AR47" s="108" t="s">
        <v>580</v>
      </c>
      <c r="AS47" s="1116" t="s">
        <v>1189</v>
      </c>
      <c r="AT47" s="486" t="s">
        <v>581</v>
      </c>
      <c r="AU47" s="1293" t="s">
        <v>752</v>
      </c>
      <c r="AV47" s="881"/>
      <c r="AW47" s="1574"/>
      <c r="AX47" s="301"/>
      <c r="AY47" s="595"/>
      <c r="AZ47" s="188"/>
      <c r="BG47" s="1886"/>
      <c r="BH47" s="1886"/>
      <c r="BI47" s="1886"/>
      <c r="BJ47" s="1886"/>
      <c r="BK47" s="1886"/>
      <c r="BL47" s="1886"/>
      <c r="BM47" s="1887"/>
      <c r="BN47" s="1887"/>
      <c r="BO47" s="1887"/>
      <c r="BP47" s="582"/>
    </row>
    <row r="48" spans="1:108" s="2" customFormat="1" ht="40.5" customHeight="1" x14ac:dyDescent="0.25">
      <c r="A48" s="1087"/>
      <c r="B48" s="1568"/>
      <c r="C48" s="1149"/>
      <c r="D48" s="1463" t="s">
        <v>25</v>
      </c>
      <c r="E48" s="1151"/>
      <c r="F48" s="1492"/>
      <c r="G48" s="1111"/>
      <c r="H48" s="1521" t="s">
        <v>50</v>
      </c>
      <c r="I48" s="1312"/>
      <c r="J48" s="1492"/>
      <c r="K48" s="1120"/>
      <c r="L48" s="1492"/>
      <c r="M48" s="1149"/>
      <c r="N48" s="1492"/>
      <c r="O48" s="1149"/>
      <c r="P48" s="1492"/>
      <c r="Q48" s="1149"/>
      <c r="R48" s="1492"/>
      <c r="S48" s="1149"/>
      <c r="T48" s="1492"/>
      <c r="U48" s="1120"/>
      <c r="V48" s="1492"/>
      <c r="W48" s="1149"/>
      <c r="X48" s="1492"/>
      <c r="Y48" s="1149"/>
      <c r="Z48" s="1528"/>
      <c r="AA48" s="1574"/>
      <c r="AB48" s="1468" t="s">
        <v>242</v>
      </c>
      <c r="AC48" s="1116"/>
      <c r="AD48" s="1492"/>
      <c r="AE48" s="1120"/>
      <c r="AF48" s="1589"/>
      <c r="AG48" s="1149"/>
      <c r="AH48" s="1468" t="s">
        <v>26</v>
      </c>
      <c r="AI48" s="1116"/>
      <c r="AJ48" s="1492"/>
      <c r="AK48" s="1149"/>
      <c r="AL48" s="1492"/>
      <c r="AM48" s="1149"/>
      <c r="AN48" s="1492"/>
      <c r="AO48" s="1120"/>
      <c r="AP48" s="1568"/>
      <c r="AQ48" s="1149"/>
      <c r="AR48" s="1468" t="s">
        <v>242</v>
      </c>
      <c r="AS48" s="1116"/>
      <c r="AT48" s="1468" t="s">
        <v>50</v>
      </c>
      <c r="AU48" s="1137"/>
      <c r="AV48" s="1528"/>
      <c r="AW48" s="1574"/>
      <c r="AX48" s="301"/>
      <c r="AY48" s="602"/>
    </row>
    <row r="49" spans="1:70" s="2" customFormat="1" ht="40.5" customHeight="1" x14ac:dyDescent="0.25">
      <c r="A49" s="1087" t="s">
        <v>9</v>
      </c>
      <c r="B49" s="1568"/>
      <c r="C49" s="1149"/>
      <c r="D49" s="1463"/>
      <c r="E49" s="1151"/>
      <c r="F49" s="1492"/>
      <c r="G49" s="1111"/>
      <c r="H49" s="1521"/>
      <c r="I49" s="1312"/>
      <c r="J49" s="1492"/>
      <c r="K49" s="1120"/>
      <c r="L49" s="1492"/>
      <c r="M49" s="1149"/>
      <c r="N49" s="1492"/>
      <c r="O49" s="1149"/>
      <c r="P49" s="1492"/>
      <c r="Q49" s="1149"/>
      <c r="R49" s="1492"/>
      <c r="S49" s="1149"/>
      <c r="T49" s="1492"/>
      <c r="U49" s="1120"/>
      <c r="V49" s="1492"/>
      <c r="W49" s="1149"/>
      <c r="X49" s="1492"/>
      <c r="Y49" s="1149"/>
      <c r="Z49" s="1528"/>
      <c r="AA49" s="1574"/>
      <c r="AB49" s="1468"/>
      <c r="AC49" s="1116"/>
      <c r="AD49" s="1492"/>
      <c r="AE49" s="1120"/>
      <c r="AF49" s="1589"/>
      <c r="AG49" s="1149"/>
      <c r="AH49" s="1468"/>
      <c r="AI49" s="1151"/>
      <c r="AJ49" s="1492"/>
      <c r="AK49" s="1172"/>
      <c r="AL49" s="1492"/>
      <c r="AM49" s="1149"/>
      <c r="AN49" s="1492"/>
      <c r="AO49" s="1120"/>
      <c r="AP49" s="1568"/>
      <c r="AQ49" s="1149"/>
      <c r="AR49" s="1468"/>
      <c r="AS49" s="1116"/>
      <c r="AT49" s="1468"/>
      <c r="AU49" s="1137"/>
      <c r="AV49" s="1528"/>
      <c r="AW49" s="1574"/>
      <c r="AX49" s="301"/>
      <c r="AY49" s="602"/>
      <c r="AZ49" s="188"/>
    </row>
    <row r="50" spans="1:70" s="2" customFormat="1" ht="40.5" customHeight="1" thickBot="1" x14ac:dyDescent="0.3">
      <c r="A50" s="1171"/>
      <c r="B50" s="1569"/>
      <c r="C50" s="1467"/>
      <c r="D50" s="1464"/>
      <c r="E50" s="1514"/>
      <c r="F50" s="1493"/>
      <c r="G50" s="1179"/>
      <c r="H50" s="1586"/>
      <c r="I50" s="1312"/>
      <c r="J50" s="1493"/>
      <c r="K50" s="1130"/>
      <c r="L50" s="1493"/>
      <c r="M50" s="1467"/>
      <c r="N50" s="1493"/>
      <c r="O50" s="1467"/>
      <c r="P50" s="1493"/>
      <c r="Q50" s="1467"/>
      <c r="R50" s="1493"/>
      <c r="S50" s="1467"/>
      <c r="T50" s="1493"/>
      <c r="U50" s="1130"/>
      <c r="V50" s="1493"/>
      <c r="W50" s="1467"/>
      <c r="X50" s="1493"/>
      <c r="Y50" s="1467"/>
      <c r="Z50" s="1587"/>
      <c r="AA50" s="1575"/>
      <c r="AB50" s="1491"/>
      <c r="AC50" s="1122"/>
      <c r="AD50" s="1493"/>
      <c r="AE50" s="1130"/>
      <c r="AF50" s="1590"/>
      <c r="AG50" s="1467"/>
      <c r="AH50" s="1491"/>
      <c r="AI50" s="1122"/>
      <c r="AJ50" s="1493"/>
      <c r="AK50" s="1467"/>
      <c r="AL50" s="1493"/>
      <c r="AM50" s="1467"/>
      <c r="AN50" s="1493"/>
      <c r="AO50" s="1130"/>
      <c r="AP50" s="1569"/>
      <c r="AQ50" s="1467"/>
      <c r="AR50" s="1491"/>
      <c r="AS50" s="1122"/>
      <c r="AT50" s="1491"/>
      <c r="AU50" s="1175"/>
      <c r="AV50" s="1587"/>
      <c r="AW50" s="1575"/>
      <c r="AX50" s="298"/>
      <c r="AY50" s="603"/>
    </row>
    <row r="51" spans="1:70" s="2" customFormat="1" ht="36" hidden="1" customHeight="1" x14ac:dyDescent="0.25">
      <c r="A51" s="1087" t="s">
        <v>186</v>
      </c>
      <c r="B51" s="744"/>
      <c r="C51" s="1172"/>
      <c r="D51" s="583"/>
      <c r="E51" s="747"/>
      <c r="F51" s="748" t="s">
        <v>581</v>
      </c>
      <c r="G51" s="1691" t="s">
        <v>1187</v>
      </c>
      <c r="H51" s="749"/>
      <c r="I51" s="750"/>
      <c r="J51" s="751"/>
      <c r="K51" s="752"/>
      <c r="L51" s="753"/>
      <c r="M51" s="726"/>
      <c r="N51" s="754" t="s">
        <v>580</v>
      </c>
      <c r="O51" s="1691" t="s">
        <v>1187</v>
      </c>
      <c r="P51" s="755"/>
      <c r="Q51" s="755"/>
      <c r="R51" s="756"/>
      <c r="S51" s="756"/>
      <c r="T51" s="756"/>
      <c r="U51" s="757"/>
      <c r="V51" s="1711" t="s">
        <v>242</v>
      </c>
      <c r="W51" s="1712"/>
      <c r="X51" s="1712"/>
      <c r="Y51" s="1712"/>
      <c r="Z51" s="1712"/>
      <c r="AA51" s="1712"/>
      <c r="AB51" s="1715" t="s">
        <v>563</v>
      </c>
      <c r="AC51" s="1715"/>
      <c r="AD51" s="1715"/>
      <c r="AE51" s="1716"/>
      <c r="AF51" s="758" t="s">
        <v>579</v>
      </c>
      <c r="AG51" s="1691" t="s">
        <v>1187</v>
      </c>
      <c r="AH51" s="69"/>
      <c r="AI51" s="69"/>
      <c r="AJ51" s="69"/>
      <c r="AK51" s="69"/>
      <c r="AL51" s="69"/>
      <c r="AM51" s="69"/>
      <c r="AN51" s="69"/>
      <c r="AO51" s="728"/>
      <c r="AP51" s="1533"/>
      <c r="AQ51" s="1534"/>
      <c r="AR51" s="1534"/>
      <c r="AS51" s="1534"/>
      <c r="AT51" s="1534"/>
      <c r="AU51" s="1534"/>
      <c r="AV51" s="1649"/>
      <c r="AW51" s="1649"/>
      <c r="AX51" s="1649"/>
      <c r="AY51" s="1650"/>
      <c r="BG51" s="745"/>
      <c r="BH51" s="745"/>
      <c r="BI51" s="745"/>
      <c r="BJ51" s="745"/>
      <c r="BK51" s="745"/>
      <c r="BL51" s="745"/>
      <c r="BM51" s="746"/>
      <c r="BN51" s="746"/>
      <c r="BO51" s="746"/>
      <c r="BP51" s="582"/>
    </row>
    <row r="52" spans="1:70" s="2" customFormat="1" ht="40.5" hidden="1" customHeight="1" thickBot="1" x14ac:dyDescent="0.3">
      <c r="A52" s="1171"/>
      <c r="B52" s="1568"/>
      <c r="C52" s="1172"/>
      <c r="D52" s="592"/>
      <c r="E52" s="747"/>
      <c r="F52" s="1726" t="s">
        <v>242</v>
      </c>
      <c r="G52" s="1691"/>
      <c r="H52" s="759"/>
      <c r="I52" s="750"/>
      <c r="J52" s="760"/>
      <c r="K52" s="752"/>
      <c r="L52" s="753"/>
      <c r="M52" s="755"/>
      <c r="N52" s="1726" t="s">
        <v>242</v>
      </c>
      <c r="O52" s="1691"/>
      <c r="P52" s="755"/>
      <c r="Q52" s="755"/>
      <c r="R52" s="756"/>
      <c r="S52" s="756"/>
      <c r="T52" s="756"/>
      <c r="U52" s="757"/>
      <c r="V52" s="1713"/>
      <c r="W52" s="1714"/>
      <c r="X52" s="1714"/>
      <c r="Y52" s="1714"/>
      <c r="Z52" s="1714"/>
      <c r="AA52" s="1714"/>
      <c r="AB52" s="1717"/>
      <c r="AC52" s="1717"/>
      <c r="AD52" s="1717"/>
      <c r="AE52" s="1718"/>
      <c r="AF52" s="1729" t="s">
        <v>242</v>
      </c>
      <c r="AG52" s="1691"/>
      <c r="AH52" s="69"/>
      <c r="AI52" s="69"/>
      <c r="AJ52" s="69"/>
      <c r="AK52" s="69"/>
      <c r="AL52" s="69"/>
      <c r="AM52" s="69"/>
      <c r="AN52" s="69"/>
      <c r="AO52" s="728"/>
      <c r="AP52" s="1535"/>
      <c r="AQ52" s="1536"/>
      <c r="AR52" s="1536"/>
      <c r="AS52" s="1536"/>
      <c r="AT52" s="1536"/>
      <c r="AU52" s="1536"/>
      <c r="AV52" s="1651"/>
      <c r="AW52" s="1651"/>
      <c r="AX52" s="1651"/>
      <c r="AY52" s="1652"/>
    </row>
    <row r="53" spans="1:70" s="2" customFormat="1" ht="36" hidden="1" customHeight="1" x14ac:dyDescent="0.25">
      <c r="A53" s="778" t="s">
        <v>188</v>
      </c>
      <c r="B53" s="1568"/>
      <c r="C53" s="1172"/>
      <c r="D53" s="592"/>
      <c r="E53" s="747"/>
      <c r="F53" s="1726"/>
      <c r="G53" s="1691"/>
      <c r="H53" s="759"/>
      <c r="I53" s="750"/>
      <c r="J53" s="760"/>
      <c r="K53" s="752"/>
      <c r="L53" s="753"/>
      <c r="M53" s="755"/>
      <c r="N53" s="1726"/>
      <c r="O53" s="1691"/>
      <c r="P53" s="755"/>
      <c r="Q53" s="755"/>
      <c r="R53" s="756"/>
      <c r="S53" s="756"/>
      <c r="T53" s="756"/>
      <c r="U53" s="757"/>
      <c r="V53" s="1711" t="s">
        <v>242</v>
      </c>
      <c r="W53" s="1712"/>
      <c r="X53" s="1712"/>
      <c r="Y53" s="1712"/>
      <c r="Z53" s="1712"/>
      <c r="AA53" s="1712"/>
      <c r="AB53" s="1715" t="s">
        <v>563</v>
      </c>
      <c r="AC53" s="1715"/>
      <c r="AD53" s="1715"/>
      <c r="AE53" s="1716"/>
      <c r="AF53" s="1729"/>
      <c r="AG53" s="1691"/>
      <c r="AH53" s="69"/>
      <c r="AI53" s="69"/>
      <c r="AJ53" s="69"/>
      <c r="AK53" s="69"/>
      <c r="AL53" s="69"/>
      <c r="AM53" s="69"/>
      <c r="AN53" s="69"/>
      <c r="AO53" s="728"/>
      <c r="AP53" s="1533"/>
      <c r="AQ53" s="1534"/>
      <c r="AR53" s="1534"/>
      <c r="AS53" s="1534"/>
      <c r="AT53" s="1534"/>
      <c r="AU53" s="1534"/>
      <c r="AV53" s="1649"/>
      <c r="AW53" s="1649"/>
      <c r="AX53" s="1649"/>
      <c r="AY53" s="1650"/>
      <c r="AZ53" s="188"/>
    </row>
    <row r="54" spans="1:70" s="2" customFormat="1" ht="24.75" customHeight="1" thickBot="1" x14ac:dyDescent="0.3">
      <c r="A54" s="24" t="s">
        <v>1</v>
      </c>
      <c r="B54" s="1091" t="s">
        <v>2</v>
      </c>
      <c r="C54" s="1092"/>
      <c r="D54" s="1092"/>
      <c r="E54" s="1092"/>
      <c r="F54" s="1092"/>
      <c r="G54" s="1092"/>
      <c r="H54" s="1092"/>
      <c r="I54" s="1092"/>
      <c r="J54" s="1092"/>
      <c r="K54" s="1093"/>
      <c r="L54" s="1091" t="s">
        <v>3</v>
      </c>
      <c r="M54" s="1092"/>
      <c r="N54" s="1092"/>
      <c r="O54" s="1092"/>
      <c r="P54" s="1092"/>
      <c r="Q54" s="1092"/>
      <c r="R54" s="1092"/>
      <c r="S54" s="1092"/>
      <c r="T54" s="1092"/>
      <c r="U54" s="1093"/>
      <c r="V54" s="1091" t="s">
        <v>139</v>
      </c>
      <c r="W54" s="1092"/>
      <c r="X54" s="1092"/>
      <c r="Y54" s="1092"/>
      <c r="Z54" s="1092"/>
      <c r="AA54" s="1092"/>
      <c r="AB54" s="1092"/>
      <c r="AC54" s="1092"/>
      <c r="AD54" s="1092"/>
      <c r="AE54" s="1093"/>
      <c r="AF54" s="1091" t="s">
        <v>4</v>
      </c>
      <c r="AG54" s="1092"/>
      <c r="AH54" s="1092"/>
      <c r="AI54" s="1092"/>
      <c r="AJ54" s="1092"/>
      <c r="AK54" s="1092"/>
      <c r="AL54" s="1092"/>
      <c r="AM54" s="1092"/>
      <c r="AN54" s="1092"/>
      <c r="AO54" s="1093"/>
      <c r="AP54" s="1091" t="s">
        <v>5</v>
      </c>
      <c r="AQ54" s="1092"/>
      <c r="AR54" s="1092"/>
      <c r="AS54" s="1092"/>
      <c r="AT54" s="1092"/>
      <c r="AU54" s="1092"/>
      <c r="AV54" s="1092"/>
      <c r="AW54" s="1092"/>
      <c r="AX54" s="1092"/>
      <c r="AY54" s="1093"/>
      <c r="BQ54" s="137"/>
      <c r="BR54" s="1669"/>
    </row>
    <row r="55" spans="1:70" ht="36.75" customHeight="1" x14ac:dyDescent="0.25">
      <c r="A55" s="1087" t="s">
        <v>186</v>
      </c>
      <c r="B55" s="1912"/>
      <c r="C55" s="1913"/>
      <c r="D55" s="1913"/>
      <c r="E55" s="1913"/>
      <c r="F55" s="1913"/>
      <c r="G55" s="1913"/>
      <c r="H55" s="1913"/>
      <c r="I55" s="1913"/>
      <c r="J55" s="1913"/>
      <c r="K55" s="1914"/>
      <c r="L55" s="592"/>
      <c r="M55" s="822"/>
      <c r="N55" s="592"/>
      <c r="O55" s="822"/>
      <c r="P55" s="592"/>
      <c r="Q55" s="822"/>
      <c r="R55" s="246"/>
      <c r="S55" s="826"/>
      <c r="T55" s="462"/>
      <c r="U55" s="854"/>
      <c r="V55" s="229"/>
      <c r="W55" s="1699"/>
      <c r="X55" s="592"/>
      <c r="Y55" s="851"/>
      <c r="Z55" s="865" t="s">
        <v>581</v>
      </c>
      <c r="AA55" s="1731" t="s">
        <v>164</v>
      </c>
      <c r="AB55" s="69"/>
      <c r="AC55" s="822"/>
      <c r="AD55" s="829"/>
      <c r="AE55" s="827"/>
      <c r="AF55" s="864" t="s">
        <v>579</v>
      </c>
      <c r="AG55" s="1731" t="s">
        <v>164</v>
      </c>
      <c r="AH55" s="592"/>
      <c r="AI55" s="822"/>
      <c r="AJ55" s="592"/>
      <c r="AK55" s="822"/>
      <c r="AN55" s="592"/>
      <c r="AO55" s="669"/>
      <c r="AP55" s="592"/>
      <c r="AQ55" s="822"/>
      <c r="AR55" s="69"/>
      <c r="AS55" s="822"/>
      <c r="AT55" s="69"/>
      <c r="AU55" s="822"/>
      <c r="AV55" s="592"/>
      <c r="AW55" s="822"/>
      <c r="AX55" s="829"/>
      <c r="AY55" s="827"/>
      <c r="AZ55" s="33"/>
      <c r="BA55" s="1638"/>
      <c r="BB55" s="1639"/>
      <c r="BJ55" s="2"/>
      <c r="BK55" s="2"/>
      <c r="BQ55" s="1113"/>
      <c r="BR55" s="1658"/>
    </row>
    <row r="56" spans="1:70" ht="33.75" customHeight="1" x14ac:dyDescent="0.25">
      <c r="A56" s="1087"/>
      <c r="B56" s="1568"/>
      <c r="C56" s="1589"/>
      <c r="D56" s="1589"/>
      <c r="E56" s="1589"/>
      <c r="F56" s="1589"/>
      <c r="G56" s="1589"/>
      <c r="H56" s="1589"/>
      <c r="I56" s="1589"/>
      <c r="J56" s="1589"/>
      <c r="K56" s="1915"/>
      <c r="L56" s="592"/>
      <c r="M56" s="822"/>
      <c r="N56" s="592"/>
      <c r="O56" s="822"/>
      <c r="P56" s="592"/>
      <c r="Q56" s="822"/>
      <c r="R56" s="246"/>
      <c r="S56" s="826"/>
      <c r="T56" s="246"/>
      <c r="U56" s="855"/>
      <c r="V56" s="1529"/>
      <c r="W56" s="1562"/>
      <c r="X56" s="592"/>
      <c r="Y56" s="822"/>
      <c r="Z56" s="1521" t="s">
        <v>27</v>
      </c>
      <c r="AA56" s="1732"/>
      <c r="AB56" s="69"/>
      <c r="AC56" s="822"/>
      <c r="AD56" s="829"/>
      <c r="AE56" s="823"/>
      <c r="AF56" s="1734" t="s">
        <v>27</v>
      </c>
      <c r="AG56" s="1732"/>
      <c r="AH56" s="592"/>
      <c r="AI56" s="822"/>
      <c r="AJ56" s="592"/>
      <c r="AK56" s="822"/>
      <c r="AN56" s="592"/>
      <c r="AO56" s="822"/>
      <c r="AP56" s="821"/>
      <c r="AQ56" s="822"/>
      <c r="AR56" s="69"/>
      <c r="AS56" s="822"/>
      <c r="AT56" s="69"/>
      <c r="AU56" s="822"/>
      <c r="AV56" s="592"/>
      <c r="AW56" s="822"/>
      <c r="AX56" s="829"/>
      <c r="AY56" s="823"/>
      <c r="BA56" s="1638"/>
      <c r="BB56" s="1639"/>
      <c r="BJ56" s="2"/>
      <c r="BK56" s="2"/>
      <c r="BQ56" s="1113"/>
      <c r="BR56" s="1658"/>
    </row>
    <row r="57" spans="1:70" ht="35.25" customHeight="1" thickBot="1" x14ac:dyDescent="0.3">
      <c r="A57" s="1087" t="s">
        <v>188</v>
      </c>
      <c r="B57" s="1568"/>
      <c r="C57" s="1589"/>
      <c r="D57" s="1589"/>
      <c r="E57" s="1589"/>
      <c r="F57" s="1589"/>
      <c r="G57" s="1589"/>
      <c r="H57" s="1589"/>
      <c r="I57" s="1589"/>
      <c r="J57" s="1589"/>
      <c r="K57" s="1915"/>
      <c r="L57" s="601"/>
      <c r="M57" s="601"/>
      <c r="N57" s="601"/>
      <c r="O57" s="601"/>
      <c r="P57" s="601"/>
      <c r="Q57" s="601"/>
      <c r="R57" s="79"/>
      <c r="S57" s="79"/>
      <c r="T57" s="246"/>
      <c r="U57" s="855"/>
      <c r="V57" s="1529"/>
      <c r="W57" s="1562"/>
      <c r="X57" s="601"/>
      <c r="Y57" s="601"/>
      <c r="Z57" s="1521"/>
      <c r="AA57" s="1732"/>
      <c r="AB57" s="79"/>
      <c r="AC57" s="79"/>
      <c r="AD57" s="79"/>
      <c r="AE57" s="414"/>
      <c r="AF57" s="1734"/>
      <c r="AG57" s="1732"/>
      <c r="AH57" s="601"/>
      <c r="AI57" s="601"/>
      <c r="AJ57" s="601"/>
      <c r="AK57" s="601"/>
      <c r="AN57" s="79"/>
      <c r="AO57" s="414"/>
      <c r="AP57" s="601"/>
      <c r="AQ57" s="601"/>
      <c r="AR57" s="601"/>
      <c r="AS57" s="601"/>
      <c r="AT57" s="601"/>
      <c r="AU57" s="601"/>
      <c r="AV57" s="79"/>
      <c r="AW57" s="79"/>
      <c r="AX57" s="79"/>
      <c r="AY57" s="414"/>
      <c r="BJ57" s="2"/>
      <c r="BK57" s="2"/>
      <c r="BQ57" s="1113"/>
      <c r="BR57" s="1670"/>
    </row>
    <row r="58" spans="1:70" ht="40.5" customHeight="1" thickBot="1" x14ac:dyDescent="0.3">
      <c r="A58" s="1087"/>
      <c r="B58" s="1569"/>
      <c r="C58" s="1590"/>
      <c r="D58" s="1590"/>
      <c r="E58" s="1590"/>
      <c r="F58" s="1590"/>
      <c r="G58" s="1590"/>
      <c r="H58" s="1590"/>
      <c r="I58" s="1590"/>
      <c r="J58" s="1590"/>
      <c r="K58" s="1916"/>
      <c r="L58" s="853"/>
      <c r="M58" s="601"/>
      <c r="N58" s="601"/>
      <c r="O58" s="601"/>
      <c r="P58" s="601"/>
      <c r="Q58" s="601"/>
      <c r="R58" s="80"/>
      <c r="S58" s="79"/>
      <c r="T58" s="856"/>
      <c r="U58" s="855"/>
      <c r="V58" s="1529"/>
      <c r="W58" s="1563"/>
      <c r="X58" s="676"/>
      <c r="Y58" s="861"/>
      <c r="Z58" s="1586"/>
      <c r="AA58" s="1733"/>
      <c r="AB58" s="862"/>
      <c r="AC58" s="79"/>
      <c r="AD58" s="80"/>
      <c r="AE58" s="414"/>
      <c r="AF58" s="1735"/>
      <c r="AG58" s="1733"/>
      <c r="AH58" s="601"/>
      <c r="AI58" s="601"/>
      <c r="AJ58" s="601"/>
      <c r="AK58" s="601"/>
      <c r="AN58" s="79"/>
      <c r="AO58" s="414"/>
      <c r="AP58" s="853"/>
      <c r="AQ58" s="601"/>
      <c r="AR58" s="601"/>
      <c r="AS58" s="601"/>
      <c r="AT58" s="601"/>
      <c r="AU58" s="676"/>
      <c r="AV58" s="79"/>
      <c r="AW58" s="80"/>
      <c r="AX58" s="80"/>
      <c r="AY58" s="414"/>
      <c r="BJ58" s="2"/>
      <c r="BK58" s="2"/>
    </row>
    <row r="59" spans="1:70" s="2" customFormat="1" ht="24" customHeight="1" x14ac:dyDescent="0.25">
      <c r="A59" s="275"/>
      <c r="B59" s="594"/>
      <c r="C59" s="779"/>
      <c r="D59" s="592"/>
      <c r="E59" s="747"/>
      <c r="F59" s="781"/>
      <c r="G59" s="782"/>
      <c r="H59" s="760"/>
      <c r="I59" s="750"/>
      <c r="J59" s="760"/>
      <c r="K59" s="750"/>
      <c r="L59" s="755"/>
      <c r="M59" s="682"/>
      <c r="N59" s="859"/>
      <c r="O59" s="857"/>
      <c r="P59" s="682"/>
      <c r="Q59" s="682"/>
      <c r="R59" s="756"/>
      <c r="S59" s="858"/>
      <c r="T59" s="756"/>
      <c r="U59" s="858"/>
      <c r="V59" s="860"/>
      <c r="W59" s="783"/>
      <c r="X59" s="783"/>
      <c r="Y59" s="783"/>
      <c r="Z59" s="783"/>
      <c r="AA59" s="783"/>
      <c r="AB59" s="784"/>
      <c r="AC59" s="863"/>
      <c r="AD59" s="784"/>
      <c r="AE59" s="863"/>
      <c r="AF59" s="781"/>
      <c r="AG59" s="782"/>
      <c r="AH59" s="83"/>
      <c r="AI59" s="83"/>
      <c r="AJ59" s="83"/>
      <c r="AK59" s="83"/>
      <c r="AL59" s="83"/>
      <c r="AM59" s="83"/>
      <c r="AN59" s="83"/>
      <c r="AO59" s="83"/>
      <c r="AP59" s="780"/>
      <c r="AQ59" s="850"/>
      <c r="AR59" s="850"/>
      <c r="AS59" s="850"/>
      <c r="AT59" s="850"/>
      <c r="AU59" s="780"/>
      <c r="AV59" s="849"/>
      <c r="AW59" s="370"/>
      <c r="AX59" s="370"/>
      <c r="AY59" s="849"/>
    </row>
    <row r="60" spans="1:70" ht="14.4" thickBot="1" x14ac:dyDescent="0.3">
      <c r="A60" s="104" t="s">
        <v>217</v>
      </c>
    </row>
    <row r="61" spans="1:70" ht="14.4" thickBot="1" x14ac:dyDescent="0.3">
      <c r="A61" s="104"/>
      <c r="AQ61" s="1758" t="s">
        <v>1051</v>
      </c>
      <c r="AR61" s="1546"/>
      <c r="AS61" s="1546"/>
      <c r="AT61" s="1546"/>
      <c r="AU61" s="1708"/>
      <c r="AV61" s="1058"/>
      <c r="AW61" s="1058"/>
      <c r="AX61" s="1058"/>
    </row>
    <row r="62" spans="1:70" s="104" customFormat="1" ht="18.75" customHeight="1" x14ac:dyDescent="0.25">
      <c r="A62" s="1727" t="s">
        <v>218</v>
      </c>
      <c r="B62" s="1728"/>
      <c r="C62" s="1727" t="s">
        <v>219</v>
      </c>
      <c r="D62" s="1752"/>
      <c r="E62" s="1752"/>
      <c r="F62" s="1752"/>
      <c r="G62" s="1752"/>
      <c r="H62" s="1752"/>
      <c r="I62" s="1752"/>
      <c r="J62" s="1752"/>
      <c r="K62" s="1752"/>
      <c r="L62" s="1752"/>
      <c r="M62" s="1752"/>
      <c r="N62" s="1752"/>
      <c r="O62" s="1752"/>
      <c r="P62" s="186"/>
      <c r="Q62" s="186"/>
      <c r="R62" s="1727" t="s">
        <v>303</v>
      </c>
      <c r="S62" s="1728"/>
      <c r="T62" s="1727" t="s">
        <v>143</v>
      </c>
      <c r="U62" s="1728"/>
      <c r="V62" s="1753" t="s">
        <v>167</v>
      </c>
      <c r="W62" s="1754"/>
      <c r="X62" s="1754"/>
      <c r="Y62" s="1754"/>
      <c r="Z62" s="1754"/>
      <c r="AA62" s="1754"/>
      <c r="AB62" s="1754"/>
      <c r="AC62" s="1754"/>
      <c r="AD62" s="1754"/>
      <c r="AE62" s="1754"/>
      <c r="AF62" s="1754"/>
      <c r="AG62" s="1754"/>
      <c r="AH62" s="1754"/>
      <c r="AI62" s="1754"/>
      <c r="AJ62" s="1754"/>
      <c r="AK62" s="1754"/>
      <c r="AL62" s="1754"/>
      <c r="AM62" s="1754"/>
      <c r="AN62" s="1754"/>
      <c r="AO62" s="1755"/>
      <c r="AQ62" s="1067"/>
      <c r="AR62" s="944"/>
      <c r="AS62" s="944"/>
      <c r="AT62" s="944"/>
      <c r="AU62" s="1708"/>
      <c r="AV62" s="1058"/>
      <c r="AW62" s="1058"/>
      <c r="AX62" s="1058"/>
      <c r="AY62"/>
    </row>
    <row r="63" spans="1:70" s="104" customFormat="1" ht="13.8" x14ac:dyDescent="0.25">
      <c r="A63" s="1065" t="str">
        <f>VLOOKUP(R63,ASIGNATURAS!$F$1:$L$1022, 3, FALSE)</f>
        <v>AMP. CALCULO</v>
      </c>
      <c r="B63" s="1245"/>
      <c r="C63" s="992" t="str">
        <f>VLOOKUP(R63,ASIGNATURAS!$F$1:$L$1022, 4, FALSE)</f>
        <v>Ampliación de Cálculo y Geometría</v>
      </c>
      <c r="D63" s="993"/>
      <c r="E63" s="993"/>
      <c r="F63" s="993"/>
      <c r="G63" s="993"/>
      <c r="H63" s="993"/>
      <c r="I63" s="993"/>
      <c r="J63" s="993"/>
      <c r="K63" s="993"/>
      <c r="L63" s="993"/>
      <c r="M63" s="993"/>
      <c r="N63" s="993"/>
      <c r="O63" s="993"/>
      <c r="P63" s="185"/>
      <c r="Q63" s="185"/>
      <c r="R63" s="994">
        <v>6307</v>
      </c>
      <c r="S63" s="981"/>
      <c r="T63" s="994">
        <f>VLOOKUP(R63,ASIGNATURAS!$F$1:$L$1022, 5, FALSE)</f>
        <v>6</v>
      </c>
      <c r="U63" s="981"/>
      <c r="V63" s="1693" t="str">
        <f>VLOOKUP(R63,ASIGNATURAS!$F$1:$L$1022, 6, FALSE)</f>
        <v>Iván Gutiérrez</v>
      </c>
      <c r="W63" s="1694"/>
      <c r="X63" s="1694"/>
      <c r="Y63" s="1694"/>
      <c r="Z63" s="1694"/>
      <c r="AA63" s="1694"/>
      <c r="AB63" s="1694"/>
      <c r="AC63" s="1694"/>
      <c r="AD63" s="1694"/>
      <c r="AE63" s="1694"/>
      <c r="AF63" s="1694"/>
      <c r="AG63" s="1694"/>
      <c r="AH63" s="1694"/>
      <c r="AI63" s="1694"/>
      <c r="AJ63" s="1694"/>
      <c r="AK63" s="1694"/>
      <c r="AL63" s="1694"/>
      <c r="AM63" s="1694"/>
      <c r="AN63" s="1694"/>
      <c r="AO63" s="1695"/>
      <c r="AQ63" s="1760" t="s">
        <v>1047</v>
      </c>
      <c r="AR63" s="1761"/>
      <c r="AS63" s="1761"/>
      <c r="AT63" s="1761"/>
      <c r="AU63" s="1683"/>
      <c r="AV63" s="1684"/>
      <c r="AW63" s="1684"/>
      <c r="AX63" s="1684"/>
      <c r="AY63"/>
    </row>
    <row r="64" spans="1:70" s="104" customFormat="1" ht="13.8" x14ac:dyDescent="0.25">
      <c r="A64" s="1065" t="str">
        <f>VLOOKUP(R64,ASIGNATURAS!$F$1:$L$1022, 3, FALSE)</f>
        <v>INFORMATICA</v>
      </c>
      <c r="B64" s="1245"/>
      <c r="C64" s="992" t="str">
        <f>VLOOKUP(R64,ASIGNATURAS!$F$1:$L$1022, 4, FALSE)</f>
        <v>Informática Básica</v>
      </c>
      <c r="D64" s="993"/>
      <c r="E64" s="993"/>
      <c r="F64" s="993"/>
      <c r="G64" s="993"/>
      <c r="H64" s="993"/>
      <c r="I64" s="993"/>
      <c r="J64" s="993"/>
      <c r="K64" s="993"/>
      <c r="L64" s="993"/>
      <c r="M64" s="993"/>
      <c r="N64" s="993"/>
      <c r="O64" s="993"/>
      <c r="P64" s="185"/>
      <c r="Q64" s="185"/>
      <c r="R64" s="994">
        <v>6308</v>
      </c>
      <c r="S64" s="981"/>
      <c r="T64" s="994">
        <f>VLOOKUP(R64,ASIGNATURAS!$F$1:$L$1022, 5, FALSE)</f>
        <v>6</v>
      </c>
      <c r="U64" s="981"/>
      <c r="V64" s="1693" t="str">
        <f>VLOOKUP(R64,ASIGNATURAS!$F$1:$L$1022, 6, FALSE)</f>
        <v>Beatriz Gil, Belen Vaquerizo</v>
      </c>
      <c r="W64" s="1694"/>
      <c r="X64" s="1694"/>
      <c r="Y64" s="1694"/>
      <c r="Z64" s="1694"/>
      <c r="AA64" s="1694"/>
      <c r="AB64" s="1694"/>
      <c r="AC64" s="1694"/>
      <c r="AD64" s="1694"/>
      <c r="AE64" s="1694"/>
      <c r="AF64" s="1694"/>
      <c r="AG64" s="1694"/>
      <c r="AH64" s="1694"/>
      <c r="AI64" s="1694"/>
      <c r="AJ64" s="1694"/>
      <c r="AK64" s="1694"/>
      <c r="AL64" s="1694"/>
      <c r="AM64" s="1694"/>
      <c r="AN64" s="1694"/>
      <c r="AO64" s="1695"/>
      <c r="AQ64" s="1687" t="s">
        <v>579</v>
      </c>
      <c r="AR64" s="1688"/>
      <c r="AS64" s="1688"/>
      <c r="AT64" s="1723"/>
      <c r="AU64" s="1644"/>
      <c r="AV64" s="1644"/>
      <c r="AW64" s="1644"/>
      <c r="AX64" s="1644"/>
      <c r="AY64"/>
    </row>
    <row r="65" spans="1:109" s="104" customFormat="1" ht="13.8" x14ac:dyDescent="0.25">
      <c r="A65" s="1065" t="str">
        <f>VLOOKUP(R65,ASIGNATURAS!$F$1:$L$1022, 3, FALSE)</f>
        <v>FISICA II</v>
      </c>
      <c r="B65" s="1245"/>
      <c r="C65" s="992" t="str">
        <f>VLOOKUP(R65,ASIGNATURAS!$F$1:$L$1022, 4, FALSE)</f>
        <v>Física II</v>
      </c>
      <c r="D65" s="993"/>
      <c r="E65" s="993"/>
      <c r="F65" s="993"/>
      <c r="G65" s="993"/>
      <c r="H65" s="993"/>
      <c r="I65" s="993"/>
      <c r="J65" s="993"/>
      <c r="K65" s="993"/>
      <c r="L65" s="993"/>
      <c r="M65" s="993"/>
      <c r="N65" s="993"/>
      <c r="O65" s="993"/>
      <c r="P65" s="185"/>
      <c r="Q65" s="185"/>
      <c r="R65" s="994">
        <v>6309</v>
      </c>
      <c r="S65" s="981"/>
      <c r="T65" s="994">
        <f>VLOOKUP(R65,ASIGNATURAS!$F$1:$L$1022, 5, FALSE)</f>
        <v>6</v>
      </c>
      <c r="U65" s="981"/>
      <c r="V65" s="1693" t="str">
        <f>VLOOKUP(R65,ASIGNATURAS!$F$1:$L$1022, 6, FALSE)</f>
        <v>Mª Isabel Blanco, Mª Felicidad Bógalo, Manuel Iván González</v>
      </c>
      <c r="W65" s="1694"/>
      <c r="X65" s="1694"/>
      <c r="Y65" s="1694"/>
      <c r="Z65" s="1694"/>
      <c r="AA65" s="1694"/>
      <c r="AB65" s="1694"/>
      <c r="AC65" s="1694"/>
      <c r="AD65" s="1694"/>
      <c r="AE65" s="1694"/>
      <c r="AF65" s="1694"/>
      <c r="AG65" s="1694"/>
      <c r="AH65" s="1694"/>
      <c r="AI65" s="1694"/>
      <c r="AJ65" s="1694"/>
      <c r="AK65" s="1694"/>
      <c r="AL65" s="1694"/>
      <c r="AM65" s="1694"/>
      <c r="AN65" s="1694"/>
      <c r="AO65" s="1695"/>
      <c r="AQ65" s="1687" t="s">
        <v>580</v>
      </c>
      <c r="AR65" s="1688"/>
      <c r="AS65" s="1688"/>
      <c r="AT65" s="1688"/>
      <c r="AU65" s="1759"/>
      <c r="AV65" s="1644"/>
      <c r="AW65" s="1644"/>
      <c r="AX65" s="1644"/>
      <c r="AY65"/>
    </row>
    <row r="66" spans="1:109" s="104" customFormat="1" ht="15" customHeight="1" x14ac:dyDescent="0.25">
      <c r="A66" s="1065" t="str">
        <f>VLOOKUP(R66,ASIGNATURAS!$F$1:$L$1022, 3, FALSE)</f>
        <v>MATERIALES</v>
      </c>
      <c r="B66" s="1245"/>
      <c r="C66" s="992" t="str">
        <f>VLOOKUP(R66,ASIGNATURAS!$F$1:$L$1022, 4, FALSE)</f>
        <v>Ciencia de Materiales: Est. y propiedades</v>
      </c>
      <c r="D66" s="993"/>
      <c r="E66" s="993"/>
      <c r="F66" s="993"/>
      <c r="G66" s="993"/>
      <c r="H66" s="993"/>
      <c r="I66" s="993"/>
      <c r="J66" s="993"/>
      <c r="K66" s="993"/>
      <c r="L66" s="993"/>
      <c r="M66" s="993"/>
      <c r="N66" s="993"/>
      <c r="O66" s="993"/>
      <c r="P66" s="185"/>
      <c r="Q66" s="185"/>
      <c r="R66" s="994">
        <v>6310</v>
      </c>
      <c r="S66" s="981"/>
      <c r="T66" s="994">
        <f>VLOOKUP(R66,ASIGNATURAS!$F$1:$L$1022, 5, FALSE)</f>
        <v>6</v>
      </c>
      <c r="U66" s="981"/>
      <c r="V66" s="1693" t="str">
        <f>VLOOKUP(R66,ASIGNATURAS!$F$1:$L$1022, 6, FALSE)</f>
        <v>José Calaf Chica, David Cárdenas</v>
      </c>
      <c r="W66" s="1694"/>
      <c r="X66" s="1694"/>
      <c r="Y66" s="1694"/>
      <c r="Z66" s="1694"/>
      <c r="AA66" s="1694"/>
      <c r="AB66" s="1694"/>
      <c r="AC66" s="1694"/>
      <c r="AD66" s="1694"/>
      <c r="AE66" s="1694"/>
      <c r="AF66" s="1694"/>
      <c r="AG66" s="1694"/>
      <c r="AH66" s="1694"/>
      <c r="AI66" s="1694"/>
      <c r="AJ66" s="1694"/>
      <c r="AK66" s="1694"/>
      <c r="AL66" s="1694"/>
      <c r="AM66" s="1694"/>
      <c r="AN66" s="1694"/>
      <c r="AO66" s="1695"/>
      <c r="AP66" s="868"/>
      <c r="AQ66" s="1719" t="s">
        <v>581</v>
      </c>
      <c r="AR66" s="1474"/>
      <c r="AS66" s="1474"/>
      <c r="AT66" s="1720"/>
      <c r="AU66" s="1759"/>
      <c r="AV66" s="1644"/>
      <c r="AW66" s="1644"/>
      <c r="AX66" s="1644"/>
      <c r="AY66"/>
    </row>
    <row r="67" spans="1:109" s="104" customFormat="1" ht="14.25" customHeight="1" thickBot="1" x14ac:dyDescent="0.3">
      <c r="A67" s="1097" t="str">
        <f>VLOOKUP(R67,ASIGNATURAS!$F$1:$L$1022, 3, FALSE)</f>
        <v>ECONOMIA</v>
      </c>
      <c r="B67" s="1280"/>
      <c r="C67" s="1788" t="str">
        <f>VLOOKUP(R67,ASIGNATURAS!$F$1:$L$1022, 4, FALSE)</f>
        <v>Economía de la Empresa</v>
      </c>
      <c r="D67" s="1789"/>
      <c r="E67" s="1789"/>
      <c r="F67" s="1789"/>
      <c r="G67" s="1789"/>
      <c r="H67" s="1789"/>
      <c r="I67" s="1789"/>
      <c r="J67" s="1789"/>
      <c r="K67" s="1789"/>
      <c r="L67" s="1789"/>
      <c r="M67" s="1789"/>
      <c r="N67" s="1789"/>
      <c r="O67" s="1789"/>
      <c r="P67" s="184"/>
      <c r="Q67" s="184"/>
      <c r="R67" s="1612">
        <v>6311</v>
      </c>
      <c r="S67" s="1099"/>
      <c r="T67" s="1612">
        <f>VLOOKUP(R67,ASIGNATURAS!$F$1:$L$1022, 5, FALSE)</f>
        <v>6</v>
      </c>
      <c r="U67" s="1099"/>
      <c r="V67" s="1762" t="str">
        <f>VLOOKUP(R67,ASIGNATURAS!$F$1:$L$1022, 6, FALSE)</f>
        <v>Juan Mª Espinosa, Rosario González</v>
      </c>
      <c r="W67" s="1763"/>
      <c r="X67" s="1763"/>
      <c r="Y67" s="1763"/>
      <c r="Z67" s="1763"/>
      <c r="AA67" s="1763"/>
      <c r="AB67" s="1763"/>
      <c r="AC67" s="1763"/>
      <c r="AD67" s="1763"/>
      <c r="AE67" s="1763"/>
      <c r="AF67" s="1763"/>
      <c r="AG67" s="1763"/>
      <c r="AH67" s="1763"/>
      <c r="AI67" s="1763"/>
      <c r="AJ67" s="1763"/>
      <c r="AK67" s="1763"/>
      <c r="AL67" s="1763"/>
      <c r="AM67" s="1763"/>
      <c r="AN67" s="1763"/>
      <c r="AO67" s="1764"/>
      <c r="AQ67" s="1473" t="s">
        <v>582</v>
      </c>
      <c r="AR67" s="1474"/>
      <c r="AS67" s="1474"/>
      <c r="AT67" s="1475"/>
      <c r="AU67" s="1644"/>
      <c r="AV67" s="1644"/>
      <c r="AW67" s="1644"/>
      <c r="AX67" s="1644"/>
      <c r="AY67"/>
    </row>
    <row r="68" spans="1:109" ht="29.25" customHeight="1" thickBot="1" x14ac:dyDescent="0.3"/>
    <row r="69" spans="1:109" s="1" customFormat="1" ht="31.5" customHeight="1" thickBot="1" x14ac:dyDescent="0.45">
      <c r="A69" s="1094" t="str">
        <f>VLOOKUP(A72,ASIGNATURAS!$A$2:$D$151, 3, FALSE)</f>
        <v>2º Grado en Ingeniería Mecánica</v>
      </c>
      <c r="B69" s="1095"/>
      <c r="C69" s="1095"/>
      <c r="D69" s="1095"/>
      <c r="E69" s="1095"/>
      <c r="F69" s="1095"/>
      <c r="G69" s="1095"/>
      <c r="H69" s="1095"/>
      <c r="I69" s="1095"/>
      <c r="J69" s="1095"/>
      <c r="K69" s="1095"/>
      <c r="L69" s="1095"/>
      <c r="M69" s="1095"/>
      <c r="N69" s="1095"/>
      <c r="O69" s="1095"/>
      <c r="P69" s="1095"/>
      <c r="Q69" s="1095"/>
      <c r="R69" s="1095"/>
      <c r="S69" s="1095"/>
      <c r="T69" s="1095"/>
      <c r="U69" s="1095"/>
      <c r="V69" s="1095"/>
      <c r="W69" s="1095"/>
      <c r="X69" s="1095"/>
      <c r="Y69" s="1095"/>
      <c r="Z69" s="1095"/>
      <c r="AA69" s="1095"/>
      <c r="AB69" s="1095"/>
      <c r="AC69" s="1095"/>
      <c r="AD69" s="1095"/>
      <c r="AE69" s="1095"/>
      <c r="AF69" s="1095"/>
      <c r="AG69" s="1095"/>
      <c r="AH69" s="1095"/>
      <c r="AI69" s="1095"/>
      <c r="AJ69" s="1095"/>
      <c r="AK69" s="1095"/>
      <c r="AL69" s="1095"/>
      <c r="AM69" s="1095"/>
      <c r="AN69" s="1095"/>
      <c r="AO69" s="1096"/>
      <c r="AP69" s="1076" t="str">
        <f>Aulas!G5</f>
        <v>Curso 2024-2025</v>
      </c>
      <c r="AQ69" s="1077"/>
      <c r="AR69" s="1077"/>
      <c r="AS69" s="1077"/>
      <c r="AT69" s="1077"/>
      <c r="AU69" s="1077"/>
      <c r="AV69" s="1077"/>
      <c r="AW69" s="1077"/>
      <c r="AX69" s="1077"/>
      <c r="AY69" s="1078"/>
    </row>
    <row r="70" spans="1:109" s="8" customFormat="1" ht="23.25" customHeight="1" thickBot="1" x14ac:dyDescent="0.45">
      <c r="A70" s="1083" t="str">
        <f>VLOOKUP(A72,ASIGNATURAS!$A$2:$D$151, 2, FALSE)</f>
        <v>Semestre temporal: 1º        (3º Semestre Académico)</v>
      </c>
      <c r="B70" s="1084"/>
      <c r="C70" s="1084"/>
      <c r="D70" s="1084"/>
      <c r="E70" s="1084"/>
      <c r="F70" s="1084"/>
      <c r="G70" s="1084"/>
      <c r="H70" s="1084"/>
      <c r="I70" s="1084"/>
      <c r="J70" s="1084"/>
      <c r="K70" s="1084"/>
      <c r="L70" s="1084"/>
      <c r="M70" s="1084"/>
      <c r="N70" s="1084"/>
      <c r="O70" s="1084"/>
      <c r="P70" s="1084"/>
      <c r="Q70" s="1084"/>
      <c r="R70" s="1084"/>
      <c r="S70" s="1084"/>
      <c r="T70" s="1084"/>
      <c r="U70" s="1084"/>
      <c r="V70" s="1084"/>
      <c r="W70" s="1084"/>
      <c r="X70" s="1084"/>
      <c r="Y70" s="1084"/>
      <c r="Z70" s="1084"/>
      <c r="AA70" s="1084"/>
      <c r="AB70" s="1084"/>
      <c r="AC70" s="1084"/>
      <c r="AD70" s="1084"/>
      <c r="AE70" s="1084"/>
      <c r="AF70" s="1084"/>
      <c r="AG70" s="1084"/>
      <c r="AH70" s="1084"/>
      <c r="AI70" s="1084"/>
      <c r="AJ70" s="1084"/>
      <c r="AK70" s="1084"/>
      <c r="AL70" s="1084"/>
      <c r="AM70" s="1084"/>
      <c r="AN70" s="1084"/>
      <c r="AO70" s="1085"/>
      <c r="AP70" s="1072" t="s">
        <v>151</v>
      </c>
      <c r="AQ70" s="1072"/>
      <c r="AR70" s="1072"/>
      <c r="AS70" s="1072"/>
      <c r="AT70" s="1072"/>
      <c r="AU70" s="1072"/>
      <c r="AV70" s="1072"/>
      <c r="AW70" s="1072"/>
      <c r="AX70" s="1072"/>
      <c r="AY70" s="1073"/>
    </row>
    <row r="71" spans="1:109" s="8" customFormat="1" ht="23.25" customHeight="1" thickBot="1" x14ac:dyDescent="0.45">
      <c r="A71" s="1083" t="s">
        <v>181</v>
      </c>
      <c r="B71" s="1084"/>
      <c r="C71" s="1084"/>
      <c r="D71" s="1084"/>
      <c r="E71" s="1084"/>
      <c r="F71" s="1084"/>
      <c r="G71" s="1084"/>
      <c r="H71" s="1084"/>
      <c r="I71" s="1084"/>
      <c r="J71" s="1084"/>
      <c r="K71" s="1084"/>
      <c r="L71" s="1084"/>
      <c r="M71" s="1084"/>
      <c r="N71" s="1084"/>
      <c r="O71" s="1084"/>
      <c r="P71" s="1084"/>
      <c r="Q71" s="1084"/>
      <c r="R71" s="1084"/>
      <c r="S71" s="1084"/>
      <c r="T71" s="1084"/>
      <c r="U71" s="1084"/>
      <c r="V71" s="1084"/>
      <c r="W71" s="1084"/>
      <c r="X71" s="1084"/>
      <c r="Y71" s="1084"/>
      <c r="Z71" s="1084"/>
      <c r="AA71" s="1084"/>
      <c r="AB71" s="1084"/>
      <c r="AC71" s="1084"/>
      <c r="AD71" s="1084"/>
      <c r="AE71" s="1084"/>
      <c r="AF71" s="1084"/>
      <c r="AG71" s="1084"/>
      <c r="AH71" s="1084"/>
      <c r="AI71" s="1084"/>
      <c r="AJ71" s="1084"/>
      <c r="AK71" s="1084"/>
      <c r="AL71" s="1084"/>
      <c r="AM71" s="1084"/>
      <c r="AN71" s="1084"/>
      <c r="AO71" s="1085"/>
      <c r="AP71" s="1074"/>
      <c r="AQ71" s="1074"/>
      <c r="AR71" s="1074"/>
      <c r="AS71" s="1074"/>
      <c r="AT71" s="1074"/>
      <c r="AU71" s="1074"/>
      <c r="AV71" s="1074"/>
      <c r="AW71" s="1074"/>
      <c r="AX71" s="1074"/>
      <c r="AY71" s="1075"/>
    </row>
    <row r="72" spans="1:109" ht="27.75" customHeight="1" thickBot="1" x14ac:dyDescent="0.3">
      <c r="A72" s="9" t="s">
        <v>16</v>
      </c>
    </row>
    <row r="73" spans="1:109" s="2" customFormat="1" ht="24.75" hidden="1" customHeight="1" thickBot="1" x14ac:dyDescent="0.3">
      <c r="A73" s="19" t="s">
        <v>1</v>
      </c>
      <c r="B73" s="1076" t="s">
        <v>2</v>
      </c>
      <c r="C73" s="1077"/>
      <c r="D73" s="1077"/>
      <c r="E73" s="1077"/>
      <c r="F73" s="1077"/>
      <c r="G73" s="1077"/>
      <c r="H73" s="1077"/>
      <c r="I73" s="1077"/>
      <c r="J73" s="1077"/>
      <c r="K73" s="1078"/>
      <c r="L73" s="1076" t="s">
        <v>3</v>
      </c>
      <c r="M73" s="1077"/>
      <c r="N73" s="1077"/>
      <c r="O73" s="1077"/>
      <c r="P73" s="1077"/>
      <c r="Q73" s="1077"/>
      <c r="R73" s="1077"/>
      <c r="S73" s="1077"/>
      <c r="T73" s="1077"/>
      <c r="U73" s="1078"/>
      <c r="V73" s="1076" t="s">
        <v>139</v>
      </c>
      <c r="W73" s="1077"/>
      <c r="X73" s="1077"/>
      <c r="Y73" s="1077"/>
      <c r="Z73" s="1077"/>
      <c r="AA73" s="1077"/>
      <c r="AB73" s="1077"/>
      <c r="AC73" s="1077"/>
      <c r="AD73" s="1077"/>
      <c r="AE73" s="1078"/>
      <c r="AF73" s="1076" t="s">
        <v>4</v>
      </c>
      <c r="AG73" s="1077"/>
      <c r="AH73" s="1077"/>
      <c r="AI73" s="1077"/>
      <c r="AJ73" s="1077"/>
      <c r="AK73" s="1077"/>
      <c r="AL73" s="1077"/>
      <c r="AM73" s="1077"/>
      <c r="AN73" s="1077"/>
      <c r="AO73" s="1078"/>
      <c r="AP73" s="1076" t="s">
        <v>5</v>
      </c>
      <c r="AQ73" s="1077"/>
      <c r="AR73" s="1077"/>
      <c r="AS73" s="1077"/>
      <c r="AT73" s="1077"/>
      <c r="AU73" s="1077"/>
      <c r="AV73" s="1077"/>
      <c r="AW73" s="1077"/>
      <c r="AX73" s="1077"/>
      <c r="AY73" s="1078"/>
    </row>
    <row r="74" spans="1:109" s="2" customFormat="1" ht="25.5" hidden="1" customHeight="1" x14ac:dyDescent="0.25">
      <c r="A74" s="1526" t="s">
        <v>8</v>
      </c>
      <c r="B74" s="1692"/>
      <c r="C74" s="1689"/>
      <c r="D74" s="1689"/>
      <c r="E74" s="1689"/>
      <c r="F74" s="1689"/>
      <c r="G74" s="1689"/>
      <c r="H74" s="1689"/>
      <c r="I74" s="1689"/>
      <c r="J74" s="1689"/>
      <c r="K74" s="1690"/>
      <c r="L74" s="1692"/>
      <c r="M74" s="1689"/>
      <c r="N74" s="1689"/>
      <c r="O74" s="1689"/>
      <c r="P74" s="1689"/>
      <c r="Q74" s="1689"/>
      <c r="R74" s="1689"/>
      <c r="S74" s="1689"/>
      <c r="T74" s="1689"/>
      <c r="U74" s="1690"/>
      <c r="V74" s="1692"/>
      <c r="W74" s="1689"/>
      <c r="X74" s="1689"/>
      <c r="Y74" s="1689"/>
      <c r="Z74" s="1689"/>
      <c r="AA74" s="1689"/>
      <c r="AB74" s="1689"/>
      <c r="AC74" s="1689"/>
      <c r="AD74" s="1689"/>
      <c r="AE74" s="1690"/>
      <c r="AF74" s="1692"/>
      <c r="AG74" s="1689"/>
      <c r="AH74" s="1689"/>
      <c r="AI74" s="1689"/>
      <c r="AJ74" s="1689"/>
      <c r="AK74" s="1689"/>
      <c r="AL74" s="1689"/>
      <c r="AM74" s="1689"/>
      <c r="AN74" s="1689"/>
      <c r="AO74" s="1690"/>
      <c r="AP74" s="1689"/>
      <c r="AQ74" s="1689"/>
      <c r="AR74" s="1689"/>
      <c r="AS74" s="1689"/>
      <c r="AT74" s="1689"/>
      <c r="AU74" s="1689"/>
      <c r="AV74" s="1689"/>
      <c r="AW74" s="1689"/>
      <c r="AX74" s="1689"/>
      <c r="AY74" s="1690"/>
    </row>
    <row r="75" spans="1:109" s="2" customFormat="1" ht="25.5" hidden="1" customHeight="1" thickBot="1" x14ac:dyDescent="0.3">
      <c r="A75" s="1143"/>
      <c r="B75" s="1696"/>
      <c r="C75" s="1697"/>
      <c r="D75" s="1697"/>
      <c r="E75" s="1697"/>
      <c r="F75" s="1697"/>
      <c r="G75" s="1697"/>
      <c r="H75" s="1697"/>
      <c r="I75" s="1697"/>
      <c r="J75" s="1697"/>
      <c r="K75" s="1698"/>
      <c r="L75" s="1696"/>
      <c r="M75" s="1697"/>
      <c r="N75" s="1697"/>
      <c r="O75" s="1697"/>
      <c r="P75" s="1697"/>
      <c r="Q75" s="1697"/>
      <c r="R75" s="1697"/>
      <c r="S75" s="1697"/>
      <c r="T75" s="1697"/>
      <c r="U75" s="1698"/>
      <c r="V75" s="1696"/>
      <c r="W75" s="1697"/>
      <c r="X75" s="1697"/>
      <c r="Y75" s="1697"/>
      <c r="Z75" s="1697"/>
      <c r="AA75" s="1697"/>
      <c r="AB75" s="1697"/>
      <c r="AC75" s="1697"/>
      <c r="AD75" s="1697"/>
      <c r="AE75" s="1698"/>
      <c r="AF75" s="1696"/>
      <c r="AG75" s="1697"/>
      <c r="AH75" s="1697"/>
      <c r="AI75" s="1697"/>
      <c r="AJ75" s="1697"/>
      <c r="AK75" s="1697"/>
      <c r="AL75" s="1697"/>
      <c r="AM75" s="1697"/>
      <c r="AN75" s="1697"/>
      <c r="AO75" s="1698"/>
      <c r="AP75" s="1697"/>
      <c r="AQ75" s="1697"/>
      <c r="AR75" s="1697"/>
      <c r="AS75" s="1697"/>
      <c r="AT75" s="1697"/>
      <c r="AU75" s="1697"/>
      <c r="AV75" s="1697"/>
      <c r="AW75" s="1697"/>
      <c r="AX75" s="1697"/>
      <c r="AY75" s="1698"/>
    </row>
    <row r="76" spans="1:109" s="2" customFormat="1" ht="25.5" hidden="1" customHeight="1" x14ac:dyDescent="0.25">
      <c r="A76" s="1143" t="s">
        <v>9</v>
      </c>
      <c r="B76" s="1692"/>
      <c r="C76" s="1689"/>
      <c r="D76" s="1689"/>
      <c r="E76" s="1689"/>
      <c r="F76" s="1689"/>
      <c r="G76" s="1689"/>
      <c r="H76" s="1689"/>
      <c r="I76" s="1689"/>
      <c r="J76" s="1689"/>
      <c r="K76" s="1690"/>
      <c r="L76" s="1692"/>
      <c r="M76" s="1689"/>
      <c r="N76" s="1689"/>
      <c r="O76" s="1689"/>
      <c r="P76" s="1689"/>
      <c r="Q76" s="1689"/>
      <c r="R76" s="1689"/>
      <c r="S76" s="1689"/>
      <c r="T76" s="1689"/>
      <c r="U76" s="1690"/>
      <c r="V76" s="1692"/>
      <c r="W76" s="1689"/>
      <c r="X76" s="1689"/>
      <c r="Y76" s="1689"/>
      <c r="Z76" s="1689"/>
      <c r="AA76" s="1689"/>
      <c r="AB76" s="1689"/>
      <c r="AC76" s="1689"/>
      <c r="AD76" s="1689"/>
      <c r="AE76" s="1690"/>
      <c r="AF76" s="1692"/>
      <c r="AG76" s="1689"/>
      <c r="AH76" s="1689"/>
      <c r="AI76" s="1689"/>
      <c r="AJ76" s="1689"/>
      <c r="AK76" s="1689"/>
      <c r="AL76" s="1689"/>
      <c r="AM76" s="1689"/>
      <c r="AN76" s="1689"/>
      <c r="AO76" s="1690"/>
      <c r="AP76" s="1689"/>
      <c r="AQ76" s="1689"/>
      <c r="AR76" s="1689"/>
      <c r="AS76" s="1689"/>
      <c r="AT76" s="1689"/>
      <c r="AU76" s="1689"/>
      <c r="AV76" s="1689"/>
      <c r="AW76" s="1689"/>
      <c r="AX76" s="1689"/>
      <c r="AY76" s="1690"/>
    </row>
    <row r="77" spans="1:109" s="2" customFormat="1" ht="25.5" hidden="1" customHeight="1" thickBot="1" x14ac:dyDescent="0.3">
      <c r="A77" s="1143"/>
      <c r="B77" s="1696"/>
      <c r="C77" s="1697"/>
      <c r="D77" s="1697"/>
      <c r="E77" s="1697"/>
      <c r="F77" s="1697"/>
      <c r="G77" s="1697"/>
      <c r="H77" s="1697"/>
      <c r="I77" s="1697"/>
      <c r="J77" s="1697"/>
      <c r="K77" s="1698"/>
      <c r="L77" s="1696"/>
      <c r="M77" s="1697"/>
      <c r="N77" s="1697"/>
      <c r="O77" s="1697"/>
      <c r="P77" s="1697"/>
      <c r="Q77" s="1697"/>
      <c r="R77" s="1697"/>
      <c r="S77" s="1697"/>
      <c r="T77" s="1697"/>
      <c r="U77" s="1698"/>
      <c r="V77" s="1696"/>
      <c r="W77" s="1697"/>
      <c r="X77" s="1697"/>
      <c r="Y77" s="1697"/>
      <c r="Z77" s="1697"/>
      <c r="AA77" s="1697"/>
      <c r="AB77" s="1697"/>
      <c r="AC77" s="1697"/>
      <c r="AD77" s="1697"/>
      <c r="AE77" s="1698"/>
      <c r="AF77" s="1696"/>
      <c r="AG77" s="1697"/>
      <c r="AH77" s="1697"/>
      <c r="AI77" s="1697"/>
      <c r="AJ77" s="1697"/>
      <c r="AK77" s="1697"/>
      <c r="AL77" s="1697"/>
      <c r="AM77" s="1697"/>
      <c r="AN77" s="1697"/>
      <c r="AO77" s="1698"/>
      <c r="AP77" s="1697"/>
      <c r="AQ77" s="1697"/>
      <c r="AR77" s="1697"/>
      <c r="AS77" s="1697"/>
      <c r="AT77" s="1697"/>
      <c r="AU77" s="1697"/>
      <c r="AV77" s="1697"/>
      <c r="AW77" s="1697"/>
      <c r="AX77" s="1697"/>
      <c r="AY77" s="1698"/>
    </row>
    <row r="78" spans="1:109" s="2" customFormat="1" ht="24" customHeight="1" thickBot="1" x14ac:dyDescent="0.3">
      <c r="A78" s="19" t="s">
        <v>1</v>
      </c>
      <c r="B78" s="1076" t="s">
        <v>2</v>
      </c>
      <c r="C78" s="1077"/>
      <c r="D78" s="1077"/>
      <c r="E78" s="1077"/>
      <c r="F78" s="1077"/>
      <c r="G78" s="1077"/>
      <c r="H78" s="1077"/>
      <c r="I78" s="1077"/>
      <c r="J78" s="1077"/>
      <c r="K78" s="1078"/>
      <c r="L78" s="1076" t="s">
        <v>3</v>
      </c>
      <c r="M78" s="1077"/>
      <c r="N78" s="1077"/>
      <c r="O78" s="1077"/>
      <c r="P78" s="1077"/>
      <c r="Q78" s="1077"/>
      <c r="R78" s="1077"/>
      <c r="S78" s="1077"/>
      <c r="T78" s="1077"/>
      <c r="U78" s="1078"/>
      <c r="V78" s="1076" t="s">
        <v>139</v>
      </c>
      <c r="W78" s="1077"/>
      <c r="X78" s="1077"/>
      <c r="Y78" s="1077"/>
      <c r="Z78" s="1077"/>
      <c r="AA78" s="1077"/>
      <c r="AB78" s="1077"/>
      <c r="AC78" s="1077"/>
      <c r="AD78" s="1077"/>
      <c r="AE78" s="1078"/>
      <c r="AF78" s="1076" t="s">
        <v>4</v>
      </c>
      <c r="AG78" s="1077"/>
      <c r="AH78" s="1077"/>
      <c r="AI78" s="1077"/>
      <c r="AJ78" s="1077"/>
      <c r="AK78" s="1077"/>
      <c r="AL78" s="1077"/>
      <c r="AM78" s="1077"/>
      <c r="AN78" s="1077"/>
      <c r="AO78" s="1078"/>
      <c r="AP78" s="1076" t="s">
        <v>5</v>
      </c>
      <c r="AQ78" s="1077"/>
      <c r="AR78" s="1077"/>
      <c r="AS78" s="1077"/>
      <c r="AT78" s="1077"/>
      <c r="AU78" s="1077"/>
      <c r="AV78" s="1077"/>
      <c r="AW78" s="1077"/>
      <c r="AX78" s="1077"/>
      <c r="AY78" s="1078"/>
      <c r="BH78" s="1880"/>
      <c r="BI78" s="1880"/>
      <c r="BJ78" s="1880"/>
      <c r="BK78" s="1880"/>
      <c r="BL78" s="1880"/>
      <c r="BM78" s="1880"/>
      <c r="BN78" s="1880"/>
      <c r="BO78" s="1880"/>
      <c r="BP78" s="1880"/>
      <c r="BQ78" s="1880"/>
      <c r="BR78" s="1880"/>
      <c r="BS78" s="1880"/>
      <c r="BT78" s="1880"/>
      <c r="BU78" s="1880"/>
      <c r="BV78" s="1880"/>
      <c r="BW78" s="1880"/>
      <c r="BX78" s="1880"/>
      <c r="BY78" s="1880"/>
      <c r="BZ78" s="1880"/>
      <c r="CA78" s="1880"/>
      <c r="CB78" s="1880"/>
      <c r="CC78" s="1880"/>
      <c r="CD78" s="1880"/>
      <c r="CE78" s="1880"/>
      <c r="CF78" s="1880"/>
      <c r="CG78" s="1880"/>
      <c r="CH78" s="1880"/>
      <c r="CI78" s="1880"/>
      <c r="CJ78" s="1880"/>
      <c r="CK78" s="1880"/>
      <c r="CL78" s="1880"/>
      <c r="CM78" s="1880"/>
      <c r="CN78" s="1880"/>
      <c r="CO78" s="1880"/>
      <c r="CP78" s="1880"/>
      <c r="CQ78" s="1880"/>
      <c r="CR78" s="1880"/>
      <c r="CS78" s="1880"/>
      <c r="CT78" s="1880"/>
      <c r="CU78" s="1880"/>
      <c r="CV78" s="1880"/>
      <c r="CW78" s="1880"/>
      <c r="CX78" s="1880"/>
      <c r="CY78" s="1880"/>
      <c r="CZ78" s="1880"/>
      <c r="DA78" s="1880"/>
      <c r="DB78" s="1880"/>
      <c r="DC78" s="1880"/>
      <c r="DD78" s="1880"/>
      <c r="DE78" s="1880"/>
    </row>
    <row r="79" spans="1:109" s="2" customFormat="1" ht="83.25" customHeight="1" thickBot="1" x14ac:dyDescent="0.3">
      <c r="A79" s="966" t="s">
        <v>1131</v>
      </c>
      <c r="B79" s="1706" t="s">
        <v>1359</v>
      </c>
      <c r="C79" s="1707"/>
      <c r="D79" s="1707"/>
      <c r="E79" s="1707"/>
      <c r="F79" s="1707"/>
      <c r="G79" s="1707"/>
      <c r="H79" s="1685" t="s">
        <v>151</v>
      </c>
      <c r="I79" s="1685"/>
      <c r="J79" s="1685"/>
      <c r="K79" s="1686"/>
      <c r="L79" s="1706" t="s">
        <v>1359</v>
      </c>
      <c r="M79" s="1707"/>
      <c r="N79" s="1707"/>
      <c r="O79" s="1707"/>
      <c r="P79" s="1707"/>
      <c r="Q79" s="1707"/>
      <c r="R79" s="1685" t="s">
        <v>151</v>
      </c>
      <c r="S79" s="1685"/>
      <c r="T79" s="1685"/>
      <c r="U79" s="1686"/>
      <c r="V79" s="1724" t="s">
        <v>99</v>
      </c>
      <c r="W79" s="1725"/>
      <c r="X79" s="1725"/>
      <c r="Y79" s="1725"/>
      <c r="Z79" s="1725"/>
      <c r="AA79" s="1725"/>
      <c r="AB79" s="1685" t="s">
        <v>151</v>
      </c>
      <c r="AC79" s="1685"/>
      <c r="AD79" s="1685"/>
      <c r="AE79" s="1686"/>
      <c r="AF79" s="1706" t="s">
        <v>28</v>
      </c>
      <c r="AG79" s="1707"/>
      <c r="AH79" s="1707"/>
      <c r="AI79" s="1707"/>
      <c r="AJ79" s="1707"/>
      <c r="AK79" s="1707"/>
      <c r="AL79" s="1685" t="s">
        <v>151</v>
      </c>
      <c r="AM79" s="1685"/>
      <c r="AN79" s="1685"/>
      <c r="AO79" s="1686"/>
      <c r="AP79" s="1706" t="s">
        <v>29</v>
      </c>
      <c r="AQ79" s="1707"/>
      <c r="AR79" s="1707"/>
      <c r="AS79" s="1707"/>
      <c r="AT79" s="1707"/>
      <c r="AU79" s="1707"/>
      <c r="AV79" s="1685" t="s">
        <v>151</v>
      </c>
      <c r="AW79" s="1685"/>
      <c r="AX79" s="1685"/>
      <c r="AY79" s="1686"/>
      <c r="BH79" s="486"/>
      <c r="BI79" s="1151"/>
      <c r="BJ79" s="486"/>
      <c r="BK79" s="1151"/>
      <c r="BL79" s="477"/>
      <c r="BM79" s="1172"/>
      <c r="BN79" s="578"/>
      <c r="BO79" s="1882"/>
      <c r="BP79" s="578"/>
      <c r="BQ79" s="1882"/>
      <c r="BR79" s="486"/>
      <c r="BS79" s="1151"/>
      <c r="BT79" s="486"/>
      <c r="BU79" s="1151"/>
      <c r="BV79" s="477"/>
      <c r="BW79" s="1172"/>
      <c r="BX79" s="578"/>
      <c r="BY79" s="1882"/>
      <c r="BZ79" s="578"/>
      <c r="CA79" s="1882"/>
      <c r="CB79" s="486"/>
      <c r="CC79" s="1151"/>
      <c r="CD79" s="486"/>
      <c r="CE79" s="1151"/>
      <c r="CF79" s="477"/>
      <c r="CG79" s="1172"/>
      <c r="CH79" s="578"/>
      <c r="CI79" s="1882"/>
      <c r="CJ79" s="579"/>
      <c r="CK79" s="1883"/>
      <c r="CL79" s="486"/>
      <c r="CM79" s="1151"/>
      <c r="CN79" s="486"/>
      <c r="CO79" s="1151"/>
      <c r="CP79" s="486"/>
      <c r="CQ79" s="1151"/>
      <c r="CR79" s="578"/>
      <c r="CS79" s="1882"/>
      <c r="CT79" s="578"/>
      <c r="CU79" s="1882"/>
      <c r="CV79" s="486"/>
      <c r="CW79" s="1151"/>
      <c r="CX79" s="486"/>
      <c r="CY79" s="1151"/>
      <c r="CZ79" s="477"/>
      <c r="DA79" s="1172"/>
      <c r="DB79" s="579"/>
      <c r="DC79" s="1883"/>
      <c r="DD79" s="578"/>
      <c r="DE79" s="1882"/>
    </row>
    <row r="80" spans="1:109" s="2" customFormat="1" ht="42" hidden="1" customHeight="1" thickBot="1" x14ac:dyDescent="0.3">
      <c r="A80" s="935"/>
      <c r="B80" s="1721" t="s">
        <v>252</v>
      </c>
      <c r="C80" s="1722"/>
      <c r="D80" s="1722"/>
      <c r="E80" s="1722"/>
      <c r="F80" s="1722"/>
      <c r="G80" s="1722"/>
      <c r="H80" s="1709" t="s">
        <v>151</v>
      </c>
      <c r="I80" s="1709"/>
      <c r="J80" s="1710"/>
      <c r="K80" s="130">
        <v>2</v>
      </c>
      <c r="L80" s="1721" t="s">
        <v>251</v>
      </c>
      <c r="M80" s="1722"/>
      <c r="N80" s="1722"/>
      <c r="O80" s="1722"/>
      <c r="P80" s="1722"/>
      <c r="Q80" s="1722"/>
      <c r="R80" s="1709" t="s">
        <v>151</v>
      </c>
      <c r="S80" s="1709"/>
      <c r="T80" s="1710"/>
      <c r="U80" s="130">
        <v>2</v>
      </c>
      <c r="V80" s="1721" t="s">
        <v>255</v>
      </c>
      <c r="W80" s="1722"/>
      <c r="X80" s="1722"/>
      <c r="Y80" s="1722"/>
      <c r="Z80" s="1722"/>
      <c r="AA80" s="1722"/>
      <c r="AB80" s="1709" t="s">
        <v>151</v>
      </c>
      <c r="AC80" s="1709"/>
      <c r="AD80" s="1710"/>
      <c r="AE80" s="130">
        <v>2</v>
      </c>
      <c r="AF80" s="1721" t="s">
        <v>254</v>
      </c>
      <c r="AG80" s="1722"/>
      <c r="AH80" s="1722"/>
      <c r="AI80" s="1722"/>
      <c r="AJ80" s="1722"/>
      <c r="AK80" s="1722"/>
      <c r="AL80" s="1709" t="s">
        <v>151</v>
      </c>
      <c r="AM80" s="1709"/>
      <c r="AN80" s="1710"/>
      <c r="AO80" s="130">
        <v>2</v>
      </c>
      <c r="AP80" s="1721" t="s">
        <v>253</v>
      </c>
      <c r="AQ80" s="1722"/>
      <c r="AR80" s="1722"/>
      <c r="AS80" s="1722"/>
      <c r="AT80" s="1722"/>
      <c r="AU80" s="1722"/>
      <c r="AV80" s="1709" t="s">
        <v>151</v>
      </c>
      <c r="AW80" s="1709"/>
      <c r="AX80" s="1710"/>
      <c r="AY80" s="130">
        <v>2</v>
      </c>
      <c r="BH80" s="1463"/>
      <c r="BI80" s="1151"/>
      <c r="BJ80" s="1463"/>
      <c r="BK80" s="1151"/>
      <c r="BL80" s="1589"/>
      <c r="BM80" s="1172"/>
      <c r="BN80" s="1611"/>
      <c r="BO80" s="1882"/>
      <c r="BP80" s="1611"/>
      <c r="BQ80" s="1882"/>
      <c r="BR80" s="1463"/>
      <c r="BS80" s="1151"/>
      <c r="BT80" s="1463"/>
      <c r="BU80" s="1151"/>
      <c r="BV80" s="1589"/>
      <c r="BW80" s="1172"/>
      <c r="BX80" s="1611"/>
      <c r="BY80" s="1882"/>
      <c r="BZ80" s="1611"/>
      <c r="CA80" s="1882"/>
      <c r="CB80" s="1463"/>
      <c r="CC80" s="1151"/>
      <c r="CD80" s="1463"/>
      <c r="CE80" s="1151"/>
      <c r="CF80" s="1589"/>
      <c r="CG80" s="1172"/>
      <c r="CH80" s="1611"/>
      <c r="CI80" s="1882"/>
      <c r="CJ80" s="1884"/>
      <c r="CK80" s="1883"/>
      <c r="CL80" s="1463"/>
      <c r="CM80" s="1151"/>
      <c r="CN80" s="1463"/>
      <c r="CO80" s="1151"/>
      <c r="CP80" s="1463"/>
      <c r="CQ80" s="1151"/>
      <c r="CR80" s="1611"/>
      <c r="CS80" s="1882"/>
      <c r="CT80" s="1611"/>
      <c r="CU80" s="1882"/>
      <c r="CV80" s="1463"/>
      <c r="CW80" s="1151"/>
      <c r="CX80" s="1463"/>
      <c r="CY80" s="1151"/>
      <c r="CZ80" s="1589"/>
      <c r="DA80" s="1172"/>
      <c r="DB80" s="1884"/>
      <c r="DC80" s="1883"/>
      <c r="DD80" s="1611"/>
      <c r="DE80" s="1882"/>
    </row>
    <row r="81" spans="1:109" s="2" customFormat="1" ht="84.75" customHeight="1" thickBot="1" x14ac:dyDescent="0.3">
      <c r="A81" s="934" t="s">
        <v>187</v>
      </c>
      <c r="B81" s="1724" t="s">
        <v>99</v>
      </c>
      <c r="C81" s="1725"/>
      <c r="D81" s="1725"/>
      <c r="E81" s="1725"/>
      <c r="F81" s="1725"/>
      <c r="G81" s="1725"/>
      <c r="H81" s="1685" t="s">
        <v>151</v>
      </c>
      <c r="I81" s="1685"/>
      <c r="J81" s="1685"/>
      <c r="K81" s="1686"/>
      <c r="L81" s="1724" t="s">
        <v>28</v>
      </c>
      <c r="M81" s="1725"/>
      <c r="N81" s="1725"/>
      <c r="O81" s="1725"/>
      <c r="P81" s="1725"/>
      <c r="Q81" s="1725"/>
      <c r="R81" s="1685" t="s">
        <v>151</v>
      </c>
      <c r="S81" s="1685"/>
      <c r="T81" s="1685"/>
      <c r="U81" s="1686"/>
      <c r="V81" s="1724" t="s">
        <v>640</v>
      </c>
      <c r="W81" s="1725"/>
      <c r="X81" s="1725"/>
      <c r="Y81" s="1725"/>
      <c r="Z81" s="1725"/>
      <c r="AA81" s="1725"/>
      <c r="AB81" s="1685" t="s">
        <v>151</v>
      </c>
      <c r="AC81" s="1685"/>
      <c r="AD81" s="1685"/>
      <c r="AE81" s="1686"/>
      <c r="AF81" s="1724" t="s">
        <v>29</v>
      </c>
      <c r="AG81" s="1725"/>
      <c r="AH81" s="1725"/>
      <c r="AI81" s="1725"/>
      <c r="AJ81" s="1725"/>
      <c r="AK81" s="1725"/>
      <c r="AL81" s="1685" t="s">
        <v>151</v>
      </c>
      <c r="AM81" s="1685"/>
      <c r="AN81" s="1685"/>
      <c r="AO81" s="1686"/>
      <c r="AP81" s="1724" t="s">
        <v>640</v>
      </c>
      <c r="AQ81" s="1725"/>
      <c r="AR81" s="1725"/>
      <c r="AS81" s="1725"/>
      <c r="AT81" s="1725"/>
      <c r="AU81" s="1725"/>
      <c r="AV81" s="1685" t="s">
        <v>151</v>
      </c>
      <c r="AW81" s="1685"/>
      <c r="AX81" s="1685"/>
      <c r="AY81" s="1686"/>
      <c r="BH81" s="1463"/>
      <c r="BI81" s="1151"/>
      <c r="BJ81" s="1463"/>
      <c r="BK81" s="1151"/>
      <c r="BL81" s="1589"/>
      <c r="BM81" s="1172"/>
      <c r="BN81" s="1611"/>
      <c r="BO81" s="1882"/>
      <c r="BP81" s="1611"/>
      <c r="BQ81" s="1882"/>
      <c r="BR81" s="1463"/>
      <c r="BS81" s="1151"/>
      <c r="BT81" s="1463"/>
      <c r="BU81" s="1151"/>
      <c r="BV81" s="1589"/>
      <c r="BW81" s="1172"/>
      <c r="BX81" s="1611"/>
      <c r="BY81" s="1882"/>
      <c r="BZ81" s="1611"/>
      <c r="CA81" s="1882"/>
      <c r="CB81" s="1463"/>
      <c r="CC81" s="1151"/>
      <c r="CD81" s="1463"/>
      <c r="CE81" s="1151"/>
      <c r="CF81" s="1589"/>
      <c r="CG81" s="1172"/>
      <c r="CH81" s="1611"/>
      <c r="CI81" s="1882"/>
      <c r="CJ81" s="1884"/>
      <c r="CK81" s="1883"/>
      <c r="CL81" s="1463"/>
      <c r="CM81" s="1151"/>
      <c r="CN81" s="1463"/>
      <c r="CO81" s="1151"/>
      <c r="CP81" s="1463"/>
      <c r="CQ81" s="1151"/>
      <c r="CR81" s="1611"/>
      <c r="CS81" s="1882"/>
      <c r="CT81" s="1611"/>
      <c r="CU81" s="1882"/>
      <c r="CV81" s="1463"/>
      <c r="CW81" s="1151"/>
      <c r="CX81" s="1463"/>
      <c r="CY81" s="1151"/>
      <c r="CZ81" s="1589"/>
      <c r="DA81" s="1172"/>
      <c r="DB81" s="1884"/>
      <c r="DC81" s="1883"/>
      <c r="DD81" s="1611"/>
      <c r="DE81" s="1882"/>
    </row>
    <row r="82" spans="1:109" s="2" customFormat="1" ht="42" hidden="1" customHeight="1" thickBot="1" x14ac:dyDescent="0.3">
      <c r="A82" s="935"/>
      <c r="B82" s="1623" t="s">
        <v>255</v>
      </c>
      <c r="C82" s="1624"/>
      <c r="D82" s="1624"/>
      <c r="E82" s="1624"/>
      <c r="F82" s="1624"/>
      <c r="G82" s="1624"/>
      <c r="H82" s="1621" t="s">
        <v>151</v>
      </c>
      <c r="I82" s="1621"/>
      <c r="J82" s="1622"/>
      <c r="K82" s="195">
        <v>2</v>
      </c>
      <c r="L82" s="1623" t="s">
        <v>253</v>
      </c>
      <c r="M82" s="1624"/>
      <c r="N82" s="1624"/>
      <c r="O82" s="1624"/>
      <c r="P82" s="1624"/>
      <c r="Q82" s="1624"/>
      <c r="R82" s="1621" t="s">
        <v>151</v>
      </c>
      <c r="S82" s="1621"/>
      <c r="T82" s="1622"/>
      <c r="U82" s="195">
        <v>2</v>
      </c>
      <c r="V82" s="1623" t="s">
        <v>252</v>
      </c>
      <c r="W82" s="1624"/>
      <c r="X82" s="1624"/>
      <c r="Y82" s="1624"/>
      <c r="Z82" s="1624"/>
      <c r="AA82" s="1624"/>
      <c r="AB82" s="1621" t="s">
        <v>151</v>
      </c>
      <c r="AC82" s="1621"/>
      <c r="AD82" s="1919"/>
      <c r="AE82" s="195">
        <v>2</v>
      </c>
      <c r="AF82" s="1623" t="s">
        <v>251</v>
      </c>
      <c r="AG82" s="1624"/>
      <c r="AH82" s="1624"/>
      <c r="AI82" s="1624"/>
      <c r="AJ82" s="1624"/>
      <c r="AK82" s="1624"/>
      <c r="AL82" s="1621" t="s">
        <v>151</v>
      </c>
      <c r="AM82" s="1621"/>
      <c r="AN82" s="1622"/>
      <c r="AO82" s="195">
        <v>2</v>
      </c>
      <c r="AP82" s="1623" t="s">
        <v>254</v>
      </c>
      <c r="AQ82" s="1624"/>
      <c r="AR82" s="1624"/>
      <c r="AS82" s="1624"/>
      <c r="AT82" s="1624"/>
      <c r="AU82" s="1624"/>
      <c r="AV82" s="1621" t="s">
        <v>151</v>
      </c>
      <c r="AW82" s="1621"/>
      <c r="AX82" s="1622"/>
      <c r="AY82" s="195">
        <v>2</v>
      </c>
      <c r="BH82" s="1463"/>
      <c r="BI82" s="1151"/>
      <c r="BJ82" s="1463"/>
      <c r="BK82" s="1151"/>
      <c r="BL82" s="1589"/>
      <c r="BM82" s="1172"/>
      <c r="BN82" s="1611"/>
      <c r="BO82" s="1882"/>
      <c r="BP82" s="1611"/>
      <c r="BQ82" s="1882"/>
      <c r="BR82" s="1463"/>
      <c r="BS82" s="1151"/>
      <c r="BT82" s="1463"/>
      <c r="BU82" s="1151"/>
      <c r="BV82" s="1589"/>
      <c r="BW82" s="1172"/>
      <c r="BX82" s="1611"/>
      <c r="BY82" s="1882"/>
      <c r="BZ82" s="1611"/>
      <c r="CA82" s="1882"/>
      <c r="CB82" s="1463"/>
      <c r="CC82" s="1151"/>
      <c r="CD82" s="1463"/>
      <c r="CE82" s="1151"/>
      <c r="CF82" s="1589"/>
      <c r="CG82" s="1172"/>
      <c r="CH82" s="1611"/>
      <c r="CI82" s="1882"/>
      <c r="CJ82" s="1884"/>
      <c r="CK82" s="1883"/>
      <c r="CL82" s="1463"/>
      <c r="CM82" s="1151"/>
      <c r="CN82" s="1463"/>
      <c r="CO82" s="1151"/>
      <c r="CP82" s="1463"/>
      <c r="CQ82" s="1151"/>
      <c r="CR82" s="1611"/>
      <c r="CS82" s="1882"/>
      <c r="CT82" s="1611"/>
      <c r="CU82" s="1882"/>
      <c r="CV82" s="1463"/>
      <c r="CW82" s="1151"/>
      <c r="CX82" s="1463"/>
      <c r="CY82" s="1151"/>
      <c r="CZ82" s="1589"/>
      <c r="DA82" s="1172"/>
      <c r="DB82" s="1884"/>
      <c r="DC82" s="1883"/>
      <c r="DD82" s="1611"/>
      <c r="DE82" s="1882"/>
    </row>
    <row r="83" spans="1:109" s="2" customFormat="1" ht="48" customHeight="1" x14ac:dyDescent="0.25">
      <c r="A83" s="1143" t="s">
        <v>186</v>
      </c>
      <c r="B83" s="228" t="s">
        <v>579</v>
      </c>
      <c r="C83" s="1559" t="s">
        <v>162</v>
      </c>
      <c r="D83" s="228" t="s">
        <v>580</v>
      </c>
      <c r="E83" s="1559" t="s">
        <v>1330</v>
      </c>
      <c r="F83" s="423" t="s">
        <v>581</v>
      </c>
      <c r="G83" s="1559" t="s">
        <v>1102</v>
      </c>
      <c r="H83" s="204"/>
      <c r="I83" s="1625"/>
      <c r="J83" s="235"/>
      <c r="K83" s="1618"/>
      <c r="L83" s="423" t="s">
        <v>579</v>
      </c>
      <c r="M83" s="1559" t="s">
        <v>1102</v>
      </c>
      <c r="N83" s="423" t="s">
        <v>580</v>
      </c>
      <c r="O83" s="1559" t="s">
        <v>162</v>
      </c>
      <c r="P83" s="423" t="s">
        <v>581</v>
      </c>
      <c r="Q83" s="1560" t="s">
        <v>577</v>
      </c>
      <c r="R83" s="235"/>
      <c r="S83" s="1625"/>
      <c r="T83" s="204"/>
      <c r="U83" s="1618"/>
      <c r="V83" s="228" t="s">
        <v>579</v>
      </c>
      <c r="W83" s="1559" t="s">
        <v>1330</v>
      </c>
      <c r="X83" s="228" t="s">
        <v>580</v>
      </c>
      <c r="Y83" s="1560" t="s">
        <v>155</v>
      </c>
      <c r="Z83" s="423" t="s">
        <v>581</v>
      </c>
      <c r="AA83" s="1560" t="s">
        <v>160</v>
      </c>
      <c r="AB83" s="235"/>
      <c r="AC83" s="1625"/>
      <c r="AD83" s="235"/>
      <c r="AE83" s="1618"/>
      <c r="AF83" s="228" t="s">
        <v>579</v>
      </c>
      <c r="AG83" s="1560" t="s">
        <v>577</v>
      </c>
      <c r="AH83" s="228" t="s">
        <v>580</v>
      </c>
      <c r="AI83" s="1559" t="s">
        <v>684</v>
      </c>
      <c r="AJ83" s="423" t="s">
        <v>581</v>
      </c>
      <c r="AK83" s="1559" t="s">
        <v>1330</v>
      </c>
      <c r="AL83" s="235"/>
      <c r="AM83" s="1625"/>
      <c r="AN83" s="235"/>
      <c r="AO83" s="1618"/>
      <c r="AP83" s="423" t="s">
        <v>579</v>
      </c>
      <c r="AQ83" s="1560" t="s">
        <v>155</v>
      </c>
      <c r="AR83" s="228" t="s">
        <v>580</v>
      </c>
      <c r="AS83" s="1560" t="s">
        <v>577</v>
      </c>
      <c r="AT83" s="204"/>
      <c r="AU83" s="1625"/>
      <c r="AV83" s="132"/>
      <c r="AW83" s="1596"/>
      <c r="AX83" s="204"/>
      <c r="AY83" s="1906"/>
      <c r="BH83" s="1881"/>
      <c r="BI83" s="1881"/>
      <c r="BJ83" s="1881"/>
      <c r="BK83" s="1881"/>
      <c r="BL83" s="1881"/>
      <c r="BM83" s="1881"/>
      <c r="BN83" s="1174"/>
      <c r="BO83" s="1174"/>
      <c r="BP83" s="1174"/>
      <c r="BQ83" s="580"/>
      <c r="BR83" s="1881"/>
      <c r="BS83" s="1881"/>
      <c r="BT83" s="1881"/>
      <c r="BU83" s="1881"/>
      <c r="BV83" s="1881"/>
      <c r="BW83" s="1881"/>
      <c r="BX83" s="1593"/>
      <c r="BY83" s="1593"/>
      <c r="BZ83" s="1593"/>
      <c r="CA83" s="580"/>
      <c r="CB83" s="1881"/>
      <c r="CC83" s="1881"/>
      <c r="CD83" s="1881"/>
      <c r="CE83" s="1881"/>
      <c r="CF83" s="1881"/>
      <c r="CG83" s="1881"/>
      <c r="CH83" s="1174"/>
      <c r="CI83" s="1174"/>
      <c r="CJ83" s="1174"/>
      <c r="CK83" s="580"/>
      <c r="CL83" s="1881"/>
      <c r="CM83" s="1881"/>
      <c r="CN83" s="1881"/>
      <c r="CO83" s="1881"/>
      <c r="CP83" s="1881"/>
      <c r="CQ83" s="1881"/>
      <c r="CR83" s="1174"/>
      <c r="CS83" s="1174"/>
      <c r="CT83" s="1174"/>
      <c r="CU83" s="580"/>
      <c r="CV83" s="1592"/>
      <c r="CW83" s="1592"/>
      <c r="CX83" s="1592"/>
      <c r="CY83" s="1592"/>
      <c r="CZ83" s="1592"/>
      <c r="DA83" s="1592"/>
      <c r="DB83" s="1174"/>
      <c r="DC83" s="1174"/>
      <c r="DD83" s="1174"/>
      <c r="DE83" s="580"/>
    </row>
    <row r="84" spans="1:109" s="2" customFormat="1" ht="48" customHeight="1" x14ac:dyDescent="0.25">
      <c r="A84" s="1143"/>
      <c r="B84" s="1463" t="s">
        <v>1359</v>
      </c>
      <c r="C84" s="1560"/>
      <c r="D84" s="1463" t="s">
        <v>99</v>
      </c>
      <c r="E84" s="1560"/>
      <c r="F84" s="1463" t="s">
        <v>28</v>
      </c>
      <c r="G84" s="1560"/>
      <c r="H84" s="1589"/>
      <c r="I84" s="1594"/>
      <c r="J84" s="1492"/>
      <c r="K84" s="1619"/>
      <c r="L84" s="1463" t="s">
        <v>28</v>
      </c>
      <c r="M84" s="1560"/>
      <c r="N84" s="1463" t="s">
        <v>1359</v>
      </c>
      <c r="O84" s="1560"/>
      <c r="P84" s="1463" t="s">
        <v>29</v>
      </c>
      <c r="Q84" s="1560"/>
      <c r="R84" s="1492"/>
      <c r="S84" s="1594"/>
      <c r="T84" s="1113"/>
      <c r="U84" s="1619"/>
      <c r="V84" s="1463" t="s">
        <v>99</v>
      </c>
      <c r="W84" s="1560"/>
      <c r="X84" s="1463" t="s">
        <v>640</v>
      </c>
      <c r="Y84" s="1560"/>
      <c r="Z84" s="1463" t="s">
        <v>254</v>
      </c>
      <c r="AA84" s="1560"/>
      <c r="AB84" s="1492"/>
      <c r="AC84" s="1594"/>
      <c r="AD84" s="1492"/>
      <c r="AE84" s="1619"/>
      <c r="AF84" s="1463" t="s">
        <v>29</v>
      </c>
      <c r="AG84" s="1560"/>
      <c r="AH84" s="1463" t="s">
        <v>28</v>
      </c>
      <c r="AI84" s="1560"/>
      <c r="AJ84" s="1463" t="s">
        <v>99</v>
      </c>
      <c r="AK84" s="1560"/>
      <c r="AL84" s="1113"/>
      <c r="AM84" s="1594"/>
      <c r="AN84" s="1113"/>
      <c r="AO84" s="1619"/>
      <c r="AP84" s="1463" t="s">
        <v>640</v>
      </c>
      <c r="AQ84" s="1560"/>
      <c r="AR84" s="1463" t="s">
        <v>29</v>
      </c>
      <c r="AS84" s="1560"/>
      <c r="AT84" s="1589"/>
      <c r="AU84" s="1594"/>
      <c r="AV84" s="1465"/>
      <c r="AW84" s="1597"/>
      <c r="AX84" s="1113"/>
      <c r="AY84" s="1907"/>
      <c r="BH84" s="1624"/>
      <c r="BI84" s="1624"/>
      <c r="BJ84" s="1624"/>
      <c r="BK84" s="1624"/>
      <c r="BL84" s="1624"/>
      <c r="BM84" s="1624"/>
      <c r="BN84" s="1593"/>
      <c r="BO84" s="1593"/>
      <c r="BP84" s="1593"/>
      <c r="BQ84" s="581"/>
      <c r="BR84" s="1881"/>
      <c r="BS84" s="1881"/>
      <c r="BT84" s="1881"/>
      <c r="BU84" s="1881"/>
      <c r="BV84" s="1881"/>
      <c r="BW84" s="1881"/>
      <c r="BX84" s="1593"/>
      <c r="BY84" s="1593"/>
      <c r="BZ84" s="1593"/>
      <c r="CA84" s="581"/>
      <c r="CB84" s="1624"/>
      <c r="CC84" s="1624"/>
      <c r="CD84" s="1624"/>
      <c r="CE84" s="1624"/>
      <c r="CF84" s="1624"/>
      <c r="CG84" s="1624"/>
      <c r="CH84" s="1593"/>
      <c r="CI84" s="1593"/>
      <c r="CJ84" s="1593"/>
      <c r="CK84" s="581"/>
      <c r="CL84" s="1624"/>
      <c r="CM84" s="1624"/>
      <c r="CN84" s="1624"/>
      <c r="CO84" s="1624"/>
      <c r="CP84" s="1624"/>
      <c r="CQ84" s="1624"/>
      <c r="CR84" s="1593"/>
      <c r="CS84" s="1593"/>
      <c r="CT84" s="1593"/>
      <c r="CU84" s="581"/>
      <c r="CV84" s="1592"/>
      <c r="CW84" s="1592"/>
      <c r="CX84" s="1592"/>
      <c r="CY84" s="1592"/>
      <c r="CZ84" s="1592"/>
      <c r="DA84" s="1592"/>
      <c r="DB84" s="1174"/>
      <c r="DC84" s="1174"/>
      <c r="DD84" s="1174"/>
      <c r="DE84" s="581"/>
    </row>
    <row r="85" spans="1:109" s="2" customFormat="1" ht="48" customHeight="1" x14ac:dyDescent="0.25">
      <c r="A85" s="935" t="s">
        <v>188</v>
      </c>
      <c r="B85" s="1463"/>
      <c r="C85" s="1560"/>
      <c r="D85" s="1463"/>
      <c r="E85" s="1560"/>
      <c r="F85" s="1463"/>
      <c r="G85" s="1560"/>
      <c r="H85" s="1589"/>
      <c r="I85" s="1594"/>
      <c r="J85" s="1492"/>
      <c r="K85" s="1619"/>
      <c r="L85" s="1463"/>
      <c r="M85" s="1560"/>
      <c r="N85" s="1463"/>
      <c r="O85" s="1560"/>
      <c r="P85" s="1463"/>
      <c r="Q85" s="1560"/>
      <c r="R85" s="1492"/>
      <c r="S85" s="1594"/>
      <c r="T85" s="1113"/>
      <c r="U85" s="1619"/>
      <c r="V85" s="1463"/>
      <c r="W85" s="1560"/>
      <c r="X85" s="1463"/>
      <c r="Y85" s="1560"/>
      <c r="Z85" s="1463"/>
      <c r="AA85" s="1560"/>
      <c r="AB85" s="1492"/>
      <c r="AC85" s="1594"/>
      <c r="AD85" s="1492"/>
      <c r="AE85" s="1619"/>
      <c r="AF85" s="1463"/>
      <c r="AG85" s="1560"/>
      <c r="AH85" s="1463"/>
      <c r="AI85" s="1560"/>
      <c r="AJ85" s="1463"/>
      <c r="AK85" s="1560"/>
      <c r="AL85" s="1113"/>
      <c r="AM85" s="1594"/>
      <c r="AN85" s="1113"/>
      <c r="AO85" s="1619"/>
      <c r="AP85" s="1463"/>
      <c r="AQ85" s="1560"/>
      <c r="AR85" s="1463"/>
      <c r="AS85" s="1560"/>
      <c r="AT85" s="1589"/>
      <c r="AU85" s="1594"/>
      <c r="AV85" s="1465"/>
      <c r="AW85" s="1597"/>
      <c r="AX85" s="1113"/>
      <c r="AY85" s="1907"/>
      <c r="BF85" s="605"/>
      <c r="BH85" s="1881"/>
      <c r="BI85" s="1881"/>
      <c r="BJ85" s="1881"/>
      <c r="BK85" s="1881"/>
      <c r="BL85" s="1881"/>
      <c r="BM85" s="1881"/>
      <c r="BN85" s="1174"/>
      <c r="BO85" s="1174"/>
      <c r="BP85" s="1174"/>
      <c r="BQ85" s="580"/>
      <c r="BR85" s="1881"/>
      <c r="BS85" s="1881"/>
      <c r="BT85" s="1881"/>
      <c r="BU85" s="1881"/>
      <c r="BV85" s="1881"/>
      <c r="BW85" s="1881"/>
      <c r="BX85" s="1174"/>
      <c r="BY85" s="1174"/>
      <c r="BZ85" s="1174"/>
      <c r="CA85" s="580"/>
      <c r="CB85" s="1881"/>
      <c r="CC85" s="1881"/>
      <c r="CD85" s="1881"/>
      <c r="CE85" s="1881"/>
      <c r="CF85" s="1881"/>
      <c r="CG85" s="1881"/>
      <c r="CH85" s="1174"/>
      <c r="CI85" s="1174"/>
      <c r="CJ85" s="1174"/>
      <c r="CK85" s="580"/>
      <c r="CL85" s="1881"/>
      <c r="CM85" s="1881"/>
      <c r="CN85" s="1881"/>
      <c r="CO85" s="1881"/>
      <c r="CP85" s="1881"/>
      <c r="CQ85" s="1881"/>
      <c r="CR85" s="1174"/>
      <c r="CS85" s="1174"/>
      <c r="CT85" s="1174"/>
      <c r="CU85" s="580"/>
      <c r="CV85" s="1592"/>
      <c r="CW85" s="1592"/>
      <c r="CX85" s="1592"/>
      <c r="CY85" s="1592"/>
      <c r="CZ85" s="1592"/>
      <c r="DA85" s="1592"/>
      <c r="DB85" s="1174"/>
      <c r="DC85" s="1174"/>
      <c r="DD85" s="1174"/>
      <c r="DE85" s="580"/>
    </row>
    <row r="86" spans="1:109" s="2" customFormat="1" ht="48" customHeight="1" thickBot="1" x14ac:dyDescent="0.3">
      <c r="A86" s="1143"/>
      <c r="B86" s="1464"/>
      <c r="C86" s="1561"/>
      <c r="D86" s="1464"/>
      <c r="E86" s="1561"/>
      <c r="F86" s="1464"/>
      <c r="G86" s="1561"/>
      <c r="H86" s="1590"/>
      <c r="I86" s="1595"/>
      <c r="J86" s="1493"/>
      <c r="K86" s="1620"/>
      <c r="L86" s="1464"/>
      <c r="M86" s="1561"/>
      <c r="N86" s="1464"/>
      <c r="O86" s="1561"/>
      <c r="P86" s="1464"/>
      <c r="Q86" s="1561"/>
      <c r="R86" s="1493"/>
      <c r="S86" s="1595"/>
      <c r="T86" s="1131"/>
      <c r="U86" s="1619"/>
      <c r="V86" s="1464"/>
      <c r="W86" s="1561"/>
      <c r="X86" s="1464"/>
      <c r="Y86" s="1561"/>
      <c r="Z86" s="1464"/>
      <c r="AA86" s="1561"/>
      <c r="AB86" s="1493"/>
      <c r="AC86" s="1595"/>
      <c r="AD86" s="1493"/>
      <c r="AE86" s="1620"/>
      <c r="AF86" s="1464"/>
      <c r="AG86" s="1561"/>
      <c r="AH86" s="1464"/>
      <c r="AI86" s="1561"/>
      <c r="AJ86" s="1464"/>
      <c r="AK86" s="1561"/>
      <c r="AL86" s="1131"/>
      <c r="AM86" s="1595"/>
      <c r="AN86" s="1131"/>
      <c r="AO86" s="1620"/>
      <c r="AP86" s="1464"/>
      <c r="AQ86" s="1561"/>
      <c r="AR86" s="1464"/>
      <c r="AS86" s="1561"/>
      <c r="AT86" s="1590"/>
      <c r="AU86" s="1595"/>
      <c r="AV86" s="1465"/>
      <c r="AW86" s="1597"/>
      <c r="AX86" s="1131"/>
      <c r="AY86" s="1907"/>
      <c r="BH86" s="1624"/>
      <c r="BI86" s="1624"/>
      <c r="BJ86" s="1624"/>
      <c r="BK86" s="1624"/>
      <c r="BL86" s="1624"/>
      <c r="BM86" s="1624"/>
      <c r="BN86" s="1593"/>
      <c r="BO86" s="1593"/>
      <c r="BP86" s="1593"/>
      <c r="BQ86" s="581"/>
      <c r="BR86" s="1624"/>
      <c r="BS86" s="1624"/>
      <c r="BT86" s="1624"/>
      <c r="BU86" s="1624"/>
      <c r="BV86" s="1624"/>
      <c r="BW86" s="1624"/>
      <c r="BX86" s="1593"/>
      <c r="BY86" s="1593"/>
      <c r="BZ86" s="1593"/>
      <c r="CA86" s="581"/>
      <c r="CB86" s="1624"/>
      <c r="CC86" s="1624"/>
      <c r="CD86" s="1624"/>
      <c r="CE86" s="1624"/>
      <c r="CF86" s="1624"/>
      <c r="CG86" s="1624"/>
      <c r="CH86" s="1593"/>
      <c r="CI86" s="1593"/>
      <c r="CJ86" s="1593"/>
      <c r="CK86" s="581"/>
      <c r="CL86" s="1624"/>
      <c r="CM86" s="1624"/>
      <c r="CN86" s="1624"/>
      <c r="CO86" s="1624"/>
      <c r="CP86" s="1624"/>
      <c r="CQ86" s="1624"/>
      <c r="CR86" s="1593"/>
      <c r="CS86" s="1593"/>
      <c r="CT86" s="1593"/>
      <c r="CU86" s="581"/>
      <c r="CV86" s="1592"/>
      <c r="CW86" s="1592"/>
      <c r="CX86" s="1592"/>
      <c r="CY86" s="1592"/>
      <c r="CZ86" s="1592"/>
      <c r="DA86" s="1592"/>
      <c r="DB86" s="1174"/>
      <c r="DC86" s="1174"/>
      <c r="DD86" s="1174"/>
      <c r="DE86" s="581"/>
    </row>
    <row r="87" spans="1:109" s="2" customFormat="1" ht="48" customHeight="1" x14ac:dyDescent="0.25">
      <c r="A87" s="935" t="s">
        <v>189</v>
      </c>
      <c r="B87" s="192"/>
      <c r="C87" s="607"/>
      <c r="D87" s="656"/>
      <c r="E87" s="1613"/>
      <c r="F87" s="282"/>
      <c r="G87" s="282"/>
      <c r="H87" s="190"/>
      <c r="I87" s="1594"/>
      <c r="J87" s="173"/>
      <c r="K87" s="1619"/>
      <c r="L87" s="656"/>
      <c r="M87" s="1791"/>
      <c r="N87" s="282"/>
      <c r="O87" s="282"/>
      <c r="P87" s="190"/>
      <c r="Q87" s="1594"/>
      <c r="R87" s="190"/>
      <c r="S87" s="1594"/>
      <c r="T87" s="173"/>
      <c r="U87" s="1618"/>
      <c r="V87" s="282"/>
      <c r="W87" s="607"/>
      <c r="X87" s="423" t="s">
        <v>581</v>
      </c>
      <c r="Y87" s="1560" t="s">
        <v>155</v>
      </c>
      <c r="Z87" s="203"/>
      <c r="AA87" s="1903"/>
      <c r="AB87" s="235"/>
      <c r="AC87" s="1594"/>
      <c r="AD87" s="203"/>
      <c r="AE87" s="1906"/>
      <c r="AF87" s="656"/>
      <c r="AG87" s="1791"/>
      <c r="AH87" s="243"/>
      <c r="AI87" s="1609"/>
      <c r="AJ87" s="169"/>
      <c r="AK87" s="1609"/>
      <c r="AL87" s="169"/>
      <c r="AM87" s="1609"/>
      <c r="AN87" s="203"/>
      <c r="AO87" s="1906"/>
      <c r="AP87" s="271"/>
      <c r="AQ87" s="1903"/>
      <c r="AR87" s="243"/>
      <c r="AS87" s="1653"/>
      <c r="AT87" s="169"/>
      <c r="AU87" s="1653"/>
      <c r="AV87" s="243"/>
      <c r="AW87" s="1653"/>
      <c r="AX87" s="203"/>
      <c r="AY87" s="1906"/>
      <c r="BH87" s="1648"/>
      <c r="BI87" s="1648"/>
      <c r="BJ87" s="1648"/>
      <c r="BK87" s="1648"/>
      <c r="BL87" s="1648"/>
      <c r="BM87" s="1648"/>
      <c r="BN87" s="1648"/>
      <c r="BO87" s="1648"/>
      <c r="BP87" s="1648"/>
      <c r="BQ87" s="1648"/>
      <c r="BR87" s="1648"/>
      <c r="BS87" s="1648"/>
      <c r="BT87" s="1648"/>
      <c r="BU87" s="1648"/>
      <c r="BV87" s="1648"/>
      <c r="BW87" s="1648"/>
      <c r="BX87" s="1648"/>
      <c r="BY87" s="1648"/>
      <c r="BZ87" s="1648"/>
      <c r="CA87" s="1648"/>
      <c r="CB87" s="1648"/>
      <c r="CC87" s="1648"/>
      <c r="CD87" s="1648"/>
      <c r="CE87" s="1648"/>
      <c r="CF87" s="1648"/>
      <c r="CG87" s="1648"/>
      <c r="CH87" s="1648"/>
      <c r="CI87" s="1648"/>
      <c r="CJ87" s="1648"/>
      <c r="CK87" s="1648"/>
      <c r="CL87" s="1648"/>
      <c r="CM87" s="1648"/>
      <c r="CN87" s="1648"/>
      <c r="CO87" s="1648"/>
      <c r="CP87" s="1648"/>
      <c r="CQ87" s="1648"/>
      <c r="CR87" s="1648"/>
      <c r="CS87" s="1648"/>
      <c r="CT87" s="1648"/>
      <c r="CU87" s="1648"/>
      <c r="CV87" s="1592"/>
      <c r="CW87" s="1592"/>
      <c r="CX87" s="1592"/>
      <c r="CY87" s="1592"/>
      <c r="CZ87" s="1592"/>
      <c r="DA87" s="1592"/>
      <c r="DB87" s="1174"/>
      <c r="DC87" s="1174"/>
      <c r="DD87" s="1174"/>
      <c r="DE87" s="580"/>
    </row>
    <row r="88" spans="1:109" s="2" customFormat="1" ht="48" customHeight="1" x14ac:dyDescent="0.25">
      <c r="A88" s="1143"/>
      <c r="C88" s="282"/>
      <c r="D88" s="1901"/>
      <c r="E88" s="1613"/>
      <c r="F88" s="282"/>
      <c r="G88" s="282"/>
      <c r="H88" s="1113"/>
      <c r="I88" s="1594"/>
      <c r="J88" s="1126"/>
      <c r="K88" s="1619"/>
      <c r="L88" s="1910"/>
      <c r="M88" s="1613"/>
      <c r="N88" s="282"/>
      <c r="O88" s="282"/>
      <c r="P88" s="1113"/>
      <c r="Q88" s="1594"/>
      <c r="R88" s="1113"/>
      <c r="S88" s="1594"/>
      <c r="T88" s="1126"/>
      <c r="U88" s="1619"/>
      <c r="V88" s="282"/>
      <c r="W88" s="282"/>
      <c r="X88" s="1468" t="s">
        <v>640</v>
      </c>
      <c r="Y88" s="1560"/>
      <c r="Z88" s="1332"/>
      <c r="AA88" s="1904"/>
      <c r="AB88" s="1113"/>
      <c r="AC88" s="1594"/>
      <c r="AD88" s="1332"/>
      <c r="AE88" s="1907"/>
      <c r="AF88" s="1901"/>
      <c r="AG88" s="1613"/>
      <c r="AH88" s="1626"/>
      <c r="AI88" s="1609"/>
      <c r="AJ88" s="1626"/>
      <c r="AK88" s="1609"/>
      <c r="AL88" s="1626"/>
      <c r="AM88" s="1609"/>
      <c r="AN88" s="1332"/>
      <c r="AO88" s="1907"/>
      <c r="AP88" s="1298"/>
      <c r="AQ88" s="1904"/>
      <c r="AR88" s="1626"/>
      <c r="AS88" s="1609"/>
      <c r="AT88" s="1626"/>
      <c r="AU88" s="1609"/>
      <c r="AV88" s="1626"/>
      <c r="AW88" s="1609"/>
      <c r="AX88" s="1332"/>
      <c r="AY88" s="1907"/>
      <c r="AZ88" s="188"/>
      <c r="BH88" s="1615"/>
      <c r="BI88" s="1615"/>
      <c r="BJ88" s="1615"/>
      <c r="BK88" s="1615"/>
      <c r="BL88" s="1615"/>
      <c r="BM88" s="1615"/>
      <c r="BN88" s="1615"/>
      <c r="BO88" s="1615"/>
      <c r="BP88" s="1615"/>
      <c r="BQ88" s="1615"/>
      <c r="BR88" s="1615"/>
      <c r="BS88" s="1615"/>
      <c r="BT88" s="1615"/>
      <c r="BU88" s="1615"/>
      <c r="BV88" s="1615"/>
      <c r="BW88" s="1615"/>
      <c r="BX88" s="1615"/>
      <c r="BY88" s="1615"/>
      <c r="BZ88" s="1615"/>
      <c r="CA88" s="1615"/>
      <c r="CB88" s="1615"/>
      <c r="CC88" s="1615"/>
      <c r="CD88" s="1615"/>
      <c r="CE88" s="1615"/>
      <c r="CF88" s="1615"/>
      <c r="CG88" s="1615"/>
      <c r="CH88" s="1615"/>
      <c r="CI88" s="1615"/>
      <c r="CJ88" s="1615"/>
      <c r="CK88" s="1615"/>
      <c r="CL88" s="1615"/>
      <c r="CM88" s="1615"/>
      <c r="CN88" s="1615"/>
      <c r="CO88" s="1615"/>
      <c r="CP88" s="1615"/>
      <c r="CQ88" s="1615"/>
      <c r="CR88" s="1615"/>
      <c r="CS88" s="1615"/>
      <c r="CT88" s="1615"/>
      <c r="CU88" s="1615"/>
      <c r="CV88" s="1592"/>
      <c r="CW88" s="1592"/>
      <c r="CX88" s="1592"/>
      <c r="CY88" s="1592"/>
      <c r="CZ88" s="1592"/>
      <c r="DA88" s="1592"/>
      <c r="DB88" s="1174"/>
      <c r="DC88" s="1174"/>
      <c r="DD88" s="1174"/>
      <c r="DE88" s="581"/>
    </row>
    <row r="89" spans="1:109" s="2" customFormat="1" ht="48" customHeight="1" x14ac:dyDescent="0.25">
      <c r="A89" s="1143" t="s">
        <v>190</v>
      </c>
      <c r="C89" s="282"/>
      <c r="D89" s="1901"/>
      <c r="E89" s="1613"/>
      <c r="F89" s="282"/>
      <c r="G89" s="282"/>
      <c r="H89" s="1113"/>
      <c r="I89" s="1594"/>
      <c r="J89" s="1126"/>
      <c r="K89" s="1619"/>
      <c r="L89" s="1910"/>
      <c r="M89" s="1613"/>
      <c r="N89" s="282"/>
      <c r="O89" s="282"/>
      <c r="P89" s="1113"/>
      <c r="Q89" s="1594"/>
      <c r="R89" s="1113"/>
      <c r="S89" s="1594"/>
      <c r="T89" s="1126"/>
      <c r="U89" s="1619"/>
      <c r="V89" s="282"/>
      <c r="W89" s="282"/>
      <c r="X89" s="1468"/>
      <c r="Y89" s="1560"/>
      <c r="Z89" s="1332"/>
      <c r="AA89" s="1904"/>
      <c r="AB89" s="1113"/>
      <c r="AC89" s="1594"/>
      <c r="AD89" s="1332"/>
      <c r="AE89" s="1907"/>
      <c r="AF89" s="1901"/>
      <c r="AG89" s="1613"/>
      <c r="AH89" s="1626"/>
      <c r="AI89" s="1609"/>
      <c r="AJ89" s="1626"/>
      <c r="AK89" s="1609"/>
      <c r="AL89" s="1626"/>
      <c r="AM89" s="1609"/>
      <c r="AN89" s="1332"/>
      <c r="AO89" s="1907"/>
      <c r="AP89" s="1298"/>
      <c r="AQ89" s="1904"/>
      <c r="AR89" s="1626"/>
      <c r="AS89" s="1609"/>
      <c r="AT89" s="1626"/>
      <c r="AU89" s="1609"/>
      <c r="AV89" s="1626"/>
      <c r="AW89" s="1609"/>
      <c r="AX89" s="1332"/>
      <c r="AY89" s="1907"/>
    </row>
    <row r="90" spans="1:109" s="2" customFormat="1" ht="48" customHeight="1" thickBot="1" x14ac:dyDescent="0.3">
      <c r="A90" s="1223"/>
      <c r="B90" s="127"/>
      <c r="C90" s="282"/>
      <c r="D90" s="1902"/>
      <c r="E90" s="1614"/>
      <c r="F90" s="282"/>
      <c r="G90" s="282"/>
      <c r="H90" s="1131"/>
      <c r="I90" s="1595"/>
      <c r="J90" s="1127"/>
      <c r="K90" s="1620"/>
      <c r="L90" s="1911"/>
      <c r="M90" s="1614"/>
      <c r="N90" s="282"/>
      <c r="O90" s="608"/>
      <c r="P90" s="1131"/>
      <c r="Q90" s="1595"/>
      <c r="R90" s="1131"/>
      <c r="S90" s="1595"/>
      <c r="T90" s="1127"/>
      <c r="U90" s="1620"/>
      <c r="V90" s="609"/>
      <c r="W90" s="610"/>
      <c r="X90" s="1491"/>
      <c r="Y90" s="1561"/>
      <c r="Z90" s="1645"/>
      <c r="AA90" s="1905"/>
      <c r="AB90" s="1131"/>
      <c r="AC90" s="1595"/>
      <c r="AD90" s="1645"/>
      <c r="AE90" s="1908"/>
      <c r="AF90" s="1902"/>
      <c r="AG90" s="1614"/>
      <c r="AH90" s="1627"/>
      <c r="AI90" s="1610"/>
      <c r="AJ90" s="1627"/>
      <c r="AK90" s="1610"/>
      <c r="AL90" s="1627"/>
      <c r="AM90" s="1610"/>
      <c r="AN90" s="1645"/>
      <c r="AO90" s="1908"/>
      <c r="AP90" s="1909"/>
      <c r="AQ90" s="1905"/>
      <c r="AR90" s="1627"/>
      <c r="AS90" s="1610"/>
      <c r="AT90" s="1627"/>
      <c r="AU90" s="1610"/>
      <c r="AV90" s="1627"/>
      <c r="AW90" s="1610"/>
      <c r="AX90" s="1645"/>
      <c r="AY90" s="1908"/>
    </row>
    <row r="91" spans="1:109" ht="18" customHeight="1" thickBot="1" x14ac:dyDescent="0.3">
      <c r="A91" s="231"/>
      <c r="C91" s="231"/>
      <c r="F91" s="231"/>
      <c r="G91" s="231"/>
      <c r="N91" s="231"/>
      <c r="V91" s="231"/>
      <c r="W91" s="231"/>
      <c r="AG91" s="231"/>
    </row>
    <row r="92" spans="1:109" ht="18.75" customHeight="1" thickBot="1" x14ac:dyDescent="0.3">
      <c r="A92" s="1190" t="s">
        <v>218</v>
      </c>
      <c r="B92" s="1147"/>
      <c r="C92" s="1190" t="s">
        <v>219</v>
      </c>
      <c r="D92" s="1146"/>
      <c r="E92" s="1146"/>
      <c r="F92" s="1146"/>
      <c r="G92" s="1146"/>
      <c r="H92" s="1146"/>
      <c r="I92" s="1146"/>
      <c r="J92" s="1146"/>
      <c r="K92" s="1146"/>
      <c r="L92" s="1146"/>
      <c r="M92" s="1146"/>
      <c r="N92" s="1146"/>
      <c r="O92" s="1190" t="s">
        <v>304</v>
      </c>
      <c r="P92" s="1146"/>
      <c r="Q92" s="1146"/>
      <c r="R92" s="1147"/>
      <c r="S92" s="1190" t="s">
        <v>143</v>
      </c>
      <c r="T92" s="1147"/>
      <c r="U92" s="1507" t="s">
        <v>167</v>
      </c>
      <c r="V92" s="1508"/>
      <c r="W92" s="1508"/>
      <c r="X92" s="1508"/>
      <c r="Y92" s="1508"/>
      <c r="Z92" s="1508"/>
      <c r="AA92" s="1508"/>
      <c r="AB92" s="1508"/>
      <c r="AC92" s="1508"/>
      <c r="AD92" s="1508"/>
      <c r="AE92" s="1508"/>
      <c r="AF92" s="1508"/>
      <c r="AG92" s="1508"/>
      <c r="AH92" s="1508"/>
      <c r="AI92" s="1508"/>
      <c r="AJ92" s="1508"/>
      <c r="AK92" s="1508"/>
      <c r="AL92" s="1508"/>
      <c r="AM92" s="1508"/>
      <c r="AN92" s="1508"/>
      <c r="AO92" s="1509"/>
      <c r="AQ92" s="1499" t="s">
        <v>1051</v>
      </c>
      <c r="AR92" s="1500"/>
      <c r="AS92" s="1500"/>
      <c r="AT92" s="1501"/>
      <c r="AV92" s="1506"/>
      <c r="AW92" s="1506"/>
      <c r="AX92" s="1506"/>
      <c r="AY92" s="1506"/>
    </row>
    <row r="93" spans="1:109" ht="15" x14ac:dyDescent="0.25">
      <c r="A93" s="1510" t="str">
        <f>VLOOKUP(O93,ASIGNATURAS!$F$1:$L$1022, 3, FALSE)</f>
        <v>TERMICA I</v>
      </c>
      <c r="B93" s="1777"/>
      <c r="C93" s="1566" t="str">
        <f>VLOOKUP(O93,ASIGNATURAS!$F$1:$L$1022, 4, FALSE)</f>
        <v>Ingeniería Térmica I</v>
      </c>
      <c r="D93" s="1566"/>
      <c r="E93" s="1566"/>
      <c r="F93" s="1566"/>
      <c r="G93" s="1566"/>
      <c r="H93" s="1566"/>
      <c r="I93" s="1566"/>
      <c r="J93" s="1566"/>
      <c r="K93" s="1566"/>
      <c r="L93" s="1566"/>
      <c r="M93" s="1566"/>
      <c r="N93" s="1566"/>
      <c r="O93" s="1517">
        <v>6312</v>
      </c>
      <c r="P93" s="1517"/>
      <c r="Q93" s="1517"/>
      <c r="R93" s="1517"/>
      <c r="S93" s="1517">
        <f>VLOOKUP(O93,ASIGNATURAS!$F$1:$L$1022, 5, FALSE)</f>
        <v>6</v>
      </c>
      <c r="T93" s="1517"/>
      <c r="U93" s="1570" t="str">
        <f>VLOOKUP(O93,ASIGNATURAS!$F$1:$L$1022, 6, FALSE)</f>
        <v>David González</v>
      </c>
      <c r="V93" s="1571"/>
      <c r="W93" s="1571"/>
      <c r="X93" s="1571"/>
      <c r="Y93" s="1571"/>
      <c r="Z93" s="1571"/>
      <c r="AA93" s="1571"/>
      <c r="AB93" s="1571"/>
      <c r="AC93" s="1571"/>
      <c r="AD93" s="1571"/>
      <c r="AE93" s="1571"/>
      <c r="AF93" s="1571"/>
      <c r="AG93" s="1571"/>
      <c r="AH93" s="1571"/>
      <c r="AI93" s="1571"/>
      <c r="AJ93" s="1571"/>
      <c r="AK93" s="1571"/>
      <c r="AL93" s="1571"/>
      <c r="AM93" s="1571"/>
      <c r="AN93" s="1571"/>
      <c r="AO93" s="1572"/>
      <c r="AQ93" s="1502"/>
      <c r="AR93" s="1503"/>
      <c r="AS93" s="1503"/>
      <c r="AT93" s="1504"/>
      <c r="AV93" s="1506"/>
      <c r="AW93" s="1506"/>
      <c r="AX93" s="1506"/>
      <c r="AY93" s="1506"/>
    </row>
    <row r="94" spans="1:109" ht="15" x14ac:dyDescent="0.25">
      <c r="A94" s="1510" t="str">
        <f>VLOOKUP(O94,ASIGNATURAS!$F$1:$L$1022, 3, FALSE)</f>
        <v>ING. ELECTRICA</v>
      </c>
      <c r="B94" s="1777"/>
      <c r="C94" s="1532" t="str">
        <f>VLOOKUP(O94,ASIGNATURAS!$F$1:$L$1022, 4, FALSE)</f>
        <v>Fundamentos de Ingeniería Eléctrica</v>
      </c>
      <c r="D94" s="1532"/>
      <c r="E94" s="1532"/>
      <c r="F94" s="1532"/>
      <c r="G94" s="1532"/>
      <c r="H94" s="1532"/>
      <c r="I94" s="1532"/>
      <c r="J94" s="1532"/>
      <c r="K94" s="1532"/>
      <c r="L94" s="1532"/>
      <c r="M94" s="1532"/>
      <c r="N94" s="1532"/>
      <c r="O94" s="1469">
        <v>6313</v>
      </c>
      <c r="P94" s="1469"/>
      <c r="Q94" s="1469"/>
      <c r="R94" s="1469"/>
      <c r="S94" s="1469">
        <f>VLOOKUP(O94,ASIGNATURAS!$F$1:$L$1022, 5, FALSE)</f>
        <v>6</v>
      </c>
      <c r="T94" s="1469"/>
      <c r="U94" s="1494" t="str">
        <f>VLOOKUP(O94,ASIGNATURAS!$F$1:$L$1022, 6, FALSE)</f>
        <v>Victoria Abad San Martín</v>
      </c>
      <c r="V94" s="1495"/>
      <c r="W94" s="1495"/>
      <c r="X94" s="1495"/>
      <c r="Y94" s="1495"/>
      <c r="Z94" s="1495"/>
      <c r="AA94" s="1495"/>
      <c r="AB94" s="1495"/>
      <c r="AC94" s="1495"/>
      <c r="AD94" s="1495"/>
      <c r="AE94" s="1495"/>
      <c r="AF94" s="1495"/>
      <c r="AG94" s="1495"/>
      <c r="AH94" s="1495"/>
      <c r="AI94" s="1495"/>
      <c r="AJ94" s="1495"/>
      <c r="AK94" s="1495"/>
      <c r="AL94" s="1495"/>
      <c r="AM94" s="1495"/>
      <c r="AN94" s="1495"/>
      <c r="AO94" s="1496"/>
      <c r="AQ94" s="1654" t="s">
        <v>1047</v>
      </c>
      <c r="AR94" s="1655"/>
      <c r="AS94" s="1655"/>
      <c r="AT94" s="1656"/>
      <c r="AV94" s="1633"/>
      <c r="AW94" s="1633"/>
      <c r="AX94" s="1633"/>
      <c r="AY94" s="1633"/>
    </row>
    <row r="95" spans="1:109" ht="15" x14ac:dyDescent="0.25">
      <c r="A95" s="1510" t="str">
        <f>VLOOKUP(O95,ASIGNATURAS!$F$1:$L$1022, 3, FALSE)</f>
        <v>ERMAT I</v>
      </c>
      <c r="B95" s="1777"/>
      <c r="C95" s="1532" t="str">
        <f>VLOOKUP(O95,ASIGNATURAS!$F$1:$L$1022, 4, FALSE)</f>
        <v>Elasticidad y Resistencia de Materiales</v>
      </c>
      <c r="D95" s="1532"/>
      <c r="E95" s="1532"/>
      <c r="F95" s="1532"/>
      <c r="G95" s="1532"/>
      <c r="H95" s="1532"/>
      <c r="I95" s="1532"/>
      <c r="J95" s="1532"/>
      <c r="K95" s="1532"/>
      <c r="L95" s="1532"/>
      <c r="M95" s="1532"/>
      <c r="N95" s="1532"/>
      <c r="O95" s="1469">
        <v>6314</v>
      </c>
      <c r="P95" s="1469"/>
      <c r="Q95" s="1469"/>
      <c r="R95" s="1469"/>
      <c r="S95" s="1469">
        <f>VLOOKUP(O95,ASIGNATURAS!$F$1:$L$1022, 5, FALSE)</f>
        <v>6</v>
      </c>
      <c r="T95" s="1469"/>
      <c r="U95" s="1494" t="str">
        <f>VLOOKUP(O95,ASIGNATURAS!$F$1:$L$1022, 6, FALSE)</f>
        <v>Isidoro Iván Cuesta</v>
      </c>
      <c r="V95" s="1495"/>
      <c r="W95" s="1495"/>
      <c r="X95" s="1495"/>
      <c r="Y95" s="1495"/>
      <c r="Z95" s="1495"/>
      <c r="AA95" s="1495"/>
      <c r="AB95" s="1495"/>
      <c r="AC95" s="1495"/>
      <c r="AD95" s="1495"/>
      <c r="AE95" s="1495"/>
      <c r="AF95" s="1495"/>
      <c r="AG95" s="1495"/>
      <c r="AH95" s="1495"/>
      <c r="AI95" s="1495"/>
      <c r="AJ95" s="1495"/>
      <c r="AK95" s="1495"/>
      <c r="AL95" s="1495"/>
      <c r="AM95" s="1495"/>
      <c r="AN95" s="1495"/>
      <c r="AO95" s="1496"/>
      <c r="AQ95" s="1473" t="s">
        <v>579</v>
      </c>
      <c r="AR95" s="1474"/>
      <c r="AS95" s="1474"/>
      <c r="AT95" s="1475"/>
      <c r="AV95" s="1476"/>
      <c r="AW95" s="1476"/>
      <c r="AX95" s="1476"/>
      <c r="AY95" s="1476"/>
    </row>
    <row r="96" spans="1:109" ht="13.5" customHeight="1" x14ac:dyDescent="0.25">
      <c r="A96" s="1510" t="str">
        <f>VLOOKUP(O96,ASIGNATURAS!$F$1:$L$1022, 3, FALSE)</f>
        <v>FLUIDOMECANICA</v>
      </c>
      <c r="B96" s="1777"/>
      <c r="C96" s="1532" t="str">
        <f>VLOOKUP(O96,ASIGNATURAS!$F$1:$L$1022, 4, FALSE)</f>
        <v>Ingeniería Fluidomecánica</v>
      </c>
      <c r="D96" s="1532"/>
      <c r="E96" s="1532"/>
      <c r="F96" s="1532"/>
      <c r="G96" s="1532"/>
      <c r="H96" s="1532"/>
      <c r="I96" s="1532"/>
      <c r="J96" s="1532"/>
      <c r="K96" s="1532"/>
      <c r="L96" s="1532"/>
      <c r="M96" s="1532"/>
      <c r="N96" s="1532"/>
      <c r="O96" s="1469">
        <v>6315</v>
      </c>
      <c r="P96" s="1469"/>
      <c r="Q96" s="1469"/>
      <c r="R96" s="1469"/>
      <c r="S96" s="1469">
        <f>VLOOKUP(O96,ASIGNATURAS!$F$1:$L$1022, 5, FALSE)</f>
        <v>6</v>
      </c>
      <c r="T96" s="1469"/>
      <c r="U96" s="1494" t="str">
        <f>VLOOKUP(O96,ASIGNATURAS!$F$1:$L$1022, 6, FALSE)</f>
        <v>Jose Antonio Barón Aguado</v>
      </c>
      <c r="V96" s="1495"/>
      <c r="W96" s="1495"/>
      <c r="X96" s="1495"/>
      <c r="Y96" s="1495"/>
      <c r="Z96" s="1495"/>
      <c r="AA96" s="1495"/>
      <c r="AB96" s="1495"/>
      <c r="AC96" s="1495"/>
      <c r="AD96" s="1495"/>
      <c r="AE96" s="1495"/>
      <c r="AF96" s="1495"/>
      <c r="AG96" s="1495"/>
      <c r="AH96" s="1495"/>
      <c r="AI96" s="1495"/>
      <c r="AJ96" s="1495"/>
      <c r="AK96" s="1495"/>
      <c r="AL96" s="1495"/>
      <c r="AM96" s="1495"/>
      <c r="AN96" s="1495"/>
      <c r="AO96" s="1496"/>
      <c r="AQ96" s="1473" t="s">
        <v>580</v>
      </c>
      <c r="AR96" s="1474"/>
      <c r="AS96" s="1474"/>
      <c r="AT96" s="1475"/>
      <c r="AV96" s="1476"/>
      <c r="AW96" s="1476"/>
      <c r="AX96" s="1476"/>
      <c r="AY96" s="1476"/>
    </row>
    <row r="97" spans="1:51" ht="15.6" thickBot="1" x14ac:dyDescent="0.3">
      <c r="A97" s="1523" t="str">
        <f>VLOOKUP(O97,ASIGNATURAS!$F$1:$L$1022, 3, FALSE)</f>
        <v>AUTOMATISMOS</v>
      </c>
      <c r="B97" s="1824"/>
      <c r="C97" s="1736" t="str">
        <f>VLOOKUP(O97,ASIGNATURAS!$F$1:$L$1022, 4, FALSE)</f>
        <v>Automatismos y Control Industrial</v>
      </c>
      <c r="D97" s="1736"/>
      <c r="E97" s="1736"/>
      <c r="F97" s="1736"/>
      <c r="G97" s="1736"/>
      <c r="H97" s="1736"/>
      <c r="I97" s="1736"/>
      <c r="J97" s="1736"/>
      <c r="K97" s="1736"/>
      <c r="L97" s="1736"/>
      <c r="M97" s="1736"/>
      <c r="N97" s="1736"/>
      <c r="O97" s="1486">
        <v>6316</v>
      </c>
      <c r="P97" s="1486"/>
      <c r="Q97" s="1486"/>
      <c r="R97" s="1486"/>
      <c r="S97" s="1486">
        <f>VLOOKUP(O97,ASIGNATURAS!$F$1:$L$1022, 5, FALSE)</f>
        <v>6</v>
      </c>
      <c r="T97" s="1486"/>
      <c r="U97" s="1487" t="str">
        <f>VLOOKUP(O97,ASIGNATURAS!$F$1:$L$1022, 6, FALSE)</f>
        <v>Juan Vicente Martín Fraile</v>
      </c>
      <c r="V97" s="1488"/>
      <c r="W97" s="1488"/>
      <c r="X97" s="1488"/>
      <c r="Y97" s="1488"/>
      <c r="Z97" s="1488"/>
      <c r="AA97" s="1488"/>
      <c r="AB97" s="1488"/>
      <c r="AC97" s="1488"/>
      <c r="AD97" s="1488"/>
      <c r="AE97" s="1488"/>
      <c r="AF97" s="1488"/>
      <c r="AG97" s="1488"/>
      <c r="AH97" s="1488"/>
      <c r="AI97" s="1488"/>
      <c r="AJ97" s="1488"/>
      <c r="AK97" s="1488"/>
      <c r="AL97" s="1488"/>
      <c r="AM97" s="1488"/>
      <c r="AN97" s="1488"/>
      <c r="AO97" s="1489"/>
      <c r="AQ97" s="1473" t="s">
        <v>581</v>
      </c>
      <c r="AR97" s="1474"/>
      <c r="AS97" s="1474"/>
      <c r="AT97" s="1475"/>
      <c r="AV97" s="1644"/>
      <c r="AW97" s="1644"/>
      <c r="AX97" s="1644"/>
      <c r="AY97" s="1644"/>
    </row>
    <row r="98" spans="1:51" ht="13.8" thickBot="1" x14ac:dyDescent="0.3">
      <c r="AQ98" s="1634" t="s">
        <v>582</v>
      </c>
      <c r="AR98" s="1635"/>
      <c r="AS98" s="1635"/>
      <c r="AT98" s="1636"/>
    </row>
    <row r="99" spans="1:51" ht="15" customHeight="1" x14ac:dyDescent="0.25"/>
    <row r="100" spans="1:51" ht="24.6" x14ac:dyDescent="0.4">
      <c r="A100" s="81"/>
    </row>
    <row r="101" spans="1:51" ht="12.75" customHeight="1" x14ac:dyDescent="0.25">
      <c r="A101" s="104" t="s">
        <v>217</v>
      </c>
    </row>
    <row r="102" spans="1:51" ht="13.8" thickBot="1" x14ac:dyDescent="0.3"/>
    <row r="103" spans="1:51" s="1" customFormat="1" ht="31.5" customHeight="1" thickBot="1" x14ac:dyDescent="0.45">
      <c r="A103" s="1094" t="str">
        <f>VLOOKUP(A106,ASIGNATURAS!$A$2:$D$151, 3, FALSE)</f>
        <v>2º Grado en Ingeniería Mecánica</v>
      </c>
      <c r="B103" s="1095"/>
      <c r="C103" s="1095"/>
      <c r="D103" s="1095"/>
      <c r="E103" s="1095"/>
      <c r="F103" s="1095"/>
      <c r="G103" s="1095"/>
      <c r="H103" s="1095"/>
      <c r="I103" s="1095"/>
      <c r="J103" s="1095"/>
      <c r="K103" s="1095"/>
      <c r="L103" s="1095"/>
      <c r="M103" s="1095"/>
      <c r="N103" s="1095"/>
      <c r="O103" s="1095"/>
      <c r="P103" s="1095"/>
      <c r="Q103" s="1095"/>
      <c r="R103" s="1095"/>
      <c r="S103" s="1095"/>
      <c r="T103" s="1095"/>
      <c r="U103" s="1095"/>
      <c r="V103" s="1095"/>
      <c r="W103" s="1095"/>
      <c r="X103" s="1095"/>
      <c r="Y103" s="1095"/>
      <c r="Z103" s="1095"/>
      <c r="AA103" s="1095"/>
      <c r="AB103" s="1095"/>
      <c r="AC103" s="1095"/>
      <c r="AD103" s="1095"/>
      <c r="AE103" s="1095"/>
      <c r="AF103" s="1095"/>
      <c r="AG103" s="1095"/>
      <c r="AH103" s="1095"/>
      <c r="AI103" s="1095"/>
      <c r="AJ103" s="1095"/>
      <c r="AK103" s="1095"/>
      <c r="AL103" s="1095"/>
      <c r="AM103" s="1095"/>
      <c r="AN103" s="1095"/>
      <c r="AO103" s="1096"/>
      <c r="AP103" s="1091" t="str">
        <f>Aulas!G5</f>
        <v>Curso 2024-2025</v>
      </c>
      <c r="AQ103" s="1092"/>
      <c r="AR103" s="1092"/>
      <c r="AS103" s="1092"/>
      <c r="AT103" s="1092"/>
      <c r="AU103" s="1092"/>
      <c r="AV103" s="1092"/>
      <c r="AW103" s="1092"/>
      <c r="AX103" s="1092"/>
      <c r="AY103" s="1093"/>
    </row>
    <row r="104" spans="1:51" s="8" customFormat="1" ht="23.25" customHeight="1" thickBot="1" x14ac:dyDescent="0.45">
      <c r="A104" s="1083" t="str">
        <f>VLOOKUP(A106,ASIGNATURAS!$A$2:$D$151, 2, FALSE)</f>
        <v>Semestre temporal: 2º        (4º Semestre Académico)</v>
      </c>
      <c r="B104" s="1084"/>
      <c r="C104" s="1084"/>
      <c r="D104" s="1084"/>
      <c r="E104" s="1084"/>
      <c r="F104" s="1084"/>
      <c r="G104" s="1084"/>
      <c r="H104" s="1084"/>
      <c r="I104" s="1084"/>
      <c r="J104" s="1084"/>
      <c r="K104" s="1084"/>
      <c r="L104" s="1084"/>
      <c r="M104" s="1084"/>
      <c r="N104" s="1084"/>
      <c r="O104" s="1084"/>
      <c r="P104" s="1084"/>
      <c r="Q104" s="1084"/>
      <c r="R104" s="1084"/>
      <c r="S104" s="1084"/>
      <c r="T104" s="1084"/>
      <c r="U104" s="1084"/>
      <c r="V104" s="1084"/>
      <c r="W104" s="1084"/>
      <c r="X104" s="1084"/>
      <c r="Y104" s="1084"/>
      <c r="Z104" s="1084"/>
      <c r="AA104" s="1084"/>
      <c r="AB104" s="1084"/>
      <c r="AC104" s="1084"/>
      <c r="AD104" s="1084"/>
      <c r="AE104" s="1084"/>
      <c r="AF104" s="1084"/>
      <c r="AG104" s="1084"/>
      <c r="AH104" s="1084"/>
      <c r="AI104" s="1084"/>
      <c r="AJ104" s="1084"/>
      <c r="AK104" s="1084"/>
      <c r="AL104" s="1084"/>
      <c r="AM104" s="1084"/>
      <c r="AN104" s="1084"/>
      <c r="AO104" s="1085"/>
      <c r="AP104" s="1642" t="s">
        <v>152</v>
      </c>
      <c r="AQ104" s="1072"/>
      <c r="AR104" s="1072"/>
      <c r="AS104" s="1072"/>
      <c r="AT104" s="1072"/>
      <c r="AU104" s="1072"/>
      <c r="AV104" s="1072"/>
      <c r="AW104" s="1072"/>
      <c r="AX104" s="1072"/>
      <c r="AY104" s="1073"/>
    </row>
    <row r="105" spans="1:51" s="8" customFormat="1" ht="23.25" customHeight="1" thickBot="1" x14ac:dyDescent="0.45">
      <c r="A105" s="1083" t="s">
        <v>181</v>
      </c>
      <c r="B105" s="1084"/>
      <c r="C105" s="1084"/>
      <c r="D105" s="1084"/>
      <c r="E105" s="1084"/>
      <c r="F105" s="1084"/>
      <c r="G105" s="1084"/>
      <c r="H105" s="1084"/>
      <c r="I105" s="1084"/>
      <c r="J105" s="1084"/>
      <c r="K105" s="1084"/>
      <c r="L105" s="1084"/>
      <c r="M105" s="1084"/>
      <c r="N105" s="1084"/>
      <c r="O105" s="1084"/>
      <c r="P105" s="1084"/>
      <c r="Q105" s="1084"/>
      <c r="R105" s="1084"/>
      <c r="S105" s="1084"/>
      <c r="T105" s="1084"/>
      <c r="U105" s="1084"/>
      <c r="V105" s="1084"/>
      <c r="W105" s="1084"/>
      <c r="X105" s="1084"/>
      <c r="Y105" s="1084"/>
      <c r="Z105" s="1084"/>
      <c r="AA105" s="1084"/>
      <c r="AB105" s="1084"/>
      <c r="AC105" s="1084"/>
      <c r="AD105" s="1084"/>
      <c r="AE105" s="1084"/>
      <c r="AF105" s="1084"/>
      <c r="AG105" s="1084"/>
      <c r="AH105" s="1084"/>
      <c r="AI105" s="1084"/>
      <c r="AJ105" s="1084"/>
      <c r="AK105" s="1084"/>
      <c r="AL105" s="1084"/>
      <c r="AM105" s="1084"/>
      <c r="AN105" s="1084"/>
      <c r="AO105" s="1085"/>
      <c r="AP105" s="1643"/>
      <c r="AQ105" s="1074"/>
      <c r="AR105" s="1074"/>
      <c r="AS105" s="1074"/>
      <c r="AT105" s="1074"/>
      <c r="AU105" s="1074"/>
      <c r="AV105" s="1074"/>
      <c r="AW105" s="1074"/>
      <c r="AX105" s="1074"/>
      <c r="AY105" s="1075"/>
    </row>
    <row r="106" spans="1:51" ht="38.25" customHeight="1" thickBot="1" x14ac:dyDescent="0.3">
      <c r="A106" s="9" t="s">
        <v>17</v>
      </c>
      <c r="G106" s="231"/>
    </row>
    <row r="107" spans="1:51" s="2" customFormat="1" ht="24" hidden="1" customHeight="1" thickBot="1" x14ac:dyDescent="0.3">
      <c r="A107" s="19" t="s">
        <v>1</v>
      </c>
      <c r="B107" s="1091" t="s">
        <v>2</v>
      </c>
      <c r="C107" s="1092"/>
      <c r="D107" s="1092"/>
      <c r="E107" s="1092"/>
      <c r="F107" s="1092"/>
      <c r="G107" s="1092"/>
      <c r="H107" s="1092"/>
      <c r="I107" s="1092"/>
      <c r="J107" s="1092"/>
      <c r="K107" s="1093"/>
      <c r="L107" s="1091" t="s">
        <v>3</v>
      </c>
      <c r="M107" s="1092"/>
      <c r="N107" s="1092"/>
      <c r="O107" s="1092"/>
      <c r="P107" s="1092"/>
      <c r="Q107" s="1092"/>
      <c r="R107" s="1092"/>
      <c r="S107" s="1092"/>
      <c r="T107" s="1092"/>
      <c r="U107" s="1093"/>
      <c r="V107" s="1091" t="s">
        <v>139</v>
      </c>
      <c r="W107" s="1092"/>
      <c r="X107" s="1092"/>
      <c r="Y107" s="1092"/>
      <c r="Z107" s="1092"/>
      <c r="AA107" s="1092"/>
      <c r="AB107" s="1092"/>
      <c r="AC107" s="1092"/>
      <c r="AD107" s="1092"/>
      <c r="AE107" s="1093"/>
      <c r="AF107" s="1091" t="s">
        <v>4</v>
      </c>
      <c r="AG107" s="1092"/>
      <c r="AH107" s="1092"/>
      <c r="AI107" s="1092"/>
      <c r="AJ107" s="1092"/>
      <c r="AK107" s="1092"/>
      <c r="AL107" s="1092"/>
      <c r="AM107" s="1092"/>
      <c r="AN107" s="1092"/>
      <c r="AO107" s="1093"/>
      <c r="AP107" s="1091" t="s">
        <v>5</v>
      </c>
      <c r="AQ107" s="1092"/>
      <c r="AR107" s="1092"/>
      <c r="AS107" s="1092"/>
      <c r="AT107" s="1092"/>
      <c r="AU107" s="1092"/>
      <c r="AV107" s="1092"/>
      <c r="AW107" s="1092"/>
      <c r="AX107" s="1092"/>
      <c r="AY107" s="1093"/>
    </row>
    <row r="108" spans="1:51" s="2" customFormat="1" ht="36" hidden="1" customHeight="1" x14ac:dyDescent="0.25">
      <c r="A108" s="966" t="s">
        <v>8</v>
      </c>
      <c r="B108" s="131"/>
      <c r="C108" s="1596"/>
      <c r="D108" s="132"/>
      <c r="E108" s="1596"/>
      <c r="F108" s="134"/>
      <c r="G108" s="134"/>
      <c r="H108" s="132"/>
      <c r="I108" s="1596"/>
      <c r="J108" s="132"/>
      <c r="K108" s="1795"/>
      <c r="L108" s="133"/>
      <c r="M108" s="1596"/>
      <c r="N108" s="132"/>
      <c r="O108" s="1596"/>
      <c r="P108" s="134"/>
      <c r="Q108" s="134"/>
      <c r="R108" s="132"/>
      <c r="S108" s="1596"/>
      <c r="T108" s="132"/>
      <c r="U108" s="1795"/>
      <c r="V108" s="131"/>
      <c r="W108" s="177"/>
      <c r="X108" s="132"/>
      <c r="Y108" s="177"/>
      <c r="Z108" s="134"/>
      <c r="AA108" s="134"/>
      <c r="AB108" s="132"/>
      <c r="AC108" s="1596"/>
      <c r="AD108" s="132"/>
      <c r="AE108" s="1795"/>
      <c r="AF108" s="133"/>
      <c r="AG108" s="1596"/>
      <c r="AH108" s="133"/>
      <c r="AI108" s="1596"/>
      <c r="AJ108" s="134"/>
      <c r="AK108" s="134"/>
      <c r="AL108" s="133"/>
      <c r="AM108" s="1596"/>
      <c r="AN108" s="132"/>
      <c r="AO108" s="1795"/>
      <c r="AP108" s="133"/>
      <c r="AQ108" s="1596"/>
      <c r="AR108" s="132"/>
      <c r="AS108" s="1596"/>
      <c r="AT108" s="134"/>
      <c r="AU108" s="134"/>
      <c r="AV108" s="132"/>
      <c r="AW108" s="1596"/>
      <c r="AX108" s="132"/>
      <c r="AY108" s="1795"/>
    </row>
    <row r="109" spans="1:51" s="2" customFormat="1" ht="36" hidden="1" customHeight="1" x14ac:dyDescent="0.25">
      <c r="A109" s="935"/>
      <c r="B109" s="1790"/>
      <c r="C109" s="1597"/>
      <c r="D109" s="1581"/>
      <c r="E109" s="1597"/>
      <c r="F109" s="135"/>
      <c r="G109" s="135"/>
      <c r="H109" s="1581"/>
      <c r="I109" s="1597"/>
      <c r="J109" s="1581"/>
      <c r="K109" s="1796"/>
      <c r="L109" s="1790"/>
      <c r="M109" s="1597"/>
      <c r="N109" s="1581"/>
      <c r="O109" s="1597"/>
      <c r="P109" s="135"/>
      <c r="Q109" s="135"/>
      <c r="R109" s="1581"/>
      <c r="S109" s="1597"/>
      <c r="T109" s="1581"/>
      <c r="U109" s="1796"/>
      <c r="V109" s="180"/>
      <c r="W109" s="178"/>
      <c r="X109" s="182"/>
      <c r="Y109" s="178"/>
      <c r="Z109" s="135"/>
      <c r="AA109" s="135"/>
      <c r="AB109" s="1581"/>
      <c r="AC109" s="1597"/>
      <c r="AD109" s="1581"/>
      <c r="AE109" s="1796"/>
      <c r="AF109" s="1790"/>
      <c r="AG109" s="1597"/>
      <c r="AH109" s="1581"/>
      <c r="AI109" s="1597"/>
      <c r="AJ109" s="135"/>
      <c r="AK109" s="135"/>
      <c r="AL109" s="1581"/>
      <c r="AM109" s="1597"/>
      <c r="AN109" s="1581"/>
      <c r="AO109" s="1796"/>
      <c r="AP109" s="1790"/>
      <c r="AQ109" s="1597"/>
      <c r="AR109" s="1581"/>
      <c r="AS109" s="1597"/>
      <c r="AT109" s="135"/>
      <c r="AU109" s="135"/>
      <c r="AV109" s="1581"/>
      <c r="AW109" s="1597"/>
      <c r="AX109" s="1581"/>
      <c r="AY109" s="1796"/>
    </row>
    <row r="110" spans="1:51" s="2" customFormat="1" ht="36" hidden="1" customHeight="1" x14ac:dyDescent="0.25">
      <c r="A110" s="934" t="s">
        <v>9</v>
      </c>
      <c r="B110" s="1790"/>
      <c r="C110" s="1597"/>
      <c r="D110" s="1581"/>
      <c r="E110" s="1597"/>
      <c r="F110" s="135"/>
      <c r="G110" s="135"/>
      <c r="H110" s="1581"/>
      <c r="I110" s="1597"/>
      <c r="J110" s="1581"/>
      <c r="K110" s="1796"/>
      <c r="L110" s="1790"/>
      <c r="M110" s="1597"/>
      <c r="N110" s="1581"/>
      <c r="O110" s="1597"/>
      <c r="P110" s="135"/>
      <c r="Q110" s="135"/>
      <c r="R110" s="1581"/>
      <c r="S110" s="1597"/>
      <c r="T110" s="1581"/>
      <c r="U110" s="1796"/>
      <c r="V110" s="180"/>
      <c r="W110" s="178"/>
      <c r="X110" s="182"/>
      <c r="Y110" s="178"/>
      <c r="Z110" s="135"/>
      <c r="AA110" s="135"/>
      <c r="AB110" s="1581"/>
      <c r="AC110" s="1597"/>
      <c r="AD110" s="1581"/>
      <c r="AE110" s="1796"/>
      <c r="AF110" s="1790"/>
      <c r="AG110" s="1597"/>
      <c r="AH110" s="1581"/>
      <c r="AI110" s="1597"/>
      <c r="AJ110" s="135"/>
      <c r="AK110" s="135"/>
      <c r="AL110" s="1581"/>
      <c r="AM110" s="1597"/>
      <c r="AN110" s="1581"/>
      <c r="AO110" s="1796"/>
      <c r="AP110" s="1790"/>
      <c r="AQ110" s="1597"/>
      <c r="AR110" s="1581"/>
      <c r="AS110" s="1597"/>
      <c r="AT110" s="135"/>
      <c r="AU110" s="135"/>
      <c r="AV110" s="1581"/>
      <c r="AW110" s="1597"/>
      <c r="AX110" s="1581"/>
      <c r="AY110" s="1796"/>
    </row>
    <row r="111" spans="1:51" s="2" customFormat="1" ht="36" hidden="1" customHeight="1" thickBot="1" x14ac:dyDescent="0.3">
      <c r="A111" s="1798"/>
      <c r="B111" s="1790"/>
      <c r="C111" s="1597"/>
      <c r="D111" s="1581"/>
      <c r="E111" s="1597"/>
      <c r="F111" s="135"/>
      <c r="G111" s="135"/>
      <c r="H111" s="1581"/>
      <c r="I111" s="1597"/>
      <c r="J111" s="1581"/>
      <c r="K111" s="1796"/>
      <c r="L111" s="1888"/>
      <c r="M111" s="1598"/>
      <c r="N111" s="1583"/>
      <c r="O111" s="1598"/>
      <c r="P111" s="136"/>
      <c r="Q111" s="136"/>
      <c r="R111" s="1583"/>
      <c r="S111" s="1598"/>
      <c r="T111" s="1583"/>
      <c r="U111" s="1797"/>
      <c r="V111" s="181"/>
      <c r="W111" s="179"/>
      <c r="X111" s="183"/>
      <c r="Y111" s="179"/>
      <c r="Z111" s="136"/>
      <c r="AA111" s="136"/>
      <c r="AB111" s="1583"/>
      <c r="AC111" s="1598"/>
      <c r="AD111" s="1583"/>
      <c r="AE111" s="1797"/>
      <c r="AF111" s="1888"/>
      <c r="AG111" s="1598"/>
      <c r="AH111" s="1583"/>
      <c r="AI111" s="1598"/>
      <c r="AJ111" s="136"/>
      <c r="AK111" s="136"/>
      <c r="AL111" s="1583"/>
      <c r="AM111" s="1598"/>
      <c r="AN111" s="1583"/>
      <c r="AO111" s="1797"/>
      <c r="AP111" s="1888"/>
      <c r="AQ111" s="1598"/>
      <c r="AR111" s="1583"/>
      <c r="AS111" s="1598"/>
      <c r="AT111" s="136"/>
      <c r="AU111" s="136"/>
      <c r="AV111" s="1583"/>
      <c r="AW111" s="1598"/>
      <c r="AX111" s="1583"/>
      <c r="AY111" s="1797"/>
    </row>
    <row r="112" spans="1:51" s="2" customFormat="1" ht="24" customHeight="1" thickTop="1" thickBot="1" x14ac:dyDescent="0.3">
      <c r="A112" s="19" t="s">
        <v>1</v>
      </c>
      <c r="B112" s="1792" t="s">
        <v>2</v>
      </c>
      <c r="C112" s="1793"/>
      <c r="D112" s="1793"/>
      <c r="E112" s="1793"/>
      <c r="F112" s="1793"/>
      <c r="G112" s="1793"/>
      <c r="H112" s="1793"/>
      <c r="I112" s="1793"/>
      <c r="J112" s="1793"/>
      <c r="K112" s="1794"/>
      <c r="L112" s="1091" t="s">
        <v>3</v>
      </c>
      <c r="M112" s="1092"/>
      <c r="N112" s="1092"/>
      <c r="O112" s="1092"/>
      <c r="P112" s="1092"/>
      <c r="Q112" s="1092"/>
      <c r="R112" s="1092"/>
      <c r="S112" s="1092"/>
      <c r="T112" s="1092"/>
      <c r="U112" s="1093"/>
      <c r="V112" s="1091" t="s">
        <v>139</v>
      </c>
      <c r="W112" s="1092"/>
      <c r="X112" s="1092"/>
      <c r="Y112" s="1092"/>
      <c r="Z112" s="1092"/>
      <c r="AA112" s="1092"/>
      <c r="AB112" s="1092"/>
      <c r="AC112" s="1092"/>
      <c r="AD112" s="1092"/>
      <c r="AE112" s="1093"/>
      <c r="AF112" s="1091" t="s">
        <v>4</v>
      </c>
      <c r="AG112" s="1092"/>
      <c r="AH112" s="1092"/>
      <c r="AI112" s="1092"/>
      <c r="AJ112" s="1092"/>
      <c r="AK112" s="1092"/>
      <c r="AL112" s="1092"/>
      <c r="AM112" s="1092"/>
      <c r="AN112" s="1092"/>
      <c r="AO112" s="1093"/>
      <c r="AP112" s="1091" t="s">
        <v>5</v>
      </c>
      <c r="AQ112" s="1092"/>
      <c r="AR112" s="1092"/>
      <c r="AS112" s="1092"/>
      <c r="AT112" s="1092"/>
      <c r="AU112" s="1092"/>
      <c r="AV112" s="1092"/>
      <c r="AW112" s="1092"/>
      <c r="AX112" s="1092"/>
      <c r="AY112" s="1093"/>
    </row>
    <row r="113" spans="1:51" s="2" customFormat="1" ht="39.75" customHeight="1" x14ac:dyDescent="0.25">
      <c r="A113" s="966" t="s">
        <v>1131</v>
      </c>
      <c r="B113" s="1600" t="s">
        <v>30</v>
      </c>
      <c r="C113" s="1601"/>
      <c r="D113" s="1601"/>
      <c r="E113" s="1601"/>
      <c r="F113" s="1601"/>
      <c r="G113" s="1601"/>
      <c r="H113" s="1546" t="s">
        <v>152</v>
      </c>
      <c r="I113" s="1546"/>
      <c r="J113" s="1546"/>
      <c r="K113" s="1547"/>
      <c r="L113" s="1600" t="s">
        <v>31</v>
      </c>
      <c r="M113" s="1601"/>
      <c r="N113" s="1601"/>
      <c r="O113" s="1601"/>
      <c r="P113" s="1601"/>
      <c r="Q113" s="1601"/>
      <c r="R113" s="1546" t="s">
        <v>152</v>
      </c>
      <c r="S113" s="1546"/>
      <c r="T113" s="1546"/>
      <c r="U113" s="1547"/>
      <c r="V113" s="1600" t="s">
        <v>1250</v>
      </c>
      <c r="W113" s="1601"/>
      <c r="X113" s="1601"/>
      <c r="Y113" s="1601"/>
      <c r="Z113" s="1601"/>
      <c r="AA113" s="1601"/>
      <c r="AB113" s="1546" t="s">
        <v>152</v>
      </c>
      <c r="AC113" s="1546"/>
      <c r="AD113" s="1546"/>
      <c r="AE113" s="1547"/>
      <c r="AF113" s="1600" t="s">
        <v>1360</v>
      </c>
      <c r="AG113" s="1601"/>
      <c r="AH113" s="1601"/>
      <c r="AI113" s="1601"/>
      <c r="AJ113" s="1601"/>
      <c r="AK113" s="1601"/>
      <c r="AL113" s="1546" t="s">
        <v>832</v>
      </c>
      <c r="AM113" s="1546"/>
      <c r="AN113" s="1546"/>
      <c r="AO113" s="1547"/>
      <c r="AP113" s="1628"/>
      <c r="AQ113" s="1629"/>
      <c r="AR113" s="1629"/>
      <c r="AS113" s="1629"/>
      <c r="AT113" s="1629"/>
      <c r="AU113" s="1629"/>
      <c r="AV113" s="1649"/>
      <c r="AW113" s="1649"/>
      <c r="AX113" s="1649"/>
      <c r="AY113" s="1650"/>
    </row>
    <row r="114" spans="1:51" s="2" customFormat="1" ht="39.75" customHeight="1" thickBot="1" x14ac:dyDescent="0.3">
      <c r="A114" s="935"/>
      <c r="B114" s="1602"/>
      <c r="C114" s="1603"/>
      <c r="D114" s="1603"/>
      <c r="E114" s="1603"/>
      <c r="F114" s="1603"/>
      <c r="G114" s="1603"/>
      <c r="H114" s="1304"/>
      <c r="I114" s="1304"/>
      <c r="J114" s="1304"/>
      <c r="K114" s="1305"/>
      <c r="L114" s="1602" t="s">
        <v>32</v>
      </c>
      <c r="M114" s="1603"/>
      <c r="N114" s="1603"/>
      <c r="O114" s="1603"/>
      <c r="P114" s="1603"/>
      <c r="Q114" s="1603"/>
      <c r="R114" s="1304"/>
      <c r="S114" s="1304"/>
      <c r="T114" s="1304"/>
      <c r="U114" s="1305"/>
      <c r="V114" s="1602" t="s">
        <v>33</v>
      </c>
      <c r="W114" s="1603"/>
      <c r="X114" s="1603"/>
      <c r="Y114" s="1603"/>
      <c r="Z114" s="1603"/>
      <c r="AA114" s="1603"/>
      <c r="AB114" s="1304"/>
      <c r="AC114" s="1304"/>
      <c r="AD114" s="1304"/>
      <c r="AE114" s="1305"/>
      <c r="AF114" s="1602" t="s">
        <v>626</v>
      </c>
      <c r="AG114" s="1603"/>
      <c r="AH114" s="1603"/>
      <c r="AI114" s="1603"/>
      <c r="AJ114" s="1603"/>
      <c r="AK114" s="1603"/>
      <c r="AL114" s="1304"/>
      <c r="AM114" s="1304"/>
      <c r="AN114" s="1304"/>
      <c r="AO114" s="1305"/>
      <c r="AP114" s="1851"/>
      <c r="AQ114" s="1852"/>
      <c r="AR114" s="1852"/>
      <c r="AS114" s="1852"/>
      <c r="AT114" s="1852"/>
      <c r="AU114" s="1852"/>
      <c r="AV114" s="1651"/>
      <c r="AW114" s="1651"/>
      <c r="AX114" s="1651"/>
      <c r="AY114" s="1652"/>
    </row>
    <row r="115" spans="1:51" s="2" customFormat="1" ht="39.75" customHeight="1" x14ac:dyDescent="0.25">
      <c r="A115" s="934" t="s">
        <v>187</v>
      </c>
      <c r="B115" s="1600" t="s">
        <v>1250</v>
      </c>
      <c r="C115" s="1601"/>
      <c r="D115" s="1601"/>
      <c r="E115" s="1601"/>
      <c r="F115" s="1601"/>
      <c r="G115" s="1601"/>
      <c r="H115" s="1546" t="s">
        <v>152</v>
      </c>
      <c r="I115" s="1546"/>
      <c r="J115" s="1546"/>
      <c r="K115" s="1547"/>
      <c r="L115" s="1600" t="s">
        <v>1361</v>
      </c>
      <c r="M115" s="1601"/>
      <c r="N115" s="1601"/>
      <c r="O115" s="1601"/>
      <c r="P115" s="1601"/>
      <c r="Q115" s="1601"/>
      <c r="R115" s="1546" t="s">
        <v>152</v>
      </c>
      <c r="S115" s="1546"/>
      <c r="T115" s="1546"/>
      <c r="U115" s="1547"/>
      <c r="V115" s="1600" t="s">
        <v>1361</v>
      </c>
      <c r="W115" s="1601"/>
      <c r="X115" s="1601"/>
      <c r="Y115" s="1601"/>
      <c r="Z115" s="1601"/>
      <c r="AA115" s="1601"/>
      <c r="AB115" s="1546" t="s">
        <v>152</v>
      </c>
      <c r="AC115" s="1546"/>
      <c r="AD115" s="1546"/>
      <c r="AE115" s="1547"/>
      <c r="AF115" s="1600" t="s">
        <v>30</v>
      </c>
      <c r="AG115" s="1601"/>
      <c r="AH115" s="1601"/>
      <c r="AI115" s="1601"/>
      <c r="AJ115" s="1601"/>
      <c r="AK115" s="1601"/>
      <c r="AL115" s="1546" t="s">
        <v>152</v>
      </c>
      <c r="AM115" s="1546"/>
      <c r="AN115" s="1546"/>
      <c r="AO115" s="1547"/>
      <c r="AP115" s="1628"/>
      <c r="AQ115" s="1629"/>
      <c r="AR115" s="1629"/>
      <c r="AS115" s="1629"/>
      <c r="AT115" s="1629"/>
      <c r="AU115" s="1629"/>
      <c r="AV115" s="1649"/>
      <c r="AW115" s="1649"/>
      <c r="AX115" s="1649"/>
      <c r="AY115" s="1650"/>
    </row>
    <row r="116" spans="1:51" s="2" customFormat="1" ht="39.75" customHeight="1" thickBot="1" x14ac:dyDescent="0.3">
      <c r="A116" s="935"/>
      <c r="B116" s="1602" t="s">
        <v>33</v>
      </c>
      <c r="C116" s="1603"/>
      <c r="D116" s="1603"/>
      <c r="E116" s="1603"/>
      <c r="F116" s="1603"/>
      <c r="G116" s="1603"/>
      <c r="H116" s="1304"/>
      <c r="I116" s="1304"/>
      <c r="J116" s="1304"/>
      <c r="K116" s="1305"/>
      <c r="L116" s="1602" t="s">
        <v>31</v>
      </c>
      <c r="M116" s="1603"/>
      <c r="N116" s="1603"/>
      <c r="O116" s="1603"/>
      <c r="P116" s="1603"/>
      <c r="Q116" s="1603"/>
      <c r="R116" s="1304"/>
      <c r="S116" s="1304"/>
      <c r="T116" s="1304"/>
      <c r="U116" s="1305"/>
      <c r="V116" s="1602" t="s">
        <v>33</v>
      </c>
      <c r="W116" s="1603"/>
      <c r="X116" s="1603"/>
      <c r="Y116" s="1603"/>
      <c r="Z116" s="1603"/>
      <c r="AA116" s="1603"/>
      <c r="AB116" s="1304"/>
      <c r="AC116" s="1304"/>
      <c r="AD116" s="1304"/>
      <c r="AE116" s="1305"/>
      <c r="AF116" s="1602" t="s">
        <v>30</v>
      </c>
      <c r="AG116" s="1603"/>
      <c r="AH116" s="1603"/>
      <c r="AI116" s="1603"/>
      <c r="AJ116" s="1603"/>
      <c r="AK116" s="1603"/>
      <c r="AL116" s="1304"/>
      <c r="AM116" s="1304"/>
      <c r="AN116" s="1304"/>
      <c r="AO116" s="1305"/>
      <c r="AP116" s="1851"/>
      <c r="AQ116" s="1852"/>
      <c r="AR116" s="1852"/>
      <c r="AS116" s="1852"/>
      <c r="AT116" s="1852"/>
      <c r="AU116" s="1852"/>
      <c r="AV116" s="1651"/>
      <c r="AW116" s="1651"/>
      <c r="AX116" s="1651"/>
      <c r="AY116" s="1652"/>
    </row>
    <row r="117" spans="1:51" s="2" customFormat="1" ht="39.75" customHeight="1" x14ac:dyDescent="0.25">
      <c r="A117" s="1143" t="s">
        <v>186</v>
      </c>
      <c r="B117" s="141" t="s">
        <v>579</v>
      </c>
      <c r="C117" s="1924" t="s">
        <v>149</v>
      </c>
      <c r="D117" s="141" t="s">
        <v>580</v>
      </c>
      <c r="E117" s="1559" t="s">
        <v>162</v>
      </c>
      <c r="F117" s="142" t="s">
        <v>581</v>
      </c>
      <c r="G117" s="1890" t="s">
        <v>682</v>
      </c>
      <c r="H117" s="352"/>
      <c r="I117" s="1596"/>
      <c r="J117" s="638"/>
      <c r="K117" s="639"/>
      <c r="L117" s="628" t="s">
        <v>579</v>
      </c>
      <c r="M117" s="1917" t="s">
        <v>564</v>
      </c>
      <c r="N117" s="427" t="s">
        <v>580</v>
      </c>
      <c r="O117" s="1560" t="s">
        <v>1336</v>
      </c>
      <c r="P117" s="142" t="s">
        <v>581</v>
      </c>
      <c r="Q117" s="1773" t="s">
        <v>162</v>
      </c>
      <c r="R117" s="629"/>
      <c r="S117" s="1898"/>
      <c r="T117" s="605"/>
      <c r="U117" s="640"/>
      <c r="V117" s="628" t="s">
        <v>579</v>
      </c>
      <c r="W117" s="1560" t="s">
        <v>1336</v>
      </c>
      <c r="X117" s="143" t="s">
        <v>580</v>
      </c>
      <c r="Y117" s="1559" t="s">
        <v>564</v>
      </c>
      <c r="Z117" s="803"/>
      <c r="AA117" s="1799"/>
      <c r="AB117" s="615"/>
      <c r="AC117" s="1597"/>
      <c r="AE117" s="128"/>
      <c r="AF117" s="1828" t="s">
        <v>31</v>
      </c>
      <c r="AG117" s="1829"/>
      <c r="AH117" s="1829"/>
      <c r="AI117" s="1829"/>
      <c r="AJ117" s="1829"/>
      <c r="AK117" s="1829"/>
      <c r="AL117" s="1546" t="s">
        <v>152</v>
      </c>
      <c r="AM117" s="1546"/>
      <c r="AN117" s="1546"/>
      <c r="AO117" s="1547"/>
      <c r="AP117" s="191"/>
      <c r="AQ117" s="1799"/>
      <c r="AR117" s="190"/>
      <c r="AS117" s="1625"/>
      <c r="AT117" s="190"/>
      <c r="AU117" s="1594"/>
      <c r="AV117" s="190"/>
      <c r="AW117" s="1594"/>
      <c r="AX117" s="173"/>
      <c r="AY117" s="1619"/>
    </row>
    <row r="118" spans="1:51" s="2" customFormat="1" ht="39.75" customHeight="1" thickBot="1" x14ac:dyDescent="0.3">
      <c r="A118" s="1143"/>
      <c r="B118" s="1544" t="s">
        <v>1250</v>
      </c>
      <c r="C118" s="1890"/>
      <c r="D118" s="1468" t="s">
        <v>31</v>
      </c>
      <c r="E118" s="1560"/>
      <c r="F118" s="1468" t="s">
        <v>30</v>
      </c>
      <c r="G118" s="1890"/>
      <c r="H118" s="1465"/>
      <c r="I118" s="1597"/>
      <c r="J118" s="641"/>
      <c r="K118" s="642"/>
      <c r="L118" s="1920" t="s">
        <v>1361</v>
      </c>
      <c r="M118" s="1917"/>
      <c r="N118" s="1892" t="s">
        <v>1360</v>
      </c>
      <c r="O118" s="1560"/>
      <c r="P118" s="1468" t="s">
        <v>31</v>
      </c>
      <c r="Q118" s="1560"/>
      <c r="R118" s="1894"/>
      <c r="S118" s="1898"/>
      <c r="T118" s="605"/>
      <c r="U118" s="640"/>
      <c r="V118" s="1920" t="s">
        <v>1360</v>
      </c>
      <c r="W118" s="1560"/>
      <c r="X118" s="1892" t="s">
        <v>1361</v>
      </c>
      <c r="Y118" s="1560"/>
      <c r="Z118" s="1589"/>
      <c r="AA118" s="1799"/>
      <c r="AB118" s="1465"/>
      <c r="AC118" s="1597"/>
      <c r="AE118" s="128"/>
      <c r="AF118" s="1602" t="s">
        <v>32</v>
      </c>
      <c r="AG118" s="1603"/>
      <c r="AH118" s="1603"/>
      <c r="AI118" s="1603"/>
      <c r="AJ118" s="1603"/>
      <c r="AK118" s="1603"/>
      <c r="AL118" s="1304"/>
      <c r="AM118" s="1304"/>
      <c r="AN118" s="1304"/>
      <c r="AO118" s="1305"/>
      <c r="AP118" s="1106"/>
      <c r="AQ118" s="1799"/>
      <c r="AR118" s="1113"/>
      <c r="AS118" s="1594"/>
      <c r="AT118" s="1113"/>
      <c r="AU118" s="1594"/>
      <c r="AV118" s="1113"/>
      <c r="AW118" s="1594"/>
      <c r="AX118" s="1126"/>
      <c r="AY118" s="1619"/>
    </row>
    <row r="119" spans="1:51" s="2" customFormat="1" ht="39.75" customHeight="1" x14ac:dyDescent="0.25">
      <c r="A119" s="935" t="s">
        <v>188</v>
      </c>
      <c r="B119" s="1544"/>
      <c r="C119" s="1890"/>
      <c r="D119" s="1468"/>
      <c r="E119" s="1560"/>
      <c r="F119" s="1468"/>
      <c r="G119" s="1890"/>
      <c r="H119" s="1465"/>
      <c r="I119" s="1597"/>
      <c r="J119" s="641"/>
      <c r="K119" s="642"/>
      <c r="L119" s="1920"/>
      <c r="M119" s="1917"/>
      <c r="N119" s="1892"/>
      <c r="O119" s="1560"/>
      <c r="P119" s="1468"/>
      <c r="Q119" s="1560"/>
      <c r="R119" s="1894"/>
      <c r="S119" s="1898"/>
      <c r="T119" s="605"/>
      <c r="U119" s="640"/>
      <c r="V119" s="1920"/>
      <c r="W119" s="1560"/>
      <c r="X119" s="1892"/>
      <c r="Y119" s="1560"/>
      <c r="Z119" s="1589"/>
      <c r="AA119" s="1799"/>
      <c r="AB119" s="1465"/>
      <c r="AC119" s="1597"/>
      <c r="AE119" s="128"/>
      <c r="AH119" s="142" t="s">
        <v>580</v>
      </c>
      <c r="AI119" s="1560" t="s">
        <v>682</v>
      </c>
      <c r="AJ119" s="232" t="s">
        <v>581</v>
      </c>
      <c r="AK119" s="1559" t="s">
        <v>1336</v>
      </c>
      <c r="AL119" s="352"/>
      <c r="AM119" s="1631"/>
      <c r="AN119" s="249"/>
      <c r="AO119" s="237"/>
      <c r="AP119" s="1106"/>
      <c r="AQ119" s="1799"/>
      <c r="AR119" s="1113"/>
      <c r="AS119" s="1594"/>
      <c r="AT119" s="1113"/>
      <c r="AU119" s="1594"/>
      <c r="AV119" s="1113"/>
      <c r="AW119" s="1594"/>
      <c r="AX119" s="1126"/>
      <c r="AY119" s="1619"/>
    </row>
    <row r="120" spans="1:51" s="2" customFormat="1" ht="39.75" customHeight="1" x14ac:dyDescent="0.25">
      <c r="A120" s="1143"/>
      <c r="B120" s="1664"/>
      <c r="C120" s="1925"/>
      <c r="D120" s="1663"/>
      <c r="E120" s="1856"/>
      <c r="F120" s="1663"/>
      <c r="G120" s="1890"/>
      <c r="H120" s="1926"/>
      <c r="I120" s="1900"/>
      <c r="J120" s="707"/>
      <c r="K120" s="708"/>
      <c r="L120" s="1921"/>
      <c r="M120" s="1918"/>
      <c r="N120" s="1892"/>
      <c r="O120" s="1560"/>
      <c r="P120" s="1663"/>
      <c r="Q120" s="1560"/>
      <c r="R120" s="1929"/>
      <c r="S120" s="1928"/>
      <c r="T120" s="709"/>
      <c r="U120" s="710"/>
      <c r="V120" s="1920"/>
      <c r="W120" s="1560"/>
      <c r="X120" s="1897"/>
      <c r="Y120" s="1856"/>
      <c r="Z120" s="1778"/>
      <c r="AA120" s="1800"/>
      <c r="AB120" s="1926"/>
      <c r="AC120" s="1900"/>
      <c r="AE120" s="712"/>
      <c r="AH120" s="1468" t="s">
        <v>30</v>
      </c>
      <c r="AI120" s="1560"/>
      <c r="AJ120" s="1468" t="s">
        <v>1360</v>
      </c>
      <c r="AK120" s="1560"/>
      <c r="AL120" s="1465"/>
      <c r="AM120" s="1632"/>
      <c r="AN120" s="247"/>
      <c r="AO120" s="238"/>
      <c r="AP120" s="1106"/>
      <c r="AQ120" s="1799"/>
      <c r="AR120" s="1114"/>
      <c r="AS120" s="1646"/>
      <c r="AT120" s="1114"/>
      <c r="AU120" s="1646"/>
      <c r="AV120" s="1114"/>
      <c r="AW120" s="1646"/>
      <c r="AX120" s="1142"/>
      <c r="AY120" s="1647"/>
    </row>
    <row r="121" spans="1:51" s="2" customFormat="1" ht="39.75" customHeight="1" x14ac:dyDescent="0.25">
      <c r="A121" s="935" t="s">
        <v>189</v>
      </c>
      <c r="B121" s="487" t="s">
        <v>579</v>
      </c>
      <c r="C121" s="1896" t="s">
        <v>162</v>
      </c>
      <c r="D121" s="145" t="s">
        <v>580</v>
      </c>
      <c r="E121" s="1889" t="s">
        <v>149</v>
      </c>
      <c r="F121" s="145" t="s">
        <v>581</v>
      </c>
      <c r="G121" s="1922" t="s">
        <v>1307</v>
      </c>
      <c r="H121" s="643"/>
      <c r="I121" s="1861"/>
      <c r="J121" s="641"/>
      <c r="K121" s="642"/>
      <c r="L121" s="628" t="s">
        <v>579</v>
      </c>
      <c r="M121" s="1890" t="s">
        <v>682</v>
      </c>
      <c r="N121" s="1892"/>
      <c r="O121" s="1560"/>
      <c r="P121" s="232" t="s">
        <v>581</v>
      </c>
      <c r="Q121" s="1773" t="s">
        <v>564</v>
      </c>
      <c r="R121" s="629"/>
      <c r="S121" s="1898"/>
      <c r="T121" s="605"/>
      <c r="U121" s="640"/>
      <c r="V121" s="1920"/>
      <c r="W121" s="1560"/>
      <c r="X121" s="605"/>
      <c r="Z121" s="762"/>
      <c r="AA121" s="763"/>
      <c r="AB121" s="615"/>
      <c r="AC121" s="1597"/>
      <c r="AD121" s="711"/>
      <c r="AE121" s="128"/>
      <c r="AH121" s="1468"/>
      <c r="AI121" s="1560"/>
      <c r="AJ121" s="1468"/>
      <c r="AK121" s="1560"/>
      <c r="AL121" s="1465"/>
      <c r="AM121" s="1632"/>
      <c r="AN121" s="247"/>
      <c r="AO121" s="238"/>
      <c r="AP121" s="187"/>
      <c r="AQ121" s="1640"/>
      <c r="AR121" s="169"/>
      <c r="AS121" s="1609"/>
      <c r="AT121" s="169"/>
      <c r="AU121" s="1608"/>
      <c r="AV121" s="169"/>
      <c r="AW121" s="1609"/>
      <c r="AX121" s="173"/>
      <c r="AY121" s="1619"/>
    </row>
    <row r="122" spans="1:51" s="2" customFormat="1" ht="39.75" customHeight="1" x14ac:dyDescent="0.25">
      <c r="A122" s="1143"/>
      <c r="B122" s="1544" t="s">
        <v>31</v>
      </c>
      <c r="C122" s="1560"/>
      <c r="D122" s="1892" t="s">
        <v>1250</v>
      </c>
      <c r="E122" s="1890"/>
      <c r="F122" s="1463" t="s">
        <v>1250</v>
      </c>
      <c r="G122" s="1578"/>
      <c r="H122" s="1465"/>
      <c r="I122" s="1597"/>
      <c r="J122" s="641"/>
      <c r="K122" s="642"/>
      <c r="L122" s="1920" t="s">
        <v>30</v>
      </c>
      <c r="M122" s="1890"/>
      <c r="N122" s="1897"/>
      <c r="O122" s="1856"/>
      <c r="P122" s="1468" t="s">
        <v>1361</v>
      </c>
      <c r="Q122" s="1560"/>
      <c r="R122" s="1894"/>
      <c r="S122" s="1898"/>
      <c r="T122" s="605"/>
      <c r="U122" s="640"/>
      <c r="V122" s="1921"/>
      <c r="W122" s="1856"/>
      <c r="X122" s="605"/>
      <c r="Z122" s="282"/>
      <c r="AA122" s="282"/>
      <c r="AB122" s="1465"/>
      <c r="AC122" s="1597"/>
      <c r="AE122" s="128"/>
      <c r="AH122" s="1663"/>
      <c r="AI122" s="1560"/>
      <c r="AJ122" s="1468"/>
      <c r="AK122" s="1560"/>
      <c r="AL122" s="1465"/>
      <c r="AM122" s="1632"/>
      <c r="AN122" s="248"/>
      <c r="AO122" s="239"/>
      <c r="AP122" s="1106"/>
      <c r="AQ122" s="1594"/>
      <c r="AR122" s="1626"/>
      <c r="AS122" s="1609"/>
      <c r="AT122" s="1626"/>
      <c r="AU122" s="1609"/>
      <c r="AV122" s="1626"/>
      <c r="AW122" s="1609"/>
      <c r="AX122" s="1126"/>
      <c r="AY122" s="1619"/>
    </row>
    <row r="123" spans="1:51" s="2" customFormat="1" ht="39.75" customHeight="1" x14ac:dyDescent="0.25">
      <c r="A123" s="998" t="s">
        <v>190</v>
      </c>
      <c r="B123" s="1544"/>
      <c r="C123" s="1560"/>
      <c r="D123" s="1892"/>
      <c r="E123" s="1890"/>
      <c r="F123" s="1463"/>
      <c r="G123" s="1578"/>
      <c r="H123" s="1465"/>
      <c r="I123" s="1597"/>
      <c r="J123" s="641"/>
      <c r="K123" s="642"/>
      <c r="L123" s="1920"/>
      <c r="M123" s="1890"/>
      <c r="N123" s="605"/>
      <c r="O123" s="605"/>
      <c r="P123" s="1468"/>
      <c r="Q123" s="1560"/>
      <c r="R123" s="1894"/>
      <c r="S123" s="1898"/>
      <c r="T123" s="605"/>
      <c r="U123" s="640"/>
      <c r="V123" s="644"/>
      <c r="W123" s="605"/>
      <c r="X123" s="605"/>
      <c r="Z123" s="282"/>
      <c r="AA123" s="282"/>
      <c r="AB123" s="1465"/>
      <c r="AC123" s="1597"/>
      <c r="AE123" s="128"/>
      <c r="AF123" s="188"/>
      <c r="AI123" s="305"/>
      <c r="AJ123" s="1468"/>
      <c r="AK123" s="1560"/>
      <c r="AL123" s="1465"/>
      <c r="AM123" s="1597"/>
      <c r="AN123" s="240"/>
      <c r="AO123" s="238"/>
      <c r="AP123" s="1106"/>
      <c r="AQ123" s="1594"/>
      <c r="AR123" s="1626"/>
      <c r="AS123" s="1609"/>
      <c r="AT123" s="1626"/>
      <c r="AU123" s="1609"/>
      <c r="AV123" s="1626"/>
      <c r="AW123" s="1609"/>
      <c r="AX123" s="1126"/>
      <c r="AY123" s="1619"/>
    </row>
    <row r="124" spans="1:51" s="2" customFormat="1" ht="39.75" customHeight="1" thickBot="1" x14ac:dyDescent="0.3">
      <c r="A124" s="997"/>
      <c r="B124" s="1545"/>
      <c r="C124" s="1561"/>
      <c r="D124" s="1893"/>
      <c r="E124" s="1891"/>
      <c r="F124" s="1463"/>
      <c r="G124" s="1923"/>
      <c r="H124" s="1525"/>
      <c r="I124" s="1598"/>
      <c r="J124" s="645"/>
      <c r="K124" s="646"/>
      <c r="L124" s="1927"/>
      <c r="M124" s="1891"/>
      <c r="N124" s="647"/>
      <c r="O124" s="647"/>
      <c r="P124" s="1468"/>
      <c r="Q124" s="1561"/>
      <c r="R124" s="1895"/>
      <c r="S124" s="1899"/>
      <c r="T124" s="647"/>
      <c r="U124" s="648"/>
      <c r="V124" s="649"/>
      <c r="W124" s="647"/>
      <c r="X124" s="647"/>
      <c r="Y124" s="127"/>
      <c r="Z124" s="610"/>
      <c r="AA124" s="608"/>
      <c r="AB124" s="1525"/>
      <c r="AC124" s="1598"/>
      <c r="AD124" s="127"/>
      <c r="AE124" s="189"/>
      <c r="AF124" s="194"/>
      <c r="AG124" s="127"/>
      <c r="AH124" s="127"/>
      <c r="AI124" s="127"/>
      <c r="AJ124" s="1491"/>
      <c r="AK124" s="1561"/>
      <c r="AL124" s="1525"/>
      <c r="AM124" s="1598"/>
      <c r="AN124" s="241"/>
      <c r="AO124" s="242"/>
      <c r="AP124" s="1159"/>
      <c r="AQ124" s="1595"/>
      <c r="AR124" s="1627"/>
      <c r="AS124" s="1610"/>
      <c r="AT124" s="1627"/>
      <c r="AU124" s="1610"/>
      <c r="AV124" s="1627"/>
      <c r="AW124" s="1610"/>
      <c r="AX124" s="1127"/>
      <c r="AY124" s="1620"/>
    </row>
    <row r="125" spans="1:51" ht="26.25" customHeight="1" thickBot="1" x14ac:dyDescent="0.3">
      <c r="A125" s="519"/>
      <c r="D125" s="231"/>
      <c r="F125" s="231"/>
      <c r="G125" s="231"/>
      <c r="P125" s="231"/>
      <c r="Q125" s="231"/>
    </row>
    <row r="126" spans="1:51" ht="18.75" customHeight="1" thickBot="1" x14ac:dyDescent="0.3">
      <c r="A126" s="1190" t="s">
        <v>218</v>
      </c>
      <c r="B126" s="1147"/>
      <c r="C126" s="1190" t="s">
        <v>219</v>
      </c>
      <c r="D126" s="1146"/>
      <c r="E126" s="1146"/>
      <c r="F126" s="1146"/>
      <c r="G126" s="1146"/>
      <c r="H126" s="1146"/>
      <c r="I126" s="1146"/>
      <c r="J126" s="1146"/>
      <c r="K126" s="1146"/>
      <c r="L126" s="1146"/>
      <c r="M126" s="1146"/>
      <c r="N126" s="1146"/>
      <c r="O126" s="1190" t="s">
        <v>305</v>
      </c>
      <c r="P126" s="1146"/>
      <c r="Q126" s="1146"/>
      <c r="R126" s="1147"/>
      <c r="S126" s="1190" t="s">
        <v>143</v>
      </c>
      <c r="T126" s="1147"/>
      <c r="U126" s="1507" t="s">
        <v>167</v>
      </c>
      <c r="V126" s="1508"/>
      <c r="W126" s="1508"/>
      <c r="X126" s="1508"/>
      <c r="Y126" s="1508"/>
      <c r="Z126" s="1508"/>
      <c r="AA126" s="1508"/>
      <c r="AB126" s="1508"/>
      <c r="AC126" s="1508"/>
      <c r="AD126" s="1508"/>
      <c r="AE126" s="1508"/>
      <c r="AF126" s="1508"/>
      <c r="AG126" s="1508"/>
      <c r="AH126" s="1508"/>
      <c r="AI126" s="1508"/>
      <c r="AJ126" s="1508"/>
      <c r="AK126" s="1508"/>
      <c r="AL126" s="1508"/>
      <c r="AM126" s="1508"/>
      <c r="AN126" s="1508"/>
      <c r="AO126" s="1509"/>
      <c r="AQ126" s="1499" t="s">
        <v>1051</v>
      </c>
      <c r="AR126" s="1500"/>
      <c r="AS126" s="1500"/>
      <c r="AT126" s="1501"/>
      <c r="AV126" s="1506"/>
      <c r="AW126" s="1506"/>
      <c r="AX126" s="1506"/>
      <c r="AY126" s="1506"/>
    </row>
    <row r="127" spans="1:51" ht="15" x14ac:dyDescent="0.25">
      <c r="A127" s="1510" t="str">
        <f>VLOOKUP(O127,ASIGNATURAS!$F$1:$L$1022, 3, FALSE)</f>
        <v>EXP. GRAFICA II</v>
      </c>
      <c r="B127" s="1777"/>
      <c r="C127" s="1566" t="str">
        <f>VLOOKUP(O127,ASIGNATURAS!$F$1:$L$1022, 4, FALSE)</f>
        <v>Expresión Gráfica II</v>
      </c>
      <c r="D127" s="1566"/>
      <c r="E127" s="1566"/>
      <c r="F127" s="1566"/>
      <c r="G127" s="1566"/>
      <c r="H127" s="1566"/>
      <c r="I127" s="1566"/>
      <c r="J127" s="1566"/>
      <c r="K127" s="1566"/>
      <c r="L127" s="1566"/>
      <c r="M127" s="1566"/>
      <c r="N127" s="1566"/>
      <c r="O127" s="1517">
        <v>6317</v>
      </c>
      <c r="P127" s="1517"/>
      <c r="Q127" s="1517"/>
      <c r="R127" s="1517"/>
      <c r="S127" s="1517">
        <f>VLOOKUP(O127,ASIGNATURAS!$F$1:$L$1022, 5, FALSE)</f>
        <v>6</v>
      </c>
      <c r="T127" s="1517"/>
      <c r="U127" s="1570" t="str">
        <f>VLOOKUP(O127,ASIGNATURAS!$F$1:$L$1022, 6, FALSE)</f>
        <v>Arturo de Román Miguel, Esteban García Maté</v>
      </c>
      <c r="V127" s="1571"/>
      <c r="W127" s="1571"/>
      <c r="X127" s="1571"/>
      <c r="Y127" s="1571"/>
      <c r="Z127" s="1571"/>
      <c r="AA127" s="1571"/>
      <c r="AB127" s="1571"/>
      <c r="AC127" s="1571"/>
      <c r="AD127" s="1571"/>
      <c r="AE127" s="1571"/>
      <c r="AF127" s="1571"/>
      <c r="AG127" s="1571"/>
      <c r="AH127" s="1571"/>
      <c r="AI127" s="1571"/>
      <c r="AJ127" s="1571"/>
      <c r="AK127" s="1571"/>
      <c r="AL127" s="1571"/>
      <c r="AM127" s="1571"/>
      <c r="AN127" s="1571"/>
      <c r="AO127" s="1572"/>
      <c r="AQ127" s="1502"/>
      <c r="AR127" s="1503"/>
      <c r="AS127" s="1503"/>
      <c r="AT127" s="1504"/>
      <c r="AV127" s="1506"/>
      <c r="AW127" s="1506"/>
      <c r="AX127" s="1506"/>
      <c r="AY127" s="1506"/>
    </row>
    <row r="128" spans="1:51" ht="15" customHeight="1" x14ac:dyDescent="0.25">
      <c r="A128" s="1510" t="str">
        <f>VLOOKUP(O128,ASIGNATURAS!$F$1:$L$1022, 3, FALSE)</f>
        <v>ELECTRONICA</v>
      </c>
      <c r="B128" s="1777"/>
      <c r="C128" s="1532" t="str">
        <f>VLOOKUP(O128,ASIGNATURAS!$F$1:$L$1022, 4, FALSE)</f>
        <v>Fundamentos de Electrónica</v>
      </c>
      <c r="D128" s="1532"/>
      <c r="E128" s="1532"/>
      <c r="F128" s="1532"/>
      <c r="G128" s="1532"/>
      <c r="H128" s="1532"/>
      <c r="I128" s="1532"/>
      <c r="J128" s="1532"/>
      <c r="K128" s="1532"/>
      <c r="L128" s="1532"/>
      <c r="M128" s="1532"/>
      <c r="N128" s="1532"/>
      <c r="O128" s="1469">
        <v>6318</v>
      </c>
      <c r="P128" s="1469"/>
      <c r="Q128" s="1469"/>
      <c r="R128" s="1469"/>
      <c r="S128" s="1469">
        <f>VLOOKUP(O128,ASIGNATURAS!$F$1:$L$1022, 5, FALSE)</f>
        <v>6</v>
      </c>
      <c r="T128" s="1469"/>
      <c r="U128" s="1494" t="str">
        <f>VLOOKUP(O128,ASIGNATURAS!$F$1:$L$1022, 6, FALSE)</f>
        <v>María Isabel Dieste Velasco</v>
      </c>
      <c r="V128" s="1495"/>
      <c r="W128" s="1495"/>
      <c r="X128" s="1495"/>
      <c r="Y128" s="1495"/>
      <c r="Z128" s="1495"/>
      <c r="AA128" s="1495"/>
      <c r="AB128" s="1495"/>
      <c r="AC128" s="1495"/>
      <c r="AD128" s="1495"/>
      <c r="AE128" s="1495"/>
      <c r="AF128" s="1495"/>
      <c r="AG128" s="1495"/>
      <c r="AH128" s="1495"/>
      <c r="AI128" s="1495"/>
      <c r="AJ128" s="1495"/>
      <c r="AK128" s="1495"/>
      <c r="AL128" s="1495"/>
      <c r="AM128" s="1495"/>
      <c r="AN128" s="1495"/>
      <c r="AO128" s="1496"/>
      <c r="AQ128" s="1654" t="s">
        <v>1047</v>
      </c>
      <c r="AR128" s="1655"/>
      <c r="AS128" s="1655"/>
      <c r="AT128" s="1656"/>
      <c r="AV128" s="1633"/>
      <c r="AW128" s="1633"/>
      <c r="AX128" s="1633"/>
      <c r="AY128" s="1633"/>
    </row>
    <row r="129" spans="1:51" ht="15" customHeight="1" x14ac:dyDescent="0.25">
      <c r="A129" s="1510" t="str">
        <f>VLOOKUP(O129,ASIGNATURAS!$F$1:$L$1022, 3, FALSE)</f>
        <v>MECANISMOS</v>
      </c>
      <c r="B129" s="1777"/>
      <c r="C129" s="1532" t="str">
        <f>VLOOKUP(O129,ASIGNATURAS!$F$1:$L$1022, 4, FALSE)</f>
        <v>Mecanismos</v>
      </c>
      <c r="D129" s="1532"/>
      <c r="E129" s="1532"/>
      <c r="F129" s="1532"/>
      <c r="G129" s="1532"/>
      <c r="H129" s="1532"/>
      <c r="I129" s="1532"/>
      <c r="J129" s="1532"/>
      <c r="K129" s="1532"/>
      <c r="L129" s="1532"/>
      <c r="M129" s="1532"/>
      <c r="N129" s="1532"/>
      <c r="O129" s="1469">
        <v>6319</v>
      </c>
      <c r="P129" s="1469"/>
      <c r="Q129" s="1469"/>
      <c r="R129" s="1469"/>
      <c r="S129" s="1469">
        <f>VLOOKUP(O129,ASIGNATURAS!$F$1:$L$1022, 5, FALSE)</f>
        <v>6</v>
      </c>
      <c r="T129" s="1469"/>
      <c r="U129" s="1494" t="str">
        <f>VLOOKUP(O129,ASIGNATURAS!$F$1:$L$1022, 6, FALSE)</f>
        <v>Alberto Martínez Martínez</v>
      </c>
      <c r="V129" s="1495"/>
      <c r="W129" s="1495"/>
      <c r="X129" s="1495"/>
      <c r="Y129" s="1495"/>
      <c r="Z129" s="1495"/>
      <c r="AA129" s="1495"/>
      <c r="AB129" s="1495"/>
      <c r="AC129" s="1495"/>
      <c r="AD129" s="1495"/>
      <c r="AE129" s="1495"/>
      <c r="AF129" s="1495"/>
      <c r="AG129" s="1495"/>
      <c r="AH129" s="1495"/>
      <c r="AI129" s="1495"/>
      <c r="AJ129" s="1495"/>
      <c r="AK129" s="1495"/>
      <c r="AL129" s="1495"/>
      <c r="AM129" s="1495"/>
      <c r="AN129" s="1495"/>
      <c r="AO129" s="1496"/>
      <c r="AQ129" s="1473" t="s">
        <v>579</v>
      </c>
      <c r="AR129" s="1474"/>
      <c r="AS129" s="1474"/>
      <c r="AT129" s="1475"/>
      <c r="AV129" s="1476"/>
      <c r="AW129" s="1476"/>
      <c r="AX129" s="1476"/>
      <c r="AY129" s="1476"/>
    </row>
    <row r="130" spans="1:51" ht="15" customHeight="1" x14ac:dyDescent="0.25">
      <c r="A130" s="1510" t="str">
        <f>VLOOKUP(O130,ASIGNATURAS!$F$1:$L$1022, 3, FALSE)</f>
        <v>E.C.N.</v>
      </c>
      <c r="B130" s="1777"/>
      <c r="C130" s="1532" t="str">
        <f>VLOOKUP(O130,ASIGNATURAS!$F$1:$L$1022, 4, FALSE)</f>
        <v>Estadística y Cálculo Numérico</v>
      </c>
      <c r="D130" s="1532"/>
      <c r="E130" s="1532"/>
      <c r="F130" s="1532"/>
      <c r="G130" s="1532"/>
      <c r="H130" s="1532"/>
      <c r="I130" s="1532"/>
      <c r="J130" s="1532"/>
      <c r="K130" s="1532"/>
      <c r="L130" s="1532"/>
      <c r="M130" s="1532"/>
      <c r="N130" s="1532"/>
      <c r="O130" s="1469">
        <v>6320</v>
      </c>
      <c r="P130" s="1469"/>
      <c r="Q130" s="1469"/>
      <c r="R130" s="1469"/>
      <c r="S130" s="1469">
        <f>VLOOKUP(O130,ASIGNATURAS!$F$1:$L$1022, 5, FALSE)</f>
        <v>6</v>
      </c>
      <c r="T130" s="1469"/>
      <c r="U130" s="1494" t="str">
        <f>VLOOKUP(O130,ASIGNATURAS!$F$1:$L$1022, 6, FALSE)</f>
        <v>Alvaro Díez-Labín, Raúl del Barrio</v>
      </c>
      <c r="V130" s="1495"/>
      <c r="W130" s="1495"/>
      <c r="X130" s="1495"/>
      <c r="Y130" s="1495"/>
      <c r="Z130" s="1495"/>
      <c r="AA130" s="1495"/>
      <c r="AB130" s="1495"/>
      <c r="AC130" s="1495"/>
      <c r="AD130" s="1495"/>
      <c r="AE130" s="1495"/>
      <c r="AF130" s="1495"/>
      <c r="AG130" s="1495"/>
      <c r="AH130" s="1495"/>
      <c r="AI130" s="1495"/>
      <c r="AJ130" s="1495"/>
      <c r="AK130" s="1495"/>
      <c r="AL130" s="1495"/>
      <c r="AM130" s="1495"/>
      <c r="AN130" s="1495"/>
      <c r="AO130" s="1496"/>
      <c r="AQ130" s="1473" t="s">
        <v>580</v>
      </c>
      <c r="AR130" s="1474"/>
      <c r="AS130" s="1474"/>
      <c r="AT130" s="1475"/>
      <c r="AV130" s="1476"/>
      <c r="AW130" s="1476"/>
      <c r="AX130" s="1476"/>
      <c r="AY130" s="1476"/>
    </row>
    <row r="131" spans="1:51" ht="15.75" customHeight="1" thickBot="1" x14ac:dyDescent="0.3">
      <c r="A131" s="1523" t="str">
        <f>VLOOKUP(O131,ASIGNATURAS!$F$1:$L$1022, 3, FALSE)</f>
        <v>ORGANIZACION</v>
      </c>
      <c r="B131" s="1824"/>
      <c r="C131" s="1736" t="str">
        <f>VLOOKUP(O131,ASIGNATURAS!$F$1:$L$1022, 4, FALSE)</f>
        <v>Organización de la Producción</v>
      </c>
      <c r="D131" s="1736"/>
      <c r="E131" s="1736"/>
      <c r="F131" s="1736"/>
      <c r="G131" s="1736"/>
      <c r="H131" s="1736"/>
      <c r="I131" s="1736"/>
      <c r="J131" s="1736"/>
      <c r="K131" s="1736"/>
      <c r="L131" s="1736"/>
      <c r="M131" s="1736"/>
      <c r="N131" s="1736"/>
      <c r="O131" s="1486">
        <v>6321</v>
      </c>
      <c r="P131" s="1486"/>
      <c r="Q131" s="1486"/>
      <c r="R131" s="1486"/>
      <c r="S131" s="1486">
        <f>VLOOKUP(O131,ASIGNATURAS!$F$1:$L$1022, 5, FALSE)</f>
        <v>6</v>
      </c>
      <c r="T131" s="1486"/>
      <c r="U131" s="1487" t="str">
        <f>VLOOKUP(O131,ASIGNATURAS!$F$1:$L$1022, 6, FALSE)</f>
        <v>Óscar Jesus González Alcántara</v>
      </c>
      <c r="V131" s="1488"/>
      <c r="W131" s="1488"/>
      <c r="X131" s="1488"/>
      <c r="Y131" s="1488"/>
      <c r="Z131" s="1488"/>
      <c r="AA131" s="1488"/>
      <c r="AB131" s="1488"/>
      <c r="AC131" s="1488"/>
      <c r="AD131" s="1488"/>
      <c r="AE131" s="1488"/>
      <c r="AF131" s="1488"/>
      <c r="AG131" s="1488"/>
      <c r="AH131" s="1488"/>
      <c r="AI131" s="1488"/>
      <c r="AJ131" s="1488"/>
      <c r="AK131" s="1488"/>
      <c r="AL131" s="1488"/>
      <c r="AM131" s="1488"/>
      <c r="AN131" s="1488"/>
      <c r="AO131" s="1489"/>
      <c r="AQ131" s="1473" t="s">
        <v>581</v>
      </c>
      <c r="AR131" s="1474"/>
      <c r="AS131" s="1474"/>
      <c r="AT131" s="1475"/>
      <c r="AV131" s="1644"/>
      <c r="AW131" s="1644"/>
      <c r="AX131" s="1644"/>
      <c r="AY131" s="1644"/>
    </row>
    <row r="132" spans="1:51" ht="13.8" thickBot="1" x14ac:dyDescent="0.3">
      <c r="AQ132" s="1634" t="s">
        <v>582</v>
      </c>
      <c r="AR132" s="1635"/>
      <c r="AS132" s="1635"/>
      <c r="AT132" s="1636"/>
    </row>
    <row r="133" spans="1:51" ht="15" customHeight="1" x14ac:dyDescent="0.25"/>
    <row r="134" spans="1:51" ht="24.6" x14ac:dyDescent="0.4">
      <c r="A134" s="81"/>
    </row>
    <row r="135" spans="1:51" ht="24" customHeight="1" x14ac:dyDescent="0.25">
      <c r="A135" s="350"/>
    </row>
    <row r="136" spans="1:51" ht="14.4" thickBot="1" x14ac:dyDescent="0.3">
      <c r="A136" s="104" t="s">
        <v>217</v>
      </c>
    </row>
    <row r="137" spans="1:51" s="1" customFormat="1" ht="31.5" customHeight="1" thickBot="1" x14ac:dyDescent="0.45">
      <c r="A137" s="1094" t="str">
        <f>VLOOKUP(A140,ASIGNATURAS!$A$2:$D$151, 3, FALSE)</f>
        <v>3º Grado en Ingeniería Mecánica</v>
      </c>
      <c r="B137" s="1095"/>
      <c r="C137" s="1095"/>
      <c r="D137" s="1095"/>
      <c r="E137" s="1095"/>
      <c r="F137" s="1095"/>
      <c r="G137" s="1095"/>
      <c r="H137" s="1095"/>
      <c r="I137" s="1095"/>
      <c r="J137" s="1095"/>
      <c r="K137" s="1095"/>
      <c r="L137" s="1095"/>
      <c r="M137" s="1095"/>
      <c r="N137" s="1095"/>
      <c r="O137" s="1095"/>
      <c r="P137" s="1095"/>
      <c r="Q137" s="1095"/>
      <c r="R137" s="1095"/>
      <c r="S137" s="1095"/>
      <c r="T137" s="1095"/>
      <c r="U137" s="1095"/>
      <c r="V137" s="1095"/>
      <c r="W137" s="1095"/>
      <c r="X137" s="1095"/>
      <c r="Y137" s="1095"/>
      <c r="Z137" s="1095"/>
      <c r="AA137" s="1095"/>
      <c r="AB137" s="1095"/>
      <c r="AC137" s="1095"/>
      <c r="AD137" s="1095"/>
      <c r="AE137" s="1095"/>
      <c r="AF137" s="1095"/>
      <c r="AG137" s="1095"/>
      <c r="AH137" s="1095"/>
      <c r="AI137" s="1095"/>
      <c r="AJ137" s="1095"/>
      <c r="AK137" s="1095"/>
      <c r="AL137" s="1095"/>
      <c r="AM137" s="1095"/>
      <c r="AN137" s="1095"/>
      <c r="AO137" s="1096"/>
      <c r="AP137" s="1091" t="str">
        <f>Aulas!G5</f>
        <v>Curso 2024-2025</v>
      </c>
      <c r="AQ137" s="1092"/>
      <c r="AR137" s="1092"/>
      <c r="AS137" s="1092"/>
      <c r="AT137" s="1092"/>
      <c r="AU137" s="1092"/>
      <c r="AV137" s="1092"/>
      <c r="AW137" s="1092"/>
      <c r="AX137" s="1092"/>
      <c r="AY137" s="1093"/>
    </row>
    <row r="138" spans="1:51" s="8" customFormat="1" ht="23.25" customHeight="1" thickBot="1" x14ac:dyDescent="0.45">
      <c r="A138" s="1083" t="str">
        <f>VLOOKUP(A140,ASIGNATURAS!$A$2:$D$151, 2, FALSE)</f>
        <v>Semestre temporal: 1º        (5º Semestre Académico)</v>
      </c>
      <c r="B138" s="1084"/>
      <c r="C138" s="1084"/>
      <c r="D138" s="1084"/>
      <c r="E138" s="1084"/>
      <c r="F138" s="1084"/>
      <c r="G138" s="1084"/>
      <c r="H138" s="1084"/>
      <c r="I138" s="1084"/>
      <c r="J138" s="1084"/>
      <c r="K138" s="1084"/>
      <c r="L138" s="1084"/>
      <c r="M138" s="1084"/>
      <c r="N138" s="1084"/>
      <c r="O138" s="1084"/>
      <c r="P138" s="1084"/>
      <c r="Q138" s="1084"/>
      <c r="R138" s="1084"/>
      <c r="S138" s="1084"/>
      <c r="T138" s="1084"/>
      <c r="U138" s="1084"/>
      <c r="V138" s="1084"/>
      <c r="W138" s="1084"/>
      <c r="X138" s="1084"/>
      <c r="Y138" s="1084"/>
      <c r="Z138" s="1084"/>
      <c r="AA138" s="1084"/>
      <c r="AB138" s="1084"/>
      <c r="AC138" s="1084"/>
      <c r="AD138" s="1084"/>
      <c r="AE138" s="1084"/>
      <c r="AF138" s="1084"/>
      <c r="AG138" s="1084"/>
      <c r="AH138" s="1084"/>
      <c r="AI138" s="1084"/>
      <c r="AJ138" s="1084"/>
      <c r="AK138" s="1084"/>
      <c r="AL138" s="1084"/>
      <c r="AM138" s="1084"/>
      <c r="AN138" s="1084"/>
      <c r="AO138" s="1085"/>
      <c r="AP138" s="1642" t="s">
        <v>159</v>
      </c>
      <c r="AQ138" s="1072"/>
      <c r="AR138" s="1072"/>
      <c r="AS138" s="1072"/>
      <c r="AT138" s="1072"/>
      <c r="AU138" s="1072"/>
      <c r="AV138" s="1072"/>
      <c r="AW138" s="1072"/>
      <c r="AX138" s="1072"/>
      <c r="AY138" s="1073"/>
    </row>
    <row r="139" spans="1:51" s="8" customFormat="1" ht="23.25" customHeight="1" thickBot="1" x14ac:dyDescent="0.45">
      <c r="A139" s="1083" t="s">
        <v>142</v>
      </c>
      <c r="B139" s="1084"/>
      <c r="C139" s="1084"/>
      <c r="D139" s="1084"/>
      <c r="E139" s="1084"/>
      <c r="F139" s="1084"/>
      <c r="G139" s="1084"/>
      <c r="H139" s="1084"/>
      <c r="I139" s="1084"/>
      <c r="J139" s="1084"/>
      <c r="K139" s="1084"/>
      <c r="L139" s="1084"/>
      <c r="M139" s="1084"/>
      <c r="N139" s="1084"/>
      <c r="O139" s="1084"/>
      <c r="P139" s="1084"/>
      <c r="Q139" s="1084"/>
      <c r="R139" s="1084"/>
      <c r="S139" s="1084"/>
      <c r="T139" s="1084"/>
      <c r="U139" s="1084"/>
      <c r="V139" s="1084"/>
      <c r="W139" s="1084"/>
      <c r="X139" s="1084"/>
      <c r="Y139" s="1084"/>
      <c r="Z139" s="1084"/>
      <c r="AA139" s="1084"/>
      <c r="AB139" s="1084"/>
      <c r="AC139" s="1084"/>
      <c r="AD139" s="1084"/>
      <c r="AE139" s="1084"/>
      <c r="AF139" s="1084"/>
      <c r="AG139" s="1084"/>
      <c r="AH139" s="1084"/>
      <c r="AI139" s="1084"/>
      <c r="AJ139" s="1084"/>
      <c r="AK139" s="1084"/>
      <c r="AL139" s="1084"/>
      <c r="AM139" s="1084"/>
      <c r="AN139" s="1084"/>
      <c r="AO139" s="1085"/>
      <c r="AP139" s="1643"/>
      <c r="AQ139" s="1074"/>
      <c r="AR139" s="1074"/>
      <c r="AS139" s="1074"/>
      <c r="AT139" s="1074"/>
      <c r="AU139" s="1074"/>
      <c r="AV139" s="1074"/>
      <c r="AW139" s="1074"/>
      <c r="AX139" s="1074"/>
      <c r="AY139" s="1075"/>
    </row>
    <row r="140" spans="1:51" ht="38.25" customHeight="1" thickBot="1" x14ac:dyDescent="0.3">
      <c r="A140" s="9" t="s">
        <v>18</v>
      </c>
    </row>
    <row r="141" spans="1:51" s="2" customFormat="1" ht="24" customHeight="1" thickBot="1" x14ac:dyDescent="0.3">
      <c r="A141" s="19" t="s">
        <v>1</v>
      </c>
      <c r="B141" s="1076" t="s">
        <v>2</v>
      </c>
      <c r="C141" s="1077"/>
      <c r="D141" s="1077"/>
      <c r="E141" s="1077"/>
      <c r="F141" s="1077"/>
      <c r="G141" s="1077"/>
      <c r="H141" s="1077"/>
      <c r="I141" s="1077"/>
      <c r="J141" s="1077"/>
      <c r="K141" s="1078"/>
      <c r="L141" s="1076" t="s">
        <v>3</v>
      </c>
      <c r="M141" s="1077"/>
      <c r="N141" s="1077"/>
      <c r="O141" s="1077"/>
      <c r="P141" s="1077"/>
      <c r="Q141" s="1077"/>
      <c r="R141" s="1077"/>
      <c r="S141" s="1077"/>
      <c r="T141" s="1077"/>
      <c r="U141" s="1078"/>
      <c r="V141" s="1076" t="s">
        <v>139</v>
      </c>
      <c r="W141" s="1077"/>
      <c r="X141" s="1077"/>
      <c r="Y141" s="1077"/>
      <c r="Z141" s="1077"/>
      <c r="AA141" s="1077"/>
      <c r="AB141" s="1077"/>
      <c r="AC141" s="1077"/>
      <c r="AD141" s="1077"/>
      <c r="AE141" s="1078"/>
      <c r="AF141" s="1076" t="s">
        <v>4</v>
      </c>
      <c r="AG141" s="1077"/>
      <c r="AH141" s="1077"/>
      <c r="AI141" s="1077"/>
      <c r="AJ141" s="1077"/>
      <c r="AK141" s="1077"/>
      <c r="AL141" s="1077"/>
      <c r="AM141" s="1077"/>
      <c r="AN141" s="1077"/>
      <c r="AO141" s="1078"/>
      <c r="AP141" s="1091" t="s">
        <v>5</v>
      </c>
      <c r="AQ141" s="1092"/>
      <c r="AR141" s="1092"/>
      <c r="AS141" s="1092"/>
      <c r="AT141" s="1092"/>
      <c r="AU141" s="1092"/>
      <c r="AV141" s="1092"/>
      <c r="AW141" s="1092"/>
      <c r="AX141" s="1092"/>
      <c r="AY141" s="1093"/>
    </row>
    <row r="142" spans="1:51" ht="42.75" customHeight="1" x14ac:dyDescent="0.25">
      <c r="A142" s="1086" t="s">
        <v>10</v>
      </c>
      <c r="B142" s="1600" t="s">
        <v>34</v>
      </c>
      <c r="C142" s="1601"/>
      <c r="D142" s="1601"/>
      <c r="E142" s="1601"/>
      <c r="F142" s="1601"/>
      <c r="G142" s="1601"/>
      <c r="H142" s="1601"/>
      <c r="I142" s="1601"/>
      <c r="J142" s="1601"/>
      <c r="K142" s="1604"/>
      <c r="L142" s="1600" t="s">
        <v>35</v>
      </c>
      <c r="M142" s="1601"/>
      <c r="N142" s="1601"/>
      <c r="O142" s="1601"/>
      <c r="P142" s="1601"/>
      <c r="Q142" s="1601"/>
      <c r="R142" s="1601"/>
      <c r="S142" s="1601"/>
      <c r="T142" s="1601"/>
      <c r="U142" s="1604"/>
      <c r="V142" s="1600" t="s">
        <v>36</v>
      </c>
      <c r="W142" s="1601"/>
      <c r="X142" s="1601"/>
      <c r="Y142" s="1601"/>
      <c r="Z142" s="1601"/>
      <c r="AA142" s="1601"/>
      <c r="AB142" s="1601"/>
      <c r="AC142" s="1601"/>
      <c r="AD142" s="1601"/>
      <c r="AE142" s="1604"/>
      <c r="AF142" s="1600" t="s">
        <v>171</v>
      </c>
      <c r="AG142" s="1601"/>
      <c r="AH142" s="1601"/>
      <c r="AI142" s="1601"/>
      <c r="AJ142" s="1601"/>
      <c r="AK142" s="1601"/>
      <c r="AL142" s="1601"/>
      <c r="AM142" s="1601"/>
      <c r="AN142" s="1601"/>
      <c r="AO142" s="1604"/>
      <c r="AP142" s="1628"/>
      <c r="AQ142" s="1629"/>
      <c r="AR142" s="1629"/>
      <c r="AS142" s="1629"/>
      <c r="AT142" s="1629"/>
      <c r="AU142" s="1629"/>
      <c r="AV142" s="1629"/>
      <c r="AW142" s="1629"/>
      <c r="AX142" s="1629"/>
      <c r="AY142" s="1630"/>
    </row>
    <row r="143" spans="1:51" ht="42.75" customHeight="1" thickBot="1" x14ac:dyDescent="0.3">
      <c r="A143" s="1087"/>
      <c r="B143" s="1605" t="s">
        <v>159</v>
      </c>
      <c r="C143" s="1606"/>
      <c r="D143" s="1606"/>
      <c r="E143" s="1606"/>
      <c r="F143" s="1606"/>
      <c r="G143" s="1606"/>
      <c r="H143" s="1606"/>
      <c r="I143" s="1606"/>
      <c r="J143" s="1606"/>
      <c r="K143" s="1607"/>
      <c r="L143" s="1605" t="s">
        <v>538</v>
      </c>
      <c r="M143" s="1606"/>
      <c r="N143" s="1606"/>
      <c r="O143" s="1606"/>
      <c r="P143" s="1606"/>
      <c r="Q143" s="1606"/>
      <c r="R143" s="1606"/>
      <c r="S143" s="1606"/>
      <c r="T143" s="1606"/>
      <c r="U143" s="1607"/>
      <c r="V143" s="1605" t="s">
        <v>159</v>
      </c>
      <c r="W143" s="1606"/>
      <c r="X143" s="1606"/>
      <c r="Y143" s="1606"/>
      <c r="Z143" s="1606"/>
      <c r="AA143" s="1606"/>
      <c r="AB143" s="1606"/>
      <c r="AC143" s="1606"/>
      <c r="AD143" s="1606"/>
      <c r="AE143" s="1607"/>
      <c r="AF143" s="1605" t="s">
        <v>159</v>
      </c>
      <c r="AG143" s="1606"/>
      <c r="AH143" s="1606"/>
      <c r="AI143" s="1606"/>
      <c r="AJ143" s="1606"/>
      <c r="AK143" s="1606"/>
      <c r="AL143" s="1606"/>
      <c r="AM143" s="1606"/>
      <c r="AN143" s="1606"/>
      <c r="AO143" s="1607"/>
      <c r="AP143" s="1930"/>
      <c r="AQ143" s="1931"/>
      <c r="AR143" s="1931"/>
      <c r="AS143" s="1931"/>
      <c r="AT143" s="1931"/>
      <c r="AU143" s="1931"/>
      <c r="AV143" s="1931"/>
      <c r="AW143" s="1931"/>
      <c r="AX143" s="1931"/>
      <c r="AY143" s="1932"/>
    </row>
    <row r="144" spans="1:51" ht="42.75" customHeight="1" x14ac:dyDescent="0.25">
      <c r="A144" s="1087" t="s">
        <v>11</v>
      </c>
      <c r="B144" s="1671" t="s">
        <v>34</v>
      </c>
      <c r="C144" s="1672"/>
      <c r="D144" s="1672"/>
      <c r="E144" s="1672"/>
      <c r="F144" s="1672"/>
      <c r="G144" s="1672"/>
      <c r="H144" s="1672"/>
      <c r="I144" s="1672"/>
      <c r="J144" s="1672"/>
      <c r="K144" s="1673"/>
      <c r="L144" s="1671" t="s">
        <v>1013</v>
      </c>
      <c r="M144" s="1672"/>
      <c r="N144" s="1672"/>
      <c r="O144" s="1672"/>
      <c r="P144" s="1672"/>
      <c r="Q144" s="1672"/>
      <c r="R144" s="1672"/>
      <c r="S144" s="1672"/>
      <c r="T144" s="1672"/>
      <c r="U144" s="1673"/>
      <c r="V144" s="1671" t="s">
        <v>36</v>
      </c>
      <c r="W144" s="1672"/>
      <c r="X144" s="1672"/>
      <c r="Y144" s="1672"/>
      <c r="Z144" s="1672"/>
      <c r="AA144" s="1672"/>
      <c r="AB144" s="1672"/>
      <c r="AC144" s="1672"/>
      <c r="AD144" s="1672"/>
      <c r="AE144" s="1673"/>
      <c r="AF144" s="1671" t="s">
        <v>171</v>
      </c>
      <c r="AG144" s="1672"/>
      <c r="AH144" s="1672"/>
      <c r="AI144" s="1672"/>
      <c r="AJ144" s="1672"/>
      <c r="AK144" s="1672"/>
      <c r="AL144" s="1672"/>
      <c r="AM144" s="1672"/>
      <c r="AN144" s="1672"/>
      <c r="AO144" s="1673"/>
      <c r="AP144" s="1600" t="s">
        <v>1013</v>
      </c>
      <c r="AQ144" s="1601"/>
      <c r="AR144" s="1601"/>
      <c r="AS144" s="1601"/>
      <c r="AT144" s="1601"/>
      <c r="AU144" s="1601"/>
      <c r="AV144" s="1601"/>
      <c r="AW144" s="1601"/>
      <c r="AX144" s="1601"/>
      <c r="AY144" s="1604"/>
    </row>
    <row r="145" spans="1:70" ht="42.75" customHeight="1" thickBot="1" x14ac:dyDescent="0.3">
      <c r="A145" s="1087"/>
      <c r="B145" s="1605" t="s">
        <v>159</v>
      </c>
      <c r="C145" s="1606"/>
      <c r="D145" s="1606"/>
      <c r="E145" s="1606"/>
      <c r="F145" s="1606"/>
      <c r="G145" s="1606"/>
      <c r="H145" s="1606"/>
      <c r="I145" s="1606"/>
      <c r="J145" s="1606"/>
      <c r="K145" s="1607"/>
      <c r="L145" s="1605" t="s">
        <v>159</v>
      </c>
      <c r="M145" s="1606"/>
      <c r="N145" s="1606"/>
      <c r="O145" s="1606"/>
      <c r="P145" s="1606"/>
      <c r="Q145" s="1606"/>
      <c r="R145" s="1606"/>
      <c r="S145" s="1606"/>
      <c r="T145" s="1606"/>
      <c r="U145" s="1607"/>
      <c r="V145" s="1605" t="s">
        <v>159</v>
      </c>
      <c r="W145" s="1606"/>
      <c r="X145" s="1606"/>
      <c r="Y145" s="1606"/>
      <c r="Z145" s="1606"/>
      <c r="AA145" s="1606"/>
      <c r="AB145" s="1606"/>
      <c r="AC145" s="1606"/>
      <c r="AD145" s="1606"/>
      <c r="AE145" s="1607"/>
      <c r="AF145" s="1605" t="s">
        <v>159</v>
      </c>
      <c r="AG145" s="1606"/>
      <c r="AH145" s="1606"/>
      <c r="AI145" s="1606"/>
      <c r="AJ145" s="1606"/>
      <c r="AK145" s="1606"/>
      <c r="AL145" s="1606"/>
      <c r="AM145" s="1606"/>
      <c r="AN145" s="1606"/>
      <c r="AO145" s="1607"/>
      <c r="AP145" s="1605" t="s">
        <v>159</v>
      </c>
      <c r="AQ145" s="1606"/>
      <c r="AR145" s="1606"/>
      <c r="AS145" s="1606"/>
      <c r="AT145" s="1606"/>
      <c r="AU145" s="1606"/>
      <c r="AV145" s="1606"/>
      <c r="AW145" s="1606"/>
      <c r="AX145" s="1606"/>
      <c r="AY145" s="1607"/>
    </row>
    <row r="146" spans="1:70" ht="42.75" customHeight="1" x14ac:dyDescent="0.25">
      <c r="A146" s="1143" t="s">
        <v>6</v>
      </c>
      <c r="B146" s="473" t="s">
        <v>579</v>
      </c>
      <c r="C146" s="1660" t="s">
        <v>1325</v>
      </c>
      <c r="D146" s="232" t="s">
        <v>580</v>
      </c>
      <c r="E146" s="1559" t="s">
        <v>1323</v>
      </c>
      <c r="F146" s="569"/>
      <c r="G146" s="1617"/>
      <c r="H146" s="495"/>
      <c r="I146" s="1657"/>
      <c r="J146" s="1857"/>
      <c r="K146" s="1680"/>
      <c r="L146" s="489" t="s">
        <v>579</v>
      </c>
      <c r="M146" s="1967" t="s">
        <v>538</v>
      </c>
      <c r="N146" s="427" t="s">
        <v>580</v>
      </c>
      <c r="O146" s="1660" t="s">
        <v>1325</v>
      </c>
      <c r="P146" s="569"/>
      <c r="Q146" s="1609"/>
      <c r="T146" s="217"/>
      <c r="U146" s="1618"/>
      <c r="V146" s="427" t="s">
        <v>579</v>
      </c>
      <c r="W146" s="1971" t="s">
        <v>1326</v>
      </c>
      <c r="X146" s="232" t="s">
        <v>580</v>
      </c>
      <c r="Y146" s="1661" t="s">
        <v>538</v>
      </c>
      <c r="Z146" s="170"/>
      <c r="AA146" s="493"/>
      <c r="AD146" s="172"/>
      <c r="AE146" s="1943"/>
      <c r="AF146" s="427" t="s">
        <v>579</v>
      </c>
      <c r="AG146" s="1967" t="s">
        <v>164</v>
      </c>
      <c r="AH146" s="474" t="s">
        <v>580</v>
      </c>
      <c r="AI146" s="2000" t="s">
        <v>1326</v>
      </c>
      <c r="AJ146" s="634"/>
      <c r="AK146" s="1949"/>
      <c r="AL146" s="635"/>
      <c r="AM146" s="1977"/>
      <c r="AN146" s="244"/>
      <c r="AO146" s="1943"/>
      <c r="AP146" s="785"/>
      <c r="AQ146" s="1625"/>
      <c r="AR146" s="172"/>
      <c r="AS146" s="1933"/>
      <c r="AT146" s="635"/>
      <c r="AU146" s="1977"/>
      <c r="AX146" s="170"/>
      <c r="AY146" s="1665"/>
    </row>
    <row r="147" spans="1:70" ht="42.75" customHeight="1" x14ac:dyDescent="0.4">
      <c r="A147" s="1143"/>
      <c r="B147" s="1463" t="s">
        <v>36</v>
      </c>
      <c r="C147" s="1661"/>
      <c r="D147" s="1468" t="s">
        <v>171</v>
      </c>
      <c r="E147" s="1560"/>
      <c r="F147" s="1935"/>
      <c r="G147" s="1617"/>
      <c r="H147" s="1589"/>
      <c r="I147" s="1658"/>
      <c r="J147" s="1857"/>
      <c r="K147" s="1680"/>
      <c r="L147" s="1953" t="s">
        <v>35</v>
      </c>
      <c r="M147" s="1967"/>
      <c r="N147" s="1892" t="s">
        <v>36</v>
      </c>
      <c r="O147" s="1661"/>
      <c r="P147" s="1528"/>
      <c r="Q147" s="1609"/>
      <c r="T147" s="1492"/>
      <c r="U147" s="1619"/>
      <c r="V147" s="1892" t="s">
        <v>34</v>
      </c>
      <c r="W147" s="1971"/>
      <c r="X147" s="1468" t="s">
        <v>35</v>
      </c>
      <c r="Y147" s="1661"/>
      <c r="Z147" s="233"/>
      <c r="AA147" s="493"/>
      <c r="AD147" s="1528"/>
      <c r="AE147" s="1943"/>
      <c r="AF147" s="1892" t="s">
        <v>1013</v>
      </c>
      <c r="AG147" s="1967"/>
      <c r="AH147" s="1892" t="s">
        <v>34</v>
      </c>
      <c r="AI147" s="1967"/>
      <c r="AJ147" s="1938"/>
      <c r="AK147" s="1949"/>
      <c r="AL147" s="1527"/>
      <c r="AM147" s="1780"/>
      <c r="AN147" s="1528"/>
      <c r="AO147" s="1943"/>
      <c r="AP147" s="1973"/>
      <c r="AQ147" s="1594"/>
      <c r="AR147" s="1528"/>
      <c r="AS147" s="1617"/>
      <c r="AT147" s="1527"/>
      <c r="AU147" s="1780"/>
      <c r="AX147" s="1492"/>
      <c r="AY147" s="1665"/>
      <c r="AZ147" s="81"/>
    </row>
    <row r="148" spans="1:70" ht="42.75" customHeight="1" x14ac:dyDescent="0.25">
      <c r="A148" s="1087" t="s">
        <v>7</v>
      </c>
      <c r="B148" s="1544"/>
      <c r="C148" s="1661"/>
      <c r="D148" s="1468"/>
      <c r="E148" s="1560"/>
      <c r="F148" s="1935"/>
      <c r="G148" s="1617"/>
      <c r="H148" s="1589"/>
      <c r="I148" s="1658"/>
      <c r="J148" s="1857"/>
      <c r="K148" s="1680"/>
      <c r="L148" s="1953"/>
      <c r="M148" s="1967"/>
      <c r="N148" s="1892"/>
      <c r="O148" s="1661"/>
      <c r="P148" s="1528"/>
      <c r="Q148" s="1609"/>
      <c r="T148" s="1492"/>
      <c r="U148" s="1619"/>
      <c r="V148" s="1892"/>
      <c r="W148" s="1971"/>
      <c r="X148" s="1468"/>
      <c r="Y148" s="1661"/>
      <c r="Z148" s="233"/>
      <c r="AA148" s="493"/>
      <c r="AD148" s="1528"/>
      <c r="AE148" s="1943"/>
      <c r="AF148" s="1892"/>
      <c r="AG148" s="1967"/>
      <c r="AH148" s="1892"/>
      <c r="AI148" s="1967"/>
      <c r="AJ148" s="1938"/>
      <c r="AK148" s="1949"/>
      <c r="AL148" s="1527"/>
      <c r="AM148" s="1780"/>
      <c r="AN148" s="1528"/>
      <c r="AO148" s="1943"/>
      <c r="AP148" s="1973"/>
      <c r="AQ148" s="1594"/>
      <c r="AR148" s="1528"/>
      <c r="AS148" s="1617"/>
      <c r="AT148" s="1527"/>
      <c r="AU148" s="1780"/>
      <c r="AX148" s="1492"/>
      <c r="AY148" s="1665"/>
      <c r="BQ148" s="618"/>
      <c r="BR148" s="1674"/>
    </row>
    <row r="149" spans="1:70" ht="42.75" customHeight="1" x14ac:dyDescent="0.25">
      <c r="A149" s="1087"/>
      <c r="B149" s="1664"/>
      <c r="C149" s="1661"/>
      <c r="D149" s="1663"/>
      <c r="E149" s="1856"/>
      <c r="F149" s="2002"/>
      <c r="G149" s="1934"/>
      <c r="H149" s="1778"/>
      <c r="I149" s="1659"/>
      <c r="J149" s="1858"/>
      <c r="K149" s="1859"/>
      <c r="L149" s="1953"/>
      <c r="M149" s="1967"/>
      <c r="N149" s="1897"/>
      <c r="O149" s="1661"/>
      <c r="P149" s="1948"/>
      <c r="Q149" s="1937"/>
      <c r="T149" s="1599"/>
      <c r="U149" s="1647"/>
      <c r="V149" s="1897"/>
      <c r="W149" s="1972"/>
      <c r="X149" s="1468"/>
      <c r="Y149" s="1661"/>
      <c r="Z149" s="233"/>
      <c r="AA149" s="493"/>
      <c r="AD149" s="1948"/>
      <c r="AE149" s="1944"/>
      <c r="AF149" s="1897"/>
      <c r="AG149" s="1968"/>
      <c r="AH149" s="1897"/>
      <c r="AI149" s="1968"/>
      <c r="AJ149" s="1939"/>
      <c r="AK149" s="1950"/>
      <c r="AL149" s="1786"/>
      <c r="AM149" s="1781"/>
      <c r="AN149" s="1948"/>
      <c r="AO149" s="1944"/>
      <c r="AP149" s="1974"/>
      <c r="AQ149" s="1646"/>
      <c r="AR149" s="1948"/>
      <c r="AS149" s="1934"/>
      <c r="AT149" s="1786"/>
      <c r="AU149" s="1781"/>
      <c r="AV149" s="201"/>
      <c r="AX149" s="1599"/>
      <c r="AY149" s="1783"/>
      <c r="BJ149" s="618"/>
      <c r="BK149" s="1674"/>
      <c r="BQ149" s="1641"/>
      <c r="BR149" s="1674"/>
    </row>
    <row r="150" spans="1:70" ht="42.75" customHeight="1" x14ac:dyDescent="0.25">
      <c r="A150" s="1087" t="s">
        <v>8</v>
      </c>
      <c r="B150" s="628" t="s">
        <v>579</v>
      </c>
      <c r="C150" s="1773" t="s">
        <v>1338</v>
      </c>
      <c r="D150" s="170"/>
      <c r="E150" s="1669"/>
      <c r="F150" s="569"/>
      <c r="G150" s="1616"/>
      <c r="H150" s="1860"/>
      <c r="I150" s="1955"/>
      <c r="J150" s="1860"/>
      <c r="K150" s="1677"/>
      <c r="L150" s="1953"/>
      <c r="M150" s="1967"/>
      <c r="N150" s="170"/>
      <c r="O150" s="1669"/>
      <c r="P150" s="569"/>
      <c r="Q150" s="1616"/>
      <c r="R150" s="1676"/>
      <c r="S150" s="1676"/>
      <c r="T150" s="424"/>
      <c r="U150" s="1617"/>
      <c r="V150" s="171"/>
      <c r="W150" s="1616"/>
      <c r="X150" s="1468"/>
      <c r="Y150" s="1661"/>
      <c r="Z150" s="424"/>
      <c r="AA150" s="1616"/>
      <c r="AB150" s="494"/>
      <c r="AC150" s="1969"/>
      <c r="AD150" s="424"/>
      <c r="AE150" s="1943"/>
      <c r="AH150" s="199"/>
      <c r="AJ150" s="621"/>
      <c r="AK150" s="1942"/>
      <c r="AL150" s="172"/>
      <c r="AM150" s="1616"/>
      <c r="AN150" s="172"/>
      <c r="AO150" s="1943"/>
      <c r="AP150" s="171"/>
      <c r="AQ150" s="1617"/>
      <c r="AR150" s="424"/>
      <c r="AS150" s="1616"/>
      <c r="AT150" s="172"/>
      <c r="AU150" s="1617"/>
      <c r="AV150" s="172"/>
      <c r="AW150" s="1616"/>
      <c r="AX150" s="170"/>
      <c r="AY150" s="1665"/>
      <c r="BJ150" s="1641"/>
      <c r="BK150" s="1674"/>
      <c r="BQ150" s="1641"/>
      <c r="BR150" s="1674"/>
    </row>
    <row r="151" spans="1:70" ht="42.75" customHeight="1" x14ac:dyDescent="0.25">
      <c r="A151" s="1087"/>
      <c r="B151" s="1920" t="s">
        <v>171</v>
      </c>
      <c r="C151" s="1560"/>
      <c r="D151" s="1492"/>
      <c r="E151" s="1658"/>
      <c r="F151" s="1528"/>
      <c r="G151" s="1617"/>
      <c r="H151" s="1857"/>
      <c r="I151" s="1956"/>
      <c r="J151" s="1857"/>
      <c r="K151" s="1680"/>
      <c r="L151" s="1954"/>
      <c r="M151" s="1968"/>
      <c r="N151" s="1492"/>
      <c r="O151" s="1658"/>
      <c r="P151" s="1935"/>
      <c r="Q151" s="1617"/>
      <c r="R151" s="1679"/>
      <c r="S151" s="1679"/>
      <c r="T151" s="1528"/>
      <c r="U151" s="1617"/>
      <c r="V151" s="1970"/>
      <c r="W151" s="1617"/>
      <c r="X151" s="1663"/>
      <c r="Y151" s="1662"/>
      <c r="Z151" s="1528"/>
      <c r="AA151" s="1617"/>
      <c r="AB151" s="1938"/>
      <c r="AC151" s="1949"/>
      <c r="AD151" s="1528"/>
      <c r="AE151" s="1943"/>
      <c r="AF151" s="33"/>
      <c r="AG151" s="245"/>
      <c r="AI151" s="245"/>
      <c r="AJ151" s="635"/>
      <c r="AK151" s="1942"/>
      <c r="AL151" s="1528"/>
      <c r="AM151" s="1617"/>
      <c r="AN151" s="1528"/>
      <c r="AO151" s="1943"/>
      <c r="AP151" s="1970"/>
      <c r="AQ151" s="1617"/>
      <c r="AR151" s="1528"/>
      <c r="AS151" s="1617"/>
      <c r="AT151" s="1528"/>
      <c r="AU151" s="1617"/>
      <c r="AV151" s="1528"/>
      <c r="AW151" s="1617"/>
      <c r="AX151" s="1492"/>
      <c r="AY151" s="1665"/>
      <c r="BJ151" s="1641"/>
      <c r="BK151" s="1674"/>
      <c r="BQ151" s="1641"/>
      <c r="BR151" s="1674"/>
    </row>
    <row r="152" spans="1:70" ht="42.75" customHeight="1" x14ac:dyDescent="0.25">
      <c r="A152" s="1087" t="s">
        <v>9</v>
      </c>
      <c r="B152" s="1920"/>
      <c r="C152" s="1560"/>
      <c r="D152" s="1492"/>
      <c r="E152" s="1658"/>
      <c r="F152" s="1528"/>
      <c r="G152" s="1617"/>
      <c r="H152" s="1857"/>
      <c r="I152" s="1956"/>
      <c r="J152" s="1857"/>
      <c r="K152" s="1680"/>
      <c r="L152" s="246"/>
      <c r="M152" s="236"/>
      <c r="N152" s="1492"/>
      <c r="O152" s="1658"/>
      <c r="P152" s="1935"/>
      <c r="Q152" s="1617"/>
      <c r="R152" s="1679"/>
      <c r="S152" s="1679"/>
      <c r="T152" s="1528"/>
      <c r="U152" s="1617"/>
      <c r="V152" s="1970"/>
      <c r="W152" s="1617"/>
      <c r="Z152" s="1528"/>
      <c r="AA152" s="1617"/>
      <c r="AB152" s="1938"/>
      <c r="AC152" s="1949"/>
      <c r="AD152" s="1528"/>
      <c r="AE152" s="1943"/>
      <c r="AF152" s="33"/>
      <c r="AG152" s="245"/>
      <c r="AI152" s="245"/>
      <c r="AJ152" s="246"/>
      <c r="AK152" s="236"/>
      <c r="AL152" s="1528"/>
      <c r="AM152" s="1617"/>
      <c r="AN152" s="1528"/>
      <c r="AO152" s="1943"/>
      <c r="AP152" s="1970"/>
      <c r="AQ152" s="1617"/>
      <c r="AR152" s="1528"/>
      <c r="AS152" s="1617"/>
      <c r="AT152" s="1528"/>
      <c r="AU152" s="1617"/>
      <c r="AV152" s="1528"/>
      <c r="AW152" s="1617"/>
      <c r="AX152" s="1492"/>
      <c r="AY152" s="1665"/>
      <c r="BJ152" s="1641"/>
      <c r="BK152" s="1674"/>
      <c r="BQ152" s="1641"/>
      <c r="BR152" s="1674"/>
    </row>
    <row r="153" spans="1:70" ht="48.75" customHeight="1" thickBot="1" x14ac:dyDescent="0.3">
      <c r="A153" s="1171"/>
      <c r="B153" s="1920"/>
      <c r="C153" s="1561"/>
      <c r="D153" s="1492"/>
      <c r="E153" s="1658"/>
      <c r="F153" s="1587"/>
      <c r="G153" s="1617"/>
      <c r="H153" s="1957"/>
      <c r="I153" s="1958"/>
      <c r="J153" s="1857"/>
      <c r="K153" s="1680"/>
      <c r="L153" s="619"/>
      <c r="M153" s="236"/>
      <c r="N153" s="1492"/>
      <c r="O153" s="1670"/>
      <c r="P153" s="1935"/>
      <c r="Q153" s="1637"/>
      <c r="R153" s="1679"/>
      <c r="S153" s="1679"/>
      <c r="T153" s="1528"/>
      <c r="U153" s="1617"/>
      <c r="V153" s="1970"/>
      <c r="W153" s="1637"/>
      <c r="Z153" s="1587"/>
      <c r="AA153" s="1637"/>
      <c r="AB153" s="1938"/>
      <c r="AC153" s="1949"/>
      <c r="AD153" s="1528"/>
      <c r="AE153" s="1943"/>
      <c r="AF153" s="34"/>
      <c r="AG153" s="245"/>
      <c r="AH153" s="412"/>
      <c r="AJ153" s="620"/>
      <c r="AK153" s="236"/>
      <c r="AL153" s="1587"/>
      <c r="AM153" s="1637"/>
      <c r="AN153" s="1528"/>
      <c r="AO153" s="1943"/>
      <c r="AP153" s="1970"/>
      <c r="AQ153" s="1617"/>
      <c r="AR153" s="1528"/>
      <c r="AS153" s="1617"/>
      <c r="AT153" s="1587"/>
      <c r="AU153" s="1617"/>
      <c r="AV153" s="1528"/>
      <c r="AW153" s="1617"/>
      <c r="AX153" s="1492"/>
      <c r="AY153" s="1665"/>
      <c r="BJ153" s="1641"/>
      <c r="BK153" s="1674"/>
      <c r="BQ153" s="1641"/>
      <c r="BR153" s="1674"/>
    </row>
    <row r="154" spans="1:70" s="2" customFormat="1" ht="24.75" customHeight="1" thickBot="1" x14ac:dyDescent="0.3">
      <c r="A154" s="24" t="s">
        <v>1</v>
      </c>
      <c r="B154" s="1091" t="s">
        <v>2</v>
      </c>
      <c r="C154" s="1092"/>
      <c r="D154" s="1092"/>
      <c r="E154" s="1092"/>
      <c r="F154" s="1092"/>
      <c r="G154" s="1092"/>
      <c r="H154" s="1092"/>
      <c r="I154" s="1092"/>
      <c r="J154" s="1092"/>
      <c r="K154" s="1093"/>
      <c r="L154" s="1091" t="s">
        <v>3</v>
      </c>
      <c r="M154" s="1092"/>
      <c r="N154" s="1092"/>
      <c r="O154" s="1092"/>
      <c r="P154" s="1092"/>
      <c r="Q154" s="1092"/>
      <c r="R154" s="1092"/>
      <c r="S154" s="1092"/>
      <c r="T154" s="1092"/>
      <c r="U154" s="1093"/>
      <c r="V154" s="1091" t="s">
        <v>139</v>
      </c>
      <c r="W154" s="1092"/>
      <c r="X154" s="1092"/>
      <c r="Y154" s="1092"/>
      <c r="Z154" s="1092"/>
      <c r="AA154" s="1092"/>
      <c r="AB154" s="1092"/>
      <c r="AC154" s="1092"/>
      <c r="AD154" s="1092"/>
      <c r="AE154" s="1093"/>
      <c r="AF154" s="1091" t="s">
        <v>4</v>
      </c>
      <c r="AG154" s="1092"/>
      <c r="AH154" s="1092"/>
      <c r="AI154" s="1092"/>
      <c r="AJ154" s="1092"/>
      <c r="AK154" s="1092"/>
      <c r="AL154" s="1092"/>
      <c r="AM154" s="1092"/>
      <c r="AN154" s="1092"/>
      <c r="AO154" s="1093"/>
      <c r="AP154" s="1091" t="s">
        <v>5</v>
      </c>
      <c r="AQ154" s="1092"/>
      <c r="AR154" s="1092"/>
      <c r="AS154" s="1092"/>
      <c r="AT154" s="1092"/>
      <c r="AU154" s="1092"/>
      <c r="AV154" s="1092"/>
      <c r="AW154" s="1092"/>
      <c r="AX154" s="1092"/>
      <c r="AY154" s="1093"/>
      <c r="BJ154" s="1641"/>
      <c r="BK154" s="1674"/>
    </row>
    <row r="155" spans="1:70" ht="33.75" customHeight="1" x14ac:dyDescent="0.25">
      <c r="A155" s="1087" t="s">
        <v>187</v>
      </c>
      <c r="B155" s="821"/>
      <c r="C155" s="822"/>
      <c r="D155" s="173"/>
      <c r="E155" s="822"/>
      <c r="F155" s="592"/>
      <c r="G155" s="822"/>
      <c r="H155" s="69"/>
      <c r="I155" s="822"/>
      <c r="J155" s="828"/>
      <c r="K155" s="818"/>
      <c r="L155" s="592"/>
      <c r="M155" s="822"/>
      <c r="N155" s="592"/>
      <c r="O155" s="822"/>
      <c r="P155" s="592"/>
      <c r="Q155" s="822"/>
      <c r="R155" s="246"/>
      <c r="S155" s="826"/>
      <c r="T155" s="462"/>
      <c r="U155" s="1959"/>
      <c r="V155" s="229"/>
      <c r="W155" s="1699"/>
      <c r="X155" s="592"/>
      <c r="Y155" s="822"/>
      <c r="AB155" s="69"/>
      <c r="AC155" s="822"/>
      <c r="AD155" s="829"/>
      <c r="AE155" s="827"/>
      <c r="AF155" s="821"/>
      <c r="AG155" s="822"/>
      <c r="AH155" s="592"/>
      <c r="AI155" s="822"/>
      <c r="AJ155" s="592"/>
      <c r="AK155" s="822"/>
      <c r="AL155" s="835" t="s">
        <v>580</v>
      </c>
      <c r="AM155" s="1802" t="s">
        <v>164</v>
      </c>
      <c r="AN155" s="592"/>
      <c r="AO155" s="669"/>
      <c r="AP155" s="592"/>
      <c r="AQ155" s="822"/>
      <c r="AR155" s="69"/>
      <c r="AS155" s="822"/>
      <c r="AT155" s="69"/>
      <c r="AU155" s="822"/>
      <c r="AV155" s="592"/>
      <c r="AW155" s="822"/>
      <c r="AX155" s="829"/>
      <c r="AY155" s="827"/>
      <c r="AZ155" s="33"/>
      <c r="BA155" s="1638"/>
      <c r="BB155" s="1639"/>
      <c r="BJ155" s="1641"/>
      <c r="BK155" s="1674"/>
    </row>
    <row r="156" spans="1:70" ht="33.75" customHeight="1" x14ac:dyDescent="0.25">
      <c r="A156" s="1087"/>
      <c r="B156" s="821"/>
      <c r="C156" s="822"/>
      <c r="D156" s="592"/>
      <c r="E156" s="822"/>
      <c r="F156" s="592"/>
      <c r="G156" s="822"/>
      <c r="H156" s="592"/>
      <c r="I156" s="822"/>
      <c r="J156" s="828"/>
      <c r="K156" s="818"/>
      <c r="L156" s="592"/>
      <c r="M156" s="822"/>
      <c r="N156" s="592"/>
      <c r="O156" s="822"/>
      <c r="P156" s="592"/>
      <c r="Q156" s="822"/>
      <c r="R156" s="246"/>
      <c r="S156" s="826"/>
      <c r="T156" s="1935"/>
      <c r="U156" s="1960"/>
      <c r="V156" s="1529"/>
      <c r="W156" s="1562"/>
      <c r="X156" s="592"/>
      <c r="Y156" s="822"/>
      <c r="AB156" s="69"/>
      <c r="AC156" s="822"/>
      <c r="AD156" s="829"/>
      <c r="AE156" s="823"/>
      <c r="AF156" s="592"/>
      <c r="AG156" s="822"/>
      <c r="AH156" s="592"/>
      <c r="AI156" s="822"/>
      <c r="AJ156" s="592"/>
      <c r="AK156" s="822"/>
      <c r="AL156" s="1109" t="s">
        <v>1013</v>
      </c>
      <c r="AM156" s="1661"/>
      <c r="AN156" s="592"/>
      <c r="AO156" s="822"/>
      <c r="AP156" s="821"/>
      <c r="AQ156" s="822"/>
      <c r="AR156" s="69"/>
      <c r="AS156" s="822"/>
      <c r="AT156" s="69"/>
      <c r="AU156" s="822"/>
      <c r="AV156" s="592"/>
      <c r="AW156" s="822"/>
      <c r="AX156" s="829"/>
      <c r="AY156" s="823"/>
      <c r="BA156" s="1638"/>
      <c r="BB156" s="1639"/>
      <c r="BJ156" s="1641"/>
      <c r="BK156" s="1674"/>
    </row>
    <row r="157" spans="1:70" ht="35.25" customHeight="1" x14ac:dyDescent="0.25">
      <c r="A157" s="1087" t="s">
        <v>186</v>
      </c>
      <c r="B157" s="821"/>
      <c r="C157" s="822"/>
      <c r="D157" s="139"/>
      <c r="E157" s="852"/>
      <c r="F157" s="592"/>
      <c r="G157" s="822"/>
      <c r="H157" s="592"/>
      <c r="I157" s="822"/>
      <c r="J157" s="828"/>
      <c r="K157" s="818"/>
      <c r="L157" s="601"/>
      <c r="M157" s="601"/>
      <c r="N157" s="601"/>
      <c r="O157" s="601"/>
      <c r="P157" s="601"/>
      <c r="Q157" s="601"/>
      <c r="R157" s="79"/>
      <c r="S157" s="79"/>
      <c r="T157" s="1935"/>
      <c r="U157" s="1960"/>
      <c r="V157" s="1529"/>
      <c r="W157" s="1562"/>
      <c r="X157" s="601"/>
      <c r="Y157" s="601"/>
      <c r="AB157" s="79"/>
      <c r="AC157" s="79"/>
      <c r="AD157" s="79"/>
      <c r="AE157" s="414"/>
      <c r="AF157" s="601"/>
      <c r="AG157" s="601"/>
      <c r="AH157" s="601"/>
      <c r="AI157" s="601"/>
      <c r="AJ157" s="601"/>
      <c r="AK157" s="601"/>
      <c r="AL157" s="1109"/>
      <c r="AM157" s="1661"/>
      <c r="AN157" s="79"/>
      <c r="AO157" s="414"/>
      <c r="AP157" s="601"/>
      <c r="AQ157" s="601"/>
      <c r="AR157" s="601"/>
      <c r="AS157" s="601"/>
      <c r="AT157" s="601"/>
      <c r="AU157" s="601"/>
      <c r="AV157" s="79"/>
      <c r="AW157" s="79"/>
      <c r="AX157" s="79"/>
      <c r="AY157" s="414"/>
      <c r="BJ157" s="1641"/>
      <c r="BK157" s="1674"/>
    </row>
    <row r="158" spans="1:70" ht="40.5" customHeight="1" thickBot="1" x14ac:dyDescent="0.3">
      <c r="A158" s="1087"/>
      <c r="B158" s="821"/>
      <c r="C158" s="822"/>
      <c r="D158" s="594"/>
      <c r="E158" s="852"/>
      <c r="F158" s="592"/>
      <c r="G158" s="822"/>
      <c r="H158" s="592"/>
      <c r="I158" s="822"/>
      <c r="J158" s="828"/>
      <c r="K158" s="818"/>
      <c r="L158" s="601"/>
      <c r="M158" s="601"/>
      <c r="N158" s="601"/>
      <c r="O158" s="601"/>
      <c r="P158" s="601"/>
      <c r="Q158" s="601"/>
      <c r="R158" s="79"/>
      <c r="S158" s="79"/>
      <c r="T158" s="1936"/>
      <c r="U158" s="1961"/>
      <c r="V158" s="1529"/>
      <c r="W158" s="1563"/>
      <c r="X158" s="601"/>
      <c r="Y158" s="601"/>
      <c r="AA158" s="102"/>
      <c r="AB158" s="79"/>
      <c r="AC158" s="79"/>
      <c r="AD158" s="79"/>
      <c r="AE158" s="414"/>
      <c r="AF158" s="601"/>
      <c r="AG158" s="601"/>
      <c r="AH158" s="601"/>
      <c r="AI158" s="601"/>
      <c r="AJ158" s="601"/>
      <c r="AK158" s="601"/>
      <c r="AL158" s="1109"/>
      <c r="AM158" s="1801"/>
      <c r="AN158" s="79"/>
      <c r="AO158" s="414"/>
      <c r="AP158" s="853"/>
      <c r="AQ158" s="601"/>
      <c r="AR158" s="601"/>
      <c r="AS158" s="601"/>
      <c r="AT158" s="601"/>
      <c r="AU158" s="676"/>
      <c r="AV158" s="79"/>
      <c r="AW158" s="79"/>
      <c r="AX158" s="79"/>
      <c r="AY158" s="414"/>
      <c r="BJ158" s="1641"/>
      <c r="BK158" s="1674"/>
    </row>
    <row r="159" spans="1:70" ht="18.75" customHeight="1" thickBot="1" x14ac:dyDescent="0.3">
      <c r="A159" s="1940" t="s">
        <v>218</v>
      </c>
      <c r="B159" s="1941"/>
      <c r="C159" s="1507" t="s">
        <v>219</v>
      </c>
      <c r="D159" s="1508"/>
      <c r="E159" s="1508"/>
      <c r="F159" s="1508"/>
      <c r="G159" s="1508"/>
      <c r="H159" s="1508"/>
      <c r="I159" s="1508"/>
      <c r="J159" s="1508"/>
      <c r="K159" s="1508"/>
      <c r="L159" s="1508"/>
      <c r="M159" s="1508"/>
      <c r="N159" s="1509"/>
      <c r="O159" s="1507" t="s">
        <v>306</v>
      </c>
      <c r="P159" s="1508"/>
      <c r="Q159" s="1508"/>
      <c r="R159" s="1509"/>
      <c r="S159" s="1507" t="s">
        <v>143</v>
      </c>
      <c r="T159" s="1509"/>
      <c r="U159" s="1507" t="s">
        <v>167</v>
      </c>
      <c r="V159" s="1508"/>
      <c r="W159" s="1508"/>
      <c r="X159" s="1508"/>
      <c r="Y159" s="1508"/>
      <c r="Z159" s="1508"/>
      <c r="AA159" s="1508"/>
      <c r="AB159" s="1508"/>
      <c r="AC159" s="1508"/>
      <c r="AD159" s="1508"/>
      <c r="AE159" s="1508"/>
      <c r="AF159" s="1508"/>
      <c r="AG159" s="1508"/>
      <c r="AH159" s="1508"/>
      <c r="AI159" s="1508"/>
      <c r="AJ159" s="1508"/>
      <c r="AK159" s="1508"/>
      <c r="AL159" s="1508"/>
      <c r="AM159" s="1508"/>
      <c r="AN159" s="1508"/>
      <c r="AO159" s="1509"/>
      <c r="AQ159" s="1758" t="s">
        <v>1051</v>
      </c>
      <c r="AR159" s="1546"/>
      <c r="AS159" s="1546"/>
      <c r="AT159" s="1547"/>
      <c r="AV159" s="1505"/>
      <c r="AW159" s="1505"/>
      <c r="AX159" s="1505"/>
      <c r="AY159" s="1505"/>
    </row>
    <row r="160" spans="1:70" ht="15" customHeight="1" x14ac:dyDescent="0.25">
      <c r="A160" s="1962" t="str">
        <f>VLOOKUP(O160,ASIGNATURAS!$F$1:$L$1022, 3, FALSE)</f>
        <v>PROD. Y FABR.</v>
      </c>
      <c r="B160" s="1963"/>
      <c r="C160" s="1975" t="str">
        <f>VLOOKUP(O160,ASIGNATURAS!$F$1:$L$1022, 4, FALSE)</f>
        <v>Sistemas de Producción y Fabricación</v>
      </c>
      <c r="D160" s="1571"/>
      <c r="E160" s="1571"/>
      <c r="F160" s="1571"/>
      <c r="G160" s="1571"/>
      <c r="H160" s="1571"/>
      <c r="I160" s="1571"/>
      <c r="J160" s="1571"/>
      <c r="K160" s="1571"/>
      <c r="L160" s="1571"/>
      <c r="M160" s="1571"/>
      <c r="N160" s="1976"/>
      <c r="O160" s="1945">
        <v>6322</v>
      </c>
      <c r="P160" s="1946"/>
      <c r="Q160" s="1946"/>
      <c r="R160" s="1947"/>
      <c r="S160" s="1945">
        <f>VLOOKUP(O160,ASIGNATURAS!$F$1:$L$1022, 5, FALSE)</f>
        <v>6</v>
      </c>
      <c r="T160" s="1947"/>
      <c r="U160" s="1570" t="str">
        <f>VLOOKUP(O160,ASIGNATURAS!$F$1:$L$1022, 6, FALSE)</f>
        <v>Miguel Angel Mariscal, Miriam Lorenzo , Juan Marcos de las Heras</v>
      </c>
      <c r="V160" s="1571"/>
      <c r="W160" s="1571"/>
      <c r="X160" s="1571"/>
      <c r="Y160" s="1571"/>
      <c r="Z160" s="1571"/>
      <c r="AA160" s="1571"/>
      <c r="AB160" s="1571"/>
      <c r="AC160" s="1571"/>
      <c r="AD160" s="1571"/>
      <c r="AE160" s="1571"/>
      <c r="AF160" s="1571"/>
      <c r="AG160" s="1571"/>
      <c r="AH160" s="1571"/>
      <c r="AI160" s="1571"/>
      <c r="AJ160" s="1571"/>
      <c r="AK160" s="1571"/>
      <c r="AL160" s="1571"/>
      <c r="AM160" s="1571"/>
      <c r="AN160" s="1571"/>
      <c r="AO160" s="1572"/>
      <c r="AQ160" s="1067"/>
      <c r="AR160" s="944"/>
      <c r="AS160" s="944"/>
      <c r="AT160" s="1068"/>
      <c r="AV160" s="1506"/>
      <c r="AW160" s="1506"/>
      <c r="AX160" s="1506"/>
      <c r="AY160" s="1506"/>
    </row>
    <row r="161" spans="1:61" ht="15" customHeight="1" x14ac:dyDescent="0.25">
      <c r="A161" s="1962" t="str">
        <f>VLOOKUP(O161,ASIGNATURAS!$F$1:$L$1022, 3, FALSE)</f>
        <v>I. MATERIALES</v>
      </c>
      <c r="B161" s="1963"/>
      <c r="C161" s="1951" t="str">
        <f>VLOOKUP(O161,ASIGNATURAS!$F$1:$L$1022, 4, FALSE)</f>
        <v>Ingeniería de Materiales</v>
      </c>
      <c r="D161" s="1495"/>
      <c r="E161" s="1495"/>
      <c r="F161" s="1495"/>
      <c r="G161" s="1495"/>
      <c r="H161" s="1495"/>
      <c r="I161" s="1495"/>
      <c r="J161" s="1495"/>
      <c r="K161" s="1495"/>
      <c r="L161" s="1495"/>
      <c r="M161" s="1495"/>
      <c r="N161" s="1952"/>
      <c r="O161" s="1964">
        <v>6323</v>
      </c>
      <c r="P161" s="1978"/>
      <c r="Q161" s="1978"/>
      <c r="R161" s="1965"/>
      <c r="S161" s="1964">
        <f>VLOOKUP(O161,ASIGNATURAS!$F$1:$L$1022, 5, FALSE)</f>
        <v>6</v>
      </c>
      <c r="T161" s="1965"/>
      <c r="U161" s="1494" t="str">
        <f>VLOOKUP(O161,ASIGNATURAS!$F$1:$L$1022, 6, FALSE)</f>
        <v>Mónica Preciado, David Cárdenas, Jose Calaf</v>
      </c>
      <c r="V161" s="1495"/>
      <c r="W161" s="1495"/>
      <c r="X161" s="1495"/>
      <c r="Y161" s="1495"/>
      <c r="Z161" s="1495"/>
      <c r="AA161" s="1495"/>
      <c r="AB161" s="1495"/>
      <c r="AC161" s="1495"/>
      <c r="AD161" s="1495"/>
      <c r="AE161" s="1495"/>
      <c r="AF161" s="1495"/>
      <c r="AG161" s="1495"/>
      <c r="AH161" s="1495"/>
      <c r="AI161" s="1495"/>
      <c r="AJ161" s="1495"/>
      <c r="AK161" s="1495"/>
      <c r="AL161" s="1495"/>
      <c r="AM161" s="1495"/>
      <c r="AN161" s="1495"/>
      <c r="AO161" s="1496"/>
      <c r="AQ161" s="1760" t="s">
        <v>1047</v>
      </c>
      <c r="AR161" s="1761"/>
      <c r="AS161" s="1761"/>
      <c r="AT161" s="1966"/>
      <c r="AV161" s="1633"/>
      <c r="AW161" s="1633"/>
      <c r="AX161" s="1633"/>
      <c r="AY161" s="1633"/>
    </row>
    <row r="162" spans="1:61" ht="15" customHeight="1" x14ac:dyDescent="0.25">
      <c r="A162" s="1510" t="str">
        <f>VLOOKUP(O162,ASIGNATURAS!$F$1:$L$1022, 3, FALSE)</f>
        <v>RESISTENCIA II</v>
      </c>
      <c r="B162" s="1777"/>
      <c r="C162" s="1532" t="str">
        <f>VLOOKUP(O162,ASIGNATURAS!$F$1:$L$1022, 4, FALSE)</f>
        <v>Resistencia de Materiales II</v>
      </c>
      <c r="D162" s="1532"/>
      <c r="E162" s="1532"/>
      <c r="F162" s="1532"/>
      <c r="G162" s="1532"/>
      <c r="H162" s="1532"/>
      <c r="I162" s="1532"/>
      <c r="J162" s="1532"/>
      <c r="K162" s="1532"/>
      <c r="L162" s="1532"/>
      <c r="M162" s="1532"/>
      <c r="N162" s="1532"/>
      <c r="O162" s="1469">
        <v>6324</v>
      </c>
      <c r="P162" s="1469"/>
      <c r="Q162" s="1469"/>
      <c r="R162" s="1469"/>
      <c r="S162" s="1469">
        <f>VLOOKUP(O162,ASIGNATURAS!$F$1:$L$1022, 5, FALSE)</f>
        <v>6</v>
      </c>
      <c r="T162" s="1469"/>
      <c r="U162" s="1494" t="str">
        <f>VLOOKUP(O162,ASIGNATURAS!$F$1:$L$1022, 6, FALSE)</f>
        <v>Jesús Manuel Alegre, Wilco Verbeeten, Andrés Díaz</v>
      </c>
      <c r="V162" s="1495"/>
      <c r="W162" s="1495"/>
      <c r="X162" s="1495"/>
      <c r="Y162" s="1495"/>
      <c r="Z162" s="1495"/>
      <c r="AA162" s="1495"/>
      <c r="AB162" s="1495"/>
      <c r="AC162" s="1495"/>
      <c r="AD162" s="1495"/>
      <c r="AE162" s="1495"/>
      <c r="AF162" s="1495"/>
      <c r="AG162" s="1495"/>
      <c r="AH162" s="1495"/>
      <c r="AI162" s="1495"/>
      <c r="AJ162" s="1495"/>
      <c r="AK162" s="1495"/>
      <c r="AL162" s="1495"/>
      <c r="AM162" s="1495"/>
      <c r="AN162" s="1495"/>
      <c r="AO162" s="1496"/>
      <c r="AQ162" s="1473" t="s">
        <v>579</v>
      </c>
      <c r="AR162" s="1474"/>
      <c r="AS162" s="1474"/>
      <c r="AT162" s="1475"/>
      <c r="AV162" s="1476"/>
      <c r="AW162" s="1476"/>
      <c r="AX162" s="1476"/>
      <c r="AY162" s="1476"/>
    </row>
    <row r="163" spans="1:61" ht="15" customHeight="1" x14ac:dyDescent="0.25">
      <c r="A163" s="1510" t="str">
        <f>VLOOKUP(O163,ASIGNATURAS!$F$1:$L$1022, 3, FALSE)</f>
        <v>ING. GRAFICA</v>
      </c>
      <c r="B163" s="1777"/>
      <c r="C163" s="1532" t="str">
        <f>VLOOKUP(O163,ASIGNATURAS!$F$1:$L$1022, 4, FALSE)</f>
        <v>Ingeniería Gráfica</v>
      </c>
      <c r="D163" s="1532"/>
      <c r="E163" s="1532"/>
      <c r="F163" s="1532"/>
      <c r="G163" s="1532"/>
      <c r="H163" s="1532"/>
      <c r="I163" s="1532"/>
      <c r="J163" s="1532"/>
      <c r="K163" s="1532"/>
      <c r="L163" s="1532"/>
      <c r="M163" s="1532"/>
      <c r="N163" s="1532"/>
      <c r="O163" s="1469">
        <v>6325</v>
      </c>
      <c r="P163" s="1469"/>
      <c r="Q163" s="1469"/>
      <c r="R163" s="1469"/>
      <c r="S163" s="1469">
        <f>VLOOKUP(O163,ASIGNATURAS!$F$1:$L$1022, 5, FALSE)</f>
        <v>6</v>
      </c>
      <c r="T163" s="1469"/>
      <c r="U163" s="1494" t="str">
        <f>VLOOKUP(O163,ASIGNATURAS!$F$1:$L$1022, 6, FALSE)</f>
        <v>Elías Martínez</v>
      </c>
      <c r="V163" s="1495"/>
      <c r="W163" s="1495"/>
      <c r="X163" s="1495"/>
      <c r="Y163" s="1495"/>
      <c r="Z163" s="1495"/>
      <c r="AA163" s="1495"/>
      <c r="AB163" s="1495"/>
      <c r="AC163" s="1495"/>
      <c r="AD163" s="1495"/>
      <c r="AE163" s="1495"/>
      <c r="AF163" s="1495"/>
      <c r="AG163" s="1495"/>
      <c r="AH163" s="1495"/>
      <c r="AI163" s="1495"/>
      <c r="AJ163" s="1495"/>
      <c r="AK163" s="1495"/>
      <c r="AL163" s="1495"/>
      <c r="AM163" s="1495"/>
      <c r="AN163" s="1495"/>
      <c r="AO163" s="1496"/>
      <c r="AQ163" s="1473" t="s">
        <v>580</v>
      </c>
      <c r="AR163" s="1474"/>
      <c r="AS163" s="1474"/>
      <c r="AT163" s="1475"/>
      <c r="AV163" s="1476"/>
      <c r="AW163" s="1476"/>
      <c r="AX163" s="1476"/>
      <c r="AY163" s="1476"/>
    </row>
    <row r="164" spans="1:61" ht="15.75" customHeight="1" thickBot="1" x14ac:dyDescent="0.3">
      <c r="A164" s="1523" t="str">
        <f>VLOOKUP(O164,ASIGNATURAS!$F$1:$L$1022, 3, FALSE)</f>
        <v>MECANISMOS II</v>
      </c>
      <c r="B164" s="1824"/>
      <c r="C164" s="1736" t="str">
        <f>VLOOKUP(O164,ASIGNATURAS!$F$1:$L$1022, 4, FALSE)</f>
        <v>Mecanismos II</v>
      </c>
      <c r="D164" s="1736"/>
      <c r="E164" s="1736"/>
      <c r="F164" s="1736"/>
      <c r="G164" s="1736"/>
      <c r="H164" s="1736"/>
      <c r="I164" s="1736"/>
      <c r="J164" s="1736"/>
      <c r="K164" s="1736"/>
      <c r="L164" s="1736"/>
      <c r="M164" s="1736"/>
      <c r="N164" s="1736"/>
      <c r="O164" s="1486">
        <v>6326</v>
      </c>
      <c r="P164" s="1486"/>
      <c r="Q164" s="1486"/>
      <c r="R164" s="1486"/>
      <c r="S164" s="1486">
        <f>VLOOKUP(O164,ASIGNATURAS!$F$1:$L$1022, 5, FALSE)</f>
        <v>6</v>
      </c>
      <c r="T164" s="1486"/>
      <c r="U164" s="1487" t="str">
        <f>VLOOKUP(O164,ASIGNATURAS!$F$1:$L$1022, 6, FALSE)</f>
        <v>Eduardo Pérez Colina</v>
      </c>
      <c r="V164" s="1488"/>
      <c r="W164" s="1488"/>
      <c r="X164" s="1488"/>
      <c r="Y164" s="1488"/>
      <c r="Z164" s="1488"/>
      <c r="AA164" s="1488"/>
      <c r="AB164" s="1488"/>
      <c r="AC164" s="1488"/>
      <c r="AD164" s="1488"/>
      <c r="AE164" s="1488"/>
      <c r="AF164" s="1488"/>
      <c r="AG164" s="1488"/>
      <c r="AH164" s="1488"/>
      <c r="AI164" s="1488"/>
      <c r="AJ164" s="1488"/>
      <c r="AK164" s="1488"/>
      <c r="AL164" s="1488"/>
      <c r="AM164" s="1488"/>
      <c r="AN164" s="1488"/>
      <c r="AO164" s="1489"/>
      <c r="AQ164" s="1634" t="s">
        <v>581</v>
      </c>
      <c r="AR164" s="1635"/>
      <c r="AS164" s="1635"/>
      <c r="AT164" s="1636"/>
      <c r="AV164" s="1644"/>
      <c r="AW164" s="1644"/>
      <c r="AX164" s="1644"/>
      <c r="AY164" s="1644"/>
    </row>
    <row r="165" spans="1:61" ht="15" x14ac:dyDescent="0.25">
      <c r="A165" s="93" t="s">
        <v>217</v>
      </c>
    </row>
    <row r="166" spans="1:61" x14ac:dyDescent="0.25">
      <c r="A166" s="350"/>
      <c r="AQ166" s="470"/>
      <c r="AR166" s="470"/>
      <c r="AS166" s="470"/>
      <c r="AT166" s="470"/>
    </row>
    <row r="167" spans="1:61" ht="13.8" thickBot="1" x14ac:dyDescent="0.3"/>
    <row r="168" spans="1:61" s="1" customFormat="1" ht="31.5" customHeight="1" thickBot="1" x14ac:dyDescent="0.45">
      <c r="A168" s="1094" t="str">
        <f>VLOOKUP(A171,ASIGNATURAS!$A$2:$D$151, 3, FALSE)</f>
        <v>3º Grado en Ingeniería Mecánica</v>
      </c>
      <c r="B168" s="1095"/>
      <c r="C168" s="1095"/>
      <c r="D168" s="1095"/>
      <c r="E168" s="1095"/>
      <c r="F168" s="1095"/>
      <c r="G168" s="1095"/>
      <c r="H168" s="1095"/>
      <c r="I168" s="1095"/>
      <c r="J168" s="1095"/>
      <c r="K168" s="1095"/>
      <c r="L168" s="1095"/>
      <c r="M168" s="1095"/>
      <c r="N168" s="1095"/>
      <c r="O168" s="1095"/>
      <c r="P168" s="1095"/>
      <c r="Q168" s="1095"/>
      <c r="R168" s="1095"/>
      <c r="S168" s="1095"/>
      <c r="T168" s="1095"/>
      <c r="U168" s="1095"/>
      <c r="V168" s="1095"/>
      <c r="W168" s="1095"/>
      <c r="X168" s="1095"/>
      <c r="Y168" s="1095"/>
      <c r="Z168" s="1095"/>
      <c r="AA168" s="1095"/>
      <c r="AB168" s="1095"/>
      <c r="AC168" s="1095"/>
      <c r="AD168" s="1095"/>
      <c r="AE168" s="1095"/>
      <c r="AF168" s="1095"/>
      <c r="AG168" s="1095"/>
      <c r="AH168" s="1095"/>
      <c r="AI168" s="1095"/>
      <c r="AJ168" s="1095"/>
      <c r="AK168" s="1095"/>
      <c r="AL168" s="1095"/>
      <c r="AM168" s="1095"/>
      <c r="AN168" s="1095"/>
      <c r="AO168" s="1096"/>
      <c r="AP168" s="1091" t="str">
        <f>Aulas!G5</f>
        <v>Curso 2024-2025</v>
      </c>
      <c r="AQ168" s="1092"/>
      <c r="AR168" s="1092"/>
      <c r="AS168" s="1092"/>
      <c r="AT168" s="1092"/>
      <c r="AU168" s="1092"/>
      <c r="AV168" s="1092"/>
      <c r="AW168" s="1092"/>
      <c r="AX168" s="1092"/>
      <c r="AY168" s="1093"/>
      <c r="BA168"/>
      <c r="BB168"/>
      <c r="BC168"/>
      <c r="BD168"/>
      <c r="BE168"/>
      <c r="BF168"/>
      <c r="BG168"/>
      <c r="BH168"/>
      <c r="BI168"/>
    </row>
    <row r="169" spans="1:61" s="8" customFormat="1" ht="23.25" customHeight="1" thickBot="1" x14ac:dyDescent="0.45">
      <c r="A169" s="1083" t="str">
        <f>VLOOKUP(A171,ASIGNATURAS!$A$2:$D$151, 2, FALSE)</f>
        <v>Semestre temporal: 2º        (6º Semestre Académico)</v>
      </c>
      <c r="B169" s="1084"/>
      <c r="C169" s="1084"/>
      <c r="D169" s="1084"/>
      <c r="E169" s="1084"/>
      <c r="F169" s="1084"/>
      <c r="G169" s="1084"/>
      <c r="H169" s="1084"/>
      <c r="I169" s="1084"/>
      <c r="J169" s="1084"/>
      <c r="K169" s="1084"/>
      <c r="L169" s="1084"/>
      <c r="M169" s="1084"/>
      <c r="N169" s="1084"/>
      <c r="O169" s="1084"/>
      <c r="P169" s="1084"/>
      <c r="Q169" s="1084"/>
      <c r="R169" s="1084"/>
      <c r="S169" s="1084"/>
      <c r="T169" s="1084"/>
      <c r="U169" s="1084"/>
      <c r="V169" s="1084"/>
      <c r="W169" s="1084"/>
      <c r="X169" s="1084"/>
      <c r="Y169" s="1084"/>
      <c r="Z169" s="1084"/>
      <c r="AA169" s="1084"/>
      <c r="AB169" s="1084"/>
      <c r="AC169" s="1084"/>
      <c r="AD169" s="1084"/>
      <c r="AE169" s="1084"/>
      <c r="AF169" s="1084"/>
      <c r="AG169" s="1084"/>
      <c r="AH169" s="1084"/>
      <c r="AI169" s="1084"/>
      <c r="AJ169" s="1084"/>
      <c r="AK169" s="1084"/>
      <c r="AL169" s="1084"/>
      <c r="AM169" s="1084"/>
      <c r="AN169" s="1084"/>
      <c r="AO169" s="1085"/>
      <c r="AP169" s="1642" t="s">
        <v>152</v>
      </c>
      <c r="AQ169" s="1072"/>
      <c r="AR169" s="1072"/>
      <c r="AS169" s="1072"/>
      <c r="AT169" s="1072"/>
      <c r="AU169" s="1072"/>
      <c r="AV169" s="1072"/>
      <c r="AW169" s="1072"/>
      <c r="AX169" s="1072"/>
      <c r="AY169" s="1073"/>
      <c r="BA169"/>
      <c r="BB169"/>
      <c r="BC169"/>
      <c r="BD169"/>
      <c r="BE169"/>
      <c r="BF169"/>
      <c r="BG169"/>
      <c r="BH169"/>
      <c r="BI169"/>
    </row>
    <row r="170" spans="1:61" s="8" customFormat="1" ht="23.25" customHeight="1" thickBot="1" x14ac:dyDescent="0.45">
      <c r="A170" s="1083" t="s">
        <v>142</v>
      </c>
      <c r="B170" s="1084"/>
      <c r="C170" s="1084"/>
      <c r="D170" s="1084"/>
      <c r="E170" s="1084"/>
      <c r="F170" s="1084"/>
      <c r="G170" s="1084"/>
      <c r="H170" s="1084"/>
      <c r="I170" s="1084"/>
      <c r="J170" s="1084"/>
      <c r="K170" s="1084"/>
      <c r="L170" s="1084"/>
      <c r="M170" s="1084"/>
      <c r="N170" s="1084"/>
      <c r="O170" s="1084"/>
      <c r="P170" s="1084"/>
      <c r="Q170" s="1084"/>
      <c r="R170" s="1084"/>
      <c r="S170" s="1084"/>
      <c r="T170" s="1084"/>
      <c r="U170" s="1084"/>
      <c r="V170" s="1084"/>
      <c r="W170" s="1084"/>
      <c r="X170" s="1084"/>
      <c r="Y170" s="1084"/>
      <c r="Z170" s="1084"/>
      <c r="AA170" s="1084"/>
      <c r="AB170" s="1084"/>
      <c r="AC170" s="1084"/>
      <c r="AD170" s="1084"/>
      <c r="AE170" s="1084"/>
      <c r="AF170" s="1084"/>
      <c r="AG170" s="1084"/>
      <c r="AH170" s="1084"/>
      <c r="AI170" s="1084"/>
      <c r="AJ170" s="1084"/>
      <c r="AK170" s="1084"/>
      <c r="AL170" s="1084"/>
      <c r="AM170" s="1084"/>
      <c r="AN170" s="1084"/>
      <c r="AO170" s="1085"/>
      <c r="AP170" s="1643"/>
      <c r="AQ170" s="1074"/>
      <c r="AR170" s="1074"/>
      <c r="AS170" s="1074"/>
      <c r="AT170" s="1074"/>
      <c r="AU170" s="1074"/>
      <c r="AV170" s="1074"/>
      <c r="AW170" s="1074"/>
      <c r="AX170" s="1074"/>
      <c r="AY170" s="1075"/>
      <c r="BA170"/>
      <c r="BB170"/>
      <c r="BC170"/>
      <c r="BD170"/>
      <c r="BE170"/>
      <c r="BF170"/>
      <c r="BG170"/>
      <c r="BH170"/>
      <c r="BI170"/>
    </row>
    <row r="171" spans="1:61" ht="38.25" customHeight="1" thickBot="1" x14ac:dyDescent="0.3">
      <c r="A171" s="9" t="s">
        <v>19</v>
      </c>
    </row>
    <row r="172" spans="1:61" s="2" customFormat="1" ht="24" customHeight="1" thickBot="1" x14ac:dyDescent="0.3">
      <c r="A172" s="19" t="s">
        <v>1</v>
      </c>
      <c r="B172" s="1091" t="s">
        <v>2</v>
      </c>
      <c r="C172" s="1092"/>
      <c r="D172" s="1092"/>
      <c r="E172" s="1092"/>
      <c r="F172" s="1092"/>
      <c r="G172" s="1092"/>
      <c r="H172" s="1092"/>
      <c r="I172" s="1092"/>
      <c r="J172" s="1092"/>
      <c r="K172" s="1093"/>
      <c r="L172" s="1091" t="s">
        <v>3</v>
      </c>
      <c r="M172" s="1092"/>
      <c r="N172" s="1092"/>
      <c r="O172" s="1092"/>
      <c r="P172" s="1092"/>
      <c r="Q172" s="1092"/>
      <c r="R172" s="1092"/>
      <c r="S172" s="1092"/>
      <c r="T172" s="1092"/>
      <c r="U172" s="1093"/>
      <c r="V172" s="1091" t="s">
        <v>139</v>
      </c>
      <c r="W172" s="1092"/>
      <c r="X172" s="1092"/>
      <c r="Y172" s="1092"/>
      <c r="Z172" s="1092"/>
      <c r="AA172" s="1092"/>
      <c r="AB172" s="1092"/>
      <c r="AC172" s="1092"/>
      <c r="AD172" s="1092"/>
      <c r="AE172" s="1093"/>
      <c r="AF172" s="1091" t="s">
        <v>4</v>
      </c>
      <c r="AG172" s="1092"/>
      <c r="AH172" s="1092"/>
      <c r="AI172" s="1092"/>
      <c r="AJ172" s="1092"/>
      <c r="AK172" s="1092"/>
      <c r="AL172" s="1092"/>
      <c r="AM172" s="1092"/>
      <c r="AN172" s="1092"/>
      <c r="AO172" s="1093"/>
      <c r="AP172" s="1091" t="s">
        <v>5</v>
      </c>
      <c r="AQ172" s="1092"/>
      <c r="AR172" s="1092"/>
      <c r="AS172" s="1092"/>
      <c r="AT172" s="1092"/>
      <c r="AU172" s="1092"/>
      <c r="AV172" s="1092"/>
      <c r="AW172" s="1092"/>
      <c r="AX172" s="1092"/>
      <c r="AY172" s="1093"/>
      <c r="BA172"/>
      <c r="BB172"/>
      <c r="BC172"/>
      <c r="BD172"/>
      <c r="BE172"/>
      <c r="BF172"/>
      <c r="BG172"/>
      <c r="BH172"/>
      <c r="BI172"/>
    </row>
    <row r="173" spans="1:61" ht="41.25" customHeight="1" x14ac:dyDescent="0.25">
      <c r="A173" s="1086" t="s">
        <v>10</v>
      </c>
      <c r="B173" s="487" t="s">
        <v>579</v>
      </c>
      <c r="C173" s="1660" t="s">
        <v>161</v>
      </c>
      <c r="D173" s="232" t="s">
        <v>580</v>
      </c>
      <c r="E173" s="1661" t="s">
        <v>160</v>
      </c>
      <c r="F173" s="594"/>
      <c r="G173" s="1658"/>
      <c r="H173" s="170"/>
      <c r="I173" s="1658"/>
      <c r="J173" s="20"/>
      <c r="K173" s="20"/>
      <c r="L173" s="487" t="s">
        <v>579</v>
      </c>
      <c r="M173" s="1661" t="s">
        <v>486</v>
      </c>
      <c r="N173" s="232" t="s">
        <v>580</v>
      </c>
      <c r="O173" s="1661" t="s">
        <v>1327</v>
      </c>
      <c r="P173" s="594"/>
      <c r="Q173" s="1658"/>
      <c r="R173" s="20"/>
      <c r="S173" s="20"/>
      <c r="T173" s="20"/>
      <c r="U173" s="20"/>
      <c r="V173" s="487" t="s">
        <v>579</v>
      </c>
      <c r="W173" s="1661" t="s">
        <v>1332</v>
      </c>
      <c r="X173" s="232" t="s">
        <v>580</v>
      </c>
      <c r="Y173" s="1661" t="s">
        <v>486</v>
      </c>
      <c r="Z173" s="20"/>
      <c r="AA173" s="20"/>
      <c r="AB173" s="501"/>
      <c r="AC173" s="20"/>
      <c r="AD173" s="20"/>
      <c r="AE173" s="20"/>
      <c r="AF173" s="487" t="s">
        <v>579</v>
      </c>
      <c r="AG173" s="2001" t="s">
        <v>156</v>
      </c>
      <c r="AH173" s="232" t="s">
        <v>580</v>
      </c>
      <c r="AI173" s="1660" t="s">
        <v>161</v>
      </c>
      <c r="AJ173" s="170"/>
      <c r="AK173" s="1657"/>
      <c r="AL173" s="170"/>
      <c r="AM173" s="1658"/>
      <c r="AN173" s="20"/>
      <c r="AO173" s="205"/>
      <c r="AP173" s="141" t="s">
        <v>579</v>
      </c>
      <c r="AQ173" s="1660" t="s">
        <v>161</v>
      </c>
      <c r="AR173" s="142" t="s">
        <v>580</v>
      </c>
      <c r="AS173" s="1660" t="s">
        <v>156</v>
      </c>
      <c r="AT173" s="217"/>
      <c r="AU173" s="1657"/>
      <c r="AV173" s="217"/>
      <c r="AW173" s="1657"/>
      <c r="AX173" s="501"/>
      <c r="AY173" s="502"/>
    </row>
    <row r="174" spans="1:61" ht="41.25" customHeight="1" x14ac:dyDescent="0.25">
      <c r="A174" s="1087"/>
      <c r="B174" s="1544" t="s">
        <v>37</v>
      </c>
      <c r="C174" s="1661"/>
      <c r="D174" s="1468" t="s">
        <v>39</v>
      </c>
      <c r="E174" s="1661"/>
      <c r="F174" s="1589"/>
      <c r="G174" s="1658"/>
      <c r="H174" s="1492"/>
      <c r="I174" s="1658"/>
      <c r="J174" s="20"/>
      <c r="K174" s="20"/>
      <c r="L174" s="1544" t="s">
        <v>40</v>
      </c>
      <c r="M174" s="1661"/>
      <c r="N174" s="1468" t="s">
        <v>38</v>
      </c>
      <c r="O174" s="1661"/>
      <c r="P174" s="1589"/>
      <c r="Q174" s="1658"/>
      <c r="R174" s="20"/>
      <c r="S174" s="20"/>
      <c r="T174" s="20"/>
      <c r="U174" s="20"/>
      <c r="V174" s="1544" t="s">
        <v>38</v>
      </c>
      <c r="W174" s="1661"/>
      <c r="X174" s="1468" t="s">
        <v>40</v>
      </c>
      <c r="Y174" s="1661"/>
      <c r="Z174" s="20"/>
      <c r="AA174" s="20"/>
      <c r="AB174" s="20"/>
      <c r="AC174" s="20"/>
      <c r="AD174" s="20"/>
      <c r="AE174" s="20"/>
      <c r="AF174" s="1544" t="s">
        <v>48</v>
      </c>
      <c r="AG174" s="2001"/>
      <c r="AH174" s="1468" t="s">
        <v>37</v>
      </c>
      <c r="AI174" s="1661"/>
      <c r="AJ174" s="1589"/>
      <c r="AK174" s="1658"/>
      <c r="AL174" s="1492"/>
      <c r="AM174" s="1658"/>
      <c r="AN174" s="20"/>
      <c r="AO174" s="205"/>
      <c r="AP174" s="1544" t="s">
        <v>39</v>
      </c>
      <c r="AQ174" s="1661"/>
      <c r="AR174" s="1468" t="s">
        <v>48</v>
      </c>
      <c r="AS174" s="1661"/>
      <c r="AT174" s="1492"/>
      <c r="AU174" s="1658"/>
      <c r="AV174" s="1492"/>
      <c r="AW174" s="1658"/>
      <c r="AX174" s="20"/>
      <c r="AY174" s="205"/>
    </row>
    <row r="175" spans="1:61" ht="41.25" customHeight="1" x14ac:dyDescent="0.25">
      <c r="A175" s="1087" t="s">
        <v>11</v>
      </c>
      <c r="B175" s="1544"/>
      <c r="C175" s="1661"/>
      <c r="D175" s="1468"/>
      <c r="E175" s="1661"/>
      <c r="F175" s="1589"/>
      <c r="G175" s="1658"/>
      <c r="H175" s="1492"/>
      <c r="I175" s="1658"/>
      <c r="J175" s="20"/>
      <c r="K175" s="20"/>
      <c r="L175" s="1544"/>
      <c r="M175" s="1661"/>
      <c r="N175" s="1468"/>
      <c r="O175" s="1661"/>
      <c r="P175" s="1589"/>
      <c r="Q175" s="1658"/>
      <c r="R175" s="20"/>
      <c r="S175" s="20"/>
      <c r="T175" s="20"/>
      <c r="U175" s="20"/>
      <c r="V175" s="1544"/>
      <c r="W175" s="1661"/>
      <c r="X175" s="1468"/>
      <c r="Y175" s="1661"/>
      <c r="Z175" s="20"/>
      <c r="AA175" s="20"/>
      <c r="AB175" s="20"/>
      <c r="AC175" s="20"/>
      <c r="AD175" s="20"/>
      <c r="AE175" s="20"/>
      <c r="AF175" s="1544"/>
      <c r="AG175" s="2001"/>
      <c r="AH175" s="1468"/>
      <c r="AI175" s="1661"/>
      <c r="AJ175" s="1589"/>
      <c r="AK175" s="1658"/>
      <c r="AL175" s="1492"/>
      <c r="AM175" s="1658"/>
      <c r="AN175" s="20"/>
      <c r="AO175" s="205"/>
      <c r="AP175" s="1544"/>
      <c r="AQ175" s="1661"/>
      <c r="AR175" s="1468"/>
      <c r="AS175" s="1661"/>
      <c r="AT175" s="1492"/>
      <c r="AU175" s="1658"/>
      <c r="AV175" s="1492"/>
      <c r="AW175" s="1658"/>
      <c r="AX175" s="20"/>
      <c r="AY175" s="205"/>
    </row>
    <row r="176" spans="1:61" ht="41.25" customHeight="1" x14ac:dyDescent="0.25">
      <c r="A176" s="1087"/>
      <c r="B176" s="1544"/>
      <c r="C176" s="1661"/>
      <c r="D176" s="1468"/>
      <c r="E176" s="1661"/>
      <c r="F176" s="1589"/>
      <c r="G176" s="1658"/>
      <c r="H176" s="1492"/>
      <c r="I176" s="1658"/>
      <c r="J176" s="20"/>
      <c r="K176" s="475"/>
      <c r="L176" s="1544"/>
      <c r="M176" s="1661"/>
      <c r="N176" s="1468"/>
      <c r="O176" s="1661"/>
      <c r="P176" s="1589"/>
      <c r="Q176" s="1658"/>
      <c r="R176" s="20"/>
      <c r="S176" s="20"/>
      <c r="T176" s="20"/>
      <c r="U176" s="20"/>
      <c r="V176" s="1544"/>
      <c r="W176" s="1661"/>
      <c r="X176" s="1468"/>
      <c r="Y176" s="1661"/>
      <c r="Z176" s="20"/>
      <c r="AA176" s="20"/>
      <c r="AB176" s="20"/>
      <c r="AC176" s="20"/>
      <c r="AD176" s="20"/>
      <c r="AE176" s="475"/>
      <c r="AF176" s="1544"/>
      <c r="AG176" s="2001"/>
      <c r="AH176" s="1468"/>
      <c r="AI176" s="1661"/>
      <c r="AJ176" s="1589"/>
      <c r="AK176" s="1658"/>
      <c r="AL176" s="1492"/>
      <c r="AM176" s="1658"/>
      <c r="AN176" s="20"/>
      <c r="AO176" s="205"/>
      <c r="AP176" s="1544"/>
      <c r="AQ176" s="1661"/>
      <c r="AR176" s="1468"/>
      <c r="AS176" s="1661"/>
      <c r="AT176" s="1492"/>
      <c r="AU176" s="1658"/>
      <c r="AV176" s="1492"/>
      <c r="AW176" s="1658"/>
      <c r="AX176" s="20"/>
      <c r="AY176" s="205"/>
    </row>
    <row r="177" spans="1:51" ht="41.25" customHeight="1" x14ac:dyDescent="0.25">
      <c r="A177" s="1087" t="s">
        <v>6</v>
      </c>
      <c r="B177" s="1671" t="s">
        <v>37</v>
      </c>
      <c r="C177" s="1672"/>
      <c r="D177" s="1672"/>
      <c r="E177" s="1672"/>
      <c r="F177" s="1672"/>
      <c r="G177" s="1672"/>
      <c r="H177" s="1672"/>
      <c r="I177" s="1672"/>
      <c r="J177" s="1672"/>
      <c r="K177" s="1673"/>
      <c r="L177" s="1671" t="s">
        <v>969</v>
      </c>
      <c r="M177" s="1672"/>
      <c r="N177" s="1672"/>
      <c r="O177" s="1672"/>
      <c r="P177" s="1672"/>
      <c r="Q177" s="1672"/>
      <c r="R177" s="1672"/>
      <c r="S177" s="1672"/>
      <c r="T177" s="1672"/>
      <c r="U177" s="1673"/>
      <c r="V177" s="1671" t="s">
        <v>969</v>
      </c>
      <c r="W177" s="1672"/>
      <c r="X177" s="1672"/>
      <c r="Y177" s="1672"/>
      <c r="Z177" s="1672"/>
      <c r="AA177" s="1672"/>
      <c r="AB177" s="1672"/>
      <c r="AC177" s="1672"/>
      <c r="AD177" s="1672"/>
      <c r="AE177" s="1673"/>
      <c r="AF177" s="1671" t="s">
        <v>37</v>
      </c>
      <c r="AG177" s="1672"/>
      <c r="AH177" s="1672"/>
      <c r="AI177" s="1672"/>
      <c r="AJ177" s="1672"/>
      <c r="AK177" s="1672"/>
      <c r="AL177" s="1672"/>
      <c r="AM177" s="1672"/>
      <c r="AN177" s="1672"/>
      <c r="AO177" s="1673"/>
      <c r="AP177" s="1671" t="s">
        <v>39</v>
      </c>
      <c r="AQ177" s="1672"/>
      <c r="AR177" s="1672"/>
      <c r="AS177" s="1672"/>
      <c r="AT177" s="1672"/>
      <c r="AU177" s="1672"/>
      <c r="AV177" s="1672"/>
      <c r="AW177" s="1672"/>
      <c r="AX177" s="1672"/>
      <c r="AY177" s="1673"/>
    </row>
    <row r="178" spans="1:51" ht="41.25" customHeight="1" x14ac:dyDescent="0.25">
      <c r="A178" s="1087"/>
      <c r="B178" s="1979" t="s">
        <v>152</v>
      </c>
      <c r="C178" s="1980"/>
      <c r="D178" s="1980"/>
      <c r="E178" s="1980"/>
      <c r="F178" s="1980"/>
      <c r="G178" s="1980"/>
      <c r="H178" s="1980"/>
      <c r="I178" s="1980"/>
      <c r="J178" s="1980"/>
      <c r="K178" s="1981"/>
      <c r="L178" s="1979" t="s">
        <v>152</v>
      </c>
      <c r="M178" s="1980"/>
      <c r="N178" s="1980"/>
      <c r="O178" s="1980"/>
      <c r="P178" s="1980"/>
      <c r="Q178" s="1980"/>
      <c r="R178" s="1980"/>
      <c r="S178" s="1980"/>
      <c r="T178" s="1980"/>
      <c r="U178" s="1981"/>
      <c r="V178" s="1806" t="s">
        <v>152</v>
      </c>
      <c r="W178" s="1807"/>
      <c r="X178" s="1807"/>
      <c r="Y178" s="1807"/>
      <c r="Z178" s="1807"/>
      <c r="AA178" s="1807"/>
      <c r="AB178" s="1807"/>
      <c r="AC178" s="1807"/>
      <c r="AD178" s="1807"/>
      <c r="AE178" s="1808"/>
      <c r="AF178" s="1979" t="s">
        <v>152</v>
      </c>
      <c r="AG178" s="1980"/>
      <c r="AH178" s="1980"/>
      <c r="AI178" s="1980"/>
      <c r="AJ178" s="1980"/>
      <c r="AK178" s="1980"/>
      <c r="AL178" s="1980"/>
      <c r="AM178" s="1980"/>
      <c r="AN178" s="1980"/>
      <c r="AO178" s="1981"/>
      <c r="AP178" s="1806" t="s">
        <v>152</v>
      </c>
      <c r="AQ178" s="1807"/>
      <c r="AR178" s="1807"/>
      <c r="AS178" s="1807"/>
      <c r="AT178" s="1807"/>
      <c r="AU178" s="1807"/>
      <c r="AV178" s="1807"/>
      <c r="AW178" s="1807"/>
      <c r="AX178" s="1807"/>
      <c r="AY178" s="1808"/>
    </row>
    <row r="179" spans="1:51" ht="41.25" customHeight="1" x14ac:dyDescent="0.25">
      <c r="A179" s="1087" t="s">
        <v>7</v>
      </c>
      <c r="B179" s="1671" t="s">
        <v>40</v>
      </c>
      <c r="C179" s="1672"/>
      <c r="D179" s="1672"/>
      <c r="E179" s="1672"/>
      <c r="F179" s="1672"/>
      <c r="G179" s="1672"/>
      <c r="H179" s="1672"/>
      <c r="I179" s="1672"/>
      <c r="J179" s="1672"/>
      <c r="K179" s="1673"/>
      <c r="L179" s="1671" t="s">
        <v>39</v>
      </c>
      <c r="M179" s="1672"/>
      <c r="N179" s="1672"/>
      <c r="O179" s="1672"/>
      <c r="P179" s="1672"/>
      <c r="Q179" s="1672"/>
      <c r="R179" s="1672"/>
      <c r="S179" s="1672"/>
      <c r="T179" s="1672"/>
      <c r="U179" s="1673"/>
      <c r="V179" s="1675"/>
      <c r="W179" s="1676"/>
      <c r="X179" s="1676"/>
      <c r="Y179" s="1676"/>
      <c r="Z179" s="1676"/>
      <c r="AA179" s="1676"/>
      <c r="AB179" s="1676"/>
      <c r="AC179" s="1676"/>
      <c r="AD179" s="1676"/>
      <c r="AE179" s="1677"/>
      <c r="AF179" s="1675"/>
      <c r="AG179" s="1676"/>
      <c r="AH179" s="1676"/>
      <c r="AI179" s="1676"/>
      <c r="AJ179" s="1676"/>
      <c r="AK179" s="1676"/>
      <c r="AL179" s="1676"/>
      <c r="AM179" s="1676"/>
      <c r="AN179" s="1676"/>
      <c r="AO179" s="1677"/>
      <c r="AP179" s="1675"/>
      <c r="AQ179" s="1676"/>
      <c r="AR179" s="1676"/>
      <c r="AS179" s="1676"/>
      <c r="AT179" s="1676"/>
      <c r="AU179" s="1676"/>
      <c r="AV179" s="1676"/>
      <c r="AW179" s="1676"/>
      <c r="AX179" s="1676"/>
      <c r="AY179" s="1677"/>
    </row>
    <row r="180" spans="1:51" ht="41.25" customHeight="1" x14ac:dyDescent="0.25">
      <c r="A180" s="1087"/>
      <c r="B180" s="1806" t="s">
        <v>152</v>
      </c>
      <c r="C180" s="1807"/>
      <c r="D180" s="1807"/>
      <c r="E180" s="1807"/>
      <c r="F180" s="1807"/>
      <c r="G180" s="1807"/>
      <c r="H180" s="1807"/>
      <c r="I180" s="1807"/>
      <c r="J180" s="1807"/>
      <c r="K180" s="1808"/>
      <c r="L180" s="1979" t="s">
        <v>152</v>
      </c>
      <c r="M180" s="1980"/>
      <c r="N180" s="1980"/>
      <c r="O180" s="1980"/>
      <c r="P180" s="1980"/>
      <c r="Q180" s="1980"/>
      <c r="R180" s="1980"/>
      <c r="S180" s="1980"/>
      <c r="T180" s="1980"/>
      <c r="U180" s="1980"/>
      <c r="V180" s="480"/>
      <c r="W180" s="481"/>
      <c r="X180" s="481"/>
      <c r="Y180" s="481"/>
      <c r="Z180" s="592"/>
      <c r="AA180" s="591"/>
      <c r="AB180" s="481"/>
      <c r="AC180" s="481"/>
      <c r="AD180" s="481"/>
      <c r="AE180" s="482"/>
      <c r="AF180" s="1666"/>
      <c r="AG180" s="1667"/>
      <c r="AH180" s="1667"/>
      <c r="AI180" s="1667"/>
      <c r="AJ180" s="1667"/>
      <c r="AK180" s="1667"/>
      <c r="AL180" s="1667"/>
      <c r="AM180" s="1667"/>
      <c r="AN180" s="1667"/>
      <c r="AO180" s="1668"/>
      <c r="AP180" s="1666"/>
      <c r="AQ180" s="1667"/>
      <c r="AR180" s="1667"/>
      <c r="AS180" s="1667"/>
      <c r="AT180" s="1667"/>
      <c r="AU180" s="1667"/>
      <c r="AV180" s="1667"/>
      <c r="AW180" s="1667"/>
      <c r="AX180" s="1667"/>
      <c r="AY180" s="1668"/>
    </row>
    <row r="181" spans="1:51" ht="41.25" customHeight="1" x14ac:dyDescent="0.25">
      <c r="A181" s="1087" t="s">
        <v>8</v>
      </c>
      <c r="B181" s="1671" t="s">
        <v>40</v>
      </c>
      <c r="C181" s="1672"/>
      <c r="D181" s="1672"/>
      <c r="E181" s="1672"/>
      <c r="F181" s="1672"/>
      <c r="G181" s="1672"/>
      <c r="H181" s="1672"/>
      <c r="I181" s="1672"/>
      <c r="J181" s="1672"/>
      <c r="K181" s="1673"/>
      <c r="L181" s="1671" t="s">
        <v>48</v>
      </c>
      <c r="M181" s="1672"/>
      <c r="N181" s="1672"/>
      <c r="O181" s="1672"/>
      <c r="P181" s="1672"/>
      <c r="Q181" s="1672"/>
      <c r="R181" s="1672"/>
      <c r="S181" s="1672"/>
      <c r="T181" s="1672"/>
      <c r="U181" s="1673"/>
      <c r="V181" s="1675"/>
      <c r="W181" s="1676"/>
      <c r="X181" s="1676"/>
      <c r="Y181" s="1676"/>
      <c r="Z181" s="1676"/>
      <c r="AA181" s="1676"/>
      <c r="AB181" s="1676"/>
      <c r="AC181" s="1676"/>
      <c r="AD181" s="1676"/>
      <c r="AE181" s="1677"/>
      <c r="AF181" s="1675"/>
      <c r="AG181" s="1676"/>
      <c r="AH181" s="1676"/>
      <c r="AI181" s="1676"/>
      <c r="AJ181" s="1676"/>
      <c r="AK181" s="1676"/>
      <c r="AL181" s="1676"/>
      <c r="AM181" s="1676"/>
      <c r="AN181" s="1676"/>
      <c r="AO181" s="1677"/>
      <c r="AP181" s="1675"/>
      <c r="AQ181" s="1676"/>
      <c r="AR181" s="1676"/>
      <c r="AS181" s="1676"/>
      <c r="AT181" s="1676"/>
      <c r="AU181" s="1676"/>
      <c r="AV181" s="1676"/>
      <c r="AW181" s="1676"/>
      <c r="AX181" s="1676"/>
      <c r="AY181" s="1677"/>
    </row>
    <row r="182" spans="1:51" ht="41.25" customHeight="1" x14ac:dyDescent="0.25">
      <c r="A182" s="1087"/>
      <c r="B182" s="1806" t="s">
        <v>152</v>
      </c>
      <c r="C182" s="1807"/>
      <c r="D182" s="1807"/>
      <c r="E182" s="1807"/>
      <c r="F182" s="1807"/>
      <c r="G182" s="1807"/>
      <c r="H182" s="1807"/>
      <c r="I182" s="1807"/>
      <c r="J182" s="1807"/>
      <c r="K182" s="1808"/>
      <c r="L182" s="1979" t="s">
        <v>152</v>
      </c>
      <c r="M182" s="1980"/>
      <c r="N182" s="1980"/>
      <c r="O182" s="1980"/>
      <c r="P182" s="1980"/>
      <c r="Q182" s="1980"/>
      <c r="R182" s="1980"/>
      <c r="S182" s="1980"/>
      <c r="T182" s="1980"/>
      <c r="U182" s="1980"/>
      <c r="V182" s="1666"/>
      <c r="W182" s="1667"/>
      <c r="X182" s="1667"/>
      <c r="Y182" s="1667"/>
      <c r="Z182" s="1667"/>
      <c r="AA182" s="1667"/>
      <c r="AB182" s="1667"/>
      <c r="AC182" s="1667"/>
      <c r="AD182" s="1667"/>
      <c r="AE182" s="1668"/>
      <c r="AF182" s="1666"/>
      <c r="AG182" s="1667"/>
      <c r="AH182" s="1667"/>
      <c r="AI182" s="1667"/>
      <c r="AJ182" s="1667"/>
      <c r="AK182" s="1667"/>
      <c r="AL182" s="1667"/>
      <c r="AM182" s="1667"/>
      <c r="AN182" s="1667"/>
      <c r="AO182" s="1668"/>
      <c r="AP182" s="1666"/>
      <c r="AQ182" s="1667"/>
      <c r="AR182" s="1667"/>
      <c r="AS182" s="1667"/>
      <c r="AT182" s="1667"/>
      <c r="AU182" s="1667"/>
      <c r="AV182" s="1667"/>
      <c r="AW182" s="1667"/>
      <c r="AX182" s="1667"/>
      <c r="AY182" s="1668"/>
    </row>
    <row r="183" spans="1:51" ht="41.25" customHeight="1" x14ac:dyDescent="0.25">
      <c r="A183" s="1087" t="s">
        <v>9</v>
      </c>
      <c r="B183" s="1675"/>
      <c r="C183" s="1676"/>
      <c r="D183" s="1676"/>
      <c r="E183" s="1676"/>
      <c r="F183" s="1676"/>
      <c r="G183" s="1676"/>
      <c r="H183" s="1676"/>
      <c r="I183" s="1676"/>
      <c r="J183" s="1676"/>
      <c r="K183" s="1677"/>
      <c r="L183" s="1671" t="s">
        <v>48</v>
      </c>
      <c r="M183" s="1672"/>
      <c r="N183" s="1672"/>
      <c r="O183" s="1672"/>
      <c r="P183" s="1672"/>
      <c r="Q183" s="1672"/>
      <c r="R183" s="1672"/>
      <c r="S183" s="1672"/>
      <c r="T183" s="1672"/>
      <c r="U183" s="1673"/>
      <c r="V183" s="1675"/>
      <c r="W183" s="1676"/>
      <c r="X183" s="1676"/>
      <c r="Y183" s="1676"/>
      <c r="Z183" s="1676"/>
      <c r="AA183" s="1676"/>
      <c r="AB183" s="1676"/>
      <c r="AC183" s="1676"/>
      <c r="AD183" s="1676"/>
      <c r="AE183" s="590"/>
      <c r="AF183" s="1675"/>
      <c r="AG183" s="1676"/>
      <c r="AH183" s="1676"/>
      <c r="AI183" s="1676"/>
      <c r="AJ183" s="1676"/>
      <c r="AK183" s="1676"/>
      <c r="AL183" s="1676"/>
      <c r="AM183" s="1676"/>
      <c r="AN183" s="1676"/>
      <c r="AO183" s="1677"/>
      <c r="AP183" s="1675"/>
      <c r="AQ183" s="1676"/>
      <c r="AR183" s="1676"/>
      <c r="AS183" s="1676"/>
      <c r="AT183" s="1676"/>
      <c r="AU183" s="1676"/>
      <c r="AV183" s="1676"/>
      <c r="AW183" s="1676"/>
      <c r="AX183" s="1676"/>
      <c r="AY183" s="1677"/>
    </row>
    <row r="184" spans="1:51" ht="41.25" customHeight="1" thickBot="1" x14ac:dyDescent="0.3">
      <c r="A184" s="1171"/>
      <c r="B184" s="1930"/>
      <c r="C184" s="1931"/>
      <c r="D184" s="1931"/>
      <c r="E184" s="1931"/>
      <c r="F184" s="1931"/>
      <c r="G184" s="1931"/>
      <c r="H184" s="1931"/>
      <c r="I184" s="1931"/>
      <c r="J184" s="1931"/>
      <c r="K184" s="1932"/>
      <c r="L184" s="1605" t="s">
        <v>152</v>
      </c>
      <c r="M184" s="1606"/>
      <c r="N184" s="1606"/>
      <c r="O184" s="1606"/>
      <c r="P184" s="1606"/>
      <c r="Q184" s="1606"/>
      <c r="R184" s="1606"/>
      <c r="S184" s="1606"/>
      <c r="T184" s="1606"/>
      <c r="U184" s="1607"/>
      <c r="V184" s="1930"/>
      <c r="W184" s="1931"/>
      <c r="X184" s="1931"/>
      <c r="Y184" s="1931"/>
      <c r="Z184" s="1931"/>
      <c r="AA184" s="1931"/>
      <c r="AB184" s="1931"/>
      <c r="AC184" s="1931"/>
      <c r="AD184" s="1931"/>
      <c r="AE184" s="1932"/>
      <c r="AF184" s="1930"/>
      <c r="AG184" s="1931"/>
      <c r="AH184" s="1931"/>
      <c r="AI184" s="1931"/>
      <c r="AJ184" s="1931"/>
      <c r="AK184" s="1931"/>
      <c r="AL184" s="1931"/>
      <c r="AM184" s="1931"/>
      <c r="AN184" s="1931"/>
      <c r="AO184" s="1932"/>
      <c r="AP184" s="1930"/>
      <c r="AQ184" s="1931"/>
      <c r="AR184" s="1931"/>
      <c r="AS184" s="1931"/>
      <c r="AT184" s="1931"/>
      <c r="AU184" s="1931"/>
      <c r="AV184" s="1931"/>
      <c r="AW184" s="1931"/>
      <c r="AX184" s="1931"/>
      <c r="AY184" s="1932"/>
    </row>
    <row r="185" spans="1:51" ht="30" customHeight="1" thickBot="1" x14ac:dyDescent="0.3">
      <c r="A185" s="110"/>
      <c r="B185" s="175"/>
      <c r="C185" s="176"/>
      <c r="H185" s="471"/>
      <c r="I185" s="176"/>
      <c r="L185" s="175"/>
      <c r="M185" s="176"/>
      <c r="N185" s="175"/>
      <c r="O185" s="176"/>
      <c r="P185" s="176"/>
      <c r="Q185" s="471"/>
      <c r="R185" s="176"/>
      <c r="S185" s="176"/>
      <c r="T185" s="175"/>
      <c r="U185" s="176"/>
      <c r="V185" s="175"/>
      <c r="W185" s="471"/>
      <c r="X185" s="175"/>
      <c r="Y185" s="471"/>
      <c r="Z185" s="176"/>
      <c r="AA185" s="176"/>
      <c r="AB185" s="176"/>
      <c r="AC185" s="176"/>
      <c r="AF185" s="175"/>
      <c r="AG185" s="471"/>
      <c r="AH185" s="472"/>
      <c r="AI185" s="176"/>
      <c r="AJ185" s="176"/>
      <c r="AK185" s="176"/>
      <c r="AL185" s="176"/>
      <c r="AM185" s="176"/>
      <c r="AP185" s="175"/>
      <c r="AQ185" s="471"/>
      <c r="AR185" s="175"/>
      <c r="AS185" s="176"/>
      <c r="AT185" s="176"/>
      <c r="AU185" s="176"/>
      <c r="AV185" s="176"/>
      <c r="AW185" s="176"/>
    </row>
    <row r="186" spans="1:51" ht="18.75" customHeight="1" thickBot="1" x14ac:dyDescent="0.3">
      <c r="A186" s="1190" t="s">
        <v>218</v>
      </c>
      <c r="B186" s="1147"/>
      <c r="C186" s="1190" t="s">
        <v>219</v>
      </c>
      <c r="D186" s="1146"/>
      <c r="E186" s="1146"/>
      <c r="F186" s="1146"/>
      <c r="G186" s="1146"/>
      <c r="H186" s="1146"/>
      <c r="I186" s="1146"/>
      <c r="J186" s="1146"/>
      <c r="K186" s="1146"/>
      <c r="L186" s="1146"/>
      <c r="M186" s="1146"/>
      <c r="N186" s="1146"/>
      <c r="O186" s="1190" t="s">
        <v>307</v>
      </c>
      <c r="P186" s="1146"/>
      <c r="Q186" s="1146"/>
      <c r="R186" s="1147"/>
      <c r="S186" s="1190" t="s">
        <v>143</v>
      </c>
      <c r="T186" s="1147"/>
      <c r="U186" s="1507" t="s">
        <v>167</v>
      </c>
      <c r="V186" s="1508"/>
      <c r="W186" s="1508"/>
      <c r="X186" s="1508"/>
      <c r="Y186" s="1508"/>
      <c r="Z186" s="1508"/>
      <c r="AA186" s="1508"/>
      <c r="AB186" s="1508"/>
      <c r="AC186" s="1508"/>
      <c r="AD186" s="1508"/>
      <c r="AE186" s="1508"/>
      <c r="AF186" s="1508"/>
      <c r="AG186" s="1508"/>
      <c r="AH186" s="1508"/>
      <c r="AI186" s="1508"/>
      <c r="AJ186" s="1508"/>
      <c r="AK186" s="1508"/>
      <c r="AL186" s="1508"/>
      <c r="AM186" s="1508"/>
      <c r="AN186" s="1508"/>
      <c r="AO186" s="1509"/>
      <c r="AQ186" s="1499" t="s">
        <v>1051</v>
      </c>
      <c r="AR186" s="1500"/>
      <c r="AS186" s="1500"/>
      <c r="AT186" s="1501"/>
      <c r="AU186" s="33"/>
      <c r="AV186" s="1994"/>
      <c r="AW186" s="1995"/>
      <c r="AX186" s="1995"/>
      <c r="AY186" s="1996"/>
    </row>
    <row r="187" spans="1:51" ht="14.25" customHeight="1" x14ac:dyDescent="0.25">
      <c r="A187" s="1510" t="str">
        <f>VLOOKUP(O187,ASIGNATURAS!$F$1:$L$1022, 3, FALSE)</f>
        <v>MAQ. HIDRAUL.</v>
      </c>
      <c r="B187" s="1777"/>
      <c r="C187" s="1566" t="str">
        <f>VLOOKUP(O187,ASIGNATURAS!$F$1:$L$1022, 4, FALSE)</f>
        <v>Máquinas Hidráulicas</v>
      </c>
      <c r="D187" s="1566"/>
      <c r="E187" s="1566"/>
      <c r="F187" s="1566"/>
      <c r="G187" s="1566"/>
      <c r="H187" s="1566"/>
      <c r="I187" s="1566"/>
      <c r="J187" s="1566"/>
      <c r="K187" s="1566"/>
      <c r="L187" s="1566"/>
      <c r="M187" s="1566"/>
      <c r="N187" s="1566"/>
      <c r="O187" s="1517">
        <v>6327</v>
      </c>
      <c r="P187" s="1517"/>
      <c r="Q187" s="1517"/>
      <c r="R187" s="1517"/>
      <c r="S187" s="1517">
        <f>VLOOKUP(O187,ASIGNATURAS!$F$1:$L$1022, 5, FALSE)</f>
        <v>6</v>
      </c>
      <c r="T187" s="1517"/>
      <c r="U187" s="1570" t="str">
        <f>VLOOKUP(O187,ASIGNATURAS!$F$1:$L$1022, 6, FALSE)</f>
        <v>Ignacio Velázquez, David González</v>
      </c>
      <c r="V187" s="1571"/>
      <c r="W187" s="1571"/>
      <c r="X187" s="1571"/>
      <c r="Y187" s="1571"/>
      <c r="Z187" s="1571"/>
      <c r="AA187" s="1571"/>
      <c r="AB187" s="1571"/>
      <c r="AC187" s="1571"/>
      <c r="AD187" s="1571"/>
      <c r="AE187" s="1571"/>
      <c r="AF187" s="1571"/>
      <c r="AG187" s="1571"/>
      <c r="AH187" s="1571"/>
      <c r="AI187" s="1571"/>
      <c r="AJ187" s="1571"/>
      <c r="AK187" s="1571"/>
      <c r="AL187" s="1571"/>
      <c r="AM187" s="1571"/>
      <c r="AN187" s="1571"/>
      <c r="AO187" s="1572"/>
      <c r="AQ187" s="1502"/>
      <c r="AR187" s="1503"/>
      <c r="AS187" s="1503"/>
      <c r="AT187" s="1504"/>
      <c r="AV187" s="1997"/>
      <c r="AW187" s="1998"/>
      <c r="AX187" s="1998"/>
      <c r="AY187" s="1999"/>
    </row>
    <row r="188" spans="1:51" ht="15" x14ac:dyDescent="0.25">
      <c r="A188" s="1510" t="str">
        <f>VLOOKUP(O188,ASIGNATURAS!$F$1:$L$1022, 3, FALSE)</f>
        <v>TÉRMICA II</v>
      </c>
      <c r="B188" s="1777"/>
      <c r="C188" s="1532" t="str">
        <f>VLOOKUP(O188,ASIGNATURAS!$F$1:$L$1022, 4, FALSE)</f>
        <v>Ingeniería Térmica II</v>
      </c>
      <c r="D188" s="1532"/>
      <c r="E188" s="1532"/>
      <c r="F188" s="1532"/>
      <c r="G188" s="1532"/>
      <c r="H188" s="1532"/>
      <c r="I188" s="1532"/>
      <c r="J188" s="1532"/>
      <c r="K188" s="1532"/>
      <c r="L188" s="1532"/>
      <c r="M188" s="1532"/>
      <c r="N188" s="1532"/>
      <c r="O188" s="1469">
        <v>6328</v>
      </c>
      <c r="P188" s="1469"/>
      <c r="Q188" s="1469"/>
      <c r="R188" s="1469"/>
      <c r="S188" s="1469">
        <f>VLOOKUP(O188,ASIGNATURAS!$F$1:$L$1022, 5, FALSE)</f>
        <v>6</v>
      </c>
      <c r="T188" s="1469"/>
      <c r="U188" s="1494" t="str">
        <f>VLOOKUP(O188,ASIGNATURAS!$F$1:$L$1022, 6, FALSE)</f>
        <v>Cristina Alonso Tristán,  David González</v>
      </c>
      <c r="V188" s="1495"/>
      <c r="W188" s="1495"/>
      <c r="X188" s="1495"/>
      <c r="Y188" s="1495"/>
      <c r="Z188" s="1495"/>
      <c r="AA188" s="1495"/>
      <c r="AB188" s="1495"/>
      <c r="AC188" s="1495"/>
      <c r="AD188" s="1495"/>
      <c r="AE188" s="1495"/>
      <c r="AF188" s="1495"/>
      <c r="AG188" s="1495"/>
      <c r="AH188" s="1495"/>
      <c r="AI188" s="1495"/>
      <c r="AJ188" s="1495"/>
      <c r="AK188" s="1495"/>
      <c r="AL188" s="1495"/>
      <c r="AM188" s="1495"/>
      <c r="AN188" s="1495"/>
      <c r="AO188" s="1496"/>
      <c r="AQ188" s="1654" t="s">
        <v>1047</v>
      </c>
      <c r="AR188" s="1655"/>
      <c r="AS188" s="1655"/>
      <c r="AT188" s="1656"/>
      <c r="AV188" s="1982"/>
      <c r="AW188" s="1983"/>
      <c r="AX188" s="1983"/>
      <c r="AY188" s="1984"/>
    </row>
    <row r="189" spans="1:51" ht="14.25" customHeight="1" x14ac:dyDescent="0.25">
      <c r="A189" s="1510" t="str">
        <f>VLOOKUP(O189,ASIGNATURAS!$F$1:$L$1022, 3, FALSE)</f>
        <v>DISEÑO MAQ. I</v>
      </c>
      <c r="B189" s="1777"/>
      <c r="C189" s="1532" t="str">
        <f>VLOOKUP(O189,ASIGNATURAS!$F$1:$L$1022, 4, FALSE)</f>
        <v>Diseño de Máquinas I</v>
      </c>
      <c r="D189" s="1532"/>
      <c r="E189" s="1532"/>
      <c r="F189" s="1532"/>
      <c r="G189" s="1532"/>
      <c r="H189" s="1532"/>
      <c r="I189" s="1532"/>
      <c r="J189" s="1532"/>
      <c r="K189" s="1532"/>
      <c r="L189" s="1532"/>
      <c r="M189" s="1532"/>
      <c r="N189" s="1532"/>
      <c r="O189" s="1469">
        <v>6329</v>
      </c>
      <c r="P189" s="1469"/>
      <c r="Q189" s="1469"/>
      <c r="R189" s="1469"/>
      <c r="S189" s="1469">
        <f>VLOOKUP(O189,ASIGNATURAS!$F$1:$L$1022, 5, FALSE)</f>
        <v>6</v>
      </c>
      <c r="T189" s="1469"/>
      <c r="U189" s="1494" t="str">
        <f>VLOOKUP(O189,ASIGNATURAS!$F$1:$L$1022, 6, FALSE)</f>
        <v>Mª José García</v>
      </c>
      <c r="V189" s="1495"/>
      <c r="W189" s="1495"/>
      <c r="X189" s="1495"/>
      <c r="Y189" s="1495"/>
      <c r="Z189" s="1495"/>
      <c r="AA189" s="1495"/>
      <c r="AB189" s="1495"/>
      <c r="AC189" s="1495"/>
      <c r="AD189" s="1495"/>
      <c r="AE189" s="1495"/>
      <c r="AF189" s="1495"/>
      <c r="AG189" s="1495"/>
      <c r="AH189" s="1495"/>
      <c r="AI189" s="1495"/>
      <c r="AJ189" s="1495"/>
      <c r="AK189" s="1495"/>
      <c r="AL189" s="1495"/>
      <c r="AM189" s="1495"/>
      <c r="AN189" s="1495"/>
      <c r="AO189" s="1496"/>
      <c r="AQ189" s="1473" t="s">
        <v>579</v>
      </c>
      <c r="AR189" s="1474"/>
      <c r="AS189" s="1474"/>
      <c r="AT189" s="1475"/>
      <c r="AU189" s="33"/>
      <c r="AV189" s="1869"/>
      <c r="AW189" s="1870"/>
      <c r="AX189" s="1870"/>
      <c r="AY189" s="1871"/>
    </row>
    <row r="190" spans="1:51" ht="14.25" customHeight="1" x14ac:dyDescent="0.25">
      <c r="A190" s="1510" t="str">
        <f>VLOOKUP(O190,ASIGNATURAS!$F$1:$L$1022, 3, FALSE)</f>
        <v>ESTRUCTURAS I</v>
      </c>
      <c r="B190" s="1777"/>
      <c r="C190" s="1532" t="str">
        <f>VLOOKUP(O190,ASIGNATURAS!$F$1:$L$1022, 4, FALSE)</f>
        <v>Estructuras I</v>
      </c>
      <c r="D190" s="1532"/>
      <c r="E190" s="1532"/>
      <c r="F190" s="1532"/>
      <c r="G190" s="1532"/>
      <c r="H190" s="1532"/>
      <c r="I190" s="1532"/>
      <c r="J190" s="1532"/>
      <c r="K190" s="1532"/>
      <c r="L190" s="1532"/>
      <c r="M190" s="1532"/>
      <c r="N190" s="1532"/>
      <c r="O190" s="1469">
        <v>6330</v>
      </c>
      <c r="P190" s="1469"/>
      <c r="Q190" s="1469"/>
      <c r="R190" s="1469"/>
      <c r="S190" s="1469">
        <f>VLOOKUP(O190,ASIGNATURAS!$F$1:$L$1022, 5, FALSE)</f>
        <v>6</v>
      </c>
      <c r="T190" s="1469"/>
      <c r="U190" s="1494" t="str">
        <f>VLOOKUP(O190,ASIGNATURAS!$F$1:$L$1022, 6, FALSE)</f>
        <v>Jesus Moreno Revilla, Rosario Moradillo</v>
      </c>
      <c r="V190" s="1495"/>
      <c r="W190" s="1495"/>
      <c r="X190" s="1495"/>
      <c r="Y190" s="1495"/>
      <c r="Z190" s="1495"/>
      <c r="AA190" s="1495"/>
      <c r="AB190" s="1495"/>
      <c r="AC190" s="1495"/>
      <c r="AD190" s="1495"/>
      <c r="AE190" s="1495"/>
      <c r="AF190" s="1495"/>
      <c r="AG190" s="1495"/>
      <c r="AH190" s="1495"/>
      <c r="AI190" s="1495"/>
      <c r="AJ190" s="1495"/>
      <c r="AK190" s="1495"/>
      <c r="AL190" s="1495"/>
      <c r="AM190" s="1495"/>
      <c r="AN190" s="1495"/>
      <c r="AO190" s="1496"/>
      <c r="AQ190" s="1473" t="s">
        <v>580</v>
      </c>
      <c r="AR190" s="1474"/>
      <c r="AS190" s="1474"/>
      <c r="AT190" s="1475"/>
      <c r="AU190" s="33"/>
      <c r="AV190" s="1869"/>
      <c r="AW190" s="1870"/>
      <c r="AX190" s="1870"/>
      <c r="AY190" s="1871"/>
    </row>
    <row r="191" spans="1:51" ht="15.6" thickBot="1" x14ac:dyDescent="0.3">
      <c r="A191" s="1523" t="str">
        <f>VLOOKUP(O191,ASIGNATURAS!$F$1:$L$1022, 3, FALSE)</f>
        <v>TECN. MEC. I</v>
      </c>
      <c r="B191" s="1824"/>
      <c r="C191" s="1736" t="str">
        <f>VLOOKUP(O191,ASIGNATURAS!$F$1:$L$1022, 4, FALSE)</f>
        <v>Tecnología Mecánica I</v>
      </c>
      <c r="D191" s="1736"/>
      <c r="E191" s="1736"/>
      <c r="F191" s="1736"/>
      <c r="G191" s="1736"/>
      <c r="H191" s="1736"/>
      <c r="I191" s="1736"/>
      <c r="J191" s="1736"/>
      <c r="K191" s="1736"/>
      <c r="L191" s="1736"/>
      <c r="M191" s="1736"/>
      <c r="N191" s="1736"/>
      <c r="O191" s="1486">
        <v>6331</v>
      </c>
      <c r="P191" s="1486"/>
      <c r="Q191" s="1486"/>
      <c r="R191" s="1486"/>
      <c r="S191" s="1486">
        <f>VLOOKUP(O191,ASIGNATURAS!$F$1:$L$1022, 5, FALSE)</f>
        <v>6</v>
      </c>
      <c r="T191" s="1486"/>
      <c r="U191" s="1487" t="str">
        <f>VLOOKUP(O191,ASIGNATURAS!$F$1:$L$1022, 6, FALSE)</f>
        <v>Mirian Lorenzo</v>
      </c>
      <c r="V191" s="1488"/>
      <c r="W191" s="1488"/>
      <c r="X191" s="1488"/>
      <c r="Y191" s="1488"/>
      <c r="Z191" s="1488"/>
      <c r="AA191" s="1488"/>
      <c r="AB191" s="1488"/>
      <c r="AC191" s="1488"/>
      <c r="AD191" s="1488"/>
      <c r="AE191" s="1488"/>
      <c r="AF191" s="1488"/>
      <c r="AG191" s="1488"/>
      <c r="AH191" s="1488"/>
      <c r="AI191" s="1488"/>
      <c r="AJ191" s="1488"/>
      <c r="AK191" s="1488"/>
      <c r="AL191" s="1488"/>
      <c r="AM191" s="1488"/>
      <c r="AN191" s="1488"/>
      <c r="AO191" s="1489"/>
      <c r="AQ191" s="1988"/>
      <c r="AR191" s="1989"/>
      <c r="AS191" s="1989"/>
      <c r="AT191" s="1990"/>
      <c r="AV191" s="1991"/>
      <c r="AW191" s="1992"/>
      <c r="AX191" s="1992"/>
      <c r="AY191" s="1993"/>
    </row>
    <row r="192" spans="1:51" ht="13.8" thickBot="1" x14ac:dyDescent="0.3">
      <c r="AQ192" s="1863"/>
      <c r="AR192" s="1864"/>
      <c r="AS192" s="1864"/>
      <c r="AT192" s="1865"/>
    </row>
    <row r="193" spans="1:61" x14ac:dyDescent="0.25">
      <c r="A193" s="350"/>
    </row>
    <row r="194" spans="1:61" ht="15.6" thickBot="1" x14ac:dyDescent="0.3">
      <c r="A194" s="93" t="s">
        <v>217</v>
      </c>
    </row>
    <row r="195" spans="1:61" s="1" customFormat="1" ht="31.5" customHeight="1" thickBot="1" x14ac:dyDescent="0.45">
      <c r="A195" s="1094" t="str">
        <f>VLOOKUP(A198,ASIGNATURAS!$A$2:$D$151, 3, FALSE)</f>
        <v>4º Grado en Ingeniería Mecánica</v>
      </c>
      <c r="B195" s="1095"/>
      <c r="C195" s="1095"/>
      <c r="D195" s="1095"/>
      <c r="E195" s="1095"/>
      <c r="F195" s="1095"/>
      <c r="G195" s="1095"/>
      <c r="H195" s="1095"/>
      <c r="I195" s="1095"/>
      <c r="J195" s="1095"/>
      <c r="K195" s="1095"/>
      <c r="L195" s="1095"/>
      <c r="M195" s="1095"/>
      <c r="N195" s="1095"/>
      <c r="O195" s="1095"/>
      <c r="P195" s="1095"/>
      <c r="Q195" s="1095"/>
      <c r="R195" s="1095"/>
      <c r="S195" s="1095"/>
      <c r="T195" s="1095"/>
      <c r="U195" s="1095"/>
      <c r="V195" s="1095"/>
      <c r="W195" s="1095"/>
      <c r="X195" s="1095"/>
      <c r="Y195" s="1095"/>
      <c r="Z195" s="1095"/>
      <c r="AA195" s="1095"/>
      <c r="AB195" s="1095"/>
      <c r="AC195" s="1095"/>
      <c r="AD195" s="1095"/>
      <c r="AE195" s="1095"/>
      <c r="AF195" s="1095"/>
      <c r="AG195" s="1095"/>
      <c r="AH195" s="1095"/>
      <c r="AI195" s="1095"/>
      <c r="AJ195" s="1095"/>
      <c r="AK195" s="1095"/>
      <c r="AL195" s="1095"/>
      <c r="AM195" s="1095"/>
      <c r="AN195" s="1095"/>
      <c r="AO195" s="1096"/>
      <c r="AP195" s="1091" t="str">
        <f>Aulas!G5</f>
        <v>Curso 2024-2025</v>
      </c>
      <c r="AQ195" s="1092"/>
      <c r="AR195" s="1092"/>
      <c r="AS195" s="1092"/>
      <c r="AT195" s="1092"/>
      <c r="AU195" s="1092"/>
      <c r="AV195" s="1092"/>
      <c r="AW195" s="1092"/>
      <c r="AX195" s="1092"/>
      <c r="AY195" s="1093"/>
      <c r="BA195"/>
      <c r="BB195"/>
      <c r="BC195"/>
      <c r="BD195"/>
      <c r="BE195"/>
      <c r="BF195"/>
      <c r="BG195"/>
      <c r="BH195"/>
      <c r="BI195"/>
    </row>
    <row r="196" spans="1:61" s="8" customFormat="1" ht="23.25" customHeight="1" thickBot="1" x14ac:dyDescent="0.45">
      <c r="A196" s="1083" t="str">
        <f>VLOOKUP(A198,ASIGNATURAS!$A$2:$D$151, 2, FALSE)</f>
        <v>Semestre temporal: 1º        (7º Semestre Académico)</v>
      </c>
      <c r="B196" s="1084"/>
      <c r="C196" s="1084"/>
      <c r="D196" s="1084"/>
      <c r="E196" s="1084"/>
      <c r="F196" s="1084"/>
      <c r="G196" s="1084"/>
      <c r="H196" s="1084"/>
      <c r="I196" s="1084"/>
      <c r="J196" s="1084"/>
      <c r="K196" s="1084"/>
      <c r="L196" s="1084"/>
      <c r="M196" s="1084"/>
      <c r="N196" s="1084"/>
      <c r="O196" s="1084"/>
      <c r="P196" s="1084"/>
      <c r="Q196" s="1084"/>
      <c r="R196" s="1084"/>
      <c r="S196" s="1084"/>
      <c r="T196" s="1084"/>
      <c r="U196" s="1084"/>
      <c r="V196" s="1084"/>
      <c r="W196" s="1084"/>
      <c r="X196" s="1084"/>
      <c r="Y196" s="1084"/>
      <c r="Z196" s="1084"/>
      <c r="AA196" s="1084"/>
      <c r="AB196" s="1084"/>
      <c r="AC196" s="1084"/>
      <c r="AD196" s="1084"/>
      <c r="AE196" s="1084"/>
      <c r="AF196" s="1084"/>
      <c r="AG196" s="1084"/>
      <c r="AH196" s="1084"/>
      <c r="AI196" s="1084"/>
      <c r="AJ196" s="1084"/>
      <c r="AK196" s="1084"/>
      <c r="AL196" s="1084"/>
      <c r="AM196" s="1084"/>
      <c r="AN196" s="1084"/>
      <c r="AO196" s="1085"/>
      <c r="AP196" s="1642" t="s">
        <v>563</v>
      </c>
      <c r="AQ196" s="1072"/>
      <c r="AR196" s="1072"/>
      <c r="AS196" s="1072"/>
      <c r="AT196" s="1072"/>
      <c r="AU196" s="1072"/>
      <c r="AV196" s="1072"/>
      <c r="AW196" s="1072"/>
      <c r="AX196" s="1072"/>
      <c r="AY196" s="1073"/>
      <c r="BA196"/>
      <c r="BB196"/>
      <c r="BC196"/>
      <c r="BD196"/>
      <c r="BE196"/>
      <c r="BF196"/>
      <c r="BG196"/>
      <c r="BH196"/>
      <c r="BI196"/>
    </row>
    <row r="197" spans="1:61" s="8" customFormat="1" ht="23.25" customHeight="1" thickBot="1" x14ac:dyDescent="0.45">
      <c r="A197" s="1083" t="s">
        <v>181</v>
      </c>
      <c r="B197" s="1084"/>
      <c r="C197" s="1084"/>
      <c r="D197" s="1084"/>
      <c r="E197" s="1084"/>
      <c r="F197" s="1084"/>
      <c r="G197" s="1084"/>
      <c r="H197" s="1084"/>
      <c r="I197" s="1084"/>
      <c r="J197" s="1084"/>
      <c r="K197" s="1084"/>
      <c r="L197" s="1084"/>
      <c r="M197" s="1084"/>
      <c r="N197" s="1084"/>
      <c r="O197" s="1084"/>
      <c r="P197" s="1084"/>
      <c r="Q197" s="1084"/>
      <c r="R197" s="1084"/>
      <c r="S197" s="1084"/>
      <c r="T197" s="1084"/>
      <c r="U197" s="1084"/>
      <c r="V197" s="1084"/>
      <c r="W197" s="1084"/>
      <c r="X197" s="1084"/>
      <c r="Y197" s="1084"/>
      <c r="Z197" s="1084"/>
      <c r="AA197" s="1084"/>
      <c r="AB197" s="1084"/>
      <c r="AC197" s="1084"/>
      <c r="AD197" s="1084"/>
      <c r="AE197" s="1084"/>
      <c r="AF197" s="1084"/>
      <c r="AG197" s="1084"/>
      <c r="AH197" s="1084"/>
      <c r="AI197" s="1084"/>
      <c r="AJ197" s="1084"/>
      <c r="AK197" s="1084"/>
      <c r="AL197" s="1084"/>
      <c r="AM197" s="1084"/>
      <c r="AN197" s="1084"/>
      <c r="AO197" s="1085"/>
      <c r="AP197" s="1643"/>
      <c r="AQ197" s="1074"/>
      <c r="AR197" s="1074"/>
      <c r="AS197" s="1074"/>
      <c r="AT197" s="1074"/>
      <c r="AU197" s="1074"/>
      <c r="AV197" s="1074"/>
      <c r="AW197" s="1074"/>
      <c r="AX197" s="1074"/>
      <c r="AY197" s="1075"/>
      <c r="BA197"/>
      <c r="BB197"/>
      <c r="BC197"/>
      <c r="BD197"/>
      <c r="BE197"/>
      <c r="BF197"/>
      <c r="BG197"/>
      <c r="BH197"/>
      <c r="BI197"/>
    </row>
    <row r="198" spans="1:61" ht="38.25" customHeight="1" thickBot="1" x14ac:dyDescent="0.3">
      <c r="A198" s="9" t="s">
        <v>20</v>
      </c>
    </row>
    <row r="199" spans="1:61" s="2" customFormat="1" ht="24" customHeight="1" thickBot="1" x14ac:dyDescent="0.3">
      <c r="A199" s="19" t="s">
        <v>1</v>
      </c>
      <c r="B199" s="1076" t="s">
        <v>2</v>
      </c>
      <c r="C199" s="1077"/>
      <c r="D199" s="1077"/>
      <c r="E199" s="1077"/>
      <c r="F199" s="1077"/>
      <c r="G199" s="1077"/>
      <c r="H199" s="1077"/>
      <c r="I199" s="1077"/>
      <c r="J199" s="1077"/>
      <c r="K199" s="1078"/>
      <c r="L199" s="1091" t="s">
        <v>3</v>
      </c>
      <c r="M199" s="1092"/>
      <c r="N199" s="1092"/>
      <c r="O199" s="1092"/>
      <c r="P199" s="1092"/>
      <c r="Q199" s="1092"/>
      <c r="R199" s="1092"/>
      <c r="S199" s="1092"/>
      <c r="T199" s="1092"/>
      <c r="U199" s="1093"/>
      <c r="V199" s="1091" t="s">
        <v>139</v>
      </c>
      <c r="W199" s="1092"/>
      <c r="X199" s="1092"/>
      <c r="Y199" s="1092"/>
      <c r="Z199" s="1092"/>
      <c r="AA199" s="1092"/>
      <c r="AB199" s="1092"/>
      <c r="AC199" s="1092"/>
      <c r="AD199" s="1092"/>
      <c r="AE199" s="1093"/>
      <c r="AF199" s="1076" t="s">
        <v>4</v>
      </c>
      <c r="AG199" s="1077"/>
      <c r="AH199" s="1077"/>
      <c r="AI199" s="1077"/>
      <c r="AJ199" s="1077"/>
      <c r="AK199" s="1077"/>
      <c r="AL199" s="1077"/>
      <c r="AM199" s="1077"/>
      <c r="AN199" s="1077"/>
      <c r="AO199" s="1078"/>
      <c r="AP199" s="1076" t="s">
        <v>5</v>
      </c>
      <c r="AQ199" s="1077"/>
      <c r="AR199" s="1077"/>
      <c r="AS199" s="1077"/>
      <c r="AT199" s="1077"/>
      <c r="AU199" s="1077"/>
      <c r="AV199" s="1077"/>
      <c r="AW199" s="1077"/>
      <c r="AX199" s="1077"/>
      <c r="AY199" s="1078"/>
      <c r="BA199"/>
      <c r="BB199"/>
      <c r="BC199"/>
      <c r="BD199"/>
      <c r="BE199"/>
      <c r="BF199"/>
      <c r="BG199"/>
      <c r="BH199"/>
      <c r="BI199"/>
    </row>
    <row r="200" spans="1:61" ht="42" customHeight="1" x14ac:dyDescent="0.25">
      <c r="A200" s="1292" t="s">
        <v>1131</v>
      </c>
      <c r="B200" s="1600" t="s">
        <v>144</v>
      </c>
      <c r="C200" s="1601"/>
      <c r="D200" s="1601"/>
      <c r="E200" s="1601"/>
      <c r="F200" s="1601"/>
      <c r="G200" s="1601"/>
      <c r="H200" s="1601"/>
      <c r="I200" s="1601"/>
      <c r="J200" s="1601"/>
      <c r="K200" s="1604"/>
      <c r="L200" s="1985"/>
      <c r="M200" s="1986"/>
      <c r="N200" s="1986"/>
      <c r="O200" s="1986"/>
      <c r="P200" s="1986"/>
      <c r="Q200" s="1986"/>
      <c r="R200" s="1986"/>
      <c r="S200" s="1986"/>
      <c r="T200" s="1986"/>
      <c r="U200" s="1987"/>
      <c r="V200" s="1671" t="s">
        <v>41</v>
      </c>
      <c r="W200" s="1672"/>
      <c r="X200" s="1672"/>
      <c r="Y200" s="1672"/>
      <c r="Z200" s="1672"/>
      <c r="AA200" s="1672"/>
      <c r="AB200" s="1672"/>
      <c r="AC200" s="1672"/>
      <c r="AD200" s="1672"/>
      <c r="AE200" s="1673"/>
      <c r="AF200" s="1600" t="s">
        <v>42</v>
      </c>
      <c r="AG200" s="1601"/>
      <c r="AH200" s="1601"/>
      <c r="AI200" s="1601"/>
      <c r="AJ200" s="1601"/>
      <c r="AK200" s="1601"/>
      <c r="AL200" s="1601"/>
      <c r="AM200" s="1601"/>
      <c r="AN200" s="1601"/>
      <c r="AO200" s="1604"/>
      <c r="AP200" s="1678"/>
      <c r="AQ200" s="1679"/>
      <c r="AR200" s="1679"/>
      <c r="AS200" s="1679"/>
      <c r="AT200" s="1679"/>
      <c r="AU200" s="1679"/>
      <c r="AV200" s="1679"/>
      <c r="AW200" s="1679"/>
      <c r="AX200" s="1679"/>
      <c r="AY200" s="1680"/>
    </row>
    <row r="201" spans="1:61" ht="42" customHeight="1" x14ac:dyDescent="0.25">
      <c r="A201" s="935"/>
      <c r="B201" s="1806" t="s">
        <v>563</v>
      </c>
      <c r="C201" s="1807"/>
      <c r="D201" s="1807"/>
      <c r="E201" s="1807"/>
      <c r="F201" s="1807"/>
      <c r="G201" s="1807"/>
      <c r="H201" s="1807"/>
      <c r="I201" s="1807"/>
      <c r="J201" s="1807"/>
      <c r="K201" s="1808"/>
      <c r="L201" s="1666"/>
      <c r="M201" s="1667"/>
      <c r="N201" s="1667"/>
      <c r="O201" s="1667"/>
      <c r="P201" s="1667"/>
      <c r="Q201" s="1667"/>
      <c r="R201" s="1667"/>
      <c r="S201" s="1667"/>
      <c r="T201" s="1667"/>
      <c r="U201" s="1668"/>
      <c r="V201" s="1806" t="s">
        <v>630</v>
      </c>
      <c r="W201" s="1807"/>
      <c r="X201" s="1807"/>
      <c r="Y201" s="1807"/>
      <c r="Z201" s="1807"/>
      <c r="AA201" s="1807"/>
      <c r="AB201" s="1807"/>
      <c r="AC201" s="1807"/>
      <c r="AD201" s="1807"/>
      <c r="AE201" s="1808"/>
      <c r="AF201" s="1806" t="s">
        <v>563</v>
      </c>
      <c r="AG201" s="1807"/>
      <c r="AH201" s="1807"/>
      <c r="AI201" s="1807"/>
      <c r="AJ201" s="1807"/>
      <c r="AK201" s="1807"/>
      <c r="AL201" s="1807"/>
      <c r="AM201" s="1807"/>
      <c r="AN201" s="1807"/>
      <c r="AO201" s="1808"/>
      <c r="AP201" s="1666"/>
      <c r="AQ201" s="1667"/>
      <c r="AR201" s="1667"/>
      <c r="AS201" s="1667"/>
      <c r="AT201" s="1667"/>
      <c r="AU201" s="1667"/>
      <c r="AV201" s="1667"/>
      <c r="AW201" s="1667"/>
      <c r="AX201" s="1667"/>
      <c r="AY201" s="1668"/>
      <c r="BD201" s="20"/>
    </row>
    <row r="202" spans="1:61" ht="42" customHeight="1" x14ac:dyDescent="0.25">
      <c r="A202" s="934" t="s">
        <v>187</v>
      </c>
      <c r="B202" s="1671" t="s">
        <v>43</v>
      </c>
      <c r="C202" s="1672"/>
      <c r="D202" s="1672"/>
      <c r="E202" s="1672"/>
      <c r="F202" s="1672"/>
      <c r="G202" s="1672"/>
      <c r="H202" s="1672"/>
      <c r="I202" s="1672"/>
      <c r="J202" s="1672"/>
      <c r="K202" s="1673"/>
      <c r="L202" s="1671" t="s">
        <v>47</v>
      </c>
      <c r="M202" s="1672"/>
      <c r="N202" s="1672"/>
      <c r="O202" s="1672"/>
      <c r="P202" s="1672"/>
      <c r="Q202" s="1672"/>
      <c r="R202" s="1672"/>
      <c r="S202" s="1672"/>
      <c r="T202" s="1672"/>
      <c r="U202" s="1673"/>
      <c r="V202" s="1671" t="s">
        <v>41</v>
      </c>
      <c r="W202" s="1672"/>
      <c r="X202" s="1672"/>
      <c r="Y202" s="1672"/>
      <c r="Z202" s="1672"/>
      <c r="AA202" s="1672"/>
      <c r="AB202" s="1672"/>
      <c r="AC202" s="1672"/>
      <c r="AD202" s="1672"/>
      <c r="AE202" s="1673"/>
      <c r="AF202" s="1671" t="s">
        <v>42</v>
      </c>
      <c r="AG202" s="1672"/>
      <c r="AH202" s="1672"/>
      <c r="AI202" s="1672"/>
      <c r="AJ202" s="1672"/>
      <c r="AK202" s="1672"/>
      <c r="AL202" s="1672"/>
      <c r="AM202" s="1672"/>
      <c r="AN202" s="1672"/>
      <c r="AO202" s="1673"/>
      <c r="AP202" s="1675"/>
      <c r="AQ202" s="1676"/>
      <c r="AR202" s="1676"/>
      <c r="AS202" s="1676"/>
      <c r="AT202" s="1676"/>
      <c r="AU202" s="1676"/>
      <c r="AV202" s="1676"/>
      <c r="AW202" s="1676"/>
      <c r="AX202" s="1676"/>
      <c r="AY202" s="1677"/>
    </row>
    <row r="203" spans="1:61" ht="42" customHeight="1" x14ac:dyDescent="0.25">
      <c r="A203" s="935"/>
      <c r="B203" s="1806" t="s">
        <v>563</v>
      </c>
      <c r="C203" s="1807"/>
      <c r="D203" s="1807"/>
      <c r="E203" s="1807"/>
      <c r="F203" s="1807"/>
      <c r="G203" s="1807"/>
      <c r="H203" s="1807"/>
      <c r="I203" s="1807"/>
      <c r="J203" s="1807"/>
      <c r="K203" s="1808"/>
      <c r="L203" s="1806" t="s">
        <v>563</v>
      </c>
      <c r="M203" s="1807"/>
      <c r="N203" s="1807"/>
      <c r="O203" s="1807"/>
      <c r="P203" s="1807"/>
      <c r="Q203" s="1807"/>
      <c r="R203" s="1807"/>
      <c r="S203" s="1807"/>
      <c r="T203" s="1807"/>
      <c r="U203" s="1808"/>
      <c r="V203" s="1806" t="s">
        <v>630</v>
      </c>
      <c r="W203" s="1807"/>
      <c r="X203" s="1807"/>
      <c r="Y203" s="1807"/>
      <c r="Z203" s="1807"/>
      <c r="AA203" s="1807"/>
      <c r="AB203" s="1807"/>
      <c r="AC203" s="1807"/>
      <c r="AD203" s="1807"/>
      <c r="AE203" s="1808"/>
      <c r="AF203" s="1806" t="s">
        <v>563</v>
      </c>
      <c r="AG203" s="1807"/>
      <c r="AH203" s="1807"/>
      <c r="AI203" s="1807"/>
      <c r="AJ203" s="1807"/>
      <c r="AK203" s="1807"/>
      <c r="AL203" s="1807"/>
      <c r="AM203" s="1807"/>
      <c r="AN203" s="1807"/>
      <c r="AO203" s="1808"/>
      <c r="AP203" s="1666"/>
      <c r="AQ203" s="1667"/>
      <c r="AR203" s="1667"/>
      <c r="AS203" s="1667"/>
      <c r="AT203" s="1667"/>
      <c r="AU203" s="1667"/>
      <c r="AV203" s="1667"/>
      <c r="AW203" s="1667"/>
      <c r="AX203" s="1667"/>
      <c r="AY203" s="1668"/>
    </row>
    <row r="204" spans="1:61" ht="42" customHeight="1" x14ac:dyDescent="0.25">
      <c r="A204" s="1143" t="s">
        <v>186</v>
      </c>
      <c r="B204" s="1803" t="s">
        <v>43</v>
      </c>
      <c r="C204" s="1804"/>
      <c r="D204" s="1804"/>
      <c r="E204" s="1804"/>
      <c r="F204" s="1804"/>
      <c r="G204" s="1804"/>
      <c r="H204" s="1804"/>
      <c r="I204" s="1804"/>
      <c r="J204" s="1804"/>
      <c r="K204" s="1805"/>
      <c r="L204" s="1671" t="s">
        <v>47</v>
      </c>
      <c r="M204" s="1672"/>
      <c r="N204" s="1672"/>
      <c r="O204" s="1672"/>
      <c r="P204" s="1672"/>
      <c r="Q204" s="1672"/>
      <c r="R204" s="1672"/>
      <c r="S204" s="1672"/>
      <c r="T204" s="1672"/>
      <c r="U204" s="1673"/>
      <c r="V204" s="144" t="s">
        <v>579</v>
      </c>
      <c r="W204" s="1802" t="s">
        <v>683</v>
      </c>
      <c r="X204" s="594"/>
      <c r="Y204" s="1658"/>
      <c r="Z204" s="621"/>
      <c r="AA204" s="1779"/>
      <c r="AB204" s="146"/>
      <c r="AC204" s="1669"/>
      <c r="AD204" s="147"/>
      <c r="AE204" s="1782"/>
      <c r="AF204" s="148" t="s">
        <v>579</v>
      </c>
      <c r="AG204" s="1661" t="s">
        <v>630</v>
      </c>
      <c r="AH204" s="147"/>
      <c r="AI204" s="1669"/>
      <c r="AJ204" s="146"/>
      <c r="AK204" s="1669"/>
      <c r="AL204" s="146"/>
      <c r="AM204" s="1669"/>
      <c r="AN204" s="147"/>
      <c r="AO204" s="1782"/>
      <c r="AP204" s="174"/>
      <c r="AQ204" s="1669"/>
      <c r="AR204" s="146"/>
      <c r="AS204" s="1669"/>
      <c r="AT204" s="146"/>
      <c r="AU204" s="1669"/>
      <c r="AV204" s="146"/>
      <c r="AW204" s="1669"/>
      <c r="AX204" s="146"/>
      <c r="AY204" s="1782"/>
    </row>
    <row r="205" spans="1:61" ht="42" customHeight="1" x14ac:dyDescent="0.25">
      <c r="A205" s="1143"/>
      <c r="B205" s="1806" t="s">
        <v>563</v>
      </c>
      <c r="C205" s="1807"/>
      <c r="D205" s="1807"/>
      <c r="E205" s="1807"/>
      <c r="F205" s="1807"/>
      <c r="G205" s="1807"/>
      <c r="H205" s="1807"/>
      <c r="I205" s="1807"/>
      <c r="J205" s="1807"/>
      <c r="K205" s="1808"/>
      <c r="L205" s="1806" t="s">
        <v>563</v>
      </c>
      <c r="M205" s="1807"/>
      <c r="N205" s="1807"/>
      <c r="O205" s="1807"/>
      <c r="P205" s="1807"/>
      <c r="Q205" s="1807"/>
      <c r="R205" s="1807"/>
      <c r="S205" s="1807"/>
      <c r="T205" s="1807"/>
      <c r="U205" s="1808"/>
      <c r="V205" s="1463" t="s">
        <v>43</v>
      </c>
      <c r="W205" s="1661"/>
      <c r="X205" s="1113"/>
      <c r="Y205" s="1658"/>
      <c r="Z205" s="1527"/>
      <c r="AA205" s="1780"/>
      <c r="AB205" s="1589"/>
      <c r="AC205" s="1658"/>
      <c r="AD205" s="1492"/>
      <c r="AE205" s="1665"/>
      <c r="AF205" s="1109" t="s">
        <v>41</v>
      </c>
      <c r="AG205" s="1661"/>
      <c r="AH205" s="1492"/>
      <c r="AI205" s="1658"/>
      <c r="AJ205" s="1589"/>
      <c r="AK205" s="1658"/>
      <c r="AL205" s="1589"/>
      <c r="AM205" s="1658"/>
      <c r="AN205" s="1492"/>
      <c r="AO205" s="1665"/>
      <c r="AP205" s="1568"/>
      <c r="AQ205" s="1658"/>
      <c r="AR205" s="1589"/>
      <c r="AS205" s="1658"/>
      <c r="AT205" s="1589"/>
      <c r="AU205" s="1658"/>
      <c r="AV205" s="1589"/>
      <c r="AW205" s="1658"/>
      <c r="AX205" s="1589"/>
      <c r="AY205" s="1665"/>
    </row>
    <row r="206" spans="1:61" ht="42" customHeight="1" x14ac:dyDescent="0.25">
      <c r="A206" s="935" t="s">
        <v>188</v>
      </c>
      <c r="B206" s="487" t="s">
        <v>579</v>
      </c>
      <c r="C206" s="1661" t="s">
        <v>538</v>
      </c>
      <c r="D206" s="594"/>
      <c r="E206" s="1658"/>
      <c r="F206" s="621"/>
      <c r="G206" s="1779"/>
      <c r="H206" s="147"/>
      <c r="I206" s="1669"/>
      <c r="J206" s="147"/>
      <c r="K206" s="1782"/>
      <c r="L206" s="148" t="s">
        <v>579</v>
      </c>
      <c r="M206" s="1661" t="s">
        <v>563</v>
      </c>
      <c r="N206" s="594"/>
      <c r="O206" s="1658"/>
      <c r="P206" s="621"/>
      <c r="Q206" s="1779"/>
      <c r="R206" s="147"/>
      <c r="S206" s="1669"/>
      <c r="T206" s="146"/>
      <c r="U206" s="1782"/>
      <c r="V206" s="1463"/>
      <c r="W206" s="1661"/>
      <c r="X206" s="1113"/>
      <c r="Y206" s="1658"/>
      <c r="Z206" s="1527"/>
      <c r="AA206" s="1780"/>
      <c r="AB206" s="1589"/>
      <c r="AC206" s="1658"/>
      <c r="AD206" s="1492"/>
      <c r="AE206" s="1665"/>
      <c r="AF206" s="1109"/>
      <c r="AG206" s="1661"/>
      <c r="AH206" s="1492"/>
      <c r="AI206" s="1658"/>
      <c r="AJ206" s="1589"/>
      <c r="AK206" s="1658"/>
      <c r="AL206" s="1589"/>
      <c r="AM206" s="1658"/>
      <c r="AN206" s="1492"/>
      <c r="AO206" s="1665"/>
      <c r="AP206" s="1568"/>
      <c r="AQ206" s="1658"/>
      <c r="AR206" s="1589"/>
      <c r="AS206" s="1658"/>
      <c r="AT206" s="1589"/>
      <c r="AU206" s="1658"/>
      <c r="AV206" s="1589"/>
      <c r="AW206" s="1658"/>
      <c r="AX206" s="1589"/>
      <c r="AY206" s="1665"/>
    </row>
    <row r="207" spans="1:61" ht="42" customHeight="1" x14ac:dyDescent="0.25">
      <c r="A207" s="1143"/>
      <c r="B207" s="1544" t="s">
        <v>144</v>
      </c>
      <c r="C207" s="1661"/>
      <c r="D207" s="1113"/>
      <c r="E207" s="1658"/>
      <c r="F207" s="1527"/>
      <c r="G207" s="1780"/>
      <c r="H207" s="1492"/>
      <c r="I207" s="1658"/>
      <c r="J207" s="1492"/>
      <c r="K207" s="1665"/>
      <c r="L207" s="1118" t="s">
        <v>42</v>
      </c>
      <c r="M207" s="1661"/>
      <c r="N207" s="1589"/>
      <c r="O207" s="1658"/>
      <c r="P207" s="1527"/>
      <c r="Q207" s="1780"/>
      <c r="R207" s="1492"/>
      <c r="S207" s="1658"/>
      <c r="T207" s="1589"/>
      <c r="U207" s="1665"/>
      <c r="V207" s="1785"/>
      <c r="W207" s="1662"/>
      <c r="X207" s="1114"/>
      <c r="Y207" s="1659"/>
      <c r="Z207" s="1786"/>
      <c r="AA207" s="1781"/>
      <c r="AB207" s="1778"/>
      <c r="AC207" s="1659"/>
      <c r="AD207" s="1599"/>
      <c r="AE207" s="1783"/>
      <c r="AF207" s="1184"/>
      <c r="AG207" s="1662"/>
      <c r="AH207" s="1599"/>
      <c r="AI207" s="1659"/>
      <c r="AJ207" s="1778"/>
      <c r="AK207" s="1659"/>
      <c r="AL207" s="1778"/>
      <c r="AM207" s="1659"/>
      <c r="AN207" s="1599"/>
      <c r="AO207" s="1783"/>
      <c r="AP207" s="1757"/>
      <c r="AQ207" s="1659"/>
      <c r="AR207" s="1778"/>
      <c r="AS207" s="1659"/>
      <c r="AT207" s="1778"/>
      <c r="AU207" s="1659"/>
      <c r="AV207" s="1778"/>
      <c r="AW207" s="1659"/>
      <c r="AX207" s="1778"/>
      <c r="AY207" s="1783"/>
    </row>
    <row r="208" spans="1:61" ht="42" customHeight="1" x14ac:dyDescent="0.25">
      <c r="A208" s="935" t="s">
        <v>189</v>
      </c>
      <c r="B208" s="1544"/>
      <c r="C208" s="1661"/>
      <c r="D208" s="1113"/>
      <c r="E208" s="1658"/>
      <c r="F208" s="1527"/>
      <c r="G208" s="1780"/>
      <c r="H208" s="1492"/>
      <c r="I208" s="1658"/>
      <c r="J208" s="1492"/>
      <c r="K208" s="1665"/>
      <c r="L208" s="1118"/>
      <c r="M208" s="1661"/>
      <c r="N208" s="1589"/>
      <c r="O208" s="1658"/>
      <c r="P208" s="1527"/>
      <c r="Q208" s="1780"/>
      <c r="R208" s="1492"/>
      <c r="S208" s="1658"/>
      <c r="T208" s="1589"/>
      <c r="U208" s="1665"/>
      <c r="V208" s="627" t="s">
        <v>579</v>
      </c>
      <c r="W208" s="1802" t="s">
        <v>563</v>
      </c>
      <c r="X208" s="146"/>
      <c r="Y208" s="1669"/>
      <c r="Z208" s="20"/>
      <c r="AA208" s="20"/>
      <c r="AB208" s="146"/>
      <c r="AC208" s="1669"/>
      <c r="AD208" s="147"/>
      <c r="AE208" s="1782"/>
      <c r="AF208" s="1787"/>
      <c r="AG208" s="1812"/>
      <c r="AH208" s="594"/>
      <c r="AI208" s="1658"/>
      <c r="AJ208" s="505"/>
      <c r="AK208" s="503"/>
      <c r="AL208" s="146"/>
      <c r="AM208" s="1669"/>
      <c r="AN208" s="147"/>
      <c r="AO208" s="1782"/>
      <c r="AP208" s="174"/>
      <c r="AQ208" s="1669"/>
      <c r="AR208" s="146"/>
      <c r="AS208" s="1669"/>
      <c r="AT208" s="146"/>
      <c r="AU208" s="1669"/>
      <c r="AV208" s="146"/>
      <c r="AW208" s="1669"/>
      <c r="AX208" s="146"/>
      <c r="AY208" s="1782"/>
    </row>
    <row r="209" spans="1:61" ht="42" customHeight="1" x14ac:dyDescent="0.25">
      <c r="A209" s="1143"/>
      <c r="B209" s="1544"/>
      <c r="C209" s="1661"/>
      <c r="D209" s="1114"/>
      <c r="E209" s="1659"/>
      <c r="F209" s="1786"/>
      <c r="G209" s="1781"/>
      <c r="H209" s="1599"/>
      <c r="I209" s="1659"/>
      <c r="J209" s="1599"/>
      <c r="K209" s="1783"/>
      <c r="L209" s="1119"/>
      <c r="M209" s="1662"/>
      <c r="N209" s="1589"/>
      <c r="O209" s="1658"/>
      <c r="P209" s="1786"/>
      <c r="Q209" s="1781"/>
      <c r="R209" s="1492"/>
      <c r="S209" s="1659"/>
      <c r="T209" s="1778"/>
      <c r="U209" s="1665"/>
      <c r="V209" s="1463" t="s">
        <v>47</v>
      </c>
      <c r="W209" s="1661"/>
      <c r="X209" s="1589"/>
      <c r="Y209" s="1658"/>
      <c r="Z209" s="20"/>
      <c r="AA209" s="20"/>
      <c r="AB209" s="1589"/>
      <c r="AC209" s="1658"/>
      <c r="AD209" s="1492"/>
      <c r="AE209" s="1665"/>
      <c r="AF209" s="1568"/>
      <c r="AG209" s="1813"/>
      <c r="AH209" s="1589"/>
      <c r="AI209" s="1658"/>
      <c r="AJ209" s="505"/>
      <c r="AK209" s="503"/>
      <c r="AL209" s="1589"/>
      <c r="AM209" s="1658"/>
      <c r="AN209" s="1492"/>
      <c r="AO209" s="1665"/>
      <c r="AP209" s="1568"/>
      <c r="AQ209" s="1658"/>
      <c r="AR209" s="1589"/>
      <c r="AS209" s="1658"/>
      <c r="AT209" s="1589"/>
      <c r="AU209" s="1658"/>
      <c r="AV209" s="1589"/>
      <c r="AW209" s="1658"/>
      <c r="AX209" s="1589"/>
      <c r="AY209" s="1665"/>
    </row>
    <row r="210" spans="1:61" ht="42" customHeight="1" x14ac:dyDescent="0.25">
      <c r="A210" s="998" t="s">
        <v>190</v>
      </c>
      <c r="B210" s="1544"/>
      <c r="C210" s="1661"/>
      <c r="D210" s="632"/>
      <c r="E210" s="636"/>
      <c r="F210" s="636"/>
      <c r="G210" s="636"/>
      <c r="H210" s="632"/>
      <c r="I210" s="632"/>
      <c r="J210" s="632"/>
      <c r="K210" s="633"/>
      <c r="L210" s="636"/>
      <c r="M210" s="636"/>
      <c r="N210" s="1492"/>
      <c r="O210" s="1658"/>
      <c r="P210" s="149"/>
      <c r="Q210" s="630"/>
      <c r="R210" s="150"/>
      <c r="S210" s="151"/>
      <c r="T210" s="152"/>
      <c r="U210" s="153"/>
      <c r="V210" s="1463"/>
      <c r="W210" s="1661"/>
      <c r="X210" s="1589"/>
      <c r="Y210" s="1658"/>
      <c r="Z210" s="20"/>
      <c r="AA210" s="20"/>
      <c r="AB210" s="1589"/>
      <c r="AC210" s="1658"/>
      <c r="AD210" s="1492"/>
      <c r="AE210" s="1665"/>
      <c r="AF210" s="1568"/>
      <c r="AG210" s="1813"/>
      <c r="AH210" s="1589"/>
      <c r="AI210" s="1658"/>
      <c r="AJ210" s="505"/>
      <c r="AK210" s="503"/>
      <c r="AL210" s="1589"/>
      <c r="AM210" s="1658"/>
      <c r="AN210" s="1492"/>
      <c r="AO210" s="1665"/>
      <c r="AP210" s="1568"/>
      <c r="AQ210" s="1658"/>
      <c r="AR210" s="1589"/>
      <c r="AS210" s="1658"/>
      <c r="AT210" s="1589"/>
      <c r="AU210" s="1658"/>
      <c r="AV210" s="1589"/>
      <c r="AW210" s="1658"/>
      <c r="AX210" s="1589"/>
      <c r="AY210" s="1665"/>
    </row>
    <row r="211" spans="1:61" ht="42" customHeight="1" thickBot="1" x14ac:dyDescent="0.3">
      <c r="A211" s="997"/>
      <c r="B211" s="1545"/>
      <c r="C211" s="1801"/>
      <c r="D211" s="625"/>
      <c r="E211" s="154"/>
      <c r="F211" s="154"/>
      <c r="G211" s="154"/>
      <c r="H211" s="625"/>
      <c r="I211" s="625"/>
      <c r="J211" s="625"/>
      <c r="K211" s="626"/>
      <c r="L211" s="154"/>
      <c r="M211" s="154"/>
      <c r="N211" s="1493"/>
      <c r="O211" s="1670"/>
      <c r="P211" s="155"/>
      <c r="Q211" s="631"/>
      <c r="R211" s="156"/>
      <c r="S211" s="157"/>
      <c r="T211" s="154"/>
      <c r="U211" s="158"/>
      <c r="V211" s="1464"/>
      <c r="W211" s="1801"/>
      <c r="X211" s="1590"/>
      <c r="Y211" s="1670"/>
      <c r="Z211" s="637"/>
      <c r="AA211" s="419"/>
      <c r="AB211" s="1590"/>
      <c r="AC211" s="1670"/>
      <c r="AD211" s="1493"/>
      <c r="AE211" s="1784"/>
      <c r="AF211" s="1569"/>
      <c r="AG211" s="1814"/>
      <c r="AH211" s="1590"/>
      <c r="AI211" s="1658"/>
      <c r="AJ211" s="637"/>
      <c r="AK211" s="713"/>
      <c r="AL211" s="1590"/>
      <c r="AM211" s="1670"/>
      <c r="AN211" s="1493"/>
      <c r="AO211" s="1784"/>
      <c r="AP211" s="1569"/>
      <c r="AQ211" s="1670"/>
      <c r="AR211" s="1590"/>
      <c r="AS211" s="1670"/>
      <c r="AT211" s="1590"/>
      <c r="AU211" s="1670"/>
      <c r="AV211" s="1590"/>
      <c r="AW211" s="1670"/>
      <c r="AX211" s="1590"/>
      <c r="AY211" s="1784"/>
    </row>
    <row r="212" spans="1:61" ht="29.25" customHeight="1" thickBot="1" x14ac:dyDescent="0.3">
      <c r="A212" s="231"/>
      <c r="AI212" s="231"/>
      <c r="AU212" s="10"/>
      <c r="AV212" s="10"/>
      <c r="AW212" s="10"/>
      <c r="AX212" s="10"/>
      <c r="AY212" s="10"/>
    </row>
    <row r="213" spans="1:61" ht="18.75" customHeight="1" thickBot="1" x14ac:dyDescent="0.3">
      <c r="A213" s="1190" t="s">
        <v>218</v>
      </c>
      <c r="B213" s="1147"/>
      <c r="C213" s="1190" t="s">
        <v>219</v>
      </c>
      <c r="D213" s="1146"/>
      <c r="E213" s="1146"/>
      <c r="F213" s="1146"/>
      <c r="G213" s="1146"/>
      <c r="H213" s="1146"/>
      <c r="I213" s="1146"/>
      <c r="J213" s="1146"/>
      <c r="K213" s="1146"/>
      <c r="L213" s="1146"/>
      <c r="M213" s="1146"/>
      <c r="N213" s="1146"/>
      <c r="O213" s="1190" t="s">
        <v>308</v>
      </c>
      <c r="P213" s="1146"/>
      <c r="Q213" s="1146"/>
      <c r="R213" s="1147"/>
      <c r="S213" s="1190" t="s">
        <v>143</v>
      </c>
      <c r="T213" s="1147"/>
      <c r="U213" s="1507" t="s">
        <v>167</v>
      </c>
      <c r="V213" s="1508"/>
      <c r="W213" s="1508"/>
      <c r="X213" s="1508"/>
      <c r="Y213" s="1508"/>
      <c r="Z213" s="1508"/>
      <c r="AA213" s="1508"/>
      <c r="AB213" s="1508"/>
      <c r="AC213" s="1508"/>
      <c r="AD213" s="1508"/>
      <c r="AE213" s="1508"/>
      <c r="AF213" s="1508"/>
      <c r="AG213" s="1508"/>
      <c r="AH213" s="1508"/>
      <c r="AI213" s="1508"/>
      <c r="AJ213" s="1508"/>
      <c r="AK213" s="1508"/>
      <c r="AL213" s="1508"/>
      <c r="AM213" s="1508"/>
      <c r="AN213" s="1508"/>
      <c r="AO213" s="1509"/>
      <c r="AQ213" s="1499" t="s">
        <v>1051</v>
      </c>
      <c r="AR213" s="1500"/>
      <c r="AS213" s="1500"/>
      <c r="AT213" s="1501"/>
      <c r="AU213" s="10"/>
      <c r="AV213" s="1506"/>
      <c r="AW213" s="1506"/>
      <c r="AX213" s="1506"/>
      <c r="AY213" s="1506"/>
    </row>
    <row r="214" spans="1:61" ht="15" customHeight="1" x14ac:dyDescent="0.25">
      <c r="A214" s="1510" t="str">
        <f>VLOOKUP(O214,ASIGNATURAS!$F$1:$L$1022, 3, FALSE)</f>
        <v>INSTALACIONES I</v>
      </c>
      <c r="B214" s="1777"/>
      <c r="C214" s="1566" t="str">
        <f>VLOOKUP(O214,ASIGNATURAS!$F$1:$L$1022, 4, FALSE)</f>
        <v>Instalaciones Industriales I</v>
      </c>
      <c r="D214" s="1566"/>
      <c r="E214" s="1566"/>
      <c r="F214" s="1566"/>
      <c r="G214" s="1566"/>
      <c r="H214" s="1566"/>
      <c r="I214" s="1566"/>
      <c r="J214" s="1566"/>
      <c r="K214" s="1566"/>
      <c r="L214" s="1566"/>
      <c r="M214" s="1566"/>
      <c r="N214" s="1566"/>
      <c r="O214" s="1517">
        <v>6332</v>
      </c>
      <c r="P214" s="1517"/>
      <c r="Q214" s="1517"/>
      <c r="R214" s="1517"/>
      <c r="S214" s="1517">
        <f>VLOOKUP(O214,ASIGNATURAS!$F$1:$L$1022, 5, FALSE)</f>
        <v>6</v>
      </c>
      <c r="T214" s="1517"/>
      <c r="U214" s="1494" t="str">
        <f>VLOOKUP(O214,ASIGNATURAS!$F$1:$L$1022, 6, FALSE)</f>
        <v>Luis Alfredo Suárez Vivar</v>
      </c>
      <c r="V214" s="1495"/>
      <c r="W214" s="1495"/>
      <c r="X214" s="1495"/>
      <c r="Y214" s="1495"/>
      <c r="Z214" s="1495"/>
      <c r="AA214" s="1495"/>
      <c r="AB214" s="1495"/>
      <c r="AC214" s="1495"/>
      <c r="AD214" s="1495"/>
      <c r="AE214" s="1495"/>
      <c r="AF214" s="1495"/>
      <c r="AG214" s="1495"/>
      <c r="AH214" s="1495"/>
      <c r="AI214" s="1495"/>
      <c r="AJ214" s="1495"/>
      <c r="AK214" s="1495"/>
      <c r="AL214" s="1495"/>
      <c r="AM214" s="1495"/>
      <c r="AN214" s="1495"/>
      <c r="AO214" s="1496"/>
      <c r="AQ214" s="1502"/>
      <c r="AR214" s="1503"/>
      <c r="AS214" s="1503"/>
      <c r="AT214" s="1504"/>
      <c r="AU214" s="10"/>
      <c r="AV214" s="1506"/>
      <c r="AW214" s="1506"/>
      <c r="AX214" s="1506"/>
      <c r="AY214" s="1506"/>
    </row>
    <row r="215" spans="1:61" ht="15" customHeight="1" x14ac:dyDescent="0.25">
      <c r="A215" s="1510" t="str">
        <f>VLOOKUP(O215,ASIGNATURAS!$F$1:$L$1022, 3, FALSE)</f>
        <v>DISEÑO MAQ. II</v>
      </c>
      <c r="B215" s="1777"/>
      <c r="C215" s="1532" t="str">
        <f>VLOOKUP(O215,ASIGNATURAS!$F$1:$L$1022, 4, FALSE)</f>
        <v>Diseño de Máquinas II</v>
      </c>
      <c r="D215" s="1532"/>
      <c r="E215" s="1532"/>
      <c r="F215" s="1532"/>
      <c r="G215" s="1532"/>
      <c r="H215" s="1532"/>
      <c r="I215" s="1532"/>
      <c r="J215" s="1532"/>
      <c r="K215" s="1532"/>
      <c r="L215" s="1532"/>
      <c r="M215" s="1532"/>
      <c r="N215" s="1532"/>
      <c r="O215" s="1469">
        <v>6333</v>
      </c>
      <c r="P215" s="1469"/>
      <c r="Q215" s="1469"/>
      <c r="R215" s="1469"/>
      <c r="S215" s="1469">
        <f>VLOOKUP(O215,ASIGNATURAS!$F$1:$L$1022, 5, FALSE)</f>
        <v>6</v>
      </c>
      <c r="T215" s="1469"/>
      <c r="U215" s="1494" t="str">
        <f>VLOOKUP(O215,ASIGNATURAS!$F$1:$L$1022, 6, FALSE)</f>
        <v>Alberto Martínez Martínez</v>
      </c>
      <c r="V215" s="1495"/>
      <c r="W215" s="1495"/>
      <c r="X215" s="1495"/>
      <c r="Y215" s="1495"/>
      <c r="Z215" s="1495"/>
      <c r="AA215" s="1495"/>
      <c r="AB215" s="1495"/>
      <c r="AC215" s="1495"/>
      <c r="AD215" s="1495"/>
      <c r="AE215" s="1495"/>
      <c r="AF215" s="1495"/>
      <c r="AG215" s="1495"/>
      <c r="AH215" s="1495"/>
      <c r="AI215" s="1495"/>
      <c r="AJ215" s="1495"/>
      <c r="AK215" s="1495"/>
      <c r="AL215" s="1495"/>
      <c r="AM215" s="1495"/>
      <c r="AN215" s="1495"/>
      <c r="AO215" s="1496"/>
      <c r="AQ215" s="1654" t="s">
        <v>1047</v>
      </c>
      <c r="AR215" s="1655"/>
      <c r="AS215" s="1655"/>
      <c r="AT215" s="1656"/>
      <c r="AU215" s="10"/>
      <c r="AV215" s="1633"/>
      <c r="AW215" s="1633"/>
      <c r="AX215" s="1633"/>
      <c r="AY215" s="1633"/>
    </row>
    <row r="216" spans="1:61" ht="15" customHeight="1" x14ac:dyDescent="0.25">
      <c r="A216" s="1510" t="str">
        <f>VLOOKUP(O216,ASIGNATURAS!$F$1:$L$1022, 3, FALSE)</f>
        <v>ESTRUCTURAS II</v>
      </c>
      <c r="B216" s="1777"/>
      <c r="C216" s="1532" t="str">
        <f>VLOOKUP(O216,ASIGNATURAS!$F$1:$L$1022, 4, FALSE)</f>
        <v>Estructuras II</v>
      </c>
      <c r="D216" s="1532"/>
      <c r="E216" s="1532"/>
      <c r="F216" s="1532"/>
      <c r="G216" s="1532"/>
      <c r="H216" s="1532"/>
      <c r="I216" s="1532"/>
      <c r="J216" s="1532"/>
      <c r="K216" s="1532"/>
      <c r="L216" s="1532"/>
      <c r="M216" s="1532"/>
      <c r="N216" s="1532"/>
      <c r="O216" s="1469">
        <v>6334</v>
      </c>
      <c r="P216" s="1469"/>
      <c r="Q216" s="1469"/>
      <c r="R216" s="1469"/>
      <c r="S216" s="1469">
        <f>VLOOKUP(O216,ASIGNATURAS!$F$1:$L$1022, 5, FALSE)</f>
        <v>6</v>
      </c>
      <c r="T216" s="1469"/>
      <c r="U216" s="1494" t="str">
        <f>VLOOKUP(O216,ASIGNATURAS!$F$1:$L$1022, 6, FALSE)</f>
        <v>José Antonio Martinez,Jesús Mínguez, Álvaro Mena</v>
      </c>
      <c r="V216" s="1495"/>
      <c r="W216" s="1495"/>
      <c r="X216" s="1495"/>
      <c r="Y216" s="1495"/>
      <c r="Z216" s="1495"/>
      <c r="AA216" s="1495"/>
      <c r="AB216" s="1495"/>
      <c r="AC216" s="1495"/>
      <c r="AD216" s="1495"/>
      <c r="AE216" s="1495"/>
      <c r="AF216" s="1495"/>
      <c r="AG216" s="1495"/>
      <c r="AH216" s="1495"/>
      <c r="AI216" s="1495"/>
      <c r="AJ216" s="1495"/>
      <c r="AK216" s="1495"/>
      <c r="AL216" s="1495"/>
      <c r="AM216" s="1495"/>
      <c r="AN216" s="1495"/>
      <c r="AO216" s="1496"/>
      <c r="AQ216" s="1473" t="s">
        <v>579</v>
      </c>
      <c r="AR216" s="1474"/>
      <c r="AS216" s="1474"/>
      <c r="AT216" s="1475"/>
      <c r="AU216" s="10"/>
      <c r="AV216" s="1476"/>
      <c r="AW216" s="1476"/>
      <c r="AX216" s="1476"/>
      <c r="AY216" s="1476"/>
    </row>
    <row r="217" spans="1:61" ht="15" customHeight="1" x14ac:dyDescent="0.25">
      <c r="A217" s="1510" t="str">
        <f>VLOOKUP(O217,ASIGNATURAS!$F$1:$L$1022, 3, FALSE)</f>
        <v>MAQ. TERMICAS</v>
      </c>
      <c r="B217" s="1777"/>
      <c r="C217" s="1532" t="str">
        <f>VLOOKUP(O217,ASIGNATURAS!$F$1:$L$1022, 4, FALSE)</f>
        <v>Máquinas Térmicas</v>
      </c>
      <c r="D217" s="1532"/>
      <c r="E217" s="1532"/>
      <c r="F217" s="1532"/>
      <c r="G217" s="1532"/>
      <c r="H217" s="1532"/>
      <c r="I217" s="1532"/>
      <c r="J217" s="1532"/>
      <c r="K217" s="1532"/>
      <c r="L217" s="1532"/>
      <c r="M217" s="1532"/>
      <c r="N217" s="1532"/>
      <c r="O217" s="1469">
        <v>6335</v>
      </c>
      <c r="P217" s="1469"/>
      <c r="Q217" s="1469"/>
      <c r="R217" s="1469"/>
      <c r="S217" s="1469">
        <f>VLOOKUP(O217,ASIGNATURAS!$F$1:$L$1022, 5, FALSE)</f>
        <v>6</v>
      </c>
      <c r="T217" s="1469"/>
      <c r="U217" s="1494" t="str">
        <f>VLOOKUP(O217,ASIGNATURAS!$F$1:$L$1022, 6, FALSE)</f>
        <v>Fernando Aguilar Romero</v>
      </c>
      <c r="V217" s="1495"/>
      <c r="W217" s="1495"/>
      <c r="X217" s="1495"/>
      <c r="Y217" s="1495"/>
      <c r="Z217" s="1495"/>
      <c r="AA217" s="1495"/>
      <c r="AB217" s="1495"/>
      <c r="AC217" s="1495"/>
      <c r="AD217" s="1495"/>
      <c r="AE217" s="1495"/>
      <c r="AF217" s="1495"/>
      <c r="AG217" s="1495"/>
      <c r="AH217" s="1495"/>
      <c r="AI217" s="1495"/>
      <c r="AJ217" s="1495"/>
      <c r="AK217" s="1495"/>
      <c r="AL217" s="1495"/>
      <c r="AM217" s="1495"/>
      <c r="AN217" s="1495"/>
      <c r="AO217" s="1496"/>
      <c r="AQ217" s="1821" t="s">
        <v>580</v>
      </c>
      <c r="AR217" s="1822"/>
      <c r="AS217" s="1822"/>
      <c r="AT217" s="1823"/>
      <c r="AU217" s="10"/>
      <c r="AV217" s="1476"/>
      <c r="AW217" s="1476"/>
      <c r="AX217" s="1476"/>
      <c r="AY217" s="1476"/>
    </row>
    <row r="218" spans="1:61" ht="15.75" customHeight="1" thickBot="1" x14ac:dyDescent="0.3">
      <c r="A218" s="1523" t="str">
        <f>VLOOKUP(O218,ASIGNATURAS!$F$1:$L$1022, 3, FALSE)</f>
        <v>OFICINA TÉCNICA</v>
      </c>
      <c r="B218" s="1824"/>
      <c r="C218" s="1736" t="str">
        <f>VLOOKUP(O218,ASIGNATURAS!$F$1:$L$1022, 4, FALSE)</f>
        <v>Oficina Técnica</v>
      </c>
      <c r="D218" s="1736"/>
      <c r="E218" s="1736"/>
      <c r="F218" s="1736"/>
      <c r="G218" s="1736"/>
      <c r="H218" s="1736"/>
      <c r="I218" s="1736"/>
      <c r="J218" s="1736"/>
      <c r="K218" s="1736"/>
      <c r="L218" s="1736"/>
      <c r="M218" s="1736"/>
      <c r="N218" s="1736"/>
      <c r="O218" s="1486">
        <v>6336</v>
      </c>
      <c r="P218" s="1486"/>
      <c r="Q218" s="1486"/>
      <c r="R218" s="1486"/>
      <c r="S218" s="1486">
        <f>VLOOKUP(O218,ASIGNATURAS!$F$1:$L$1022, 5, FALSE)</f>
        <v>6</v>
      </c>
      <c r="T218" s="1486"/>
      <c r="U218" s="1487" t="str">
        <f>VLOOKUP(O218,ASIGNATURAS!$F$1:$L$1022, 6, FALSE)</f>
        <v xml:space="preserve">Raúl Zamora </v>
      </c>
      <c r="V218" s="1488"/>
      <c r="W218" s="1488"/>
      <c r="X218" s="1488"/>
      <c r="Y218" s="1488"/>
      <c r="Z218" s="1488"/>
      <c r="AA218" s="1488"/>
      <c r="AB218" s="1488"/>
      <c r="AC218" s="1488"/>
      <c r="AD218" s="1488"/>
      <c r="AE218" s="1488"/>
      <c r="AF218" s="1488"/>
      <c r="AG218" s="1488"/>
      <c r="AH218" s="1488"/>
      <c r="AI218" s="1488"/>
      <c r="AJ218" s="1488"/>
      <c r="AK218" s="1488"/>
      <c r="AL218" s="1488"/>
      <c r="AM218" s="1488"/>
      <c r="AN218" s="1488"/>
      <c r="AO218" s="1489"/>
      <c r="AQ218" s="1821" t="s">
        <v>581</v>
      </c>
      <c r="AR218" s="1822"/>
      <c r="AS218" s="1822"/>
      <c r="AT218" s="1823"/>
      <c r="AU218" s="10"/>
      <c r="AV218" s="1644"/>
      <c r="AW218" s="1644"/>
      <c r="AX218" s="1644"/>
      <c r="AY218" s="1644"/>
    </row>
    <row r="219" spans="1:61" ht="15.6" thickBot="1" x14ac:dyDescent="0.3">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c r="AA219" s="93"/>
      <c r="AB219" s="93"/>
      <c r="AC219" s="93"/>
      <c r="AD219" s="93"/>
      <c r="AE219" s="93"/>
      <c r="AF219" s="93"/>
      <c r="AG219" s="93"/>
      <c r="AH219" s="93"/>
      <c r="AI219" s="93"/>
      <c r="AJ219" s="93"/>
      <c r="AK219" s="93"/>
      <c r="AL219" s="93"/>
      <c r="AM219" s="93"/>
      <c r="AN219" s="93"/>
      <c r="AO219" s="93"/>
      <c r="AP219" s="93"/>
      <c r="AQ219" s="1863" t="s">
        <v>582</v>
      </c>
      <c r="AR219" s="1864"/>
      <c r="AS219" s="1864"/>
      <c r="AT219" s="1865"/>
      <c r="AU219" s="10"/>
      <c r="AV219" s="10"/>
      <c r="AW219" s="10"/>
      <c r="AX219" s="10"/>
      <c r="AY219" s="10"/>
    </row>
    <row r="220" spans="1:61" ht="15" x14ac:dyDescent="0.25">
      <c r="A220" s="350"/>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c r="AA220" s="93"/>
      <c r="AB220" s="93"/>
      <c r="AC220" s="93"/>
      <c r="AD220" s="93"/>
      <c r="AE220" s="93"/>
      <c r="AF220" s="93"/>
      <c r="AG220" s="93"/>
      <c r="AH220" s="93"/>
      <c r="AI220" s="93"/>
      <c r="AJ220" s="93"/>
      <c r="AK220" s="93"/>
      <c r="AL220" s="93"/>
      <c r="AM220" s="93"/>
      <c r="AN220" s="93"/>
      <c r="AO220" s="93"/>
      <c r="AP220" s="93"/>
      <c r="AQ220" s="93"/>
      <c r="AR220" s="93"/>
      <c r="AS220" s="93"/>
      <c r="AT220" s="93"/>
      <c r="AU220" s="93"/>
      <c r="AV220" s="93"/>
      <c r="AW220" s="93"/>
      <c r="AX220" s="93"/>
      <c r="AY220" s="93"/>
    </row>
    <row r="221" spans="1:61" ht="15.6" thickBot="1" x14ac:dyDescent="0.3">
      <c r="A221" s="93" t="s">
        <v>217</v>
      </c>
    </row>
    <row r="222" spans="1:61" s="1" customFormat="1" ht="31.5" customHeight="1" thickBot="1" x14ac:dyDescent="0.45">
      <c r="A222" s="1094" t="str">
        <f>VLOOKUP(A225,ASIGNATURAS!$A$2:$D$151, 3, FALSE)</f>
        <v>4º Grado en Ingeniería Mecánica</v>
      </c>
      <c r="B222" s="1095"/>
      <c r="C222" s="1095"/>
      <c r="D222" s="1095"/>
      <c r="E222" s="1095"/>
      <c r="F222" s="1095"/>
      <c r="G222" s="1095"/>
      <c r="H222" s="1095"/>
      <c r="I222" s="1095"/>
      <c r="J222" s="1095"/>
      <c r="K222" s="1095"/>
      <c r="L222" s="1095"/>
      <c r="M222" s="1095"/>
      <c r="N222" s="1095"/>
      <c r="O222" s="1095"/>
      <c r="P222" s="1095"/>
      <c r="Q222" s="1095"/>
      <c r="R222" s="1095"/>
      <c r="S222" s="1095"/>
      <c r="T222" s="1095"/>
      <c r="U222" s="1095"/>
      <c r="V222" s="1095"/>
      <c r="W222" s="1095"/>
      <c r="X222" s="1095"/>
      <c r="Y222" s="1095"/>
      <c r="Z222" s="1095"/>
      <c r="AA222" s="1095"/>
      <c r="AB222" s="1095"/>
      <c r="AC222" s="1095"/>
      <c r="AD222" s="1095"/>
      <c r="AE222" s="1095"/>
      <c r="AF222" s="1095"/>
      <c r="AG222" s="1095"/>
      <c r="AH222" s="1095"/>
      <c r="AI222" s="1095"/>
      <c r="AJ222" s="1095"/>
      <c r="AK222" s="1095"/>
      <c r="AL222" s="1095"/>
      <c r="AM222" s="1095"/>
      <c r="AN222" s="1095"/>
      <c r="AO222" s="1096"/>
      <c r="AP222" s="1091" t="str">
        <f>Aulas!G5</f>
        <v>Curso 2024-2025</v>
      </c>
      <c r="AQ222" s="1092"/>
      <c r="AR222" s="1092"/>
      <c r="AS222" s="1092"/>
      <c r="AT222" s="1092"/>
      <c r="AU222" s="1092"/>
      <c r="AV222" s="1092"/>
      <c r="AW222" s="1092"/>
      <c r="AX222" s="1092"/>
      <c r="AY222" s="1093"/>
      <c r="BA222"/>
      <c r="BB222"/>
      <c r="BC222"/>
      <c r="BD222"/>
      <c r="BE222"/>
      <c r="BF222"/>
      <c r="BG222"/>
      <c r="BH222"/>
      <c r="BI222"/>
    </row>
    <row r="223" spans="1:61" s="8" customFormat="1" ht="23.25" customHeight="1" thickBot="1" x14ac:dyDescent="0.45">
      <c r="A223" s="1083" t="str">
        <f>VLOOKUP(A225,ASIGNATURAS!$A$2:$D$151, 2, FALSE)</f>
        <v>Semestre temporal: 2º        (8º Semestre Académico)</v>
      </c>
      <c r="B223" s="1084"/>
      <c r="C223" s="1084"/>
      <c r="D223" s="1084"/>
      <c r="E223" s="1084"/>
      <c r="F223" s="1084"/>
      <c r="G223" s="1084"/>
      <c r="H223" s="1084"/>
      <c r="I223" s="1084"/>
      <c r="J223" s="1084"/>
      <c r="K223" s="1084"/>
      <c r="L223" s="1084"/>
      <c r="M223" s="1084"/>
      <c r="N223" s="1084"/>
      <c r="O223" s="1084"/>
      <c r="P223" s="1084"/>
      <c r="Q223" s="1084"/>
      <c r="R223" s="1084"/>
      <c r="S223" s="1084"/>
      <c r="T223" s="1084"/>
      <c r="U223" s="1084"/>
      <c r="V223" s="1084"/>
      <c r="W223" s="1084"/>
      <c r="X223" s="1084"/>
      <c r="Y223" s="1084"/>
      <c r="Z223" s="1084"/>
      <c r="AA223" s="1084"/>
      <c r="AB223" s="1084"/>
      <c r="AC223" s="1084"/>
      <c r="AD223" s="1084"/>
      <c r="AE223" s="1084"/>
      <c r="AF223" s="1084"/>
      <c r="AG223" s="1084"/>
      <c r="AH223" s="1084"/>
      <c r="AI223" s="1084"/>
      <c r="AJ223" s="1084"/>
      <c r="AK223" s="1084"/>
      <c r="AL223" s="1084"/>
      <c r="AM223" s="1084"/>
      <c r="AN223" s="1084"/>
      <c r="AO223" s="1085"/>
      <c r="AP223" s="1642" t="s">
        <v>1275</v>
      </c>
      <c r="AQ223" s="1072"/>
      <c r="AR223" s="1072"/>
      <c r="AS223" s="1072"/>
      <c r="AT223" s="1072"/>
      <c r="AU223" s="1072"/>
      <c r="AV223" s="1072"/>
      <c r="AW223" s="1072"/>
      <c r="AX223" s="1072"/>
      <c r="AY223" s="1073"/>
      <c r="BA223"/>
      <c r="BB223"/>
      <c r="BC223"/>
      <c r="BD223"/>
      <c r="BE223"/>
      <c r="BF223"/>
      <c r="BG223"/>
      <c r="BH223"/>
      <c r="BI223"/>
    </row>
    <row r="224" spans="1:61" s="8" customFormat="1" ht="23.25" customHeight="1" thickBot="1" x14ac:dyDescent="0.45">
      <c r="A224" s="1083" t="s">
        <v>181</v>
      </c>
      <c r="B224" s="1084"/>
      <c r="C224" s="1084"/>
      <c r="D224" s="1084"/>
      <c r="E224" s="1084"/>
      <c r="F224" s="1084"/>
      <c r="G224" s="1084"/>
      <c r="H224" s="1084"/>
      <c r="I224" s="1084"/>
      <c r="J224" s="1084"/>
      <c r="K224" s="1084"/>
      <c r="L224" s="1084"/>
      <c r="M224" s="1084"/>
      <c r="N224" s="1084"/>
      <c r="O224" s="1084"/>
      <c r="P224" s="1084"/>
      <c r="Q224" s="1084"/>
      <c r="R224" s="1084"/>
      <c r="S224" s="1084"/>
      <c r="T224" s="1084"/>
      <c r="U224" s="1084"/>
      <c r="V224" s="1084"/>
      <c r="W224" s="1084"/>
      <c r="X224" s="1084"/>
      <c r="Y224" s="1084"/>
      <c r="Z224" s="1084"/>
      <c r="AA224" s="1084"/>
      <c r="AB224" s="1084"/>
      <c r="AC224" s="1084"/>
      <c r="AD224" s="1084"/>
      <c r="AE224" s="1084"/>
      <c r="AF224" s="1084"/>
      <c r="AG224" s="1084"/>
      <c r="AH224" s="1084"/>
      <c r="AI224" s="1084"/>
      <c r="AJ224" s="1084"/>
      <c r="AK224" s="1084"/>
      <c r="AL224" s="1084"/>
      <c r="AM224" s="1084"/>
      <c r="AN224" s="1084"/>
      <c r="AO224" s="1085"/>
      <c r="AP224" s="1643"/>
      <c r="AQ224" s="1074"/>
      <c r="AR224" s="1074"/>
      <c r="AS224" s="1074"/>
      <c r="AT224" s="1074"/>
      <c r="AU224" s="1074"/>
      <c r="AV224" s="1074"/>
      <c r="AW224" s="1074"/>
      <c r="AX224" s="1074"/>
      <c r="AY224" s="1075"/>
      <c r="BA224"/>
      <c r="BB224"/>
      <c r="BC224"/>
      <c r="BD224"/>
      <c r="BE224"/>
      <c r="BF224"/>
      <c r="BG224"/>
      <c r="BH224"/>
      <c r="BI224"/>
    </row>
    <row r="225" spans="1:397" ht="38.25" customHeight="1" thickBot="1" x14ac:dyDescent="0.3">
      <c r="A225" s="9" t="s">
        <v>21</v>
      </c>
    </row>
    <row r="226" spans="1:397" s="2" customFormat="1" ht="24" customHeight="1" thickBot="1" x14ac:dyDescent="0.3">
      <c r="A226" s="19" t="s">
        <v>1</v>
      </c>
      <c r="B226" s="1076" t="s">
        <v>2</v>
      </c>
      <c r="C226" s="1077"/>
      <c r="D226" s="1077"/>
      <c r="E226" s="1077"/>
      <c r="F226" s="1077"/>
      <c r="G226" s="1077"/>
      <c r="H226" s="1077"/>
      <c r="I226" s="1077"/>
      <c r="J226" s="1077"/>
      <c r="K226" s="1078"/>
      <c r="L226" s="1091" t="s">
        <v>3</v>
      </c>
      <c r="M226" s="1092"/>
      <c r="N226" s="1092"/>
      <c r="O226" s="1092"/>
      <c r="P226" s="1092"/>
      <c r="Q226" s="1092"/>
      <c r="R226" s="1092"/>
      <c r="S226" s="1092"/>
      <c r="T226" s="1092"/>
      <c r="U226" s="1093"/>
      <c r="V226" s="1091" t="s">
        <v>139</v>
      </c>
      <c r="W226" s="1092"/>
      <c r="X226" s="1092"/>
      <c r="Y226" s="1092"/>
      <c r="Z226" s="1092"/>
      <c r="AA226" s="1092"/>
      <c r="AB226" s="1092"/>
      <c r="AC226" s="1092"/>
      <c r="AD226" s="1092"/>
      <c r="AE226" s="1093"/>
      <c r="AF226" s="1091" t="s">
        <v>4</v>
      </c>
      <c r="AG226" s="1092"/>
      <c r="AH226" s="1092"/>
      <c r="AI226" s="1092"/>
      <c r="AJ226" s="1092"/>
      <c r="AK226" s="1092"/>
      <c r="AL226" s="1092"/>
      <c r="AM226" s="1092"/>
      <c r="AN226" s="1092"/>
      <c r="AO226" s="1093"/>
      <c r="AP226" s="1091" t="s">
        <v>5</v>
      </c>
      <c r="AQ226" s="1092"/>
      <c r="AR226" s="1092"/>
      <c r="AS226" s="1092"/>
      <c r="AT226" s="1092"/>
      <c r="AU226" s="1092"/>
      <c r="AV226" s="1092"/>
      <c r="AW226" s="1092"/>
      <c r="AX226" s="1092"/>
      <c r="AY226" s="1093"/>
      <c r="BA226"/>
      <c r="BB226"/>
      <c r="BC226"/>
      <c r="BD226"/>
      <c r="BE226"/>
      <c r="BF226"/>
      <c r="BG226"/>
      <c r="BH226"/>
      <c r="BI226"/>
    </row>
    <row r="227" spans="1:397" ht="42" customHeight="1" x14ac:dyDescent="0.25">
      <c r="A227" s="1292" t="s">
        <v>1131</v>
      </c>
      <c r="B227" s="1877"/>
      <c r="C227" s="1878"/>
      <c r="D227" s="1878"/>
      <c r="E227" s="1878"/>
      <c r="F227" s="1878"/>
      <c r="G227" s="1878"/>
      <c r="H227" s="1878"/>
      <c r="I227" s="1878"/>
      <c r="J227" s="1878"/>
      <c r="K227" s="1879"/>
      <c r="L227" s="1844"/>
      <c r="M227" s="1845"/>
      <c r="N227" s="1845"/>
      <c r="O227" s="1845"/>
      <c r="P227" s="1845"/>
      <c r="Q227" s="1845"/>
      <c r="R227" s="1845"/>
      <c r="S227" s="1845"/>
      <c r="T227" s="1846"/>
      <c r="U227" s="1847"/>
      <c r="V227" s="1874"/>
      <c r="W227" s="1875"/>
      <c r="X227" s="1875"/>
      <c r="Y227" s="1875"/>
      <c r="Z227" s="1875"/>
      <c r="AA227" s="1875"/>
      <c r="AB227" s="1875"/>
      <c r="AC227" s="1875"/>
      <c r="AD227" s="1875"/>
      <c r="AE227" s="1876"/>
      <c r="AF227" s="1828" t="s">
        <v>45</v>
      </c>
      <c r="AG227" s="1829"/>
      <c r="AH227" s="1829"/>
      <c r="AI227" s="1829"/>
      <c r="AJ227" s="1829"/>
      <c r="AK227" s="1829"/>
      <c r="AL227" s="1829"/>
      <c r="AM227" s="1829"/>
      <c r="AN227" s="1829"/>
      <c r="AO227" s="1830">
        <v>1</v>
      </c>
      <c r="AP227" s="1678"/>
      <c r="AQ227" s="1679"/>
      <c r="AR227" s="1679"/>
      <c r="AS227" s="1679"/>
      <c r="AT227" s="1679"/>
      <c r="AU227" s="1679"/>
      <c r="AV227" s="1679"/>
      <c r="AW227" s="1679"/>
      <c r="AX227" s="1679"/>
      <c r="AY227" s="1680"/>
    </row>
    <row r="228" spans="1:397" ht="42" customHeight="1" x14ac:dyDescent="0.25">
      <c r="A228" s="935"/>
      <c r="B228" s="1825"/>
      <c r="C228" s="1826"/>
      <c r="D228" s="1826"/>
      <c r="E228" s="1826"/>
      <c r="F228" s="1826"/>
      <c r="G228" s="1826"/>
      <c r="H228" s="1826"/>
      <c r="I228" s="1826"/>
      <c r="J228" s="1826"/>
      <c r="K228" s="1827"/>
      <c r="L228" s="1825"/>
      <c r="M228" s="1826"/>
      <c r="N228" s="1826"/>
      <c r="O228" s="1826"/>
      <c r="P228" s="1826"/>
      <c r="Q228" s="1826"/>
      <c r="R228" s="1826"/>
      <c r="S228" s="1826"/>
      <c r="T228" s="1826"/>
      <c r="U228" s="1827"/>
      <c r="V228" s="1825"/>
      <c r="W228" s="1826"/>
      <c r="X228" s="1826"/>
      <c r="Y228" s="1826"/>
      <c r="Z228" s="1826"/>
      <c r="AA228" s="1826"/>
      <c r="AB228" s="1826"/>
      <c r="AC228" s="1826"/>
      <c r="AD228" s="1826"/>
      <c r="AE228" s="1827"/>
      <c r="AF228" s="1831"/>
      <c r="AG228" s="1832"/>
      <c r="AH228" s="1832"/>
      <c r="AI228" s="1832"/>
      <c r="AJ228" s="1832"/>
      <c r="AK228" s="1832"/>
      <c r="AL228" s="1832"/>
      <c r="AM228" s="1832"/>
      <c r="AN228" s="1832"/>
      <c r="AO228" s="1833"/>
      <c r="AP228" s="1809"/>
      <c r="AQ228" s="1810"/>
      <c r="AR228" s="1810"/>
      <c r="AS228" s="1810"/>
      <c r="AT228" s="1810"/>
      <c r="AU228" s="1810"/>
      <c r="AV228" s="1810"/>
      <c r="AW228" s="1810"/>
      <c r="AX228" s="1810"/>
      <c r="AY228" s="1811"/>
    </row>
    <row r="229" spans="1:397" ht="42" customHeight="1" thickBot="1" x14ac:dyDescent="0.3">
      <c r="A229" s="934" t="s">
        <v>187</v>
      </c>
      <c r="B229" s="1678"/>
      <c r="C229" s="1679"/>
      <c r="D229" s="1679"/>
      <c r="E229" s="1679"/>
      <c r="F229" s="1679"/>
      <c r="G229" s="1679"/>
      <c r="H229" s="1679"/>
      <c r="I229" s="1679"/>
      <c r="J229" s="1679"/>
      <c r="K229" s="1680"/>
      <c r="L229" s="1844"/>
      <c r="M229" s="1845"/>
      <c r="N229" s="1845"/>
      <c r="O229" s="1845"/>
      <c r="P229" s="1845"/>
      <c r="Q229" s="1845"/>
      <c r="R229" s="1845"/>
      <c r="S229" s="1845"/>
      <c r="T229" s="1846"/>
      <c r="U229" s="1847"/>
      <c r="V229" s="1874"/>
      <c r="W229" s="1875"/>
      <c r="X229" s="1875"/>
      <c r="Y229" s="1875"/>
      <c r="Z229" s="1875"/>
      <c r="AA229" s="1875"/>
      <c r="AB229" s="1875"/>
      <c r="AC229" s="1875"/>
      <c r="AD229" s="1875"/>
      <c r="AE229" s="1876"/>
      <c r="AF229" s="1828" t="s">
        <v>45</v>
      </c>
      <c r="AG229" s="1829"/>
      <c r="AH229" s="1829"/>
      <c r="AI229" s="1829"/>
      <c r="AJ229" s="1829"/>
      <c r="AK229" s="1829"/>
      <c r="AL229" s="1829"/>
      <c r="AM229" s="1829"/>
      <c r="AN229" s="1829"/>
      <c r="AO229" s="1830">
        <v>1</v>
      </c>
      <c r="AP229" s="1872"/>
      <c r="AQ229" s="1873"/>
      <c r="AR229" s="1873"/>
      <c r="AS229" s="1873"/>
      <c r="AT229" s="1873"/>
      <c r="AU229" s="1873"/>
      <c r="AV229" s="1873"/>
      <c r="AW229" s="1873"/>
      <c r="AX229" s="1817"/>
      <c r="AY229" s="1818"/>
    </row>
    <row r="230" spans="1:397" ht="42" customHeight="1" x14ac:dyDescent="0.25">
      <c r="A230" s="935"/>
      <c r="B230" s="1809"/>
      <c r="C230" s="1810"/>
      <c r="D230" s="1810"/>
      <c r="E230" s="1810"/>
      <c r="F230" s="1810"/>
      <c r="G230" s="1810"/>
      <c r="H230" s="1810"/>
      <c r="I230" s="1810"/>
      <c r="J230" s="1810"/>
      <c r="K230" s="1811"/>
      <c r="L230" s="1825"/>
      <c r="M230" s="1826"/>
      <c r="N230" s="1826"/>
      <c r="O230" s="1826"/>
      <c r="P230" s="1826"/>
      <c r="Q230" s="1826"/>
      <c r="R230" s="1826"/>
      <c r="S230" s="1826"/>
      <c r="T230" s="1826"/>
      <c r="U230" s="1827"/>
      <c r="V230" s="1825"/>
      <c r="W230" s="1826"/>
      <c r="X230" s="1826"/>
      <c r="Y230" s="1826"/>
      <c r="Z230" s="1826"/>
      <c r="AA230" s="1826"/>
      <c r="AB230" s="1826"/>
      <c r="AC230" s="1826"/>
      <c r="AD230" s="1826"/>
      <c r="AE230" s="1827"/>
      <c r="AF230" s="1831"/>
      <c r="AG230" s="1832"/>
      <c r="AH230" s="1832"/>
      <c r="AI230" s="1832"/>
      <c r="AJ230" s="1832"/>
      <c r="AK230" s="1832"/>
      <c r="AL230" s="1832"/>
      <c r="AM230" s="1832"/>
      <c r="AN230" s="1832"/>
      <c r="AO230" s="1833"/>
      <c r="AP230" s="1809"/>
      <c r="AQ230" s="1810"/>
      <c r="AR230" s="1810"/>
      <c r="AS230" s="1810"/>
      <c r="AT230" s="1810"/>
      <c r="AU230" s="1810"/>
      <c r="AV230" s="1810"/>
      <c r="AW230" s="1810"/>
      <c r="AX230" s="1810"/>
      <c r="AY230" s="1811"/>
      <c r="NZ230" s="141"/>
      <c r="OA230" s="1660"/>
      <c r="OB230" s="142"/>
      <c r="OC230" s="1660"/>
      <c r="OD230" s="143"/>
      <c r="OE230" s="1660"/>
      <c r="OF230" s="217"/>
      <c r="OG230" s="1657"/>
    </row>
    <row r="231" spans="1:397" ht="42" customHeight="1" x14ac:dyDescent="0.25">
      <c r="A231" s="1143" t="s">
        <v>186</v>
      </c>
      <c r="B231" s="1828" t="s">
        <v>248</v>
      </c>
      <c r="C231" s="1829"/>
      <c r="D231" s="1829"/>
      <c r="E231" s="1829"/>
      <c r="F231" s="1829"/>
      <c r="G231" s="1829"/>
      <c r="H231" s="1829"/>
      <c r="I231" s="1829"/>
      <c r="J231" s="1829"/>
      <c r="K231" s="1830">
        <v>1</v>
      </c>
      <c r="L231" s="1834" t="s">
        <v>1362</v>
      </c>
      <c r="M231" s="1835"/>
      <c r="N231" s="1835"/>
      <c r="O231" s="1835"/>
      <c r="P231" s="1835"/>
      <c r="Q231" s="1835"/>
      <c r="R231" s="1835"/>
      <c r="S231" s="1835"/>
      <c r="T231" s="1839" t="s">
        <v>579</v>
      </c>
      <c r="U231" s="1840"/>
      <c r="V231" s="1837" t="s">
        <v>248</v>
      </c>
      <c r="W231" s="1838"/>
      <c r="X231" s="1838"/>
      <c r="Y231" s="1838"/>
      <c r="Z231" s="1838"/>
      <c r="AA231" s="1838"/>
      <c r="AB231" s="1838"/>
      <c r="AC231" s="1838"/>
      <c r="AD231" s="1839" t="s">
        <v>579</v>
      </c>
      <c r="AE231" s="1840"/>
      <c r="AF231" s="1834" t="s">
        <v>46</v>
      </c>
      <c r="AG231" s="1835"/>
      <c r="AH231" s="1835"/>
      <c r="AI231" s="1835"/>
      <c r="AJ231" s="1835"/>
      <c r="AK231" s="1835"/>
      <c r="AL231" s="1835"/>
      <c r="AM231" s="1835"/>
      <c r="AN231" s="1819" t="s">
        <v>579</v>
      </c>
      <c r="AO231" s="1820"/>
      <c r="AP231" s="1862"/>
      <c r="AQ231" s="1681"/>
      <c r="AR231" s="1681"/>
      <c r="AS231" s="1681"/>
      <c r="AT231" s="1681"/>
      <c r="AU231" s="1681"/>
      <c r="AV231" s="1681"/>
      <c r="AW231" s="1681"/>
      <c r="AX231" s="1817"/>
      <c r="AY231" s="1818"/>
      <c r="NZ231" s="1544"/>
      <c r="OA231" s="1661"/>
      <c r="OB231" s="1468"/>
      <c r="OC231" s="1661"/>
      <c r="OD231" s="1468"/>
      <c r="OE231" s="1661"/>
      <c r="OF231" s="1492"/>
      <c r="OG231" s="1658"/>
    </row>
    <row r="232" spans="1:397" ht="42" customHeight="1" x14ac:dyDescent="0.25">
      <c r="A232" s="1143"/>
      <c r="B232" s="1831" t="s">
        <v>159</v>
      </c>
      <c r="C232" s="1832"/>
      <c r="D232" s="1832"/>
      <c r="E232" s="1832"/>
      <c r="F232" s="1832"/>
      <c r="G232" s="1832"/>
      <c r="H232" s="1832"/>
      <c r="I232" s="1832"/>
      <c r="J232" s="1832"/>
      <c r="K232" s="1833"/>
      <c r="L232" s="1841" t="s">
        <v>146</v>
      </c>
      <c r="M232" s="1842"/>
      <c r="N232" s="1842"/>
      <c r="O232" s="1842"/>
      <c r="P232" s="1842"/>
      <c r="Q232" s="1842"/>
      <c r="R232" s="1842"/>
      <c r="S232" s="1842"/>
      <c r="T232" s="1842"/>
      <c r="U232" s="1843"/>
      <c r="V232" s="1841" t="s">
        <v>487</v>
      </c>
      <c r="W232" s="1842"/>
      <c r="X232" s="1842"/>
      <c r="Y232" s="1842"/>
      <c r="Z232" s="1842"/>
      <c r="AA232" s="1842"/>
      <c r="AB232" s="1842"/>
      <c r="AC232" s="1842"/>
      <c r="AD232" s="1842"/>
      <c r="AE232" s="1842"/>
      <c r="AF232" s="1841" t="s">
        <v>160</v>
      </c>
      <c r="AG232" s="1842"/>
      <c r="AH232" s="1842"/>
      <c r="AI232" s="1842"/>
      <c r="AJ232" s="1842"/>
      <c r="AK232" s="1842"/>
      <c r="AL232" s="1842"/>
      <c r="AM232" s="1842"/>
      <c r="AN232" s="1842"/>
      <c r="AO232" s="1843"/>
      <c r="AP232" s="1809"/>
      <c r="AQ232" s="1810"/>
      <c r="AR232" s="1810"/>
      <c r="AS232" s="1810"/>
      <c r="AT232" s="1810"/>
      <c r="AU232" s="1810"/>
      <c r="AV232" s="1810"/>
      <c r="AW232" s="1810"/>
      <c r="AX232" s="1810"/>
      <c r="AY232" s="1811"/>
      <c r="NZ232" s="1544"/>
      <c r="OA232" s="1661"/>
      <c r="OB232" s="1468"/>
      <c r="OC232" s="1661"/>
      <c r="OD232" s="1468"/>
      <c r="OE232" s="1661"/>
      <c r="OF232" s="1492"/>
      <c r="OG232" s="1658"/>
    </row>
    <row r="233" spans="1:397" ht="42" customHeight="1" x14ac:dyDescent="0.25">
      <c r="A233" s="935" t="s">
        <v>188</v>
      </c>
      <c r="B233" s="1828" t="s">
        <v>248</v>
      </c>
      <c r="C233" s="1829"/>
      <c r="D233" s="1829"/>
      <c r="E233" s="1829"/>
      <c r="F233" s="1829"/>
      <c r="G233" s="1829"/>
      <c r="H233" s="1829"/>
      <c r="I233" s="1829"/>
      <c r="J233" s="1829"/>
      <c r="K233" s="1830">
        <v>1</v>
      </c>
      <c r="L233" s="1834" t="s">
        <v>1362</v>
      </c>
      <c r="M233" s="1835"/>
      <c r="N233" s="1835"/>
      <c r="O233" s="1835"/>
      <c r="P233" s="1835"/>
      <c r="Q233" s="1835"/>
      <c r="R233" s="1835"/>
      <c r="S233" s="1835"/>
      <c r="T233" s="1839" t="s">
        <v>579</v>
      </c>
      <c r="U233" s="1840"/>
      <c r="V233" s="1837" t="s">
        <v>248</v>
      </c>
      <c r="W233" s="1838"/>
      <c r="X233" s="1838"/>
      <c r="Y233" s="1838"/>
      <c r="Z233" s="1838"/>
      <c r="AA233" s="1838"/>
      <c r="AB233" s="1838"/>
      <c r="AC233" s="1838"/>
      <c r="AD233" s="1839" t="s">
        <v>579</v>
      </c>
      <c r="AE233" s="1840"/>
      <c r="AF233" s="1834" t="s">
        <v>46</v>
      </c>
      <c r="AG233" s="1835"/>
      <c r="AH233" s="1835"/>
      <c r="AI233" s="1835"/>
      <c r="AJ233" s="1835"/>
      <c r="AK233" s="1835"/>
      <c r="AL233" s="1835"/>
      <c r="AM233" s="1835"/>
      <c r="AN233" s="1819" t="s">
        <v>579</v>
      </c>
      <c r="AO233" s="1820"/>
      <c r="AP233" s="1815"/>
      <c r="AQ233" s="1816"/>
      <c r="AR233" s="1816"/>
      <c r="AS233" s="1816"/>
      <c r="AT233" s="1816"/>
      <c r="AU233" s="1816"/>
      <c r="AV233" s="1816"/>
      <c r="AW233" s="1816"/>
      <c r="AX233" s="1681"/>
      <c r="AY233" s="1682"/>
      <c r="NZ233" s="1664"/>
      <c r="OA233" s="1662"/>
      <c r="OB233" s="1663"/>
      <c r="OC233" s="1662"/>
      <c r="OD233" s="1663"/>
      <c r="OE233" s="1662"/>
      <c r="OF233" s="1599"/>
      <c r="OG233" s="1659"/>
    </row>
    <row r="234" spans="1:397" ht="42" customHeight="1" x14ac:dyDescent="0.25">
      <c r="A234" s="1143"/>
      <c r="B234" s="1831" t="s">
        <v>159</v>
      </c>
      <c r="C234" s="1832"/>
      <c r="D234" s="1832"/>
      <c r="E234" s="1832"/>
      <c r="F234" s="1832"/>
      <c r="G234" s="1832"/>
      <c r="H234" s="1832"/>
      <c r="I234" s="1832"/>
      <c r="J234" s="1832"/>
      <c r="K234" s="1833"/>
      <c r="L234" s="1841" t="s">
        <v>146</v>
      </c>
      <c r="M234" s="1842"/>
      <c r="N234" s="1842"/>
      <c r="O234" s="1842"/>
      <c r="P234" s="1842"/>
      <c r="Q234" s="1842"/>
      <c r="R234" s="1842"/>
      <c r="S234" s="1842"/>
      <c r="T234" s="1842"/>
      <c r="U234" s="1843"/>
      <c r="V234" s="1841" t="s">
        <v>487</v>
      </c>
      <c r="W234" s="1842"/>
      <c r="X234" s="1842"/>
      <c r="Y234" s="1842"/>
      <c r="Z234" s="1842"/>
      <c r="AA234" s="1842"/>
      <c r="AB234" s="1842"/>
      <c r="AC234" s="1842"/>
      <c r="AD234" s="1842"/>
      <c r="AE234" s="1842"/>
      <c r="AF234" s="1841" t="s">
        <v>160</v>
      </c>
      <c r="AG234" s="1842"/>
      <c r="AH234" s="1842"/>
      <c r="AI234" s="1842"/>
      <c r="AJ234" s="1842"/>
      <c r="AK234" s="1842"/>
      <c r="AL234" s="1842"/>
      <c r="AM234" s="1842"/>
      <c r="AN234" s="1842"/>
      <c r="AO234" s="1843"/>
      <c r="AP234" s="1809"/>
      <c r="AQ234" s="1810"/>
      <c r="AR234" s="1810"/>
      <c r="AS234" s="1810"/>
      <c r="AT234" s="1810"/>
      <c r="AU234" s="1810"/>
      <c r="AV234" s="1810"/>
      <c r="AW234" s="1810"/>
      <c r="AX234" s="1810"/>
      <c r="AY234" s="1811"/>
    </row>
    <row r="235" spans="1:397" ht="42" customHeight="1" x14ac:dyDescent="0.25">
      <c r="A235" s="935" t="s">
        <v>189</v>
      </c>
      <c r="B235" s="1834" t="s">
        <v>44</v>
      </c>
      <c r="C235" s="1835"/>
      <c r="D235" s="1835"/>
      <c r="E235" s="1835"/>
      <c r="F235" s="1835"/>
      <c r="G235" s="1835"/>
      <c r="H235" s="1835"/>
      <c r="I235" s="1835"/>
      <c r="J235" s="1839" t="s">
        <v>579</v>
      </c>
      <c r="K235" s="1840"/>
      <c r="L235" s="1828" t="s">
        <v>46</v>
      </c>
      <c r="M235" s="1829"/>
      <c r="N235" s="1829"/>
      <c r="O235" s="1829"/>
      <c r="P235" s="1829"/>
      <c r="Q235" s="1829"/>
      <c r="R235" s="1829"/>
      <c r="S235" s="1829"/>
      <c r="T235" s="1829"/>
      <c r="U235" s="1830">
        <v>1</v>
      </c>
      <c r="V235" s="1828" t="s">
        <v>1362</v>
      </c>
      <c r="W235" s="1829"/>
      <c r="X235" s="1829"/>
      <c r="Y235" s="1829"/>
      <c r="Z235" s="1829"/>
      <c r="AA235" s="1829"/>
      <c r="AB235" s="1829"/>
      <c r="AC235" s="1829"/>
      <c r="AD235" s="1829"/>
      <c r="AE235" s="1830">
        <v>1</v>
      </c>
      <c r="AF235" s="1828" t="s">
        <v>44</v>
      </c>
      <c r="AG235" s="1829"/>
      <c r="AH235" s="1829"/>
      <c r="AI235" s="1829"/>
      <c r="AJ235" s="1829"/>
      <c r="AK235" s="1829"/>
      <c r="AL235" s="1829"/>
      <c r="AM235" s="1829"/>
      <c r="AN235" s="1829"/>
      <c r="AO235" s="1830">
        <v>1</v>
      </c>
      <c r="AP235" s="1834" t="s">
        <v>45</v>
      </c>
      <c r="AQ235" s="1835"/>
      <c r="AR235" s="1835"/>
      <c r="AS235" s="1835"/>
      <c r="AT235" s="1835"/>
      <c r="AU235" s="1835"/>
      <c r="AV235" s="1835"/>
      <c r="AW235" s="1835"/>
      <c r="AX235" s="1819" t="s">
        <v>579</v>
      </c>
      <c r="AY235" s="1820"/>
      <c r="AZ235" s="33"/>
    </row>
    <row r="236" spans="1:397" ht="42" customHeight="1" x14ac:dyDescent="0.25">
      <c r="A236" s="1143"/>
      <c r="B236" s="1841"/>
      <c r="C236" s="1842"/>
      <c r="D236" s="1842"/>
      <c r="E236" s="1842"/>
      <c r="F236" s="1842"/>
      <c r="G236" s="1842"/>
      <c r="H236" s="1842"/>
      <c r="I236" s="1842"/>
      <c r="J236" s="1842"/>
      <c r="K236" s="1843"/>
      <c r="L236" s="1831" t="s">
        <v>160</v>
      </c>
      <c r="M236" s="1832"/>
      <c r="N236" s="1832"/>
      <c r="O236" s="1832"/>
      <c r="P236" s="1832"/>
      <c r="Q236" s="1832"/>
      <c r="R236" s="1832"/>
      <c r="S236" s="1832"/>
      <c r="T236" s="1832"/>
      <c r="U236" s="1833"/>
      <c r="V236" s="1831" t="s">
        <v>146</v>
      </c>
      <c r="W236" s="1832"/>
      <c r="X236" s="1832"/>
      <c r="Y236" s="1832"/>
      <c r="Z236" s="1832"/>
      <c r="AA236" s="1832"/>
      <c r="AB236" s="1832"/>
      <c r="AC236" s="1832"/>
      <c r="AD236" s="1832"/>
      <c r="AE236" s="1833"/>
      <c r="AF236" s="1831"/>
      <c r="AG236" s="1832"/>
      <c r="AH236" s="1832"/>
      <c r="AI236" s="1832"/>
      <c r="AJ236" s="1832"/>
      <c r="AK236" s="1832"/>
      <c r="AL236" s="1832"/>
      <c r="AM236" s="1832"/>
      <c r="AN236" s="1832"/>
      <c r="AO236" s="1833"/>
      <c r="AP236" s="1841"/>
      <c r="AQ236" s="1842"/>
      <c r="AR236" s="1842"/>
      <c r="AS236" s="1842"/>
      <c r="AT236" s="1842"/>
      <c r="AU236" s="1842"/>
      <c r="AV236" s="1842"/>
      <c r="AW236" s="1842"/>
      <c r="AX236" s="1842"/>
      <c r="AY236" s="1843"/>
      <c r="AZ236" s="33"/>
    </row>
    <row r="237" spans="1:397" ht="42" customHeight="1" x14ac:dyDescent="0.25">
      <c r="A237" s="1143" t="s">
        <v>190</v>
      </c>
      <c r="B237" s="1837" t="s">
        <v>44</v>
      </c>
      <c r="C237" s="1838"/>
      <c r="D237" s="1838"/>
      <c r="E237" s="1838"/>
      <c r="F237" s="1838"/>
      <c r="G237" s="1838"/>
      <c r="H237" s="1838"/>
      <c r="I237" s="1838"/>
      <c r="J237" s="1839" t="s">
        <v>579</v>
      </c>
      <c r="K237" s="1840"/>
      <c r="L237" s="1828" t="s">
        <v>46</v>
      </c>
      <c r="M237" s="1829"/>
      <c r="N237" s="1829"/>
      <c r="O237" s="1829"/>
      <c r="P237" s="1829"/>
      <c r="Q237" s="1829"/>
      <c r="R237" s="1829"/>
      <c r="S237" s="1829"/>
      <c r="T237" s="1829"/>
      <c r="U237" s="1830">
        <v>1</v>
      </c>
      <c r="V237" s="1828" t="s">
        <v>1362</v>
      </c>
      <c r="W237" s="1829"/>
      <c r="X237" s="1829"/>
      <c r="Y237" s="1829"/>
      <c r="Z237" s="1829"/>
      <c r="AA237" s="1829"/>
      <c r="AB237" s="1829"/>
      <c r="AC237" s="1829"/>
      <c r="AD237" s="1829"/>
      <c r="AE237" s="1830">
        <v>1</v>
      </c>
      <c r="AF237" s="1828" t="s">
        <v>44</v>
      </c>
      <c r="AG237" s="1829"/>
      <c r="AH237" s="1829"/>
      <c r="AI237" s="1829"/>
      <c r="AJ237" s="1829"/>
      <c r="AK237" s="1829"/>
      <c r="AL237" s="1829"/>
      <c r="AM237" s="1829"/>
      <c r="AN237" s="1829"/>
      <c r="AO237" s="1830">
        <v>1</v>
      </c>
      <c r="AP237" s="1834" t="s">
        <v>45</v>
      </c>
      <c r="AQ237" s="1835"/>
      <c r="AR237" s="1835"/>
      <c r="AS237" s="1835"/>
      <c r="AT237" s="1835"/>
      <c r="AU237" s="1835"/>
      <c r="AV237" s="1835"/>
      <c r="AW237" s="1835"/>
      <c r="AX237" s="1819" t="s">
        <v>579</v>
      </c>
      <c r="AY237" s="1820"/>
    </row>
    <row r="238" spans="1:397" ht="42" customHeight="1" thickBot="1" x14ac:dyDescent="0.3">
      <c r="A238" s="1223"/>
      <c r="B238" s="1866"/>
      <c r="C238" s="1867"/>
      <c r="D238" s="1867"/>
      <c r="E238" s="1867"/>
      <c r="F238" s="1867"/>
      <c r="G238" s="1867"/>
      <c r="H238" s="1867"/>
      <c r="I238" s="1867"/>
      <c r="J238" s="1867"/>
      <c r="K238" s="1868"/>
      <c r="L238" s="1831" t="s">
        <v>160</v>
      </c>
      <c r="M238" s="1832"/>
      <c r="N238" s="1832"/>
      <c r="O238" s="1832"/>
      <c r="P238" s="1832"/>
      <c r="Q238" s="1832"/>
      <c r="R238" s="1832"/>
      <c r="S238" s="1832"/>
      <c r="T238" s="1832"/>
      <c r="U238" s="1833"/>
      <c r="V238" s="1836" t="s">
        <v>146</v>
      </c>
      <c r="W238" s="1539"/>
      <c r="X238" s="1539"/>
      <c r="Y238" s="1539"/>
      <c r="Z238" s="1539"/>
      <c r="AA238" s="1539"/>
      <c r="AB238" s="1539"/>
      <c r="AC238" s="1539"/>
      <c r="AD238" s="1539"/>
      <c r="AE238" s="1540"/>
      <c r="AF238" s="1836"/>
      <c r="AG238" s="1539"/>
      <c r="AH238" s="1539"/>
      <c r="AI238" s="1539"/>
      <c r="AJ238" s="1539"/>
      <c r="AK238" s="1539"/>
      <c r="AL238" s="1539"/>
      <c r="AM238" s="1539"/>
      <c r="AN238" s="1539"/>
      <c r="AO238" s="1540"/>
      <c r="AP238" s="1866"/>
      <c r="AQ238" s="1867"/>
      <c r="AR238" s="1867"/>
      <c r="AS238" s="1867"/>
      <c r="AT238" s="1867"/>
      <c r="AU238" s="1867"/>
      <c r="AV238" s="1867"/>
      <c r="AW238" s="1867"/>
      <c r="AX238" s="1867"/>
      <c r="AY238" s="1868"/>
    </row>
    <row r="239" spans="1:397" ht="33.75" customHeight="1" x14ac:dyDescent="0.25">
      <c r="A239" s="110"/>
      <c r="B239" s="111"/>
      <c r="C239" s="111"/>
      <c r="D239" s="111"/>
      <c r="E239" s="111"/>
      <c r="F239" s="111"/>
      <c r="G239" s="111"/>
      <c r="H239" s="111"/>
      <c r="I239" s="111"/>
      <c r="J239" s="111"/>
      <c r="K239" s="111"/>
      <c r="L239" s="111"/>
      <c r="M239" s="111"/>
      <c r="N239" s="111"/>
      <c r="O239" s="111"/>
      <c r="P239" s="111"/>
      <c r="Q239" s="111"/>
      <c r="R239" s="111"/>
      <c r="S239" s="111"/>
      <c r="T239" s="111"/>
      <c r="U239" s="111"/>
      <c r="V239" s="112"/>
      <c r="W239" s="112"/>
      <c r="X239" s="112"/>
      <c r="Y239" s="112"/>
      <c r="Z239" s="112"/>
      <c r="AA239" s="112"/>
      <c r="AB239" s="112"/>
      <c r="AC239" s="112"/>
      <c r="AD239" s="112"/>
      <c r="AE239" s="112"/>
      <c r="AF239" s="112"/>
      <c r="AG239" s="112"/>
      <c r="AH239" s="112"/>
      <c r="AI239" s="112"/>
      <c r="AJ239" s="112"/>
      <c r="AK239" s="112"/>
      <c r="AL239" s="112"/>
      <c r="AM239" s="112"/>
      <c r="AN239" s="112"/>
      <c r="AO239" s="112"/>
      <c r="AP239" s="111"/>
      <c r="AQ239" s="111"/>
      <c r="AR239" s="111"/>
      <c r="AS239" s="111"/>
      <c r="AT239" s="111"/>
      <c r="AU239" s="111"/>
      <c r="AV239" s="111"/>
      <c r="AW239" s="111"/>
      <c r="AX239" s="111"/>
      <c r="AY239" s="111"/>
    </row>
    <row r="240" spans="1:397" ht="29.25" customHeight="1" thickBot="1" x14ac:dyDescent="0.3"/>
    <row r="241" spans="1:51" ht="18.75" customHeight="1" thickBot="1" x14ac:dyDescent="0.3">
      <c r="A241" s="1190" t="s">
        <v>218</v>
      </c>
      <c r="B241" s="1147"/>
      <c r="C241" s="1190" t="s">
        <v>219</v>
      </c>
      <c r="D241" s="1146"/>
      <c r="E241" s="1146"/>
      <c r="F241" s="1146"/>
      <c r="G241" s="1146"/>
      <c r="H241" s="1146"/>
      <c r="I241" s="1146"/>
      <c r="J241" s="1146"/>
      <c r="K241" s="1146"/>
      <c r="L241" s="1146"/>
      <c r="M241" s="1146"/>
      <c r="N241" s="1146"/>
      <c r="O241" s="1190" t="s">
        <v>309</v>
      </c>
      <c r="P241" s="1146"/>
      <c r="Q241" s="1146"/>
      <c r="R241" s="1147"/>
      <c r="S241" s="1190" t="s">
        <v>143</v>
      </c>
      <c r="T241" s="1147"/>
      <c r="U241" s="1507" t="s">
        <v>167</v>
      </c>
      <c r="V241" s="1508"/>
      <c r="W241" s="1508"/>
      <c r="X241" s="1508"/>
      <c r="Y241" s="1508"/>
      <c r="Z241" s="1508"/>
      <c r="AA241" s="1508"/>
      <c r="AB241" s="1508"/>
      <c r="AC241" s="1508"/>
      <c r="AD241" s="1508"/>
      <c r="AE241" s="1508"/>
      <c r="AF241" s="1508"/>
      <c r="AG241" s="1508"/>
      <c r="AH241" s="1508"/>
      <c r="AI241" s="1508"/>
      <c r="AJ241" s="1508"/>
      <c r="AK241" s="1508"/>
      <c r="AL241" s="1508"/>
      <c r="AM241" s="1508"/>
      <c r="AN241" s="1508"/>
      <c r="AO241" s="1509"/>
      <c r="AQ241" s="1499" t="s">
        <v>1051</v>
      </c>
      <c r="AR241" s="1500"/>
      <c r="AS241" s="1500"/>
      <c r="AT241" s="1501"/>
      <c r="AV241" s="1506"/>
      <c r="AW241" s="1506"/>
      <c r="AX241" s="1506"/>
      <c r="AY241" s="1506"/>
    </row>
    <row r="242" spans="1:51" ht="15" customHeight="1" x14ac:dyDescent="0.25">
      <c r="A242" s="1510" t="str">
        <f>VLOOKUP(O242,ASIGNATURAS!$F$1:$L$1022, 3, FALSE)</f>
        <v>SIMULACION</v>
      </c>
      <c r="B242" s="1777"/>
      <c r="C242" s="1566" t="str">
        <f>VLOOKUP(O242,ASIGNATURAS!$F$1:$L$1022, 4, FALSE)</f>
        <v>Simulación Numérica de Componentes y Estructuras</v>
      </c>
      <c r="D242" s="1566"/>
      <c r="E242" s="1566"/>
      <c r="F242" s="1566"/>
      <c r="G242" s="1566"/>
      <c r="H242" s="1566"/>
      <c r="I242" s="1566"/>
      <c r="J242" s="1566"/>
      <c r="K242" s="1566"/>
      <c r="L242" s="1566"/>
      <c r="M242" s="1566"/>
      <c r="N242" s="1566"/>
      <c r="O242" s="1517">
        <v>8507</v>
      </c>
      <c r="P242" s="1517"/>
      <c r="Q242" s="1517"/>
      <c r="R242" s="1517"/>
      <c r="S242" s="1517" t="str">
        <f>VLOOKUP(O242,ASIGNATURAS!$F$1:$L$1022, 5, FALSE)</f>
        <v>6 (OP)</v>
      </c>
      <c r="T242" s="1517"/>
      <c r="U242" s="1494" t="str">
        <f>VLOOKUP(O242,ASIGNATURAS!$F$1:$L$1022, 6, FALSE)</f>
        <v>No se imparte curso 24-25</v>
      </c>
      <c r="V242" s="1495"/>
      <c r="W242" s="1495"/>
      <c r="X242" s="1495"/>
      <c r="Y242" s="1495"/>
      <c r="Z242" s="1495"/>
      <c r="AA242" s="1495"/>
      <c r="AB242" s="1495"/>
      <c r="AC242" s="1495"/>
      <c r="AD242" s="1495"/>
      <c r="AE242" s="1495"/>
      <c r="AF242" s="1495"/>
      <c r="AG242" s="1495"/>
      <c r="AH242" s="1495"/>
      <c r="AI242" s="1495"/>
      <c r="AJ242" s="1495"/>
      <c r="AK242" s="1495"/>
      <c r="AL242" s="1495"/>
      <c r="AM242" s="1495"/>
      <c r="AN242" s="1495"/>
      <c r="AO242" s="1496"/>
      <c r="AQ242" s="1502"/>
      <c r="AR242" s="1503"/>
      <c r="AS242" s="1503"/>
      <c r="AT242" s="1504"/>
      <c r="AV242" s="1506"/>
      <c r="AW242" s="1506"/>
      <c r="AX242" s="1506"/>
      <c r="AY242" s="1506"/>
    </row>
    <row r="243" spans="1:51" ht="15" customHeight="1" x14ac:dyDescent="0.25">
      <c r="A243" s="1510" t="str">
        <f>VLOOKUP(O243,ASIGNATURAS!$F$1:$L$1022, 3, FALSE)</f>
        <v xml:space="preserve">TECN. MEC. II </v>
      </c>
      <c r="B243" s="1777"/>
      <c r="C243" s="1532" t="str">
        <f>VLOOKUP(O243,ASIGNATURAS!$F$1:$L$1022, 4, FALSE)</f>
        <v>Tecnología Mecánica II</v>
      </c>
      <c r="D243" s="1532"/>
      <c r="E243" s="1532"/>
      <c r="F243" s="1532"/>
      <c r="G243" s="1532"/>
      <c r="H243" s="1532"/>
      <c r="I243" s="1532"/>
      <c r="J243" s="1532"/>
      <c r="K243" s="1532"/>
      <c r="L243" s="1532"/>
      <c r="M243" s="1532"/>
      <c r="N243" s="1532"/>
      <c r="O243" s="1469">
        <v>6338</v>
      </c>
      <c r="P243" s="1469"/>
      <c r="Q243" s="1469"/>
      <c r="R243" s="1469"/>
      <c r="S243" s="1469" t="str">
        <f>VLOOKUP(O243,ASIGNATURAS!$F$1:$L$1022, 5, FALSE)</f>
        <v>6 (OP)</v>
      </c>
      <c r="T243" s="1469"/>
      <c r="U243" s="1494" t="str">
        <f>VLOOKUP(O243,ASIGNATURAS!$F$1:$L$1022, 6, FALSE)</f>
        <v>No se imparte curso 24-25</v>
      </c>
      <c r="V243" s="1495"/>
      <c r="W243" s="1495"/>
      <c r="X243" s="1495"/>
      <c r="Y243" s="1495"/>
      <c r="Z243" s="1495"/>
      <c r="AA243" s="1495"/>
      <c r="AB243" s="1495"/>
      <c r="AC243" s="1495"/>
      <c r="AD243" s="1495"/>
      <c r="AE243" s="1495"/>
      <c r="AF243" s="1495"/>
      <c r="AG243" s="1495"/>
      <c r="AH243" s="1495"/>
      <c r="AI243" s="1495"/>
      <c r="AJ243" s="1495"/>
      <c r="AK243" s="1495"/>
      <c r="AL243" s="1495"/>
      <c r="AM243" s="1495"/>
      <c r="AN243" s="1495"/>
      <c r="AO243" s="1496"/>
      <c r="AQ243" s="1654" t="s">
        <v>1047</v>
      </c>
      <c r="AR243" s="1655"/>
      <c r="AS243" s="1655"/>
      <c r="AT243" s="1656"/>
      <c r="AV243" s="1633"/>
      <c r="AW243" s="1633"/>
      <c r="AX243" s="1633"/>
      <c r="AY243" s="1633"/>
    </row>
    <row r="244" spans="1:51" ht="15" customHeight="1" x14ac:dyDescent="0.25">
      <c r="A244" s="1510" t="str">
        <f>VLOOKUP(O244,ASIGNATURAS!$F$1:$L$1022, 3, FALSE)</f>
        <v xml:space="preserve">EQUILIBRADO </v>
      </c>
      <c r="B244" s="1777"/>
      <c r="C244" s="1532" t="str">
        <f>VLOOKUP(O244,ASIGNATURAS!$F$1:$L$1022, 4, FALSE)</f>
        <v>Equilibrado de Máquinas</v>
      </c>
      <c r="D244" s="1532"/>
      <c r="E244" s="1532"/>
      <c r="F244" s="1532"/>
      <c r="G244" s="1532"/>
      <c r="H244" s="1532"/>
      <c r="I244" s="1532"/>
      <c r="J244" s="1532"/>
      <c r="K244" s="1532"/>
      <c r="L244" s="1532"/>
      <c r="M244" s="1532"/>
      <c r="N244" s="1532"/>
      <c r="O244" s="1469">
        <v>6339</v>
      </c>
      <c r="P244" s="1469"/>
      <c r="Q244" s="1469"/>
      <c r="R244" s="1469"/>
      <c r="S244" s="1469" t="str">
        <f>VLOOKUP(O244,ASIGNATURAS!$F$1:$L$1022, 5, FALSE)</f>
        <v>6 (OP)</v>
      </c>
      <c r="T244" s="1469"/>
      <c r="U244" s="1494" t="str">
        <f>VLOOKUP(O244,ASIGNATURAS!$F$1:$L$1022, 6, FALSE)</f>
        <v>No se imparte curso 24-25</v>
      </c>
      <c r="V244" s="1495"/>
      <c r="W244" s="1495"/>
      <c r="X244" s="1495"/>
      <c r="Y244" s="1495"/>
      <c r="Z244" s="1495"/>
      <c r="AA244" s="1495"/>
      <c r="AB244" s="1495"/>
      <c r="AC244" s="1495"/>
      <c r="AD244" s="1495"/>
      <c r="AE244" s="1495"/>
      <c r="AF244" s="1495"/>
      <c r="AG244" s="1495"/>
      <c r="AH244" s="1495"/>
      <c r="AI244" s="1495"/>
      <c r="AJ244" s="1495"/>
      <c r="AK244" s="1495"/>
      <c r="AL244" s="1495"/>
      <c r="AM244" s="1495"/>
      <c r="AN244" s="1495"/>
      <c r="AO244" s="1496"/>
      <c r="AQ244" s="765"/>
      <c r="AR244" s="766"/>
      <c r="AS244" s="766"/>
      <c r="AT244" s="767"/>
      <c r="AV244" s="764"/>
      <c r="AW244" s="764"/>
      <c r="AX244" s="764"/>
      <c r="AY244" s="764"/>
    </row>
    <row r="245" spans="1:51" ht="15" customHeight="1" x14ac:dyDescent="0.25">
      <c r="A245" s="1510" t="str">
        <f>VLOOKUP(O245,ASIGNATURAS!$F$1:$L$1022, 3, FALSE)</f>
        <v>RENOV. Y M.AMB</v>
      </c>
      <c r="B245" s="1777"/>
      <c r="C245" s="1532" t="str">
        <f>VLOOKUP(O245,ASIGNATURAS!$F$1:$L$1022, 4, FALSE)</f>
        <v>Energías Renovables y Medio Ambiente</v>
      </c>
      <c r="D245" s="1532"/>
      <c r="E245" s="1532"/>
      <c r="F245" s="1532"/>
      <c r="G245" s="1532"/>
      <c r="H245" s="1532"/>
      <c r="I245" s="1532"/>
      <c r="J245" s="1532"/>
      <c r="K245" s="1532"/>
      <c r="L245" s="1532"/>
      <c r="M245" s="1532"/>
      <c r="N245" s="1532"/>
      <c r="O245" s="1469">
        <v>6340</v>
      </c>
      <c r="P245" s="1469"/>
      <c r="Q245" s="1469"/>
      <c r="R245" s="1469"/>
      <c r="S245" s="1469" t="str">
        <f>VLOOKUP(O245,ASIGNATURAS!$F$1:$L$1022, 5, FALSE)</f>
        <v>6 (OP)</v>
      </c>
      <c r="T245" s="1469"/>
      <c r="U245" s="1494" t="str">
        <f>VLOOKUP(O245,ASIGNATURAS!$F$1:$L$1022, 6, FALSE)</f>
        <v>Manuel Iván González, Luis Antonio Marcos</v>
      </c>
      <c r="V245" s="1495"/>
      <c r="W245" s="1495"/>
      <c r="X245" s="1495"/>
      <c r="Y245" s="1495"/>
      <c r="Z245" s="1495"/>
      <c r="AA245" s="1495"/>
      <c r="AB245" s="1495"/>
      <c r="AC245" s="1495"/>
      <c r="AD245" s="1495"/>
      <c r="AE245" s="1495"/>
      <c r="AF245" s="1495"/>
      <c r="AG245" s="1495"/>
      <c r="AH245" s="1495"/>
      <c r="AI245" s="1495"/>
      <c r="AJ245" s="1495"/>
      <c r="AK245" s="1495"/>
      <c r="AL245" s="1495"/>
      <c r="AM245" s="1495"/>
      <c r="AN245" s="1495"/>
      <c r="AO245" s="1496"/>
      <c r="AQ245" s="1687" t="s">
        <v>579</v>
      </c>
      <c r="AR245" s="1688"/>
      <c r="AS245" s="1688"/>
      <c r="AT245" s="1723"/>
      <c r="AV245" s="1476"/>
      <c r="AW245" s="1476"/>
      <c r="AX245" s="1476"/>
      <c r="AY245" s="1476"/>
    </row>
    <row r="246" spans="1:51" ht="15.6" thickBot="1" x14ac:dyDescent="0.3">
      <c r="A246" s="1523" t="str">
        <f>VLOOKUP(O246,ASIGNATURAS!$F$1:$L$1022, 3, FALSE)</f>
        <v>INGLÉS</v>
      </c>
      <c r="B246" s="1824"/>
      <c r="C246" s="1736" t="str">
        <f>VLOOKUP(O246,ASIGNATURAS!$F$1:$L$1022, 4, FALSE)</f>
        <v>Inglés Aplicado a la Ingeniería Mecánica</v>
      </c>
      <c r="D246" s="1736"/>
      <c r="E246" s="1736"/>
      <c r="F246" s="1736"/>
      <c r="G246" s="1736"/>
      <c r="H246" s="1736"/>
      <c r="I246" s="1736"/>
      <c r="J246" s="1736"/>
      <c r="K246" s="1736"/>
      <c r="L246" s="1736"/>
      <c r="M246" s="1736"/>
      <c r="N246" s="1736"/>
      <c r="O246" s="1486">
        <v>6341</v>
      </c>
      <c r="P246" s="1486"/>
      <c r="Q246" s="1486"/>
      <c r="R246" s="1486"/>
      <c r="S246" s="1486" t="str">
        <f>VLOOKUP(O246,ASIGNATURAS!$F$1:$L$1022, 5, FALSE)</f>
        <v>6 (OP)</v>
      </c>
      <c r="T246" s="1486"/>
      <c r="U246" s="1487" t="str">
        <f>VLOOKUP(O246,ASIGNATURAS!$F$1:$L$1022, 6, FALSE)</f>
        <v>Ana Isabel Gómez</v>
      </c>
      <c r="V246" s="1488"/>
      <c r="W246" s="1488"/>
      <c r="X246" s="1488"/>
      <c r="Y246" s="1488"/>
      <c r="Z246" s="1488"/>
      <c r="AA246" s="1488"/>
      <c r="AB246" s="1488"/>
      <c r="AC246" s="1488"/>
      <c r="AD246" s="1488"/>
      <c r="AE246" s="1488"/>
      <c r="AF246" s="1488"/>
      <c r="AG246" s="1488"/>
      <c r="AH246" s="1488"/>
      <c r="AI246" s="1488"/>
      <c r="AJ246" s="1488"/>
      <c r="AK246" s="1488"/>
      <c r="AL246" s="1488"/>
      <c r="AM246" s="1488"/>
      <c r="AN246" s="1488"/>
      <c r="AO246" s="1489"/>
      <c r="AQ246" s="1853" t="s">
        <v>581</v>
      </c>
      <c r="AR246" s="1854"/>
      <c r="AS246" s="1854"/>
      <c r="AT246" s="1855"/>
      <c r="AV246" s="1476"/>
      <c r="AW246" s="1476"/>
      <c r="AX246" s="1476"/>
      <c r="AY246" s="1476"/>
    </row>
    <row r="247" spans="1:51" ht="15.6" thickBot="1" x14ac:dyDescent="0.3">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c r="AA247" s="93"/>
      <c r="AB247" s="93"/>
      <c r="AC247" s="93"/>
      <c r="AD247" s="93"/>
      <c r="AE247" s="93"/>
      <c r="AF247" s="93"/>
      <c r="AG247" s="93"/>
      <c r="AH247" s="93"/>
      <c r="AI247" s="93"/>
      <c r="AJ247" s="93"/>
      <c r="AK247" s="93"/>
      <c r="AL247" s="93"/>
      <c r="AM247" s="93"/>
      <c r="AN247" s="93"/>
      <c r="AO247" s="93"/>
      <c r="AP247" s="93"/>
      <c r="AQ247" s="1848" t="s">
        <v>582</v>
      </c>
      <c r="AR247" s="1849"/>
      <c r="AS247" s="1849"/>
      <c r="AT247" s="1850"/>
    </row>
    <row r="248" spans="1:51" ht="15" x14ac:dyDescent="0.25">
      <c r="A248" s="93" t="s">
        <v>217</v>
      </c>
    </row>
  </sheetData>
  <mergeCells count="1564">
    <mergeCell ref="V151:V153"/>
    <mergeCell ref="AD151:AD153"/>
    <mergeCell ref="A150:A151"/>
    <mergeCell ref="AB151:AB153"/>
    <mergeCell ref="AM146:AM149"/>
    <mergeCell ref="AL147:AL149"/>
    <mergeCell ref="V147:V149"/>
    <mergeCell ref="V144:AE144"/>
    <mergeCell ref="AR151:AR153"/>
    <mergeCell ref="R150:S153"/>
    <mergeCell ref="O128:R128"/>
    <mergeCell ref="S130:T130"/>
    <mergeCell ref="C173:C176"/>
    <mergeCell ref="AW173:AW176"/>
    <mergeCell ref="AV174:AV176"/>
    <mergeCell ref="C163:N163"/>
    <mergeCell ref="B174:B176"/>
    <mergeCell ref="D174:D176"/>
    <mergeCell ref="M173:M176"/>
    <mergeCell ref="AP169:AY170"/>
    <mergeCell ref="A160:B160"/>
    <mergeCell ref="A152:A153"/>
    <mergeCell ref="G146:G149"/>
    <mergeCell ref="AD147:AD149"/>
    <mergeCell ref="U146:U149"/>
    <mergeCell ref="P147:P149"/>
    <mergeCell ref="F147:F149"/>
    <mergeCell ref="M146:M151"/>
    <mergeCell ref="AQ131:AT131"/>
    <mergeCell ref="S131:T131"/>
    <mergeCell ref="S129:T129"/>
    <mergeCell ref="AP141:AY141"/>
    <mergeCell ref="C150:C153"/>
    <mergeCell ref="AI146:AI149"/>
    <mergeCell ref="T151:T153"/>
    <mergeCell ref="AF180:AO180"/>
    <mergeCell ref="C187:N187"/>
    <mergeCell ref="O187:R187"/>
    <mergeCell ref="AF200:AO200"/>
    <mergeCell ref="W173:W176"/>
    <mergeCell ref="AF182:AO182"/>
    <mergeCell ref="L178:U178"/>
    <mergeCell ref="A191:B191"/>
    <mergeCell ref="B201:K201"/>
    <mergeCell ref="L184:U184"/>
    <mergeCell ref="B183:K183"/>
    <mergeCell ref="L182:U182"/>
    <mergeCell ref="C191:N191"/>
    <mergeCell ref="O191:R191"/>
    <mergeCell ref="L201:U201"/>
    <mergeCell ref="B182:K182"/>
    <mergeCell ref="AF174:AF176"/>
    <mergeCell ref="AG173:AG176"/>
    <mergeCell ref="L180:U180"/>
    <mergeCell ref="V179:AE179"/>
    <mergeCell ref="L174:L176"/>
    <mergeCell ref="U190:AO190"/>
    <mergeCell ref="A179:A180"/>
    <mergeCell ref="X174:X176"/>
    <mergeCell ref="AF179:AO179"/>
    <mergeCell ref="A177:A178"/>
    <mergeCell ref="V174:V176"/>
    <mergeCell ref="AH174:AH176"/>
    <mergeCell ref="U186:AO186"/>
    <mergeCell ref="A183:A184"/>
    <mergeCell ref="AV191:AY191"/>
    <mergeCell ref="AV186:AY187"/>
    <mergeCell ref="U188:AO188"/>
    <mergeCell ref="L181:U181"/>
    <mergeCell ref="V183:AD183"/>
    <mergeCell ref="V200:AE200"/>
    <mergeCell ref="AP201:AY201"/>
    <mergeCell ref="AQ192:AT192"/>
    <mergeCell ref="AF203:AO203"/>
    <mergeCell ref="A195:AO195"/>
    <mergeCell ref="A197:AO197"/>
    <mergeCell ref="L202:U202"/>
    <mergeCell ref="A189:B189"/>
    <mergeCell ref="C189:N189"/>
    <mergeCell ref="O189:R189"/>
    <mergeCell ref="B199:K199"/>
    <mergeCell ref="O188:R188"/>
    <mergeCell ref="B203:K203"/>
    <mergeCell ref="B200:K200"/>
    <mergeCell ref="A200:A201"/>
    <mergeCell ref="A202:A203"/>
    <mergeCell ref="B202:K202"/>
    <mergeCell ref="A190:B190"/>
    <mergeCell ref="V181:AE181"/>
    <mergeCell ref="AQ186:AT187"/>
    <mergeCell ref="AF183:AO183"/>
    <mergeCell ref="A175:A176"/>
    <mergeCell ref="AI173:AI176"/>
    <mergeCell ref="Y173:Y176"/>
    <mergeCell ref="I173:I176"/>
    <mergeCell ref="A187:B187"/>
    <mergeCell ref="A186:B186"/>
    <mergeCell ref="AP183:AY183"/>
    <mergeCell ref="B180:K180"/>
    <mergeCell ref="B178:K178"/>
    <mergeCell ref="V178:AE178"/>
    <mergeCell ref="AP199:AY199"/>
    <mergeCell ref="AQ189:AT189"/>
    <mergeCell ref="AV190:AY190"/>
    <mergeCell ref="A196:AO196"/>
    <mergeCell ref="AQ188:AT188"/>
    <mergeCell ref="U189:AO189"/>
    <mergeCell ref="AQ190:AT190"/>
    <mergeCell ref="S188:T188"/>
    <mergeCell ref="B179:K179"/>
    <mergeCell ref="L199:U199"/>
    <mergeCell ref="V199:AE199"/>
    <mergeCell ref="U191:AO191"/>
    <mergeCell ref="L183:U183"/>
    <mergeCell ref="S189:T189"/>
    <mergeCell ref="A181:A182"/>
    <mergeCell ref="C186:N186"/>
    <mergeCell ref="AF199:AO199"/>
    <mergeCell ref="O186:R186"/>
    <mergeCell ref="V177:AE177"/>
    <mergeCell ref="B177:K177"/>
    <mergeCell ref="S186:T186"/>
    <mergeCell ref="V182:AE182"/>
    <mergeCell ref="AR209:AR211"/>
    <mergeCell ref="N207:N211"/>
    <mergeCell ref="AQ204:AQ207"/>
    <mergeCell ref="L205:U205"/>
    <mergeCell ref="AD205:AD207"/>
    <mergeCell ref="AH205:AH207"/>
    <mergeCell ref="S190:T190"/>
    <mergeCell ref="S191:T191"/>
    <mergeCell ref="AP202:AY202"/>
    <mergeCell ref="AP196:AY197"/>
    <mergeCell ref="L200:U200"/>
    <mergeCell ref="AQ191:AT191"/>
    <mergeCell ref="AF202:AO202"/>
    <mergeCell ref="V202:AE202"/>
    <mergeCell ref="AP203:AY203"/>
    <mergeCell ref="V201:AE201"/>
    <mergeCell ref="AF201:AO201"/>
    <mergeCell ref="L203:U203"/>
    <mergeCell ref="V203:AE203"/>
    <mergeCell ref="AP195:AY195"/>
    <mergeCell ref="A173:A174"/>
    <mergeCell ref="G173:G176"/>
    <mergeCell ref="P174:P176"/>
    <mergeCell ref="AJ174:AJ176"/>
    <mergeCell ref="AM173:AM176"/>
    <mergeCell ref="AL174:AL176"/>
    <mergeCell ref="AP182:AY182"/>
    <mergeCell ref="V184:AE184"/>
    <mergeCell ref="AF184:AO184"/>
    <mergeCell ref="C190:N190"/>
    <mergeCell ref="O190:R190"/>
    <mergeCell ref="S187:T187"/>
    <mergeCell ref="U187:AO187"/>
    <mergeCell ref="AF181:AO181"/>
    <mergeCell ref="AF177:AO177"/>
    <mergeCell ref="H174:H176"/>
    <mergeCell ref="E173:E176"/>
    <mergeCell ref="AP184:AY184"/>
    <mergeCell ref="AF178:AO178"/>
    <mergeCell ref="N174:N176"/>
    <mergeCell ref="F174:F176"/>
    <mergeCell ref="L177:U177"/>
    <mergeCell ref="L179:U179"/>
    <mergeCell ref="Q173:Q176"/>
    <mergeCell ref="AP179:AY179"/>
    <mergeCell ref="B181:K181"/>
    <mergeCell ref="AV188:AY188"/>
    <mergeCell ref="A188:B188"/>
    <mergeCell ref="C188:N188"/>
    <mergeCell ref="AK173:AK176"/>
    <mergeCell ref="AP178:AY178"/>
    <mergeCell ref="B184:K184"/>
    <mergeCell ref="A170:AO170"/>
    <mergeCell ref="A161:B161"/>
    <mergeCell ref="U164:AO164"/>
    <mergeCell ref="AV159:AY160"/>
    <mergeCell ref="AV162:AY162"/>
    <mergeCell ref="S161:T161"/>
    <mergeCell ref="AQ162:AT162"/>
    <mergeCell ref="G150:G153"/>
    <mergeCell ref="B147:B149"/>
    <mergeCell ref="AY146:AY149"/>
    <mergeCell ref="N151:N153"/>
    <mergeCell ref="AT151:AT153"/>
    <mergeCell ref="AU150:AU153"/>
    <mergeCell ref="AQ161:AT161"/>
    <mergeCell ref="AG146:AG149"/>
    <mergeCell ref="AC150:AC153"/>
    <mergeCell ref="AP151:AP153"/>
    <mergeCell ref="W146:W149"/>
    <mergeCell ref="AP147:AP149"/>
    <mergeCell ref="A155:A156"/>
    <mergeCell ref="S164:T164"/>
    <mergeCell ref="C160:N160"/>
    <mergeCell ref="AU146:AU149"/>
    <mergeCell ref="C159:N159"/>
    <mergeCell ref="U159:AO159"/>
    <mergeCell ref="S163:T163"/>
    <mergeCell ref="E146:E149"/>
    <mergeCell ref="A169:AO169"/>
    <mergeCell ref="AQ164:AT164"/>
    <mergeCell ref="W155:W158"/>
    <mergeCell ref="AM155:AM158"/>
    <mergeCell ref="O161:R161"/>
    <mergeCell ref="B172:K172"/>
    <mergeCell ref="L172:U172"/>
    <mergeCell ref="O173:O176"/>
    <mergeCell ref="AF172:AO172"/>
    <mergeCell ref="AP174:AP176"/>
    <mergeCell ref="AR174:AR176"/>
    <mergeCell ref="AP172:AY172"/>
    <mergeCell ref="U163:AO163"/>
    <mergeCell ref="L147:L151"/>
    <mergeCell ref="AV164:AY164"/>
    <mergeCell ref="A168:AO168"/>
    <mergeCell ref="O163:R163"/>
    <mergeCell ref="A163:B163"/>
    <mergeCell ref="A164:B164"/>
    <mergeCell ref="C164:N164"/>
    <mergeCell ref="AQ163:AT163"/>
    <mergeCell ref="S160:T160"/>
    <mergeCell ref="I146:I149"/>
    <mergeCell ref="AR147:AR149"/>
    <mergeCell ref="AP168:AY168"/>
    <mergeCell ref="U162:AO162"/>
    <mergeCell ref="O146:O149"/>
    <mergeCell ref="A148:A149"/>
    <mergeCell ref="O164:R164"/>
    <mergeCell ref="H150:I153"/>
    <mergeCell ref="A162:B162"/>
    <mergeCell ref="O150:O153"/>
    <mergeCell ref="AE150:AE153"/>
    <mergeCell ref="Q150:Q153"/>
    <mergeCell ref="AF154:AO154"/>
    <mergeCell ref="AP154:AY154"/>
    <mergeCell ref="U155:U158"/>
    <mergeCell ref="U161:AO161"/>
    <mergeCell ref="O162:R162"/>
    <mergeCell ref="C162:N162"/>
    <mergeCell ref="O159:R159"/>
    <mergeCell ref="S159:T159"/>
    <mergeCell ref="S162:T162"/>
    <mergeCell ref="A159:B159"/>
    <mergeCell ref="E150:E153"/>
    <mergeCell ref="U160:AO160"/>
    <mergeCell ref="U150:U153"/>
    <mergeCell ref="AK150:AK151"/>
    <mergeCell ref="X147:X151"/>
    <mergeCell ref="AE146:AE149"/>
    <mergeCell ref="O160:R160"/>
    <mergeCell ref="AN151:AN153"/>
    <mergeCell ref="Z151:Z153"/>
    <mergeCell ref="AO150:AO153"/>
    <mergeCell ref="C146:C149"/>
    <mergeCell ref="AN147:AN149"/>
    <mergeCell ref="P151:P153"/>
    <mergeCell ref="N147:N149"/>
    <mergeCell ref="AK146:AK149"/>
    <mergeCell ref="D147:D149"/>
    <mergeCell ref="C161:N161"/>
    <mergeCell ref="AO146:AO149"/>
    <mergeCell ref="B154:K154"/>
    <mergeCell ref="L154:U154"/>
    <mergeCell ref="V154:AE154"/>
    <mergeCell ref="W150:W153"/>
    <mergeCell ref="B151:B153"/>
    <mergeCell ref="F151:F153"/>
    <mergeCell ref="Y146:Y151"/>
    <mergeCell ref="A146:A147"/>
    <mergeCell ref="T147:T149"/>
    <mergeCell ref="O131:R131"/>
    <mergeCell ref="V141:AE141"/>
    <mergeCell ref="B143:K143"/>
    <mergeCell ref="U129:AO129"/>
    <mergeCell ref="AP143:AY143"/>
    <mergeCell ref="A138:AO138"/>
    <mergeCell ref="A139:AO139"/>
    <mergeCell ref="AH147:AH149"/>
    <mergeCell ref="AS146:AS149"/>
    <mergeCell ref="AQ130:AT130"/>
    <mergeCell ref="AT147:AT149"/>
    <mergeCell ref="A131:B131"/>
    <mergeCell ref="T156:T158"/>
    <mergeCell ref="V156:V158"/>
    <mergeCell ref="AL156:AL158"/>
    <mergeCell ref="A157:A158"/>
    <mergeCell ref="Q146:Q149"/>
    <mergeCell ref="AP145:AY145"/>
    <mergeCell ref="AQ129:AT129"/>
    <mergeCell ref="L143:U143"/>
    <mergeCell ref="A144:A145"/>
    <mergeCell ref="AF145:AO145"/>
    <mergeCell ref="L142:U142"/>
    <mergeCell ref="A142:A143"/>
    <mergeCell ref="V142:AE142"/>
    <mergeCell ref="B142:K142"/>
    <mergeCell ref="H147:H149"/>
    <mergeCell ref="AF147:AF149"/>
    <mergeCell ref="AJ147:AJ149"/>
    <mergeCell ref="D151:D153"/>
    <mergeCell ref="L145:U145"/>
    <mergeCell ref="AF143:AO143"/>
    <mergeCell ref="AP138:AY139"/>
    <mergeCell ref="AP137:AY137"/>
    <mergeCell ref="V145:AE145"/>
    <mergeCell ref="AV129:AY129"/>
    <mergeCell ref="C131:N131"/>
    <mergeCell ref="AQ128:AT128"/>
    <mergeCell ref="B144:K144"/>
    <mergeCell ref="L144:U144"/>
    <mergeCell ref="U126:AO126"/>
    <mergeCell ref="A127:B127"/>
    <mergeCell ref="C127:N127"/>
    <mergeCell ref="AB118:AB120"/>
    <mergeCell ref="AT118:AT120"/>
    <mergeCell ref="C129:N129"/>
    <mergeCell ref="L122:L124"/>
    <mergeCell ref="C126:N126"/>
    <mergeCell ref="A126:B126"/>
    <mergeCell ref="A129:B129"/>
    <mergeCell ref="O126:R126"/>
    <mergeCell ref="L141:U141"/>
    <mergeCell ref="B141:K141"/>
    <mergeCell ref="H122:H124"/>
    <mergeCell ref="A137:AO137"/>
    <mergeCell ref="S117:S120"/>
    <mergeCell ref="R118:R120"/>
    <mergeCell ref="D118:D120"/>
    <mergeCell ref="Q117:Q120"/>
    <mergeCell ref="AX118:AX120"/>
    <mergeCell ref="U128:AO128"/>
    <mergeCell ref="H118:H120"/>
    <mergeCell ref="A93:B93"/>
    <mergeCell ref="BB55:BB56"/>
    <mergeCell ref="L107:U107"/>
    <mergeCell ref="F118:F120"/>
    <mergeCell ref="A128:B128"/>
    <mergeCell ref="O130:R130"/>
    <mergeCell ref="U130:AO130"/>
    <mergeCell ref="U127:AO127"/>
    <mergeCell ref="V118:V122"/>
    <mergeCell ref="V115:AA116"/>
    <mergeCell ref="S128:T128"/>
    <mergeCell ref="C130:N130"/>
    <mergeCell ref="A119:A120"/>
    <mergeCell ref="AC121:AC124"/>
    <mergeCell ref="A121:A122"/>
    <mergeCell ref="L118:L120"/>
    <mergeCell ref="A130:B130"/>
    <mergeCell ref="E117:E120"/>
    <mergeCell ref="AH120:AH122"/>
    <mergeCell ref="G117:G120"/>
    <mergeCell ref="G121:G124"/>
    <mergeCell ref="BA55:BA56"/>
    <mergeCell ref="X118:X120"/>
    <mergeCell ref="R113:U114"/>
    <mergeCell ref="AB113:AE114"/>
    <mergeCell ref="D88:D90"/>
    <mergeCell ref="AQ108:AQ111"/>
    <mergeCell ref="S94:T94"/>
    <mergeCell ref="U94:AO94"/>
    <mergeCell ref="C117:C120"/>
    <mergeCell ref="A115:A116"/>
    <mergeCell ref="H115:K116"/>
    <mergeCell ref="A97:B97"/>
    <mergeCell ref="S96:T96"/>
    <mergeCell ref="B55:K58"/>
    <mergeCell ref="AU66:AX66"/>
    <mergeCell ref="AP76:AY76"/>
    <mergeCell ref="AW87:AW90"/>
    <mergeCell ref="O117:O122"/>
    <mergeCell ref="AP103:AY103"/>
    <mergeCell ref="AV97:AY97"/>
    <mergeCell ref="N109:N111"/>
    <mergeCell ref="B113:G114"/>
    <mergeCell ref="A104:AO104"/>
    <mergeCell ref="AP81:AU81"/>
    <mergeCell ref="AV82:AX82"/>
    <mergeCell ref="AQ83:AQ86"/>
    <mergeCell ref="AY87:AY90"/>
    <mergeCell ref="AU67:AX67"/>
    <mergeCell ref="M117:M120"/>
    <mergeCell ref="L115:Q116"/>
    <mergeCell ref="AB82:AD82"/>
    <mergeCell ref="AO83:AO86"/>
    <mergeCell ref="AC117:AC120"/>
    <mergeCell ref="AV109:AV111"/>
    <mergeCell ref="O93:R93"/>
    <mergeCell ref="AF113:AK114"/>
    <mergeCell ref="AV118:AV120"/>
    <mergeCell ref="L113:Q114"/>
    <mergeCell ref="AY108:AY111"/>
    <mergeCell ref="AP109:AP111"/>
    <mergeCell ref="O97:R97"/>
    <mergeCell ref="AQ98:AT98"/>
    <mergeCell ref="C96:N96"/>
    <mergeCell ref="C95:N95"/>
    <mergeCell ref="AS108:AS111"/>
    <mergeCell ref="BM79:BM82"/>
    <mergeCell ref="BN85:BP85"/>
    <mergeCell ref="B75:K75"/>
    <mergeCell ref="L75:U75"/>
    <mergeCell ref="AC87:AC90"/>
    <mergeCell ref="AE87:AE90"/>
    <mergeCell ref="AJ84:AJ86"/>
    <mergeCell ref="AP88:AP90"/>
    <mergeCell ref="AS83:AS86"/>
    <mergeCell ref="BH84:BM84"/>
    <mergeCell ref="A81:A82"/>
    <mergeCell ref="C83:C86"/>
    <mergeCell ref="A108:A109"/>
    <mergeCell ref="C97:N97"/>
    <mergeCell ref="U97:AO97"/>
    <mergeCell ref="AF107:AO107"/>
    <mergeCell ref="A95:B95"/>
    <mergeCell ref="M83:M86"/>
    <mergeCell ref="BN84:BP84"/>
    <mergeCell ref="BI79:BI82"/>
    <mergeCell ref="BK79:BK82"/>
    <mergeCell ref="AQ87:AQ90"/>
    <mergeCell ref="AU83:AU86"/>
    <mergeCell ref="S95:T95"/>
    <mergeCell ref="L88:L90"/>
    <mergeCell ref="AO87:AO90"/>
    <mergeCell ref="K87:K90"/>
    <mergeCell ref="C92:N92"/>
    <mergeCell ref="W83:W86"/>
    <mergeCell ref="O92:R92"/>
    <mergeCell ref="BR88:CA88"/>
    <mergeCell ref="BR85:BW85"/>
    <mergeCell ref="AR88:AR90"/>
    <mergeCell ref="AP84:AP86"/>
    <mergeCell ref="AW83:AW86"/>
    <mergeCell ref="AP79:AU79"/>
    <mergeCell ref="AF84:AF86"/>
    <mergeCell ref="AD88:AD90"/>
    <mergeCell ref="AF88:AF90"/>
    <mergeCell ref="X88:X90"/>
    <mergeCell ref="Z88:Z90"/>
    <mergeCell ref="U83:U86"/>
    <mergeCell ref="AD84:AD86"/>
    <mergeCell ref="V84:V86"/>
    <mergeCell ref="BH86:BM86"/>
    <mergeCell ref="BN86:BP86"/>
    <mergeCell ref="Y87:Y90"/>
    <mergeCell ref="AA87:AA90"/>
    <mergeCell ref="AL84:AL86"/>
    <mergeCell ref="AM87:AM90"/>
    <mergeCell ref="AG87:AG90"/>
    <mergeCell ref="AY83:AY86"/>
    <mergeCell ref="AV88:AV90"/>
    <mergeCell ref="AT88:AT90"/>
    <mergeCell ref="BT80:BT82"/>
    <mergeCell ref="AV84:AV86"/>
    <mergeCell ref="AP80:AU80"/>
    <mergeCell ref="V80:AA80"/>
    <mergeCell ref="BQ79:BQ82"/>
    <mergeCell ref="BS79:BS82"/>
    <mergeCell ref="BO79:BO82"/>
    <mergeCell ref="AF80:AK80"/>
    <mergeCell ref="AV115:AY116"/>
    <mergeCell ref="B107:K107"/>
    <mergeCell ref="V107:AE107"/>
    <mergeCell ref="AP122:AP124"/>
    <mergeCell ref="E121:E124"/>
    <mergeCell ref="H113:K114"/>
    <mergeCell ref="AB115:AE116"/>
    <mergeCell ref="V113:AA114"/>
    <mergeCell ref="M121:M124"/>
    <mergeCell ref="AE108:AE111"/>
    <mergeCell ref="AH109:AH111"/>
    <mergeCell ref="AF109:AF111"/>
    <mergeCell ref="O96:R96"/>
    <mergeCell ref="R109:R111"/>
    <mergeCell ref="S97:T97"/>
    <mergeCell ref="B122:B124"/>
    <mergeCell ref="D122:D124"/>
    <mergeCell ref="R122:R124"/>
    <mergeCell ref="A105:AO105"/>
    <mergeCell ref="AX109:AX111"/>
    <mergeCell ref="A123:A124"/>
    <mergeCell ref="P118:P120"/>
    <mergeCell ref="Z118:Z120"/>
    <mergeCell ref="W117:W122"/>
    <mergeCell ref="C121:C124"/>
    <mergeCell ref="N118:N122"/>
    <mergeCell ref="AP118:AP120"/>
    <mergeCell ref="F122:F124"/>
    <mergeCell ref="S121:S124"/>
    <mergeCell ref="I117:I120"/>
    <mergeCell ref="A103:AO103"/>
    <mergeCell ref="V112:AE112"/>
    <mergeCell ref="T84:T86"/>
    <mergeCell ref="J109:J111"/>
    <mergeCell ref="L109:L111"/>
    <mergeCell ref="CL87:CU87"/>
    <mergeCell ref="CL80:CL82"/>
    <mergeCell ref="CC79:CC82"/>
    <mergeCell ref="CE79:CE82"/>
    <mergeCell ref="CB83:CG83"/>
    <mergeCell ref="AV81:AY81"/>
    <mergeCell ref="BH85:BM85"/>
    <mergeCell ref="AR84:AR86"/>
    <mergeCell ref="AU87:AU90"/>
    <mergeCell ref="BL80:BL82"/>
    <mergeCell ref="AV80:AX80"/>
    <mergeCell ref="CQ79:CQ82"/>
    <mergeCell ref="CL84:CQ84"/>
    <mergeCell ref="CL88:CU88"/>
    <mergeCell ref="CL86:CQ86"/>
    <mergeCell ref="BX80:BX82"/>
    <mergeCell ref="BU79:BU82"/>
    <mergeCell ref="BR86:BW86"/>
    <mergeCell ref="BH83:BM83"/>
    <mergeCell ref="AT84:AT86"/>
    <mergeCell ref="CB86:CG86"/>
    <mergeCell ref="AV96:AY96"/>
    <mergeCell ref="CB85:CG85"/>
    <mergeCell ref="CF80:CF82"/>
    <mergeCell ref="BX83:BZ84"/>
    <mergeCell ref="BV80:BV82"/>
    <mergeCell ref="CH86:CJ86"/>
    <mergeCell ref="BR87:CA87"/>
    <mergeCell ref="AP82:AU82"/>
    <mergeCell ref="CR85:CT85"/>
    <mergeCell ref="CL85:CQ85"/>
    <mergeCell ref="CR84:CT84"/>
    <mergeCell ref="CL83:CQ83"/>
    <mergeCell ref="BZ80:BZ82"/>
    <mergeCell ref="BH87:BQ87"/>
    <mergeCell ref="BX86:BZ86"/>
    <mergeCell ref="BX85:BZ85"/>
    <mergeCell ref="CL39:CL42"/>
    <mergeCell ref="CE40:CE42"/>
    <mergeCell ref="CG40:CG42"/>
    <mergeCell ref="CA43:CF44"/>
    <mergeCell ref="CG43:CI44"/>
    <mergeCell ref="BI40:BI42"/>
    <mergeCell ref="BW45:BY45"/>
    <mergeCell ref="BW43:BY43"/>
    <mergeCell ref="BM43:BO43"/>
    <mergeCell ref="BQ43:BV43"/>
    <mergeCell ref="CQ44:CS44"/>
    <mergeCell ref="CA45:CF45"/>
    <mergeCell ref="BW40:BW42"/>
    <mergeCell ref="BY40:BY42"/>
    <mergeCell ref="BG46:BL46"/>
    <mergeCell ref="BH78:BQ78"/>
    <mergeCell ref="BG47:BL47"/>
    <mergeCell ref="BW46:BY46"/>
    <mergeCell ref="BL39:BL42"/>
    <mergeCell ref="BN39:BN42"/>
    <mergeCell ref="BM40:BM42"/>
    <mergeCell ref="BV39:BV42"/>
    <mergeCell ref="CC40:CC42"/>
    <mergeCell ref="BR39:BR42"/>
    <mergeCell ref="BQ55:BQ57"/>
    <mergeCell ref="BG45:BL45"/>
    <mergeCell ref="BM45:BO45"/>
    <mergeCell ref="BG44:BL44"/>
    <mergeCell ref="BM47:BO47"/>
    <mergeCell ref="BQ46:BV46"/>
    <mergeCell ref="DB39:DB42"/>
    <mergeCell ref="CK43:CP43"/>
    <mergeCell ref="CJ39:CJ42"/>
    <mergeCell ref="CI40:CI42"/>
    <mergeCell ref="CQ45:CS45"/>
    <mergeCell ref="CA40:CA42"/>
    <mergeCell ref="CB39:CB42"/>
    <mergeCell ref="DA40:DA42"/>
    <mergeCell ref="CX39:CX42"/>
    <mergeCell ref="CW40:CW42"/>
    <mergeCell ref="CQ40:CQ42"/>
    <mergeCell ref="CZ39:CZ42"/>
    <mergeCell ref="CH39:CH42"/>
    <mergeCell ref="CK40:CK42"/>
    <mergeCell ref="BG40:BG42"/>
    <mergeCell ref="BM46:BO46"/>
    <mergeCell ref="BG43:BL43"/>
    <mergeCell ref="BO40:BO42"/>
    <mergeCell ref="DE79:DE82"/>
    <mergeCell ref="CH80:CH82"/>
    <mergeCell ref="CK46:CP46"/>
    <mergeCell ref="CQ46:CS46"/>
    <mergeCell ref="CL78:CU78"/>
    <mergeCell ref="CF39:CF42"/>
    <mergeCell ref="CS40:CS42"/>
    <mergeCell ref="CO40:CO42"/>
    <mergeCell ref="CY40:CY42"/>
    <mergeCell ref="CN80:CN82"/>
    <mergeCell ref="DC79:DC82"/>
    <mergeCell ref="CG45:CI45"/>
    <mergeCell ref="CU79:CU82"/>
    <mergeCell ref="CM79:CM82"/>
    <mergeCell ref="CP80:CP82"/>
    <mergeCell ref="DB80:DB82"/>
    <mergeCell ref="CY79:CY82"/>
    <mergeCell ref="DA79:DA82"/>
    <mergeCell ref="DD80:DD82"/>
    <mergeCell ref="CK45:CP45"/>
    <mergeCell ref="CB78:CK78"/>
    <mergeCell ref="CV83:DA84"/>
    <mergeCell ref="CB80:CB82"/>
    <mergeCell ref="CD80:CD82"/>
    <mergeCell ref="CR80:CR82"/>
    <mergeCell ref="CO79:CO82"/>
    <mergeCell ref="CH84:CJ84"/>
    <mergeCell ref="CH83:CJ83"/>
    <mergeCell ref="CW79:CW82"/>
    <mergeCell ref="CV80:CV82"/>
    <mergeCell ref="BZ39:BZ42"/>
    <mergeCell ref="BP39:BP42"/>
    <mergeCell ref="CB84:CG84"/>
    <mergeCell ref="BR83:BW84"/>
    <mergeCell ref="CJ80:CJ82"/>
    <mergeCell ref="CI79:CI82"/>
    <mergeCell ref="BN83:BP83"/>
    <mergeCell ref="BQ45:BV45"/>
    <mergeCell ref="CR83:CT83"/>
    <mergeCell ref="CD39:CD42"/>
    <mergeCell ref="BS40:BS42"/>
    <mergeCell ref="BR54:BR57"/>
    <mergeCell ref="CT80:CT82"/>
    <mergeCell ref="CG79:CG82"/>
    <mergeCell ref="BT39:BT42"/>
    <mergeCell ref="CP39:CP42"/>
    <mergeCell ref="CR39:CR42"/>
    <mergeCell ref="BQ44:BV44"/>
    <mergeCell ref="BW44:BY44"/>
    <mergeCell ref="CK44:CP44"/>
    <mergeCell ref="BR78:CA78"/>
    <mergeCell ref="BM44:BO44"/>
    <mergeCell ref="CT39:CT42"/>
    <mergeCell ref="BG38:BP38"/>
    <mergeCell ref="BQ38:BZ38"/>
    <mergeCell ref="BQ40:BQ42"/>
    <mergeCell ref="DC40:DC42"/>
    <mergeCell ref="CU40:CU42"/>
    <mergeCell ref="CK38:CT38"/>
    <mergeCell ref="CU38:DD38"/>
    <mergeCell ref="BH39:BH42"/>
    <mergeCell ref="BJ39:BJ42"/>
    <mergeCell ref="CQ43:CS43"/>
    <mergeCell ref="CU43:CZ43"/>
    <mergeCell ref="CN39:CN42"/>
    <mergeCell ref="BY79:BY82"/>
    <mergeCell ref="BP80:BP82"/>
    <mergeCell ref="BR80:BR82"/>
    <mergeCell ref="CS79:CS82"/>
    <mergeCell ref="CK79:CK82"/>
    <mergeCell ref="CA79:CA82"/>
    <mergeCell ref="BW79:BW82"/>
    <mergeCell ref="CA38:CJ38"/>
    <mergeCell ref="DD39:DD42"/>
    <mergeCell ref="BK40:BK42"/>
    <mergeCell ref="CV78:DE78"/>
    <mergeCell ref="BH80:BH82"/>
    <mergeCell ref="BJ80:BJ82"/>
    <mergeCell ref="BX39:BX42"/>
    <mergeCell ref="CM40:CM42"/>
    <mergeCell ref="DA43:DC43"/>
    <mergeCell ref="BU40:BU42"/>
    <mergeCell ref="CZ80:CZ82"/>
    <mergeCell ref="CV39:CV42"/>
    <mergeCell ref="CX80:CX82"/>
    <mergeCell ref="AV246:AY246"/>
    <mergeCell ref="AP229:AW229"/>
    <mergeCell ref="AW121:AW124"/>
    <mergeCell ref="AQ217:AT217"/>
    <mergeCell ref="AP227:AY227"/>
    <mergeCell ref="V229:AE229"/>
    <mergeCell ref="T227:U227"/>
    <mergeCell ref="V227:AE227"/>
    <mergeCell ref="L229:S229"/>
    <mergeCell ref="L236:U236"/>
    <mergeCell ref="U241:AO241"/>
    <mergeCell ref="B238:K238"/>
    <mergeCell ref="V238:AE238"/>
    <mergeCell ref="B229:K229"/>
    <mergeCell ref="L231:S231"/>
    <mergeCell ref="T231:U231"/>
    <mergeCell ref="B231:K231"/>
    <mergeCell ref="B228:K228"/>
    <mergeCell ref="V228:AE228"/>
    <mergeCell ref="AF232:AO232"/>
    <mergeCell ref="L232:U232"/>
    <mergeCell ref="AF231:AM231"/>
    <mergeCell ref="C241:N241"/>
    <mergeCell ref="O241:R241"/>
    <mergeCell ref="B235:I235"/>
    <mergeCell ref="J235:K235"/>
    <mergeCell ref="B227:K227"/>
    <mergeCell ref="B234:K234"/>
    <mergeCell ref="L228:U228"/>
    <mergeCell ref="AP237:AW237"/>
    <mergeCell ref="AP235:AW235"/>
    <mergeCell ref="AP232:AY232"/>
    <mergeCell ref="AV245:AY245"/>
    <mergeCell ref="AV241:AY242"/>
    <mergeCell ref="AP231:AW231"/>
    <mergeCell ref="AX231:AY231"/>
    <mergeCell ref="AQ219:AT219"/>
    <mergeCell ref="AP222:AY222"/>
    <mergeCell ref="AV209:AV211"/>
    <mergeCell ref="AX209:AX211"/>
    <mergeCell ref="AY204:AY207"/>
    <mergeCell ref="AU173:AU176"/>
    <mergeCell ref="AP236:AY236"/>
    <mergeCell ref="AP228:AY228"/>
    <mergeCell ref="AV161:AY161"/>
    <mergeCell ref="AQ159:AT160"/>
    <mergeCell ref="AQ150:AQ153"/>
    <mergeCell ref="AQ146:AQ149"/>
    <mergeCell ref="AX237:AY237"/>
    <mergeCell ref="AP238:AY238"/>
    <mergeCell ref="AQ241:AT242"/>
    <mergeCell ref="AV189:AY189"/>
    <mergeCell ref="AV216:AY216"/>
    <mergeCell ref="AW208:AW211"/>
    <mergeCell ref="AY208:AY211"/>
    <mergeCell ref="AP226:AY226"/>
    <mergeCell ref="AQ245:AT245"/>
    <mergeCell ref="AV243:AY243"/>
    <mergeCell ref="AU204:AU207"/>
    <mergeCell ref="AT205:AT207"/>
    <mergeCell ref="AT209:AT211"/>
    <mergeCell ref="AS204:AS207"/>
    <mergeCell ref="AP205:AP207"/>
    <mergeCell ref="AV215:AY215"/>
    <mergeCell ref="AF229:AO229"/>
    <mergeCell ref="AD233:AE233"/>
    <mergeCell ref="AN233:AO233"/>
    <mergeCell ref="S217:T217"/>
    <mergeCell ref="U217:AO217"/>
    <mergeCell ref="A222:AO222"/>
    <mergeCell ref="A223:AO223"/>
    <mergeCell ref="A227:A228"/>
    <mergeCell ref="B226:K226"/>
    <mergeCell ref="L226:U226"/>
    <mergeCell ref="A231:A232"/>
    <mergeCell ref="A216:B216"/>
    <mergeCell ref="AF227:AO227"/>
    <mergeCell ref="O217:R217"/>
    <mergeCell ref="AQ247:AT247"/>
    <mergeCell ref="AP113:AU114"/>
    <mergeCell ref="AP115:AU116"/>
    <mergeCell ref="AQ117:AQ120"/>
    <mergeCell ref="AU117:AU120"/>
    <mergeCell ref="AQ246:AT246"/>
    <mergeCell ref="Y117:Y120"/>
    <mergeCell ref="AF117:AK118"/>
    <mergeCell ref="P122:P124"/>
    <mergeCell ref="B115:G116"/>
    <mergeCell ref="J146:K149"/>
    <mergeCell ref="J150:K153"/>
    <mergeCell ref="AF144:AO144"/>
    <mergeCell ref="B145:K145"/>
    <mergeCell ref="AA150:AA153"/>
    <mergeCell ref="S126:T126"/>
    <mergeCell ref="I121:I124"/>
    <mergeCell ref="Q121:Q124"/>
    <mergeCell ref="C218:N218"/>
    <mergeCell ref="L227:S227"/>
    <mergeCell ref="AV217:AY217"/>
    <mergeCell ref="V234:AE234"/>
    <mergeCell ref="AF234:AO234"/>
    <mergeCell ref="AF228:AO228"/>
    <mergeCell ref="U246:AO246"/>
    <mergeCell ref="A243:B243"/>
    <mergeCell ref="A246:B246"/>
    <mergeCell ref="C246:N246"/>
    <mergeCell ref="O246:R246"/>
    <mergeCell ref="S246:T246"/>
    <mergeCell ref="B233:K233"/>
    <mergeCell ref="L237:U237"/>
    <mergeCell ref="B237:I237"/>
    <mergeCell ref="O244:R244"/>
    <mergeCell ref="J237:K237"/>
    <mergeCell ref="A237:A238"/>
    <mergeCell ref="V237:AE237"/>
    <mergeCell ref="AD231:AE231"/>
    <mergeCell ref="T229:U229"/>
    <mergeCell ref="L230:U230"/>
    <mergeCell ref="B232:K232"/>
    <mergeCell ref="AF230:AO230"/>
    <mergeCell ref="B236:K236"/>
    <mergeCell ref="A233:A234"/>
    <mergeCell ref="AF235:AO235"/>
    <mergeCell ref="V235:AE235"/>
    <mergeCell ref="AF233:AM233"/>
    <mergeCell ref="A229:A230"/>
    <mergeCell ref="C245:N245"/>
    <mergeCell ref="C242:N242"/>
    <mergeCell ref="O242:R242"/>
    <mergeCell ref="S242:T242"/>
    <mergeCell ref="U242:AO242"/>
    <mergeCell ref="A241:B241"/>
    <mergeCell ref="A218:B218"/>
    <mergeCell ref="S218:T218"/>
    <mergeCell ref="U218:AO218"/>
    <mergeCell ref="AF226:AO226"/>
    <mergeCell ref="O218:R218"/>
    <mergeCell ref="AN231:AO231"/>
    <mergeCell ref="B230:K230"/>
    <mergeCell ref="V230:AE230"/>
    <mergeCell ref="U244:AO244"/>
    <mergeCell ref="L235:U235"/>
    <mergeCell ref="C244:N244"/>
    <mergeCell ref="A244:B244"/>
    <mergeCell ref="S244:T244"/>
    <mergeCell ref="A224:AO224"/>
    <mergeCell ref="L238:U238"/>
    <mergeCell ref="L233:S233"/>
    <mergeCell ref="AF238:AO238"/>
    <mergeCell ref="V231:AC231"/>
    <mergeCell ref="A235:A236"/>
    <mergeCell ref="S241:T241"/>
    <mergeCell ref="AF237:AO237"/>
    <mergeCell ref="V236:AE236"/>
    <mergeCell ref="AF236:AO236"/>
    <mergeCell ref="T233:U233"/>
    <mergeCell ref="L234:U234"/>
    <mergeCell ref="V233:AC233"/>
    <mergeCell ref="V232:AE232"/>
    <mergeCell ref="C243:N243"/>
    <mergeCell ref="O243:R243"/>
    <mergeCell ref="S243:T243"/>
    <mergeCell ref="U243:AO243"/>
    <mergeCell ref="AQ243:AT243"/>
    <mergeCell ref="AP230:AY230"/>
    <mergeCell ref="A217:B217"/>
    <mergeCell ref="AG208:AG211"/>
    <mergeCell ref="AI208:AI211"/>
    <mergeCell ref="Y208:Y211"/>
    <mergeCell ref="AQ213:AT214"/>
    <mergeCell ref="AP233:AW233"/>
    <mergeCell ref="AP234:AY234"/>
    <mergeCell ref="AP223:AY224"/>
    <mergeCell ref="P207:P209"/>
    <mergeCell ref="C215:N215"/>
    <mergeCell ref="U216:AO216"/>
    <mergeCell ref="C216:N216"/>
    <mergeCell ref="O216:R216"/>
    <mergeCell ref="S216:T216"/>
    <mergeCell ref="V226:AE226"/>
    <mergeCell ref="AX229:AY229"/>
    <mergeCell ref="AX235:AY235"/>
    <mergeCell ref="AQ218:AT218"/>
    <mergeCell ref="C217:N217"/>
    <mergeCell ref="AD209:AD211"/>
    <mergeCell ref="O214:R214"/>
    <mergeCell ref="U214:AO214"/>
    <mergeCell ref="AM208:AM211"/>
    <mergeCell ref="A215:B215"/>
    <mergeCell ref="S215:T215"/>
    <mergeCell ref="U215:AO215"/>
    <mergeCell ref="O215:R215"/>
    <mergeCell ref="A245:B245"/>
    <mergeCell ref="O245:R245"/>
    <mergeCell ref="S245:T245"/>
    <mergeCell ref="U245:AO245"/>
    <mergeCell ref="A242:B242"/>
    <mergeCell ref="AV205:AV207"/>
    <mergeCell ref="AK204:AK207"/>
    <mergeCell ref="AJ205:AJ207"/>
    <mergeCell ref="C206:C211"/>
    <mergeCell ref="C214:N214"/>
    <mergeCell ref="AQ208:AQ211"/>
    <mergeCell ref="H207:H209"/>
    <mergeCell ref="W208:W211"/>
    <mergeCell ref="S213:T213"/>
    <mergeCell ref="AH209:AH211"/>
    <mergeCell ref="AL209:AL211"/>
    <mergeCell ref="X209:X211"/>
    <mergeCell ref="R207:R209"/>
    <mergeCell ref="U206:U209"/>
    <mergeCell ref="B204:K204"/>
    <mergeCell ref="L204:U204"/>
    <mergeCell ref="I206:I209"/>
    <mergeCell ref="K206:K209"/>
    <mergeCell ref="T207:T209"/>
    <mergeCell ref="W204:W207"/>
    <mergeCell ref="L207:L209"/>
    <mergeCell ref="U213:AO213"/>
    <mergeCell ref="B205:K205"/>
    <mergeCell ref="A214:B214"/>
    <mergeCell ref="B207:B211"/>
    <mergeCell ref="S214:T214"/>
    <mergeCell ref="M206:M209"/>
    <mergeCell ref="V172:AE172"/>
    <mergeCell ref="AF141:AO141"/>
    <mergeCell ref="B112:K112"/>
    <mergeCell ref="AC208:AC211"/>
    <mergeCell ref="S206:S209"/>
    <mergeCell ref="Y204:Y207"/>
    <mergeCell ref="O129:R129"/>
    <mergeCell ref="C128:N128"/>
    <mergeCell ref="A113:A114"/>
    <mergeCell ref="AF112:AO112"/>
    <mergeCell ref="O127:R127"/>
    <mergeCell ref="S127:T127"/>
    <mergeCell ref="O213:R213"/>
    <mergeCell ref="AN205:AN207"/>
    <mergeCell ref="J207:J209"/>
    <mergeCell ref="AM108:AM111"/>
    <mergeCell ref="AC108:AC111"/>
    <mergeCell ref="AO108:AO111"/>
    <mergeCell ref="K108:K111"/>
    <mergeCell ref="A110:A111"/>
    <mergeCell ref="U108:U111"/>
    <mergeCell ref="AO208:AO211"/>
    <mergeCell ref="AB209:AB211"/>
    <mergeCell ref="AN209:AN211"/>
    <mergeCell ref="AF205:AF207"/>
    <mergeCell ref="AA117:AA120"/>
    <mergeCell ref="AL120:AL124"/>
    <mergeCell ref="L112:U112"/>
    <mergeCell ref="AB109:AB111"/>
    <mergeCell ref="F207:F209"/>
    <mergeCell ref="A117:A118"/>
    <mergeCell ref="B118:B120"/>
    <mergeCell ref="L81:Q81"/>
    <mergeCell ref="AF81:AK81"/>
    <mergeCell ref="AB79:AE79"/>
    <mergeCell ref="AL81:AO81"/>
    <mergeCell ref="I108:I111"/>
    <mergeCell ref="AM83:AM86"/>
    <mergeCell ref="C67:O67"/>
    <mergeCell ref="H84:H86"/>
    <mergeCell ref="N84:N86"/>
    <mergeCell ref="A79:A80"/>
    <mergeCell ref="O108:O111"/>
    <mergeCell ref="AF75:AO75"/>
    <mergeCell ref="T88:T90"/>
    <mergeCell ref="Z84:Z86"/>
    <mergeCell ref="U95:AO95"/>
    <mergeCell ref="A83:A84"/>
    <mergeCell ref="U93:AO93"/>
    <mergeCell ref="AG108:AG111"/>
    <mergeCell ref="AI108:AI111"/>
    <mergeCell ref="C108:C111"/>
    <mergeCell ref="E108:E111"/>
    <mergeCell ref="D109:D111"/>
    <mergeCell ref="AN109:AN111"/>
    <mergeCell ref="O95:R95"/>
    <mergeCell ref="C94:N94"/>
    <mergeCell ref="S93:T93"/>
    <mergeCell ref="A96:B96"/>
    <mergeCell ref="AF79:AK79"/>
    <mergeCell ref="L73:U73"/>
    <mergeCell ref="B109:B111"/>
    <mergeCell ref="M87:M90"/>
    <mergeCell ref="R84:R86"/>
    <mergeCell ref="AV213:AY214"/>
    <mergeCell ref="AR205:AR207"/>
    <mergeCell ref="A213:B213"/>
    <mergeCell ref="A206:A207"/>
    <mergeCell ref="E206:E209"/>
    <mergeCell ref="G206:G209"/>
    <mergeCell ref="C213:N213"/>
    <mergeCell ref="X205:X207"/>
    <mergeCell ref="AA204:AA207"/>
    <mergeCell ref="AC204:AC207"/>
    <mergeCell ref="AE204:AE207"/>
    <mergeCell ref="AM204:AM207"/>
    <mergeCell ref="AX205:AX207"/>
    <mergeCell ref="AW204:AW207"/>
    <mergeCell ref="AO204:AO207"/>
    <mergeCell ref="AE208:AE211"/>
    <mergeCell ref="AU208:AU211"/>
    <mergeCell ref="D207:D209"/>
    <mergeCell ref="V205:V207"/>
    <mergeCell ref="Q206:Q209"/>
    <mergeCell ref="V209:V211"/>
    <mergeCell ref="Z205:Z207"/>
    <mergeCell ref="AF208:AF211"/>
    <mergeCell ref="A204:A205"/>
    <mergeCell ref="AI204:AI207"/>
    <mergeCell ref="A210:A211"/>
    <mergeCell ref="A208:A209"/>
    <mergeCell ref="O206:O211"/>
    <mergeCell ref="AL205:AL207"/>
    <mergeCell ref="AG204:AG207"/>
    <mergeCell ref="AB205:AB207"/>
    <mergeCell ref="AP209:AP211"/>
    <mergeCell ref="A94:B94"/>
    <mergeCell ref="B79:G79"/>
    <mergeCell ref="H81:K81"/>
    <mergeCell ref="AL79:AO79"/>
    <mergeCell ref="AF77:AO77"/>
    <mergeCell ref="O83:O86"/>
    <mergeCell ref="B82:G82"/>
    <mergeCell ref="A87:A88"/>
    <mergeCell ref="A85:A86"/>
    <mergeCell ref="S108:S111"/>
    <mergeCell ref="R81:U81"/>
    <mergeCell ref="R82:T82"/>
    <mergeCell ref="B76:K76"/>
    <mergeCell ref="L74:U74"/>
    <mergeCell ref="B81:G81"/>
    <mergeCell ref="A92:B92"/>
    <mergeCell ref="AH84:AH86"/>
    <mergeCell ref="AL88:AL90"/>
    <mergeCell ref="R88:R90"/>
    <mergeCell ref="AA83:AA86"/>
    <mergeCell ref="V82:AA82"/>
    <mergeCell ref="A76:A77"/>
    <mergeCell ref="H80:J80"/>
    <mergeCell ref="AF76:AO76"/>
    <mergeCell ref="AB81:AE81"/>
    <mergeCell ref="V81:AA81"/>
    <mergeCell ref="AK87:AK90"/>
    <mergeCell ref="J84:J86"/>
    <mergeCell ref="Y83:Y86"/>
    <mergeCell ref="B80:G80"/>
    <mergeCell ref="C93:N93"/>
    <mergeCell ref="AB80:AD80"/>
    <mergeCell ref="A1:AO1"/>
    <mergeCell ref="AP1:AY1"/>
    <mergeCell ref="A2:AO2"/>
    <mergeCell ref="AP2:AY3"/>
    <mergeCell ref="A3:AO3"/>
    <mergeCell ref="B5:K5"/>
    <mergeCell ref="L5:U5"/>
    <mergeCell ref="V5:AE5"/>
    <mergeCell ref="AF5:AO5"/>
    <mergeCell ref="AP5:AY5"/>
    <mergeCell ref="AY6:AY9"/>
    <mergeCell ref="B7:B11"/>
    <mergeCell ref="F7:F11"/>
    <mergeCell ref="L7:L9"/>
    <mergeCell ref="N7:N9"/>
    <mergeCell ref="AE6:AE9"/>
    <mergeCell ref="AG6:AG9"/>
    <mergeCell ref="AN7:AN9"/>
    <mergeCell ref="E8:E11"/>
    <mergeCell ref="G6:G11"/>
    <mergeCell ref="AU6:AU9"/>
    <mergeCell ref="A8:A9"/>
    <mergeCell ref="W6:W9"/>
    <mergeCell ref="AC6:AC9"/>
    <mergeCell ref="AP10:AU11"/>
    <mergeCell ref="V7:V9"/>
    <mergeCell ref="AL10:AO11"/>
    <mergeCell ref="AA6:AA9"/>
    <mergeCell ref="I8:I11"/>
    <mergeCell ref="D9:D11"/>
    <mergeCell ref="AT7:AT9"/>
    <mergeCell ref="AF7:AF9"/>
    <mergeCell ref="O6:O9"/>
    <mergeCell ref="AW6:AW9"/>
    <mergeCell ref="AD7:AD9"/>
    <mergeCell ref="M6:M9"/>
    <mergeCell ref="AJ7:AJ9"/>
    <mergeCell ref="Y6:Y9"/>
    <mergeCell ref="AL12:AO13"/>
    <mergeCell ref="AH7:AH9"/>
    <mergeCell ref="AB7:AB9"/>
    <mergeCell ref="L14:Q15"/>
    <mergeCell ref="AP45:AU46"/>
    <mergeCell ref="AQ47:AQ50"/>
    <mergeCell ref="AU47:AU50"/>
    <mergeCell ref="V78:AE78"/>
    <mergeCell ref="P7:P9"/>
    <mergeCell ref="AB53:AE53"/>
    <mergeCell ref="AQ61:AT62"/>
    <mergeCell ref="AP73:AY73"/>
    <mergeCell ref="A70:AO70"/>
    <mergeCell ref="AP69:AY69"/>
    <mergeCell ref="R65:S65"/>
    <mergeCell ref="T62:U62"/>
    <mergeCell ref="AU64:AX64"/>
    <mergeCell ref="AU65:AX65"/>
    <mergeCell ref="AQ63:AT63"/>
    <mergeCell ref="L78:U78"/>
    <mergeCell ref="T63:U63"/>
    <mergeCell ref="A65:B65"/>
    <mergeCell ref="L54:U54"/>
    <mergeCell ref="V67:AO67"/>
    <mergeCell ref="AP75:AY75"/>
    <mergeCell ref="A55:A56"/>
    <mergeCell ref="AP18:AY18"/>
    <mergeCell ref="AP12:AU13"/>
    <mergeCell ref="A10:A11"/>
    <mergeCell ref="A29:B29"/>
    <mergeCell ref="AV10:AY11"/>
    <mergeCell ref="H13:H17"/>
    <mergeCell ref="AM14:AM17"/>
    <mergeCell ref="AI47:AI50"/>
    <mergeCell ref="C62:O62"/>
    <mergeCell ref="Q6:Q9"/>
    <mergeCell ref="U6:U9"/>
    <mergeCell ref="V12:AA13"/>
    <mergeCell ref="C12:C15"/>
    <mergeCell ref="R12:U13"/>
    <mergeCell ref="A57:A58"/>
    <mergeCell ref="V45:AA46"/>
    <mergeCell ref="AD48:AD50"/>
    <mergeCell ref="AK47:AK50"/>
    <mergeCell ref="V62:AO62"/>
    <mergeCell ref="A43:A44"/>
    <mergeCell ref="U39:U42"/>
    <mergeCell ref="AT48:AT50"/>
    <mergeCell ref="AV43:AY44"/>
    <mergeCell ref="AV45:AY46"/>
    <mergeCell ref="AQ29:AT29"/>
    <mergeCell ref="AV29:AY29"/>
    <mergeCell ref="AQ30:AT30"/>
    <mergeCell ref="W47:W50"/>
    <mergeCell ref="AQ6:AQ9"/>
    <mergeCell ref="AP7:AP9"/>
    <mergeCell ref="AA55:AA58"/>
    <mergeCell ref="Z56:Z58"/>
    <mergeCell ref="A6:A7"/>
    <mergeCell ref="C32:N32"/>
    <mergeCell ref="BB6:BB9"/>
    <mergeCell ref="BA7:BA9"/>
    <mergeCell ref="AR7:AR9"/>
    <mergeCell ref="Z7:Z9"/>
    <mergeCell ref="AX7:AX9"/>
    <mergeCell ref="AS6:AS9"/>
    <mergeCell ref="AL6:AM9"/>
    <mergeCell ref="S6:S9"/>
    <mergeCell ref="R7:R9"/>
    <mergeCell ref="AF10:AK11"/>
    <mergeCell ref="C6:C11"/>
    <mergeCell ref="AV12:AY13"/>
    <mergeCell ref="V10:AA11"/>
    <mergeCell ref="AP14:AY15"/>
    <mergeCell ref="G12:G15"/>
    <mergeCell ref="T7:T9"/>
    <mergeCell ref="R10:U11"/>
    <mergeCell ref="H9:H11"/>
    <mergeCell ref="AV7:AV9"/>
    <mergeCell ref="AO6:AO9"/>
    <mergeCell ref="X7:X9"/>
    <mergeCell ref="AB10:AE11"/>
    <mergeCell ref="L10:Q11"/>
    <mergeCell ref="AI6:AI9"/>
    <mergeCell ref="BB19:BB20"/>
    <mergeCell ref="BA19:BA20"/>
    <mergeCell ref="D22:D24"/>
    <mergeCell ref="Z15:Z17"/>
    <mergeCell ref="AL15:AL17"/>
    <mergeCell ref="AK6:AK9"/>
    <mergeCell ref="A51:A52"/>
    <mergeCell ref="A47:A48"/>
    <mergeCell ref="A71:AO71"/>
    <mergeCell ref="N52:N53"/>
    <mergeCell ref="AG47:AG50"/>
    <mergeCell ref="C65:O65"/>
    <mergeCell ref="E47:E50"/>
    <mergeCell ref="AE47:AE50"/>
    <mergeCell ref="C63:O63"/>
    <mergeCell ref="F52:F53"/>
    <mergeCell ref="T64:U64"/>
    <mergeCell ref="B54:K54"/>
    <mergeCell ref="V54:AE54"/>
    <mergeCell ref="C51:C53"/>
    <mergeCell ref="A62:B62"/>
    <mergeCell ref="A64:B64"/>
    <mergeCell ref="O51:O53"/>
    <mergeCell ref="AF52:AF53"/>
    <mergeCell ref="V65:AO65"/>
    <mergeCell ref="A63:B63"/>
    <mergeCell ref="V63:AO63"/>
    <mergeCell ref="J48:J50"/>
    <mergeCell ref="R62:S62"/>
    <mergeCell ref="C66:O66"/>
    <mergeCell ref="V53:AA53"/>
    <mergeCell ref="G47:G50"/>
    <mergeCell ref="A49:A50"/>
    <mergeCell ref="V64:AO64"/>
    <mergeCell ref="AG55:AG58"/>
    <mergeCell ref="AF56:AF58"/>
    <mergeCell ref="T65:U65"/>
    <mergeCell ref="AF54:AO54"/>
    <mergeCell ref="I87:I90"/>
    <mergeCell ref="P88:P90"/>
    <mergeCell ref="Q47:Q50"/>
    <mergeCell ref="Y47:Y50"/>
    <mergeCell ref="AU61:AX62"/>
    <mergeCell ref="V56:V58"/>
    <mergeCell ref="R80:T80"/>
    <mergeCell ref="AV53:AY53"/>
    <mergeCell ref="P48:P50"/>
    <mergeCell ref="V51:AA52"/>
    <mergeCell ref="AB51:AE52"/>
    <mergeCell ref="I47:I50"/>
    <mergeCell ref="AV51:AY52"/>
    <mergeCell ref="G51:G53"/>
    <mergeCell ref="C64:O64"/>
    <mergeCell ref="B73:K73"/>
    <mergeCell ref="B52:B53"/>
    <mergeCell ref="V48:V50"/>
    <mergeCell ref="AP51:AU52"/>
    <mergeCell ref="AQ66:AT66"/>
    <mergeCell ref="X48:X50"/>
    <mergeCell ref="AH48:AH50"/>
    <mergeCell ref="AF48:AF50"/>
    <mergeCell ref="L80:Q80"/>
    <mergeCell ref="AN48:AN50"/>
    <mergeCell ref="AQ64:AT64"/>
    <mergeCell ref="AL80:AN80"/>
    <mergeCell ref="AP70:AY71"/>
    <mergeCell ref="V79:AA79"/>
    <mergeCell ref="AF74:AO74"/>
    <mergeCell ref="R63:S63"/>
    <mergeCell ref="R64:S64"/>
    <mergeCell ref="G83:G86"/>
    <mergeCell ref="D84:D86"/>
    <mergeCell ref="E83:E86"/>
    <mergeCell ref="I83:I86"/>
    <mergeCell ref="AG83:AG86"/>
    <mergeCell ref="S83:S86"/>
    <mergeCell ref="AK83:AK86"/>
    <mergeCell ref="AB84:AB86"/>
    <mergeCell ref="L77:U77"/>
    <mergeCell ref="AV40:AV42"/>
    <mergeCell ref="V40:V42"/>
    <mergeCell ref="AE39:AE42"/>
    <mergeCell ref="AO39:AO42"/>
    <mergeCell ref="N40:N42"/>
    <mergeCell ref="AF43:AK44"/>
    <mergeCell ref="K47:K50"/>
    <mergeCell ref="U47:U50"/>
    <mergeCell ref="AP53:AU53"/>
    <mergeCell ref="AV48:AV50"/>
    <mergeCell ref="T48:T50"/>
    <mergeCell ref="S47:S50"/>
    <mergeCell ref="B74:K74"/>
    <mergeCell ref="AP78:AY78"/>
    <mergeCell ref="AP77:AY77"/>
    <mergeCell ref="H82:J82"/>
    <mergeCell ref="L79:Q79"/>
    <mergeCell ref="R79:U79"/>
    <mergeCell ref="V77:AE77"/>
    <mergeCell ref="A69:AO69"/>
    <mergeCell ref="AF78:AO78"/>
    <mergeCell ref="V73:AE73"/>
    <mergeCell ref="A67:B67"/>
    <mergeCell ref="AQ216:AT216"/>
    <mergeCell ref="BK149:BK158"/>
    <mergeCell ref="AP200:AY200"/>
    <mergeCell ref="AX233:AY233"/>
    <mergeCell ref="W19:W22"/>
    <mergeCell ref="S87:S90"/>
    <mergeCell ref="AN88:AN90"/>
    <mergeCell ref="U87:U90"/>
    <mergeCell ref="K83:K86"/>
    <mergeCell ref="AJ88:AJ90"/>
    <mergeCell ref="P84:P86"/>
    <mergeCell ref="AI87:AI90"/>
    <mergeCell ref="AB88:AB90"/>
    <mergeCell ref="AU63:AX63"/>
    <mergeCell ref="AV79:AY79"/>
    <mergeCell ref="AQ67:AT67"/>
    <mergeCell ref="AQ65:AT65"/>
    <mergeCell ref="AP74:AY74"/>
    <mergeCell ref="AG51:AG53"/>
    <mergeCell ref="AW47:AW50"/>
    <mergeCell ref="AF73:AO73"/>
    <mergeCell ref="H79:K79"/>
    <mergeCell ref="B78:K78"/>
    <mergeCell ref="L76:U76"/>
    <mergeCell ref="V74:AE74"/>
    <mergeCell ref="T67:U67"/>
    <mergeCell ref="V66:AO66"/>
    <mergeCell ref="V75:AE75"/>
    <mergeCell ref="V76:AE76"/>
    <mergeCell ref="B77:K77"/>
    <mergeCell ref="AP54:AY54"/>
    <mergeCell ref="W55:W58"/>
    <mergeCell ref="AQ96:AT96"/>
    <mergeCell ref="AP107:AY107"/>
    <mergeCell ref="AX84:AX86"/>
    <mergeCell ref="CV87:DA88"/>
    <mergeCell ref="OG230:OG233"/>
    <mergeCell ref="OF231:OF233"/>
    <mergeCell ref="OE230:OE233"/>
    <mergeCell ref="OD231:OD233"/>
    <mergeCell ref="OC230:OC233"/>
    <mergeCell ref="OB231:OB233"/>
    <mergeCell ref="OA230:OA233"/>
    <mergeCell ref="NZ231:NZ233"/>
    <mergeCell ref="AQ215:AT215"/>
    <mergeCell ref="AV218:AY218"/>
    <mergeCell ref="AS121:AS124"/>
    <mergeCell ref="AR122:AR124"/>
    <mergeCell ref="AT122:AT124"/>
    <mergeCell ref="AW150:AW153"/>
    <mergeCell ref="AY150:AY153"/>
    <mergeCell ref="AP180:AY180"/>
    <mergeCell ref="AS208:AS211"/>
    <mergeCell ref="AQ173:AQ176"/>
    <mergeCell ref="AS173:AS176"/>
    <mergeCell ref="AV130:AY130"/>
    <mergeCell ref="AV122:AV124"/>
    <mergeCell ref="AP177:AY177"/>
    <mergeCell ref="AT174:AT176"/>
    <mergeCell ref="BR148:BR153"/>
    <mergeCell ref="BQ149:BQ153"/>
    <mergeCell ref="AV151:AV153"/>
    <mergeCell ref="AV126:AY127"/>
    <mergeCell ref="AP181:AY181"/>
    <mergeCell ref="U131:AO131"/>
    <mergeCell ref="AQ132:AT132"/>
    <mergeCell ref="AL151:AL153"/>
    <mergeCell ref="AM150:AM153"/>
    <mergeCell ref="BA155:BA156"/>
    <mergeCell ref="BB155:BB156"/>
    <mergeCell ref="AQ126:AT127"/>
    <mergeCell ref="AR109:AR111"/>
    <mergeCell ref="AY121:AY124"/>
    <mergeCell ref="AQ121:AQ124"/>
    <mergeCell ref="AR118:AR120"/>
    <mergeCell ref="AV95:AY95"/>
    <mergeCell ref="DB85:DD86"/>
    <mergeCell ref="BJ150:BJ158"/>
    <mergeCell ref="AP104:AY105"/>
    <mergeCell ref="AV94:AY94"/>
    <mergeCell ref="AV131:AY131"/>
    <mergeCell ref="AX88:AX90"/>
    <mergeCell ref="AS117:AS120"/>
    <mergeCell ref="DB87:DD88"/>
    <mergeCell ref="BH88:BQ88"/>
    <mergeCell ref="AP112:AY112"/>
    <mergeCell ref="AW117:AW120"/>
    <mergeCell ref="AY117:AY120"/>
    <mergeCell ref="CH85:CJ85"/>
    <mergeCell ref="CB87:CK87"/>
    <mergeCell ref="AQ97:AT97"/>
    <mergeCell ref="AV113:AY114"/>
    <mergeCell ref="AS87:AS90"/>
    <mergeCell ref="AV92:AY93"/>
    <mergeCell ref="AQ94:AT94"/>
    <mergeCell ref="AQ92:AT93"/>
    <mergeCell ref="R66:S66"/>
    <mergeCell ref="E87:E90"/>
    <mergeCell ref="L84:L86"/>
    <mergeCell ref="H109:H111"/>
    <mergeCell ref="CB88:CK88"/>
    <mergeCell ref="AV163:AY163"/>
    <mergeCell ref="AS150:AS153"/>
    <mergeCell ref="B84:B86"/>
    <mergeCell ref="H88:H90"/>
    <mergeCell ref="S92:T92"/>
    <mergeCell ref="Q83:Q86"/>
    <mergeCell ref="AE83:AE86"/>
    <mergeCell ref="F84:F86"/>
    <mergeCell ref="AL82:AN82"/>
    <mergeCell ref="AI83:AI86"/>
    <mergeCell ref="L82:Q82"/>
    <mergeCell ref="AC83:AC86"/>
    <mergeCell ref="AF82:AK82"/>
    <mergeCell ref="X84:X86"/>
    <mergeCell ref="AN84:AN86"/>
    <mergeCell ref="AH88:AH90"/>
    <mergeCell ref="AX151:AX153"/>
    <mergeCell ref="AP142:AY142"/>
    <mergeCell ref="AL117:AO118"/>
    <mergeCell ref="AM119:AM124"/>
    <mergeCell ref="AQ95:AT95"/>
    <mergeCell ref="AV128:AY128"/>
    <mergeCell ref="AK119:AK124"/>
    <mergeCell ref="AJ120:AJ124"/>
    <mergeCell ref="AI119:AI122"/>
    <mergeCell ref="AL113:AO114"/>
    <mergeCell ref="AB122:AB124"/>
    <mergeCell ref="AC47:AC50"/>
    <mergeCell ref="AO47:AO50"/>
    <mergeCell ref="T40:T42"/>
    <mergeCell ref="AM47:AM50"/>
    <mergeCell ref="CV85:DA86"/>
    <mergeCell ref="T66:U66"/>
    <mergeCell ref="A66:B66"/>
    <mergeCell ref="DB83:DD84"/>
    <mergeCell ref="CR86:CT86"/>
    <mergeCell ref="J88:J90"/>
    <mergeCell ref="U96:AO96"/>
    <mergeCell ref="AD109:AD111"/>
    <mergeCell ref="Q87:Q90"/>
    <mergeCell ref="M108:M111"/>
    <mergeCell ref="AW108:AW111"/>
    <mergeCell ref="AX147:AX149"/>
    <mergeCell ref="U92:AO92"/>
    <mergeCell ref="AL115:AO116"/>
    <mergeCell ref="R115:U116"/>
    <mergeCell ref="AF115:AK116"/>
    <mergeCell ref="O94:R94"/>
    <mergeCell ref="AF142:AO142"/>
    <mergeCell ref="V143:AE143"/>
    <mergeCell ref="AL109:AL111"/>
    <mergeCell ref="AU121:AU124"/>
    <mergeCell ref="AX122:AX124"/>
    <mergeCell ref="AP144:AY144"/>
    <mergeCell ref="T109:T111"/>
    <mergeCell ref="A89:A90"/>
    <mergeCell ref="BN80:BN82"/>
    <mergeCell ref="A74:A75"/>
    <mergeCell ref="R67:S67"/>
    <mergeCell ref="C39:C42"/>
    <mergeCell ref="O30:R30"/>
    <mergeCell ref="O32:R32"/>
    <mergeCell ref="AF12:AK13"/>
    <mergeCell ref="AP43:AU44"/>
    <mergeCell ref="D48:D50"/>
    <mergeCell ref="R48:R50"/>
    <mergeCell ref="AJ48:AJ50"/>
    <mergeCell ref="C47:C50"/>
    <mergeCell ref="AJ40:AJ42"/>
    <mergeCell ref="AF45:AK46"/>
    <mergeCell ref="X40:X42"/>
    <mergeCell ref="AK39:AK42"/>
    <mergeCell ref="H48:H50"/>
    <mergeCell ref="AL48:AL50"/>
    <mergeCell ref="O47:O50"/>
    <mergeCell ref="N48:N50"/>
    <mergeCell ref="Z48:Z50"/>
    <mergeCell ref="R43:U44"/>
    <mergeCell ref="AC39:AC42"/>
    <mergeCell ref="V43:AA44"/>
    <mergeCell ref="AS47:AS50"/>
    <mergeCell ref="AR48:AR50"/>
    <mergeCell ref="AP48:AP50"/>
    <mergeCell ref="AB45:AE46"/>
    <mergeCell ref="L48:L50"/>
    <mergeCell ref="AF40:AF42"/>
    <mergeCell ref="AL43:AO44"/>
    <mergeCell ref="L43:Q44"/>
    <mergeCell ref="L45:Q46"/>
    <mergeCell ref="H45:K46"/>
    <mergeCell ref="R45:U46"/>
    <mergeCell ref="AB43:AE44"/>
    <mergeCell ref="A16:A17"/>
    <mergeCell ref="G23:G26"/>
    <mergeCell ref="R14:U15"/>
    <mergeCell ref="L12:Q13"/>
    <mergeCell ref="I12:I17"/>
    <mergeCell ref="A28:B28"/>
    <mergeCell ref="C28:N28"/>
    <mergeCell ref="O28:R28"/>
    <mergeCell ref="F40:F42"/>
    <mergeCell ref="B13:B15"/>
    <mergeCell ref="B18:K18"/>
    <mergeCell ref="L18:U18"/>
    <mergeCell ref="V18:AE18"/>
    <mergeCell ref="B48:B50"/>
    <mergeCell ref="AF18:AO18"/>
    <mergeCell ref="S30:T30"/>
    <mergeCell ref="U30:AO30"/>
    <mergeCell ref="U28:AO28"/>
    <mergeCell ref="S27:T27"/>
    <mergeCell ref="AB48:AB50"/>
    <mergeCell ref="B45:G46"/>
    <mergeCell ref="AA47:AA50"/>
    <mergeCell ref="F48:F50"/>
    <mergeCell ref="M47:M50"/>
    <mergeCell ref="AL45:AO46"/>
    <mergeCell ref="D13:D17"/>
    <mergeCell ref="F13:F15"/>
    <mergeCell ref="AE14:AE17"/>
    <mergeCell ref="AD15:AD17"/>
    <mergeCell ref="J12:K17"/>
    <mergeCell ref="Q39:Q42"/>
    <mergeCell ref="A14:A15"/>
    <mergeCell ref="A39:A40"/>
    <mergeCell ref="D40:D42"/>
    <mergeCell ref="E39:E42"/>
    <mergeCell ref="AD40:AD42"/>
    <mergeCell ref="Y39:Y42"/>
    <mergeCell ref="I39:I42"/>
    <mergeCell ref="G39:G42"/>
    <mergeCell ref="B24:B26"/>
    <mergeCell ref="C23:C26"/>
    <mergeCell ref="A45:A46"/>
    <mergeCell ref="C30:N30"/>
    <mergeCell ref="L16:Q17"/>
    <mergeCell ref="AB12:AE13"/>
    <mergeCell ref="AA14:AA17"/>
    <mergeCell ref="C27:N27"/>
    <mergeCell ref="C29:N29"/>
    <mergeCell ref="C31:N31"/>
    <mergeCell ref="W39:W42"/>
    <mergeCell ref="Z40:Z42"/>
    <mergeCell ref="B40:B42"/>
    <mergeCell ref="L40:L42"/>
    <mergeCell ref="H43:K44"/>
    <mergeCell ref="R16:U17"/>
    <mergeCell ref="U19:U22"/>
    <mergeCell ref="A19:A20"/>
    <mergeCell ref="A30:B30"/>
    <mergeCell ref="B43:G44"/>
    <mergeCell ref="P40:P42"/>
    <mergeCell ref="H40:H42"/>
    <mergeCell ref="E12:E17"/>
    <mergeCell ref="O31:R31"/>
    <mergeCell ref="AV32:AY32"/>
    <mergeCell ref="AV30:AY30"/>
    <mergeCell ref="AM39:AM42"/>
    <mergeCell ref="AL40:AL42"/>
    <mergeCell ref="O29:R29"/>
    <mergeCell ref="S29:T29"/>
    <mergeCell ref="U29:AO29"/>
    <mergeCell ref="O27:R27"/>
    <mergeCell ref="Z24:Z26"/>
    <mergeCell ref="AQ27:AT28"/>
    <mergeCell ref="AV27:AY28"/>
    <mergeCell ref="A12:A13"/>
    <mergeCell ref="AL20:AL22"/>
    <mergeCell ref="U27:AO27"/>
    <mergeCell ref="A31:B31"/>
    <mergeCell ref="AA39:AA42"/>
    <mergeCell ref="M39:M42"/>
    <mergeCell ref="S39:S42"/>
    <mergeCell ref="S28:T28"/>
    <mergeCell ref="U31:AO31"/>
    <mergeCell ref="AF38:AO38"/>
    <mergeCell ref="F24:F26"/>
    <mergeCell ref="A25:A26"/>
    <mergeCell ref="E21:E24"/>
    <mergeCell ref="T20:T22"/>
    <mergeCell ref="AA23:AA26"/>
    <mergeCell ref="L38:U38"/>
    <mergeCell ref="V38:AE38"/>
    <mergeCell ref="A32:B32"/>
    <mergeCell ref="AN40:AN42"/>
    <mergeCell ref="A21:A22"/>
    <mergeCell ref="A23:A24"/>
    <mergeCell ref="AR40:AR42"/>
    <mergeCell ref="R40:R42"/>
    <mergeCell ref="AP34:AY34"/>
    <mergeCell ref="AP35:AY36"/>
    <mergeCell ref="AP38:AY38"/>
    <mergeCell ref="O39:O42"/>
    <mergeCell ref="AP40:AP42"/>
    <mergeCell ref="S31:T31"/>
    <mergeCell ref="AX40:AX42"/>
    <mergeCell ref="AI39:AI42"/>
    <mergeCell ref="A34:AO34"/>
    <mergeCell ref="AQ31:AT31"/>
    <mergeCell ref="AV31:AY31"/>
    <mergeCell ref="AQ32:AT32"/>
    <mergeCell ref="AM19:AM22"/>
    <mergeCell ref="A41:A42"/>
    <mergeCell ref="A35:AO35"/>
    <mergeCell ref="B38:K38"/>
    <mergeCell ref="A27:B27"/>
    <mergeCell ref="AU39:AU42"/>
    <mergeCell ref="AQ39:AQ42"/>
    <mergeCell ref="AW39:AW42"/>
    <mergeCell ref="AY39:AY42"/>
    <mergeCell ref="AH40:AH42"/>
    <mergeCell ref="AB40:AB42"/>
    <mergeCell ref="A36:AO36"/>
    <mergeCell ref="S32:T32"/>
    <mergeCell ref="U32:AO32"/>
    <mergeCell ref="V20:V22"/>
    <mergeCell ref="AG39:AG42"/>
    <mergeCell ref="AT40:AT42"/>
    <mergeCell ref="AS39:AS42"/>
  </mergeCells>
  <dataValidations count="24">
    <dataValidation type="list" allowBlank="1" showInputMessage="1" showErrorMessage="1" sqref="A3:AO3 A36:AO36 A71:AO71 A105:AO105 A139:AO139 A170:AO170 A197:AO197 A224:AO224" xr:uid="{00000000-0002-0000-0100-000000000000}">
      <formula1>GRUPO</formula1>
    </dataValidation>
    <dataValidation type="list" allowBlank="1" showInputMessage="1" showErrorMessage="1" sqref="A4 A37 A72 A106 A140 A171 A198 A225" xr:uid="{00000000-0002-0000-0100-000001000000}">
      <formula1>GIM</formula1>
    </dataValidation>
    <dataValidation type="list" allowBlank="1" showInputMessage="1" showErrorMessage="1" sqref="A214:A218 V7 H13 D9 P7 B7 AH7 AV7 AT7 L7 Z7 N7 L14 F7 D13 X7 AB7 AD15 V12 V16 A127:A131 A160:A164 A187:A191 AF14 AF16 AX7 AF12 Z15 AD7 L10 H9 A63:A67 V14 F13 AP10 AL20 AR7 L16 B13 V20 AJ7 AF10 A93:A97 AP7 V10 AP12 L12 AL15 A242:A246 AF7 R7 H24 D20 L25 V23 AF25 AF23 AN7 L21 H20 V25 F24 AP21 B24 AF21 Z24 AP23 L23 T7 D22 T20 AL26 AD26 A28:A32 T156 V156 D156 L157 H156 AP157 AF157 D158 T56 V56 AP57 L57" xr:uid="{00000000-0002-0000-0100-000002000000}">
      <formula1>INDIRECT($A$4)</formula1>
    </dataValidation>
    <dataValidation type="list" allowBlank="1" showInputMessage="1" showErrorMessage="1" sqref="H12 D8 P6 BN79 AT6 AJ83 Z6 BL79 AB47 N6 L6 V6 AH6 B6 D83 N39 P150 AJ39 BQ148 J47 AL47 X39 AP39 D39 L39 N47 R39 H39 AX117 X204 AT146 AH208 H146 BV79 V204 CU83:CU86 DE83:DE88 D12 X6 F6 K229 CX79 AD146 D146 CA83:CA86 AP146 T150 AV39 B117 V117 CN79 P173 AJ173 BT79 J87 F83 AH108 AV117 AL108 AB83 AP117 AE235 AJ87 R117 N108 L108 AB204 B173 N173 F173 CD79 AR47 D206 CR79 AF39 J210 AR121 AT173 F39 D47 B121 D121 H121 Z117 AE183 AL119 AV208 AV189:AV191 N206 H173 F121 AY80 L206 AJ146 N146 AH146 AB208 V146 AL146 P206 L146 AF173 L173 F150 V173 AH173 D173 X173 AP173 AR173 B47 AO227 T233:U233 AT83 AQ95:AQ98 AH119 AJ119 X208 F117 AP108 AR108 AV108 T108 V108 X108 AB108 T87 X87 AV162:AV164 D108 H108 R108 AP150 AX108 D150 AV173 T39 CV79 AO235 AX231:AY231 AX6 J237:K237 K227 AT39 B39 Z14 AD6 T231:U231 AV47 R87 BK39 AX229:AY229 K233 D117 Z23 K231 Z55 AT150 J12 AX39 NZ230 AD39 B146 Z150 AB87 AH83 OB230 OF230 H83 N83 V83 L83 AR83 R47 L47 J83 AF83 D87 AP83 AV83 AE82 AT117 R83 H87 AB6 AN87 AD83 AF108 J108 AN108 AD108 B108 AT87 CH79 AB117 H117 BJ149 AP87 AN39 CK83:CK86 R6 AV204 P146 AU64:AU67 R206 OD230 DB79 K80 P117 AR117 CB79 CG39 F146 AX87 CP79 AN119 AR87 K82 AV87 AE80 AO82 AO229 X146 L121 BO39 CI39 BY39 BZ43:BZ46 CS39 DC39 DA39 BM39 AE229 CO39 BQ83:BQ86 CL79 BU39 CE39 CY39 BP43:BP47 CJ43:CJ45 T227:U227 Z47 BZ79 AV121 AV150 AN47 N117 AJ6 L117 AL173 P121 BJ79 P83 AD231:AE231 BH79 AQ245:AQ247 BR79 U235 AY82 AO80 AD14 U82 AV95:AV97 H47 T146 AO237 AV129:AV131 CT79 AQ189:AQ192 B206 F206 CF79 V208 Z204 DD43 AG208:AG211 AF204 AH204 J206 T206 AD204 AD208 AN204 AN208 CZ79 X83 AT47 AX204 AX208 AP204 AR204 Z39 AP208 AR208 L87 AV216:AV218 X117 AT204 AR39 DD79 AL19 AR150 AR6 B12 H206 F12 P39 F47 AL39 AB121 AP6 CJ79 AF87 BP79 AD150 AN146 AN150 AX146 AX150 AP121 CT43:CT46 AX233:AY233 AB150 V150 AJ47 AT208 AL150 U237 BW39 T229:U229 R121 P87 AX121 AL87 AH87 AT121 Z146 AL204 AL208 Z83 AF146 AQ129:AQ132 AL83 AB39 AE227 P47 AR146 BX79 U80 AD87 CK39 CM39 CQ39 CU39 BQ39 BG39 CA39 CC39 BS39 BI39 CW39 AD233:AE233 B83 J235:K235 AE237 AL14 AQ216:AQ219 AF6 B150 Z87 AJ204 AV6 H8 AV245:AV246 J51 D51 AH39 AH47 B51 N51 H51 AF51 AF47 AD47 AY47:AY50 T47 V47 X47 V39 F51 BP51 AY227 H23 D19 H19 AN6 V19 AD25 B23 F23 AL25 D21 T19 T6 AV30:AV32 AQ30:AQ32 N150 AP47 AL155 D155 H155 V155 D157 T155 BQ54 V55 T55 AF55 AQ162:AQ164 AQ166 AQ64:AQ67" xr:uid="{00000000-0002-0000-0100-000003000000}">
      <formula1>grupos</formula1>
    </dataValidation>
    <dataValidation type="list" allowBlank="1" showInputMessage="1" showErrorMessage="1" sqref="AP2:AY3 C6 AV79:AV82 AY87:AY90 AK39:AK42 AS83:AS90 E121 Q39:Q42 W6:W9 S39:S42 I39:I42 W83:W86 AA150:AA153 R10 AP70:AY71 B75:AY75 Q6:Q9 R12 C121 AL79:AL82 M185 AL115 AI119 G173:G176 AG204:AG207 E173:E176 AI173:AI176 K108 AC108 M108 U87:U90 C108 O108:Q108 AI108:AK108 AP138:AY139 B201:AY201 AK173:AK176 AB79:AB82 AQ185 I206:I209 AS121 Q173:Q176 AG185 W185 O173:O176 M121 I121 G121 AO119 AP196:AY197 AU6:AU9 AP223:AY224 AS204:AS211 AV10 AW173:AW176 H113 I8:I12 AG55 AM108 B145:AY145 W117 AG83:AG90 E117 M117 W173:W176 R79:R82 AC39:AC42 I173:I176 AK204:AK207 AK146:AK149 AB10 M6:M9 Y173:Y176 C185 U185 AL45 AQ173:AQ176 M173:M176 AU173:AU176 M146 Y146 AG146:AG149 AU204:AU211 H79:H82 O185:S185 AM47:AM50 DB87 AQ6:AQ9 AG173:AG176 G117 AA146 B143:AY143 Y185:AC185 Y204:Y211 B184:AY184 O206 Q206:Q209 M206:M209 AA204 AI204:AI211 H185:I185 AK152:AK153 AA117 B234:AY234 I117 Y83:Y90 H43 AQ108 AS108:AU108 AW108 U108 W108 Y108:AA108 E108:G108 I108 S108 AM39:AM42 AY108 G39:G42 U39:U42 AG6:AG9 AY39:AY42 AE39:AE42 AO87:AO90 E8:E12 S206:S209 AG108 AO108 B77:AY77 AC117 R113 AS117 AB45 AY146:AY153 AE108 B205:U205 AP169:AY170 AY6:AY9 AO39:AO42 AA14:AA17 AE6:AE9 O117 AW39 AC121 AP104:AY105 W39 AC6:AC9 G83:G86 C206 G206:G209 K206:K210 AQ39:AQ42 U206:U209 AE204:AE211 AO204:AO211 AY204:AY211 AQ204:AQ211 O6:O9 Y6:Y9 C51 AC83:AC90 AA23:AA26 AS6:AS9 C12:C17 E39:E42 Y39:Y42 I47:I53 O39:O42 AA39:AA42 AA83:AA90 B182:AY182 AM119 AK119 AO146:AO153 U146:U153 W146:W153 AM204:AM211 AC204:AC211 M83:M90 AI185:AM185 B236:AY236 AK6:AK9 AW117 AQ117 AU117 AW121 AQ121 AU121 AY117 AY121 Q121 S117 S121 E146:E153 AW83:AW90 AC47 H45 AM83:AM90 AL10 AQ146:AQ153 AM146 AM173:AM176 AW150:AW153 AU83:AU90 AC150:AC153 AS39:AS42 Q47:Q50 AI6:AI9 AE83:AE90 R43 CB39:CB42 CH39:CH42 CL39:CL42 CV39:CV42 BR39:BR42 BH39:BH42 CZ39:CZ42 BX39:BX42 CF39:CF42 BN39:BN42 CR39:CR42 DB39:DB42 BL39:BL42 CQ43:CQ46 BW43:BW46 BP39:BP42 CP39:CP42 BZ39:BZ42 DD39:DD42 CJ39:CJ42 BV39:BV42 CT39:CT42 BJ39:BJ42 CD39:CD42 BT39:BT42 CN39:CN42 CX39:CX42 BM43:BM47 CG43 CG45 CC79:CC82 CI79:CI82 CM79:CM82 CW79:CW82 BS79:BS82 BI79:BI82 DA79:DA82 BY79:BY82 CG79:CG82 BO79:BO82 CS79:CS82 DC79:DC82 BM79:BM82 CR83:CR86 BN83:BN86 CY79:CY82 BX85:BX86 BQ79:BQ82 CH83:CH86 CQ79:CQ82 CA79:CA82 DE79:DE82 CK79:CK82 BW79:BW82 DB85 CU79:CU82 BK79:BK82 CE79:CE82 BU79:BU82 CO79:CO82 BX83 DB83 BH88:CU88 O83:O86 Q117 B178:AY178 AP35:AY36 R115 AA6:AA9 Q83:Q90 AE146:AE153 AB12 C173:C176 AL12 B230:AY230 OC230:OC233 OE230:OE233 OG230:OG233 OA230:OA233 AU146:AU153 E206:E209 Q146:Q153 AW204:AW211 S83:S90 M39:M42 AL43 G12:G15 AS173:AS176 AV45 C39:C42 C146:C153 AB113 K83:K90 B203:AY203 S47:S50 AS185:AW185 AS146:AS153 AQ83:AQ90 AK83:AK90 I83:I90 E83:E90 C47 BR148 BK149 AI146:AI149 AE14:AE17 C83:C86 AI83:AI90 DA43 R16 R45 G6 M152:M153 G146:G150 AM14:AM17 I146:I149 C117 AL117 B180:Y180 AQ47 H115 AB115 AE47:AE50 W47:W50 R14 AV115 Y117 AO47:AO50 AV113 AA180:AY180 AG39:AG42 AL113 AV43 AV12 W204:W211 M47:M50 R51 AG47:AG51 R59 K59 O47:O51 AS47 AI47:AI50 E59 AI39:AI42 G47:G51 AB43 AK47:AK50 Q55:Q56 AB59 O146:O153 AA47:AA50 U47:U50 Y47:Y50 AV51 AB51 AM155:AM158 BM51 AU39 B228:AY228 B232:AY232 S6:S9 AW6:AW9 R21 R23 AV21 I19:I23 C23:C26 AB21 AO6:AO9 AB23 AL23 R25 AV23 W19:W22 U6:U9 S19:S20 AI19:AI20 AM19:AM22 AK19:AK20 AS19:AS20 AO19:AO20 Y19:Y20 O19:O20 AC19:AC20 AE19:AE20 AY19:AY20 AW19:AW20 AG19:AG20 AQ19:AQ20 M19:M20 AU19:AU20 Q19:Q20 E19:E24 AM25:AM26 AE25:AE26 G23:G26 U19:U22 AM150:AM153 R157 AV157 I155:I158 AB157 W155:W158 S155:S156 AI155:AI156 U155:U158 AK155:AK156 AS155:AS156 AO155:AO156 Y155:Y156 O155:O156 AC155:AC156 AE155:AE156 AY155:AY156 AW155:AW156 AG155:AG156 AQ155:AQ156 M155:M156 AU155:AU156 Q155:Q156 E155:E158 AB53 AW47:AW50 E47:E53 K47:K53 R53 AV53 AV59 BR54:BR57 R57 AV57 AB57 W55:W58 S55:S56 AI55:AI56 U55:U58 AK55:AK56 AS55:AS56 AO55:AO56 Y55:Y56 O55:O56 AC55:AC56 AE55:AE56 AY55:AY56 AW55:AW56 AA55:AA58 AQ55:AQ56 M55:M56 AU55:AU56 I59 AU47:AU50 B238:AY239" xr:uid="{00000000-0002-0000-0100-000004000000}">
      <formula1>AULAS</formula1>
    </dataValidation>
    <dataValidation type="list" allowBlank="1" showInputMessage="1" showErrorMessage="1" sqref="A173:A185 A108:A111 A19:A26 A6:A17 A200:A211 A74:A77 A227:A239 A79:A90 A113:A124 A155:A158 A142:A153 A39:A53 A55:A59" xr:uid="{00000000-0002-0000-0100-000005000000}">
      <formula1>HORARIO</formula1>
    </dataValidation>
    <dataValidation type="list" allowBlank="1" showInputMessage="1" showErrorMessage="1" sqref="A33 A60:A61 A101 A136 A165 A194 A221 A248" xr:uid="{00000000-0002-0000-0100-000006000000}">
      <formula1>notas</formula1>
    </dataValidation>
    <dataValidation type="list" allowBlank="1" showInputMessage="1" showErrorMessage="1" sqref="AD40:AD42 B40:B43 CU40:CU43 H59 AH48:AH50 AJ40:AJ42 P48:P50 N48:N50 R48:R50 V45 B48 J59 AP59 N40:N42 AP40:AP43 L40:L43 AF59 AV40:AV42 AP45 CV85 CV80:CV83 BR80:BR83 CB80:CB86 BV80:BV82 BR85:BR86 CZ80:CZ82 CP80:CP82 BL80:BL82 CF80:CF82 BN80:BN82 CR80:CR82 BX80:BX82 CH80:CH82 BJ80:BJ82 CN80:CN82 BT80:BT82 CL80:CL86 BH80:BH86 CD80:CD82 DB80:DB82 CT80:CT82 BZ80:BZ82 BP80:BP82 DD80:DD82 CJ80:CJ82 CX80:CX82 CA45 CA40:CA43 BG40:BG47 BQ40:BQ46 BU40:BU42 CY40:CY42 CO40:CO42 BK40:BK42 CE40:CE42 BM40:BM42 CQ40:CQ42 BW40:BW42 CG40:CG42 BI40:BI42 CM40:CM42 BS40:BS42 CK40:CK46 CC40:CC42 DA40:DA42 CS40:CS42 BY40:BY42 BO40:BO42 DC40:DC42 CI40:CI42 CW40:CW42 B45 L45 CV87 P40:P42 AL40:AL42 F59 Z40:Z42 H40:H42 R40:R42 D40:D42 X40:X42 AN40:AN42 T40:T42 AF45 AX40:AX42 AR40:AR42 L48:L51 F40:F42 AN48:AN50 AB48:AB50 AF40:AF43 B59 N59 L59 V59 Z48:Z50 D48:D50 AV48:AV50 J48:J50 F48:F50 AJ48:AJ50 AT48:AT50 AB40:AB42 AR48:AR50 T48:T50 X48:X50 V40:V43 AD48:AD50 AF48:AF50 AH40:AH42 AL48:AL50 V48:V51 AP48 BG51 AT40:AT42 AP51 V53 L53 N52:N53 B52:B53 F52:F53 AF52:AF53 AP53 J52:J53 H52:H53 D52:D53 D59 Z56:Z58 AF56 H48:H50" xr:uid="{00000000-0002-0000-0100-000007000000}">
      <formula1>INDIRECT($A$37)</formula1>
    </dataValidation>
    <dataValidation type="list" allowBlank="1" showInputMessage="1" showErrorMessage="1" sqref="B74:AY74 V79:V82 AF79:AF82 B79:B82 L79:L82 B76:AY76 AP79:AP82" xr:uid="{00000000-0002-0000-0100-000008000000}">
      <formula1>INDIRECT($A$72)</formula1>
    </dataValidation>
    <dataValidation type="list" allowBlank="1" showInputMessage="1" showErrorMessage="1" sqref="AP147:AP149 AL156:AL158 Z151:Z153 N151:N153 BQ149 AJ147:AJ149 B151:B153 F151 H147:H149 AT147:AT149 L152:L153 AX151:AX153 D147:D149 AH147:AH149 AF147:AF149 AL147 Z147 T151:T153 AD147:AD149 N147 V147:V149 AF144 L147 L144 L142 B142 B144 V142 V144 AF142 AR151:AR153 AP144 AJ152:AJ153 AD151:AD153 AN147:AN149 AP151:AP153 AX147:AX149 AV151:AV153 BJ150 AT151:AT153 D151:D153 X147 AL151:AL153 AN151:AN153 V151:V153 T147:T149 AB151:AB153 P147:P149 P151:P153 F147:F149 B147:B149 AP142 AR147:AR149 BQ55:BQ57" xr:uid="{00000000-0002-0000-0100-000009000000}">
      <formula1>INDIRECT($A$140)</formula1>
    </dataValidation>
    <dataValidation type="list" allowBlank="1" showInputMessage="1" showErrorMessage="1" sqref="B183 D174:D176 N185 AF181 AP185 AR185 AF185 V179 AF183 OD231:OD233 V183:AD183 X185 OF231:OF233 OB231:OB233 V181 B174:B177 AP181 L181 L183 B179 L179 V185 AP179 AH174:AH176 X174:X176 AJ174:AJ176 AT174:AT176 NZ231:NZ233 P174:P176 AF174:AF177 L174:L177 V174:V177 AP174:AP177 N174:N176 AR174:AR176 F174:F176 B181 AL174:AL176 Z180 L185 AH185 H174:H176 T185 AF179 AV174:AV176 B185 AP183" xr:uid="{00000000-0002-0000-0100-00000A000000}">
      <formula1>INDIRECT($A$171)</formula1>
    </dataValidation>
    <dataValidation type="list" allowBlank="1" showInputMessage="1" showErrorMessage="1" sqref="B207 AP202 AV209 AV205 AT205 AP209 AR209 AR205 AP205 AX209 AX205 AP200 AF200 L202 AN209 AN205 AD209 AD205 T207 J207 AH209 AH205 AF208:AF211 AF205 H210:I210 D210 D207 L204 V200 B204 B202 B200 AT209 V205 AJ205 P207 F207 Z205 H207 V202 V209 AF202 L200 N207 L207 R207 AL209 AL205 AB209 AB205 X209 X205" xr:uid="{00000000-0002-0000-0100-00000B000000}">
      <formula1>INDIRECT($A$198)</formula1>
    </dataValidation>
    <dataValidation type="list" allowBlank="1" showInputMessage="1" showErrorMessage="1" sqref="AF235:AN235 B237 AP235 V229:AD229 L227 AF237:AN237 AP233 AP231 B227:J227 B229:J229 L231 AP229 V233 L235:T235 B235 L229 AP227:AX227 AF231 V235:AD235 V231 B231:J231 AP237 L233 B233:J233 V227:AD227 AF233 L237:T237 AF227:AN227 AF229:AN229 V237:AD237" xr:uid="{00000000-0002-0000-0100-00000C000000}">
      <formula1>INDIRECT($A$225)</formula1>
    </dataValidation>
    <dataValidation type="list" allowBlank="1" showInputMessage="1" showErrorMessage="1" sqref="O241:R241 R62:S62 O92:R92 O126:R126 O159:R159 O186:R186 O213:R213 O27:R27" xr:uid="{00000000-0002-0000-0100-00000D000000}">
      <formula1>Asignaturas2</formula1>
    </dataValidation>
    <dataValidation type="list" allowBlank="1" showInputMessage="1" showErrorMessage="1" sqref="R63:S63 O93:R93 O127:R127 O160:R160 O187:R187 O214:R214 O242:R242" xr:uid="{00000000-0002-0000-0100-00000E000000}">
      <formula1>INDIRECT(O62)</formula1>
    </dataValidation>
    <dataValidation type="list" allowBlank="1" showInputMessage="1" showErrorMessage="1" sqref="R64:S64 O94:R94 O128:R128 O161:R161 O188:R188 O215:R215 O243:R243" xr:uid="{00000000-0002-0000-0100-00000F000000}">
      <formula1>INDIRECT(O62)</formula1>
    </dataValidation>
    <dataValidation type="list" allowBlank="1" showInputMessage="1" showErrorMessage="1" sqref="R65:S65 O95:R95 O129:R129 O162:R162 O189:R189 O216:R216" xr:uid="{00000000-0002-0000-0100-000010000000}">
      <formula1>INDIRECT(O62)</formula1>
    </dataValidation>
    <dataValidation type="list" allowBlank="1" showInputMessage="1" showErrorMessage="1" sqref="R66:S66 O96:R96 O130:R130 O163:R163 O190:R190 O217:R217 O245:R245" xr:uid="{00000000-0002-0000-0100-000011000000}">
      <formula1>INDIRECT(O62)</formula1>
    </dataValidation>
    <dataValidation type="list" allowBlank="1" showInputMessage="1" showErrorMessage="1" sqref="O97:R97 O131:R131 O164:R164 O191:R191 O218:R218 R67:S67 O246:R246" xr:uid="{00000000-0002-0000-0100-000012000000}">
      <formula1>INDIRECT(O62)</formula1>
    </dataValidation>
    <dataValidation type="list" allowBlank="1" showInputMessage="1" showErrorMessage="1" sqref="AX109 D122 P122 R122 R118 AP122 AX118 AV118 V113:V116 AP118 AT122 AV122 AT118 AR118 B113 J109 D118 H122 B115:B116 AN120 AB118 AL120 AX122 AN109 AF109 L113:L116 H109 D109 R109 X109 V109 T109 AV109 AR109 AP109 AJ120 AR122 AH120 B122 L118 AB122 B109 L122 P118 AB109 N118 AL109 AD109 AF113:AF118 X118 N109 F122 L109 V118 AH109 H118 B118 Z118 F118 AP113:AP116" xr:uid="{00000000-0002-0000-0100-000013000000}">
      <formula1>INDIRECT($A$106)</formula1>
    </dataValidation>
    <dataValidation type="list" allowBlank="1" showInputMessage="1" showErrorMessage="1" sqref="AD84:AD86 AF88:AF90 H88:H90 AL84:AL86 BH87:CU87 AP88:AP90 J88:J90 R88:R90 Z88:Z90 AX88:AX90 AD88:AD90 P88:P90 AB88:AB90 AR88:AR90 AP14 AL88:AL90 J84:J86 AJ88:AJ90 D88:D90 H84:H86 AB84:AB86 AV84:AV86 R84:R86 T88:T90 AN88:AN90 AH88:AH90 AT88:AT90 AV88:AV90 L88:L90 AP25" xr:uid="{00000000-0002-0000-0100-000014000000}">
      <formula1>INDIRECT(#REF!)</formula1>
    </dataValidation>
    <dataValidation type="list" allowBlank="1" showInputMessage="1" showErrorMessage="1" sqref="D84:D86 B84:B86 L84:L86 N84:N86 AH84:AH86 V84:V86 X84:X86 AP84:AP86 AR84:AR86 AF84:AF86 F84:F86 X88:X90 Z84:Z86 AT84:AT86 P84:P86 AJ84:AJ86" xr:uid="{00000000-0002-0000-0100-000015000000}">
      <formula1>GIM_3</formula1>
    </dataValidation>
    <dataValidation type="list" allowBlank="1" showInputMessage="1" showErrorMessage="1" sqref="O244:R244" xr:uid="{00000000-0002-0000-0100-000016000000}">
      <formula1>GIM__8</formula1>
    </dataValidation>
    <dataValidation type="list" allowBlank="1" showInputMessage="1" showErrorMessage="1" sqref="O28:R32" xr:uid="{00000000-0002-0000-0100-000017000000}">
      <formula1>INDIRECT($O$21)</formula1>
    </dataValidation>
  </dataValidations>
  <pageMargins left="0.35" right="0.23622047244094491" top="0.91" bottom="0.37" header="0.31" footer="0"/>
  <pageSetup paperSize="9" scale="55" fitToHeight="0" orientation="landscape" r:id="rId1"/>
  <headerFooter alignWithMargins="0">
    <oddHeader>&amp;C&amp;"Arial Narrow,Negrita"&amp;18ESCUELA POLITECNICA SUPERIOR&amp;"Arial,Normal"&amp;10
&amp;"Arial Narrow,Negrita"&amp;16Campus Vena&amp;R&amp;"Chiller,Normal"&amp;24&amp;K05-044&amp;A</oddHeader>
    <oddFooter>&amp;L&amp;12ESCUELA POLITECNICA SUPERIOR - Campus Vena&amp;11
&amp;9SUBDIRECCION  DE  ORDENACION  ACADEMICA Y PROFESORADO&amp;R&amp;12&amp;D</oddFooter>
  </headerFooter>
  <rowBreaks count="7" manualBreakCount="7">
    <brk id="33" max="51" man="1"/>
    <brk id="67" max="51" man="1"/>
    <brk id="102" max="51" man="1"/>
    <brk id="136" max="16383" man="1"/>
    <brk id="165" max="51" man="1"/>
    <brk id="194" max="16383" man="1"/>
    <brk id="221" max="1638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18000000}">
          <x14:formula1>
            <xm:f>Aulas!$B$2:$B$26</xm:f>
          </x14:formula1>
          <xm:sqref>AN231:AO231 AN233:AO233 AX235:AY235 AX237:AY237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G258"/>
  <sheetViews>
    <sheetView view="pageBreakPreview" topLeftCell="A4" zoomScale="98" zoomScaleNormal="91" zoomScaleSheetLayoutView="98" zoomScalePageLayoutView="70" workbookViewId="0">
      <selection activeCell="E82" sqref="E82:E85"/>
    </sheetView>
  </sheetViews>
  <sheetFormatPr baseColWidth="10" defaultRowHeight="13.2" x14ac:dyDescent="0.25"/>
  <cols>
    <col min="1" max="1" width="15.6640625" customWidth="1"/>
    <col min="2" max="6" width="3.5546875" customWidth="1"/>
    <col min="7" max="7" width="4.5546875" customWidth="1"/>
    <col min="8" max="8" width="3.5546875" customWidth="1"/>
    <col min="9" max="9" width="4.5546875" customWidth="1"/>
    <col min="10" max="12" width="3.5546875" customWidth="1"/>
    <col min="13" max="13" width="4.44140625" customWidth="1"/>
    <col min="14" max="15" width="3.5546875" customWidth="1"/>
    <col min="16" max="16" width="4.33203125" customWidth="1"/>
    <col min="17" max="18" width="3.5546875" customWidth="1"/>
    <col min="19" max="19" width="4.44140625" customWidth="1"/>
    <col min="20" max="24" width="3.5546875" customWidth="1"/>
    <col min="25" max="25" width="4.44140625" customWidth="1"/>
    <col min="26" max="30" width="3.5546875" customWidth="1"/>
    <col min="31" max="31" width="4.33203125" customWidth="1"/>
    <col min="32" max="32" width="0.109375" customWidth="1"/>
    <col min="33" max="33" width="4" customWidth="1"/>
    <col min="34" max="34" width="4.6640625" customWidth="1"/>
    <col min="35" max="216" width="9.109375" customWidth="1"/>
  </cols>
  <sheetData>
    <row r="1" spans="1:31" s="1" customFormat="1" ht="31.5" customHeight="1" thickBot="1" x14ac:dyDescent="0.45">
      <c r="A1" s="1094" t="str">
        <f>VLOOKUP(A4,ASIGNATURAS!$A$2:$D$151, 3, FALSE)</f>
        <v>1º Grado en Ingeniería de Organización Industrial</v>
      </c>
      <c r="B1" s="1095"/>
      <c r="C1" s="1095"/>
      <c r="D1" s="1095"/>
      <c r="E1" s="1095"/>
      <c r="F1" s="1095"/>
      <c r="G1" s="1095"/>
      <c r="H1" s="1095"/>
      <c r="I1" s="1095"/>
      <c r="J1" s="1095"/>
      <c r="K1" s="1095"/>
      <c r="L1" s="1095"/>
      <c r="M1" s="1095"/>
      <c r="N1" s="1095"/>
      <c r="O1" s="1095"/>
      <c r="P1" s="1095"/>
      <c r="Q1" s="1095"/>
      <c r="R1" s="1095"/>
      <c r="S1" s="1095"/>
      <c r="T1" s="1095"/>
      <c r="U1" s="1095"/>
      <c r="V1" s="1095"/>
      <c r="W1" s="1095"/>
      <c r="X1" s="1095"/>
      <c r="Y1" s="1096"/>
      <c r="Z1" s="1076" t="str">
        <f>Aulas!G5</f>
        <v>Curso 2024-2025</v>
      </c>
      <c r="AA1" s="1077"/>
      <c r="AB1" s="1077"/>
      <c r="AC1" s="1077"/>
      <c r="AD1" s="1077"/>
      <c r="AE1" s="1078"/>
    </row>
    <row r="2" spans="1:31" s="8" customFormat="1" ht="23.25" customHeight="1" thickBot="1" x14ac:dyDescent="0.45">
      <c r="A2" s="1083" t="str">
        <f>VLOOKUP(A4,ASIGNATURAS!$A$2:$D$151, 2, FALSE)</f>
        <v>Semestre temporal: 1º        (1º Semestre Académico)</v>
      </c>
      <c r="B2" s="1084"/>
      <c r="C2" s="1084"/>
      <c r="D2" s="1084"/>
      <c r="E2" s="1084"/>
      <c r="F2" s="1084"/>
      <c r="G2" s="1084"/>
      <c r="H2" s="1084"/>
      <c r="I2" s="1084"/>
      <c r="J2" s="1084"/>
      <c r="K2" s="1084"/>
      <c r="L2" s="1084"/>
      <c r="M2" s="1084"/>
      <c r="N2" s="1084"/>
      <c r="O2" s="1084"/>
      <c r="P2" s="1084"/>
      <c r="Q2" s="1084"/>
      <c r="R2" s="1084"/>
      <c r="S2" s="1084"/>
      <c r="T2" s="1084"/>
      <c r="U2" s="1084"/>
      <c r="V2" s="1084"/>
      <c r="W2" s="1084"/>
      <c r="X2" s="1084"/>
      <c r="Y2" s="1085"/>
      <c r="Z2" s="2149" t="s">
        <v>152</v>
      </c>
      <c r="AA2" s="1193"/>
      <c r="AB2" s="1193"/>
      <c r="AC2" s="1193"/>
      <c r="AD2" s="1193"/>
      <c r="AE2" s="1194"/>
    </row>
    <row r="3" spans="1:31" s="8" customFormat="1" ht="23.25" customHeight="1" thickBot="1" x14ac:dyDescent="0.45">
      <c r="A3" s="1083" t="s">
        <v>142</v>
      </c>
      <c r="B3" s="1084"/>
      <c r="C3" s="1084"/>
      <c r="D3" s="1084"/>
      <c r="E3" s="1084"/>
      <c r="F3" s="1084"/>
      <c r="G3" s="1084"/>
      <c r="H3" s="1084"/>
      <c r="I3" s="1084"/>
      <c r="J3" s="1084"/>
      <c r="K3" s="1084"/>
      <c r="L3" s="1084"/>
      <c r="M3" s="1084"/>
      <c r="N3" s="1084"/>
      <c r="O3" s="1084"/>
      <c r="P3" s="1084"/>
      <c r="Q3" s="1084"/>
      <c r="R3" s="1084"/>
      <c r="S3" s="1084"/>
      <c r="T3" s="1084"/>
      <c r="U3" s="1084"/>
      <c r="V3" s="1084"/>
      <c r="W3" s="1084"/>
      <c r="X3" s="1084"/>
      <c r="Y3" s="1085"/>
      <c r="Z3" s="2269"/>
      <c r="AA3" s="2270"/>
      <c r="AB3" s="2270"/>
      <c r="AC3" s="2270"/>
      <c r="AD3" s="2270"/>
      <c r="AE3" s="2271"/>
    </row>
    <row r="4" spans="1:31" ht="38.25" customHeight="1" thickBot="1" x14ac:dyDescent="0.3">
      <c r="A4" s="9" t="s">
        <v>59</v>
      </c>
    </row>
    <row r="5" spans="1:31" s="2" customFormat="1" ht="24" customHeight="1" thickBot="1" x14ac:dyDescent="0.3">
      <c r="A5" s="19" t="s">
        <v>1</v>
      </c>
      <c r="B5" s="1076" t="s">
        <v>2</v>
      </c>
      <c r="C5" s="1077"/>
      <c r="D5" s="1077"/>
      <c r="E5" s="1077"/>
      <c r="F5" s="1077"/>
      <c r="G5" s="1078"/>
      <c r="H5" s="1076" t="s">
        <v>3</v>
      </c>
      <c r="I5" s="1077"/>
      <c r="J5" s="1077"/>
      <c r="K5" s="1077"/>
      <c r="L5" s="1077"/>
      <c r="M5" s="1078"/>
      <c r="N5" s="1076" t="s">
        <v>139</v>
      </c>
      <c r="O5" s="1077"/>
      <c r="P5" s="1077"/>
      <c r="Q5" s="1077"/>
      <c r="R5" s="1077"/>
      <c r="S5" s="1078"/>
      <c r="T5" s="1076" t="s">
        <v>4</v>
      </c>
      <c r="U5" s="1077"/>
      <c r="V5" s="1077"/>
      <c r="W5" s="1077"/>
      <c r="X5" s="1077"/>
      <c r="Y5" s="1078"/>
      <c r="Z5" s="1076" t="s">
        <v>5</v>
      </c>
      <c r="AA5" s="1077"/>
      <c r="AB5" s="1077"/>
      <c r="AC5" s="1077"/>
      <c r="AD5" s="1077"/>
      <c r="AE5" s="1078"/>
    </row>
    <row r="6" spans="1:31" ht="30" customHeight="1" x14ac:dyDescent="0.3">
      <c r="A6" s="1086" t="s">
        <v>10</v>
      </c>
      <c r="B6" s="1079" t="s">
        <v>50</v>
      </c>
      <c r="C6" s="1039"/>
      <c r="D6" s="1039"/>
      <c r="E6" s="1039"/>
      <c r="F6" s="1039"/>
      <c r="G6" s="1080"/>
      <c r="H6" s="1039" t="s">
        <v>23</v>
      </c>
      <c r="I6" s="1039"/>
      <c r="J6" s="1039"/>
      <c r="K6" s="1039"/>
      <c r="L6" s="1039"/>
      <c r="M6" s="1080"/>
      <c r="N6" s="1079" t="s">
        <v>23</v>
      </c>
      <c r="O6" s="1039"/>
      <c r="P6" s="1039"/>
      <c r="Q6" s="1039"/>
      <c r="R6" s="1039"/>
      <c r="S6" s="1039"/>
      <c r="T6" s="1079" t="s">
        <v>50</v>
      </c>
      <c r="U6" s="1039"/>
      <c r="V6" s="1039"/>
      <c r="W6" s="1039"/>
      <c r="X6" s="1039"/>
      <c r="Y6" s="1080"/>
      <c r="Z6" s="1039" t="s">
        <v>1358</v>
      </c>
      <c r="AA6" s="1039"/>
      <c r="AB6" s="1039"/>
      <c r="AC6" s="1039"/>
      <c r="AD6" s="1039"/>
      <c r="AE6" s="1080"/>
    </row>
    <row r="7" spans="1:31" ht="30" customHeight="1" x14ac:dyDescent="0.25">
      <c r="A7" s="1087"/>
      <c r="B7" s="1067" t="s">
        <v>152</v>
      </c>
      <c r="C7" s="944"/>
      <c r="D7" s="944"/>
      <c r="E7" s="944"/>
      <c r="F7" s="944"/>
      <c r="G7" s="1068"/>
      <c r="H7" s="1067" t="s">
        <v>152</v>
      </c>
      <c r="I7" s="944"/>
      <c r="J7" s="944"/>
      <c r="K7" s="944"/>
      <c r="L7" s="944"/>
      <c r="M7" s="1068"/>
      <c r="N7" s="1067" t="s">
        <v>152</v>
      </c>
      <c r="O7" s="944"/>
      <c r="P7" s="944"/>
      <c r="Q7" s="944"/>
      <c r="R7" s="944"/>
      <c r="S7" s="1068"/>
      <c r="T7" s="1067" t="s">
        <v>152</v>
      </c>
      <c r="U7" s="944"/>
      <c r="V7" s="944"/>
      <c r="W7" s="944"/>
      <c r="X7" s="944"/>
      <c r="Y7" s="1068"/>
      <c r="Z7" s="1067" t="s">
        <v>832</v>
      </c>
      <c r="AA7" s="944"/>
      <c r="AB7" s="944"/>
      <c r="AC7" s="944"/>
      <c r="AD7" s="944"/>
      <c r="AE7" s="1068"/>
    </row>
    <row r="8" spans="1:31" ht="33" customHeight="1" x14ac:dyDescent="0.3">
      <c r="A8" s="1087" t="s">
        <v>11</v>
      </c>
      <c r="B8" s="1069" t="s">
        <v>12</v>
      </c>
      <c r="C8" s="940"/>
      <c r="D8" s="940"/>
      <c r="E8" s="940"/>
      <c r="F8" s="940"/>
      <c r="G8" s="1070"/>
      <c r="H8" s="940" t="s">
        <v>79</v>
      </c>
      <c r="I8" s="940"/>
      <c r="J8" s="940"/>
      <c r="K8" s="940"/>
      <c r="L8" s="940"/>
      <c r="M8" s="1070"/>
      <c r="N8" s="1069" t="s">
        <v>79</v>
      </c>
      <c r="O8" s="940"/>
      <c r="P8" s="940"/>
      <c r="Q8" s="940"/>
      <c r="R8" s="940"/>
      <c r="S8" s="940"/>
      <c r="T8" s="1069" t="s">
        <v>12</v>
      </c>
      <c r="U8" s="940"/>
      <c r="V8" s="940"/>
      <c r="W8" s="940"/>
      <c r="X8" s="940"/>
      <c r="Y8" s="1070"/>
      <c r="Z8" s="207" t="s">
        <v>579</v>
      </c>
      <c r="AA8" s="1115" t="s">
        <v>1337</v>
      </c>
      <c r="AB8" s="847"/>
      <c r="AC8" s="2294"/>
      <c r="AD8" s="206" t="s">
        <v>581</v>
      </c>
      <c r="AE8" s="2284" t="s">
        <v>1336</v>
      </c>
    </row>
    <row r="9" spans="1:31" ht="30" customHeight="1" x14ac:dyDescent="0.25">
      <c r="A9" s="1087"/>
      <c r="B9" s="1067" t="s">
        <v>152</v>
      </c>
      <c r="C9" s="944"/>
      <c r="D9" s="944"/>
      <c r="E9" s="944"/>
      <c r="F9" s="944"/>
      <c r="G9" s="1068"/>
      <c r="H9" s="1067" t="s">
        <v>152</v>
      </c>
      <c r="I9" s="944"/>
      <c r="J9" s="944"/>
      <c r="K9" s="944"/>
      <c r="L9" s="944"/>
      <c r="M9" s="1068"/>
      <c r="N9" s="1067" t="s">
        <v>152</v>
      </c>
      <c r="O9" s="944"/>
      <c r="P9" s="944"/>
      <c r="Q9" s="944"/>
      <c r="R9" s="944"/>
      <c r="S9" s="1068"/>
      <c r="T9" s="1067" t="s">
        <v>152</v>
      </c>
      <c r="U9" s="944"/>
      <c r="V9" s="944"/>
      <c r="W9" s="944"/>
      <c r="X9" s="944"/>
      <c r="Y9" s="1068"/>
      <c r="Z9" s="1118" t="s">
        <v>1358</v>
      </c>
      <c r="AA9" s="1116"/>
      <c r="AB9" s="1224"/>
      <c r="AC9" s="2294"/>
      <c r="AD9" s="1109" t="s">
        <v>1358</v>
      </c>
      <c r="AE9" s="2285"/>
    </row>
    <row r="10" spans="1:31" ht="51" customHeight="1" x14ac:dyDescent="0.25">
      <c r="A10" s="1087" t="s">
        <v>6</v>
      </c>
      <c r="B10" s="164" t="s">
        <v>579</v>
      </c>
      <c r="C10" s="1360" t="s">
        <v>752</v>
      </c>
      <c r="D10" s="206" t="s">
        <v>580</v>
      </c>
      <c r="E10" s="2208" t="s">
        <v>149</v>
      </c>
      <c r="F10" s="123"/>
      <c r="G10" s="2237"/>
      <c r="H10" s="166" t="s">
        <v>579</v>
      </c>
      <c r="I10" s="1360" t="s">
        <v>165</v>
      </c>
      <c r="J10" s="165" t="s">
        <v>580</v>
      </c>
      <c r="K10" s="1360" t="s">
        <v>674</v>
      </c>
      <c r="L10" s="206" t="s">
        <v>581</v>
      </c>
      <c r="M10" s="2224" t="s">
        <v>149</v>
      </c>
      <c r="N10" s="164" t="s">
        <v>579</v>
      </c>
      <c r="O10" s="1360" t="s">
        <v>674</v>
      </c>
      <c r="P10" s="789"/>
      <c r="Q10" s="2241"/>
      <c r="R10" s="344"/>
      <c r="S10" s="2291"/>
      <c r="T10" s="695"/>
      <c r="U10" s="2194"/>
      <c r="V10" s="2289" t="s">
        <v>1284</v>
      </c>
      <c r="W10" s="2290"/>
      <c r="X10" s="789"/>
      <c r="Y10" s="2258"/>
      <c r="Z10" s="1118"/>
      <c r="AA10" s="1116"/>
      <c r="AB10" s="1224"/>
      <c r="AC10" s="2294"/>
      <c r="AD10" s="1109"/>
      <c r="AE10" s="2285"/>
    </row>
    <row r="11" spans="1:31" ht="47.4" customHeight="1" x14ac:dyDescent="0.25">
      <c r="A11" s="1087"/>
      <c r="B11" s="1191" t="s">
        <v>50</v>
      </c>
      <c r="C11" s="1360"/>
      <c r="D11" s="1221" t="s">
        <v>12</v>
      </c>
      <c r="E11" s="1226"/>
      <c r="F11" s="2246"/>
      <c r="G11" s="2237"/>
      <c r="H11" s="1219" t="s">
        <v>23</v>
      </c>
      <c r="I11" s="1360"/>
      <c r="J11" s="1221" t="s">
        <v>79</v>
      </c>
      <c r="K11" s="1360"/>
      <c r="L11" s="1221" t="s">
        <v>12</v>
      </c>
      <c r="M11" s="2225"/>
      <c r="N11" s="1191" t="s">
        <v>79</v>
      </c>
      <c r="O11" s="1360"/>
      <c r="P11" s="2239"/>
      <c r="Q11" s="2242"/>
      <c r="R11" s="2245"/>
      <c r="S11" s="2291"/>
      <c r="T11" s="2209"/>
      <c r="U11" s="2194"/>
      <c r="V11" s="2030" t="s">
        <v>147</v>
      </c>
      <c r="W11" s="2031"/>
      <c r="X11" s="2239"/>
      <c r="Y11" s="2258"/>
      <c r="Z11" s="1118"/>
      <c r="AA11" s="1116"/>
      <c r="AB11" s="1240"/>
      <c r="AC11" s="2295"/>
      <c r="AD11" s="1109"/>
      <c r="AE11" s="2285"/>
    </row>
    <row r="12" spans="1:31" ht="30" customHeight="1" x14ac:dyDescent="0.25">
      <c r="A12" s="1087" t="s">
        <v>7</v>
      </c>
      <c r="B12" s="1191"/>
      <c r="C12" s="1360"/>
      <c r="D12" s="1221"/>
      <c r="E12" s="1226"/>
      <c r="F12" s="2246"/>
      <c r="G12" s="2237"/>
      <c r="H12" s="1219"/>
      <c r="I12" s="1360"/>
      <c r="J12" s="1221"/>
      <c r="K12" s="1360"/>
      <c r="L12" s="1221"/>
      <c r="M12" s="2225"/>
      <c r="N12" s="1191"/>
      <c r="O12" s="1360"/>
      <c r="P12" s="2239"/>
      <c r="Q12" s="2242"/>
      <c r="R12" s="2245"/>
      <c r="S12" s="2291"/>
      <c r="T12" s="2209"/>
      <c r="U12" s="2194"/>
      <c r="V12" s="913" t="s">
        <v>636</v>
      </c>
      <c r="W12" s="2287" t="s">
        <v>1337</v>
      </c>
      <c r="X12" s="2239"/>
      <c r="Y12" s="2258"/>
      <c r="Z12" s="1118"/>
      <c r="AA12" s="1116"/>
      <c r="AD12" s="1109"/>
      <c r="AE12" s="2285"/>
    </row>
    <row r="13" spans="1:31" ht="30" customHeight="1" x14ac:dyDescent="0.25">
      <c r="A13" s="1087"/>
      <c r="B13" s="1192"/>
      <c r="C13" s="1361"/>
      <c r="D13" s="1222"/>
      <c r="E13" s="1227"/>
      <c r="F13" s="2247"/>
      <c r="G13" s="2238"/>
      <c r="H13" s="1220"/>
      <c r="I13" s="1361"/>
      <c r="J13" s="1222"/>
      <c r="K13" s="1361"/>
      <c r="L13" s="1222"/>
      <c r="M13" s="2226"/>
      <c r="N13" s="1192"/>
      <c r="O13" s="1361"/>
      <c r="P13" s="2240"/>
      <c r="Q13" s="2243"/>
      <c r="R13" s="2260"/>
      <c r="S13" s="2292"/>
      <c r="T13" s="2210"/>
      <c r="U13" s="2195"/>
      <c r="V13" s="2044" t="s">
        <v>1284</v>
      </c>
      <c r="W13" s="2287"/>
      <c r="X13" s="2240"/>
      <c r="Y13" s="2259"/>
      <c r="Z13" s="1119"/>
      <c r="AA13" s="1117"/>
      <c r="AD13" s="1184"/>
      <c r="AE13" s="2286"/>
    </row>
    <row r="14" spans="1:31" ht="33" customHeight="1" x14ac:dyDescent="0.25">
      <c r="A14" s="1087" t="s">
        <v>8</v>
      </c>
      <c r="B14" s="164" t="s">
        <v>579</v>
      </c>
      <c r="C14" s="2208" t="s">
        <v>149</v>
      </c>
      <c r="D14" s="848" t="s">
        <v>580</v>
      </c>
      <c r="E14" s="2264" t="s">
        <v>752</v>
      </c>
      <c r="F14" s="79"/>
      <c r="G14" s="414"/>
      <c r="H14" s="2261"/>
      <c r="I14" s="2262"/>
      <c r="J14" s="2262"/>
      <c r="K14" s="2263"/>
      <c r="L14" s="166" t="s">
        <v>580</v>
      </c>
      <c r="M14" s="2224" t="s">
        <v>165</v>
      </c>
      <c r="R14" s="344"/>
      <c r="S14" s="2279"/>
      <c r="T14" s="33"/>
      <c r="V14" s="2044"/>
      <c r="W14" s="2287"/>
      <c r="X14" s="790"/>
      <c r="Y14" s="2258"/>
      <c r="Z14" s="2272"/>
      <c r="AA14" s="2273"/>
      <c r="AB14" s="2273"/>
      <c r="AC14" s="2273"/>
      <c r="AD14" s="2273"/>
      <c r="AE14" s="2274"/>
    </row>
    <row r="15" spans="1:31" ht="30" customHeight="1" x14ac:dyDescent="0.25">
      <c r="A15" s="1087"/>
      <c r="B15" s="1191" t="s">
        <v>12</v>
      </c>
      <c r="C15" s="1226"/>
      <c r="D15" s="2267" t="s">
        <v>50</v>
      </c>
      <c r="E15" s="2265"/>
      <c r="F15" s="79"/>
      <c r="G15" s="414"/>
      <c r="H15" s="2283"/>
      <c r="I15" s="1007"/>
      <c r="J15" s="1007"/>
      <c r="K15" s="1007"/>
      <c r="L15" s="1221" t="s">
        <v>23</v>
      </c>
      <c r="M15" s="2225"/>
      <c r="R15" s="2245"/>
      <c r="S15" s="2279"/>
      <c r="T15" s="33"/>
      <c r="V15" s="2044"/>
      <c r="W15" s="2287"/>
      <c r="X15" s="2239"/>
      <c r="Y15" s="2258"/>
      <c r="Z15" s="2275"/>
      <c r="AA15" s="2276"/>
      <c r="AB15" s="2276"/>
      <c r="AC15" s="2276"/>
      <c r="AD15" s="2276"/>
      <c r="AE15" s="2277"/>
    </row>
    <row r="16" spans="1:31" ht="30" customHeight="1" x14ac:dyDescent="0.3">
      <c r="A16" s="1087" t="s">
        <v>9</v>
      </c>
      <c r="B16" s="1191"/>
      <c r="C16" s="1226"/>
      <c r="D16" s="2267"/>
      <c r="E16" s="2265"/>
      <c r="F16" s="79"/>
      <c r="G16" s="414"/>
      <c r="H16" s="2261"/>
      <c r="I16" s="2262"/>
      <c r="J16" s="2262"/>
      <c r="K16" s="2263"/>
      <c r="L16" s="1221"/>
      <c r="M16" s="2225"/>
      <c r="N16" s="96"/>
      <c r="O16" s="84"/>
      <c r="P16" s="84"/>
      <c r="Q16" s="84"/>
      <c r="R16" s="2245"/>
      <c r="S16" s="2279"/>
      <c r="T16" s="33"/>
      <c r="V16" s="2044"/>
      <c r="W16" s="2287"/>
      <c r="X16" s="2239"/>
      <c r="Y16" s="2258"/>
      <c r="Z16" s="2275"/>
      <c r="AA16" s="2276"/>
      <c r="AB16" s="2276"/>
      <c r="AC16" s="2276"/>
      <c r="AD16" s="2276"/>
      <c r="AE16" s="2277"/>
    </row>
    <row r="17" spans="1:31" ht="30" customHeight="1" thickBot="1" x14ac:dyDescent="0.3">
      <c r="A17" s="1171"/>
      <c r="B17" s="2221"/>
      <c r="C17" s="2222"/>
      <c r="D17" s="2268"/>
      <c r="E17" s="2266"/>
      <c r="F17" s="80"/>
      <c r="G17" s="415"/>
      <c r="H17" s="2280"/>
      <c r="I17" s="2281"/>
      <c r="J17" s="2281"/>
      <c r="K17" s="2281"/>
      <c r="L17" s="1255"/>
      <c r="M17" s="2282"/>
      <c r="N17" s="298"/>
      <c r="O17" s="298"/>
      <c r="P17" s="298"/>
      <c r="Q17" s="298"/>
      <c r="R17" s="2245"/>
      <c r="S17" s="2279"/>
      <c r="T17" s="34"/>
      <c r="U17" s="35"/>
      <c r="V17" s="2244"/>
      <c r="W17" s="2288"/>
      <c r="X17" s="2239"/>
      <c r="Y17" s="2259"/>
      <c r="Z17" s="2278"/>
      <c r="AA17" s="1550"/>
      <c r="AB17" s="1550"/>
      <c r="AC17" s="1550"/>
      <c r="AD17" s="1550"/>
      <c r="AE17" s="1551"/>
    </row>
    <row r="18" spans="1:31" ht="41.25" customHeight="1" thickBot="1" x14ac:dyDescent="0.3">
      <c r="B18" s="231"/>
      <c r="R18" s="231"/>
      <c r="S18" s="231"/>
      <c r="X18" s="231"/>
      <c r="Y18" s="231"/>
    </row>
    <row r="19" spans="1:31" ht="18.75" customHeight="1" thickBot="1" x14ac:dyDescent="0.3">
      <c r="A19" s="1190" t="s">
        <v>218</v>
      </c>
      <c r="B19" s="1146"/>
      <c r="C19" s="1190" t="s">
        <v>219</v>
      </c>
      <c r="D19" s="1146"/>
      <c r="E19" s="1146"/>
      <c r="F19" s="1146"/>
      <c r="G19" s="1146"/>
      <c r="H19" s="1146"/>
      <c r="I19" s="1146"/>
      <c r="J19" s="1146"/>
      <c r="K19" s="1146"/>
      <c r="L19" s="58"/>
      <c r="M19" s="2301" t="s">
        <v>318</v>
      </c>
      <c r="N19" s="1145"/>
      <c r="O19" s="1190" t="s">
        <v>143</v>
      </c>
      <c r="P19" s="1147"/>
      <c r="Q19" s="1190" t="s">
        <v>167</v>
      </c>
      <c r="R19" s="1146"/>
      <c r="S19" s="1146"/>
      <c r="T19" s="1146"/>
      <c r="U19" s="1146"/>
      <c r="V19" s="1146"/>
      <c r="W19" s="1146"/>
      <c r="X19" s="1146"/>
      <c r="Y19" s="1146"/>
      <c r="Z19" s="1146"/>
      <c r="AA19" s="1146"/>
      <c r="AB19" s="1146"/>
      <c r="AC19" s="1146"/>
      <c r="AD19" s="1146"/>
      <c r="AE19" s="1147"/>
    </row>
    <row r="20" spans="1:31" ht="13.8" x14ac:dyDescent="0.25">
      <c r="A20" s="1400" t="str">
        <f>VLOOKUP(M20,ASIGNATURAS!$F$1:$L$1022, 3, FALSE)</f>
        <v>CALCULO</v>
      </c>
      <c r="B20" s="2254"/>
      <c r="C20" s="1398" t="str">
        <f>VLOOKUP(M20,ASIGNATURAS!$F$1:$L$1022, 4, FALSE)</f>
        <v>Cálculo</v>
      </c>
      <c r="D20" s="1398"/>
      <c r="E20" s="1398"/>
      <c r="F20" s="1398"/>
      <c r="G20" s="1398"/>
      <c r="H20" s="1398"/>
      <c r="I20" s="1398"/>
      <c r="J20" s="1398"/>
      <c r="K20" s="1398"/>
      <c r="L20" s="1398"/>
      <c r="M20" s="2253">
        <v>9115</v>
      </c>
      <c r="N20" s="2253"/>
      <c r="O20" s="2253">
        <f>VLOOKUP(M20,ASIGNATURAS!$F$1:$L$1022, 5, FALSE)</f>
        <v>6</v>
      </c>
      <c r="P20" s="2253"/>
      <c r="Q20" s="1398" t="str">
        <f>VLOOKUP(M20,ASIGNATURAS!$F$1:$L$1022, 6, FALSE)</f>
        <v>Jose Luis Fernández, Silvia Alvárez de Eulate</v>
      </c>
      <c r="R20" s="1398"/>
      <c r="S20" s="1398"/>
      <c r="T20" s="1398"/>
      <c r="U20" s="1398"/>
      <c r="V20" s="1398"/>
      <c r="W20" s="1398"/>
      <c r="X20" s="1398"/>
      <c r="Y20" s="1398"/>
      <c r="Z20" s="1398"/>
      <c r="AA20" s="1398"/>
      <c r="AB20" s="1398"/>
      <c r="AC20" s="1398"/>
      <c r="AD20" s="1398"/>
      <c r="AE20" s="1399"/>
    </row>
    <row r="21" spans="1:31" ht="13.8" x14ac:dyDescent="0.25">
      <c r="A21" s="1065" t="str">
        <f>VLOOKUP(M21,ASIGNATURAS!$F$1:$L$1022, 3, FALSE)</f>
        <v>FISICA I</v>
      </c>
      <c r="B21" s="1245"/>
      <c r="C21" s="983" t="str">
        <f>VLOOKUP(M21,ASIGNATURAS!$F$1:$L$1022, 4, FALSE)</f>
        <v>Física I</v>
      </c>
      <c r="D21" s="983"/>
      <c r="E21" s="983"/>
      <c r="F21" s="983"/>
      <c r="G21" s="983"/>
      <c r="H21" s="983"/>
      <c r="I21" s="983"/>
      <c r="J21" s="983"/>
      <c r="K21" s="983"/>
      <c r="L21" s="983"/>
      <c r="M21" s="972">
        <v>9116</v>
      </c>
      <c r="N21" s="972"/>
      <c r="O21" s="972">
        <f>VLOOKUP(M21,ASIGNATURAS!$F$1:$L$1022, 5, FALSE)</f>
        <v>6</v>
      </c>
      <c r="P21" s="972"/>
      <c r="Q21" s="983" t="str">
        <f>VLOOKUP(M21,ASIGNATURAS!$F$1:$L$1022, 6, FALSE)</f>
        <v>María del Mar Chichón González</v>
      </c>
      <c r="R21" s="983"/>
      <c r="S21" s="983"/>
      <c r="T21" s="983"/>
      <c r="U21" s="983"/>
      <c r="V21" s="983"/>
      <c r="W21" s="983"/>
      <c r="X21" s="983"/>
      <c r="Y21" s="983"/>
      <c r="Z21" s="983"/>
      <c r="AA21" s="983"/>
      <c r="AB21" s="983"/>
      <c r="AC21" s="983"/>
      <c r="AD21" s="983"/>
      <c r="AE21" s="1018"/>
    </row>
    <row r="22" spans="1:31" ht="13.8" x14ac:dyDescent="0.25">
      <c r="A22" s="1065" t="str">
        <f>VLOOKUP(M22,ASIGNATURAS!$F$1:$L$1022, 3, FALSE)</f>
        <v>EXP. GRAFICA I</v>
      </c>
      <c r="B22" s="1245"/>
      <c r="C22" s="983" t="str">
        <f>VLOOKUP(M22,ASIGNATURAS!$F$1:$L$1022, 4, FALSE)</f>
        <v xml:space="preserve">Expresión Gráfica E/I (Español/Inglés) </v>
      </c>
      <c r="D22" s="983"/>
      <c r="E22" s="983"/>
      <c r="F22" s="983"/>
      <c r="G22" s="983"/>
      <c r="H22" s="983"/>
      <c r="I22" s="983"/>
      <c r="J22" s="983"/>
      <c r="K22" s="983"/>
      <c r="L22" s="983"/>
      <c r="M22" s="972">
        <v>9117</v>
      </c>
      <c r="N22" s="972"/>
      <c r="O22" s="972">
        <f>VLOOKUP(M22,ASIGNATURAS!$F$1:$L$1022, 5, FALSE)</f>
        <v>6</v>
      </c>
      <c r="P22" s="972"/>
      <c r="Q22" s="983" t="str">
        <f>VLOOKUP(M22,ASIGNATURAS!$F$1:$L$1022, 6, FALSE)</f>
        <v>M. Esther Baños García, Esteban García</v>
      </c>
      <c r="R22" s="983"/>
      <c r="S22" s="983"/>
      <c r="T22" s="983"/>
      <c r="U22" s="983"/>
      <c r="V22" s="983"/>
      <c r="W22" s="983"/>
      <c r="X22" s="983"/>
      <c r="Y22" s="983"/>
      <c r="Z22" s="983"/>
      <c r="AA22" s="983"/>
      <c r="AB22" s="983"/>
      <c r="AC22" s="983"/>
      <c r="AD22" s="983"/>
      <c r="AE22" s="1018"/>
    </row>
    <row r="23" spans="1:31" ht="13.8" x14ac:dyDescent="0.25">
      <c r="A23" s="1065" t="str">
        <f>VLOOKUP(M23,ASIGNATURAS!$F$1:$L$1022, 3, FALSE)</f>
        <v>INFORMATICA</v>
      </c>
      <c r="B23" s="1245"/>
      <c r="C23" s="983" t="str">
        <f>VLOOKUP(M23,ASIGNATURAS!$F$1:$L$1022, 4, FALSE)</f>
        <v>Informática Básica</v>
      </c>
      <c r="D23" s="983"/>
      <c r="E23" s="983"/>
      <c r="F23" s="983"/>
      <c r="G23" s="983"/>
      <c r="H23" s="983"/>
      <c r="I23" s="983"/>
      <c r="J23" s="983"/>
      <c r="K23" s="983"/>
      <c r="L23" s="983"/>
      <c r="M23" s="972">
        <v>9118</v>
      </c>
      <c r="N23" s="972"/>
      <c r="O23" s="972">
        <f>VLOOKUP(M23,ASIGNATURAS!$F$1:$L$1022, 5, FALSE)</f>
        <v>6</v>
      </c>
      <c r="P23" s="972"/>
      <c r="Q23" s="983" t="str">
        <f>VLOOKUP(M23,ASIGNATURAS!$F$1:$L$1022, 6, FALSE)</f>
        <v>Ángel Arroyo Puente,</v>
      </c>
      <c r="R23" s="983"/>
      <c r="S23" s="983"/>
      <c r="T23" s="983"/>
      <c r="U23" s="983"/>
      <c r="V23" s="983"/>
      <c r="W23" s="983"/>
      <c r="X23" s="983"/>
      <c r="Y23" s="983"/>
      <c r="Z23" s="983"/>
      <c r="AA23" s="983"/>
      <c r="AB23" s="983"/>
      <c r="AC23" s="983"/>
      <c r="AD23" s="983"/>
      <c r="AE23" s="1018"/>
    </row>
    <row r="24" spans="1:31" ht="14.4" thickBot="1" x14ac:dyDescent="0.3">
      <c r="A24" s="1097" t="str">
        <f>VLOOKUP(M24,ASIGNATURAS!$F$1:$L$1022, 3, FALSE)</f>
        <v>QUIMICA</v>
      </c>
      <c r="B24" s="1280"/>
      <c r="C24" s="1089" t="str">
        <f>VLOOKUP(M24,ASIGNATURAS!$F$1:$L$1022, 4, FALSE)</f>
        <v xml:space="preserve">Química </v>
      </c>
      <c r="D24" s="1089"/>
      <c r="E24" s="1089"/>
      <c r="F24" s="1089"/>
      <c r="G24" s="1089"/>
      <c r="H24" s="1089"/>
      <c r="I24" s="1089"/>
      <c r="J24" s="1089"/>
      <c r="K24" s="1089"/>
      <c r="L24" s="1089"/>
      <c r="M24" s="1279">
        <v>9119</v>
      </c>
      <c r="N24" s="1279"/>
      <c r="O24" s="1279">
        <f>VLOOKUP(M24,ASIGNATURAS!$F$1:$L$1022, 5, FALSE)</f>
        <v>6</v>
      </c>
      <c r="P24" s="1279"/>
      <c r="Q24" s="1089" t="str">
        <f>VLOOKUP(M24,ASIGNATURAS!$F$1:$L$1022, 6, FALSE)</f>
        <v>Luis Marcos Naveira</v>
      </c>
      <c r="R24" s="1089"/>
      <c r="S24" s="1089"/>
      <c r="T24" s="1089"/>
      <c r="U24" s="1089"/>
      <c r="V24" s="1089"/>
      <c r="W24" s="1089"/>
      <c r="X24" s="1089"/>
      <c r="Y24" s="1089"/>
      <c r="Z24" s="1089"/>
      <c r="AA24" s="1089"/>
      <c r="AB24" s="1089"/>
      <c r="AC24" s="1089"/>
      <c r="AD24" s="1089"/>
      <c r="AE24" s="1090"/>
    </row>
    <row r="27" spans="1:31" ht="24" customHeight="1" x14ac:dyDescent="0.25">
      <c r="A27" s="2229" t="s">
        <v>1050</v>
      </c>
      <c r="B27" s="2229"/>
      <c r="C27" s="2229"/>
      <c r="D27" s="2229"/>
      <c r="E27" s="2229"/>
    </row>
    <row r="28" spans="1:31" ht="24" customHeight="1" x14ac:dyDescent="0.25">
      <c r="A28" s="2248" t="s">
        <v>1049</v>
      </c>
      <c r="B28" s="2248"/>
      <c r="C28" s="2248"/>
      <c r="D28" s="2248"/>
      <c r="E28" s="2248"/>
    </row>
    <row r="29" spans="1:31" x14ac:dyDescent="0.25">
      <c r="A29" s="453" t="s">
        <v>1169</v>
      </c>
      <c r="B29" s="440"/>
      <c r="C29" s="440"/>
      <c r="D29" s="440"/>
      <c r="E29" s="440"/>
      <c r="F29" s="440"/>
      <c r="G29" s="440"/>
      <c r="H29" s="440"/>
      <c r="I29" s="440"/>
      <c r="J29" s="440"/>
      <c r="K29" s="440"/>
      <c r="L29" s="440"/>
      <c r="M29" s="440"/>
      <c r="N29" s="440"/>
      <c r="O29" s="440"/>
      <c r="P29" s="440"/>
      <c r="Q29" s="440"/>
      <c r="R29" s="440"/>
      <c r="S29" s="440"/>
      <c r="T29" s="440"/>
      <c r="U29" s="440"/>
      <c r="V29" s="440"/>
      <c r="W29" s="440"/>
      <c r="X29" s="440"/>
      <c r="Y29" s="440"/>
      <c r="Z29" s="440"/>
    </row>
    <row r="30" spans="1:31" x14ac:dyDescent="0.25">
      <c r="A30" s="350"/>
    </row>
    <row r="31" spans="1:31" x14ac:dyDescent="0.25">
      <c r="A31" s="57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row>
    <row r="32" spans="1:31" x14ac:dyDescent="0.25">
      <c r="A32" s="20" t="s">
        <v>217</v>
      </c>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row>
    <row r="33" spans="1:40" ht="13.8" thickBot="1"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row>
    <row r="34" spans="1:40" s="1" customFormat="1" ht="31.5" customHeight="1" thickBot="1" x14ac:dyDescent="0.45">
      <c r="A34" s="1094" t="str">
        <f>VLOOKUP(A37,ASIGNATURAS!$A$2:$D$151, 3, FALSE)</f>
        <v>1º Grado en Ingeniería de Organización Industrial</v>
      </c>
      <c r="B34" s="1095"/>
      <c r="C34" s="1095"/>
      <c r="D34" s="1095"/>
      <c r="E34" s="1095"/>
      <c r="F34" s="1095"/>
      <c r="G34" s="1095"/>
      <c r="H34" s="1095"/>
      <c r="I34" s="1095"/>
      <c r="J34" s="1095"/>
      <c r="K34" s="1095"/>
      <c r="L34" s="1095"/>
      <c r="M34" s="1095"/>
      <c r="N34" s="1095"/>
      <c r="O34" s="1095"/>
      <c r="P34" s="1095"/>
      <c r="Q34" s="1095"/>
      <c r="R34" s="1095"/>
      <c r="S34" s="1095"/>
      <c r="T34" s="1095"/>
      <c r="U34" s="1095"/>
      <c r="V34" s="1095"/>
      <c r="W34" s="1095"/>
      <c r="X34" s="1095"/>
      <c r="Y34" s="1096"/>
      <c r="Z34" s="1091" t="str">
        <f>Z1</f>
        <v>Curso 2024-2025</v>
      </c>
      <c r="AA34" s="1092"/>
      <c r="AB34" s="1092"/>
      <c r="AC34" s="1092"/>
      <c r="AD34" s="1092"/>
      <c r="AE34" s="1093"/>
    </row>
    <row r="35" spans="1:40" s="8" customFormat="1" ht="23.25" customHeight="1" thickBot="1" x14ac:dyDescent="0.45">
      <c r="A35" s="1083" t="str">
        <f>VLOOKUP(A37,ASIGNATURAS!$A$2:$D$151, 2, FALSE)</f>
        <v>Semestre temporal: 2º        (2º Semestre Académico)</v>
      </c>
      <c r="B35" s="1084"/>
      <c r="C35" s="1084"/>
      <c r="D35" s="1084"/>
      <c r="E35" s="1084"/>
      <c r="F35" s="1084"/>
      <c r="G35" s="1084"/>
      <c r="H35" s="1084"/>
      <c r="I35" s="1084"/>
      <c r="J35" s="1084"/>
      <c r="K35" s="1084"/>
      <c r="L35" s="1084"/>
      <c r="M35" s="1084"/>
      <c r="N35" s="1084"/>
      <c r="O35" s="1084"/>
      <c r="P35" s="1084"/>
      <c r="Q35" s="1084"/>
      <c r="R35" s="1084"/>
      <c r="S35" s="1084"/>
      <c r="T35" s="1084"/>
      <c r="U35" s="1084"/>
      <c r="V35" s="1084"/>
      <c r="W35" s="1084"/>
      <c r="X35" s="1084"/>
      <c r="Y35" s="1085"/>
      <c r="Z35" s="2296" t="s">
        <v>846</v>
      </c>
      <c r="AA35" s="2188"/>
      <c r="AB35" s="2188"/>
      <c r="AC35" s="2188"/>
      <c r="AD35" s="2188"/>
      <c r="AE35" s="2188"/>
      <c r="AF35" s="2297"/>
    </row>
    <row r="36" spans="1:40" s="8" customFormat="1" ht="23.25" customHeight="1" thickBot="1" x14ac:dyDescent="0.45">
      <c r="A36" s="1083" t="s">
        <v>142</v>
      </c>
      <c r="B36" s="1084"/>
      <c r="C36" s="1084"/>
      <c r="D36" s="1084"/>
      <c r="E36" s="1084"/>
      <c r="F36" s="1084"/>
      <c r="G36" s="1084"/>
      <c r="H36" s="1084"/>
      <c r="I36" s="1084"/>
      <c r="J36" s="1084"/>
      <c r="K36" s="1084"/>
      <c r="L36" s="1084"/>
      <c r="M36" s="1084"/>
      <c r="N36" s="1084"/>
      <c r="O36" s="1084"/>
      <c r="P36" s="1084"/>
      <c r="Q36" s="1084"/>
      <c r="R36" s="1084"/>
      <c r="S36" s="1084"/>
      <c r="T36" s="1084"/>
      <c r="U36" s="1084"/>
      <c r="V36" s="1084"/>
      <c r="W36" s="1084"/>
      <c r="X36" s="1084"/>
      <c r="Y36" s="1085"/>
      <c r="Z36" s="2298"/>
      <c r="AA36" s="2299"/>
      <c r="AB36" s="2299"/>
      <c r="AC36" s="2299"/>
      <c r="AD36" s="2299"/>
      <c r="AE36" s="2299"/>
      <c r="AF36" s="2300"/>
    </row>
    <row r="37" spans="1:40" ht="38.25" customHeight="1" thickBot="1" x14ac:dyDescent="0.3">
      <c r="A37" s="9" t="s">
        <v>60</v>
      </c>
    </row>
    <row r="38" spans="1:40" s="2" customFormat="1" ht="24" customHeight="1" thickBot="1" x14ac:dyDescent="0.3">
      <c r="A38" s="19" t="s">
        <v>1</v>
      </c>
      <c r="B38" s="1091" t="s">
        <v>2</v>
      </c>
      <c r="C38" s="1092"/>
      <c r="D38" s="1092"/>
      <c r="E38" s="1092"/>
      <c r="F38" s="1092"/>
      <c r="G38" s="1093"/>
      <c r="H38" s="1076" t="s">
        <v>3</v>
      </c>
      <c r="I38" s="1077"/>
      <c r="J38" s="1077"/>
      <c r="K38" s="1077"/>
      <c r="L38" s="1077"/>
      <c r="M38" s="1078"/>
      <c r="N38" s="1076" t="s">
        <v>139</v>
      </c>
      <c r="O38" s="1077"/>
      <c r="P38" s="1077"/>
      <c r="Q38" s="1077"/>
      <c r="R38" s="1077"/>
      <c r="S38" s="1078"/>
      <c r="T38" s="1076" t="s">
        <v>4</v>
      </c>
      <c r="U38" s="1077"/>
      <c r="V38" s="1077"/>
      <c r="W38" s="1077"/>
      <c r="X38" s="1077"/>
      <c r="Y38" s="1078"/>
      <c r="Z38" s="1091" t="s">
        <v>5</v>
      </c>
      <c r="AA38" s="1092"/>
      <c r="AB38" s="1092"/>
      <c r="AC38" s="1092"/>
      <c r="AD38" s="1092"/>
      <c r="AE38" s="1093"/>
    </row>
    <row r="39" spans="1:40" ht="35.4" customHeight="1" x14ac:dyDescent="0.3">
      <c r="A39" s="1526" t="s">
        <v>10</v>
      </c>
      <c r="B39" s="845"/>
      <c r="C39" s="845"/>
      <c r="D39" s="914" t="s">
        <v>636</v>
      </c>
      <c r="E39" s="2233" t="s">
        <v>164</v>
      </c>
      <c r="F39" s="845"/>
      <c r="G39" s="846"/>
      <c r="H39" s="1079" t="s">
        <v>13</v>
      </c>
      <c r="I39" s="1039"/>
      <c r="J39" s="1039"/>
      <c r="K39" s="1039"/>
      <c r="L39" s="1039"/>
      <c r="M39" s="1080"/>
      <c r="N39" s="1079" t="s">
        <v>24</v>
      </c>
      <c r="O39" s="1039"/>
      <c r="P39" s="1039"/>
      <c r="Q39" s="1039"/>
      <c r="R39" s="1039"/>
      <c r="S39" s="1080"/>
      <c r="T39" s="1039" t="s">
        <v>24</v>
      </c>
      <c r="U39" s="1039"/>
      <c r="V39" s="1039"/>
      <c r="W39" s="1039"/>
      <c r="X39" s="1039"/>
      <c r="Y39" s="1080"/>
      <c r="Z39" s="940" t="s">
        <v>27</v>
      </c>
      <c r="AA39" s="940"/>
      <c r="AB39" s="941"/>
      <c r="AC39" s="2230" t="s">
        <v>1363</v>
      </c>
      <c r="AD39" s="2231"/>
      <c r="AE39" s="2232"/>
      <c r="AF39" s="33"/>
    </row>
    <row r="40" spans="1:40" ht="34.799999999999997" customHeight="1" x14ac:dyDescent="0.3">
      <c r="A40" s="1143"/>
      <c r="B40" s="504"/>
      <c r="C40" s="380"/>
      <c r="D40" s="2235" t="s">
        <v>1363</v>
      </c>
      <c r="E40" s="2137"/>
      <c r="F40" s="380"/>
      <c r="G40" s="381"/>
      <c r="H40" s="1067" t="s">
        <v>152</v>
      </c>
      <c r="I40" s="944"/>
      <c r="J40" s="944"/>
      <c r="K40" s="944"/>
      <c r="L40" s="944"/>
      <c r="M40" s="1068"/>
      <c r="N40" s="1067" t="s">
        <v>152</v>
      </c>
      <c r="O40" s="944"/>
      <c r="P40" s="944"/>
      <c r="Q40" s="944"/>
      <c r="R40" s="944"/>
      <c r="S40" s="1068"/>
      <c r="T40" s="1067" t="s">
        <v>152</v>
      </c>
      <c r="U40" s="944"/>
      <c r="V40" s="944"/>
      <c r="W40" s="944"/>
      <c r="X40" s="944"/>
      <c r="Y40" s="1068"/>
      <c r="Z40" s="944" t="s">
        <v>152</v>
      </c>
      <c r="AA40" s="944"/>
      <c r="AB40" s="945"/>
      <c r="AC40" s="2030" t="s">
        <v>157</v>
      </c>
      <c r="AD40" s="2031"/>
      <c r="AE40" s="2032"/>
      <c r="AF40" s="33"/>
      <c r="AL40" s="939"/>
      <c r="AM40" s="939"/>
      <c r="AN40" s="939"/>
    </row>
    <row r="41" spans="1:40" ht="43.2" customHeight="1" x14ac:dyDescent="0.3">
      <c r="A41" s="1143" t="s">
        <v>11</v>
      </c>
      <c r="B41" s="428"/>
      <c r="C41" s="428"/>
      <c r="D41" s="2235"/>
      <c r="E41" s="2137"/>
      <c r="F41" s="878"/>
      <c r="G41" s="879"/>
      <c r="H41" s="940" t="s">
        <v>13</v>
      </c>
      <c r="I41" s="940"/>
      <c r="J41" s="940"/>
      <c r="K41" s="940"/>
      <c r="L41" s="940"/>
      <c r="M41" s="1070"/>
      <c r="N41" s="1069" t="s">
        <v>25</v>
      </c>
      <c r="O41" s="940"/>
      <c r="P41" s="940"/>
      <c r="Q41" s="940"/>
      <c r="R41" s="940"/>
      <c r="S41" s="1070"/>
      <c r="T41" s="940" t="s">
        <v>25</v>
      </c>
      <c r="U41" s="940"/>
      <c r="V41" s="940"/>
      <c r="W41" s="940"/>
      <c r="X41" s="940"/>
      <c r="Y41" s="1070"/>
      <c r="Z41" s="1069" t="s">
        <v>27</v>
      </c>
      <c r="AA41" s="940"/>
      <c r="AB41" s="941"/>
      <c r="AC41" s="2199" t="s">
        <v>1363</v>
      </c>
      <c r="AD41" s="2200"/>
      <c r="AE41" s="2201"/>
      <c r="AF41" s="33"/>
      <c r="AG41" s="33"/>
      <c r="AL41" s="1174"/>
      <c r="AM41" s="1174"/>
      <c r="AN41" s="1174"/>
    </row>
    <row r="42" spans="1:40" ht="34.5" customHeight="1" x14ac:dyDescent="0.25">
      <c r="A42" s="934"/>
      <c r="B42" s="380"/>
      <c r="C42" s="380"/>
      <c r="D42" s="2236"/>
      <c r="E42" s="2234"/>
      <c r="F42" s="380"/>
      <c r="G42" s="880"/>
      <c r="H42" s="1067" t="s">
        <v>152</v>
      </c>
      <c r="I42" s="944"/>
      <c r="J42" s="944"/>
      <c r="K42" s="944"/>
      <c r="L42" s="944"/>
      <c r="M42" s="1068"/>
      <c r="N42" s="1067" t="s">
        <v>152</v>
      </c>
      <c r="O42" s="944"/>
      <c r="P42" s="944"/>
      <c r="Q42" s="944"/>
      <c r="R42" s="944"/>
      <c r="S42" s="1068"/>
      <c r="T42" s="1067" t="s">
        <v>152</v>
      </c>
      <c r="U42" s="944"/>
      <c r="V42" s="944"/>
      <c r="W42" s="944"/>
      <c r="X42" s="944"/>
      <c r="Y42" s="1068"/>
      <c r="Z42" s="944" t="s">
        <v>152</v>
      </c>
      <c r="AA42" s="944"/>
      <c r="AB42" s="945"/>
      <c r="AC42" s="2030" t="s">
        <v>157</v>
      </c>
      <c r="AD42" s="2031"/>
      <c r="AE42" s="2032"/>
      <c r="AF42" s="33"/>
    </row>
    <row r="43" spans="1:40" ht="34.5" customHeight="1" x14ac:dyDescent="0.3">
      <c r="A43" s="1143" t="s">
        <v>6</v>
      </c>
      <c r="B43" s="347" t="s">
        <v>579</v>
      </c>
      <c r="C43" s="2220" t="s">
        <v>569</v>
      </c>
      <c r="D43" s="196"/>
      <c r="E43" s="1444"/>
      <c r="F43" s="163" t="s">
        <v>581</v>
      </c>
      <c r="G43" s="2069" t="s">
        <v>1342</v>
      </c>
      <c r="H43" s="939" t="s">
        <v>26</v>
      </c>
      <c r="I43" s="939"/>
      <c r="J43" s="939"/>
      <c r="K43" s="939"/>
      <c r="L43" s="939"/>
      <c r="M43" s="1082"/>
      <c r="N43" s="162" t="s">
        <v>579</v>
      </c>
      <c r="O43" s="2208" t="s">
        <v>1343</v>
      </c>
      <c r="P43" s="347" t="s">
        <v>580</v>
      </c>
      <c r="Q43" s="1216" t="s">
        <v>1346</v>
      </c>
      <c r="R43" s="347" t="s">
        <v>581</v>
      </c>
      <c r="S43" s="2224" t="s">
        <v>569</v>
      </c>
      <c r="T43" s="347" t="s">
        <v>579</v>
      </c>
      <c r="U43" s="1216" t="s">
        <v>1346</v>
      </c>
      <c r="V43" s="347" t="s">
        <v>580</v>
      </c>
      <c r="W43" s="2208" t="s">
        <v>569</v>
      </c>
      <c r="X43" s="347" t="s">
        <v>581</v>
      </c>
      <c r="Y43" s="2208" t="s">
        <v>1345</v>
      </c>
      <c r="Z43" s="385"/>
      <c r="AA43" s="1256"/>
      <c r="AB43" s="196"/>
      <c r="AC43" s="1256"/>
      <c r="AD43" s="163" t="s">
        <v>581</v>
      </c>
      <c r="AE43" s="2069" t="s">
        <v>1346</v>
      </c>
      <c r="AI43" s="10"/>
    </row>
    <row r="44" spans="1:40" ht="34.5" customHeight="1" x14ac:dyDescent="0.25">
      <c r="A44" s="1143"/>
      <c r="B44" s="1219" t="s">
        <v>25</v>
      </c>
      <c r="C44" s="1360"/>
      <c r="D44" s="2227"/>
      <c r="E44" s="1350"/>
      <c r="F44" s="1221" t="s">
        <v>26</v>
      </c>
      <c r="G44" s="2070"/>
      <c r="H44" s="1067" t="s">
        <v>154</v>
      </c>
      <c r="I44" s="944"/>
      <c r="J44" s="944"/>
      <c r="K44" s="944"/>
      <c r="L44" s="944"/>
      <c r="M44" s="1068"/>
      <c r="N44" s="1191" t="s">
        <v>13</v>
      </c>
      <c r="O44" s="1226"/>
      <c r="P44" s="1219" t="s">
        <v>24</v>
      </c>
      <c r="Q44" s="1217"/>
      <c r="R44" s="1219" t="s">
        <v>25</v>
      </c>
      <c r="S44" s="2225"/>
      <c r="T44" s="1219" t="s">
        <v>24</v>
      </c>
      <c r="U44" s="1217"/>
      <c r="V44" s="1219" t="s">
        <v>25</v>
      </c>
      <c r="W44" s="1226"/>
      <c r="X44" s="1219" t="s">
        <v>13</v>
      </c>
      <c r="Y44" s="1226"/>
      <c r="Z44" s="2209"/>
      <c r="AA44" s="1243"/>
      <c r="AB44" s="1224"/>
      <c r="AC44" s="1243"/>
      <c r="AD44" s="1221" t="s">
        <v>24</v>
      </c>
      <c r="AE44" s="2070"/>
    </row>
    <row r="45" spans="1:40" ht="34.5" customHeight="1" x14ac:dyDescent="0.3">
      <c r="A45" s="1087" t="s">
        <v>7</v>
      </c>
      <c r="B45" s="1191"/>
      <c r="C45" s="1360"/>
      <c r="D45" s="2227"/>
      <c r="E45" s="1350"/>
      <c r="F45" s="1221"/>
      <c r="G45" s="2070"/>
      <c r="H45" s="939" t="s">
        <v>26</v>
      </c>
      <c r="I45" s="939"/>
      <c r="J45" s="939"/>
      <c r="K45" s="939"/>
      <c r="L45" s="939"/>
      <c r="M45" s="1082"/>
      <c r="N45" s="1191"/>
      <c r="O45" s="1226"/>
      <c r="P45" s="1219"/>
      <c r="Q45" s="1217"/>
      <c r="R45" s="1219"/>
      <c r="S45" s="2225"/>
      <c r="T45" s="1219"/>
      <c r="U45" s="1217"/>
      <c r="V45" s="1219"/>
      <c r="W45" s="1226"/>
      <c r="X45" s="1219"/>
      <c r="Y45" s="1226"/>
      <c r="Z45" s="2209"/>
      <c r="AA45" s="1243"/>
      <c r="AB45" s="1224"/>
      <c r="AC45" s="1243"/>
      <c r="AD45" s="1221"/>
      <c r="AE45" s="2070"/>
      <c r="AG45" s="441"/>
      <c r="AH45" s="441"/>
      <c r="AI45" s="441"/>
      <c r="AJ45" s="441"/>
      <c r="AK45" s="441"/>
      <c r="AL45" s="441"/>
      <c r="AM45" s="441"/>
      <c r="AN45" s="440"/>
    </row>
    <row r="46" spans="1:40" ht="34.5" customHeight="1" x14ac:dyDescent="0.25">
      <c r="A46" s="1087"/>
      <c r="B46" s="1192"/>
      <c r="C46" s="1361"/>
      <c r="D46" s="2228"/>
      <c r="E46" s="1351"/>
      <c r="F46" s="1222"/>
      <c r="G46" s="2071"/>
      <c r="H46" s="1067" t="s">
        <v>154</v>
      </c>
      <c r="I46" s="944"/>
      <c r="J46" s="944"/>
      <c r="K46" s="944"/>
      <c r="L46" s="944"/>
      <c r="M46" s="1068"/>
      <c r="N46" s="1192"/>
      <c r="O46" s="1227"/>
      <c r="P46" s="1220"/>
      <c r="Q46" s="1218"/>
      <c r="R46" s="1220"/>
      <c r="S46" s="2226"/>
      <c r="T46" s="1220"/>
      <c r="U46" s="1217"/>
      <c r="V46" s="1220"/>
      <c r="W46" s="1227"/>
      <c r="X46" s="1220"/>
      <c r="Y46" s="1227"/>
      <c r="Z46" s="2210"/>
      <c r="AA46" s="1244"/>
      <c r="AB46" s="1240"/>
      <c r="AC46" s="1244"/>
      <c r="AD46" s="1222"/>
      <c r="AE46" s="2071"/>
      <c r="AK46" s="657"/>
      <c r="AL46" s="2191"/>
    </row>
    <row r="47" spans="1:40" ht="34.5" customHeight="1" x14ac:dyDescent="0.25">
      <c r="A47" s="1143" t="s">
        <v>8</v>
      </c>
      <c r="B47" s="162" t="s">
        <v>579</v>
      </c>
      <c r="C47" s="1216" t="s">
        <v>1342</v>
      </c>
      <c r="D47" s="722"/>
      <c r="E47" s="722"/>
      <c r="F47" s="722"/>
      <c r="G47" s="723"/>
      <c r="H47" s="125"/>
      <c r="I47" s="2204"/>
      <c r="J47" s="196"/>
      <c r="K47" s="2204"/>
      <c r="L47" s="139"/>
      <c r="M47" s="2218"/>
      <c r="O47" s="200"/>
      <c r="P47" s="163" t="s">
        <v>580</v>
      </c>
      <c r="Q47" s="2208" t="s">
        <v>1344</v>
      </c>
      <c r="R47" s="515"/>
      <c r="S47" s="2215"/>
      <c r="U47" s="198"/>
      <c r="V47" s="125"/>
      <c r="W47" s="2193"/>
      <c r="X47" s="163" t="s">
        <v>579</v>
      </c>
      <c r="Y47" s="1353" t="s">
        <v>164</v>
      </c>
      <c r="Z47" s="229"/>
      <c r="AA47" s="2196"/>
      <c r="AB47" s="478"/>
      <c r="AC47" s="478"/>
      <c r="AD47" s="516"/>
      <c r="AE47" s="572"/>
      <c r="AK47" s="2192"/>
      <c r="AL47" s="2191"/>
    </row>
    <row r="48" spans="1:40" ht="34.5" customHeight="1" x14ac:dyDescent="0.25">
      <c r="A48" s="1143"/>
      <c r="B48" s="1191" t="s">
        <v>26</v>
      </c>
      <c r="C48" s="1217"/>
      <c r="D48" s="721"/>
      <c r="E48" s="721"/>
      <c r="F48" s="721"/>
      <c r="G48" s="724"/>
      <c r="H48" s="1241"/>
      <c r="I48" s="2205"/>
      <c r="J48" s="1224"/>
      <c r="K48" s="2205"/>
      <c r="L48" s="2211"/>
      <c r="M48" s="2218"/>
      <c r="P48" s="1221" t="s">
        <v>13</v>
      </c>
      <c r="Q48" s="1226"/>
      <c r="R48" s="2213"/>
      <c r="S48" s="2216"/>
      <c r="U48" s="20"/>
      <c r="V48" s="1241"/>
      <c r="W48" s="2194"/>
      <c r="X48" s="1221" t="s">
        <v>27</v>
      </c>
      <c r="Y48" s="1342"/>
      <c r="Z48" s="2202"/>
      <c r="AA48" s="2197"/>
      <c r="AB48" s="301"/>
      <c r="AC48" s="301"/>
      <c r="AD48" s="301"/>
      <c r="AE48" s="675"/>
      <c r="AK48" s="2192"/>
      <c r="AL48" s="2191"/>
    </row>
    <row r="49" spans="1:38" ht="34.5" customHeight="1" x14ac:dyDescent="0.25">
      <c r="A49" s="1143" t="s">
        <v>9</v>
      </c>
      <c r="B49" s="1191"/>
      <c r="C49" s="1217"/>
      <c r="G49" s="32"/>
      <c r="H49" s="1241"/>
      <c r="I49" s="2205"/>
      <c r="J49" s="1224"/>
      <c r="K49" s="2205"/>
      <c r="L49" s="2211"/>
      <c r="M49" s="2218"/>
      <c r="P49" s="1221"/>
      <c r="Q49" s="1226"/>
      <c r="R49" s="2213"/>
      <c r="S49" s="2216"/>
      <c r="V49" s="1241"/>
      <c r="W49" s="2194"/>
      <c r="X49" s="1221"/>
      <c r="Y49" s="1342"/>
      <c r="Z49" s="2202"/>
      <c r="AA49" s="2197"/>
      <c r="AB49" s="743"/>
      <c r="AC49" s="516"/>
      <c r="AD49" s="516"/>
      <c r="AE49" s="572"/>
      <c r="AK49" s="2192"/>
      <c r="AL49" s="2191"/>
    </row>
    <row r="50" spans="1:38" ht="33" customHeight="1" thickBot="1" x14ac:dyDescent="0.3">
      <c r="A50" s="1223"/>
      <c r="B50" s="2221"/>
      <c r="C50" s="1218"/>
      <c r="D50" s="35"/>
      <c r="E50" s="35"/>
      <c r="F50" s="35"/>
      <c r="G50" s="36"/>
      <c r="H50" s="1242"/>
      <c r="I50" s="2223"/>
      <c r="J50" s="1240"/>
      <c r="K50" s="2206"/>
      <c r="L50" s="2212"/>
      <c r="M50" s="2219"/>
      <c r="O50" s="225"/>
      <c r="P50" s="1222"/>
      <c r="Q50" s="2222"/>
      <c r="R50" s="2214"/>
      <c r="S50" s="2217"/>
      <c r="V50" s="2207"/>
      <c r="W50" s="2195"/>
      <c r="X50" s="1255"/>
      <c r="Y50" s="1343"/>
      <c r="Z50" s="2203"/>
      <c r="AA50" s="2198"/>
      <c r="AB50" s="298"/>
      <c r="AC50" s="298"/>
      <c r="AD50" s="298"/>
      <c r="AE50" s="299"/>
    </row>
    <row r="51" spans="1:38" s="2" customFormat="1" ht="19.5" hidden="1" customHeight="1" thickBot="1" x14ac:dyDescent="0.3">
      <c r="A51" s="19" t="s">
        <v>1</v>
      </c>
      <c r="B51" s="1076" t="s">
        <v>2</v>
      </c>
      <c r="C51" s="1077"/>
      <c r="D51" s="1077"/>
      <c r="E51" s="1077"/>
      <c r="F51" s="1077"/>
      <c r="G51" s="1078"/>
      <c r="H51" s="1076" t="s">
        <v>3</v>
      </c>
      <c r="I51" s="1077"/>
      <c r="J51" s="1077"/>
      <c r="K51" s="1077"/>
      <c r="L51" s="1077"/>
      <c r="M51" s="1078"/>
      <c r="N51" s="1076" t="s">
        <v>139</v>
      </c>
      <c r="O51" s="1077"/>
      <c r="P51" s="1077"/>
      <c r="Q51" s="1077"/>
      <c r="R51" s="1077"/>
      <c r="S51" s="1078"/>
      <c r="T51" s="1076" t="s">
        <v>4</v>
      </c>
      <c r="U51" s="1077"/>
      <c r="V51" s="1077"/>
      <c r="W51" s="1077"/>
      <c r="X51" s="1077"/>
      <c r="Y51" s="1078"/>
      <c r="Z51" s="1076" t="s">
        <v>5</v>
      </c>
      <c r="AA51" s="1077"/>
      <c r="AB51" s="1077"/>
      <c r="AC51" s="1077"/>
      <c r="AD51" s="1077"/>
      <c r="AE51" s="1078"/>
      <c r="AG51"/>
      <c r="AH51"/>
      <c r="AI51"/>
    </row>
    <row r="52" spans="1:38" ht="0.75" hidden="1" customHeight="1" thickBot="1" x14ac:dyDescent="0.3">
      <c r="A52" s="966" t="s">
        <v>187</v>
      </c>
      <c r="H52" s="10"/>
      <c r="I52" s="10"/>
      <c r="J52" s="10"/>
      <c r="K52" s="10"/>
      <c r="L52" s="10"/>
      <c r="M52" s="32"/>
      <c r="T52" s="33"/>
      <c r="Z52" s="33"/>
      <c r="AE52" s="32"/>
      <c r="AF52" s="33"/>
    </row>
    <row r="53" spans="1:38" ht="32.25" hidden="1" customHeight="1" thickBot="1" x14ac:dyDescent="0.3">
      <c r="A53" s="935"/>
      <c r="H53" s="606"/>
      <c r="I53" s="10"/>
      <c r="J53" s="10"/>
      <c r="K53" s="1350"/>
      <c r="L53" s="10"/>
      <c r="N53" s="33"/>
      <c r="S53" s="32"/>
      <c r="Z53" s="33"/>
      <c r="AE53" s="32"/>
      <c r="AF53" s="33"/>
    </row>
    <row r="54" spans="1:38" ht="27" hidden="1" customHeight="1" thickBot="1" x14ac:dyDescent="0.3">
      <c r="A54" s="934" t="s">
        <v>186</v>
      </c>
      <c r="H54" s="10"/>
      <c r="I54" s="10"/>
      <c r="J54" s="1241"/>
      <c r="K54" s="1350"/>
      <c r="L54" s="10"/>
      <c r="N54" s="33"/>
      <c r="T54" s="33"/>
      <c r="Z54" s="33"/>
      <c r="AE54" s="32"/>
    </row>
    <row r="55" spans="1:38" ht="31.5" hidden="1" customHeight="1" thickBot="1" x14ac:dyDescent="0.3">
      <c r="A55" s="935"/>
      <c r="H55" s="10"/>
      <c r="I55" s="10"/>
      <c r="J55" s="1241"/>
      <c r="K55" s="1350"/>
      <c r="L55" s="10"/>
      <c r="N55" s="33"/>
      <c r="S55" s="32"/>
      <c r="Z55" s="33"/>
      <c r="AE55" s="32"/>
    </row>
    <row r="56" spans="1:38" ht="28.5" hidden="1" customHeight="1" thickBot="1" x14ac:dyDescent="0.3">
      <c r="A56" s="1292" t="s">
        <v>188</v>
      </c>
      <c r="H56" s="10"/>
      <c r="I56" s="10"/>
      <c r="J56" s="1241"/>
      <c r="K56" s="1350"/>
      <c r="L56" s="10"/>
      <c r="M56" s="32"/>
      <c r="S56" s="32"/>
      <c r="Z56" s="33"/>
      <c r="AE56" s="32"/>
    </row>
    <row r="57" spans="1:38" ht="23.25" hidden="1" customHeight="1" thickBot="1" x14ac:dyDescent="0.3">
      <c r="A57" s="1292"/>
      <c r="B57" s="34"/>
      <c r="G57" s="32"/>
      <c r="K57" s="35"/>
      <c r="M57" s="36"/>
      <c r="O57" s="35"/>
      <c r="P57" s="35"/>
      <c r="Q57" s="35"/>
      <c r="T57" s="34"/>
      <c r="U57" s="35"/>
      <c r="V57" s="35"/>
      <c r="X57" s="35"/>
      <c r="Y57" s="35"/>
      <c r="Z57" s="34"/>
      <c r="AB57" s="35"/>
      <c r="AE57" s="36"/>
    </row>
    <row r="58" spans="1:38" ht="41.25" customHeight="1" thickBot="1" x14ac:dyDescent="0.3">
      <c r="A58" s="519"/>
      <c r="C58" s="231"/>
      <c r="D58" s="231"/>
      <c r="E58" s="231"/>
      <c r="F58" s="231"/>
      <c r="G58" s="231"/>
      <c r="H58" s="231"/>
      <c r="I58" s="231"/>
      <c r="J58" s="231"/>
      <c r="L58" s="231"/>
      <c r="N58" s="231"/>
      <c r="P58" s="231"/>
      <c r="R58" s="231"/>
      <c r="S58" s="231"/>
      <c r="T58" s="231"/>
      <c r="U58" s="231"/>
      <c r="W58" s="231"/>
      <c r="Y58" s="231"/>
      <c r="Z58" s="231"/>
      <c r="AA58" s="231"/>
      <c r="AC58" s="231"/>
      <c r="AD58" s="231"/>
      <c r="AE58" s="231"/>
    </row>
    <row r="59" spans="1:38" ht="18.75" customHeight="1" x14ac:dyDescent="0.25">
      <c r="A59" s="1940" t="s">
        <v>218</v>
      </c>
      <c r="B59" s="1941"/>
      <c r="C59" s="1940" t="s">
        <v>219</v>
      </c>
      <c r="D59" s="2130"/>
      <c r="E59" s="2130"/>
      <c r="F59" s="2130"/>
      <c r="G59" s="2130"/>
      <c r="H59" s="2130"/>
      <c r="I59" s="2130"/>
      <c r="J59" s="2130"/>
      <c r="K59" s="2130"/>
      <c r="L59" s="58"/>
      <c r="M59" s="2189" t="s">
        <v>319</v>
      </c>
      <c r="N59" s="2190"/>
      <c r="O59" s="1940" t="s">
        <v>143</v>
      </c>
      <c r="P59" s="1941"/>
      <c r="Q59" s="1940" t="s">
        <v>167</v>
      </c>
      <c r="R59" s="2130"/>
      <c r="S59" s="2130"/>
      <c r="T59" s="2130"/>
      <c r="U59" s="2130"/>
      <c r="V59" s="2130"/>
      <c r="W59" s="2130"/>
      <c r="X59" s="2130"/>
      <c r="Y59" s="2130"/>
      <c r="Z59" s="2130"/>
      <c r="AA59" s="2130"/>
      <c r="AB59" s="2130"/>
      <c r="AC59" s="2130"/>
      <c r="AD59" s="2130"/>
      <c r="AE59" s="1941"/>
    </row>
    <row r="60" spans="1:38" ht="13.8" x14ac:dyDescent="0.25">
      <c r="A60" s="1315" t="str">
        <f>VLOOKUP(M60,ASIGNATURAS!$F$1:$L$1022, 3, FALSE)</f>
        <v>ALGEBRA</v>
      </c>
      <c r="B60" s="1316"/>
      <c r="C60" s="1302" t="str">
        <f>VLOOKUP(M60,ASIGNATURAS!$F$1:$L$1022, 4, FALSE)</f>
        <v>Álgebra y Ecuaciones Diferenciales</v>
      </c>
      <c r="D60" s="993"/>
      <c r="E60" s="993"/>
      <c r="F60" s="993"/>
      <c r="G60" s="993"/>
      <c r="H60" s="993"/>
      <c r="I60" s="993"/>
      <c r="J60" s="993"/>
      <c r="K60" s="993"/>
      <c r="L60" s="1060"/>
      <c r="M60" s="1329">
        <v>9120</v>
      </c>
      <c r="N60" s="1330"/>
      <c r="O60" s="1329">
        <f>VLOOKUP(M60,ASIGNATURAS!$F$1:$L$1022, 5, FALSE)</f>
        <v>6</v>
      </c>
      <c r="P60" s="1330"/>
      <c r="Q60" s="1302" t="str">
        <f>VLOOKUP(M60,ASIGNATURAS!$F$1:$L$1022, 6, FALSE)</f>
        <v>Javier Relancio</v>
      </c>
      <c r="R60" s="993"/>
      <c r="S60" s="993"/>
      <c r="T60" s="993"/>
      <c r="U60" s="993"/>
      <c r="V60" s="993"/>
      <c r="W60" s="993"/>
      <c r="X60" s="993"/>
      <c r="Y60" s="993"/>
      <c r="Z60" s="993"/>
      <c r="AA60" s="993"/>
      <c r="AB60" s="993"/>
      <c r="AC60" s="993"/>
      <c r="AD60" s="993"/>
      <c r="AE60" s="1060"/>
    </row>
    <row r="61" spans="1:38" ht="13.8" x14ac:dyDescent="0.25">
      <c r="A61" s="1315" t="str">
        <f>VLOOKUP(M61,ASIGNATURAS!$F$1:$L$1022, 3, FALSE)</f>
        <v>FISICA II</v>
      </c>
      <c r="B61" s="1316"/>
      <c r="C61" s="1302" t="str">
        <f>VLOOKUP(M61,ASIGNATURAS!$F$1:$L$1022, 4, FALSE)</f>
        <v>Física II</v>
      </c>
      <c r="D61" s="993"/>
      <c r="E61" s="993"/>
      <c r="F61" s="993"/>
      <c r="G61" s="993"/>
      <c r="H61" s="993"/>
      <c r="I61" s="993"/>
      <c r="J61" s="993"/>
      <c r="K61" s="993"/>
      <c r="L61" s="1060"/>
      <c r="M61" s="1329">
        <v>9121</v>
      </c>
      <c r="N61" s="1330"/>
      <c r="O61" s="1329">
        <f>VLOOKUP(M61,ASIGNATURAS!$F$1:$L$1022, 5, FALSE)</f>
        <v>6</v>
      </c>
      <c r="P61" s="1330"/>
      <c r="Q61" s="1302" t="str">
        <f>VLOOKUP(M61,ASIGNATURAS!$F$1:$L$1022, 6, FALSE)</f>
        <v>Fernando Manuel García Reguera</v>
      </c>
      <c r="R61" s="993"/>
      <c r="S61" s="993"/>
      <c r="T61" s="993"/>
      <c r="U61" s="993"/>
      <c r="V61" s="993"/>
      <c r="W61" s="993"/>
      <c r="X61" s="993"/>
      <c r="Y61" s="993"/>
      <c r="Z61" s="993"/>
      <c r="AA61" s="993"/>
      <c r="AB61" s="993"/>
      <c r="AC61" s="993"/>
      <c r="AD61" s="993"/>
      <c r="AE61" s="1060"/>
    </row>
    <row r="62" spans="1:38" ht="13.8" x14ac:dyDescent="0.25">
      <c r="A62" s="1315" t="str">
        <f>VLOOKUP(M62,ASIGNATURAS!$F$1:$L$1022, 3, FALSE)</f>
        <v>AMP. CALCULO</v>
      </c>
      <c r="B62" s="1316"/>
      <c r="C62" s="1302" t="str">
        <f>VLOOKUP(M62,ASIGNATURAS!$F$1:$L$1022, 4, FALSE)</f>
        <v>Ampliación de Cálculo y Geometría</v>
      </c>
      <c r="D62" s="993"/>
      <c r="E62" s="993"/>
      <c r="F62" s="993"/>
      <c r="G62" s="993"/>
      <c r="H62" s="993"/>
      <c r="I62" s="993"/>
      <c r="J62" s="993"/>
      <c r="K62" s="993"/>
      <c r="L62" s="1060"/>
      <c r="M62" s="1329">
        <v>9122</v>
      </c>
      <c r="N62" s="1330"/>
      <c r="O62" s="1329">
        <f>VLOOKUP(M62,ASIGNATURAS!$F$1:$L$1022, 5, FALSE)</f>
        <v>6</v>
      </c>
      <c r="P62" s="1330"/>
      <c r="Q62" s="1302" t="str">
        <f>VLOOKUP(M62,ASIGNATURAS!$F$1:$L$1022, 6, FALSE)</f>
        <v>Antonio Manzano Rodríguez</v>
      </c>
      <c r="R62" s="993"/>
      <c r="S62" s="993"/>
      <c r="T62" s="993"/>
      <c r="U62" s="993"/>
      <c r="V62" s="993"/>
      <c r="W62" s="993"/>
      <c r="X62" s="993"/>
      <c r="Y62" s="993"/>
      <c r="Z62" s="993"/>
      <c r="AA62" s="993"/>
      <c r="AB62" s="993"/>
      <c r="AC62" s="993"/>
      <c r="AD62" s="993"/>
      <c r="AE62" s="1060"/>
    </row>
    <row r="63" spans="1:38" ht="13.8" x14ac:dyDescent="0.25">
      <c r="A63" s="1065" t="str">
        <f>VLOOKUP(M63,ASIGNATURAS!$F$1:$L$1022, 3, FALSE)</f>
        <v>ECONOMIA</v>
      </c>
      <c r="B63" s="1066"/>
      <c r="C63" s="982" t="str">
        <f>VLOOKUP(M63,ASIGNATURAS!$F$1:$L$1022, 4, FALSE)</f>
        <v>Economía de la Empresa</v>
      </c>
      <c r="D63" s="983"/>
      <c r="E63" s="983"/>
      <c r="F63" s="983"/>
      <c r="G63" s="983"/>
      <c r="H63" s="983"/>
      <c r="I63" s="983"/>
      <c r="J63" s="983"/>
      <c r="K63" s="983"/>
      <c r="L63" s="1018"/>
      <c r="M63" s="981">
        <v>9123</v>
      </c>
      <c r="N63" s="1071"/>
      <c r="O63" s="981">
        <f>VLOOKUP(M63,ASIGNATURAS!$F$1:$L$1022, 5, FALSE)</f>
        <v>6</v>
      </c>
      <c r="P63" s="1071"/>
      <c r="Q63" s="982" t="str">
        <f>VLOOKUP(M63,ASIGNATURAS!$F$1:$L$1022, 6, FALSE)</f>
        <v>Ignacio Fontaneda</v>
      </c>
      <c r="R63" s="983"/>
      <c r="S63" s="983"/>
      <c r="T63" s="983"/>
      <c r="U63" s="983"/>
      <c r="V63" s="983"/>
      <c r="W63" s="983"/>
      <c r="X63" s="983"/>
      <c r="Y63" s="983"/>
      <c r="Z63" s="983"/>
      <c r="AA63" s="983"/>
      <c r="AB63" s="983"/>
      <c r="AC63" s="983"/>
      <c r="AD63" s="983"/>
      <c r="AE63" s="1018"/>
    </row>
    <row r="64" spans="1:38" ht="14.4" thickBot="1" x14ac:dyDescent="0.3">
      <c r="A64" s="1097" t="str">
        <f>VLOOKUP(M64,ASIGNATURAS!$F$1:$L$1022, 3, FALSE)</f>
        <v>MATERIALES</v>
      </c>
      <c r="B64" s="1098"/>
      <c r="C64" s="1088" t="str">
        <f>VLOOKUP(M64,ASIGNATURAS!$F$1:$L$1022, 4, FALSE)</f>
        <v>Ciencia de Materiales: Est. y propiedades E/I</v>
      </c>
      <c r="D64" s="1089"/>
      <c r="E64" s="1089"/>
      <c r="F64" s="1089"/>
      <c r="G64" s="1089"/>
      <c r="H64" s="1089"/>
      <c r="I64" s="1089"/>
      <c r="J64" s="1089"/>
      <c r="K64" s="1089"/>
      <c r="L64" s="1090"/>
      <c r="M64" s="1099">
        <v>9124</v>
      </c>
      <c r="N64" s="1100"/>
      <c r="O64" s="1099">
        <f>VLOOKUP(M64,ASIGNATURAS!$F$1:$L$1022, 5, FALSE)</f>
        <v>6</v>
      </c>
      <c r="P64" s="1100"/>
      <c r="Q64" s="1088" t="str">
        <f>VLOOKUP(M64,ASIGNATURAS!$F$1:$L$1022, 6, FALSE)</f>
        <v>Pedro Miguel Bravo, José Calaf , Mónica Preciado</v>
      </c>
      <c r="R64" s="1089"/>
      <c r="S64" s="1089"/>
      <c r="T64" s="1089"/>
      <c r="U64" s="1089"/>
      <c r="V64" s="1089"/>
      <c r="W64" s="1089"/>
      <c r="X64" s="1089"/>
      <c r="Y64" s="1089"/>
      <c r="Z64" s="1089"/>
      <c r="AA64" s="1089"/>
      <c r="AB64" s="1089"/>
      <c r="AC64" s="1089"/>
      <c r="AD64" s="1089"/>
      <c r="AE64" s="1090"/>
    </row>
    <row r="67" spans="1:34" ht="24" customHeight="1" x14ac:dyDescent="0.25">
      <c r="A67" s="1101" t="s">
        <v>1050</v>
      </c>
      <c r="B67" s="1101"/>
      <c r="C67" s="1101"/>
      <c r="D67" s="1101"/>
      <c r="E67" s="1101"/>
    </row>
    <row r="68" spans="1:34" ht="24" customHeight="1" x14ac:dyDescent="0.25">
      <c r="A68" s="1102" t="s">
        <v>1049</v>
      </c>
      <c r="B68" s="1102"/>
      <c r="C68" s="1102"/>
      <c r="D68" s="1102"/>
      <c r="E68" s="1102"/>
    </row>
    <row r="69" spans="1:34" x14ac:dyDescent="0.25">
      <c r="A69" s="453"/>
      <c r="B69" s="440"/>
      <c r="C69" s="440"/>
      <c r="D69" s="440"/>
      <c r="E69" s="440"/>
      <c r="F69" s="440"/>
      <c r="G69" s="440"/>
      <c r="H69" s="440"/>
      <c r="I69" s="440"/>
      <c r="J69" s="440"/>
      <c r="K69" s="440"/>
      <c r="L69" s="440"/>
      <c r="M69" s="440"/>
      <c r="N69" s="440"/>
      <c r="O69" s="440"/>
      <c r="P69" s="440"/>
      <c r="Q69" s="440"/>
      <c r="R69" s="440"/>
      <c r="S69" s="440"/>
      <c r="T69" s="440"/>
      <c r="U69" s="440"/>
      <c r="V69" s="440"/>
      <c r="W69" s="440"/>
      <c r="X69" s="440"/>
      <c r="Y69" s="440"/>
      <c r="Z69" s="440"/>
    </row>
    <row r="70" spans="1:34" x14ac:dyDescent="0.25">
      <c r="A70" s="20" t="s">
        <v>217</v>
      </c>
    </row>
    <row r="71" spans="1:34" x14ac:dyDescent="0.25">
      <c r="A71" s="622" t="s">
        <v>1032</v>
      </c>
    </row>
    <row r="72" spans="1:34" ht="13.8" thickBot="1" x14ac:dyDescent="0.3"/>
    <row r="73" spans="1:34" s="1" customFormat="1" ht="31.5" customHeight="1" thickBot="1" x14ac:dyDescent="0.45">
      <c r="A73" s="1094" t="str">
        <f>VLOOKUP(A76,ASIGNATURAS!$A$2:$D$151, 3, FALSE)</f>
        <v>2º Grado en Ingeniería de Organización Industrial</v>
      </c>
      <c r="B73" s="1095"/>
      <c r="C73" s="1095"/>
      <c r="D73" s="1095"/>
      <c r="E73" s="1095"/>
      <c r="F73" s="1095"/>
      <c r="G73" s="1095"/>
      <c r="H73" s="1095"/>
      <c r="I73" s="1095"/>
      <c r="J73" s="1095"/>
      <c r="K73" s="1095"/>
      <c r="L73" s="1095"/>
      <c r="M73" s="1095"/>
      <c r="N73" s="1095"/>
      <c r="O73" s="1095"/>
      <c r="P73" s="1095"/>
      <c r="Q73" s="1095"/>
      <c r="R73" s="1095"/>
      <c r="S73" s="1095"/>
      <c r="T73" s="1095"/>
      <c r="U73" s="1095"/>
      <c r="V73" s="1095"/>
      <c r="W73" s="1095"/>
      <c r="X73" s="1095"/>
      <c r="Y73" s="1096"/>
      <c r="Z73" s="1076" t="str">
        <f>Z1</f>
        <v>Curso 2024-2025</v>
      </c>
      <c r="AA73" s="1077"/>
      <c r="AB73" s="1077"/>
      <c r="AC73" s="1077"/>
      <c r="AD73" s="1077"/>
      <c r="AE73" s="1078"/>
    </row>
    <row r="74" spans="1:34" s="8" customFormat="1" ht="23.25" customHeight="1" thickBot="1" x14ac:dyDescent="0.45">
      <c r="A74" s="1083" t="str">
        <f>VLOOKUP(A76,ASIGNATURAS!$A$2:$D$151, 2, FALSE)</f>
        <v>Semestre temporal: 1º        (3º Semestre Académico)</v>
      </c>
      <c r="B74" s="1084"/>
      <c r="C74" s="1084"/>
      <c r="D74" s="1084"/>
      <c r="E74" s="1084"/>
      <c r="F74" s="1084"/>
      <c r="G74" s="1084"/>
      <c r="H74" s="1084"/>
      <c r="I74" s="1084"/>
      <c r="J74" s="1084"/>
      <c r="K74" s="1084"/>
      <c r="L74" s="1084"/>
      <c r="M74" s="1084"/>
      <c r="N74" s="1084"/>
      <c r="O74" s="1084"/>
      <c r="P74" s="1084"/>
      <c r="Q74" s="1084"/>
      <c r="R74" s="1084"/>
      <c r="S74" s="1084"/>
      <c r="T74" s="1084"/>
      <c r="U74" s="1084"/>
      <c r="V74" s="1084"/>
      <c r="W74" s="1084"/>
      <c r="X74" s="1084"/>
      <c r="Y74" s="1085"/>
      <c r="Z74" s="2188" t="s">
        <v>846</v>
      </c>
      <c r="AA74" s="1072"/>
      <c r="AB74" s="1072"/>
      <c r="AC74" s="1072"/>
      <c r="AD74" s="1072"/>
      <c r="AE74" s="1073"/>
    </row>
    <row r="75" spans="1:34" s="8" customFormat="1" ht="23.25" customHeight="1" thickBot="1" x14ac:dyDescent="0.45">
      <c r="A75" s="1083" t="s">
        <v>181</v>
      </c>
      <c r="B75" s="1084"/>
      <c r="C75" s="1084"/>
      <c r="D75" s="1084"/>
      <c r="E75" s="1084"/>
      <c r="F75" s="1084"/>
      <c r="G75" s="1084"/>
      <c r="H75" s="1084"/>
      <c r="I75" s="1084"/>
      <c r="J75" s="1084"/>
      <c r="K75" s="1084"/>
      <c r="L75" s="1084"/>
      <c r="M75" s="1084"/>
      <c r="N75" s="1084"/>
      <c r="O75" s="1084"/>
      <c r="P75" s="1084"/>
      <c r="Q75" s="1084"/>
      <c r="R75" s="1084"/>
      <c r="S75" s="1084"/>
      <c r="T75" s="1084"/>
      <c r="U75" s="1084"/>
      <c r="V75" s="1084"/>
      <c r="W75" s="1084"/>
      <c r="X75" s="1084"/>
      <c r="Y75" s="1085"/>
      <c r="Z75" s="1074"/>
      <c r="AA75" s="1074"/>
      <c r="AB75" s="1074"/>
      <c r="AC75" s="1074"/>
      <c r="AD75" s="1074"/>
      <c r="AE75" s="1075"/>
    </row>
    <row r="76" spans="1:34" ht="38.25" customHeight="1" thickBot="1" x14ac:dyDescent="0.3">
      <c r="A76" s="9" t="s">
        <v>61</v>
      </c>
    </row>
    <row r="77" spans="1:34" s="2" customFormat="1" ht="24" customHeight="1" thickBot="1" x14ac:dyDescent="0.3">
      <c r="A77" s="19" t="s">
        <v>1</v>
      </c>
      <c r="B77" s="1091" t="s">
        <v>2</v>
      </c>
      <c r="C77" s="1092"/>
      <c r="D77" s="1092"/>
      <c r="E77" s="1092"/>
      <c r="F77" s="1092"/>
      <c r="G77" s="1093"/>
      <c r="H77" s="1091" t="s">
        <v>3</v>
      </c>
      <c r="I77" s="1092"/>
      <c r="J77" s="1092"/>
      <c r="K77" s="1092"/>
      <c r="L77" s="1092"/>
      <c r="M77" s="1093"/>
      <c r="N77" s="1091" t="s">
        <v>139</v>
      </c>
      <c r="O77" s="1092"/>
      <c r="P77" s="1092"/>
      <c r="Q77" s="1092"/>
      <c r="R77" s="1092"/>
      <c r="S77" s="1093"/>
      <c r="T77" s="1091" t="s">
        <v>4</v>
      </c>
      <c r="U77" s="1092"/>
      <c r="V77" s="1092"/>
      <c r="W77" s="1092"/>
      <c r="X77" s="1092"/>
      <c r="Y77" s="1093"/>
      <c r="Z77" s="1091" t="s">
        <v>5</v>
      </c>
      <c r="AA77" s="1092"/>
      <c r="AB77" s="1092"/>
      <c r="AC77" s="1092"/>
      <c r="AD77" s="1092"/>
      <c r="AE77" s="1093"/>
    </row>
    <row r="78" spans="1:34" ht="36" customHeight="1" x14ac:dyDescent="0.3">
      <c r="A78" s="1292" t="s">
        <v>1131</v>
      </c>
      <c r="B78" s="95" t="s">
        <v>579</v>
      </c>
      <c r="C78" s="1137" t="s">
        <v>1259</v>
      </c>
      <c r="D78" s="95" t="s">
        <v>580</v>
      </c>
      <c r="E78" s="2016" t="s">
        <v>163</v>
      </c>
      <c r="F78" s="2098" t="s">
        <v>672</v>
      </c>
      <c r="G78" s="2098"/>
      <c r="H78" s="1288" t="s">
        <v>256</v>
      </c>
      <c r="I78" s="1153" t="s">
        <v>579</v>
      </c>
      <c r="J78" s="1217" t="s">
        <v>152</v>
      </c>
      <c r="K78" s="1396" t="s">
        <v>1361</v>
      </c>
      <c r="L78" s="1153" t="s">
        <v>580</v>
      </c>
      <c r="M78" s="2070" t="s">
        <v>565</v>
      </c>
      <c r="N78" s="20"/>
      <c r="O78" s="20"/>
      <c r="P78" s="20"/>
      <c r="Q78" s="2167" t="s">
        <v>771</v>
      </c>
      <c r="R78" s="2067" t="s">
        <v>636</v>
      </c>
      <c r="S78" s="2012" t="s">
        <v>163</v>
      </c>
      <c r="T78" s="383" t="s">
        <v>579</v>
      </c>
      <c r="U78" s="1217" t="s">
        <v>565</v>
      </c>
      <c r="V78" s="776"/>
      <c r="W78" s="1156"/>
      <c r="X78" s="2168" t="s">
        <v>643</v>
      </c>
      <c r="Y78" s="2175" t="s">
        <v>645</v>
      </c>
      <c r="Z78" s="2098" t="s">
        <v>642</v>
      </c>
      <c r="AA78" s="2098"/>
      <c r="AB78" s="2164"/>
      <c r="AC78" s="1348"/>
      <c r="AD78" s="1126"/>
      <c r="AE78" s="1252"/>
    </row>
    <row r="79" spans="1:34" ht="37.200000000000003" customHeight="1" x14ac:dyDescent="0.25">
      <c r="A79" s="935"/>
      <c r="B79" s="1109" t="s">
        <v>640</v>
      </c>
      <c r="C79" s="1137"/>
      <c r="D79" s="1109" t="s">
        <v>28</v>
      </c>
      <c r="E79" s="1217"/>
      <c r="F79" s="2031" t="s">
        <v>157</v>
      </c>
      <c r="G79" s="2031"/>
      <c r="H79" s="1288"/>
      <c r="I79" s="1153"/>
      <c r="J79" s="1217"/>
      <c r="K79" s="1396"/>
      <c r="L79" s="1153"/>
      <c r="M79" s="2070"/>
      <c r="N79" s="20"/>
      <c r="O79" s="20"/>
      <c r="P79" s="20"/>
      <c r="Q79" s="2167"/>
      <c r="R79" s="2067"/>
      <c r="S79" s="2012"/>
      <c r="T79" s="1153" t="s">
        <v>1361</v>
      </c>
      <c r="U79" s="1217"/>
      <c r="V79" s="1337"/>
      <c r="W79" s="1156"/>
      <c r="X79" s="2168"/>
      <c r="Y79" s="2094"/>
      <c r="Z79" s="2031" t="s">
        <v>157</v>
      </c>
      <c r="AA79" s="2031"/>
      <c r="AB79" s="2082"/>
      <c r="AC79" s="1348"/>
      <c r="AD79" s="1126"/>
      <c r="AE79" s="1252"/>
    </row>
    <row r="80" spans="1:34" ht="34.5" customHeight="1" x14ac:dyDescent="0.3">
      <c r="A80" s="934" t="s">
        <v>187</v>
      </c>
      <c r="B80" s="1109"/>
      <c r="C80" s="1137"/>
      <c r="D80" s="1109"/>
      <c r="E80" s="1217"/>
      <c r="F80" s="2098" t="s">
        <v>672</v>
      </c>
      <c r="G80" s="2098"/>
      <c r="H80" s="1288"/>
      <c r="I80" s="1153"/>
      <c r="J80" s="1217"/>
      <c r="K80" s="1396"/>
      <c r="L80" s="1153"/>
      <c r="M80" s="2070"/>
      <c r="N80" s="940" t="s">
        <v>28</v>
      </c>
      <c r="O80" s="940"/>
      <c r="P80" s="940"/>
      <c r="Q80" s="2167"/>
      <c r="R80" s="2067"/>
      <c r="S80" s="2012"/>
      <c r="T80" s="1153"/>
      <c r="U80" s="1217"/>
      <c r="V80" s="1337"/>
      <c r="W80" s="1156"/>
      <c r="X80" s="2168"/>
      <c r="Y80" s="2094"/>
      <c r="Z80" s="2037" t="s">
        <v>642</v>
      </c>
      <c r="AA80" s="2037"/>
      <c r="AB80" s="2037"/>
      <c r="AC80" s="1348"/>
      <c r="AD80" s="1126"/>
      <c r="AE80" s="1252"/>
      <c r="AF80" s="2097"/>
      <c r="AG80" s="2098"/>
      <c r="AH80" s="2098"/>
    </row>
    <row r="81" spans="1:42" ht="34.5" customHeight="1" x14ac:dyDescent="0.25">
      <c r="A81" s="935"/>
      <c r="B81" s="1184"/>
      <c r="C81" s="1137"/>
      <c r="D81" s="1184"/>
      <c r="E81" s="1218"/>
      <c r="F81" s="2031" t="s">
        <v>157</v>
      </c>
      <c r="G81" s="2031"/>
      <c r="H81" s="1335"/>
      <c r="I81" s="1154"/>
      <c r="J81" s="1218"/>
      <c r="K81" s="2147"/>
      <c r="L81" s="1154"/>
      <c r="M81" s="2071"/>
      <c r="N81" s="944" t="s">
        <v>152</v>
      </c>
      <c r="O81" s="944"/>
      <c r="P81" s="945"/>
      <c r="Q81" s="2167"/>
      <c r="R81" s="2068"/>
      <c r="S81" s="2013"/>
      <c r="T81" s="1154"/>
      <c r="U81" s="1218"/>
      <c r="V81" s="1338"/>
      <c r="W81" s="1157"/>
      <c r="X81" s="2169"/>
      <c r="Y81" s="2176"/>
      <c r="Z81" s="2031" t="s">
        <v>157</v>
      </c>
      <c r="AA81" s="2031"/>
      <c r="AB81" s="2031"/>
      <c r="AC81" s="1362"/>
      <c r="AD81" s="1142"/>
      <c r="AE81" s="1253"/>
      <c r="AF81" s="2031"/>
      <c r="AG81" s="1593"/>
      <c r="AH81" s="1593"/>
    </row>
    <row r="82" spans="1:42" ht="46.8" customHeight="1" x14ac:dyDescent="0.3">
      <c r="A82" s="1143" t="s">
        <v>186</v>
      </c>
      <c r="B82" s="1069" t="s">
        <v>29</v>
      </c>
      <c r="C82" s="940"/>
      <c r="D82" s="941"/>
      <c r="E82" s="2171" t="s">
        <v>642</v>
      </c>
      <c r="F82" s="2066" t="s">
        <v>636</v>
      </c>
      <c r="G82" s="2101" t="s">
        <v>157</v>
      </c>
      <c r="H82" s="1069" t="s">
        <v>256</v>
      </c>
      <c r="I82" s="940"/>
      <c r="J82" s="940"/>
      <c r="K82" s="2177" t="s">
        <v>771</v>
      </c>
      <c r="L82" s="2037"/>
      <c r="M82" s="2096"/>
      <c r="N82" s="1069" t="s">
        <v>28</v>
      </c>
      <c r="O82" s="940"/>
      <c r="P82" s="940"/>
      <c r="Q82" s="2171" t="s">
        <v>643</v>
      </c>
      <c r="R82" s="2067" t="s">
        <v>636</v>
      </c>
      <c r="S82" s="2101" t="s">
        <v>645</v>
      </c>
      <c r="T82" s="1069" t="s">
        <v>1361</v>
      </c>
      <c r="U82" s="940"/>
      <c r="V82" s="940"/>
      <c r="W82" s="940"/>
      <c r="X82" s="940"/>
      <c r="Y82" s="1070"/>
      <c r="Z82" s="1069" t="s">
        <v>640</v>
      </c>
      <c r="AA82" s="940"/>
      <c r="AB82" s="940"/>
      <c r="AC82" s="2171" t="s">
        <v>672</v>
      </c>
      <c r="AD82" s="2066" t="s">
        <v>636</v>
      </c>
      <c r="AE82" s="2101" t="s">
        <v>157</v>
      </c>
    </row>
    <row r="83" spans="1:42" ht="34.5" customHeight="1" x14ac:dyDescent="0.25">
      <c r="A83" s="1143"/>
      <c r="B83" s="1067" t="s">
        <v>152</v>
      </c>
      <c r="C83" s="944"/>
      <c r="D83" s="945"/>
      <c r="E83" s="2167"/>
      <c r="F83" s="2067"/>
      <c r="G83" s="2012"/>
      <c r="H83" s="1067" t="s">
        <v>152</v>
      </c>
      <c r="I83" s="944"/>
      <c r="J83" s="945"/>
      <c r="K83" s="2030" t="s">
        <v>157</v>
      </c>
      <c r="L83" s="2031"/>
      <c r="M83" s="2031"/>
      <c r="N83" s="1067" t="s">
        <v>152</v>
      </c>
      <c r="O83" s="944"/>
      <c r="P83" s="945"/>
      <c r="Q83" s="2167"/>
      <c r="R83" s="2067"/>
      <c r="S83" s="2012"/>
      <c r="T83" s="1067" t="s">
        <v>152</v>
      </c>
      <c r="U83" s="944"/>
      <c r="V83" s="944"/>
      <c r="W83" s="1174"/>
      <c r="X83" s="944"/>
      <c r="Y83" s="1068"/>
      <c r="Z83" s="1067" t="s">
        <v>152</v>
      </c>
      <c r="AA83" s="944"/>
      <c r="AB83" s="944"/>
      <c r="AC83" s="2167"/>
      <c r="AD83" s="2067"/>
      <c r="AE83" s="2012"/>
    </row>
    <row r="84" spans="1:42" ht="45.6" customHeight="1" x14ac:dyDescent="0.3">
      <c r="A84" s="935" t="s">
        <v>188</v>
      </c>
      <c r="B84" s="791"/>
      <c r="C84" s="792"/>
      <c r="D84" s="793"/>
      <c r="E84" s="2167"/>
      <c r="F84" s="2067"/>
      <c r="G84" s="2012"/>
      <c r="H84" s="1081" t="s">
        <v>33</v>
      </c>
      <c r="I84" s="939"/>
      <c r="J84" s="939"/>
      <c r="K84" s="939"/>
      <c r="L84" s="939"/>
      <c r="M84" s="1082"/>
      <c r="N84" s="1069" t="s">
        <v>29</v>
      </c>
      <c r="O84" s="940"/>
      <c r="P84" s="940"/>
      <c r="Q84" s="2167"/>
      <c r="R84" s="2067"/>
      <c r="S84" s="2012"/>
      <c r="T84" s="1081" t="s">
        <v>256</v>
      </c>
      <c r="U84" s="939"/>
      <c r="V84" s="939"/>
      <c r="W84" s="2177" t="s">
        <v>771</v>
      </c>
      <c r="X84" s="2037"/>
      <c r="Y84" s="2096"/>
      <c r="Z84" s="1069" t="s">
        <v>640</v>
      </c>
      <c r="AA84" s="940"/>
      <c r="AB84" s="940"/>
      <c r="AC84" s="2167"/>
      <c r="AD84" s="2067"/>
      <c r="AE84" s="2012"/>
    </row>
    <row r="85" spans="1:42" ht="34.5" customHeight="1" x14ac:dyDescent="0.3">
      <c r="A85" s="1143"/>
      <c r="B85" s="794"/>
      <c r="C85" s="795"/>
      <c r="D85" s="796"/>
      <c r="E85" s="2172"/>
      <c r="F85" s="2068"/>
      <c r="G85" s="2013"/>
      <c r="H85" s="1067" t="s">
        <v>152</v>
      </c>
      <c r="I85" s="944"/>
      <c r="J85" s="944"/>
      <c r="K85" s="1174"/>
      <c r="L85" s="944"/>
      <c r="M85" s="1068"/>
      <c r="N85" s="1067" t="s">
        <v>152</v>
      </c>
      <c r="O85" s="944"/>
      <c r="P85" s="945"/>
      <c r="Q85" s="2172"/>
      <c r="R85" s="2068"/>
      <c r="S85" s="2013"/>
      <c r="T85" s="1067" t="s">
        <v>152</v>
      </c>
      <c r="U85" s="944"/>
      <c r="V85" s="945"/>
      <c r="W85" s="2030" t="s">
        <v>157</v>
      </c>
      <c r="X85" s="2031"/>
      <c r="Y85" s="2031"/>
      <c r="Z85" s="1067" t="s">
        <v>152</v>
      </c>
      <c r="AA85" s="944"/>
      <c r="AB85" s="944"/>
      <c r="AC85" s="2172"/>
      <c r="AD85" s="2068"/>
      <c r="AE85" s="2013"/>
      <c r="AF85" s="611"/>
      <c r="AG85" s="611"/>
    </row>
    <row r="86" spans="1:42" ht="34.5" customHeight="1" x14ac:dyDescent="0.3">
      <c r="A86" s="935" t="s">
        <v>189</v>
      </c>
      <c r="B86" s="2119"/>
      <c r="C86" s="2120"/>
      <c r="D86" s="2305"/>
      <c r="E86" s="428"/>
      <c r="F86" s="84"/>
      <c r="G86" s="85"/>
      <c r="H86" s="1000"/>
      <c r="I86" s="967"/>
      <c r="J86" s="968"/>
      <c r="K86" s="1391" t="s">
        <v>28</v>
      </c>
      <c r="L86" s="1153" t="s">
        <v>579</v>
      </c>
      <c r="M86" s="2070" t="s">
        <v>163</v>
      </c>
      <c r="N86" s="2173"/>
      <c r="O86" s="1336"/>
      <c r="P86" s="2184"/>
      <c r="Q86" s="2146" t="s">
        <v>29</v>
      </c>
      <c r="R86" s="1182" t="s">
        <v>579</v>
      </c>
      <c r="S86" s="2069" t="s">
        <v>645</v>
      </c>
      <c r="T86" s="1391" t="s">
        <v>640</v>
      </c>
      <c r="U86" s="1182" t="s">
        <v>580</v>
      </c>
      <c r="V86" s="1137" t="s">
        <v>1260</v>
      </c>
      <c r="W86" s="1358"/>
      <c r="X86" s="1197"/>
      <c r="Y86" s="1252"/>
      <c r="Z86" s="1000"/>
      <c r="AA86" s="967"/>
      <c r="AB86" s="967"/>
      <c r="AC86" s="967"/>
      <c r="AD86" s="967"/>
      <c r="AE86" s="1139"/>
      <c r="AF86" s="612"/>
      <c r="AG86" s="667"/>
    </row>
    <row r="87" spans="1:42" ht="34.5" customHeight="1" x14ac:dyDescent="0.25">
      <c r="A87" s="1143"/>
      <c r="B87" s="2309"/>
      <c r="C87" s="1032"/>
      <c r="D87" s="1033"/>
      <c r="E87" s="74"/>
      <c r="F87" s="74"/>
      <c r="G87" s="75"/>
      <c r="H87" s="1204"/>
      <c r="I87" s="932"/>
      <c r="J87" s="933"/>
      <c r="K87" s="1392"/>
      <c r="L87" s="1153"/>
      <c r="M87" s="2070"/>
      <c r="N87" s="2174"/>
      <c r="O87" s="1337"/>
      <c r="P87" s="2185"/>
      <c r="Q87" s="1396"/>
      <c r="R87" s="1153"/>
      <c r="S87" s="2070"/>
      <c r="T87" s="1392"/>
      <c r="U87" s="1153"/>
      <c r="V87" s="1137"/>
      <c r="W87" s="1348"/>
      <c r="X87" s="1126"/>
      <c r="Y87" s="1252"/>
      <c r="Z87" s="999"/>
      <c r="AA87" s="930"/>
      <c r="AB87" s="930"/>
      <c r="AC87" s="932"/>
      <c r="AD87" s="932"/>
      <c r="AE87" s="1205"/>
    </row>
    <row r="88" spans="1:42" ht="34.5" customHeight="1" x14ac:dyDescent="0.3">
      <c r="A88" s="1143" t="s">
        <v>190</v>
      </c>
      <c r="B88" s="510"/>
      <c r="C88" s="20"/>
      <c r="D88" s="20"/>
      <c r="E88" s="398"/>
      <c r="F88" s="84"/>
      <c r="G88" s="85"/>
      <c r="H88" s="1204"/>
      <c r="I88" s="932"/>
      <c r="J88" s="933"/>
      <c r="K88" s="1392"/>
      <c r="L88" s="1153"/>
      <c r="M88" s="2070"/>
      <c r="N88" s="2174"/>
      <c r="O88" s="1337"/>
      <c r="P88" s="2185"/>
      <c r="Q88" s="1396"/>
      <c r="R88" s="1153"/>
      <c r="S88" s="2070"/>
      <c r="T88" s="1392"/>
      <c r="U88" s="1153"/>
      <c r="V88" s="1137"/>
      <c r="W88" s="1348"/>
      <c r="X88" s="1126"/>
      <c r="Y88" s="1252"/>
      <c r="Z88" s="1000"/>
      <c r="AA88" s="967"/>
      <c r="AB88" s="967"/>
      <c r="AC88" s="967"/>
      <c r="AD88" s="967"/>
      <c r="AE88" s="1139"/>
    </row>
    <row r="89" spans="1:42" ht="34.5" customHeight="1" thickBot="1" x14ac:dyDescent="0.3">
      <c r="A89" s="1223"/>
      <c r="B89" s="20"/>
      <c r="C89" s="20"/>
      <c r="D89" s="20"/>
      <c r="E89" s="399"/>
      <c r="F89" s="38"/>
      <c r="G89" s="39"/>
      <c r="H89" s="1744"/>
      <c r="I89" s="1745"/>
      <c r="J89" s="2249"/>
      <c r="K89" s="2187"/>
      <c r="L89" s="1153"/>
      <c r="M89" s="2156"/>
      <c r="N89" s="2174"/>
      <c r="O89" s="1345"/>
      <c r="P89" s="2186"/>
      <c r="Q89" s="2147"/>
      <c r="R89" s="1154"/>
      <c r="S89" s="2156"/>
      <c r="T89" s="2187"/>
      <c r="U89" s="1183"/>
      <c r="V89" s="1137"/>
      <c r="W89" s="1349"/>
      <c r="X89" s="1127"/>
      <c r="Y89" s="1344"/>
      <c r="Z89" s="1263"/>
      <c r="AA89" s="1264"/>
      <c r="AB89" s="1264"/>
      <c r="AC89" s="1264"/>
      <c r="AD89" s="1264"/>
      <c r="AE89" s="1265"/>
    </row>
    <row r="90" spans="1:42" ht="41.25" customHeight="1" x14ac:dyDescent="0.25">
      <c r="A90" s="304"/>
      <c r="B90" s="304"/>
      <c r="C90" s="304"/>
      <c r="D90" s="304"/>
      <c r="E90" s="10"/>
      <c r="F90" s="10"/>
      <c r="G90" s="10"/>
      <c r="H90" s="10"/>
      <c r="I90" s="10"/>
      <c r="J90" s="10"/>
      <c r="K90" s="304"/>
      <c r="L90" s="304"/>
      <c r="M90" s="304"/>
      <c r="N90" s="31"/>
      <c r="P90" s="31"/>
      <c r="Q90" s="31"/>
      <c r="R90" s="31"/>
      <c r="V90" s="31"/>
    </row>
    <row r="91" spans="1:42" ht="29.25" customHeight="1" x14ac:dyDescent="0.25">
      <c r="A91" s="10"/>
      <c r="B91" s="2336"/>
      <c r="C91" s="2336"/>
      <c r="D91" s="2336"/>
      <c r="E91" s="2336"/>
      <c r="F91" s="2336"/>
      <c r="G91" s="2336"/>
      <c r="H91" s="1644"/>
      <c r="I91" s="1644"/>
      <c r="J91" s="1644"/>
      <c r="K91" s="1644"/>
      <c r="L91" s="1644"/>
      <c r="M91" s="1644"/>
      <c r="N91" s="2339"/>
      <c r="O91" s="2340"/>
      <c r="P91" s="2340"/>
      <c r="Q91" s="2340"/>
      <c r="R91" s="2340"/>
      <c r="S91" s="2340"/>
      <c r="AO91" s="10"/>
      <c r="AP91" s="10"/>
    </row>
    <row r="92" spans="1:42" ht="41.25" customHeight="1" thickBot="1" x14ac:dyDescent="0.3">
      <c r="AO92" s="10"/>
      <c r="AP92" s="10"/>
    </row>
    <row r="93" spans="1:42" ht="18.75" customHeight="1" x14ac:dyDescent="0.25">
      <c r="A93" s="1190" t="s">
        <v>218</v>
      </c>
      <c r="B93" s="1147"/>
      <c r="C93" s="1146" t="s">
        <v>219</v>
      </c>
      <c r="D93" s="1146"/>
      <c r="E93" s="1146"/>
      <c r="F93" s="1146"/>
      <c r="G93" s="1146"/>
      <c r="H93" s="1146"/>
      <c r="I93" s="1146"/>
      <c r="J93" s="1146"/>
      <c r="K93" s="1146"/>
      <c r="L93" s="58"/>
      <c r="M93" s="1144" t="s">
        <v>320</v>
      </c>
      <c r="N93" s="1145"/>
      <c r="O93" s="1146" t="s">
        <v>143</v>
      </c>
      <c r="P93" s="1147"/>
      <c r="Q93" s="1146" t="s">
        <v>167</v>
      </c>
      <c r="R93" s="1146"/>
      <c r="S93" s="1146"/>
      <c r="T93" s="1146"/>
      <c r="U93" s="1146"/>
      <c r="V93" s="1146"/>
      <c r="W93" s="1146"/>
      <c r="X93" s="1146"/>
      <c r="Y93" s="1146"/>
      <c r="Z93" s="1146"/>
      <c r="AA93" s="1146"/>
      <c r="AB93" s="1146"/>
      <c r="AC93" s="1146"/>
      <c r="AD93" s="1146"/>
      <c r="AE93" s="1147"/>
    </row>
    <row r="94" spans="1:42" ht="13.8" x14ac:dyDescent="0.25">
      <c r="A94" s="1065" t="str">
        <f>VLOOKUP(M94,ASIGNATURAS!$F$1:$L$1022, 3, FALSE)</f>
        <v>AUTOMATISMOS</v>
      </c>
      <c r="B94" s="1066"/>
      <c r="C94" s="982" t="str">
        <f>VLOOKUP(M94,ASIGNATURAS!$F$1:$L$1022, 4, FALSE)</f>
        <v>Automatismos y Control Industrial I/E</v>
      </c>
      <c r="D94" s="983"/>
      <c r="E94" s="983"/>
      <c r="F94" s="983"/>
      <c r="G94" s="983"/>
      <c r="H94" s="983"/>
      <c r="I94" s="983"/>
      <c r="J94" s="983"/>
      <c r="K94" s="983"/>
      <c r="L94" s="1018"/>
      <c r="M94" s="981">
        <v>9125</v>
      </c>
      <c r="N94" s="1071"/>
      <c r="O94" s="981">
        <f>VLOOKUP(M94,ASIGNATURAS!$F$1:$L$1022, 5, FALSE)</f>
        <v>6</v>
      </c>
      <c r="P94" s="1071"/>
      <c r="Q94" s="982" t="str">
        <f>VLOOKUP(M94,ASIGNATURAS!$F$1:$L$1022, 6, FALSE)</f>
        <v>José Manuel Luis, Alejandro Merino</v>
      </c>
      <c r="R94" s="983"/>
      <c r="S94" s="983"/>
      <c r="T94" s="983"/>
      <c r="U94" s="983"/>
      <c r="V94" s="983"/>
      <c r="W94" s="983"/>
      <c r="X94" s="983"/>
      <c r="Y94" s="983"/>
      <c r="Z94" s="983"/>
      <c r="AA94" s="983"/>
      <c r="AB94" s="983"/>
      <c r="AC94" s="983"/>
      <c r="AD94" s="983"/>
      <c r="AE94" s="1018"/>
    </row>
    <row r="95" spans="1:42" ht="13.8" x14ac:dyDescent="0.25">
      <c r="A95" s="1065" t="str">
        <f>VLOOKUP(M95,ASIGNATURAS!$F$1:$L$1022, 3, FALSE)</f>
        <v>ORGANIZACION</v>
      </c>
      <c r="B95" s="1066"/>
      <c r="C95" s="982" t="str">
        <f>VLOOKUP(M95,ASIGNATURAS!$F$1:$L$1022, 4, FALSE)</f>
        <v>Organización de la Producción</v>
      </c>
      <c r="D95" s="983"/>
      <c r="E95" s="983"/>
      <c r="F95" s="983"/>
      <c r="G95" s="983"/>
      <c r="H95" s="983"/>
      <c r="I95" s="983"/>
      <c r="J95" s="983"/>
      <c r="K95" s="983"/>
      <c r="L95" s="1018"/>
      <c r="M95" s="981">
        <v>9126</v>
      </c>
      <c r="N95" s="1071"/>
      <c r="O95" s="981">
        <f>VLOOKUP(M95,ASIGNATURAS!$F$1:$L$1022, 5, FALSE)</f>
        <v>6</v>
      </c>
      <c r="P95" s="1071"/>
      <c r="Q95" s="982" t="str">
        <f>VLOOKUP(M95,ASIGNATURAS!$F$1:$L$1022, 6, FALSE)</f>
        <v>Miguel Angel Manzanedo, Carlos Alonso, Ricardo del Olmo</v>
      </c>
      <c r="R95" s="983"/>
      <c r="S95" s="983"/>
      <c r="T95" s="983"/>
      <c r="U95" s="983"/>
      <c r="V95" s="983"/>
      <c r="W95" s="983"/>
      <c r="X95" s="983"/>
      <c r="Y95" s="983"/>
      <c r="Z95" s="983"/>
      <c r="AA95" s="983"/>
      <c r="AB95" s="983"/>
      <c r="AC95" s="983"/>
      <c r="AD95" s="983"/>
      <c r="AE95" s="1018"/>
    </row>
    <row r="96" spans="1:42" ht="13.5" customHeight="1" x14ac:dyDescent="0.25">
      <c r="A96" s="1065" t="str">
        <f>VLOOKUP(M96,ASIGNATURAS!$F$1:$L$1022, 3, FALSE)</f>
        <v>ERMAT</v>
      </c>
      <c r="B96" s="1066"/>
      <c r="C96" s="982" t="str">
        <f>VLOOKUP(M96,ASIGNATURAS!$F$1:$L$1022, 4, FALSE)</f>
        <v>Elasticidad Resistencia de Materialese E/I</v>
      </c>
      <c r="D96" s="983"/>
      <c r="E96" s="983"/>
      <c r="F96" s="983"/>
      <c r="G96" s="983"/>
      <c r="H96" s="983"/>
      <c r="I96" s="983"/>
      <c r="J96" s="983"/>
      <c r="K96" s="983"/>
      <c r="L96" s="1018"/>
      <c r="M96" s="981">
        <v>9127</v>
      </c>
      <c r="N96" s="1071"/>
      <c r="O96" s="981">
        <f>VLOOKUP(M96,ASIGNATURAS!$F$1:$L$1022, 5, FALSE)</f>
        <v>6</v>
      </c>
      <c r="P96" s="1071"/>
      <c r="Q96" s="982" t="str">
        <f>VLOOKUP(M96,ASIGNATURAS!$F$1:$L$1022, 6, FALSE)</f>
        <v>Manuel Solaguren-Beascoa, Wilco M.H. Verbeeten</v>
      </c>
      <c r="R96" s="983"/>
      <c r="S96" s="983"/>
      <c r="T96" s="983"/>
      <c r="U96" s="983"/>
      <c r="V96" s="983"/>
      <c r="W96" s="983"/>
      <c r="X96" s="983"/>
      <c r="Y96" s="983"/>
      <c r="Z96" s="983"/>
      <c r="AA96" s="983"/>
      <c r="AB96" s="983"/>
      <c r="AC96" s="983"/>
      <c r="AD96" s="983"/>
      <c r="AE96" s="1018"/>
    </row>
    <row r="97" spans="1:31" ht="13.8" x14ac:dyDescent="0.25">
      <c r="A97" s="1065" t="str">
        <f>VLOOKUP(M97,ASIGNATURAS!$F$1:$L$1022, 3, FALSE)</f>
        <v>ING. ELECTRICA</v>
      </c>
      <c r="B97" s="1066"/>
      <c r="C97" s="982" t="str">
        <f>VLOOKUP(M97,ASIGNATURAS!$F$1:$L$1022, 4, FALSE)</f>
        <v>Fund de Ingeniería Eléctrica E/I</v>
      </c>
      <c r="D97" s="983"/>
      <c r="E97" s="983"/>
      <c r="F97" s="983"/>
      <c r="G97" s="983"/>
      <c r="H97" s="983"/>
      <c r="I97" s="983"/>
      <c r="J97" s="983"/>
      <c r="K97" s="983"/>
      <c r="L97" s="1018"/>
      <c r="M97" s="981">
        <v>9128</v>
      </c>
      <c r="N97" s="1071"/>
      <c r="O97" s="981">
        <f>VLOOKUP(M97,ASIGNATURAS!$F$1:$L$1022, 5, FALSE)</f>
        <v>6</v>
      </c>
      <c r="P97" s="1071"/>
      <c r="Q97" s="982" t="str">
        <f>VLOOKUP(M97,ASIGNATURAS!$F$1:$L$1022, 6, FALSE)</f>
        <v>Jesus Sagredo, Javier González, Victoria Abad</v>
      </c>
      <c r="R97" s="983"/>
      <c r="S97" s="983"/>
      <c r="T97" s="983"/>
      <c r="U97" s="983"/>
      <c r="V97" s="983"/>
      <c r="W97" s="983"/>
      <c r="X97" s="983"/>
      <c r="Y97" s="983"/>
      <c r="Z97" s="983"/>
      <c r="AA97" s="983"/>
      <c r="AB97" s="983"/>
      <c r="AC97" s="983"/>
      <c r="AD97" s="983"/>
      <c r="AE97" s="1018"/>
    </row>
    <row r="98" spans="1:31" ht="13.8" x14ac:dyDescent="0.25">
      <c r="A98" s="1065" t="str">
        <f>VLOOKUP(M98,ASIGNATURAS!$F$1:$L$1022, 3, FALSE)</f>
        <v>FLUIDOMECANICA</v>
      </c>
      <c r="B98" s="1066"/>
      <c r="C98" s="982" t="str">
        <f>VLOOKUP(M98,ASIGNATURAS!$F$1:$L$1022, 4, FALSE)</f>
        <v>Ingeniería Fluidomecánica E/I (Español/Inglés)</v>
      </c>
      <c r="D98" s="983"/>
      <c r="E98" s="983"/>
      <c r="F98" s="983"/>
      <c r="G98" s="983"/>
      <c r="H98" s="983"/>
      <c r="I98" s="983"/>
      <c r="J98" s="983"/>
      <c r="K98" s="983"/>
      <c r="L98" s="1018"/>
      <c r="M98" s="981">
        <v>9129</v>
      </c>
      <c r="N98" s="1071"/>
      <c r="O98" s="981">
        <f>VLOOKUP(M98,ASIGNATURAS!$F$1:$L$1022, 5, FALSE)</f>
        <v>6</v>
      </c>
      <c r="P98" s="1071"/>
      <c r="Q98" s="982" t="str">
        <f>VLOOKUP(M98,ASIGNATURAS!$F$1:$L$1022, 6, FALSE)</f>
        <v>Jesús Marcos García, José Antonio Barón</v>
      </c>
      <c r="R98" s="983"/>
      <c r="S98" s="983"/>
      <c r="T98" s="983"/>
      <c r="U98" s="983"/>
      <c r="V98" s="983"/>
      <c r="W98" s="983"/>
      <c r="X98" s="983"/>
      <c r="Y98" s="983"/>
      <c r="Z98" s="983"/>
      <c r="AA98" s="983"/>
      <c r="AB98" s="983"/>
      <c r="AC98" s="983"/>
      <c r="AD98" s="983"/>
      <c r="AE98" s="1018"/>
    </row>
    <row r="101" spans="1:31" ht="24" customHeight="1" x14ac:dyDescent="0.25">
      <c r="A101" s="1101" t="s">
        <v>1050</v>
      </c>
      <c r="B101" s="1101"/>
      <c r="C101" s="1101"/>
      <c r="D101" s="1101"/>
      <c r="E101" s="1101"/>
      <c r="M101" s="1411"/>
      <c r="N101" s="1411"/>
      <c r="O101" s="1411"/>
      <c r="P101" s="1411"/>
    </row>
    <row r="102" spans="1:31" ht="24" customHeight="1" x14ac:dyDescent="0.25">
      <c r="A102" s="2148" t="s">
        <v>1046</v>
      </c>
      <c r="B102" s="2148"/>
      <c r="C102" s="2148"/>
      <c r="D102" s="2148"/>
      <c r="E102" s="2148"/>
    </row>
    <row r="103" spans="1:31" x14ac:dyDescent="0.25">
      <c r="A103" s="453" t="s">
        <v>1060</v>
      </c>
      <c r="B103" s="440"/>
      <c r="C103" s="440"/>
      <c r="D103" s="440"/>
      <c r="E103" s="440"/>
      <c r="F103" s="440"/>
      <c r="G103" s="440"/>
      <c r="H103" s="440"/>
      <c r="I103" s="440"/>
      <c r="J103" s="440"/>
      <c r="K103" s="440"/>
      <c r="L103" s="440"/>
      <c r="M103" s="440"/>
      <c r="N103" s="440"/>
      <c r="O103" s="440"/>
      <c r="P103" s="440"/>
      <c r="Q103" s="440"/>
      <c r="R103" s="440"/>
      <c r="S103" s="440"/>
    </row>
    <row r="104" spans="1:31" x14ac:dyDescent="0.25">
      <c r="A104" s="20" t="s">
        <v>217</v>
      </c>
    </row>
    <row r="105" spans="1:31" x14ac:dyDescent="0.25">
      <c r="A105" s="350" t="s">
        <v>1032</v>
      </c>
    </row>
    <row r="107" spans="1:31" ht="13.8" thickBot="1" x14ac:dyDescent="0.3"/>
    <row r="108" spans="1:31" s="1" customFormat="1" ht="31.5" customHeight="1" thickBot="1" x14ac:dyDescent="0.45">
      <c r="A108" s="1094" t="str">
        <f>VLOOKUP(A111,ASIGNATURAS!$A$2:$D$151, 3, FALSE)</f>
        <v>2º Grado en Ingeniería de Organización Industrial</v>
      </c>
      <c r="B108" s="1095"/>
      <c r="C108" s="1095"/>
      <c r="D108" s="1095"/>
      <c r="E108" s="1095"/>
      <c r="F108" s="1095"/>
      <c r="G108" s="1095"/>
      <c r="H108" s="1095"/>
      <c r="I108" s="1095"/>
      <c r="J108" s="1095"/>
      <c r="K108" s="1095"/>
      <c r="L108" s="1095"/>
      <c r="M108" s="1095"/>
      <c r="N108" s="1095"/>
      <c r="O108" s="1095"/>
      <c r="P108" s="1095"/>
      <c r="Q108" s="1095"/>
      <c r="R108" s="1095"/>
      <c r="S108" s="1095"/>
      <c r="T108" s="1095"/>
      <c r="U108" s="1095"/>
      <c r="V108" s="1095"/>
      <c r="W108" s="1095"/>
      <c r="X108" s="1095"/>
      <c r="Y108" s="1096"/>
      <c r="Z108" s="1076" t="str">
        <f>Z1</f>
        <v>Curso 2024-2025</v>
      </c>
      <c r="AA108" s="1077"/>
      <c r="AB108" s="1077"/>
      <c r="AC108" s="1077"/>
      <c r="AD108" s="1077"/>
      <c r="AE108" s="1078"/>
    </row>
    <row r="109" spans="1:31" s="8" customFormat="1" ht="23.25" customHeight="1" thickBot="1" x14ac:dyDescent="0.45">
      <c r="A109" s="1083" t="str">
        <f>VLOOKUP(A111,ASIGNATURAS!$A$2:$D$151, 2, FALSE)</f>
        <v>Semestre temporal: 2º        (4º Semestre Académico)</v>
      </c>
      <c r="B109" s="1084"/>
      <c r="C109" s="1084"/>
      <c r="D109" s="1084"/>
      <c r="E109" s="1084"/>
      <c r="F109" s="1084"/>
      <c r="G109" s="1084"/>
      <c r="H109" s="1084"/>
      <c r="I109" s="1084"/>
      <c r="J109" s="1084"/>
      <c r="K109" s="1084"/>
      <c r="L109" s="1084"/>
      <c r="M109" s="1084"/>
      <c r="N109" s="1084"/>
      <c r="O109" s="1084"/>
      <c r="P109" s="1084"/>
      <c r="Q109" s="1084"/>
      <c r="R109" s="1084"/>
      <c r="S109" s="1084"/>
      <c r="T109" s="1084"/>
      <c r="U109" s="1084"/>
      <c r="V109" s="1084"/>
      <c r="W109" s="1084"/>
      <c r="X109" s="1084"/>
      <c r="Y109" s="1085"/>
      <c r="Z109" s="2149" t="s">
        <v>1269</v>
      </c>
      <c r="AA109" s="1193"/>
      <c r="AB109" s="1193"/>
      <c r="AC109" s="1193"/>
      <c r="AD109" s="1193"/>
      <c r="AE109" s="1194"/>
    </row>
    <row r="110" spans="1:31" s="8" customFormat="1" ht="23.25" customHeight="1" thickBot="1" x14ac:dyDescent="0.45">
      <c r="A110" s="1083" t="s">
        <v>181</v>
      </c>
      <c r="B110" s="1084"/>
      <c r="C110" s="1084"/>
      <c r="D110" s="1084"/>
      <c r="E110" s="1084"/>
      <c r="F110" s="1084"/>
      <c r="G110" s="1084"/>
      <c r="H110" s="1084"/>
      <c r="I110" s="1084"/>
      <c r="J110" s="1084"/>
      <c r="K110" s="1084"/>
      <c r="L110" s="1084"/>
      <c r="M110" s="1084"/>
      <c r="N110" s="1084"/>
      <c r="O110" s="1084"/>
      <c r="P110" s="1084"/>
      <c r="Q110" s="1084"/>
      <c r="R110" s="1084"/>
      <c r="S110" s="1084"/>
      <c r="T110" s="1084"/>
      <c r="U110" s="1084"/>
      <c r="V110" s="1084"/>
      <c r="W110" s="1084"/>
      <c r="X110" s="1084"/>
      <c r="Y110" s="1085"/>
      <c r="Z110" s="2306"/>
      <c r="AA110" s="2307"/>
      <c r="AB110" s="2307"/>
      <c r="AC110" s="2307"/>
      <c r="AD110" s="2307"/>
      <c r="AE110" s="2308"/>
    </row>
    <row r="111" spans="1:31" ht="38.25" customHeight="1" thickBot="1" x14ac:dyDescent="0.3">
      <c r="A111" s="9" t="s">
        <v>62</v>
      </c>
    </row>
    <row r="112" spans="1:31" s="2" customFormat="1" ht="24" customHeight="1" thickBot="1" x14ac:dyDescent="0.3">
      <c r="A112" s="19" t="s">
        <v>1</v>
      </c>
      <c r="B112" s="1091" t="s">
        <v>2</v>
      </c>
      <c r="C112" s="1092"/>
      <c r="D112" s="1092"/>
      <c r="E112" s="1092"/>
      <c r="F112" s="1092"/>
      <c r="G112" s="1093"/>
      <c r="H112" s="1091" t="s">
        <v>3</v>
      </c>
      <c r="I112" s="1092"/>
      <c r="J112" s="1092"/>
      <c r="K112" s="1092"/>
      <c r="L112" s="1092"/>
      <c r="M112" s="1093"/>
      <c r="N112" s="1091" t="s">
        <v>139</v>
      </c>
      <c r="O112" s="1092"/>
      <c r="P112" s="1092"/>
      <c r="Q112" s="1092"/>
      <c r="R112" s="1092"/>
      <c r="S112" s="1093"/>
      <c r="T112" s="1091" t="s">
        <v>4</v>
      </c>
      <c r="U112" s="1092"/>
      <c r="V112" s="1092"/>
      <c r="W112" s="1092"/>
      <c r="X112" s="1092"/>
      <c r="Y112" s="1093"/>
      <c r="Z112" s="1091" t="s">
        <v>5</v>
      </c>
      <c r="AA112" s="1092"/>
      <c r="AB112" s="1092"/>
      <c r="AC112" s="1092"/>
      <c r="AD112" s="1092"/>
      <c r="AE112" s="1093"/>
    </row>
    <row r="113" spans="1:41" ht="38.25" customHeight="1" thickBot="1" x14ac:dyDescent="0.35">
      <c r="A113" s="966" t="s">
        <v>1131</v>
      </c>
      <c r="B113" s="1109" t="s">
        <v>94</v>
      </c>
      <c r="C113" s="1153" t="s">
        <v>579</v>
      </c>
      <c r="D113" s="1293" t="s">
        <v>147</v>
      </c>
      <c r="E113" s="69"/>
      <c r="F113" s="69"/>
      <c r="G113" s="285"/>
      <c r="H113" s="166" t="s">
        <v>579</v>
      </c>
      <c r="I113" s="2016" t="s">
        <v>682</v>
      </c>
      <c r="J113" s="528" t="s">
        <v>580</v>
      </c>
      <c r="K113" s="2170" t="s">
        <v>1305</v>
      </c>
      <c r="L113" s="886" t="s">
        <v>636</v>
      </c>
      <c r="M113" s="2331" t="s">
        <v>157</v>
      </c>
      <c r="N113" s="2134" t="s">
        <v>99</v>
      </c>
      <c r="O113" s="1307" t="s">
        <v>579</v>
      </c>
      <c r="P113" s="2170" t="s">
        <v>1305</v>
      </c>
      <c r="Q113" s="1396" t="s">
        <v>30</v>
      </c>
      <c r="R113" s="1153" t="s">
        <v>580</v>
      </c>
      <c r="S113" s="1217" t="s">
        <v>682</v>
      </c>
      <c r="T113" s="2180" t="s">
        <v>31</v>
      </c>
      <c r="U113" s="970"/>
      <c r="V113" s="970"/>
      <c r="W113" s="970"/>
      <c r="X113" s="970"/>
      <c r="Y113" s="2181"/>
      <c r="Z113" s="1346"/>
      <c r="AA113" s="2182"/>
      <c r="AB113" s="1243"/>
      <c r="AC113" s="1348"/>
      <c r="AD113" s="1126"/>
      <c r="AE113" s="1252"/>
    </row>
    <row r="114" spans="1:41" ht="35.25" customHeight="1" x14ac:dyDescent="0.25">
      <c r="A114" s="935"/>
      <c r="B114" s="1109"/>
      <c r="C114" s="1153"/>
      <c r="D114" s="1137"/>
      <c r="E114" s="69"/>
      <c r="F114" s="69"/>
      <c r="G114" s="285"/>
      <c r="H114" s="1169" t="s">
        <v>30</v>
      </c>
      <c r="I114" s="1217"/>
      <c r="J114" s="1333" t="s">
        <v>99</v>
      </c>
      <c r="K114" s="1312"/>
      <c r="L114" s="2334" t="s">
        <v>686</v>
      </c>
      <c r="M114" s="2332"/>
      <c r="N114" s="2135"/>
      <c r="O114" s="1307"/>
      <c r="P114" s="1312"/>
      <c r="Q114" s="1396"/>
      <c r="R114" s="1153"/>
      <c r="S114" s="1217"/>
      <c r="T114" s="2131" t="s">
        <v>158</v>
      </c>
      <c r="U114" s="2132"/>
      <c r="V114" s="2132"/>
      <c r="W114" s="2132"/>
      <c r="X114" s="2132"/>
      <c r="Y114" s="2133"/>
      <c r="Z114" s="1346"/>
      <c r="AA114" s="2182"/>
      <c r="AB114" s="1243"/>
      <c r="AC114" s="1348"/>
      <c r="AD114" s="1126"/>
      <c r="AE114" s="1252"/>
      <c r="AK114" s="1314"/>
      <c r="AL114" s="1314"/>
      <c r="AM114" s="2354"/>
    </row>
    <row r="115" spans="1:41" ht="30" customHeight="1" x14ac:dyDescent="0.25">
      <c r="A115" s="934" t="s">
        <v>187</v>
      </c>
      <c r="B115" s="1153"/>
      <c r="C115" s="1153"/>
      <c r="D115" s="1137"/>
      <c r="E115" s="2146" t="s">
        <v>1250</v>
      </c>
      <c r="F115" s="1182" t="s">
        <v>580</v>
      </c>
      <c r="G115" s="2069" t="s">
        <v>148</v>
      </c>
      <c r="H115" s="1169"/>
      <c r="I115" s="1217"/>
      <c r="J115" s="1333"/>
      <c r="K115" s="1312"/>
      <c r="L115" s="2334"/>
      <c r="M115" s="2332"/>
      <c r="N115" s="2135"/>
      <c r="O115" s="1307"/>
      <c r="P115" s="1312"/>
      <c r="Q115" s="1396"/>
      <c r="R115" s="1153"/>
      <c r="S115" s="1217"/>
      <c r="T115" s="2150" t="s">
        <v>31</v>
      </c>
      <c r="U115" s="2160" t="s">
        <v>579</v>
      </c>
      <c r="V115" s="2153" t="s">
        <v>158</v>
      </c>
      <c r="W115" s="2341"/>
      <c r="X115" s="2343"/>
      <c r="Y115" s="2165"/>
      <c r="Z115" s="1346"/>
      <c r="AA115" s="2182"/>
      <c r="AB115" s="1243"/>
      <c r="AC115" s="1348"/>
      <c r="AD115" s="1126"/>
      <c r="AE115" s="1252"/>
      <c r="AK115" s="1314"/>
      <c r="AL115" s="1314"/>
      <c r="AM115" s="2354"/>
    </row>
    <row r="116" spans="1:41" ht="30" customHeight="1" x14ac:dyDescent="0.25">
      <c r="A116" s="935"/>
      <c r="B116" s="1153"/>
      <c r="C116" s="1153"/>
      <c r="D116" s="1137"/>
      <c r="E116" s="1396"/>
      <c r="F116" s="1153"/>
      <c r="G116" s="2070"/>
      <c r="H116" s="1170"/>
      <c r="I116" s="1217"/>
      <c r="J116" s="2333"/>
      <c r="K116" s="1312"/>
      <c r="L116" s="2335"/>
      <c r="M116" s="2332"/>
      <c r="N116" s="2135"/>
      <c r="O116" s="1307"/>
      <c r="P116" s="1312"/>
      <c r="Q116" s="1396"/>
      <c r="R116" s="1153"/>
      <c r="S116" s="1217"/>
      <c r="T116" s="2151"/>
      <c r="U116" s="2161"/>
      <c r="V116" s="2154"/>
      <c r="W116" s="2341"/>
      <c r="X116" s="2343"/>
      <c r="Y116" s="2165"/>
      <c r="Z116" s="1390"/>
      <c r="AA116" s="2183"/>
      <c r="AB116" s="1244"/>
      <c r="AC116" s="1362"/>
      <c r="AD116" s="1142"/>
      <c r="AE116" s="1253"/>
      <c r="AK116" s="1314"/>
      <c r="AL116" s="1314"/>
      <c r="AM116" s="2354"/>
    </row>
    <row r="117" spans="1:41" ht="30" customHeight="1" x14ac:dyDescent="0.3">
      <c r="A117" s="1143" t="s">
        <v>186</v>
      </c>
      <c r="B117" s="1153"/>
      <c r="C117" s="1153"/>
      <c r="D117" s="1137"/>
      <c r="E117" s="1396"/>
      <c r="F117" s="1153"/>
      <c r="G117" s="2070"/>
      <c r="H117" s="1069" t="s">
        <v>941</v>
      </c>
      <c r="I117" s="940"/>
      <c r="J117" s="940"/>
      <c r="K117" s="940"/>
      <c r="L117" s="940"/>
      <c r="M117" s="1070"/>
      <c r="N117" s="1069" t="s">
        <v>30</v>
      </c>
      <c r="O117" s="940"/>
      <c r="P117" s="940"/>
      <c r="Q117" s="940"/>
      <c r="R117" s="940"/>
      <c r="S117" s="1070"/>
      <c r="T117" s="2151"/>
      <c r="U117" s="2161"/>
      <c r="V117" s="2154"/>
      <c r="W117" s="2341"/>
      <c r="X117" s="2343"/>
      <c r="Y117" s="2165"/>
      <c r="Z117" s="1000"/>
      <c r="AA117" s="967"/>
      <c r="AB117" s="967"/>
      <c r="AC117" s="967"/>
      <c r="AD117" s="967"/>
      <c r="AE117" s="1139"/>
      <c r="AG117" s="1081"/>
      <c r="AH117" s="939"/>
      <c r="AI117" s="939"/>
      <c r="AK117" s="1314"/>
      <c r="AL117" s="1314"/>
      <c r="AM117" s="2354"/>
    </row>
    <row r="118" spans="1:41" ht="30" customHeight="1" x14ac:dyDescent="0.25">
      <c r="A118" s="1143"/>
      <c r="B118" s="1154"/>
      <c r="C118" s="1154"/>
      <c r="D118" s="1138"/>
      <c r="E118" s="2147"/>
      <c r="F118" s="1154"/>
      <c r="G118" s="2071"/>
      <c r="H118" s="2131" t="s">
        <v>147</v>
      </c>
      <c r="I118" s="2132"/>
      <c r="J118" s="2132"/>
      <c r="K118" s="2132"/>
      <c r="L118" s="2132"/>
      <c r="M118" s="2133"/>
      <c r="N118" s="1067" t="s">
        <v>158</v>
      </c>
      <c r="O118" s="944"/>
      <c r="P118" s="944"/>
      <c r="Q118" s="944"/>
      <c r="R118" s="944"/>
      <c r="S118" s="1068"/>
      <c r="T118" s="2152"/>
      <c r="U118" s="2162"/>
      <c r="V118" s="2155"/>
      <c r="W118" s="2342"/>
      <c r="X118" s="2344"/>
      <c r="Y118" s="2166"/>
      <c r="Z118" s="999"/>
      <c r="AA118" s="930"/>
      <c r="AB118" s="930"/>
      <c r="AC118" s="930"/>
      <c r="AD118" s="930"/>
      <c r="AE118" s="1140"/>
      <c r="AG118" s="1322"/>
      <c r="AH118" s="1174"/>
      <c r="AI118" s="1174"/>
      <c r="AK118" s="1314"/>
      <c r="AL118" s="1314"/>
      <c r="AM118" s="2354"/>
    </row>
    <row r="119" spans="1:41" ht="30" customHeight="1" x14ac:dyDescent="0.3">
      <c r="A119" s="935" t="s">
        <v>188</v>
      </c>
      <c r="B119" s="1287" t="s">
        <v>1250</v>
      </c>
      <c r="C119" s="1182" t="s">
        <v>579</v>
      </c>
      <c r="D119" s="1353" t="s">
        <v>148</v>
      </c>
      <c r="E119" s="1317" t="s">
        <v>94</v>
      </c>
      <c r="F119" s="1182" t="s">
        <v>580</v>
      </c>
      <c r="G119" s="1188" t="s">
        <v>147</v>
      </c>
      <c r="H119" s="1069" t="s">
        <v>30</v>
      </c>
      <c r="I119" s="940"/>
      <c r="J119" s="940"/>
      <c r="K119" s="940"/>
      <c r="L119" s="940"/>
      <c r="M119" s="1070"/>
      <c r="N119" s="2345" t="s">
        <v>673</v>
      </c>
      <c r="O119" s="2346"/>
      <c r="P119" s="2347"/>
      <c r="Q119" s="940" t="s">
        <v>970</v>
      </c>
      <c r="R119" s="940"/>
      <c r="S119" s="1070"/>
      <c r="T119" s="1069" t="s">
        <v>970</v>
      </c>
      <c r="U119" s="940"/>
      <c r="V119" s="940"/>
      <c r="W119" s="940"/>
      <c r="X119" s="940"/>
      <c r="Y119" s="1070"/>
      <c r="Z119" s="2337"/>
      <c r="AA119" s="1003"/>
      <c r="AB119" s="1003"/>
      <c r="AC119" s="1003"/>
      <c r="AD119" s="1003"/>
      <c r="AE119" s="2338"/>
      <c r="AK119" s="1314"/>
      <c r="AL119" s="1314"/>
      <c r="AM119" s="2354"/>
    </row>
    <row r="120" spans="1:41" ht="30" customHeight="1" x14ac:dyDescent="0.3">
      <c r="A120" s="1143"/>
      <c r="B120" s="1288"/>
      <c r="C120" s="1153"/>
      <c r="D120" s="1342"/>
      <c r="E120" s="1109"/>
      <c r="F120" s="1153"/>
      <c r="G120" s="1188"/>
      <c r="H120" s="1067" t="s">
        <v>158</v>
      </c>
      <c r="I120" s="944"/>
      <c r="J120" s="944"/>
      <c r="K120" s="944"/>
      <c r="L120" s="944"/>
      <c r="M120" s="1068"/>
      <c r="N120" s="2348" t="s">
        <v>162</v>
      </c>
      <c r="O120" s="2006"/>
      <c r="P120" s="2007"/>
      <c r="Q120" s="2349" t="s">
        <v>158</v>
      </c>
      <c r="R120" s="944"/>
      <c r="S120" s="1068"/>
      <c r="T120" s="1067" t="s">
        <v>158</v>
      </c>
      <c r="U120" s="944"/>
      <c r="V120" s="944"/>
      <c r="W120" s="944"/>
      <c r="X120" s="944"/>
      <c r="Y120" s="1068"/>
      <c r="Z120" s="2255"/>
      <c r="AA120" s="2256"/>
      <c r="AB120" s="2256"/>
      <c r="AC120" s="2256"/>
      <c r="AD120" s="2256"/>
      <c r="AE120" s="2257"/>
      <c r="AG120" s="1081"/>
      <c r="AH120" s="939"/>
      <c r="AI120" s="939"/>
    </row>
    <row r="121" spans="1:41" ht="30" customHeight="1" thickBot="1" x14ac:dyDescent="0.35">
      <c r="A121" s="935" t="s">
        <v>189</v>
      </c>
      <c r="B121" s="1288"/>
      <c r="C121" s="1153"/>
      <c r="D121" s="1342"/>
      <c r="E121" s="1109"/>
      <c r="F121" s="1153"/>
      <c r="G121" s="1188"/>
      <c r="H121" s="2250"/>
      <c r="I121" s="1332"/>
      <c r="J121" s="2178"/>
      <c r="K121" s="2003" t="s">
        <v>673</v>
      </c>
      <c r="L121" s="2003"/>
      <c r="M121" s="2004"/>
      <c r="N121" s="1069" t="s">
        <v>31</v>
      </c>
      <c r="O121" s="940"/>
      <c r="P121" s="940"/>
      <c r="Q121" s="940"/>
      <c r="R121" s="940"/>
      <c r="S121" s="1070"/>
      <c r="T121" s="2180" t="s">
        <v>1250</v>
      </c>
      <c r="U121" s="970"/>
      <c r="V121" s="970"/>
      <c r="W121" s="970"/>
      <c r="X121" s="970"/>
      <c r="Y121" s="2181"/>
      <c r="Z121" s="138"/>
      <c r="AA121" s="139"/>
      <c r="AB121" s="458"/>
      <c r="AC121" s="69"/>
      <c r="AD121" s="69"/>
      <c r="AE121" s="285"/>
      <c r="AG121" s="1322"/>
      <c r="AH121" s="1174"/>
      <c r="AI121" s="1174"/>
    </row>
    <row r="122" spans="1:41" ht="30" customHeight="1" x14ac:dyDescent="0.25">
      <c r="A122" s="1143"/>
      <c r="B122" s="1288"/>
      <c r="C122" s="1154"/>
      <c r="D122" s="1342"/>
      <c r="E122" s="1109"/>
      <c r="F122" s="1153"/>
      <c r="G122" s="1188"/>
      <c r="H122" s="2251"/>
      <c r="I122" s="1332"/>
      <c r="J122" s="1321"/>
      <c r="K122" s="2005" t="s">
        <v>162</v>
      </c>
      <c r="L122" s="2006"/>
      <c r="M122" s="2007"/>
      <c r="N122" s="1067" t="s">
        <v>158</v>
      </c>
      <c r="O122" s="944"/>
      <c r="P122" s="944"/>
      <c r="Q122" s="944"/>
      <c r="R122" s="944"/>
      <c r="S122" s="1068"/>
      <c r="T122" s="2131" t="s">
        <v>158</v>
      </c>
      <c r="U122" s="2132"/>
      <c r="V122" s="2132"/>
      <c r="W122" s="2132"/>
      <c r="X122" s="2132"/>
      <c r="Y122" s="2133"/>
      <c r="Z122" s="138"/>
      <c r="AA122" s="139"/>
      <c r="AB122" s="458"/>
      <c r="AC122" s="69"/>
      <c r="AD122" s="69"/>
      <c r="AE122" s="285"/>
      <c r="AM122" s="1396"/>
      <c r="AN122" s="1153"/>
      <c r="AO122" s="1342"/>
    </row>
    <row r="123" spans="1:41" ht="30" customHeight="1" x14ac:dyDescent="0.3">
      <c r="A123" s="1143" t="s">
        <v>190</v>
      </c>
      <c r="B123" s="197"/>
      <c r="D123" s="198"/>
      <c r="E123" s="1109"/>
      <c r="F123" s="1153"/>
      <c r="G123" s="1188"/>
      <c r="H123" s="2251"/>
      <c r="I123" s="1332"/>
      <c r="J123" s="1321"/>
      <c r="K123" s="776"/>
      <c r="L123" s="776"/>
      <c r="M123" s="872"/>
      <c r="N123" s="774"/>
      <c r="O123" s="776"/>
      <c r="P123" s="873"/>
      <c r="Q123" s="84"/>
      <c r="R123" s="84"/>
      <c r="S123" s="85"/>
      <c r="T123" s="1069" t="s">
        <v>1250</v>
      </c>
      <c r="U123" s="940"/>
      <c r="V123" s="940"/>
      <c r="W123" s="940"/>
      <c r="X123" s="940"/>
      <c r="Y123" s="1070"/>
      <c r="Z123" s="1163"/>
      <c r="AA123" s="1164"/>
      <c r="AB123" s="1164"/>
      <c r="AC123" s="1164"/>
      <c r="AD123" s="1164"/>
      <c r="AE123" s="1165"/>
      <c r="AM123" s="1396"/>
      <c r="AN123" s="1153"/>
      <c r="AO123" s="1342"/>
    </row>
    <row r="124" spans="1:41" ht="30" customHeight="1" thickBot="1" x14ac:dyDescent="0.3">
      <c r="A124" s="1223"/>
      <c r="B124" s="34"/>
      <c r="C124" s="35"/>
      <c r="D124" s="225"/>
      <c r="E124" s="1110"/>
      <c r="F124" s="1183"/>
      <c r="G124" s="1188"/>
      <c r="H124" s="2252"/>
      <c r="I124" s="1332"/>
      <c r="J124" s="2179"/>
      <c r="K124" s="776"/>
      <c r="L124" s="776"/>
      <c r="M124" s="871"/>
      <c r="N124" s="874"/>
      <c r="O124" s="875"/>
      <c r="P124" s="876"/>
      <c r="Q124" s="877"/>
      <c r="R124" s="298"/>
      <c r="S124" s="299"/>
      <c r="T124" s="1303" t="s">
        <v>158</v>
      </c>
      <c r="U124" s="1304"/>
      <c r="V124" s="1304"/>
      <c r="W124" s="1304"/>
      <c r="X124" s="1304"/>
      <c r="Y124" s="1305"/>
      <c r="Z124" s="1166"/>
      <c r="AA124" s="1167"/>
      <c r="AB124" s="1167"/>
      <c r="AC124" s="1167"/>
      <c r="AD124" s="1167"/>
      <c r="AE124" s="1168"/>
      <c r="AM124" s="1396"/>
      <c r="AN124" s="1153"/>
      <c r="AO124" s="1342"/>
    </row>
    <row r="125" spans="1:41" ht="41.25" customHeight="1" thickBot="1" x14ac:dyDescent="0.3">
      <c r="A125" s="35"/>
      <c r="G125" s="231"/>
      <c r="I125" s="231"/>
      <c r="J125" s="231"/>
      <c r="K125" s="231"/>
      <c r="L125" s="231"/>
      <c r="P125" s="231"/>
      <c r="AM125" s="1396"/>
      <c r="AN125" s="1153"/>
      <c r="AO125" s="1342"/>
    </row>
    <row r="126" spans="1:41" ht="18.75" customHeight="1" x14ac:dyDescent="0.25">
      <c r="A126" s="1190" t="s">
        <v>218</v>
      </c>
      <c r="B126" s="1147"/>
      <c r="C126" s="1146" t="s">
        <v>219</v>
      </c>
      <c r="D126" s="1146"/>
      <c r="E126" s="1146"/>
      <c r="F126" s="1146"/>
      <c r="G126" s="1146"/>
      <c r="H126" s="1146"/>
      <c r="I126" s="1146"/>
      <c r="J126" s="1146"/>
      <c r="K126" s="1146"/>
      <c r="L126" s="58"/>
      <c r="M126" s="1144" t="s">
        <v>321</v>
      </c>
      <c r="N126" s="1145"/>
      <c r="O126" s="1146" t="s">
        <v>143</v>
      </c>
      <c r="P126" s="1147"/>
      <c r="Q126" s="1940" t="s">
        <v>167</v>
      </c>
      <c r="R126" s="2130"/>
      <c r="S126" s="2130"/>
      <c r="T126" s="2130"/>
      <c r="U126" s="2130"/>
      <c r="V126" s="2130"/>
      <c r="W126" s="2130"/>
      <c r="X126" s="2130"/>
      <c r="Y126" s="2130"/>
      <c r="Z126" s="2130"/>
      <c r="AA126" s="2130"/>
      <c r="AB126" s="2130"/>
      <c r="AC126" s="2130"/>
      <c r="AD126" s="2130"/>
      <c r="AE126" s="1941"/>
    </row>
    <row r="127" spans="1:41" ht="13.8" x14ac:dyDescent="0.25">
      <c r="A127" s="1065" t="str">
        <f>VLOOKUP(M127,ASIGNATURAS!$F$1:$L$1022, 3, FALSE)</f>
        <v>EXP. GRÁFICA II</v>
      </c>
      <c r="B127" s="1066"/>
      <c r="C127" s="982" t="str">
        <f>VLOOKUP(M127,ASIGNATURAS!$F$1:$L$1022, 4, FALSE)</f>
        <v>Expresión Gráfica II</v>
      </c>
      <c r="D127" s="983"/>
      <c r="E127" s="983"/>
      <c r="F127" s="983"/>
      <c r="G127" s="983"/>
      <c r="H127" s="983"/>
      <c r="I127" s="983"/>
      <c r="J127" s="983"/>
      <c r="K127" s="983"/>
      <c r="L127" s="1018"/>
      <c r="M127" s="981">
        <v>9130</v>
      </c>
      <c r="N127" s="1071"/>
      <c r="O127" s="981">
        <f>VLOOKUP(M127,ASIGNATURAS!$F$1:$L$1022, 5, FALSE)</f>
        <v>6</v>
      </c>
      <c r="P127" s="1071"/>
      <c r="Q127" s="982" t="str">
        <f>VLOOKUP(M127,ASIGNATURAS!$F$1:$L$1022, 6, FALSE)</f>
        <v>Carlos Melgosa</v>
      </c>
      <c r="R127" s="983"/>
      <c r="S127" s="983"/>
      <c r="T127" s="983"/>
      <c r="U127" s="983"/>
      <c r="V127" s="983"/>
      <c r="W127" s="983"/>
      <c r="X127" s="983"/>
      <c r="Y127" s="983"/>
      <c r="Z127" s="983"/>
      <c r="AA127" s="983"/>
      <c r="AB127" s="983"/>
      <c r="AC127" s="983"/>
      <c r="AD127" s="983"/>
      <c r="AE127" s="1018"/>
    </row>
    <row r="128" spans="1:41" ht="13.8" x14ac:dyDescent="0.25">
      <c r="A128" s="1065" t="str">
        <f>VLOOKUP(M128,ASIGNATURAS!$F$1:$L$1022, 3, FALSE)</f>
        <v>E.C.N.</v>
      </c>
      <c r="B128" s="1066"/>
      <c r="C128" s="982" t="str">
        <f>VLOOKUP(M128,ASIGNATURAS!$F$1:$L$1022, 4, FALSE)</f>
        <v>Estadística y Cálculo Numérico</v>
      </c>
      <c r="D128" s="983"/>
      <c r="E128" s="983"/>
      <c r="F128" s="983"/>
      <c r="G128" s="983"/>
      <c r="H128" s="983"/>
      <c r="I128" s="983"/>
      <c r="J128" s="983"/>
      <c r="K128" s="983"/>
      <c r="L128" s="1018"/>
      <c r="M128" s="981">
        <v>9131</v>
      </c>
      <c r="N128" s="1071"/>
      <c r="O128" s="981">
        <f>VLOOKUP(M128,ASIGNATURAS!$F$1:$L$1022, 5, FALSE)</f>
        <v>6</v>
      </c>
      <c r="P128" s="1071"/>
      <c r="Q128" s="982" t="str">
        <f>VLOOKUP(M128,ASIGNATURAS!$F$1:$L$1022, 6, FALSE)</f>
        <v>Diego Sedano, Raúl del Barrio</v>
      </c>
      <c r="R128" s="983"/>
      <c r="S128" s="983"/>
      <c r="T128" s="983"/>
      <c r="U128" s="983"/>
      <c r="V128" s="983"/>
      <c r="W128" s="983"/>
      <c r="X128" s="983"/>
      <c r="Y128" s="983"/>
      <c r="Z128" s="983"/>
      <c r="AA128" s="983"/>
      <c r="AB128" s="983"/>
      <c r="AC128" s="983"/>
      <c r="AD128" s="983"/>
      <c r="AE128" s="1018"/>
    </row>
    <row r="129" spans="1:31" ht="13.8" x14ac:dyDescent="0.25">
      <c r="A129" s="1065" t="str">
        <f>VLOOKUP(M129,ASIGNATURAS!$F$1:$L$1022, 3, FALSE)</f>
        <v xml:space="preserve">TÉRMICA </v>
      </c>
      <c r="B129" s="1066"/>
      <c r="C129" s="982" t="str">
        <f>VLOOKUP(M129,ASIGNATURAS!$F$1:$L$1022, 4, FALSE)</f>
        <v>Ingeniería Térmica (Español/Inglés)</v>
      </c>
      <c r="D129" s="983"/>
      <c r="E129" s="983"/>
      <c r="F129" s="983"/>
      <c r="G129" s="983"/>
      <c r="H129" s="983"/>
      <c r="I129" s="983"/>
      <c r="J129" s="983"/>
      <c r="K129" s="983"/>
      <c r="L129" s="1018"/>
      <c r="M129" s="981">
        <v>9132</v>
      </c>
      <c r="N129" s="1071"/>
      <c r="O129" s="981">
        <f>VLOOKUP(M129,ASIGNATURAS!$F$1:$L$1022, 5, FALSE)</f>
        <v>6</v>
      </c>
      <c r="P129" s="1071"/>
      <c r="Q129" s="982" t="str">
        <f>VLOOKUP(M129,ASIGNATURAS!$F$1:$L$1022, 6, FALSE)</f>
        <v>Natalia Muñoz</v>
      </c>
      <c r="R129" s="983"/>
      <c r="S129" s="983"/>
      <c r="T129" s="983"/>
      <c r="U129" s="983"/>
      <c r="V129" s="983"/>
      <c r="W129" s="983"/>
      <c r="X129" s="983"/>
      <c r="Y129" s="983"/>
      <c r="Z129" s="983"/>
      <c r="AA129" s="983"/>
      <c r="AB129" s="983"/>
      <c r="AC129" s="983"/>
      <c r="AD129" s="983"/>
      <c r="AE129" s="1018"/>
    </row>
    <row r="130" spans="1:31" ht="13.8" x14ac:dyDescent="0.25">
      <c r="A130" s="1065" t="str">
        <f>VLOOKUP(M130,ASIGNATURAS!$F$1:$L$1022, 3, FALSE)</f>
        <v>MECANISMOS</v>
      </c>
      <c r="B130" s="1066"/>
      <c r="C130" s="982" t="str">
        <f>VLOOKUP(M130,ASIGNATURAS!$F$1:$L$1022, 4, FALSE)</f>
        <v>Teoría de Mecanismos y Máquinas</v>
      </c>
      <c r="D130" s="983"/>
      <c r="E130" s="983"/>
      <c r="F130" s="983"/>
      <c r="G130" s="983"/>
      <c r="H130" s="983"/>
      <c r="I130" s="983"/>
      <c r="J130" s="983"/>
      <c r="K130" s="983"/>
      <c r="L130" s="1018"/>
      <c r="M130" s="981">
        <v>9133</v>
      </c>
      <c r="N130" s="1071"/>
      <c r="O130" s="981">
        <f>VLOOKUP(M130,ASIGNATURAS!$F$1:$L$1022, 5, FALSE)</f>
        <v>6</v>
      </c>
      <c r="P130" s="1071"/>
      <c r="Q130" s="982" t="str">
        <f>VLOOKUP(M130,ASIGNATURAS!$F$1:$L$1022, 6, FALSE)</f>
        <v>Francisco Javier Gómez Gil</v>
      </c>
      <c r="R130" s="983"/>
      <c r="S130" s="983"/>
      <c r="T130" s="983"/>
      <c r="U130" s="983"/>
      <c r="V130" s="983"/>
      <c r="W130" s="983"/>
      <c r="X130" s="983"/>
      <c r="Y130" s="983"/>
      <c r="Z130" s="983"/>
      <c r="AA130" s="983"/>
      <c r="AB130" s="983"/>
      <c r="AC130" s="983"/>
      <c r="AD130" s="983"/>
      <c r="AE130" s="1018"/>
    </row>
    <row r="131" spans="1:31" ht="14.4" thickBot="1" x14ac:dyDescent="0.3">
      <c r="A131" s="1097" t="str">
        <f>VLOOKUP(M131,ASIGNATURAS!$F$1:$L$1022, 3, FALSE)</f>
        <v>ELECTRÓNICA</v>
      </c>
      <c r="B131" s="1098"/>
      <c r="C131" s="1088" t="str">
        <f>VLOOKUP(M131,ASIGNATURAS!$F$1:$L$1022, 4, FALSE)</f>
        <v>Fundamentos de Electrónica</v>
      </c>
      <c r="D131" s="1089"/>
      <c r="E131" s="1089"/>
      <c r="F131" s="1089"/>
      <c r="G131" s="1089"/>
      <c r="H131" s="1089"/>
      <c r="I131" s="1089"/>
      <c r="J131" s="1089"/>
      <c r="K131" s="1089"/>
      <c r="L131" s="1090"/>
      <c r="M131" s="1099">
        <v>9134</v>
      </c>
      <c r="N131" s="1100"/>
      <c r="O131" s="1099">
        <f>VLOOKUP(M131,ASIGNATURAS!$F$1:$L$1022, 5, FALSE)</f>
        <v>6</v>
      </c>
      <c r="P131" s="1100"/>
      <c r="Q131" s="1088" t="str">
        <f>VLOOKUP(M131,ASIGNATURAS!$F$1:$L$1022, 6, FALSE)</f>
        <v>María Isabel Dieste Velasco</v>
      </c>
      <c r="R131" s="1089"/>
      <c r="S131" s="1089"/>
      <c r="T131" s="1089"/>
      <c r="U131" s="1089"/>
      <c r="V131" s="1089"/>
      <c r="W131" s="1089"/>
      <c r="X131" s="1089"/>
      <c r="Y131" s="1089"/>
      <c r="Z131" s="1089"/>
      <c r="AA131" s="1089"/>
      <c r="AB131" s="1089"/>
      <c r="AC131" s="1089"/>
      <c r="AD131" s="1089"/>
      <c r="AE131" s="1090"/>
    </row>
    <row r="134" spans="1:31" ht="24" customHeight="1" x14ac:dyDescent="0.25">
      <c r="A134" s="1101" t="s">
        <v>1050</v>
      </c>
      <c r="B134" s="1101"/>
      <c r="C134" s="1101"/>
      <c r="D134" s="1101"/>
      <c r="E134" s="1101"/>
    </row>
    <row r="135" spans="1:31" ht="24" customHeight="1" x14ac:dyDescent="0.25">
      <c r="A135" s="1102" t="s">
        <v>1046</v>
      </c>
      <c r="B135" s="1102"/>
      <c r="C135" s="1102"/>
      <c r="D135" s="1102"/>
      <c r="E135" s="1102"/>
    </row>
    <row r="136" spans="1:31" x14ac:dyDescent="0.25">
      <c r="A136" s="350"/>
    </row>
    <row r="137" spans="1:31" x14ac:dyDescent="0.25">
      <c r="A137" s="453" t="s">
        <v>1060</v>
      </c>
      <c r="B137" s="440"/>
      <c r="C137" s="440"/>
      <c r="D137" s="440"/>
      <c r="E137" s="440"/>
      <c r="F137" s="440"/>
      <c r="G137" s="440"/>
      <c r="H137" s="440"/>
      <c r="I137" s="440"/>
      <c r="J137" s="440"/>
      <c r="K137" s="440"/>
      <c r="L137" s="440"/>
      <c r="M137" s="440"/>
      <c r="N137" s="440"/>
      <c r="O137" s="440"/>
      <c r="P137" s="440"/>
      <c r="Q137" s="440"/>
      <c r="R137" s="440"/>
      <c r="S137" s="440"/>
    </row>
    <row r="138" spans="1:31" x14ac:dyDescent="0.25">
      <c r="A138" s="20" t="s">
        <v>217</v>
      </c>
    </row>
    <row r="139" spans="1:31" x14ac:dyDescent="0.25">
      <c r="A139" s="20" t="s">
        <v>1244</v>
      </c>
    </row>
    <row r="140" spans="1:31" ht="13.8" thickBot="1" x14ac:dyDescent="0.3"/>
    <row r="141" spans="1:31" s="1" customFormat="1" ht="31.5" customHeight="1" thickBot="1" x14ac:dyDescent="0.45">
      <c r="A141" s="1094" t="str">
        <f>VLOOKUP(A144,ASIGNATURAS!$A$2:$D$151, 3, FALSE)</f>
        <v>3º Grado en Ingeniería de Organización Industrial</v>
      </c>
      <c r="B141" s="1095"/>
      <c r="C141" s="1095"/>
      <c r="D141" s="1095"/>
      <c r="E141" s="1095"/>
      <c r="F141" s="1095"/>
      <c r="G141" s="1095"/>
      <c r="H141" s="1095"/>
      <c r="I141" s="1095"/>
      <c r="J141" s="1095"/>
      <c r="K141" s="1095"/>
      <c r="L141" s="1095"/>
      <c r="M141" s="1095"/>
      <c r="N141" s="1095"/>
      <c r="O141" s="1095"/>
      <c r="P141" s="1095"/>
      <c r="Q141" s="1095"/>
      <c r="R141" s="1095"/>
      <c r="S141" s="1095"/>
      <c r="T141" s="1095"/>
      <c r="U141" s="1095"/>
      <c r="V141" s="1095"/>
      <c r="W141" s="1095"/>
      <c r="X141" s="1095"/>
      <c r="Y141" s="1096"/>
      <c r="Z141" s="1076" t="str">
        <f>Z1</f>
        <v>Curso 2024-2025</v>
      </c>
      <c r="AA141" s="1077"/>
      <c r="AB141" s="1077"/>
      <c r="AC141" s="1077"/>
      <c r="AD141" s="1077"/>
      <c r="AE141" s="1078"/>
    </row>
    <row r="142" spans="1:31" s="8" customFormat="1" ht="23.25" customHeight="1" thickBot="1" x14ac:dyDescent="0.45">
      <c r="A142" s="1083" t="str">
        <f>VLOOKUP(A144,ASIGNATURAS!$A$2:$D$151, 2, FALSE)</f>
        <v>Semestre temporal: 1º        (5º Semestre Académico)</v>
      </c>
      <c r="B142" s="1084"/>
      <c r="C142" s="1084"/>
      <c r="D142" s="1084"/>
      <c r="E142" s="1084"/>
      <c r="F142" s="1084"/>
      <c r="G142" s="1084"/>
      <c r="H142" s="1084"/>
      <c r="I142" s="1084"/>
      <c r="J142" s="1084"/>
      <c r="K142" s="1084"/>
      <c r="L142" s="1084"/>
      <c r="M142" s="1084"/>
      <c r="N142" s="1084"/>
      <c r="O142" s="1084"/>
      <c r="P142" s="1084"/>
      <c r="Q142" s="1084"/>
      <c r="R142" s="1084"/>
      <c r="S142" s="1084"/>
      <c r="T142" s="1084"/>
      <c r="U142" s="1084"/>
      <c r="V142" s="1084"/>
      <c r="W142" s="1084"/>
      <c r="X142" s="1084"/>
      <c r="Y142" s="1085"/>
      <c r="Z142" s="1072" t="s">
        <v>1160</v>
      </c>
      <c r="AA142" s="1072"/>
      <c r="AB142" s="1072"/>
      <c r="AC142" s="1072"/>
      <c r="AD142" s="1072"/>
      <c r="AE142" s="1073"/>
    </row>
    <row r="143" spans="1:31" s="8" customFormat="1" ht="23.25" customHeight="1" thickBot="1" x14ac:dyDescent="0.45">
      <c r="A143" s="1083" t="s">
        <v>142</v>
      </c>
      <c r="B143" s="1084"/>
      <c r="C143" s="1084"/>
      <c r="D143" s="1084"/>
      <c r="E143" s="1084"/>
      <c r="F143" s="1084"/>
      <c r="G143" s="1084"/>
      <c r="H143" s="1084"/>
      <c r="I143" s="1084"/>
      <c r="J143" s="1084"/>
      <c r="K143" s="1084"/>
      <c r="L143" s="1084"/>
      <c r="M143" s="1084"/>
      <c r="N143" s="1084"/>
      <c r="O143" s="1084"/>
      <c r="P143" s="1084"/>
      <c r="Q143" s="1084"/>
      <c r="R143" s="1084"/>
      <c r="S143" s="1084"/>
      <c r="T143" s="1084"/>
      <c r="U143" s="1084"/>
      <c r="V143" s="1084"/>
      <c r="W143" s="1084"/>
      <c r="X143" s="1084"/>
      <c r="Y143" s="1085"/>
      <c r="Z143" s="1074"/>
      <c r="AA143" s="1074"/>
      <c r="AB143" s="1074"/>
      <c r="AC143" s="1074"/>
      <c r="AD143" s="1074"/>
      <c r="AE143" s="1075"/>
    </row>
    <row r="144" spans="1:31" ht="38.25" customHeight="1" thickBot="1" x14ac:dyDescent="0.3">
      <c r="A144" s="9" t="s">
        <v>63</v>
      </c>
    </row>
    <row r="145" spans="1:41" s="2" customFormat="1" ht="24" customHeight="1" thickBot="1" x14ac:dyDescent="0.3">
      <c r="A145" s="19" t="s">
        <v>1</v>
      </c>
      <c r="B145" s="1076" t="s">
        <v>2</v>
      </c>
      <c r="C145" s="1077"/>
      <c r="D145" s="1077"/>
      <c r="E145" s="1077"/>
      <c r="F145" s="1077"/>
      <c r="G145" s="1078"/>
      <c r="H145" s="1091" t="s">
        <v>3</v>
      </c>
      <c r="I145" s="1092"/>
      <c r="J145" s="1092"/>
      <c r="K145" s="1092"/>
      <c r="L145" s="1092"/>
      <c r="M145" s="1093"/>
      <c r="N145" s="1076" t="s">
        <v>139</v>
      </c>
      <c r="O145" s="1077"/>
      <c r="P145" s="1077"/>
      <c r="Q145" s="1077"/>
      <c r="R145" s="1077"/>
      <c r="S145" s="1078"/>
      <c r="T145" s="1076" t="s">
        <v>4</v>
      </c>
      <c r="U145" s="1077"/>
      <c r="V145" s="1077"/>
      <c r="W145" s="1077"/>
      <c r="X145" s="1077"/>
      <c r="Y145" s="1078"/>
      <c r="Z145" s="1091" t="s">
        <v>5</v>
      </c>
      <c r="AA145" s="1092"/>
      <c r="AB145" s="1092"/>
      <c r="AC145" s="1092"/>
      <c r="AD145" s="1092"/>
      <c r="AE145" s="1093"/>
    </row>
    <row r="146" spans="1:41" ht="30" customHeight="1" x14ac:dyDescent="0.3">
      <c r="A146" s="1086" t="s">
        <v>10</v>
      </c>
      <c r="B146" s="2122"/>
      <c r="C146" s="2123"/>
      <c r="D146" s="2123"/>
      <c r="E146" s="2123"/>
      <c r="F146" s="2123"/>
      <c r="G146" s="2124"/>
      <c r="H146" s="1118" t="s">
        <v>1196</v>
      </c>
      <c r="I146" s="1153" t="s">
        <v>579</v>
      </c>
      <c r="J146" s="2016" t="s">
        <v>1347</v>
      </c>
      <c r="K146" s="1153" t="s">
        <v>96</v>
      </c>
      <c r="L146" s="1153" t="s">
        <v>580</v>
      </c>
      <c r="M146" s="2113" t="s">
        <v>1307</v>
      </c>
      <c r="N146" s="1295" t="s">
        <v>97</v>
      </c>
      <c r="O146" s="1295" t="s">
        <v>579</v>
      </c>
      <c r="P146" s="2016" t="s">
        <v>565</v>
      </c>
      <c r="Q146" s="1295" t="s">
        <v>264</v>
      </c>
      <c r="R146" s="1295" t="s">
        <v>580</v>
      </c>
      <c r="S146" s="2163" t="s">
        <v>1323</v>
      </c>
      <c r="T146" s="1079" t="s">
        <v>97</v>
      </c>
      <c r="U146" s="1039"/>
      <c r="V146" s="1039"/>
      <c r="W146" s="1039"/>
      <c r="X146" s="1039"/>
      <c r="Y146" s="1080"/>
      <c r="Z146" s="2063"/>
      <c r="AA146" s="1197"/>
      <c r="AB146" s="2112"/>
      <c r="AC146" s="1153" t="s">
        <v>97</v>
      </c>
      <c r="AD146" s="1295" t="s">
        <v>580</v>
      </c>
      <c r="AE146" s="2016" t="s">
        <v>565</v>
      </c>
    </row>
    <row r="147" spans="1:41" ht="30" customHeight="1" x14ac:dyDescent="0.25">
      <c r="A147" s="1087"/>
      <c r="B147" s="2106"/>
      <c r="C147" s="1061"/>
      <c r="D147" s="1061"/>
      <c r="E147" s="1061"/>
      <c r="F147" s="1061"/>
      <c r="G147" s="2107"/>
      <c r="H147" s="1118"/>
      <c r="I147" s="1153"/>
      <c r="J147" s="1217"/>
      <c r="K147" s="1153"/>
      <c r="L147" s="1153"/>
      <c r="M147" s="2114"/>
      <c r="N147" s="1153"/>
      <c r="O147" s="1153"/>
      <c r="P147" s="1217"/>
      <c r="Q147" s="1153"/>
      <c r="R147" s="1153"/>
      <c r="S147" s="2014"/>
      <c r="T147" s="1067" t="s">
        <v>154</v>
      </c>
      <c r="U147" s="944"/>
      <c r="V147" s="944"/>
      <c r="W147" s="944"/>
      <c r="X147" s="944"/>
      <c r="Y147" s="1068"/>
      <c r="Z147" s="1106"/>
      <c r="AA147" s="1126"/>
      <c r="AB147" s="1243"/>
      <c r="AC147" s="1153"/>
      <c r="AD147" s="1153"/>
      <c r="AE147" s="1217"/>
    </row>
    <row r="148" spans="1:41" ht="30" customHeight="1" x14ac:dyDescent="0.3">
      <c r="A148" s="1087" t="s">
        <v>11</v>
      </c>
      <c r="B148" s="2143"/>
      <c r="C148" s="2144"/>
      <c r="D148" s="2144"/>
      <c r="E148" s="2144"/>
      <c r="F148" s="2144"/>
      <c r="G148" s="2145"/>
      <c r="H148" s="1118"/>
      <c r="I148" s="1153"/>
      <c r="J148" s="1217"/>
      <c r="K148" s="1153"/>
      <c r="L148" s="1153"/>
      <c r="M148" s="2114"/>
      <c r="N148" s="1153"/>
      <c r="O148" s="1153"/>
      <c r="P148" s="1217"/>
      <c r="Q148" s="1153"/>
      <c r="R148" s="1153"/>
      <c r="S148" s="2014"/>
      <c r="T148" s="1081" t="s">
        <v>97</v>
      </c>
      <c r="U148" s="939"/>
      <c r="V148" s="939"/>
      <c r="W148" s="939"/>
      <c r="X148" s="939"/>
      <c r="Y148" s="1082"/>
      <c r="Z148" s="1106"/>
      <c r="AA148" s="1126"/>
      <c r="AB148" s="1243"/>
      <c r="AC148" s="1153"/>
      <c r="AD148" s="1153"/>
      <c r="AE148" s="1217"/>
      <c r="AI148" s="939"/>
      <c r="AJ148" s="939"/>
      <c r="AK148" s="939"/>
      <c r="AL148" s="939"/>
      <c r="AM148" s="939"/>
      <c r="AN148" s="939"/>
    </row>
    <row r="149" spans="1:41" ht="30" customHeight="1" x14ac:dyDescent="0.25">
      <c r="A149" s="1087"/>
      <c r="B149" s="2106"/>
      <c r="C149" s="1061"/>
      <c r="D149" s="1061"/>
      <c r="E149" s="1061"/>
      <c r="F149" s="1061"/>
      <c r="G149" s="2107"/>
      <c r="H149" s="1119"/>
      <c r="I149" s="1154"/>
      <c r="J149" s="1218"/>
      <c r="K149" s="1154"/>
      <c r="L149" s="1154"/>
      <c r="M149" s="2115"/>
      <c r="N149" s="1154"/>
      <c r="O149" s="1154"/>
      <c r="P149" s="1218"/>
      <c r="Q149" s="1154"/>
      <c r="R149" s="1154"/>
      <c r="S149" s="2015"/>
      <c r="T149" s="1067" t="s">
        <v>154</v>
      </c>
      <c r="U149" s="944"/>
      <c r="V149" s="944"/>
      <c r="W149" s="944"/>
      <c r="X149" s="944"/>
      <c r="Y149" s="1068"/>
      <c r="Z149" s="1106"/>
      <c r="AA149" s="1126"/>
      <c r="AB149" s="1244"/>
      <c r="AC149" s="1153"/>
      <c r="AD149" s="1154"/>
      <c r="AE149" s="1218"/>
      <c r="AI149" s="1174"/>
      <c r="AJ149" s="1174"/>
      <c r="AK149" s="1174"/>
      <c r="AL149" s="1174"/>
      <c r="AM149" s="1174"/>
      <c r="AN149" s="1174"/>
    </row>
    <row r="150" spans="1:41" ht="30" customHeight="1" x14ac:dyDescent="0.3">
      <c r="A150" s="1087" t="s">
        <v>6</v>
      </c>
      <c r="B150" s="1069" t="s">
        <v>96</v>
      </c>
      <c r="C150" s="940"/>
      <c r="D150" s="940"/>
      <c r="E150" s="940"/>
      <c r="F150" s="940"/>
      <c r="G150" s="1070"/>
      <c r="H150" s="1118" t="s">
        <v>96</v>
      </c>
      <c r="I150" s="1153" t="s">
        <v>579</v>
      </c>
      <c r="J150" s="2009" t="s">
        <v>1307</v>
      </c>
      <c r="K150" s="2043" t="s">
        <v>1261</v>
      </c>
      <c r="L150" s="2067" t="s">
        <v>636</v>
      </c>
      <c r="M150" s="2101" t="s">
        <v>847</v>
      </c>
      <c r="N150" s="1182" t="s">
        <v>264</v>
      </c>
      <c r="O150" s="1153" t="s">
        <v>579</v>
      </c>
      <c r="P150" s="2157" t="s">
        <v>1323</v>
      </c>
      <c r="Q150" s="2110" t="s">
        <v>624</v>
      </c>
      <c r="R150" s="2092">
        <v>80</v>
      </c>
      <c r="S150" s="2125" t="s">
        <v>565</v>
      </c>
      <c r="T150" s="1081" t="s">
        <v>264</v>
      </c>
      <c r="U150" s="939"/>
      <c r="V150" s="939"/>
      <c r="W150" s="939"/>
      <c r="X150" s="939"/>
      <c r="Y150" s="1082"/>
      <c r="Z150" s="1176" t="s">
        <v>95</v>
      </c>
      <c r="AA150" s="1182" t="s">
        <v>579</v>
      </c>
      <c r="AB150" s="1217" t="s">
        <v>565</v>
      </c>
      <c r="AC150" s="2088" t="s">
        <v>1261</v>
      </c>
      <c r="AD150" s="2092">
        <v>80</v>
      </c>
      <c r="AE150" s="2108" t="s">
        <v>154</v>
      </c>
      <c r="AI150" s="939"/>
      <c r="AJ150" s="939"/>
      <c r="AK150" s="939"/>
      <c r="AL150" s="939"/>
      <c r="AM150" s="939"/>
      <c r="AN150" s="939"/>
    </row>
    <row r="151" spans="1:41" ht="30" customHeight="1" x14ac:dyDescent="0.25">
      <c r="A151" s="1087"/>
      <c r="B151" s="1067" t="s">
        <v>154</v>
      </c>
      <c r="C151" s="944"/>
      <c r="D151" s="944"/>
      <c r="E151" s="944"/>
      <c r="F151" s="944"/>
      <c r="G151" s="1068"/>
      <c r="H151" s="1118"/>
      <c r="I151" s="1153"/>
      <c r="J151" s="2009"/>
      <c r="K151" s="2044"/>
      <c r="L151" s="2067"/>
      <c r="M151" s="2012"/>
      <c r="N151" s="1153"/>
      <c r="O151" s="1153"/>
      <c r="P151" s="2158"/>
      <c r="Q151" s="2111"/>
      <c r="R151" s="2092"/>
      <c r="S151" s="2125"/>
      <c r="T151" s="1067" t="s">
        <v>154</v>
      </c>
      <c r="U151" s="944"/>
      <c r="V151" s="944"/>
      <c r="W151" s="944"/>
      <c r="X151" s="944"/>
      <c r="Y151" s="1068"/>
      <c r="Z151" s="1118"/>
      <c r="AA151" s="1153"/>
      <c r="AB151" s="1217"/>
      <c r="AC151" s="2089"/>
      <c r="AD151" s="2092"/>
      <c r="AE151" s="2108"/>
      <c r="AI151" s="1174"/>
      <c r="AJ151" s="1174"/>
      <c r="AK151" s="1174"/>
      <c r="AL151" s="1174"/>
      <c r="AM151" s="1174"/>
      <c r="AN151" s="1174"/>
    </row>
    <row r="152" spans="1:41" ht="30" customHeight="1" x14ac:dyDescent="0.3">
      <c r="A152" s="1087" t="s">
        <v>7</v>
      </c>
      <c r="B152" s="1081" t="s">
        <v>96</v>
      </c>
      <c r="C152" s="939"/>
      <c r="D152" s="939"/>
      <c r="E152" s="939"/>
      <c r="F152" s="939"/>
      <c r="G152" s="1082"/>
      <c r="H152" s="1118"/>
      <c r="I152" s="1153"/>
      <c r="J152" s="2009"/>
      <c r="K152" s="2044"/>
      <c r="L152" s="2067"/>
      <c r="M152" s="2012"/>
      <c r="N152" s="1153"/>
      <c r="O152" s="1153"/>
      <c r="P152" s="2158"/>
      <c r="Q152" s="2111"/>
      <c r="R152" s="2092"/>
      <c r="S152" s="2125"/>
      <c r="T152" s="1081" t="s">
        <v>264</v>
      </c>
      <c r="U152" s="939"/>
      <c r="V152" s="939"/>
      <c r="W152" s="939"/>
      <c r="X152" s="939"/>
      <c r="Y152" s="1082"/>
      <c r="Z152" s="1118"/>
      <c r="AA152" s="1153"/>
      <c r="AB152" s="1217"/>
      <c r="AC152" s="2089"/>
      <c r="AD152" s="2092"/>
      <c r="AE152" s="2108"/>
    </row>
    <row r="153" spans="1:41" ht="30" customHeight="1" x14ac:dyDescent="0.25">
      <c r="A153" s="1087"/>
      <c r="B153" s="1067" t="s">
        <v>154</v>
      </c>
      <c r="C153" s="944"/>
      <c r="D153" s="944"/>
      <c r="E153" s="944"/>
      <c r="F153" s="944"/>
      <c r="G153" s="1068"/>
      <c r="H153" s="1119"/>
      <c r="I153" s="1154"/>
      <c r="J153" s="2010"/>
      <c r="K153" s="2045"/>
      <c r="L153" s="2068"/>
      <c r="M153" s="2013"/>
      <c r="N153" s="1153"/>
      <c r="O153" s="1153"/>
      <c r="P153" s="2159"/>
      <c r="Q153" s="2111"/>
      <c r="R153" s="2092"/>
      <c r="S153" s="2125"/>
      <c r="T153" s="1067" t="s">
        <v>154</v>
      </c>
      <c r="U153" s="944"/>
      <c r="V153" s="944"/>
      <c r="W153" s="944"/>
      <c r="X153" s="944"/>
      <c r="Y153" s="1068"/>
      <c r="Z153" s="1118"/>
      <c r="AA153" s="1153"/>
      <c r="AB153" s="1217"/>
      <c r="AC153" s="2126"/>
      <c r="AD153" s="2092"/>
      <c r="AE153" s="2109"/>
      <c r="AJ153" s="2008"/>
      <c r="AK153" s="2008"/>
      <c r="AL153" s="2008"/>
      <c r="AM153" s="2008"/>
      <c r="AN153" s="2008"/>
      <c r="AO153" s="2008"/>
    </row>
    <row r="154" spans="1:41" ht="30" customHeight="1" x14ac:dyDescent="0.3">
      <c r="A154" s="1087" t="s">
        <v>8</v>
      </c>
      <c r="B154" s="1000"/>
      <c r="C154" s="967"/>
      <c r="D154" s="967"/>
      <c r="E154" s="967"/>
      <c r="F154" s="967"/>
      <c r="G154" s="1139"/>
      <c r="H154" s="1000"/>
      <c r="I154" s="967"/>
      <c r="J154" s="967"/>
      <c r="K154" s="967"/>
      <c r="L154" s="967"/>
      <c r="M154" s="1139"/>
      <c r="N154" s="1069" t="s">
        <v>95</v>
      </c>
      <c r="O154" s="940"/>
      <c r="P154" s="940"/>
      <c r="Q154" s="940"/>
      <c r="R154" s="940"/>
      <c r="S154" s="1070"/>
      <c r="T154" s="1000"/>
      <c r="U154" s="967"/>
      <c r="V154" s="967"/>
      <c r="W154" s="967"/>
      <c r="X154" s="967"/>
      <c r="Y154" s="1139"/>
      <c r="Z154" s="2127" t="s">
        <v>624</v>
      </c>
      <c r="AA154" s="2066" t="s">
        <v>636</v>
      </c>
      <c r="AB154" s="2136" t="s">
        <v>565</v>
      </c>
      <c r="AC154" s="2139" t="s">
        <v>1196</v>
      </c>
      <c r="AD154" s="2065"/>
      <c r="AE154" s="2142" t="s">
        <v>154</v>
      </c>
      <c r="AI154" s="2008"/>
      <c r="AJ154" s="2008"/>
      <c r="AK154" s="2008"/>
      <c r="AL154" s="2008"/>
      <c r="AM154" s="2008"/>
      <c r="AN154" s="2008"/>
    </row>
    <row r="155" spans="1:41" ht="30" customHeight="1" x14ac:dyDescent="0.25">
      <c r="A155" s="1087"/>
      <c r="B155" s="1258"/>
      <c r="C155" s="1259"/>
      <c r="D155" s="1259"/>
      <c r="E155" s="1259"/>
      <c r="F155" s="1259"/>
      <c r="G155" s="1260"/>
      <c r="H155" s="1258"/>
      <c r="I155" s="1259"/>
      <c r="J155" s="1259"/>
      <c r="K155" s="1259"/>
      <c r="L155" s="1259"/>
      <c r="M155" s="1260"/>
      <c r="N155" s="1067" t="s">
        <v>565</v>
      </c>
      <c r="O155" s="944"/>
      <c r="P155" s="944"/>
      <c r="Q155" s="944"/>
      <c r="R155" s="944"/>
      <c r="S155" s="1068"/>
      <c r="T155" s="1258"/>
      <c r="U155" s="1259"/>
      <c r="V155" s="1259"/>
      <c r="W155" s="1259"/>
      <c r="X155" s="1259"/>
      <c r="Y155" s="1260"/>
      <c r="Z155" s="2128"/>
      <c r="AA155" s="2067"/>
      <c r="AB155" s="2137"/>
      <c r="AC155" s="2140"/>
      <c r="AD155" s="1441"/>
      <c r="AE155" s="2142"/>
      <c r="AI155" s="1593"/>
      <c r="AJ155" s="1593"/>
      <c r="AK155" s="1593"/>
      <c r="AL155" s="1593"/>
      <c r="AM155" s="1593"/>
      <c r="AN155" s="1593"/>
    </row>
    <row r="156" spans="1:41" ht="30" customHeight="1" x14ac:dyDescent="0.3">
      <c r="A156" s="1087" t="s">
        <v>9</v>
      </c>
      <c r="B156" s="2119"/>
      <c r="C156" s="2120"/>
      <c r="D156" s="2120"/>
      <c r="E156" s="2120"/>
      <c r="F156" s="2120"/>
      <c r="G156" s="2121"/>
      <c r="H156" s="2119"/>
      <c r="I156" s="2120"/>
      <c r="J156" s="2120"/>
      <c r="K156" s="2120"/>
      <c r="L156" s="2120"/>
      <c r="M156" s="2121"/>
      <c r="N156" s="1069" t="s">
        <v>95</v>
      </c>
      <c r="O156" s="940"/>
      <c r="P156" s="940"/>
      <c r="Q156" s="940"/>
      <c r="R156" s="940"/>
      <c r="S156" s="1070"/>
      <c r="T156" s="1204"/>
      <c r="U156" s="932"/>
      <c r="V156" s="932"/>
      <c r="W156" s="932"/>
      <c r="X156" s="932"/>
      <c r="Y156" s="1205"/>
      <c r="Z156" s="2128"/>
      <c r="AA156" s="2067"/>
      <c r="AB156" s="2137"/>
      <c r="AC156" s="2140"/>
      <c r="AD156" s="1441"/>
      <c r="AE156" s="2142"/>
      <c r="AI156" s="2008"/>
      <c r="AJ156" s="2008"/>
      <c r="AK156" s="2008"/>
      <c r="AL156" s="2008"/>
      <c r="AM156" s="2008"/>
      <c r="AN156" s="2008"/>
    </row>
    <row r="157" spans="1:41" ht="30" customHeight="1" thickBot="1" x14ac:dyDescent="0.3">
      <c r="A157" s="1171"/>
      <c r="B157" s="2038"/>
      <c r="C157" s="2039"/>
      <c r="D157" s="2039"/>
      <c r="E157" s="2039"/>
      <c r="F157" s="2039"/>
      <c r="G157" s="2040"/>
      <c r="H157" s="2038"/>
      <c r="I157" s="2039"/>
      <c r="J157" s="2039"/>
      <c r="K157" s="2039"/>
      <c r="L157" s="2039"/>
      <c r="M157" s="2040"/>
      <c r="N157" s="1303" t="s">
        <v>565</v>
      </c>
      <c r="O157" s="1304"/>
      <c r="P157" s="1304"/>
      <c r="Q157" s="1304"/>
      <c r="R157" s="1304"/>
      <c r="S157" s="1305"/>
      <c r="T157" s="1263"/>
      <c r="U157" s="1264"/>
      <c r="V157" s="1264"/>
      <c r="W157" s="1264"/>
      <c r="X157" s="1264"/>
      <c r="Y157" s="1265"/>
      <c r="Z157" s="2129"/>
      <c r="AA157" s="2105"/>
      <c r="AB157" s="2138"/>
      <c r="AC157" s="2141"/>
      <c r="AD157" s="1441"/>
      <c r="AE157" s="2142"/>
      <c r="AI157" s="1593"/>
      <c r="AJ157" s="1593"/>
      <c r="AK157" s="1593"/>
      <c r="AL157" s="1593"/>
      <c r="AM157" s="1593"/>
      <c r="AN157" s="1593"/>
    </row>
    <row r="158" spans="1:41" ht="41.25" customHeight="1" thickBot="1" x14ac:dyDescent="0.3">
      <c r="A158" s="519"/>
      <c r="P158" s="35"/>
      <c r="Q158" s="35"/>
      <c r="R158" s="35"/>
      <c r="S158" s="35"/>
      <c r="AD158" s="231"/>
      <c r="AE158" s="231"/>
    </row>
    <row r="159" spans="1:41" ht="18.75" customHeight="1" x14ac:dyDescent="0.25">
      <c r="A159" s="1190" t="s">
        <v>218</v>
      </c>
      <c r="B159" s="1147"/>
      <c r="C159" s="1146" t="s">
        <v>219</v>
      </c>
      <c r="D159" s="1146"/>
      <c r="E159" s="1146"/>
      <c r="F159" s="1146"/>
      <c r="G159" s="1146"/>
      <c r="H159" s="1146"/>
      <c r="I159" s="1146"/>
      <c r="J159" s="1146"/>
      <c r="K159" s="1146"/>
      <c r="L159" s="58"/>
      <c r="M159" s="1144" t="s">
        <v>322</v>
      </c>
      <c r="N159" s="1145"/>
      <c r="O159" s="1146" t="s">
        <v>143</v>
      </c>
      <c r="P159" s="1147"/>
      <c r="Q159" s="1146" t="s">
        <v>167</v>
      </c>
      <c r="R159" s="1146"/>
      <c r="S159" s="1146"/>
      <c r="T159" s="1146"/>
      <c r="U159" s="1146"/>
      <c r="V159" s="1146"/>
      <c r="W159" s="1146"/>
      <c r="X159" s="1146"/>
      <c r="Y159" s="1146"/>
      <c r="Z159" s="1146"/>
      <c r="AA159" s="1146"/>
      <c r="AB159" s="1146"/>
      <c r="AC159" s="1146"/>
      <c r="AD159" s="1146"/>
      <c r="AE159" s="1147"/>
    </row>
    <row r="160" spans="1:41" ht="13.8" x14ac:dyDescent="0.25">
      <c r="A160" s="1065" t="str">
        <f>VLOOKUP(M160,ASIGNATURAS!$F$1:$L$1022, 3, FALSE)</f>
        <v>INVESTIGACIÓN I</v>
      </c>
      <c r="B160" s="1066"/>
      <c r="C160" s="982" t="str">
        <f>VLOOKUP(M160,ASIGNATURAS!$F$1:$L$1022, 4, FALSE)</f>
        <v>Investigación operativa I  E/I (Español/Inglés)</v>
      </c>
      <c r="D160" s="983"/>
      <c r="E160" s="983"/>
      <c r="F160" s="983"/>
      <c r="G160" s="983"/>
      <c r="H160" s="983"/>
      <c r="I160" s="983"/>
      <c r="J160" s="983"/>
      <c r="K160" s="983"/>
      <c r="L160" s="1018"/>
      <c r="M160" s="981">
        <v>9135</v>
      </c>
      <c r="N160" s="1071"/>
      <c r="O160" s="981">
        <f>VLOOKUP(M160,ASIGNATURAS!$F$1:$L$1022, 5, FALSE)</f>
        <v>6</v>
      </c>
      <c r="P160" s="1071"/>
      <c r="Q160" s="982" t="str">
        <f>VLOOKUP(M160,ASIGNATURAS!$F$1:$L$1022, 6, FALSE)</f>
        <v>Virginia Ahedo</v>
      </c>
      <c r="R160" s="983"/>
      <c r="S160" s="983"/>
      <c r="T160" s="983"/>
      <c r="U160" s="983"/>
      <c r="V160" s="983"/>
      <c r="W160" s="983"/>
      <c r="X160" s="983"/>
      <c r="Y160" s="983"/>
      <c r="Z160" s="983"/>
      <c r="AA160" s="983"/>
      <c r="AB160" s="983"/>
      <c r="AC160" s="983"/>
      <c r="AD160" s="983"/>
      <c r="AE160" s="1018"/>
    </row>
    <row r="161" spans="1:35" ht="15" customHeight="1" x14ac:dyDescent="0.25">
      <c r="A161" s="1065" t="str">
        <f>VLOOKUP(M161,ASIGNATURAS!$F$1:$L$1022, 3, FALSE)</f>
        <v>ORG. TRABAJO</v>
      </c>
      <c r="B161" s="1066"/>
      <c r="C161" s="2020" t="str">
        <f>VLOOKUP(M161,ASIGNATURAS!$F$1:$L$1022, 4, FALSE)</f>
        <v>Organización del Trabajo y RRHH E/I</v>
      </c>
      <c r="D161" s="2021"/>
      <c r="E161" s="2021"/>
      <c r="F161" s="2021"/>
      <c r="G161" s="2021"/>
      <c r="H161" s="2021"/>
      <c r="I161" s="2021"/>
      <c r="J161" s="2021"/>
      <c r="K161" s="2021"/>
      <c r="L161" s="2022"/>
      <c r="M161" s="981">
        <v>9136</v>
      </c>
      <c r="N161" s="1071"/>
      <c r="O161" s="981">
        <f>VLOOKUP(M161,ASIGNATURAS!$F$1:$L$1022, 5, FALSE)</f>
        <v>6</v>
      </c>
      <c r="P161" s="1071"/>
      <c r="Q161" s="982" t="str">
        <f>VLOOKUP(M161,ASIGNATURAS!$F$1:$L$1022, 6, FALSE)</f>
        <v>Ana María Lara Palma</v>
      </c>
      <c r="R161" s="983"/>
      <c r="S161" s="983"/>
      <c r="T161" s="983"/>
      <c r="U161" s="983"/>
      <c r="V161" s="983"/>
      <c r="W161" s="983"/>
      <c r="X161" s="983"/>
      <c r="Y161" s="983"/>
      <c r="Z161" s="983"/>
      <c r="AA161" s="983"/>
      <c r="AB161" s="983"/>
      <c r="AC161" s="983"/>
      <c r="AD161" s="983"/>
      <c r="AE161" s="1018"/>
    </row>
    <row r="162" spans="1:35" ht="13.8" x14ac:dyDescent="0.25">
      <c r="A162" s="1065" t="str">
        <f>VLOOKUP(M162,ASIGNATURAS!$F$1:$L$1022, 3, FALSE)</f>
        <v>MÁRKETING</v>
      </c>
      <c r="B162" s="1066"/>
      <c r="C162" s="982" t="str">
        <f>VLOOKUP(M162,ASIGNATURAS!$F$1:$L$1022, 4, FALSE)</f>
        <v xml:space="preserve">Márketing Industrial </v>
      </c>
      <c r="D162" s="983"/>
      <c r="E162" s="983"/>
      <c r="F162" s="983"/>
      <c r="G162" s="983"/>
      <c r="H162" s="983"/>
      <c r="I162" s="983"/>
      <c r="J162" s="983"/>
      <c r="K162" s="983"/>
      <c r="L162" s="1018"/>
      <c r="M162" s="981">
        <v>9137</v>
      </c>
      <c r="N162" s="1071"/>
      <c r="O162" s="981">
        <f>VLOOKUP(M162,ASIGNATURAS!$F$1:$L$1022, 5, FALSE)</f>
        <v>6</v>
      </c>
      <c r="P162" s="1071"/>
      <c r="Q162" s="982" t="str">
        <f>VLOOKUP(M162,ASIGNATURAS!$F$1:$L$1022, 6, FALSE)</f>
        <v>Miguel Angel Camino</v>
      </c>
      <c r="R162" s="983"/>
      <c r="S162" s="983"/>
      <c r="T162" s="983"/>
      <c r="U162" s="983"/>
      <c r="V162" s="983"/>
      <c r="W162" s="983"/>
      <c r="X162" s="983"/>
      <c r="Y162" s="983"/>
      <c r="Z162" s="983"/>
      <c r="AA162" s="983"/>
      <c r="AB162" s="983"/>
      <c r="AC162" s="983"/>
      <c r="AD162" s="983"/>
      <c r="AE162" s="1018"/>
    </row>
    <row r="163" spans="1:35" ht="13.8" x14ac:dyDescent="0.25">
      <c r="A163" s="1065" t="str">
        <f>VLOOKUP(M163,ASIGNATURAS!$F$1:$L$1022, 3, FALSE)</f>
        <v>ESTRATEGIA</v>
      </c>
      <c r="B163" s="1066"/>
      <c r="C163" s="982" t="str">
        <f>VLOOKUP(M163,ASIGNATURAS!$F$1:$L$1022, 4, FALSE)</f>
        <v>Estrategia y Política de Empresa</v>
      </c>
      <c r="D163" s="983"/>
      <c r="E163" s="983"/>
      <c r="F163" s="983"/>
      <c r="G163" s="983"/>
      <c r="H163" s="983"/>
      <c r="I163" s="983"/>
      <c r="J163" s="983"/>
      <c r="K163" s="983"/>
      <c r="L163" s="1018"/>
      <c r="M163" s="981">
        <v>9138</v>
      </c>
      <c r="N163" s="1071"/>
      <c r="O163" s="981">
        <f>VLOOKUP(M163,ASIGNATURAS!$F$1:$L$1022, 5, FALSE)</f>
        <v>6</v>
      </c>
      <c r="P163" s="1071"/>
      <c r="Q163" s="982" t="str">
        <f>VLOOKUP(M163,ASIGNATURAS!$F$1:$L$1022, 6, FALSE)</f>
        <v>Oscar Manuel Carrasco Saiz</v>
      </c>
      <c r="R163" s="983"/>
      <c r="S163" s="983"/>
      <c r="T163" s="983"/>
      <c r="U163" s="983"/>
      <c r="V163" s="983"/>
      <c r="W163" s="983"/>
      <c r="X163" s="983"/>
      <c r="Y163" s="983"/>
      <c r="Z163" s="983"/>
      <c r="AA163" s="983"/>
      <c r="AB163" s="983"/>
      <c r="AC163" s="983"/>
      <c r="AD163" s="983"/>
      <c r="AE163" s="1018"/>
    </row>
    <row r="164" spans="1:35" ht="14.4" thickBot="1" x14ac:dyDescent="0.3">
      <c r="A164" s="1097" t="str">
        <f>VLOOKUP(M164,ASIGNATURAS!$F$1:$L$1022, 3, FALSE)</f>
        <v>PROD. Y FABRIC.</v>
      </c>
      <c r="B164" s="1098"/>
      <c r="C164" s="1088" t="str">
        <f>VLOOKUP(M164,ASIGNATURAS!$F$1:$L$1022, 4, FALSE)</f>
        <v>Sistemas de Producción y Fab. Indust.</v>
      </c>
      <c r="D164" s="1089"/>
      <c r="E164" s="1089"/>
      <c r="F164" s="1089"/>
      <c r="G164" s="1089"/>
      <c r="H164" s="1089"/>
      <c r="I164" s="1089"/>
      <c r="J164" s="1089"/>
      <c r="K164" s="1089"/>
      <c r="L164" s="1090"/>
      <c r="M164" s="1099">
        <v>9139</v>
      </c>
      <c r="N164" s="1100"/>
      <c r="O164" s="1099">
        <f>VLOOKUP(M164,ASIGNATURAS!$F$1:$L$1022, 5, FALSE)</f>
        <v>6</v>
      </c>
      <c r="P164" s="1100"/>
      <c r="Q164" s="1088" t="str">
        <f>VLOOKUP(M164,ASIGNATURAS!$F$1:$L$1022, 6, FALSE)</f>
        <v>Miguel Angel Mariscal</v>
      </c>
      <c r="R164" s="1089"/>
      <c r="S164" s="1089"/>
      <c r="T164" s="1089"/>
      <c r="U164" s="1089"/>
      <c r="V164" s="1089"/>
      <c r="W164" s="1089"/>
      <c r="X164" s="1089"/>
      <c r="Y164" s="1089"/>
      <c r="Z164" s="1089"/>
      <c r="AA164" s="1089"/>
      <c r="AB164" s="1089"/>
      <c r="AC164" s="1089"/>
      <c r="AD164" s="1089"/>
      <c r="AE164" s="1090"/>
    </row>
    <row r="167" spans="1:35" ht="24" customHeight="1" x14ac:dyDescent="0.25">
      <c r="A167" s="1101" t="s">
        <v>1050</v>
      </c>
      <c r="B167" s="1101"/>
      <c r="C167" s="1101"/>
      <c r="D167" s="1101"/>
      <c r="E167" s="1101"/>
    </row>
    <row r="168" spans="1:35" ht="24" customHeight="1" x14ac:dyDescent="0.25">
      <c r="A168" s="1102" t="s">
        <v>1046</v>
      </c>
      <c r="B168" s="1102"/>
      <c r="C168" s="1102"/>
      <c r="D168" s="1102"/>
      <c r="E168" s="1102"/>
    </row>
    <row r="169" spans="1:35" x14ac:dyDescent="0.25">
      <c r="A169" s="453" t="s">
        <v>1060</v>
      </c>
      <c r="B169" s="440"/>
      <c r="C169" s="440"/>
      <c r="D169" s="440"/>
      <c r="E169" s="440"/>
      <c r="F169" s="440"/>
      <c r="G169" s="440"/>
      <c r="H169" s="440"/>
      <c r="I169" s="440"/>
      <c r="J169" s="440"/>
      <c r="K169" s="440"/>
      <c r="L169" s="440"/>
      <c r="M169" s="440"/>
      <c r="N169" s="440"/>
      <c r="O169" s="440"/>
      <c r="P169" s="440"/>
      <c r="Q169" s="440"/>
      <c r="R169" s="440"/>
      <c r="S169" s="440"/>
    </row>
    <row r="170" spans="1:35" x14ac:dyDescent="0.25">
      <c r="A170" s="25" t="s">
        <v>217</v>
      </c>
    </row>
    <row r="171" spans="1:35" x14ac:dyDescent="0.25">
      <c r="AG171" s="2"/>
      <c r="AH171" s="2"/>
      <c r="AI171" s="2"/>
    </row>
    <row r="172" spans="1:35" ht="13.8" thickBot="1" x14ac:dyDescent="0.3"/>
    <row r="173" spans="1:35" s="1" customFormat="1" ht="31.5" customHeight="1" thickBot="1" x14ac:dyDescent="0.45">
      <c r="A173" s="1094" t="str">
        <f>VLOOKUP(A176,ASIGNATURAS!$A$2:$D$151, 3, FALSE)</f>
        <v>3º Grado en Ingeniería de Organización Industrial</v>
      </c>
      <c r="B173" s="1095"/>
      <c r="C173" s="1095"/>
      <c r="D173" s="1095"/>
      <c r="E173" s="1095"/>
      <c r="F173" s="1095"/>
      <c r="G173" s="1095"/>
      <c r="H173" s="1095"/>
      <c r="I173" s="1095"/>
      <c r="J173" s="1095"/>
      <c r="K173" s="1095"/>
      <c r="L173" s="1095"/>
      <c r="M173" s="1095"/>
      <c r="N173" s="1095"/>
      <c r="O173" s="1095"/>
      <c r="P173" s="1095"/>
      <c r="Q173" s="1095"/>
      <c r="R173" s="1095"/>
      <c r="S173" s="1095"/>
      <c r="T173" s="1095"/>
      <c r="U173" s="1095"/>
      <c r="V173" s="1095"/>
      <c r="W173" s="1095"/>
      <c r="X173" s="1095"/>
      <c r="Y173" s="1096"/>
      <c r="Z173" s="1076" t="str">
        <f>Z1</f>
        <v>Curso 2024-2025</v>
      </c>
      <c r="AA173" s="1077"/>
      <c r="AB173" s="1077"/>
      <c r="AC173" s="1077"/>
      <c r="AD173" s="1077"/>
      <c r="AE173" s="1078"/>
      <c r="AG173"/>
      <c r="AH173"/>
      <c r="AI173"/>
    </row>
    <row r="174" spans="1:35" s="8" customFormat="1" ht="23.25" customHeight="1" thickBot="1" x14ac:dyDescent="0.45">
      <c r="A174" s="1083" t="str">
        <f>VLOOKUP(A176,ASIGNATURAS!$A$2:$D$151, 2, FALSE)</f>
        <v>Semestre temporal: 2º        (6º Semestre Académico)</v>
      </c>
      <c r="B174" s="1084"/>
      <c r="C174" s="1084"/>
      <c r="D174" s="1084"/>
      <c r="E174" s="1084"/>
      <c r="F174" s="1084"/>
      <c r="G174" s="1084"/>
      <c r="H174" s="1084"/>
      <c r="I174" s="1084"/>
      <c r="J174" s="1084"/>
      <c r="K174" s="1084"/>
      <c r="L174" s="1084"/>
      <c r="M174" s="1084"/>
      <c r="N174" s="1084"/>
      <c r="O174" s="1084"/>
      <c r="P174" s="1084"/>
      <c r="Q174" s="1084"/>
      <c r="R174" s="1084"/>
      <c r="S174" s="1084"/>
      <c r="T174" s="1084"/>
      <c r="U174" s="1084"/>
      <c r="V174" s="1084"/>
      <c r="W174" s="1084"/>
      <c r="X174" s="1084"/>
      <c r="Y174" s="1085"/>
      <c r="Z174" s="1072" t="s">
        <v>1245</v>
      </c>
      <c r="AA174" s="1072"/>
      <c r="AB174" s="1072"/>
      <c r="AC174" s="1072"/>
      <c r="AD174" s="1072"/>
      <c r="AE174" s="1073"/>
      <c r="AG174"/>
      <c r="AH174"/>
      <c r="AI174"/>
    </row>
    <row r="175" spans="1:35" s="8" customFormat="1" ht="23.25" customHeight="1" thickBot="1" x14ac:dyDescent="0.45">
      <c r="A175" s="1083" t="s">
        <v>142</v>
      </c>
      <c r="B175" s="1084"/>
      <c r="C175" s="1084"/>
      <c r="D175" s="1084"/>
      <c r="E175" s="1084"/>
      <c r="F175" s="1084"/>
      <c r="G175" s="1084"/>
      <c r="H175" s="1084"/>
      <c r="I175" s="1084"/>
      <c r="J175" s="1084"/>
      <c r="K175" s="1084"/>
      <c r="L175" s="1084"/>
      <c r="M175" s="1084"/>
      <c r="N175" s="1084"/>
      <c r="O175" s="1084"/>
      <c r="P175" s="1084"/>
      <c r="Q175" s="1084"/>
      <c r="R175" s="1084"/>
      <c r="S175" s="1084"/>
      <c r="T175" s="1084"/>
      <c r="U175" s="1084"/>
      <c r="V175" s="1084"/>
      <c r="W175" s="1084"/>
      <c r="X175" s="1084"/>
      <c r="Y175" s="1085"/>
      <c r="Z175" s="1074"/>
      <c r="AA175" s="1074"/>
      <c r="AB175" s="1074"/>
      <c r="AC175" s="1074"/>
      <c r="AD175" s="1074"/>
      <c r="AE175" s="1075"/>
      <c r="AG175"/>
      <c r="AH175"/>
      <c r="AI175"/>
    </row>
    <row r="176" spans="1:35" ht="38.25" customHeight="1" thickBot="1" x14ac:dyDescent="0.3">
      <c r="A176" s="9" t="s">
        <v>64</v>
      </c>
    </row>
    <row r="177" spans="1:43" s="2" customFormat="1" ht="24" customHeight="1" thickBot="1" x14ac:dyDescent="0.3">
      <c r="A177" s="19" t="s">
        <v>1</v>
      </c>
      <c r="B177" s="1091" t="s">
        <v>2</v>
      </c>
      <c r="C177" s="1092"/>
      <c r="D177" s="1092"/>
      <c r="E177" s="1092"/>
      <c r="F177" s="1092"/>
      <c r="G177" s="1093"/>
      <c r="H177" s="1091" t="s">
        <v>3</v>
      </c>
      <c r="I177" s="1092"/>
      <c r="J177" s="1092"/>
      <c r="K177" s="1092"/>
      <c r="L177" s="1092"/>
      <c r="M177" s="1093"/>
      <c r="N177" s="1076" t="s">
        <v>139</v>
      </c>
      <c r="O177" s="1077"/>
      <c r="P177" s="1077"/>
      <c r="Q177" s="1077"/>
      <c r="R177" s="1077"/>
      <c r="S177" s="1078"/>
      <c r="T177" s="1091" t="s">
        <v>4</v>
      </c>
      <c r="U177" s="1092"/>
      <c r="V177" s="1092"/>
      <c r="W177" s="1092"/>
      <c r="X177" s="1092"/>
      <c r="Y177" s="1093"/>
      <c r="Z177" s="1091" t="s">
        <v>5</v>
      </c>
      <c r="AA177" s="1092"/>
      <c r="AB177" s="1092"/>
      <c r="AC177" s="1092"/>
      <c r="AD177" s="1092"/>
      <c r="AE177" s="1093"/>
      <c r="AG177"/>
      <c r="AH177"/>
    </row>
    <row r="178" spans="1:43" ht="33" customHeight="1" x14ac:dyDescent="0.3">
      <c r="A178" s="1086" t="s">
        <v>10</v>
      </c>
      <c r="B178" s="1069" t="s">
        <v>98</v>
      </c>
      <c r="C178" s="940"/>
      <c r="D178" s="940"/>
      <c r="E178" s="940"/>
      <c r="F178" s="940"/>
      <c r="G178" s="1070"/>
      <c r="H178" s="2095" t="s">
        <v>737</v>
      </c>
      <c r="I178" s="2037"/>
      <c r="J178" s="2037"/>
      <c r="K178" s="2037"/>
      <c r="L178" s="2037"/>
      <c r="M178" s="2096"/>
      <c r="N178" s="1296" t="s">
        <v>1203</v>
      </c>
      <c r="O178" s="1295" t="s">
        <v>579</v>
      </c>
      <c r="P178" s="2016" t="s">
        <v>1338</v>
      </c>
      <c r="Q178" s="2023"/>
      <c r="R178" s="2023"/>
      <c r="S178" s="2293"/>
      <c r="T178" s="1106"/>
      <c r="U178" s="1126"/>
      <c r="V178" s="1350"/>
      <c r="W178" s="1109" t="s">
        <v>250</v>
      </c>
      <c r="X178" s="1153" t="s">
        <v>579</v>
      </c>
      <c r="Y178" s="2014" t="s">
        <v>487</v>
      </c>
      <c r="Z178" s="2102" t="s">
        <v>1203</v>
      </c>
      <c r="AA178" s="2065"/>
      <c r="AB178" s="2116" t="s">
        <v>1338</v>
      </c>
      <c r="AC178" s="2043" t="s">
        <v>737</v>
      </c>
      <c r="AD178" s="2100" t="s">
        <v>636</v>
      </c>
      <c r="AE178" s="2011" t="s">
        <v>159</v>
      </c>
      <c r="AF178" s="1081"/>
      <c r="AG178" s="939"/>
      <c r="AH178" s="939"/>
      <c r="AI178" s="939"/>
      <c r="AJ178" s="939"/>
      <c r="AK178" s="939"/>
    </row>
    <row r="179" spans="1:43" ht="33" customHeight="1" x14ac:dyDescent="0.25">
      <c r="A179" s="1087"/>
      <c r="B179" s="1067" t="s">
        <v>156</v>
      </c>
      <c r="C179" s="944"/>
      <c r="D179" s="944"/>
      <c r="E179" s="944"/>
      <c r="F179" s="944"/>
      <c r="G179" s="1068"/>
      <c r="H179" s="2081" t="s">
        <v>159</v>
      </c>
      <c r="I179" s="2031"/>
      <c r="J179" s="2031"/>
      <c r="K179" s="2031"/>
      <c r="L179" s="2031"/>
      <c r="M179" s="2032"/>
      <c r="N179" s="1118"/>
      <c r="O179" s="1153"/>
      <c r="P179" s="1217"/>
      <c r="Q179" s="1337"/>
      <c r="R179" s="1337"/>
      <c r="S179" s="1340"/>
      <c r="T179" s="1106"/>
      <c r="U179" s="1126"/>
      <c r="V179" s="1350"/>
      <c r="W179" s="1109"/>
      <c r="X179" s="1153"/>
      <c r="Y179" s="2014"/>
      <c r="Z179" s="2103"/>
      <c r="AA179" s="1441"/>
      <c r="AB179" s="2117"/>
      <c r="AC179" s="2044"/>
      <c r="AD179" s="2067"/>
      <c r="AE179" s="2012"/>
      <c r="AF179" s="1322"/>
      <c r="AG179" s="1174"/>
      <c r="AH179" s="1174"/>
      <c r="AI179" s="1174"/>
      <c r="AJ179" s="1174"/>
      <c r="AK179" s="1174"/>
    </row>
    <row r="180" spans="1:43" ht="33" customHeight="1" x14ac:dyDescent="0.3">
      <c r="A180" s="1087" t="s">
        <v>11</v>
      </c>
      <c r="B180" s="1069" t="s">
        <v>98</v>
      </c>
      <c r="C180" s="940"/>
      <c r="D180" s="940"/>
      <c r="E180" s="940"/>
      <c r="F180" s="940"/>
      <c r="G180" s="1070"/>
      <c r="H180" s="2095" t="s">
        <v>737</v>
      </c>
      <c r="I180" s="2037"/>
      <c r="J180" s="2037"/>
      <c r="K180" s="2037"/>
      <c r="L180" s="2037"/>
      <c r="M180" s="2096"/>
      <c r="N180" s="1118"/>
      <c r="O180" s="1153"/>
      <c r="P180" s="1217"/>
      <c r="Q180" s="1337"/>
      <c r="R180" s="1337"/>
      <c r="S180" s="1340"/>
      <c r="T180" s="1106"/>
      <c r="U180" s="1126"/>
      <c r="V180" s="1350"/>
      <c r="W180" s="1109"/>
      <c r="X180" s="1153"/>
      <c r="Y180" s="2014"/>
      <c r="Z180" s="2103"/>
      <c r="AA180" s="1441"/>
      <c r="AB180" s="2117"/>
      <c r="AC180" s="2044"/>
      <c r="AD180" s="2067"/>
      <c r="AE180" s="2012"/>
      <c r="AF180" s="809"/>
      <c r="AG180" s="611"/>
      <c r="AH180" s="611"/>
      <c r="AI180" s="611"/>
      <c r="AJ180" s="611"/>
      <c r="AK180" s="611"/>
    </row>
    <row r="181" spans="1:43" ht="33" customHeight="1" x14ac:dyDescent="0.3">
      <c r="A181" s="1087"/>
      <c r="B181" s="1067" t="s">
        <v>156</v>
      </c>
      <c r="C181" s="944"/>
      <c r="D181" s="944"/>
      <c r="E181" s="944"/>
      <c r="F181" s="944"/>
      <c r="G181" s="1068"/>
      <c r="H181" s="2081" t="s">
        <v>159</v>
      </c>
      <c r="I181" s="2031"/>
      <c r="J181" s="2031"/>
      <c r="K181" s="2031"/>
      <c r="L181" s="2031"/>
      <c r="M181" s="2032"/>
      <c r="N181" s="1119"/>
      <c r="O181" s="1154"/>
      <c r="P181" s="1218"/>
      <c r="Q181" s="1338"/>
      <c r="R181" s="1338"/>
      <c r="S181" s="1341"/>
      <c r="T181" s="1107"/>
      <c r="U181" s="1142"/>
      <c r="V181" s="1351"/>
      <c r="W181" s="1184"/>
      <c r="X181" s="1154"/>
      <c r="Y181" s="2015"/>
      <c r="Z181" s="2104"/>
      <c r="AA181" s="1441"/>
      <c r="AB181" s="2118"/>
      <c r="AC181" s="2045"/>
      <c r="AD181" s="2068"/>
      <c r="AE181" s="2013"/>
      <c r="AF181" s="806"/>
      <c r="AG181" s="667"/>
      <c r="AH181" s="667"/>
      <c r="AI181" s="667"/>
      <c r="AJ181" s="667"/>
      <c r="AK181" s="667"/>
      <c r="AL181" s="939"/>
      <c r="AM181" s="939"/>
      <c r="AN181" s="939"/>
      <c r="AO181" s="939"/>
      <c r="AP181" s="939"/>
      <c r="AQ181" s="939"/>
    </row>
    <row r="182" spans="1:43" ht="33" customHeight="1" x14ac:dyDescent="0.3">
      <c r="A182" s="1087" t="s">
        <v>6</v>
      </c>
      <c r="B182" s="2095" t="s">
        <v>1226</v>
      </c>
      <c r="C182" s="2037"/>
      <c r="D182" s="2037"/>
      <c r="E182" s="2037"/>
      <c r="F182" s="2037"/>
      <c r="G182" s="2096"/>
      <c r="H182" s="1069" t="s">
        <v>1198</v>
      </c>
      <c r="I182" s="940"/>
      <c r="J182" s="940"/>
      <c r="K182" s="940"/>
      <c r="L182" s="940"/>
      <c r="M182" s="1070"/>
      <c r="N182" s="1069" t="s">
        <v>250</v>
      </c>
      <c r="O182" s="940"/>
      <c r="P182" s="940"/>
      <c r="Q182" s="940"/>
      <c r="R182" s="940"/>
      <c r="S182" s="1070"/>
      <c r="T182" s="1176" t="s">
        <v>1198</v>
      </c>
      <c r="U182" s="1153" t="s">
        <v>579</v>
      </c>
      <c r="V182" s="1216" t="s">
        <v>565</v>
      </c>
      <c r="W182" s="2043" t="s">
        <v>1226</v>
      </c>
      <c r="X182" s="2066" t="s">
        <v>636</v>
      </c>
      <c r="Y182" s="2101" t="s">
        <v>564</v>
      </c>
      <c r="Z182" s="1182" t="s">
        <v>250</v>
      </c>
      <c r="AA182" s="1182" t="s">
        <v>580</v>
      </c>
      <c r="AB182" s="2085" t="s">
        <v>487</v>
      </c>
      <c r="AC182" s="1317" t="s">
        <v>221</v>
      </c>
      <c r="AD182" s="1153" t="s">
        <v>579</v>
      </c>
      <c r="AE182" s="2069" t="s">
        <v>159</v>
      </c>
      <c r="AL182" s="1174"/>
      <c r="AM182" s="1174"/>
      <c r="AN182" s="1174"/>
      <c r="AO182" s="1174"/>
      <c r="AP182" s="1174"/>
      <c r="AQ182" s="1174"/>
    </row>
    <row r="183" spans="1:43" ht="33" customHeight="1" x14ac:dyDescent="0.3">
      <c r="A183" s="1087"/>
      <c r="B183" s="2081" t="s">
        <v>156</v>
      </c>
      <c r="C183" s="2031"/>
      <c r="D183" s="2031"/>
      <c r="E183" s="2031"/>
      <c r="F183" s="2031"/>
      <c r="G183" s="2032"/>
      <c r="H183" s="1067" t="s">
        <v>1180</v>
      </c>
      <c r="I183" s="944"/>
      <c r="J183" s="944"/>
      <c r="K183" s="944"/>
      <c r="L183" s="944"/>
      <c r="M183" s="1068"/>
      <c r="N183" s="1067" t="s">
        <v>1172</v>
      </c>
      <c r="O183" s="944"/>
      <c r="P183" s="944"/>
      <c r="Q183" s="944"/>
      <c r="R183" s="944"/>
      <c r="S183" s="1068"/>
      <c r="T183" s="1118"/>
      <c r="U183" s="1153"/>
      <c r="V183" s="1217"/>
      <c r="W183" s="2044"/>
      <c r="X183" s="2067"/>
      <c r="Y183" s="2012"/>
      <c r="Z183" s="1153"/>
      <c r="AA183" s="1153"/>
      <c r="AB183" s="2086"/>
      <c r="AC183" s="1109"/>
      <c r="AD183" s="1153"/>
      <c r="AE183" s="2070"/>
      <c r="AF183" s="33"/>
      <c r="AL183" s="939"/>
      <c r="AM183" s="939"/>
      <c r="AN183" s="939"/>
      <c r="AO183" s="939"/>
      <c r="AP183" s="939"/>
      <c r="AQ183" s="939"/>
    </row>
    <row r="184" spans="1:43" ht="33" customHeight="1" x14ac:dyDescent="0.3">
      <c r="A184" s="1087" t="s">
        <v>7</v>
      </c>
      <c r="B184" s="2097" t="s">
        <v>1226</v>
      </c>
      <c r="C184" s="2098"/>
      <c r="D184" s="2098"/>
      <c r="E184" s="2098"/>
      <c r="F184" s="2098"/>
      <c r="G184" s="2099"/>
      <c r="H184" s="1069" t="s">
        <v>1198</v>
      </c>
      <c r="I184" s="940"/>
      <c r="J184" s="940"/>
      <c r="K184" s="940"/>
      <c r="L184" s="940"/>
      <c r="M184" s="1070"/>
      <c r="N184" s="1081" t="s">
        <v>250</v>
      </c>
      <c r="O184" s="939"/>
      <c r="P184" s="939"/>
      <c r="Q184" s="939"/>
      <c r="R184" s="939"/>
      <c r="S184" s="1082"/>
      <c r="T184" s="1118"/>
      <c r="U184" s="1153"/>
      <c r="V184" s="1217"/>
      <c r="W184" s="2044"/>
      <c r="X184" s="2067"/>
      <c r="Y184" s="2012"/>
      <c r="Z184" s="1153"/>
      <c r="AA184" s="1153"/>
      <c r="AB184" s="2086"/>
      <c r="AC184" s="1109"/>
      <c r="AD184" s="1153"/>
      <c r="AE184" s="2070"/>
      <c r="AH184" s="807"/>
      <c r="AI184" s="657"/>
      <c r="AJ184" s="808"/>
      <c r="AL184" s="1174"/>
      <c r="AM184" s="1174"/>
      <c r="AN184" s="1174"/>
      <c r="AO184" s="1174"/>
      <c r="AP184" s="1174"/>
      <c r="AQ184" s="1174"/>
    </row>
    <row r="185" spans="1:43" ht="33" customHeight="1" x14ac:dyDescent="0.25">
      <c r="A185" s="1087"/>
      <c r="B185" s="2081" t="s">
        <v>156</v>
      </c>
      <c r="C185" s="2031"/>
      <c r="D185" s="2031"/>
      <c r="E185" s="2031"/>
      <c r="F185" s="2031"/>
      <c r="G185" s="2032"/>
      <c r="H185" s="1067" t="s">
        <v>1180</v>
      </c>
      <c r="I185" s="944"/>
      <c r="J185" s="944"/>
      <c r="K185" s="944"/>
      <c r="L185" s="944"/>
      <c r="M185" s="1068"/>
      <c r="N185" s="1067" t="s">
        <v>1172</v>
      </c>
      <c r="O185" s="944"/>
      <c r="P185" s="944"/>
      <c r="Q185" s="944"/>
      <c r="R185" s="944"/>
      <c r="S185" s="1068"/>
      <c r="T185" s="1119"/>
      <c r="U185" s="1153"/>
      <c r="V185" s="1218"/>
      <c r="W185" s="2045"/>
      <c r="X185" s="2068"/>
      <c r="Y185" s="2013"/>
      <c r="Z185" s="1154"/>
      <c r="AA185" s="1154"/>
      <c r="AB185" s="2087"/>
      <c r="AC185" s="1184"/>
      <c r="AD185" s="1154"/>
      <c r="AE185" s="2071"/>
      <c r="AH185" s="807"/>
      <c r="AI185" s="657"/>
      <c r="AJ185" s="808"/>
    </row>
    <row r="186" spans="1:43" ht="33" customHeight="1" x14ac:dyDescent="0.3">
      <c r="A186" s="997" t="s">
        <v>8</v>
      </c>
      <c r="B186" s="2063"/>
      <c r="C186" s="1126"/>
      <c r="D186" s="1243"/>
      <c r="E186" s="2067" t="s">
        <v>1225</v>
      </c>
      <c r="F186" s="2067" t="s">
        <v>636</v>
      </c>
      <c r="G186" s="2012" t="s">
        <v>564</v>
      </c>
      <c r="H186" s="1069" t="s">
        <v>221</v>
      </c>
      <c r="I186" s="940"/>
      <c r="J186" s="940"/>
      <c r="K186" s="940"/>
      <c r="L186" s="940"/>
      <c r="M186" s="1070"/>
      <c r="N186" s="96"/>
      <c r="O186" s="84"/>
      <c r="P186" s="84"/>
      <c r="Q186" s="2088" t="s">
        <v>1225</v>
      </c>
      <c r="R186" s="2091"/>
      <c r="S186" s="2094" t="s">
        <v>156</v>
      </c>
      <c r="T186" s="1176" t="s">
        <v>98</v>
      </c>
      <c r="U186" s="1182" t="s">
        <v>579</v>
      </c>
      <c r="V186" s="1216" t="s">
        <v>564</v>
      </c>
      <c r="W186" s="1109" t="s">
        <v>1198</v>
      </c>
      <c r="X186" s="1153" t="s">
        <v>580</v>
      </c>
      <c r="Y186" s="2070" t="s">
        <v>565</v>
      </c>
      <c r="Z186" s="2063"/>
      <c r="AA186" s="1197"/>
      <c r="AB186" s="1256"/>
      <c r="AC186" s="1197"/>
      <c r="AD186" s="1197"/>
      <c r="AE186" s="2024"/>
      <c r="AH186" s="807"/>
      <c r="AI186" s="657"/>
      <c r="AJ186" s="808"/>
    </row>
    <row r="187" spans="1:43" ht="33" customHeight="1" x14ac:dyDescent="0.25">
      <c r="A187" s="998"/>
      <c r="B187" s="1106"/>
      <c r="C187" s="1126"/>
      <c r="D187" s="1243"/>
      <c r="E187" s="2067"/>
      <c r="F187" s="2067"/>
      <c r="G187" s="2012"/>
      <c r="H187" s="1067" t="s">
        <v>159</v>
      </c>
      <c r="I187" s="944"/>
      <c r="J187" s="944"/>
      <c r="K187" s="944"/>
      <c r="L187" s="944"/>
      <c r="M187" s="1068"/>
      <c r="N187" s="504"/>
      <c r="O187" s="380"/>
      <c r="P187" s="380"/>
      <c r="Q187" s="2089"/>
      <c r="R187" s="2092"/>
      <c r="S187" s="2094"/>
      <c r="T187" s="1118"/>
      <c r="U187" s="1153"/>
      <c r="V187" s="1217"/>
      <c r="W187" s="1109"/>
      <c r="X187" s="1153"/>
      <c r="Y187" s="2070"/>
      <c r="Z187" s="1106"/>
      <c r="AA187" s="1126"/>
      <c r="AB187" s="1243"/>
      <c r="AC187" s="1126"/>
      <c r="AD187" s="1126"/>
      <c r="AE187" s="2025"/>
      <c r="AF187" s="33"/>
      <c r="AH187" s="807"/>
      <c r="AI187" s="657"/>
      <c r="AJ187" s="808"/>
    </row>
    <row r="188" spans="1:43" ht="33" customHeight="1" x14ac:dyDescent="0.3">
      <c r="A188" s="997" t="s">
        <v>9</v>
      </c>
      <c r="B188" s="1106"/>
      <c r="C188" s="1126"/>
      <c r="D188" s="1243"/>
      <c r="E188" s="2067"/>
      <c r="F188" s="2067"/>
      <c r="G188" s="2012"/>
      <c r="H188" s="1081" t="s">
        <v>221</v>
      </c>
      <c r="I188" s="939"/>
      <c r="J188" s="939"/>
      <c r="K188" s="939"/>
      <c r="L188" s="939"/>
      <c r="M188" s="1082"/>
      <c r="N188" s="96"/>
      <c r="O188" s="84"/>
      <c r="P188" s="84"/>
      <c r="Q188" s="2089"/>
      <c r="R188" s="2092"/>
      <c r="S188" s="2094"/>
      <c r="T188" s="1118"/>
      <c r="U188" s="1153"/>
      <c r="V188" s="1217"/>
      <c r="W188" s="1109"/>
      <c r="X188" s="1153"/>
      <c r="Y188" s="2070"/>
      <c r="Z188" s="1106"/>
      <c r="AA188" s="1126"/>
      <c r="AB188" s="1243"/>
      <c r="AC188" s="1126"/>
      <c r="AD188" s="1126"/>
      <c r="AE188" s="2025"/>
      <c r="AG188" s="2062"/>
      <c r="AH188" s="2008"/>
      <c r="AI188" s="2008"/>
      <c r="AJ188" s="2008"/>
      <c r="AK188" s="2008"/>
      <c r="AL188" s="395"/>
    </row>
    <row r="189" spans="1:43" ht="33" customHeight="1" thickBot="1" x14ac:dyDescent="0.3">
      <c r="A189" s="1456"/>
      <c r="B189" s="1159"/>
      <c r="C189" s="1126"/>
      <c r="D189" s="1243"/>
      <c r="E189" s="2068"/>
      <c r="F189" s="2067"/>
      <c r="G189" s="2012"/>
      <c r="H189" s="1303" t="s">
        <v>159</v>
      </c>
      <c r="I189" s="1304"/>
      <c r="J189" s="1304"/>
      <c r="K189" s="1304"/>
      <c r="L189" s="1304"/>
      <c r="M189" s="1305"/>
      <c r="N189" s="786"/>
      <c r="O189" s="298"/>
      <c r="P189" s="298"/>
      <c r="Q189" s="2090"/>
      <c r="R189" s="2093"/>
      <c r="S189" s="2094"/>
      <c r="T189" s="1177"/>
      <c r="U189" s="1153"/>
      <c r="V189" s="1254"/>
      <c r="W189" s="1184"/>
      <c r="X189" s="1154"/>
      <c r="Y189" s="2071"/>
      <c r="Z189" s="1159"/>
      <c r="AA189" s="1126"/>
      <c r="AB189" s="1257"/>
      <c r="AC189" s="1126"/>
      <c r="AD189" s="1126"/>
      <c r="AE189" s="2026"/>
      <c r="AG189" s="2351"/>
      <c r="AH189" s="1593"/>
      <c r="AI189" s="1593"/>
      <c r="AJ189" s="1593"/>
      <c r="AK189" s="1593"/>
      <c r="AL189" s="1593"/>
    </row>
    <row r="190" spans="1:43" ht="41.25" customHeight="1" thickBot="1" x14ac:dyDescent="0.45">
      <c r="C190" s="231"/>
      <c r="D190" s="231"/>
      <c r="E190" s="231"/>
      <c r="F190" s="231"/>
      <c r="G190" s="231"/>
      <c r="H190" s="35"/>
      <c r="I190" s="35"/>
      <c r="N190" s="231"/>
      <c r="P190" s="35"/>
      <c r="Q190" s="35"/>
      <c r="R190" s="35"/>
      <c r="S190" s="231"/>
      <c r="T190" s="231"/>
      <c r="U190" s="231"/>
      <c r="V190" s="231"/>
      <c r="W190" s="231"/>
      <c r="X190" s="231"/>
      <c r="Y190" s="231"/>
      <c r="AA190" s="231"/>
      <c r="AB190" s="35"/>
      <c r="AC190" s="231"/>
      <c r="AD190" s="231"/>
      <c r="AE190" s="231"/>
      <c r="AH190" s="8"/>
    </row>
    <row r="191" spans="1:43" ht="18.75" customHeight="1" x14ac:dyDescent="0.4">
      <c r="A191" s="1190" t="s">
        <v>218</v>
      </c>
      <c r="B191" s="1147"/>
      <c r="C191" s="1146" t="s">
        <v>219</v>
      </c>
      <c r="D191" s="1146"/>
      <c r="E191" s="1146"/>
      <c r="F191" s="1146"/>
      <c r="G191" s="1146"/>
      <c r="H191" s="1146"/>
      <c r="I191" s="1146"/>
      <c r="J191" s="1146"/>
      <c r="K191" s="1146"/>
      <c r="L191" s="58"/>
      <c r="M191" s="1144" t="s">
        <v>323</v>
      </c>
      <c r="N191" s="1145"/>
      <c r="O191" s="1146" t="s">
        <v>143</v>
      </c>
      <c r="P191" s="1147"/>
      <c r="Q191" s="1146" t="s">
        <v>167</v>
      </c>
      <c r="R191" s="1146"/>
      <c r="S191" s="1146"/>
      <c r="T191" s="1146"/>
      <c r="U191" s="1146"/>
      <c r="V191" s="1146"/>
      <c r="W191" s="1146"/>
      <c r="X191" s="1146"/>
      <c r="Y191" s="1146"/>
      <c r="Z191" s="1146"/>
      <c r="AA191" s="1146"/>
      <c r="AB191" s="1146"/>
      <c r="AC191" s="1146"/>
      <c r="AD191" s="1146"/>
      <c r="AE191" s="1147"/>
      <c r="AH191" s="8"/>
    </row>
    <row r="192" spans="1:43" ht="13.8" x14ac:dyDescent="0.25">
      <c r="A192" s="1065" t="str">
        <f>VLOOKUP(M192,ASIGNATURAS!$F$1:$L$1022, 3, FALSE)</f>
        <v>INVESTIGACIÓN II</v>
      </c>
      <c r="B192" s="1066"/>
      <c r="C192" s="982" t="str">
        <f>VLOOKUP(M192,ASIGNATURAS!$F$1:$L$1022, 4, FALSE)</f>
        <v>Investigación operativa II</v>
      </c>
      <c r="D192" s="983"/>
      <c r="E192" s="983"/>
      <c r="F192" s="983"/>
      <c r="G192" s="983"/>
      <c r="H192" s="983"/>
      <c r="I192" s="983"/>
      <c r="J192" s="983"/>
      <c r="K192" s="983"/>
      <c r="L192" s="1018"/>
      <c r="M192" s="981">
        <v>9140</v>
      </c>
      <c r="N192" s="1071"/>
      <c r="O192" s="981">
        <f>VLOOKUP(M192,ASIGNATURAS!$F$1:$L$1022, 5, FALSE)</f>
        <v>6</v>
      </c>
      <c r="P192" s="1071"/>
      <c r="Q192" s="982" t="str">
        <f>VLOOKUP(M192,ASIGNATURAS!$F$1:$L$1022, 6, FALSE)</f>
        <v>Susana García Herrero</v>
      </c>
      <c r="R192" s="983"/>
      <c r="S192" s="983"/>
      <c r="T192" s="983"/>
      <c r="U192" s="983"/>
      <c r="V192" s="983"/>
      <c r="W192" s="983"/>
      <c r="X192" s="983"/>
      <c r="Y192" s="983"/>
      <c r="Z192" s="983"/>
      <c r="AA192" s="983"/>
      <c r="AB192" s="983"/>
      <c r="AC192" s="983"/>
      <c r="AD192" s="983"/>
      <c r="AE192" s="1018"/>
    </row>
    <row r="193" spans="1:35" ht="13.8" x14ac:dyDescent="0.25">
      <c r="A193" s="1065" t="str">
        <f>VLOOKUP(M193,ASIGNATURAS!$F$1:$L$1022, 3, FALSE)</f>
        <v>CALIDAD</v>
      </c>
      <c r="B193" s="1066"/>
      <c r="C193" s="982" t="str">
        <f>VLOOKUP(M193,ASIGNATURAS!$F$1:$L$1022, 4, FALSE)</f>
        <v>Calidad (Español/inglés)</v>
      </c>
      <c r="D193" s="983"/>
      <c r="E193" s="983"/>
      <c r="F193" s="983"/>
      <c r="G193" s="983"/>
      <c r="H193" s="983"/>
      <c r="I193" s="983"/>
      <c r="J193" s="983"/>
      <c r="K193" s="983"/>
      <c r="L193" s="1018"/>
      <c r="M193" s="981">
        <v>9141</v>
      </c>
      <c r="N193" s="1071"/>
      <c r="O193" s="981">
        <f>VLOOKUP(M193,ASIGNATURAS!$F$1:$L$1022, 5, FALSE)</f>
        <v>6</v>
      </c>
      <c r="P193" s="1071"/>
      <c r="Q193" s="982" t="str">
        <f>VLOOKUP(M193,ASIGNATURAS!$F$1:$L$1022, 6, FALSE)</f>
        <v>Ignacio Fontaneda</v>
      </c>
      <c r="R193" s="983"/>
      <c r="S193" s="983"/>
      <c r="T193" s="983"/>
      <c r="U193" s="983"/>
      <c r="V193" s="983"/>
      <c r="W193" s="983"/>
      <c r="X193" s="983"/>
      <c r="Y193" s="983"/>
      <c r="Z193" s="983"/>
      <c r="AA193" s="983"/>
      <c r="AB193" s="983"/>
      <c r="AC193" s="983"/>
      <c r="AD193" s="983"/>
      <c r="AE193" s="1018"/>
      <c r="AH193" s="2"/>
    </row>
    <row r="194" spans="1:35" ht="15" customHeight="1" x14ac:dyDescent="0.25">
      <c r="A194" s="1065" t="str">
        <f>VLOOKUP(M194,ASIGNATURAS!$F$1:$L$1022, 3, FALSE)</f>
        <v>DIR. FINANCIERA</v>
      </c>
      <c r="B194" s="1066"/>
      <c r="C194" s="2059" t="str">
        <f>VLOOKUP(M194,ASIGNATURAS!$F$1:$L$1022, 4, FALSE)</f>
        <v>Dirección financiera (Español/Inglés)</v>
      </c>
      <c r="D194" s="2060"/>
      <c r="E194" s="2060"/>
      <c r="F194" s="2060"/>
      <c r="G194" s="2060"/>
      <c r="H194" s="2060"/>
      <c r="I194" s="2060"/>
      <c r="J194" s="2060"/>
      <c r="K194" s="2060"/>
      <c r="L194" s="2061"/>
      <c r="M194" s="981">
        <v>9142</v>
      </c>
      <c r="N194" s="1071"/>
      <c r="O194" s="981">
        <f>VLOOKUP(M194,ASIGNATURAS!$F$1:$L$1022, 5, FALSE)</f>
        <v>6</v>
      </c>
      <c r="P194" s="1071"/>
      <c r="Q194" s="982" t="str">
        <f>VLOOKUP(M194,ASIGNATURAS!$F$1:$L$1022, 6, FALSE)</f>
        <v>Luis R. Izquierdo, Luis Santiago García</v>
      </c>
      <c r="R194" s="983"/>
      <c r="S194" s="983"/>
      <c r="T194" s="983"/>
      <c r="U194" s="983"/>
      <c r="V194" s="983"/>
      <c r="W194" s="983"/>
      <c r="X194" s="983"/>
      <c r="Y194" s="983"/>
      <c r="Z194" s="983"/>
      <c r="AA194" s="983"/>
      <c r="AB194" s="983"/>
      <c r="AC194" s="983"/>
      <c r="AD194" s="983"/>
      <c r="AE194" s="1018"/>
    </row>
    <row r="195" spans="1:35" ht="15" customHeight="1" x14ac:dyDescent="0.25">
      <c r="A195" s="1065" t="str">
        <f>VLOOKUP(M195,ASIGNATURAS!$F$1:$L$1022, 3, FALSE)</f>
        <v>DISEÑO</v>
      </c>
      <c r="B195" s="1066"/>
      <c r="C195" s="2059" t="str">
        <f>VLOOKUP(M195,ASIGNATURAS!$F$1:$L$1022, 4, FALSE)</f>
        <v xml:space="preserve">Diseño, Plan y Control de Sist Prod E/I
Design, Planning and Control of Productive Systems </v>
      </c>
      <c r="D195" s="2060"/>
      <c r="E195" s="2060"/>
      <c r="F195" s="2060"/>
      <c r="G195" s="2060"/>
      <c r="H195" s="2060"/>
      <c r="I195" s="2060"/>
      <c r="J195" s="2060"/>
      <c r="K195" s="2060"/>
      <c r="L195" s="2061"/>
      <c r="M195" s="981">
        <v>9143</v>
      </c>
      <c r="N195" s="1071"/>
      <c r="O195" s="981">
        <f>VLOOKUP(M195,ASIGNATURAS!$F$1:$L$1022, 5, FALSE)</f>
        <v>6</v>
      </c>
      <c r="P195" s="1071"/>
      <c r="Q195" s="982" t="str">
        <f>VLOOKUP(M195,ASIGNATURAS!$F$1:$L$1022, 6, FALSE)</f>
        <v>Juan José Lavios</v>
      </c>
      <c r="R195" s="983"/>
      <c r="S195" s="983"/>
      <c r="T195" s="983"/>
      <c r="U195" s="983"/>
      <c r="V195" s="983"/>
      <c r="W195" s="983"/>
      <c r="X195" s="983"/>
      <c r="Y195" s="983"/>
      <c r="Z195" s="983"/>
      <c r="AA195" s="983"/>
      <c r="AB195" s="983"/>
      <c r="AC195" s="983"/>
      <c r="AD195" s="983"/>
      <c r="AE195" s="1018"/>
    </row>
    <row r="196" spans="1:35" ht="15" customHeight="1" thickBot="1" x14ac:dyDescent="0.3">
      <c r="A196" s="1065" t="str">
        <f>VLOOKUP(M196,ASIGNATURAS!$F$1:$L$1022, 3, FALSE)</f>
        <v>M.AMB Y RENOV.</v>
      </c>
      <c r="B196" s="1066"/>
      <c r="C196" s="1088" t="str">
        <f>VLOOKUP(M196,ASIGNATURAS!$F$1:$L$1022, 4, FALSE)</f>
        <v>Medio Ambiente y Energías Renovables</v>
      </c>
      <c r="D196" s="1089"/>
      <c r="E196" s="1089"/>
      <c r="F196" s="1089"/>
      <c r="G196" s="1089"/>
      <c r="H196" s="1089"/>
      <c r="I196" s="1089"/>
      <c r="J196" s="1089"/>
      <c r="K196" s="1089"/>
      <c r="L196" s="1090"/>
      <c r="M196" s="1099">
        <v>9144</v>
      </c>
      <c r="N196" s="1100"/>
      <c r="O196" s="1099">
        <f>VLOOKUP(M196,ASIGNATURAS!$F$1:$L$1022, 5, FALSE)</f>
        <v>6</v>
      </c>
      <c r="P196" s="1100"/>
      <c r="Q196" s="2064" t="str">
        <f>VLOOKUP(M196,ASIGNATURAS!$F$1:$L$1022, 6, FALSE)</f>
        <v>Alfonso Blasco Sanz, Fco. Javier Rodríguez Vidal</v>
      </c>
      <c r="R196" s="1089"/>
      <c r="S196" s="1089"/>
      <c r="T196" s="1089"/>
      <c r="U196" s="1089"/>
      <c r="V196" s="1089"/>
      <c r="W196" s="1089"/>
      <c r="X196" s="1089"/>
      <c r="Y196" s="1089"/>
      <c r="Z196" s="1089"/>
      <c r="AA196" s="1089"/>
      <c r="AB196" s="1089"/>
      <c r="AC196" s="1089"/>
      <c r="AD196" s="1089"/>
      <c r="AE196" s="1090"/>
    </row>
    <row r="198" spans="1:35" x14ac:dyDescent="0.25">
      <c r="AH198" s="2"/>
    </row>
    <row r="199" spans="1:35" ht="24" customHeight="1" x14ac:dyDescent="0.25">
      <c r="A199" s="1101" t="s">
        <v>1050</v>
      </c>
      <c r="B199" s="1101"/>
      <c r="C199" s="1101"/>
      <c r="D199" s="1101"/>
      <c r="E199" s="1101"/>
    </row>
    <row r="200" spans="1:35" ht="24" customHeight="1" x14ac:dyDescent="0.25">
      <c r="A200" s="1102" t="s">
        <v>1046</v>
      </c>
      <c r="B200" s="1102"/>
      <c r="C200" s="1102"/>
      <c r="D200" s="1102"/>
      <c r="E200" s="1102"/>
    </row>
    <row r="201" spans="1:35" ht="32.25" customHeight="1" x14ac:dyDescent="0.25"/>
    <row r="202" spans="1:35" x14ac:dyDescent="0.25">
      <c r="A202" s="25" t="s">
        <v>217</v>
      </c>
    </row>
    <row r="203" spans="1:35" x14ac:dyDescent="0.25">
      <c r="A203" s="453" t="s">
        <v>1060</v>
      </c>
      <c r="B203" s="440"/>
      <c r="C203" s="440"/>
      <c r="D203" s="440"/>
      <c r="E203" s="440"/>
      <c r="F203" s="440"/>
      <c r="G203" s="440"/>
      <c r="H203" s="440"/>
      <c r="I203" s="440"/>
      <c r="J203" s="440"/>
      <c r="K203" s="440"/>
      <c r="L203" s="440"/>
      <c r="M203" s="440"/>
      <c r="N203" s="440"/>
      <c r="O203" s="440"/>
      <c r="P203" s="440"/>
      <c r="Q203" s="440"/>
      <c r="R203" s="440"/>
      <c r="S203" s="440"/>
      <c r="AG203" s="2"/>
      <c r="AI203" s="2"/>
    </row>
    <row r="204" spans="1:35" ht="13.8" thickBot="1" x14ac:dyDescent="0.3"/>
    <row r="205" spans="1:35" s="1" customFormat="1" ht="31.5" customHeight="1" thickBot="1" x14ac:dyDescent="0.45">
      <c r="A205" s="1094" t="str">
        <f>VLOOKUP(A208,ASIGNATURAS!$A$2:$D$151, 3, FALSE)</f>
        <v>4º Grado en Ingeniería de Organización Industrial</v>
      </c>
      <c r="B205" s="1095"/>
      <c r="C205" s="1095"/>
      <c r="D205" s="1095"/>
      <c r="E205" s="1095"/>
      <c r="F205" s="1095"/>
      <c r="G205" s="1095"/>
      <c r="H205" s="1095"/>
      <c r="I205" s="1095"/>
      <c r="J205" s="1095"/>
      <c r="K205" s="1095"/>
      <c r="L205" s="1095"/>
      <c r="M205" s="1095"/>
      <c r="N205" s="1095"/>
      <c r="O205" s="1095"/>
      <c r="P205" s="1095"/>
      <c r="Q205" s="1095"/>
      <c r="R205" s="1095"/>
      <c r="S205" s="1095"/>
      <c r="T205" s="1095"/>
      <c r="U205" s="1095"/>
      <c r="V205" s="1095"/>
      <c r="W205" s="1095"/>
      <c r="X205" s="1095"/>
      <c r="Y205" s="1096"/>
      <c r="Z205" s="1076" t="str">
        <f>Z1</f>
        <v>Curso 2024-2025</v>
      </c>
      <c r="AA205" s="1077"/>
      <c r="AB205" s="1077"/>
      <c r="AC205" s="1077"/>
      <c r="AD205" s="1077"/>
      <c r="AE205" s="1078"/>
      <c r="AG205"/>
      <c r="AH205"/>
      <c r="AI205"/>
    </row>
    <row r="206" spans="1:35" s="8" customFormat="1" ht="23.25" customHeight="1" thickBot="1" x14ac:dyDescent="0.45">
      <c r="A206" s="1083" t="str">
        <f>VLOOKUP(A208,ASIGNATURAS!$A$2:$D$151, 2, FALSE)</f>
        <v>Semestre temporal: 1º        (7º Semestre Académico)</v>
      </c>
      <c r="B206" s="1084"/>
      <c r="C206" s="1084"/>
      <c r="D206" s="1084"/>
      <c r="E206" s="1084"/>
      <c r="F206" s="1084"/>
      <c r="G206" s="1084"/>
      <c r="H206" s="1084"/>
      <c r="I206" s="1084"/>
      <c r="J206" s="1084"/>
      <c r="K206" s="1084"/>
      <c r="L206" s="1084"/>
      <c r="M206" s="1084"/>
      <c r="N206" s="1084"/>
      <c r="O206" s="1084"/>
      <c r="P206" s="1084"/>
      <c r="Q206" s="1084"/>
      <c r="R206" s="1084"/>
      <c r="S206" s="1084"/>
      <c r="T206" s="1084"/>
      <c r="U206" s="1084"/>
      <c r="V206" s="1084"/>
      <c r="W206" s="1084"/>
      <c r="X206" s="1084"/>
      <c r="Y206" s="1085"/>
      <c r="Z206" s="1072" t="s">
        <v>1246</v>
      </c>
      <c r="AA206" s="1072"/>
      <c r="AB206" s="1072"/>
      <c r="AC206" s="1072"/>
      <c r="AD206" s="1072"/>
      <c r="AE206" s="1073"/>
      <c r="AG206"/>
      <c r="AH206"/>
      <c r="AI206"/>
    </row>
    <row r="207" spans="1:35" s="8" customFormat="1" ht="23.25" customHeight="1" thickBot="1" x14ac:dyDescent="0.45">
      <c r="A207" s="1083" t="s">
        <v>181</v>
      </c>
      <c r="B207" s="1084"/>
      <c r="C207" s="1084"/>
      <c r="D207" s="1084"/>
      <c r="E207" s="1084"/>
      <c r="F207" s="1084"/>
      <c r="G207" s="1084"/>
      <c r="H207" s="1084"/>
      <c r="I207" s="1084"/>
      <c r="J207" s="1084"/>
      <c r="K207" s="1084"/>
      <c r="L207" s="1084"/>
      <c r="M207" s="1084"/>
      <c r="N207" s="1084"/>
      <c r="O207" s="1084"/>
      <c r="P207" s="1084"/>
      <c r="Q207" s="1084"/>
      <c r="R207" s="1084"/>
      <c r="S207" s="1084"/>
      <c r="T207" s="1084"/>
      <c r="U207" s="1084"/>
      <c r="V207" s="1084"/>
      <c r="W207" s="1084"/>
      <c r="X207" s="1084"/>
      <c r="Y207" s="1085"/>
      <c r="Z207" s="1074"/>
      <c r="AA207" s="1074"/>
      <c r="AB207" s="1074"/>
      <c r="AC207" s="1074"/>
      <c r="AD207" s="1074"/>
      <c r="AE207" s="1075"/>
      <c r="AG207"/>
      <c r="AH207"/>
      <c r="AI207"/>
    </row>
    <row r="208" spans="1:35" ht="38.25" customHeight="1" thickBot="1" x14ac:dyDescent="0.3">
      <c r="A208" s="9" t="s">
        <v>65</v>
      </c>
      <c r="AG208" s="2"/>
      <c r="AI208" s="2"/>
    </row>
    <row r="209" spans="1:40" ht="27" customHeight="1" thickBot="1" x14ac:dyDescent="0.35">
      <c r="A209" s="24" t="s">
        <v>1</v>
      </c>
      <c r="B209" s="1076" t="s">
        <v>2</v>
      </c>
      <c r="C209" s="1077"/>
      <c r="D209" s="1077"/>
      <c r="E209" s="1077"/>
      <c r="F209" s="1077"/>
      <c r="G209" s="1078"/>
      <c r="H209" s="1091" t="s">
        <v>3</v>
      </c>
      <c r="I209" s="1092"/>
      <c r="J209" s="1092"/>
      <c r="K209" s="1092"/>
      <c r="L209" s="1092"/>
      <c r="M209" s="1093"/>
      <c r="N209" s="1091" t="s">
        <v>139</v>
      </c>
      <c r="O209" s="1092"/>
      <c r="P209" s="1092"/>
      <c r="Q209" s="1092"/>
      <c r="R209" s="1092"/>
      <c r="S209" s="1093"/>
      <c r="T209" s="1091" t="s">
        <v>4</v>
      </c>
      <c r="U209" s="1092"/>
      <c r="V209" s="1092"/>
      <c r="W209" s="1092"/>
      <c r="X209" s="1092"/>
      <c r="Y209" s="1093"/>
      <c r="Z209" s="1091" t="s">
        <v>5</v>
      </c>
      <c r="AA209" s="1092"/>
      <c r="AB209" s="1092"/>
      <c r="AC209" s="1092"/>
      <c r="AD209" s="1092"/>
      <c r="AE209" s="1093"/>
      <c r="AF209" s="1421"/>
      <c r="AG209" s="1421"/>
      <c r="AH209" s="1421"/>
      <c r="AI209" s="1421"/>
      <c r="AJ209" s="1421"/>
      <c r="AK209" s="1421"/>
    </row>
    <row r="210" spans="1:40" ht="27" customHeight="1" x14ac:dyDescent="0.3">
      <c r="A210" s="966" t="s">
        <v>1131</v>
      </c>
      <c r="B210" s="1069" t="s">
        <v>960</v>
      </c>
      <c r="C210" s="940"/>
      <c r="D210" s="940"/>
      <c r="E210" s="940"/>
      <c r="F210" s="940"/>
      <c r="G210" s="1070"/>
      <c r="H210" s="1025" t="s">
        <v>86</v>
      </c>
      <c r="I210" s="956"/>
      <c r="J210" s="956"/>
      <c r="K210" s="956"/>
      <c r="L210" s="956"/>
      <c r="M210" s="2029"/>
      <c r="N210" s="1025" t="s">
        <v>960</v>
      </c>
      <c r="O210" s="956"/>
      <c r="P210" s="956"/>
      <c r="Q210" s="956"/>
      <c r="R210" s="956"/>
      <c r="S210" s="2029"/>
      <c r="T210" s="1069" t="s">
        <v>960</v>
      </c>
      <c r="U210" s="940"/>
      <c r="V210" s="940"/>
      <c r="W210" s="940"/>
      <c r="X210" s="940"/>
      <c r="Y210" s="1070"/>
      <c r="Z210" s="1000"/>
      <c r="AA210" s="967"/>
      <c r="AB210" s="967"/>
      <c r="AC210" s="967"/>
      <c r="AD210" s="967"/>
      <c r="AE210" s="1139"/>
      <c r="AF210" s="2057"/>
      <c r="AG210" s="2058"/>
      <c r="AH210" s="2058"/>
      <c r="AI210" s="2058"/>
      <c r="AJ210" s="2058"/>
      <c r="AK210" s="2058"/>
    </row>
    <row r="211" spans="1:40" ht="27" customHeight="1" x14ac:dyDescent="0.3">
      <c r="A211" s="935"/>
      <c r="B211" s="1067" t="s">
        <v>154</v>
      </c>
      <c r="C211" s="944"/>
      <c r="D211" s="944"/>
      <c r="E211" s="944"/>
      <c r="F211" s="944"/>
      <c r="G211" s="1068"/>
      <c r="H211" s="1026" t="s">
        <v>538</v>
      </c>
      <c r="I211" s="937"/>
      <c r="J211" s="937"/>
      <c r="K211" s="937"/>
      <c r="L211" s="937"/>
      <c r="M211" s="2041"/>
      <c r="N211" s="1026" t="s">
        <v>154</v>
      </c>
      <c r="O211" s="937"/>
      <c r="P211" s="937"/>
      <c r="Q211" s="937"/>
      <c r="R211" s="937"/>
      <c r="S211" s="2041"/>
      <c r="T211" s="1067" t="s">
        <v>160</v>
      </c>
      <c r="U211" s="944"/>
      <c r="V211" s="944"/>
      <c r="W211" s="944"/>
      <c r="X211" s="944"/>
      <c r="Y211" s="1068"/>
      <c r="Z211" s="999"/>
      <c r="AA211" s="930"/>
      <c r="AB211" s="930"/>
      <c r="AC211" s="930"/>
      <c r="AD211" s="930"/>
      <c r="AE211" s="1140"/>
      <c r="AF211" s="1420"/>
      <c r="AG211" s="1421"/>
      <c r="AH211" s="1421"/>
      <c r="AI211" s="1421"/>
      <c r="AJ211" s="1421"/>
      <c r="AK211" s="1421"/>
    </row>
    <row r="212" spans="1:40" ht="27" customHeight="1" x14ac:dyDescent="0.3">
      <c r="A212" s="934" t="s">
        <v>187</v>
      </c>
      <c r="B212" s="1069" t="s">
        <v>86</v>
      </c>
      <c r="C212" s="940"/>
      <c r="D212" s="940"/>
      <c r="E212" s="940"/>
      <c r="F212" s="940"/>
      <c r="G212" s="1070"/>
      <c r="H212" s="1025" t="s">
        <v>86</v>
      </c>
      <c r="I212" s="956"/>
      <c r="J212" s="956"/>
      <c r="K212" s="956"/>
      <c r="L212" s="956"/>
      <c r="M212" s="2029"/>
      <c r="N212" s="1025" t="s">
        <v>960</v>
      </c>
      <c r="O212" s="956"/>
      <c r="P212" s="956"/>
      <c r="Q212" s="956"/>
      <c r="R212" s="956"/>
      <c r="S212" s="2029"/>
      <c r="T212" s="1375" t="s">
        <v>1200</v>
      </c>
      <c r="U212" s="1376"/>
      <c r="V212" s="1376"/>
      <c r="W212" s="1376"/>
      <c r="X212" s="1376"/>
      <c r="Y212" s="1377"/>
      <c r="Z212" s="1000"/>
      <c r="AA212" s="967"/>
      <c r="AB212" s="967"/>
      <c r="AC212" s="967"/>
      <c r="AD212" s="967"/>
      <c r="AE212" s="1139"/>
      <c r="AF212" s="2057"/>
      <c r="AG212" s="2058"/>
      <c r="AH212" s="2058"/>
      <c r="AI212" s="2058"/>
      <c r="AJ212" s="2058"/>
      <c r="AK212" s="2058"/>
    </row>
    <row r="213" spans="1:40" s="2" customFormat="1" ht="27" customHeight="1" x14ac:dyDescent="0.25">
      <c r="A213" s="935"/>
      <c r="B213" s="1067" t="s">
        <v>154</v>
      </c>
      <c r="C213" s="944"/>
      <c r="D213" s="944"/>
      <c r="E213" s="944"/>
      <c r="F213" s="944"/>
      <c r="G213" s="1068"/>
      <c r="H213" s="1026" t="s">
        <v>538</v>
      </c>
      <c r="I213" s="937"/>
      <c r="J213" s="937"/>
      <c r="K213" s="937"/>
      <c r="L213" s="937"/>
      <c r="M213" s="2041"/>
      <c r="N213" s="1026" t="s">
        <v>154</v>
      </c>
      <c r="O213" s="937"/>
      <c r="P213" s="937"/>
      <c r="Q213" s="937"/>
      <c r="R213" s="937"/>
      <c r="S213" s="2041"/>
      <c r="T213" s="1384" t="s">
        <v>160</v>
      </c>
      <c r="U213" s="1385"/>
      <c r="V213" s="1385"/>
      <c r="W213" s="1385"/>
      <c r="X213" s="1385"/>
      <c r="Y213" s="1386"/>
      <c r="Z213" s="999"/>
      <c r="AA213" s="930"/>
      <c r="AB213" s="930"/>
      <c r="AC213" s="930"/>
      <c r="AD213" s="930"/>
      <c r="AE213" s="1140"/>
      <c r="AF213" s="1118"/>
      <c r="AG213" s="1153"/>
      <c r="AH213" s="2324"/>
      <c r="AI213" s="2324"/>
      <c r="AJ213" s="2325"/>
      <c r="AK213" s="2325"/>
    </row>
    <row r="214" spans="1:40" ht="30" customHeight="1" x14ac:dyDescent="0.3">
      <c r="A214" s="934" t="s">
        <v>186</v>
      </c>
      <c r="B214" s="1069" t="s">
        <v>1201</v>
      </c>
      <c r="C214" s="940"/>
      <c r="D214" s="940"/>
      <c r="E214" s="940"/>
      <c r="F214" s="940"/>
      <c r="G214" s="1070"/>
      <c r="H214" s="1025" t="s">
        <v>86</v>
      </c>
      <c r="I214" s="956"/>
      <c r="J214" s="956"/>
      <c r="K214" s="956"/>
      <c r="L214" s="956"/>
      <c r="M214" s="2029"/>
      <c r="N214" s="2310" t="s">
        <v>1201</v>
      </c>
      <c r="O214" s="954"/>
      <c r="P214" s="954"/>
      <c r="Q214" s="954"/>
      <c r="R214" s="954"/>
      <c r="S214" s="2311"/>
      <c r="T214" s="2078" t="s">
        <v>1200</v>
      </c>
      <c r="U214" s="2079"/>
      <c r="V214" s="2079"/>
      <c r="W214" s="2079"/>
      <c r="X214" s="2079"/>
      <c r="Y214" s="2080"/>
      <c r="Z214" s="1000"/>
      <c r="AA214" s="967"/>
      <c r="AB214" s="967"/>
      <c r="AC214" s="967"/>
      <c r="AD214" s="967"/>
      <c r="AE214" s="1139"/>
      <c r="AF214" s="1118"/>
      <c r="AG214" s="1153"/>
      <c r="AH214" s="2326"/>
      <c r="AI214" s="2326"/>
      <c r="AJ214" s="2327"/>
      <c r="AK214" s="2327"/>
      <c r="AL214" s="20"/>
    </row>
    <row r="215" spans="1:40" ht="25.5" customHeight="1" x14ac:dyDescent="0.25">
      <c r="A215" s="935"/>
      <c r="B215" s="1067" t="s">
        <v>154</v>
      </c>
      <c r="C215" s="944"/>
      <c r="D215" s="944"/>
      <c r="E215" s="944"/>
      <c r="F215" s="944"/>
      <c r="G215" s="1068"/>
      <c r="H215" s="1026" t="s">
        <v>538</v>
      </c>
      <c r="I215" s="937"/>
      <c r="J215" s="937"/>
      <c r="K215" s="937"/>
      <c r="L215" s="937"/>
      <c r="M215" s="2041"/>
      <c r="N215" s="1026" t="s">
        <v>564</v>
      </c>
      <c r="O215" s="937"/>
      <c r="P215" s="937"/>
      <c r="Q215" s="937"/>
      <c r="R215" s="937"/>
      <c r="S215" s="2041"/>
      <c r="T215" s="2314" t="s">
        <v>160</v>
      </c>
      <c r="U215" s="2315"/>
      <c r="V215" s="2315"/>
      <c r="W215" s="2315"/>
      <c r="X215" s="2315"/>
      <c r="Y215" s="2316"/>
      <c r="Z215" s="999"/>
      <c r="AA215" s="930"/>
      <c r="AB215" s="930"/>
      <c r="AC215" s="930"/>
      <c r="AD215" s="930"/>
      <c r="AE215" s="1140"/>
      <c r="AF215" s="1118"/>
      <c r="AG215" s="1153"/>
      <c r="AH215" s="2324"/>
      <c r="AI215" s="2324"/>
      <c r="AJ215" s="2325"/>
      <c r="AK215" s="2325"/>
      <c r="AL215" s="20"/>
    </row>
    <row r="216" spans="1:40" ht="30" customHeight="1" x14ac:dyDescent="0.3">
      <c r="A216" s="934" t="s">
        <v>188</v>
      </c>
      <c r="B216" s="1069" t="s">
        <v>1201</v>
      </c>
      <c r="C216" s="940"/>
      <c r="D216" s="940"/>
      <c r="E216" s="940"/>
      <c r="F216" s="940"/>
      <c r="G216" s="1070"/>
      <c r="H216" s="1420" t="s">
        <v>1200</v>
      </c>
      <c r="I216" s="1421"/>
      <c r="J216" s="1421"/>
      <c r="K216" s="1421"/>
      <c r="L216" s="1421"/>
      <c r="M216" s="1422"/>
      <c r="N216" s="1025" t="s">
        <v>1201</v>
      </c>
      <c r="O216" s="956"/>
      <c r="P216" s="956"/>
      <c r="Q216" s="956"/>
      <c r="R216" s="956"/>
      <c r="S216" s="2029"/>
      <c r="T216" s="2321" t="s">
        <v>1200</v>
      </c>
      <c r="U216" s="2322"/>
      <c r="V216" s="2322"/>
      <c r="W216" s="2322"/>
      <c r="X216" s="2322"/>
      <c r="Y216" s="2323"/>
      <c r="Z216" s="1000"/>
      <c r="AA216" s="967"/>
      <c r="AB216" s="967"/>
      <c r="AC216" s="967"/>
      <c r="AD216" s="967"/>
      <c r="AE216" s="1139"/>
      <c r="AF216" s="1118"/>
      <c r="AG216" s="1153"/>
      <c r="AH216" s="2326"/>
      <c r="AI216" s="2326"/>
      <c r="AJ216" s="2327"/>
      <c r="AK216" s="2327"/>
      <c r="AL216" s="20"/>
    </row>
    <row r="217" spans="1:40" ht="30" customHeight="1" x14ac:dyDescent="0.3">
      <c r="A217" s="935"/>
      <c r="B217" s="1067" t="s">
        <v>154</v>
      </c>
      <c r="C217" s="944"/>
      <c r="D217" s="944"/>
      <c r="E217" s="944"/>
      <c r="F217" s="944"/>
      <c r="G217" s="1068"/>
      <c r="H217" s="1384" t="s">
        <v>160</v>
      </c>
      <c r="I217" s="1385"/>
      <c r="J217" s="1385"/>
      <c r="K217" s="1385"/>
      <c r="L217" s="1385"/>
      <c r="M217" s="1386"/>
      <c r="N217" s="1026" t="s">
        <v>564</v>
      </c>
      <c r="O217" s="937"/>
      <c r="P217" s="937"/>
      <c r="Q217" s="937"/>
      <c r="R217" s="937"/>
      <c r="S217" s="2041"/>
      <c r="T217" s="2314" t="s">
        <v>160</v>
      </c>
      <c r="U217" s="2315"/>
      <c r="V217" s="2315"/>
      <c r="W217" s="2315"/>
      <c r="X217" s="2315"/>
      <c r="Y217" s="2316"/>
      <c r="Z217" s="999"/>
      <c r="AA217" s="930"/>
      <c r="AB217" s="930"/>
      <c r="AC217" s="930"/>
      <c r="AD217" s="930"/>
      <c r="AE217" s="1140"/>
      <c r="AI217" s="2330"/>
      <c r="AJ217" s="2330"/>
      <c r="AK217" s="2330"/>
      <c r="AL217" s="2330"/>
      <c r="AM217" s="2330"/>
      <c r="AN217" s="2330"/>
    </row>
    <row r="218" spans="1:40" ht="30" customHeight="1" x14ac:dyDescent="0.3">
      <c r="A218" s="934" t="s">
        <v>189</v>
      </c>
      <c r="B218" s="2310" t="s">
        <v>955</v>
      </c>
      <c r="C218" s="954"/>
      <c r="D218" s="954"/>
      <c r="E218" s="954"/>
      <c r="F218" s="954"/>
      <c r="G218" s="2311"/>
      <c r="H218" s="1081" t="s">
        <v>955</v>
      </c>
      <c r="I218" s="939"/>
      <c r="J218" s="939"/>
      <c r="K218" s="939"/>
      <c r="L218" s="939"/>
      <c r="M218" s="1082"/>
      <c r="N218" s="2028" t="s">
        <v>1208</v>
      </c>
      <c r="O218" s="2028"/>
      <c r="P218" s="2028"/>
      <c r="Q218" s="1005"/>
      <c r="R218" s="967"/>
      <c r="S218" s="1139"/>
      <c r="T218" s="2097" t="s">
        <v>1208</v>
      </c>
      <c r="U218" s="2098"/>
      <c r="V218" s="2164"/>
      <c r="W218" s="932"/>
      <c r="X218" s="932"/>
      <c r="Y218" s="933"/>
      <c r="Z218" s="1204"/>
      <c r="AA218" s="932"/>
      <c r="AB218" s="932"/>
      <c r="AC218" s="932"/>
      <c r="AD218" s="932"/>
      <c r="AE218" s="1205"/>
      <c r="AI218" s="2328"/>
      <c r="AJ218" s="2328"/>
      <c r="AK218" s="2328"/>
      <c r="AL218" s="2328"/>
      <c r="AM218" s="2328"/>
      <c r="AN218" s="2328"/>
    </row>
    <row r="219" spans="1:40" ht="30" customHeight="1" x14ac:dyDescent="0.3">
      <c r="A219" s="935"/>
      <c r="B219" s="2312" t="s">
        <v>1307</v>
      </c>
      <c r="C219" s="1055"/>
      <c r="D219" s="1055"/>
      <c r="E219" s="1055"/>
      <c r="F219" s="1055"/>
      <c r="G219" s="2313"/>
      <c r="H219" s="1067" t="s">
        <v>1307</v>
      </c>
      <c r="I219" s="944"/>
      <c r="J219" s="944"/>
      <c r="K219" s="944"/>
      <c r="L219" s="944"/>
      <c r="M219" s="1068"/>
      <c r="N219" s="2083" t="s">
        <v>161</v>
      </c>
      <c r="O219" s="2083"/>
      <c r="P219" s="2329"/>
      <c r="Q219" s="930"/>
      <c r="R219" s="930"/>
      <c r="S219" s="931"/>
      <c r="T219" s="2081" t="s">
        <v>1307</v>
      </c>
      <c r="U219" s="2031"/>
      <c r="V219" s="2082"/>
      <c r="W219" s="943"/>
      <c r="X219" s="930"/>
      <c r="Y219" s="1140"/>
      <c r="Z219" s="1258"/>
      <c r="AA219" s="1259"/>
      <c r="AB219" s="1259"/>
      <c r="AC219" s="1259"/>
      <c r="AD219" s="1259"/>
      <c r="AE219" s="1260"/>
      <c r="AI219" s="2330"/>
      <c r="AJ219" s="2330"/>
      <c r="AK219" s="2330"/>
      <c r="AL219" s="2330"/>
      <c r="AM219" s="2330"/>
      <c r="AN219" s="2330"/>
    </row>
    <row r="220" spans="1:40" ht="30" customHeight="1" x14ac:dyDescent="0.3">
      <c r="A220" s="934" t="s">
        <v>190</v>
      </c>
      <c r="B220" s="1025" t="s">
        <v>955</v>
      </c>
      <c r="C220" s="956"/>
      <c r="D220" s="956"/>
      <c r="E220" s="956"/>
      <c r="F220" s="956"/>
      <c r="G220" s="2029"/>
      <c r="H220" s="1081" t="s">
        <v>955</v>
      </c>
      <c r="I220" s="939"/>
      <c r="J220" s="939"/>
      <c r="K220" s="939"/>
      <c r="L220" s="939"/>
      <c r="M220" s="1082"/>
      <c r="N220" s="2027" t="s">
        <v>1208</v>
      </c>
      <c r="O220" s="2028"/>
      <c r="P220" s="2318"/>
      <c r="Q220" s="967"/>
      <c r="R220" s="967"/>
      <c r="S220" s="1139"/>
      <c r="T220" s="2095" t="s">
        <v>1208</v>
      </c>
      <c r="U220" s="2037"/>
      <c r="V220" s="2350"/>
      <c r="W220" s="967"/>
      <c r="X220" s="967"/>
      <c r="Y220" s="968"/>
      <c r="Z220" s="1000"/>
      <c r="AA220" s="967"/>
      <c r="AB220" s="967"/>
      <c r="AC220" s="967"/>
      <c r="AD220" s="967"/>
      <c r="AE220" s="1139"/>
      <c r="AF220" s="2352"/>
      <c r="AG220" s="2353"/>
      <c r="AH220" s="2353"/>
      <c r="AI220" s="2328"/>
      <c r="AJ220" s="2328"/>
      <c r="AK220" s="2328"/>
      <c r="AL220" s="2328"/>
      <c r="AM220" s="2328"/>
      <c r="AN220" s="2328"/>
    </row>
    <row r="221" spans="1:40" ht="30" customHeight="1" thickBot="1" x14ac:dyDescent="0.3">
      <c r="A221" s="1798"/>
      <c r="B221" s="2302" t="s">
        <v>1307</v>
      </c>
      <c r="C221" s="2303"/>
      <c r="D221" s="2303"/>
      <c r="E221" s="2303"/>
      <c r="F221" s="2303"/>
      <c r="G221" s="2304"/>
      <c r="H221" s="1303" t="s">
        <v>1307</v>
      </c>
      <c r="I221" s="1304"/>
      <c r="J221" s="1304"/>
      <c r="K221" s="1304"/>
      <c r="L221" s="1304"/>
      <c r="M221" s="1305"/>
      <c r="N221" s="2319" t="s">
        <v>161</v>
      </c>
      <c r="O221" s="2319"/>
      <c r="P221" s="2320"/>
      <c r="Q221" s="1651"/>
      <c r="R221" s="1651"/>
      <c r="S221" s="2042"/>
      <c r="T221" s="2081" t="s">
        <v>1307</v>
      </c>
      <c r="U221" s="2031"/>
      <c r="V221" s="2082"/>
      <c r="W221" s="1057"/>
      <c r="X221" s="1058"/>
      <c r="Y221" s="2317"/>
      <c r="Z221" s="1263"/>
      <c r="AA221" s="1264"/>
      <c r="AB221" s="1264"/>
      <c r="AC221" s="1264"/>
      <c r="AD221" s="1264"/>
      <c r="AE221" s="1265"/>
      <c r="AG221" s="33"/>
    </row>
    <row r="222" spans="1:40" ht="30" customHeight="1" thickBot="1" x14ac:dyDescent="0.3">
      <c r="A222" s="231"/>
      <c r="B222" s="35"/>
      <c r="E222" s="35"/>
      <c r="F222" s="35"/>
      <c r="I222" s="35"/>
      <c r="K222" s="35"/>
      <c r="L222" s="35"/>
      <c r="M222" s="35"/>
      <c r="Q222" s="35"/>
      <c r="R222" s="35"/>
      <c r="S222" s="35"/>
      <c r="T222" s="231"/>
      <c r="U222" s="231"/>
      <c r="V222" s="231"/>
      <c r="W222" s="231"/>
      <c r="X222" s="231"/>
      <c r="Y222" s="231"/>
      <c r="AA222" s="35"/>
    </row>
    <row r="223" spans="1:40" ht="30" customHeight="1" thickBot="1" x14ac:dyDescent="0.3">
      <c r="A223" s="1190" t="s">
        <v>218</v>
      </c>
      <c r="B223" s="1147"/>
      <c r="C223" s="1146" t="s">
        <v>219</v>
      </c>
      <c r="D223" s="1146"/>
      <c r="E223" s="1146"/>
      <c r="F223" s="1146"/>
      <c r="G223" s="1146"/>
      <c r="H223" s="1146"/>
      <c r="I223" s="1146"/>
      <c r="J223" s="1146"/>
      <c r="K223" s="1146"/>
      <c r="L223" s="58"/>
      <c r="M223" s="1144" t="s">
        <v>324</v>
      </c>
      <c r="N223" s="1145"/>
      <c r="O223" s="1146" t="s">
        <v>143</v>
      </c>
      <c r="P223" s="1147"/>
      <c r="Q223" s="1146" t="s">
        <v>167</v>
      </c>
      <c r="R223" s="1146"/>
      <c r="S223" s="1146"/>
      <c r="T223" s="1146"/>
      <c r="U223" s="1146"/>
      <c r="V223" s="1146"/>
      <c r="W223" s="1146"/>
      <c r="X223" s="1146"/>
      <c r="Y223" s="1146"/>
      <c r="Z223" s="1146"/>
      <c r="AA223" s="1146"/>
      <c r="AB223" s="1146"/>
      <c r="AC223" s="1146"/>
      <c r="AD223" s="1146"/>
      <c r="AE223" s="1147"/>
    </row>
    <row r="224" spans="1:40" ht="14.25" customHeight="1" thickBot="1" x14ac:dyDescent="0.3">
      <c r="A224" s="1400" t="str">
        <f>VLOOKUP(M224,ASIGNATURAS!$F$1:$L$1022, 3, FALSE)</f>
        <v>OFICINA TÉCNICA</v>
      </c>
      <c r="B224" s="1401"/>
      <c r="C224" s="2046" t="str">
        <f>VLOOKUP(M224,ASIGNATURAS!$F$1:$L$1022, 4, FALSE)</f>
        <v>Oficina Técnica</v>
      </c>
      <c r="D224" s="2047"/>
      <c r="E224" s="2047"/>
      <c r="F224" s="2047"/>
      <c r="G224" s="2047"/>
      <c r="H224" s="2047"/>
      <c r="I224" s="2047"/>
      <c r="J224" s="2047"/>
      <c r="K224" s="2047"/>
      <c r="L224" s="2048"/>
      <c r="M224" s="1402">
        <v>9145</v>
      </c>
      <c r="N224" s="1403"/>
      <c r="O224" s="1402">
        <f>VLOOKUP(M224,ASIGNATURAS!$F$1:$L$1022, 5, FALSE)</f>
        <v>6</v>
      </c>
      <c r="P224" s="1403"/>
      <c r="Q224" s="1397" t="str">
        <f>VLOOKUP(M224,ASIGNATURAS!$F$1:$L$1022, 6, FALSE)</f>
        <v>Raul Zamora</v>
      </c>
      <c r="R224" s="1398"/>
      <c r="S224" s="1398"/>
      <c r="T224" s="1398"/>
      <c r="U224" s="1398"/>
      <c r="V224" s="1398"/>
      <c r="W224" s="1398"/>
      <c r="X224" s="1398"/>
      <c r="Y224" s="1398"/>
      <c r="Z224" s="1398"/>
      <c r="AA224" s="1398"/>
      <c r="AB224" s="1398"/>
      <c r="AC224" s="1398"/>
      <c r="AD224" s="1398"/>
      <c r="AE224" s="1399"/>
    </row>
    <row r="225" spans="1:35" ht="14.25" customHeight="1" thickBot="1" x14ac:dyDescent="0.3">
      <c r="A225" s="1400" t="str">
        <f>VLOOKUP(M225,ASIGNATURAS!$F$1:$L$1022, 3, FALSE)</f>
        <v>PROYECTOS</v>
      </c>
      <c r="B225" s="1401"/>
      <c r="C225" s="2046" t="str">
        <f>VLOOKUP(M225,ASIGNATURAS!$F$1:$L$1022, 4, FALSE)</f>
        <v>Gestion de proyectos</v>
      </c>
      <c r="D225" s="2047"/>
      <c r="E225" s="2047"/>
      <c r="F225" s="2047"/>
      <c r="G225" s="2047"/>
      <c r="H225" s="2047"/>
      <c r="I225" s="2047"/>
      <c r="J225" s="2047"/>
      <c r="K225" s="2047"/>
      <c r="L225" s="2048"/>
      <c r="M225" s="1402">
        <v>9146</v>
      </c>
      <c r="N225" s="1403"/>
      <c r="O225" s="1402">
        <f>VLOOKUP(M225,ASIGNATURAS!$F$1:$L$1022, 5, FALSE)</f>
        <v>6</v>
      </c>
      <c r="P225" s="1403"/>
      <c r="Q225" s="1397" t="str">
        <f>VLOOKUP(M225,ASIGNATURAS!$F$1:$L$1022, 6, FALSE)</f>
        <v>Santiago  García</v>
      </c>
      <c r="R225" s="1398"/>
      <c r="S225" s="1398"/>
      <c r="T225" s="1398"/>
      <c r="U225" s="1398"/>
      <c r="V225" s="1398"/>
      <c r="W225" s="1398"/>
      <c r="X225" s="1398"/>
      <c r="Y225" s="1398"/>
      <c r="Z225" s="1398"/>
      <c r="AA225" s="1398"/>
      <c r="AB225" s="1398"/>
      <c r="AC225" s="1398"/>
      <c r="AD225" s="1398"/>
      <c r="AE225" s="1399"/>
    </row>
    <row r="226" spans="1:35" ht="14.25" customHeight="1" thickBot="1" x14ac:dyDescent="0.3">
      <c r="A226" s="1400" t="str">
        <f>VLOOKUP(M226,ASIGNATURAS!$F$1:$L$1022, 3, FALSE)</f>
        <v>SIST. INFORMACIÓN</v>
      </c>
      <c r="B226" s="1401"/>
      <c r="C226" s="2046" t="str">
        <f>VLOOKUP(M226,ASIGNATURAS!$F$1:$L$1022, 4, FALSE)</f>
        <v xml:space="preserve">Sistemas de información gerencial </v>
      </c>
      <c r="D226" s="2047"/>
      <c r="E226" s="2047"/>
      <c r="F226" s="2047"/>
      <c r="G226" s="2047"/>
      <c r="H226" s="2047"/>
      <c r="I226" s="2047"/>
      <c r="J226" s="2047"/>
      <c r="K226" s="2047"/>
      <c r="L226" s="2048"/>
      <c r="M226" s="1402">
        <v>9147</v>
      </c>
      <c r="N226" s="1403"/>
      <c r="O226" s="1402">
        <f>VLOOKUP(M226,ASIGNATURAS!$F$1:$L$1022, 5, FALSE)</f>
        <v>6</v>
      </c>
      <c r="P226" s="1403"/>
      <c r="Q226" s="1397" t="str">
        <f>VLOOKUP(M226,ASIGNATURAS!$F$1:$L$1022, 6, FALSE)</f>
        <v>Esteban Marcos</v>
      </c>
      <c r="R226" s="1398"/>
      <c r="S226" s="1398"/>
      <c r="T226" s="1398"/>
      <c r="U226" s="1398"/>
      <c r="V226" s="1398"/>
      <c r="W226" s="1398"/>
      <c r="X226" s="1398"/>
      <c r="Y226" s="1398"/>
      <c r="Z226" s="1398"/>
      <c r="AA226" s="1398"/>
      <c r="AB226" s="1398"/>
      <c r="AC226" s="1398"/>
      <c r="AD226" s="1398"/>
      <c r="AE226" s="1399"/>
    </row>
    <row r="227" spans="1:35" ht="14.25" customHeight="1" thickBot="1" x14ac:dyDescent="0.3">
      <c r="A227" s="1400" t="str">
        <f>VLOOKUP(M227,ASIGNATURAS!$F$1:$L$1022, 3, FALSE)</f>
        <v>PREVENCIÓN</v>
      </c>
      <c r="B227" s="1401"/>
      <c r="C227" s="2046" t="str">
        <f>VLOOKUP(M227,ASIGNATURAS!$F$1:$L$1022, 4, FALSE)</f>
        <v>Prevención de Riesgos Laborales E/I</v>
      </c>
      <c r="D227" s="2047"/>
      <c r="E227" s="2047"/>
      <c r="F227" s="2047"/>
      <c r="G227" s="2047"/>
      <c r="H227" s="2047"/>
      <c r="I227" s="2047"/>
      <c r="J227" s="2047"/>
      <c r="K227" s="2047"/>
      <c r="L227" s="2048"/>
      <c r="M227" s="1402">
        <v>9148</v>
      </c>
      <c r="N227" s="1403"/>
      <c r="O227" s="1402">
        <f>VLOOKUP(M227,ASIGNATURAS!$F$1:$L$1022, 5, FALSE)</f>
        <v>6</v>
      </c>
      <c r="P227" s="1403"/>
      <c r="Q227" s="1397" t="str">
        <f>VLOOKUP(M227,ASIGNATURAS!$F$1:$L$1022, 6, FALSE)</f>
        <v>Roberto Arce, Rosa Sánchez</v>
      </c>
      <c r="R227" s="1398"/>
      <c r="S227" s="1398"/>
      <c r="T227" s="1398"/>
      <c r="U227" s="1398"/>
      <c r="V227" s="1398"/>
      <c r="W227" s="1398"/>
      <c r="X227" s="1398"/>
      <c r="Y227" s="1398"/>
      <c r="Z227" s="1398"/>
      <c r="AA227" s="1398"/>
      <c r="AB227" s="1398"/>
      <c r="AC227" s="1398"/>
      <c r="AD227" s="1398"/>
      <c r="AE227" s="1399"/>
    </row>
    <row r="228" spans="1:35" ht="14.25" customHeight="1" x14ac:dyDescent="0.25">
      <c r="A228" s="1400" t="str">
        <f>VLOOKUP(M228,ASIGNATURAS!$F$1:$L$1022, 3, FALSE)</f>
        <v>LOGÍSTICA</v>
      </c>
      <c r="B228" s="1401"/>
      <c r="C228" s="2046" t="str">
        <f>VLOOKUP(M228,ASIGNATURAS!$F$1:$L$1022, 4, FALSE)</f>
        <v>Logística</v>
      </c>
      <c r="D228" s="2047"/>
      <c r="E228" s="2047"/>
      <c r="F228" s="2047"/>
      <c r="G228" s="2047"/>
      <c r="H228" s="2047"/>
      <c r="I228" s="2047"/>
      <c r="J228" s="2047"/>
      <c r="K228" s="2047"/>
      <c r="L228" s="2048"/>
      <c r="M228" s="1402">
        <v>9149</v>
      </c>
      <c r="N228" s="1403"/>
      <c r="O228" s="1402">
        <f>VLOOKUP(M228,ASIGNATURAS!$F$1:$L$1022, 5, FALSE)</f>
        <v>6</v>
      </c>
      <c r="P228" s="1403"/>
      <c r="Q228" s="1397" t="str">
        <f>VLOOKUP(M228,ASIGNATURAS!$F$1:$L$1022, 6, FALSE)</f>
        <v>Carlos Alonso de Armiño Pérez</v>
      </c>
      <c r="R228" s="1398"/>
      <c r="S228" s="1398"/>
      <c r="T228" s="1398"/>
      <c r="U228" s="1398"/>
      <c r="V228" s="1398"/>
      <c r="W228" s="1398"/>
      <c r="X228" s="1398"/>
      <c r="Y228" s="1398"/>
      <c r="Z228" s="1398"/>
      <c r="AA228" s="1398"/>
      <c r="AB228" s="1398"/>
      <c r="AC228" s="1398"/>
      <c r="AD228" s="1398"/>
      <c r="AE228" s="1399"/>
    </row>
    <row r="229" spans="1:35" ht="14.25" customHeight="1" x14ac:dyDescent="0.25"/>
    <row r="230" spans="1:35" ht="15" x14ac:dyDescent="0.25">
      <c r="A230" s="1101" t="s">
        <v>1050</v>
      </c>
      <c r="B230" s="1101"/>
      <c r="C230" s="1101"/>
      <c r="D230" s="1101"/>
      <c r="E230" s="1101"/>
    </row>
    <row r="231" spans="1:35" ht="15" x14ac:dyDescent="0.25">
      <c r="A231" s="1102" t="s">
        <v>1048</v>
      </c>
      <c r="B231" s="1102"/>
      <c r="C231" s="1102"/>
      <c r="D231" s="1102"/>
      <c r="E231" s="1102"/>
    </row>
    <row r="232" spans="1:35" x14ac:dyDescent="0.25">
      <c r="A232" s="255"/>
      <c r="B232" s="10"/>
      <c r="C232" s="10"/>
      <c r="D232" s="10"/>
      <c r="E232" s="10"/>
      <c r="F232" s="10"/>
      <c r="G232" s="10"/>
      <c r="H232" s="10"/>
      <c r="I232" s="10"/>
      <c r="J232" s="10"/>
      <c r="K232" s="10"/>
      <c r="L232" s="10"/>
      <c r="M232" s="10"/>
      <c r="N232" s="10"/>
      <c r="O232" s="10"/>
      <c r="P232" s="10"/>
      <c r="Q232" s="10"/>
      <c r="R232" s="10"/>
      <c r="S232" s="10"/>
    </row>
    <row r="233" spans="1:35" ht="13.8" thickBot="1" x14ac:dyDescent="0.3">
      <c r="A233" s="25" t="s">
        <v>217</v>
      </c>
    </row>
    <row r="234" spans="1:35" ht="24" customHeight="1" thickBot="1" x14ac:dyDescent="0.3">
      <c r="A234" s="1094" t="str">
        <f>VLOOKUP(A237,ASIGNATURAS!$A$2:$D$151, 3, FALSE)</f>
        <v>4º Grado en Ingeniería de Organización Industrial</v>
      </c>
      <c r="B234" s="1095"/>
      <c r="C234" s="1095"/>
      <c r="D234" s="1095"/>
      <c r="E234" s="1095"/>
      <c r="F234" s="1095"/>
      <c r="G234" s="1095"/>
      <c r="H234" s="1095"/>
      <c r="I234" s="1095"/>
      <c r="J234" s="1095"/>
      <c r="K234" s="1095"/>
      <c r="L234" s="1095"/>
      <c r="M234" s="1095"/>
      <c r="N234" s="1095"/>
      <c r="O234" s="1095"/>
      <c r="P234" s="1095"/>
      <c r="Q234" s="1095"/>
      <c r="R234" s="1095"/>
      <c r="S234" s="1095"/>
      <c r="T234" s="1095"/>
      <c r="U234" s="1095"/>
      <c r="V234" s="1095"/>
      <c r="W234" s="1095"/>
      <c r="X234" s="1095"/>
      <c r="Y234" s="1096"/>
      <c r="Z234" s="1076" t="str">
        <f>Z1</f>
        <v>Curso 2024-2025</v>
      </c>
      <c r="AA234" s="1077"/>
      <c r="AB234" s="1077"/>
      <c r="AC234" s="1077"/>
      <c r="AD234" s="1077"/>
      <c r="AE234" s="1078"/>
    </row>
    <row r="235" spans="1:35" ht="24" customHeight="1" thickBot="1" x14ac:dyDescent="0.3">
      <c r="A235" s="1083" t="str">
        <f>VLOOKUP(A237,ASIGNATURAS!$A$2:$D$151, 2, FALSE)</f>
        <v>Semestre temporal: 2º        (8º Semestre Académico)</v>
      </c>
      <c r="B235" s="1083"/>
      <c r="C235" s="1084"/>
      <c r="D235" s="1084"/>
      <c r="E235" s="1084"/>
      <c r="F235" s="1084"/>
      <c r="G235" s="1084"/>
      <c r="H235" s="1084"/>
      <c r="I235" s="1084"/>
      <c r="J235" s="1084"/>
      <c r="K235" s="1084"/>
      <c r="L235" s="1084"/>
      <c r="M235" s="1084"/>
      <c r="N235" s="1084"/>
      <c r="O235" s="1084"/>
      <c r="P235" s="1084"/>
      <c r="Q235" s="1084"/>
      <c r="R235" s="1084"/>
      <c r="S235" s="1084"/>
      <c r="T235" s="1084"/>
      <c r="U235" s="1084"/>
      <c r="V235" s="1084"/>
      <c r="W235" s="1084"/>
      <c r="X235" s="1084"/>
      <c r="Y235" s="1085"/>
      <c r="Z235" s="1072" t="s">
        <v>154</v>
      </c>
      <c r="AA235" s="1072"/>
      <c r="AB235" s="1072"/>
      <c r="AC235" s="1072"/>
      <c r="AD235" s="1072"/>
      <c r="AE235" s="1073"/>
    </row>
    <row r="236" spans="1:35" ht="23.4" thickBot="1" x14ac:dyDescent="0.45">
      <c r="A236" s="1083" t="s">
        <v>181</v>
      </c>
      <c r="B236" s="1083"/>
      <c r="C236" s="1084"/>
      <c r="D236" s="1084"/>
      <c r="E236" s="1084"/>
      <c r="F236" s="1084"/>
      <c r="G236" s="1084"/>
      <c r="H236" s="1084"/>
      <c r="I236" s="1084"/>
      <c r="J236" s="1084"/>
      <c r="K236" s="1084"/>
      <c r="L236" s="1084"/>
      <c r="M236" s="1084"/>
      <c r="N236" s="1084"/>
      <c r="O236" s="1084"/>
      <c r="P236" s="1084"/>
      <c r="Q236" s="1084"/>
      <c r="R236" s="1084"/>
      <c r="S236" s="1084"/>
      <c r="T236" s="1084"/>
      <c r="U236" s="1084"/>
      <c r="V236" s="1084"/>
      <c r="W236" s="1084"/>
      <c r="X236" s="1084"/>
      <c r="Y236" s="1085"/>
      <c r="Z236" s="1074"/>
      <c r="AA236" s="1074"/>
      <c r="AB236" s="1074"/>
      <c r="AC236" s="1074"/>
      <c r="AD236" s="1074"/>
      <c r="AE236" s="1075"/>
      <c r="AG236" s="1"/>
      <c r="AI236" s="1"/>
    </row>
    <row r="237" spans="1:35" ht="18" thickBot="1" x14ac:dyDescent="0.3">
      <c r="A237" s="90" t="s">
        <v>66</v>
      </c>
      <c r="B237" s="33"/>
      <c r="AE237" s="32"/>
    </row>
    <row r="238" spans="1:35" s="1" customFormat="1" ht="31.5" customHeight="1" thickBot="1" x14ac:dyDescent="0.45">
      <c r="A238" s="19" t="s">
        <v>1</v>
      </c>
      <c r="B238" s="1091" t="s">
        <v>2</v>
      </c>
      <c r="C238" s="1092"/>
      <c r="D238" s="1092"/>
      <c r="E238" s="1092"/>
      <c r="F238" s="1092"/>
      <c r="G238" s="1093"/>
      <c r="H238" s="1091" t="s">
        <v>3</v>
      </c>
      <c r="I238" s="1092"/>
      <c r="J238" s="1092"/>
      <c r="K238" s="1092"/>
      <c r="L238" s="1092"/>
      <c r="M238" s="1093"/>
      <c r="N238" s="1076" t="s">
        <v>139</v>
      </c>
      <c r="O238" s="1077"/>
      <c r="P238" s="1077"/>
      <c r="Q238" s="1077"/>
      <c r="R238" s="1077"/>
      <c r="S238" s="1078"/>
      <c r="T238" s="1091" t="s">
        <v>4</v>
      </c>
      <c r="U238" s="1092"/>
      <c r="V238" s="1092"/>
      <c r="W238" s="1092"/>
      <c r="X238" s="1092"/>
      <c r="Y238" s="1093"/>
      <c r="Z238" s="1076" t="s">
        <v>5</v>
      </c>
      <c r="AA238" s="1077"/>
      <c r="AB238" s="1077"/>
      <c r="AC238" s="1077"/>
      <c r="AD238" s="1077"/>
      <c r="AE238" s="1078"/>
      <c r="AG238"/>
      <c r="AH238"/>
      <c r="AI238"/>
    </row>
    <row r="239" spans="1:35" s="8" customFormat="1" ht="33" customHeight="1" x14ac:dyDescent="0.4">
      <c r="A239" s="966" t="s">
        <v>1131</v>
      </c>
      <c r="B239" s="2097" t="s">
        <v>1205</v>
      </c>
      <c r="C239" s="2098"/>
      <c r="D239" s="2164"/>
      <c r="E239" s="954" t="s">
        <v>968</v>
      </c>
      <c r="F239" s="954"/>
      <c r="G239" s="954"/>
      <c r="H239" s="1079" t="s">
        <v>1202</v>
      </c>
      <c r="I239" s="1039"/>
      <c r="J239" s="1040"/>
      <c r="K239" s="932"/>
      <c r="L239" s="932"/>
      <c r="M239" s="933"/>
      <c r="N239" s="1079" t="s">
        <v>968</v>
      </c>
      <c r="O239" s="1039"/>
      <c r="P239" s="1040"/>
      <c r="Q239" s="2017" t="s">
        <v>1232</v>
      </c>
      <c r="R239" s="2018"/>
      <c r="S239" s="2019"/>
      <c r="T239" s="1204"/>
      <c r="U239" s="932"/>
      <c r="V239" s="932"/>
      <c r="W239" s="932"/>
      <c r="X239" s="932"/>
      <c r="Y239" s="1205"/>
      <c r="Z239" s="1261"/>
      <c r="AA239" s="1050"/>
      <c r="AB239" s="1050"/>
      <c r="AC239" s="1050"/>
      <c r="AD239" s="1050"/>
      <c r="AE239" s="1262"/>
      <c r="AG239"/>
      <c r="AH239"/>
      <c r="AI239"/>
    </row>
    <row r="240" spans="1:35" s="8" customFormat="1" ht="23.25" customHeight="1" x14ac:dyDescent="0.4">
      <c r="A240" s="935"/>
      <c r="B240" s="2081" t="s">
        <v>159</v>
      </c>
      <c r="C240" s="2031"/>
      <c r="D240" s="2082"/>
      <c r="E240" s="936" t="s">
        <v>154</v>
      </c>
      <c r="F240" s="937"/>
      <c r="G240" s="2041"/>
      <c r="H240" s="1067" t="s">
        <v>154</v>
      </c>
      <c r="I240" s="944"/>
      <c r="J240" s="945"/>
      <c r="K240" s="943"/>
      <c r="L240" s="930"/>
      <c r="M240" s="1140"/>
      <c r="N240" s="1067" t="s">
        <v>154</v>
      </c>
      <c r="O240" s="944"/>
      <c r="P240" s="945"/>
      <c r="Q240" s="2083" t="s">
        <v>564</v>
      </c>
      <c r="R240" s="2083"/>
      <c r="S240" s="2084"/>
      <c r="T240" s="999"/>
      <c r="U240" s="930"/>
      <c r="V240" s="930"/>
      <c r="W240" s="930"/>
      <c r="X240" s="930"/>
      <c r="Y240" s="1140"/>
      <c r="Z240" s="1404"/>
      <c r="AA240" s="1405"/>
      <c r="AB240" s="1405"/>
      <c r="AC240" s="1405"/>
      <c r="AD240" s="1405"/>
      <c r="AE240" s="1406"/>
      <c r="AG240"/>
      <c r="AH240"/>
      <c r="AI240"/>
    </row>
    <row r="241" spans="1:40" ht="33" customHeight="1" x14ac:dyDescent="0.3">
      <c r="A241" s="934" t="s">
        <v>187</v>
      </c>
      <c r="B241" s="2095" t="s">
        <v>1205</v>
      </c>
      <c r="C241" s="2037"/>
      <c r="D241" s="2037"/>
      <c r="E241" s="1015" t="s">
        <v>968</v>
      </c>
      <c r="F241" s="956"/>
      <c r="G241" s="2029"/>
      <c r="H241" s="1069" t="s">
        <v>1202</v>
      </c>
      <c r="I241" s="940"/>
      <c r="J241" s="941"/>
      <c r="K241" s="1005"/>
      <c r="L241" s="967"/>
      <c r="M241" s="1139"/>
      <c r="N241" s="1069" t="s">
        <v>968</v>
      </c>
      <c r="O241" s="940"/>
      <c r="P241" s="941"/>
      <c r="Q241" s="2028" t="s">
        <v>1232</v>
      </c>
      <c r="R241" s="2028"/>
      <c r="S241" s="2028"/>
      <c r="T241" s="1000"/>
      <c r="U241" s="967"/>
      <c r="V241" s="967"/>
      <c r="W241" s="967"/>
      <c r="X241" s="967"/>
      <c r="Y241" s="1139"/>
      <c r="Z241" s="1000"/>
      <c r="AA241" s="967"/>
      <c r="AB241" s="967"/>
      <c r="AC241" s="967"/>
      <c r="AD241" s="967"/>
      <c r="AE241" s="1139"/>
    </row>
    <row r="242" spans="1:40" s="2" customFormat="1" ht="24" customHeight="1" x14ac:dyDescent="0.25">
      <c r="A242" s="935"/>
      <c r="B242" s="2081" t="s">
        <v>159</v>
      </c>
      <c r="C242" s="2031"/>
      <c r="D242" s="2082"/>
      <c r="E242" s="936" t="s">
        <v>154</v>
      </c>
      <c r="F242" s="937"/>
      <c r="G242" s="2041"/>
      <c r="H242" s="1067" t="s">
        <v>154</v>
      </c>
      <c r="I242" s="944"/>
      <c r="J242" s="945"/>
      <c r="K242" s="943"/>
      <c r="L242" s="930"/>
      <c r="M242" s="1140"/>
      <c r="N242" s="1067" t="s">
        <v>154</v>
      </c>
      <c r="O242" s="944"/>
      <c r="P242" s="945"/>
      <c r="Q242" s="2083" t="s">
        <v>564</v>
      </c>
      <c r="R242" s="2083"/>
      <c r="S242" s="2084"/>
      <c r="T242" s="999"/>
      <c r="U242" s="930"/>
      <c r="V242" s="930"/>
      <c r="W242" s="930"/>
      <c r="X242" s="930"/>
      <c r="Y242" s="1140"/>
      <c r="Z242" s="1404"/>
      <c r="AA242" s="1405"/>
      <c r="AB242" s="1405"/>
      <c r="AC242" s="1405"/>
      <c r="AD242" s="1405"/>
      <c r="AE242" s="1406"/>
      <c r="AG242"/>
      <c r="AH242"/>
      <c r="AI242"/>
    </row>
    <row r="243" spans="1:40" ht="30" customHeight="1" x14ac:dyDescent="0.3">
      <c r="A243" s="1143" t="s">
        <v>186</v>
      </c>
      <c r="D243" s="200"/>
      <c r="E243" s="2037" t="s">
        <v>1232</v>
      </c>
      <c r="F243" s="2037"/>
      <c r="G243" s="2037"/>
      <c r="H243" s="1000"/>
      <c r="I243" s="967"/>
      <c r="J243" s="967"/>
      <c r="K243" s="797"/>
      <c r="L243" s="428"/>
      <c r="M243" s="396"/>
      <c r="N243" s="2027" t="s">
        <v>1205</v>
      </c>
      <c r="O243" s="2028"/>
      <c r="P243" s="2028"/>
      <c r="Q243" s="1015" t="s">
        <v>1202</v>
      </c>
      <c r="R243" s="956"/>
      <c r="S243" s="2029"/>
      <c r="T243" s="1000"/>
      <c r="U243" s="967"/>
      <c r="V243" s="967"/>
      <c r="W243" s="967"/>
      <c r="X243" s="967"/>
      <c r="Y243" s="1139"/>
      <c r="Z243" s="1000"/>
      <c r="AA243" s="967"/>
      <c r="AB243" s="967"/>
      <c r="AC243" s="967"/>
      <c r="AD243" s="967"/>
      <c r="AE243" s="1139"/>
    </row>
    <row r="244" spans="1:40" ht="30" customHeight="1" x14ac:dyDescent="0.25">
      <c r="A244" s="1143"/>
      <c r="E244" s="2030" t="s">
        <v>564</v>
      </c>
      <c r="F244" s="2031"/>
      <c r="G244" s="2032"/>
      <c r="H244" s="999"/>
      <c r="I244" s="930"/>
      <c r="J244" s="931"/>
      <c r="K244" s="772"/>
      <c r="L244" s="380"/>
      <c r="M244" s="381"/>
      <c r="N244" s="2052" t="s">
        <v>159</v>
      </c>
      <c r="O244" s="2053"/>
      <c r="P244" s="2054"/>
      <c r="Q244" s="2055" t="s">
        <v>154</v>
      </c>
      <c r="R244" s="2055"/>
      <c r="S244" s="2056"/>
      <c r="T244" s="999"/>
      <c r="U244" s="930"/>
      <c r="V244" s="930"/>
      <c r="W244" s="930"/>
      <c r="X244" s="930"/>
      <c r="Y244" s="1140"/>
      <c r="Z244" s="1258"/>
      <c r="AA244" s="1259"/>
      <c r="AB244" s="1259"/>
      <c r="AC244" s="1259"/>
      <c r="AD244" s="1259"/>
      <c r="AE244" s="1260"/>
      <c r="AL244" s="20"/>
    </row>
    <row r="245" spans="1:40" ht="30" customHeight="1" x14ac:dyDescent="0.3">
      <c r="A245" s="935" t="s">
        <v>188</v>
      </c>
      <c r="D245" s="245"/>
      <c r="E245" s="2037" t="s">
        <v>1232</v>
      </c>
      <c r="F245" s="2037"/>
      <c r="G245" s="2037"/>
      <c r="H245" s="1000"/>
      <c r="I245" s="967"/>
      <c r="J245" s="968"/>
      <c r="K245" s="428"/>
      <c r="L245" s="428"/>
      <c r="M245" s="396"/>
      <c r="N245" s="2033" t="s">
        <v>1205</v>
      </c>
      <c r="O245" s="2034"/>
      <c r="P245" s="2035"/>
      <c r="Q245" s="2051" t="s">
        <v>1202</v>
      </c>
      <c r="R245" s="2051"/>
      <c r="S245" s="2051"/>
      <c r="T245" s="1000"/>
      <c r="U245" s="967"/>
      <c r="V245" s="967"/>
      <c r="W245" s="967"/>
      <c r="X245" s="967"/>
      <c r="Y245" s="1139"/>
      <c r="Z245" s="1204"/>
      <c r="AA245" s="932"/>
      <c r="AB245" s="932"/>
      <c r="AC245" s="932"/>
      <c r="AD245" s="932"/>
      <c r="AE245" s="1205"/>
      <c r="AG245" s="10"/>
      <c r="AH245" s="10"/>
      <c r="AI245" s="10"/>
      <c r="AJ245" s="10"/>
      <c r="AK245" s="10"/>
      <c r="AL245" s="10"/>
      <c r="AM245" s="10"/>
      <c r="AN245" s="10"/>
    </row>
    <row r="246" spans="1:40" ht="30" customHeight="1" x14ac:dyDescent="0.25">
      <c r="A246" s="1143"/>
      <c r="E246" s="2030" t="s">
        <v>564</v>
      </c>
      <c r="F246" s="2031"/>
      <c r="G246" s="2032"/>
      <c r="H246" s="999"/>
      <c r="I246" s="930"/>
      <c r="J246" s="931"/>
      <c r="K246" s="380"/>
      <c r="L246" s="380"/>
      <c r="M246" s="381"/>
      <c r="N246" s="2052" t="s">
        <v>159</v>
      </c>
      <c r="O246" s="2053"/>
      <c r="P246" s="2054"/>
      <c r="Q246" s="2055" t="s">
        <v>154</v>
      </c>
      <c r="R246" s="2055"/>
      <c r="S246" s="2056"/>
      <c r="T246" s="999"/>
      <c r="U246" s="930"/>
      <c r="V246" s="930"/>
      <c r="W246" s="930"/>
      <c r="X246" s="930"/>
      <c r="Y246" s="1140"/>
      <c r="Z246" s="1404"/>
      <c r="AA246" s="1405"/>
      <c r="AB246" s="1405"/>
      <c r="AC246" s="1405"/>
      <c r="AD246" s="1405"/>
      <c r="AE246" s="1406"/>
      <c r="AG246" s="10"/>
      <c r="AH246" s="10"/>
      <c r="AI246" s="10"/>
      <c r="AJ246" s="10"/>
      <c r="AK246" s="10"/>
      <c r="AL246" s="10"/>
      <c r="AM246" s="10"/>
      <c r="AN246" s="10"/>
    </row>
    <row r="247" spans="1:40" ht="30" customHeight="1" x14ac:dyDescent="0.3">
      <c r="A247" s="935" t="s">
        <v>189</v>
      </c>
      <c r="B247" s="1000"/>
      <c r="C247" s="967"/>
      <c r="D247" s="967"/>
      <c r="E247" s="967"/>
      <c r="F247" s="967"/>
      <c r="G247" s="1139"/>
      <c r="H247" s="10"/>
      <c r="I247" s="10"/>
      <c r="J247" s="773"/>
      <c r="K247" s="967"/>
      <c r="L247" s="967"/>
      <c r="M247" s="968"/>
      <c r="N247" s="479"/>
      <c r="O247" s="428"/>
      <c r="P247" s="428"/>
      <c r="Q247" s="428"/>
      <c r="R247" s="428"/>
      <c r="S247" s="396"/>
      <c r="T247" s="1000"/>
      <c r="U247" s="967"/>
      <c r="V247" s="967"/>
      <c r="W247" s="967"/>
      <c r="X247" s="967"/>
      <c r="Y247" s="1139"/>
      <c r="Z247" s="1000"/>
      <c r="AA247" s="967"/>
      <c r="AB247" s="967"/>
      <c r="AC247" s="967"/>
      <c r="AD247" s="967"/>
      <c r="AE247" s="1139"/>
      <c r="AG247" s="10"/>
      <c r="AH247" s="10"/>
      <c r="AI247" s="10"/>
      <c r="AJ247" s="10"/>
      <c r="AK247" s="10"/>
      <c r="AL247" s="10"/>
      <c r="AM247" s="10"/>
      <c r="AN247" s="10"/>
    </row>
    <row r="248" spans="1:40" ht="30" customHeight="1" x14ac:dyDescent="0.25">
      <c r="A248" s="1143"/>
      <c r="B248" s="999"/>
      <c r="C248" s="930"/>
      <c r="D248" s="930"/>
      <c r="E248" s="930"/>
      <c r="F248" s="930"/>
      <c r="G248" s="1140"/>
      <c r="H248" s="10"/>
      <c r="I248" s="288"/>
      <c r="J248" s="10"/>
      <c r="K248" s="943"/>
      <c r="L248" s="930"/>
      <c r="M248" s="1140"/>
      <c r="N248" s="999"/>
      <c r="O248" s="930"/>
      <c r="P248" s="930"/>
      <c r="Q248" s="930"/>
      <c r="R248" s="930"/>
      <c r="S248" s="1140"/>
      <c r="T248" s="999"/>
      <c r="U248" s="930"/>
      <c r="V248" s="930"/>
      <c r="W248" s="930"/>
      <c r="X248" s="930"/>
      <c r="Y248" s="1140"/>
      <c r="Z248" s="1404"/>
      <c r="AA248" s="1405"/>
      <c r="AB248" s="1405"/>
      <c r="AC248" s="1405"/>
      <c r="AD248" s="1405"/>
      <c r="AE248" s="1406"/>
      <c r="AG248" s="300"/>
      <c r="AH248" s="300"/>
      <c r="AI248" s="300"/>
      <c r="AJ248" s="300"/>
      <c r="AK248" s="10"/>
      <c r="AL248" s="10"/>
      <c r="AM248" s="10"/>
      <c r="AN248" s="10"/>
    </row>
    <row r="249" spans="1:40" ht="30" customHeight="1" x14ac:dyDescent="0.3">
      <c r="A249" s="998" t="s">
        <v>190</v>
      </c>
      <c r="B249" s="1000"/>
      <c r="C249" s="967"/>
      <c r="D249" s="967"/>
      <c r="E249" s="967"/>
      <c r="F249" s="967"/>
      <c r="G249" s="1139"/>
      <c r="H249" s="373"/>
      <c r="I249" s="10"/>
      <c r="J249" s="287"/>
      <c r="K249" s="1005"/>
      <c r="L249" s="967"/>
      <c r="M249" s="1139"/>
      <c r="N249" s="1000"/>
      <c r="O249" s="967"/>
      <c r="P249" s="967"/>
      <c r="Q249" s="967"/>
      <c r="R249" s="967"/>
      <c r="S249" s="1139"/>
      <c r="T249" s="1000"/>
      <c r="U249" s="967"/>
      <c r="V249" s="967"/>
      <c r="W249" s="967"/>
      <c r="X249" s="967"/>
      <c r="Y249" s="1139"/>
      <c r="Z249" s="1000"/>
      <c r="AA249" s="967"/>
      <c r="AB249" s="967"/>
      <c r="AC249" s="967"/>
      <c r="AD249" s="967"/>
      <c r="AE249" s="1139"/>
      <c r="AG249" s="10"/>
      <c r="AH249" s="10"/>
      <c r="AI249" s="10"/>
      <c r="AJ249" s="10"/>
      <c r="AK249" s="10"/>
      <c r="AL249" s="10"/>
      <c r="AM249" s="10"/>
      <c r="AN249" s="10"/>
    </row>
    <row r="250" spans="1:40" ht="30" customHeight="1" thickBot="1" x14ac:dyDescent="0.3">
      <c r="A250" s="997"/>
      <c r="B250" s="2036"/>
      <c r="C250" s="1651"/>
      <c r="D250" s="1651"/>
      <c r="E250" s="1651"/>
      <c r="F250" s="1651"/>
      <c r="G250" s="1652"/>
      <c r="H250" s="800"/>
      <c r="I250" s="798"/>
      <c r="J250" s="799"/>
      <c r="K250" s="2072"/>
      <c r="L250" s="1651"/>
      <c r="M250" s="1652"/>
      <c r="N250" s="2036"/>
      <c r="O250" s="1651"/>
      <c r="P250" s="1651"/>
      <c r="Q250" s="1651"/>
      <c r="R250" s="1651"/>
      <c r="S250" s="1652"/>
      <c r="T250" s="2036"/>
      <c r="U250" s="1651"/>
      <c r="V250" s="1651"/>
      <c r="W250" s="1651"/>
      <c r="X250" s="1651"/>
      <c r="Y250" s="1652"/>
      <c r="Z250" s="1263"/>
      <c r="AA250" s="1264"/>
      <c r="AB250" s="1264"/>
      <c r="AC250" s="1264"/>
      <c r="AD250" s="1264"/>
      <c r="AE250" s="1265"/>
      <c r="AG250" s="10"/>
      <c r="AH250" s="10"/>
      <c r="AI250" s="10"/>
      <c r="AJ250" s="301"/>
      <c r="AK250" s="301"/>
      <c r="AL250" s="301"/>
      <c r="AM250" s="301"/>
      <c r="AN250" s="10"/>
    </row>
    <row r="251" spans="1:40" ht="30" customHeight="1" thickBot="1" x14ac:dyDescent="0.3">
      <c r="A251" s="231"/>
      <c r="H251" s="35"/>
      <c r="J251" s="35"/>
      <c r="L251" s="35"/>
      <c r="M251" s="35"/>
      <c r="P251" s="35"/>
      <c r="AB251" s="35"/>
      <c r="AG251" s="10"/>
      <c r="AH251" s="10"/>
      <c r="AI251" s="10"/>
      <c r="AJ251" s="10"/>
      <c r="AK251" s="10"/>
      <c r="AL251" s="10"/>
      <c r="AM251" s="10"/>
      <c r="AN251" s="10"/>
    </row>
    <row r="252" spans="1:40" ht="30" customHeight="1" thickBot="1" x14ac:dyDescent="0.3">
      <c r="A252" s="1190" t="s">
        <v>218</v>
      </c>
      <c r="B252" s="1147"/>
      <c r="C252" s="1146" t="s">
        <v>219</v>
      </c>
      <c r="D252" s="1146"/>
      <c r="E252" s="1146"/>
      <c r="F252" s="1146"/>
      <c r="G252" s="1146"/>
      <c r="H252" s="1146"/>
      <c r="I252" s="1146"/>
      <c r="J252" s="1146"/>
      <c r="K252" s="1146"/>
      <c r="L252" s="58"/>
      <c r="M252" s="1144" t="s">
        <v>325</v>
      </c>
      <c r="N252" s="1145"/>
      <c r="O252" s="1146" t="s">
        <v>143</v>
      </c>
      <c r="P252" s="1147"/>
      <c r="Q252" s="1146" t="s">
        <v>167</v>
      </c>
      <c r="R252" s="1146"/>
      <c r="S252" s="1146"/>
      <c r="T252" s="1146"/>
      <c r="U252" s="1146"/>
      <c r="V252" s="1146"/>
      <c r="W252" s="1146"/>
      <c r="X252" s="1146"/>
      <c r="Y252" s="1146"/>
      <c r="Z252" s="1146"/>
      <c r="AA252" s="1146"/>
      <c r="AB252" s="1146"/>
      <c r="AC252" s="1146"/>
      <c r="AD252" s="1146"/>
      <c r="AE252" s="1147"/>
      <c r="AG252" s="10"/>
      <c r="AH252" s="10"/>
      <c r="AI252" s="10"/>
      <c r="AJ252" s="10"/>
      <c r="AK252" s="10"/>
      <c r="AL252" s="10"/>
      <c r="AM252" s="10"/>
      <c r="AN252" s="10"/>
    </row>
    <row r="253" spans="1:40" ht="15.75" customHeight="1" thickBot="1" x14ac:dyDescent="0.3">
      <c r="A253" s="2073" t="str">
        <f>VLOOKUP(M253,ASIGNATURAS!$F$1:$L$1022, 3, FALSE)</f>
        <v>TECN. ELÉCTRI</v>
      </c>
      <c r="B253" s="2074"/>
      <c r="C253" s="2075" t="str">
        <f>VLOOKUP(M253,ASIGNATURAS!$F$1:$L$1022, 4, FALSE)</f>
        <v>Tecnología eléctrica (Español/Inglés)</v>
      </c>
      <c r="D253" s="2076"/>
      <c r="E253" s="2076"/>
      <c r="F253" s="2076"/>
      <c r="G253" s="2076"/>
      <c r="H253" s="2076"/>
      <c r="I253" s="2076"/>
      <c r="J253" s="2076"/>
      <c r="K253" s="2076"/>
      <c r="L253" s="2077"/>
      <c r="M253" s="2049">
        <v>9151</v>
      </c>
      <c r="N253" s="2050"/>
      <c r="O253" s="2049" t="str">
        <f>VLOOKUP(M253,ASIGNATURAS!$F$1:$L$1022, 5, FALSE)</f>
        <v>6 (OP)</v>
      </c>
      <c r="P253" s="2050"/>
      <c r="Q253" s="2075" t="str">
        <f>VLOOKUP(M253,ASIGNATURAS!$F$1:$L$1022, 6, FALSE)</f>
        <v>Ricardo Martínez, Javier González</v>
      </c>
      <c r="R253" s="2076"/>
      <c r="S253" s="2076"/>
      <c r="T253" s="2076"/>
      <c r="U253" s="2076"/>
      <c r="V253" s="2076"/>
      <c r="W253" s="2076"/>
      <c r="X253" s="2076"/>
      <c r="Y253" s="2076"/>
      <c r="Z253" s="2076"/>
      <c r="AA253" s="2076"/>
      <c r="AB253" s="2076"/>
      <c r="AC253" s="2076"/>
      <c r="AD253" s="2076"/>
      <c r="AE253" s="2077"/>
    </row>
    <row r="254" spans="1:40" ht="14.25" customHeight="1" thickBot="1" x14ac:dyDescent="0.3">
      <c r="A254" s="1400" t="str">
        <f>VLOOKUP(M254,ASIGNATURAS!$F$1:$L$1022, 3, FALSE)</f>
        <v>ENERGÍA Y ECONOMIA</v>
      </c>
      <c r="B254" s="1401"/>
      <c r="C254" s="2046" t="str">
        <f>VLOOKUP(M254,ASIGNATURAS!$F$1:$L$1022, 4, FALSE)</f>
        <v>Energía y economía circular (Español)</v>
      </c>
      <c r="D254" s="2047"/>
      <c r="E254" s="2047"/>
      <c r="F254" s="2047"/>
      <c r="G254" s="2047"/>
      <c r="H254" s="2047"/>
      <c r="I254" s="2047"/>
      <c r="J254" s="2047"/>
      <c r="K254" s="2047"/>
      <c r="L254" s="2048"/>
      <c r="M254" s="2049">
        <v>9152</v>
      </c>
      <c r="N254" s="2050"/>
      <c r="O254" s="1402" t="str">
        <f>VLOOKUP(M254,ASIGNATURAS!$F$1:$L$1022, 5, FALSE)</f>
        <v>6 (OP)</v>
      </c>
      <c r="P254" s="1403"/>
      <c r="Q254" s="1397" t="str">
        <f>VLOOKUP(M254,ASIGNATURAS!$F$1:$L$1022, 6, FALSE)</f>
        <v>Cristina Alonso, Rocio Barros, Sonia Martel</v>
      </c>
      <c r="R254" s="1398"/>
      <c r="S254" s="1398"/>
      <c r="T254" s="1398"/>
      <c r="U254" s="1398"/>
      <c r="V254" s="1398"/>
      <c r="W254" s="1398"/>
      <c r="X254" s="1398"/>
      <c r="Y254" s="1398"/>
      <c r="Z254" s="1398"/>
      <c r="AA254" s="1398"/>
      <c r="AB254" s="1398"/>
      <c r="AC254" s="1398"/>
      <c r="AD254" s="1398"/>
      <c r="AE254" s="1399"/>
    </row>
    <row r="255" spans="1:40" ht="14.25" customHeight="1" thickBot="1" x14ac:dyDescent="0.3">
      <c r="A255" s="1400" t="str">
        <f>VLOOKUP(M255,ASIGNATURAS!$F$1:$L$1022, 3, FALSE)</f>
        <v>BUSINESS</v>
      </c>
      <c r="B255" s="1401"/>
      <c r="C255" s="2046" t="str">
        <f>VLOOKUP(M255,ASIGNATURAS!$F$1:$L$1022, 4, FALSE)</f>
        <v>Business intelligence (Inglés)</v>
      </c>
      <c r="D255" s="2047"/>
      <c r="E255" s="2047"/>
      <c r="F255" s="2047"/>
      <c r="G255" s="2047"/>
      <c r="H255" s="2047"/>
      <c r="I255" s="2047"/>
      <c r="J255" s="2047"/>
      <c r="K255" s="2047"/>
      <c r="L255" s="2048"/>
      <c r="M255" s="2049">
        <v>9153</v>
      </c>
      <c r="N255" s="2050"/>
      <c r="O255" s="1402" t="str">
        <f>VLOOKUP(M255,ASIGNATURAS!$F$1:$L$1022, 5, FALSE)</f>
        <v>6 (OP)</v>
      </c>
      <c r="P255" s="1403"/>
      <c r="Q255" s="1397" t="str">
        <f>VLOOKUP(M255,ASIGNATURAS!$F$1:$L$1022, 6, FALSE)</f>
        <v>Luis R. Izquierdo</v>
      </c>
      <c r="R255" s="1398"/>
      <c r="S255" s="1398"/>
      <c r="T255" s="1398"/>
      <c r="U255" s="1398"/>
      <c r="V255" s="1398"/>
      <c r="W255" s="1398"/>
      <c r="X255" s="1398"/>
      <c r="Y255" s="1398"/>
      <c r="Z255" s="1398"/>
      <c r="AA255" s="1398"/>
      <c r="AB255" s="1398"/>
      <c r="AC255" s="1398"/>
      <c r="AD255" s="1398"/>
      <c r="AE255" s="1399"/>
    </row>
    <row r="256" spans="1:40" ht="12" customHeight="1" x14ac:dyDescent="0.25"/>
    <row r="257" spans="1:85" x14ac:dyDescent="0.25">
      <c r="A257" t="s">
        <v>1264</v>
      </c>
    </row>
    <row r="258" spans="1:85" x14ac:dyDescent="0.25">
      <c r="CG258" s="20" t="s">
        <v>1132</v>
      </c>
    </row>
  </sheetData>
  <mergeCells count="1016">
    <mergeCell ref="N122:S122"/>
    <mergeCell ref="N119:P119"/>
    <mergeCell ref="Q119:S119"/>
    <mergeCell ref="N120:P120"/>
    <mergeCell ref="Q120:S120"/>
    <mergeCell ref="T119:Y119"/>
    <mergeCell ref="T120:Y120"/>
    <mergeCell ref="AG118:AI118"/>
    <mergeCell ref="AG120:AI120"/>
    <mergeCell ref="B212:G212"/>
    <mergeCell ref="Z206:AE207"/>
    <mergeCell ref="T220:V220"/>
    <mergeCell ref="W220:Y220"/>
    <mergeCell ref="Q225:AE225"/>
    <mergeCell ref="C223:K223"/>
    <mergeCell ref="B216:G216"/>
    <mergeCell ref="AG189:AL189"/>
    <mergeCell ref="N216:S216"/>
    <mergeCell ref="G119:G124"/>
    <mergeCell ref="H119:M119"/>
    <mergeCell ref="H120:M120"/>
    <mergeCell ref="Q194:AE194"/>
    <mergeCell ref="AI220:AN220"/>
    <mergeCell ref="AF220:AH220"/>
    <mergeCell ref="AM114:AM119"/>
    <mergeCell ref="T152:Y152"/>
    <mergeCell ref="AI151:AN151"/>
    <mergeCell ref="T156:Y156"/>
    <mergeCell ref="AJ215:AK215"/>
    <mergeCell ref="T146:Y146"/>
    <mergeCell ref="Q128:AE128"/>
    <mergeCell ref="H114:H116"/>
    <mergeCell ref="J114:J116"/>
    <mergeCell ref="L114:L116"/>
    <mergeCell ref="R82:R85"/>
    <mergeCell ref="H82:J82"/>
    <mergeCell ref="Z87:AB87"/>
    <mergeCell ref="B91:G91"/>
    <mergeCell ref="Z84:AB84"/>
    <mergeCell ref="W86:W89"/>
    <mergeCell ref="AK114:AK119"/>
    <mergeCell ref="D186:D189"/>
    <mergeCell ref="E186:E189"/>
    <mergeCell ref="F186:F189"/>
    <mergeCell ref="G186:G189"/>
    <mergeCell ref="T122:Y122"/>
    <mergeCell ref="Z119:AE119"/>
    <mergeCell ref="O126:P126"/>
    <mergeCell ref="M127:N127"/>
    <mergeCell ref="O128:P128"/>
    <mergeCell ref="N91:S91"/>
    <mergeCell ref="O86:O89"/>
    <mergeCell ref="N112:S112"/>
    <mergeCell ref="T113:Y113"/>
    <mergeCell ref="C96:L96"/>
    <mergeCell ref="M96:N96"/>
    <mergeCell ref="R113:R116"/>
    <mergeCell ref="C94:L94"/>
    <mergeCell ref="T114:Y114"/>
    <mergeCell ref="G82:G85"/>
    <mergeCell ref="Q146:Q149"/>
    <mergeCell ref="W115:W118"/>
    <mergeCell ref="X115:X118"/>
    <mergeCell ref="Q131:AE131"/>
    <mergeCell ref="F80:G80"/>
    <mergeCell ref="K240:M240"/>
    <mergeCell ref="B238:G238"/>
    <mergeCell ref="M228:N228"/>
    <mergeCell ref="M224:N224"/>
    <mergeCell ref="O227:P227"/>
    <mergeCell ref="C225:L225"/>
    <mergeCell ref="A223:B223"/>
    <mergeCell ref="M223:N223"/>
    <mergeCell ref="O225:P225"/>
    <mergeCell ref="A224:B224"/>
    <mergeCell ref="H216:M216"/>
    <mergeCell ref="H217:M217"/>
    <mergeCell ref="B214:G214"/>
    <mergeCell ref="B215:G215"/>
    <mergeCell ref="H239:J239"/>
    <mergeCell ref="H240:J240"/>
    <mergeCell ref="C193:L193"/>
    <mergeCell ref="H238:M238"/>
    <mergeCell ref="M113:M116"/>
    <mergeCell ref="J146:J149"/>
    <mergeCell ref="B150:G150"/>
    <mergeCell ref="B151:G151"/>
    <mergeCell ref="I146:I149"/>
    <mergeCell ref="P146:P149"/>
    <mergeCell ref="C127:L127"/>
    <mergeCell ref="B153:G153"/>
    <mergeCell ref="K113:K116"/>
    <mergeCell ref="H219:M219"/>
    <mergeCell ref="O127:P127"/>
    <mergeCell ref="H145:M145"/>
    <mergeCell ref="A226:B226"/>
    <mergeCell ref="AF210:AK210"/>
    <mergeCell ref="B213:G213"/>
    <mergeCell ref="AH213:AI213"/>
    <mergeCell ref="AJ213:AK213"/>
    <mergeCell ref="Z220:AE220"/>
    <mergeCell ref="Z205:AE205"/>
    <mergeCell ref="H220:M220"/>
    <mergeCell ref="AH214:AI214"/>
    <mergeCell ref="AJ214:AK214"/>
    <mergeCell ref="AH215:AI215"/>
    <mergeCell ref="Z219:AE219"/>
    <mergeCell ref="Z209:AE209"/>
    <mergeCell ref="AF209:AK209"/>
    <mergeCell ref="N211:S211"/>
    <mergeCell ref="AF213:AF216"/>
    <mergeCell ref="AI218:AN218"/>
    <mergeCell ref="T219:V219"/>
    <mergeCell ref="W219:Y219"/>
    <mergeCell ref="T217:Y217"/>
    <mergeCell ref="T213:Y213"/>
    <mergeCell ref="N218:P218"/>
    <mergeCell ref="Q218:S218"/>
    <mergeCell ref="N219:P219"/>
    <mergeCell ref="Q219:S219"/>
    <mergeCell ref="T218:V218"/>
    <mergeCell ref="AH216:AI216"/>
    <mergeCell ref="AJ216:AK216"/>
    <mergeCell ref="N217:S217"/>
    <mergeCell ref="AI219:AN219"/>
    <mergeCell ref="T212:Y212"/>
    <mergeCell ref="AI217:AN217"/>
    <mergeCell ref="AG213:AG216"/>
    <mergeCell ref="Z217:AE217"/>
    <mergeCell ref="T215:Y215"/>
    <mergeCell ref="W221:Y221"/>
    <mergeCell ref="N220:P220"/>
    <mergeCell ref="Q220:S220"/>
    <mergeCell ref="B217:G217"/>
    <mergeCell ref="N214:S214"/>
    <mergeCell ref="N221:P221"/>
    <mergeCell ref="A220:A221"/>
    <mergeCell ref="A225:B225"/>
    <mergeCell ref="Z216:AE216"/>
    <mergeCell ref="M225:N225"/>
    <mergeCell ref="Z214:AE214"/>
    <mergeCell ref="Z215:AE215"/>
    <mergeCell ref="T216:Y216"/>
    <mergeCell ref="T211:Y211"/>
    <mergeCell ref="H211:M211"/>
    <mergeCell ref="H212:M212"/>
    <mergeCell ref="H213:M213"/>
    <mergeCell ref="H214:M214"/>
    <mergeCell ref="H215:M215"/>
    <mergeCell ref="A216:A217"/>
    <mergeCell ref="N215:S215"/>
    <mergeCell ref="AF211:AK211"/>
    <mergeCell ref="B87:D87"/>
    <mergeCell ref="O129:P129"/>
    <mergeCell ref="Z210:AE210"/>
    <mergeCell ref="E242:G242"/>
    <mergeCell ref="K242:M242"/>
    <mergeCell ref="H242:J242"/>
    <mergeCell ref="A218:A219"/>
    <mergeCell ref="Z218:AE218"/>
    <mergeCell ref="W218:Y218"/>
    <mergeCell ref="Z235:AE236"/>
    <mergeCell ref="K241:M241"/>
    <mergeCell ref="H241:J241"/>
    <mergeCell ref="M226:N226"/>
    <mergeCell ref="T238:Y238"/>
    <mergeCell ref="N238:S238"/>
    <mergeCell ref="Q224:AE224"/>
    <mergeCell ref="N239:P239"/>
    <mergeCell ref="H221:M221"/>
    <mergeCell ref="O228:P228"/>
    <mergeCell ref="B240:D240"/>
    <mergeCell ref="B241:D241"/>
    <mergeCell ref="B218:G218"/>
    <mergeCell ref="B219:G219"/>
    <mergeCell ref="H218:M218"/>
    <mergeCell ref="Z239:AE239"/>
    <mergeCell ref="T240:Y240"/>
    <mergeCell ref="A239:A240"/>
    <mergeCell ref="Z240:AE240"/>
    <mergeCell ref="Z241:AE241"/>
    <mergeCell ref="A235:Y235"/>
    <mergeCell ref="A234:Y234"/>
    <mergeCell ref="Z242:AE242"/>
    <mergeCell ref="N242:P242"/>
    <mergeCell ref="Q242:S242"/>
    <mergeCell ref="Q226:AE226"/>
    <mergeCell ref="A227:B227"/>
    <mergeCell ref="Q227:AE227"/>
    <mergeCell ref="B220:G220"/>
    <mergeCell ref="B221:G221"/>
    <mergeCell ref="Q223:AE223"/>
    <mergeCell ref="Z221:AE221"/>
    <mergeCell ref="C224:L224"/>
    <mergeCell ref="O224:P224"/>
    <mergeCell ref="T221:V221"/>
    <mergeCell ref="A230:E230"/>
    <mergeCell ref="K53:K56"/>
    <mergeCell ref="Q86:Q89"/>
    <mergeCell ref="B86:D86"/>
    <mergeCell ref="Z89:AE89"/>
    <mergeCell ref="O60:P60"/>
    <mergeCell ref="O59:P59"/>
    <mergeCell ref="A178:A179"/>
    <mergeCell ref="C98:L98"/>
    <mergeCell ref="A110:Y110"/>
    <mergeCell ref="Z110:AE110"/>
    <mergeCell ref="A206:Y206"/>
    <mergeCell ref="Z213:AE213"/>
    <mergeCell ref="Z212:AE212"/>
    <mergeCell ref="N210:S210"/>
    <mergeCell ref="X86:X89"/>
    <mergeCell ref="Y86:Y89"/>
    <mergeCell ref="H91:M91"/>
    <mergeCell ref="T84:V84"/>
    <mergeCell ref="N241:P241"/>
    <mergeCell ref="Q241:S241"/>
    <mergeCell ref="E239:G239"/>
    <mergeCell ref="E240:G240"/>
    <mergeCell ref="E241:G241"/>
    <mergeCell ref="B239:D239"/>
    <mergeCell ref="K239:M239"/>
    <mergeCell ref="M227:N227"/>
    <mergeCell ref="C227:L227"/>
    <mergeCell ref="A231:E231"/>
    <mergeCell ref="C226:L226"/>
    <mergeCell ref="C228:L228"/>
    <mergeCell ref="A236:Y236"/>
    <mergeCell ref="Z234:AE234"/>
    <mergeCell ref="Q228:AE228"/>
    <mergeCell ref="O226:P226"/>
    <mergeCell ref="A228:B228"/>
    <mergeCell ref="X48:X50"/>
    <mergeCell ref="T51:Y51"/>
    <mergeCell ref="B11:B13"/>
    <mergeCell ref="Q21:AE21"/>
    <mergeCell ref="B7:G7"/>
    <mergeCell ref="N6:S6"/>
    <mergeCell ref="Z51:AE51"/>
    <mergeCell ref="A19:B19"/>
    <mergeCell ref="Z6:AE6"/>
    <mergeCell ref="N7:S7"/>
    <mergeCell ref="B6:G6"/>
    <mergeCell ref="O19:P19"/>
    <mergeCell ref="Q20:AE20"/>
    <mergeCell ref="Z35:AF36"/>
    <mergeCell ref="O20:P20"/>
    <mergeCell ref="Q24:AE24"/>
    <mergeCell ref="A24:B24"/>
    <mergeCell ref="A23:B23"/>
    <mergeCell ref="M19:N19"/>
    <mergeCell ref="O21:P21"/>
    <mergeCell ref="C21:L21"/>
    <mergeCell ref="M21:N21"/>
    <mergeCell ref="A8:A9"/>
    <mergeCell ref="A12:A13"/>
    <mergeCell ref="A10:A11"/>
    <mergeCell ref="C20:L20"/>
    <mergeCell ref="C19:K19"/>
    <mergeCell ref="A6:A7"/>
    <mergeCell ref="N11:N13"/>
    <mergeCell ref="B15:B17"/>
    <mergeCell ref="U10:U13"/>
    <mergeCell ref="T11:T13"/>
    <mergeCell ref="AC86:AE87"/>
    <mergeCell ref="S82:S85"/>
    <mergeCell ref="Z112:AE112"/>
    <mergeCell ref="S178:S181"/>
    <mergeCell ref="B180:G180"/>
    <mergeCell ref="H181:M181"/>
    <mergeCell ref="H210:M210"/>
    <mergeCell ref="B210:G210"/>
    <mergeCell ref="Z123:AE124"/>
    <mergeCell ref="Z83:AB83"/>
    <mergeCell ref="R86:R89"/>
    <mergeCell ref="O93:P93"/>
    <mergeCell ref="Z88:AE88"/>
    <mergeCell ref="Z1:AE1"/>
    <mergeCell ref="A2:Y2"/>
    <mergeCell ref="A3:Y3"/>
    <mergeCell ref="B5:G5"/>
    <mergeCell ref="H5:M5"/>
    <mergeCell ref="N5:S5"/>
    <mergeCell ref="A1:Y1"/>
    <mergeCell ref="A16:A17"/>
    <mergeCell ref="T7:Y7"/>
    <mergeCell ref="H7:M7"/>
    <mergeCell ref="B8:G8"/>
    <mergeCell ref="B9:G9"/>
    <mergeCell ref="E10:E13"/>
    <mergeCell ref="A14:A15"/>
    <mergeCell ref="AA8:AA13"/>
    <mergeCell ref="H6:M6"/>
    <mergeCell ref="D11:D13"/>
    <mergeCell ref="AC8:AC11"/>
    <mergeCell ref="T5:Y5"/>
    <mergeCell ref="Z5:AE5"/>
    <mergeCell ref="Z2:AE3"/>
    <mergeCell ref="Z14:AE17"/>
    <mergeCell ref="X11:X13"/>
    <mergeCell ref="H9:M9"/>
    <mergeCell ref="T6:Y6"/>
    <mergeCell ref="AB9:AB11"/>
    <mergeCell ref="Z9:Z13"/>
    <mergeCell ref="Y10:Y13"/>
    <mergeCell ref="S14:S17"/>
    <mergeCell ref="H17:K17"/>
    <mergeCell ref="M14:M17"/>
    <mergeCell ref="L15:L17"/>
    <mergeCell ref="K10:K13"/>
    <mergeCell ref="J11:J13"/>
    <mergeCell ref="L11:L13"/>
    <mergeCell ref="H15:K15"/>
    <mergeCell ref="I10:I13"/>
    <mergeCell ref="N8:S8"/>
    <mergeCell ref="N9:S9"/>
    <mergeCell ref="AE8:AE13"/>
    <mergeCell ref="X15:X17"/>
    <mergeCell ref="H14:K14"/>
    <mergeCell ref="H8:M8"/>
    <mergeCell ref="W12:W17"/>
    <mergeCell ref="Z7:AE7"/>
    <mergeCell ref="V10:W10"/>
    <mergeCell ref="O10:O13"/>
    <mergeCell ref="T8:Y8"/>
    <mergeCell ref="S10:S13"/>
    <mergeCell ref="V11:W11"/>
    <mergeCell ref="T9:Y9"/>
    <mergeCell ref="M78:M81"/>
    <mergeCell ref="F79:G79"/>
    <mergeCell ref="H86:J89"/>
    <mergeCell ref="H121:H124"/>
    <mergeCell ref="T86:T89"/>
    <mergeCell ref="K82:M82"/>
    <mergeCell ref="A143:Y143"/>
    <mergeCell ref="T150:Y150"/>
    <mergeCell ref="AD9:AD13"/>
    <mergeCell ref="M10:M13"/>
    <mergeCell ref="C10:C13"/>
    <mergeCell ref="C22:L22"/>
    <mergeCell ref="M20:N20"/>
    <mergeCell ref="T39:Y39"/>
    <mergeCell ref="M22:N22"/>
    <mergeCell ref="O22:P22"/>
    <mergeCell ref="A20:B20"/>
    <mergeCell ref="Q59:AE59"/>
    <mergeCell ref="F82:F85"/>
    <mergeCell ref="F78:G78"/>
    <mergeCell ref="M60:N60"/>
    <mergeCell ref="O64:P64"/>
    <mergeCell ref="O61:P61"/>
    <mergeCell ref="C78:C81"/>
    <mergeCell ref="C93:K93"/>
    <mergeCell ref="Z120:AE120"/>
    <mergeCell ref="Y14:Y17"/>
    <mergeCell ref="R11:R13"/>
    <mergeCell ref="H16:K16"/>
    <mergeCell ref="M128:N128"/>
    <mergeCell ref="E14:E17"/>
    <mergeCell ref="D15:D17"/>
    <mergeCell ref="A21:B21"/>
    <mergeCell ref="Q19:AE19"/>
    <mergeCell ref="G10:G13"/>
    <mergeCell ref="H11:H13"/>
    <mergeCell ref="P11:P13"/>
    <mergeCell ref="Q10:Q13"/>
    <mergeCell ref="C14:C17"/>
    <mergeCell ref="V13:V17"/>
    <mergeCell ref="R15:R17"/>
    <mergeCell ref="F11:F13"/>
    <mergeCell ref="Z34:AE34"/>
    <mergeCell ref="A28:E28"/>
    <mergeCell ref="N38:S38"/>
    <mergeCell ref="H39:M39"/>
    <mergeCell ref="A39:A40"/>
    <mergeCell ref="C23:L23"/>
    <mergeCell ref="A34:Y34"/>
    <mergeCell ref="C24:L24"/>
    <mergeCell ref="H38:M38"/>
    <mergeCell ref="Q22:AE22"/>
    <mergeCell ref="A36:Y36"/>
    <mergeCell ref="A22:B22"/>
    <mergeCell ref="Q23:AE23"/>
    <mergeCell ref="M23:N23"/>
    <mergeCell ref="M24:N24"/>
    <mergeCell ref="O24:P24"/>
    <mergeCell ref="Z38:AE38"/>
    <mergeCell ref="A35:Y35"/>
    <mergeCell ref="O23:P23"/>
    <mergeCell ref="V44:V46"/>
    <mergeCell ref="B38:G38"/>
    <mergeCell ref="A27:E27"/>
    <mergeCell ref="W43:W46"/>
    <mergeCell ref="H46:M46"/>
    <mergeCell ref="Q43:Q46"/>
    <mergeCell ref="A41:A42"/>
    <mergeCell ref="N39:S39"/>
    <mergeCell ref="AD44:AD46"/>
    <mergeCell ref="A45:A46"/>
    <mergeCell ref="T41:Y41"/>
    <mergeCell ref="T38:Y38"/>
    <mergeCell ref="Z41:AB41"/>
    <mergeCell ref="Z39:AB39"/>
    <mergeCell ref="AC39:AE39"/>
    <mergeCell ref="Z40:AB40"/>
    <mergeCell ref="AC40:AE40"/>
    <mergeCell ref="E39:E42"/>
    <mergeCell ref="D40:D42"/>
    <mergeCell ref="Y47:Y50"/>
    <mergeCell ref="G43:G46"/>
    <mergeCell ref="F44:F46"/>
    <mergeCell ref="T40:Y40"/>
    <mergeCell ref="Y43:Y46"/>
    <mergeCell ref="U43:U46"/>
    <mergeCell ref="Z44:Z46"/>
    <mergeCell ref="P44:P46"/>
    <mergeCell ref="AL41:AN41"/>
    <mergeCell ref="N42:S42"/>
    <mergeCell ref="L48:L50"/>
    <mergeCell ref="A49:A50"/>
    <mergeCell ref="T44:T46"/>
    <mergeCell ref="E43:E46"/>
    <mergeCell ref="R48:R50"/>
    <mergeCell ref="S47:S50"/>
    <mergeCell ref="P48:P50"/>
    <mergeCell ref="M47:M50"/>
    <mergeCell ref="C47:C50"/>
    <mergeCell ref="A43:A44"/>
    <mergeCell ref="A47:A48"/>
    <mergeCell ref="C43:C46"/>
    <mergeCell ref="B48:B50"/>
    <mergeCell ref="N40:S40"/>
    <mergeCell ref="Q47:Q50"/>
    <mergeCell ref="O43:O46"/>
    <mergeCell ref="H45:M45"/>
    <mergeCell ref="I47:I50"/>
    <mergeCell ref="S43:S46"/>
    <mergeCell ref="B44:B46"/>
    <mergeCell ref="H40:M40"/>
    <mergeCell ref="D44:D46"/>
    <mergeCell ref="AF80:AH80"/>
    <mergeCell ref="J48:J50"/>
    <mergeCell ref="H41:M41"/>
    <mergeCell ref="X44:X46"/>
    <mergeCell ref="T42:Y42"/>
    <mergeCell ref="M62:N62"/>
    <mergeCell ref="AB44:AB46"/>
    <mergeCell ref="AL40:AN40"/>
    <mergeCell ref="AL46:AL49"/>
    <mergeCell ref="AK47:AK49"/>
    <mergeCell ref="AC42:AE42"/>
    <mergeCell ref="AE43:AE46"/>
    <mergeCell ref="AC43:AC46"/>
    <mergeCell ref="W47:W50"/>
    <mergeCell ref="Q60:AE60"/>
    <mergeCell ref="H48:H50"/>
    <mergeCell ref="N41:S41"/>
    <mergeCell ref="AA47:AA50"/>
    <mergeCell ref="AA43:AA46"/>
    <mergeCell ref="AC41:AE41"/>
    <mergeCell ref="H43:M43"/>
    <mergeCell ref="H44:M44"/>
    <mergeCell ref="H51:M51"/>
    <mergeCell ref="Z48:Z50"/>
    <mergeCell ref="K47:K50"/>
    <mergeCell ref="Z42:AB42"/>
    <mergeCell ref="N44:N46"/>
    <mergeCell ref="H42:M42"/>
    <mergeCell ref="R44:R46"/>
    <mergeCell ref="V48:V50"/>
    <mergeCell ref="Q64:AE64"/>
    <mergeCell ref="C60:L60"/>
    <mergeCell ref="B51:G51"/>
    <mergeCell ref="I78:I81"/>
    <mergeCell ref="Q62:AE62"/>
    <mergeCell ref="A64:B64"/>
    <mergeCell ref="A68:E68"/>
    <mergeCell ref="Z73:AE73"/>
    <mergeCell ref="Z74:AE75"/>
    <mergeCell ref="A67:E67"/>
    <mergeCell ref="N77:S77"/>
    <mergeCell ref="L78:L81"/>
    <mergeCell ref="J78:J81"/>
    <mergeCell ref="A73:Y73"/>
    <mergeCell ref="T77:Y77"/>
    <mergeCell ref="U78:U81"/>
    <mergeCell ref="K78:K81"/>
    <mergeCell ref="O63:P63"/>
    <mergeCell ref="O62:P62"/>
    <mergeCell ref="A80:A81"/>
    <mergeCell ref="C61:L61"/>
    <mergeCell ref="M59:N59"/>
    <mergeCell ref="J54:J56"/>
    <mergeCell ref="A52:A53"/>
    <mergeCell ref="A56:A57"/>
    <mergeCell ref="A59:B59"/>
    <mergeCell ref="Z80:AB80"/>
    <mergeCell ref="D79:D81"/>
    <mergeCell ref="A54:A55"/>
    <mergeCell ref="Q63:AE63"/>
    <mergeCell ref="B77:G77"/>
    <mergeCell ref="E78:E81"/>
    <mergeCell ref="C64:L64"/>
    <mergeCell ref="N51:S51"/>
    <mergeCell ref="W84:Y84"/>
    <mergeCell ref="A74:Y74"/>
    <mergeCell ref="Z81:AB81"/>
    <mergeCell ref="H84:M84"/>
    <mergeCell ref="E82:E85"/>
    <mergeCell ref="Q61:AE61"/>
    <mergeCell ref="J121:J124"/>
    <mergeCell ref="T124:Y124"/>
    <mergeCell ref="V86:V89"/>
    <mergeCell ref="S86:S89"/>
    <mergeCell ref="T121:Y121"/>
    <mergeCell ref="AA113:AA116"/>
    <mergeCell ref="Q93:AE93"/>
    <mergeCell ref="A97:B97"/>
    <mergeCell ref="P86:P89"/>
    <mergeCell ref="O98:P98"/>
    <mergeCell ref="A94:B94"/>
    <mergeCell ref="A86:A87"/>
    <mergeCell ref="K86:K89"/>
    <mergeCell ref="AE78:AE81"/>
    <mergeCell ref="B79:B81"/>
    <mergeCell ref="N83:P83"/>
    <mergeCell ref="K83:M83"/>
    <mergeCell ref="Q82:Q85"/>
    <mergeCell ref="V79:V81"/>
    <mergeCell ref="O96:P96"/>
    <mergeCell ref="L86:L89"/>
    <mergeCell ref="M97:N97"/>
    <mergeCell ref="B113:B118"/>
    <mergeCell ref="B112:G112"/>
    <mergeCell ref="M94:N94"/>
    <mergeCell ref="T85:V85"/>
    <mergeCell ref="C59:K59"/>
    <mergeCell ref="Z113:Z116"/>
    <mergeCell ref="S113:S116"/>
    <mergeCell ref="M61:N61"/>
    <mergeCell ref="A63:B63"/>
    <mergeCell ref="AC82:AC85"/>
    <mergeCell ref="N85:P85"/>
    <mergeCell ref="N81:P81"/>
    <mergeCell ref="T79:T81"/>
    <mergeCell ref="A75:Y75"/>
    <mergeCell ref="M93:N93"/>
    <mergeCell ref="N86:N89"/>
    <mergeCell ref="A61:B61"/>
    <mergeCell ref="M63:N63"/>
    <mergeCell ref="A60:B60"/>
    <mergeCell ref="A88:A89"/>
    <mergeCell ref="A84:A85"/>
    <mergeCell ref="H83:J83"/>
    <mergeCell ref="A78:A79"/>
    <mergeCell ref="F81:G81"/>
    <mergeCell ref="A62:B62"/>
    <mergeCell ref="M64:N64"/>
    <mergeCell ref="S78:S81"/>
    <mergeCell ref="Y78:Y81"/>
    <mergeCell ref="B82:D82"/>
    <mergeCell ref="B83:D83"/>
    <mergeCell ref="T82:Y82"/>
    <mergeCell ref="Z85:AB85"/>
    <mergeCell ref="U86:U89"/>
    <mergeCell ref="C62:L62"/>
    <mergeCell ref="C63:L63"/>
    <mergeCell ref="A82:A83"/>
    <mergeCell ref="AF81:AH81"/>
    <mergeCell ref="Z78:AB78"/>
    <mergeCell ref="N80:P80"/>
    <mergeCell ref="T83:Y83"/>
    <mergeCell ref="N82:P82"/>
    <mergeCell ref="Z82:AB82"/>
    <mergeCell ref="O113:O116"/>
    <mergeCell ref="Q113:Q116"/>
    <mergeCell ref="Y115:Y118"/>
    <mergeCell ref="N117:S117"/>
    <mergeCell ref="Z86:AB86"/>
    <mergeCell ref="O94:P94"/>
    <mergeCell ref="AE113:AE116"/>
    <mergeCell ref="AD113:AD116"/>
    <mergeCell ref="H77:M77"/>
    <mergeCell ref="Q78:Q81"/>
    <mergeCell ref="H85:M85"/>
    <mergeCell ref="R78:R81"/>
    <mergeCell ref="Z108:AE108"/>
    <mergeCell ref="H78:H81"/>
    <mergeCell ref="Z77:AE77"/>
    <mergeCell ref="W78:W81"/>
    <mergeCell ref="AC78:AC81"/>
    <mergeCell ref="AD78:AD81"/>
    <mergeCell ref="Z79:AB79"/>
    <mergeCell ref="X78:X81"/>
    <mergeCell ref="W85:Y85"/>
    <mergeCell ref="AD82:AD85"/>
    <mergeCell ref="AE82:AE85"/>
    <mergeCell ref="N84:P84"/>
    <mergeCell ref="H117:M117"/>
    <mergeCell ref="P113:P116"/>
    <mergeCell ref="G115:G118"/>
    <mergeCell ref="AC113:AC116"/>
    <mergeCell ref="T115:T118"/>
    <mergeCell ref="V115:V118"/>
    <mergeCell ref="A108:Y108"/>
    <mergeCell ref="A113:A114"/>
    <mergeCell ref="A96:B96"/>
    <mergeCell ref="AB113:AB116"/>
    <mergeCell ref="M86:M89"/>
    <mergeCell ref="P150:P153"/>
    <mergeCell ref="Q94:AE94"/>
    <mergeCell ref="M98:N98"/>
    <mergeCell ref="A93:B93"/>
    <mergeCell ref="AD150:AD153"/>
    <mergeCell ref="B152:G152"/>
    <mergeCell ref="C131:L131"/>
    <mergeCell ref="E119:E124"/>
    <mergeCell ref="F119:F124"/>
    <mergeCell ref="I121:I124"/>
    <mergeCell ref="A101:E101"/>
    <mergeCell ref="Q98:AE98"/>
    <mergeCell ref="M101:P101"/>
    <mergeCell ref="A130:B130"/>
    <mergeCell ref="A141:Y141"/>
    <mergeCell ref="I113:I116"/>
    <mergeCell ref="U115:U118"/>
    <mergeCell ref="Q97:AE97"/>
    <mergeCell ref="Z141:AE141"/>
    <mergeCell ref="AA146:AA149"/>
    <mergeCell ref="S146:S149"/>
    <mergeCell ref="T148:Y148"/>
    <mergeCell ref="Z142:AE143"/>
    <mergeCell ref="AL114:AL119"/>
    <mergeCell ref="Z145:AE145"/>
    <mergeCell ref="M131:N131"/>
    <mergeCell ref="A142:Y142"/>
    <mergeCell ref="N145:S145"/>
    <mergeCell ref="A95:B95"/>
    <mergeCell ref="M95:N95"/>
    <mergeCell ref="O97:P97"/>
    <mergeCell ref="M126:N126"/>
    <mergeCell ref="A117:A118"/>
    <mergeCell ref="C95:L95"/>
    <mergeCell ref="O95:P95"/>
    <mergeCell ref="T112:Y112"/>
    <mergeCell ref="C97:L97"/>
    <mergeCell ref="Q96:AE96"/>
    <mergeCell ref="H112:M112"/>
    <mergeCell ref="C113:C118"/>
    <mergeCell ref="D113:D118"/>
    <mergeCell ref="E115:E118"/>
    <mergeCell ref="F115:F118"/>
    <mergeCell ref="A126:B126"/>
    <mergeCell ref="A131:B131"/>
    <mergeCell ref="T123:Y123"/>
    <mergeCell ref="Q95:AE95"/>
    <mergeCell ref="C128:L128"/>
    <mergeCell ref="M129:N129"/>
    <mergeCell ref="Z118:AE118"/>
    <mergeCell ref="A109:Y109"/>
    <mergeCell ref="A102:E102"/>
    <mergeCell ref="A98:B98"/>
    <mergeCell ref="AG117:AI117"/>
    <mergeCell ref="Z109:AE109"/>
    <mergeCell ref="AM122:AM125"/>
    <mergeCell ref="AN122:AN125"/>
    <mergeCell ref="M130:N130"/>
    <mergeCell ref="H118:M118"/>
    <mergeCell ref="N113:N116"/>
    <mergeCell ref="A135:E135"/>
    <mergeCell ref="Q130:AE130"/>
    <mergeCell ref="Z117:AE117"/>
    <mergeCell ref="AI156:AN156"/>
    <mergeCell ref="T149:Y149"/>
    <mergeCell ref="AB154:AB157"/>
    <mergeCell ref="AC154:AC157"/>
    <mergeCell ref="AD154:AD157"/>
    <mergeCell ref="AE154:AE157"/>
    <mergeCell ref="O130:P130"/>
    <mergeCell ref="T145:Y145"/>
    <mergeCell ref="H155:M155"/>
    <mergeCell ref="H150:H153"/>
    <mergeCell ref="AI157:AN157"/>
    <mergeCell ref="B148:G148"/>
    <mergeCell ref="B157:G157"/>
    <mergeCell ref="A152:A153"/>
    <mergeCell ref="AA150:AA153"/>
    <mergeCell ref="AB150:AB153"/>
    <mergeCell ref="A127:B127"/>
    <mergeCell ref="A123:A124"/>
    <mergeCell ref="A115:A116"/>
    <mergeCell ref="A119:A120"/>
    <mergeCell ref="A128:B128"/>
    <mergeCell ref="AI155:AN155"/>
    <mergeCell ref="L150:L153"/>
    <mergeCell ref="AI150:AN150"/>
    <mergeCell ref="A134:E134"/>
    <mergeCell ref="O146:O149"/>
    <mergeCell ref="B146:G146"/>
    <mergeCell ref="S150:S153"/>
    <mergeCell ref="M150:M153"/>
    <mergeCell ref="Z146:Z149"/>
    <mergeCell ref="AE146:AE149"/>
    <mergeCell ref="A121:A122"/>
    <mergeCell ref="A146:A147"/>
    <mergeCell ref="A148:A149"/>
    <mergeCell ref="B149:G149"/>
    <mergeCell ref="N146:N149"/>
    <mergeCell ref="T155:Y155"/>
    <mergeCell ref="T153:Y153"/>
    <mergeCell ref="Q127:AE127"/>
    <mergeCell ref="AC150:AC153"/>
    <mergeCell ref="AG121:AI121"/>
    <mergeCell ref="Z154:Z157"/>
    <mergeCell ref="AC146:AC149"/>
    <mergeCell ref="C130:L130"/>
    <mergeCell ref="O131:P131"/>
    <mergeCell ref="Q126:AE126"/>
    <mergeCell ref="N121:S121"/>
    <mergeCell ref="AI148:AN148"/>
    <mergeCell ref="K150:K153"/>
    <mergeCell ref="AI149:AN149"/>
    <mergeCell ref="B155:G155"/>
    <mergeCell ref="B156:G156"/>
    <mergeCell ref="N155:S155"/>
    <mergeCell ref="R146:R149"/>
    <mergeCell ref="H146:H149"/>
    <mergeCell ref="B145:G145"/>
    <mergeCell ref="B147:G147"/>
    <mergeCell ref="AE150:AE153"/>
    <mergeCell ref="Q150:Q153"/>
    <mergeCell ref="I150:I153"/>
    <mergeCell ref="AB146:AB149"/>
    <mergeCell ref="T147:Y147"/>
    <mergeCell ref="M146:M149"/>
    <mergeCell ref="L146:L149"/>
    <mergeCell ref="AD146:AD149"/>
    <mergeCell ref="T151:Y151"/>
    <mergeCell ref="O150:O153"/>
    <mergeCell ref="N154:S154"/>
    <mergeCell ref="K146:K149"/>
    <mergeCell ref="N118:S118"/>
    <mergeCell ref="C126:K126"/>
    <mergeCell ref="C164:L164"/>
    <mergeCell ref="AC182:AC185"/>
    <mergeCell ref="AD182:AD185"/>
    <mergeCell ref="A164:B164"/>
    <mergeCell ref="B177:G177"/>
    <mergeCell ref="AB178:AB181"/>
    <mergeCell ref="Z174:AE175"/>
    <mergeCell ref="H156:M156"/>
    <mergeCell ref="A150:A151"/>
    <mergeCell ref="B154:G154"/>
    <mergeCell ref="O178:O181"/>
    <mergeCell ref="O163:P163"/>
    <mergeCell ref="O160:P160"/>
    <mergeCell ref="Q159:AE159"/>
    <mergeCell ref="Q160:AE160"/>
    <mergeCell ref="Q162:AE162"/>
    <mergeCell ref="A159:B159"/>
    <mergeCell ref="A129:B129"/>
    <mergeCell ref="M159:N159"/>
    <mergeCell ref="M162:N162"/>
    <mergeCell ref="Q161:AE161"/>
    <mergeCell ref="Z150:Z153"/>
    <mergeCell ref="A162:B162"/>
    <mergeCell ref="AD178:AD181"/>
    <mergeCell ref="C163:L163"/>
    <mergeCell ref="A173:Y173"/>
    <mergeCell ref="A168:E168"/>
    <mergeCell ref="Y182:Y185"/>
    <mergeCell ref="Q129:AE129"/>
    <mergeCell ref="C129:L129"/>
    <mergeCell ref="AC178:AC181"/>
    <mergeCell ref="H178:M178"/>
    <mergeCell ref="H179:M179"/>
    <mergeCell ref="H180:M180"/>
    <mergeCell ref="Z178:Z181"/>
    <mergeCell ref="X178:X181"/>
    <mergeCell ref="W178:W181"/>
    <mergeCell ref="O162:P162"/>
    <mergeCell ref="M161:N161"/>
    <mergeCell ref="N156:S156"/>
    <mergeCell ref="R150:R153"/>
    <mergeCell ref="T154:Y154"/>
    <mergeCell ref="H154:M154"/>
    <mergeCell ref="M160:N160"/>
    <mergeCell ref="AA154:AA157"/>
    <mergeCell ref="V182:V185"/>
    <mergeCell ref="Z173:AE173"/>
    <mergeCell ref="Z177:AE177"/>
    <mergeCell ref="M164:N164"/>
    <mergeCell ref="T157:Y157"/>
    <mergeCell ref="M163:N163"/>
    <mergeCell ref="AB182:AB185"/>
    <mergeCell ref="Z211:AE211"/>
    <mergeCell ref="Q186:Q189"/>
    <mergeCell ref="A212:A213"/>
    <mergeCell ref="R186:R189"/>
    <mergeCell ref="S186:S189"/>
    <mergeCell ref="B186:B189"/>
    <mergeCell ref="C186:C189"/>
    <mergeCell ref="X186:X189"/>
    <mergeCell ref="B182:G182"/>
    <mergeCell ref="B183:G183"/>
    <mergeCell ref="B184:G184"/>
    <mergeCell ref="B185:G185"/>
    <mergeCell ref="O191:P191"/>
    <mergeCell ref="Y186:Y189"/>
    <mergeCell ref="H187:M187"/>
    <mergeCell ref="T186:T189"/>
    <mergeCell ref="H188:M188"/>
    <mergeCell ref="N185:S185"/>
    <mergeCell ref="H182:M182"/>
    <mergeCell ref="A188:A189"/>
    <mergeCell ref="V186:V189"/>
    <mergeCell ref="H183:M183"/>
    <mergeCell ref="AA182:AA185"/>
    <mergeCell ref="B181:G181"/>
    <mergeCell ref="A180:A181"/>
    <mergeCell ref="A186:A187"/>
    <mergeCell ref="C192:L192"/>
    <mergeCell ref="M196:N196"/>
    <mergeCell ref="C194:L194"/>
    <mergeCell ref="A175:Y175"/>
    <mergeCell ref="O164:P164"/>
    <mergeCell ref="C162:L162"/>
    <mergeCell ref="O159:P159"/>
    <mergeCell ref="A161:B161"/>
    <mergeCell ref="AE182:AE185"/>
    <mergeCell ref="N178:N181"/>
    <mergeCell ref="O254:P254"/>
    <mergeCell ref="Q254:AE254"/>
    <mergeCell ref="K250:M250"/>
    <mergeCell ref="A247:A248"/>
    <mergeCell ref="B247:G247"/>
    <mergeCell ref="O253:P253"/>
    <mergeCell ref="M252:N252"/>
    <mergeCell ref="A253:B253"/>
    <mergeCell ref="C253:L253"/>
    <mergeCell ref="M253:N253"/>
    <mergeCell ref="Q253:AE253"/>
    <mergeCell ref="Z182:Z185"/>
    <mergeCell ref="T210:Y210"/>
    <mergeCell ref="N209:S209"/>
    <mergeCell ref="T214:Y214"/>
    <mergeCell ref="T242:Y242"/>
    <mergeCell ref="T243:Y243"/>
    <mergeCell ref="A243:A244"/>
    <mergeCell ref="N244:P244"/>
    <mergeCell ref="B242:D242"/>
    <mergeCell ref="Q244:S244"/>
    <mergeCell ref="Z238:AE238"/>
    <mergeCell ref="T241:Y241"/>
    <mergeCell ref="T239:Y239"/>
    <mergeCell ref="Q240:S240"/>
    <mergeCell ref="AF178:AK178"/>
    <mergeCell ref="AF179:AK179"/>
    <mergeCell ref="R178:R181"/>
    <mergeCell ref="H184:M184"/>
    <mergeCell ref="H185:M185"/>
    <mergeCell ref="AF212:AK212"/>
    <mergeCell ref="C195:L195"/>
    <mergeCell ref="M192:N192"/>
    <mergeCell ref="AG188:AK188"/>
    <mergeCell ref="B179:G179"/>
    <mergeCell ref="H186:M186"/>
    <mergeCell ref="AC186:AC189"/>
    <mergeCell ref="T209:Y209"/>
    <mergeCell ref="Q195:AE195"/>
    <mergeCell ref="A195:B195"/>
    <mergeCell ref="AD186:AD189"/>
    <mergeCell ref="Q192:AE192"/>
    <mergeCell ref="Z186:Z189"/>
    <mergeCell ref="A196:B196"/>
    <mergeCell ref="C196:L196"/>
    <mergeCell ref="B211:G211"/>
    <mergeCell ref="Q196:AE196"/>
    <mergeCell ref="O196:P196"/>
    <mergeCell ref="N183:S183"/>
    <mergeCell ref="A194:B194"/>
    <mergeCell ref="M195:N195"/>
    <mergeCell ref="O195:P195"/>
    <mergeCell ref="A200:E200"/>
    <mergeCell ref="AA186:AA189"/>
    <mergeCell ref="AA178:AA181"/>
    <mergeCell ref="X182:X185"/>
    <mergeCell ref="A199:E199"/>
    <mergeCell ref="H245:J245"/>
    <mergeCell ref="A255:B255"/>
    <mergeCell ref="C255:L255"/>
    <mergeCell ref="M255:N255"/>
    <mergeCell ref="O255:P255"/>
    <mergeCell ref="Q255:AE255"/>
    <mergeCell ref="O252:P252"/>
    <mergeCell ref="Z249:AE249"/>
    <mergeCell ref="A249:A250"/>
    <mergeCell ref="Q252:AE252"/>
    <mergeCell ref="N248:S248"/>
    <mergeCell ref="T248:Y248"/>
    <mergeCell ref="Z248:AE248"/>
    <mergeCell ref="Z247:AE247"/>
    <mergeCell ref="B248:G248"/>
    <mergeCell ref="N249:S249"/>
    <mergeCell ref="N250:S250"/>
    <mergeCell ref="B249:G249"/>
    <mergeCell ref="Z250:AE250"/>
    <mergeCell ref="A254:B254"/>
    <mergeCell ref="C254:L254"/>
    <mergeCell ref="M254:N254"/>
    <mergeCell ref="A252:B252"/>
    <mergeCell ref="C252:K252"/>
    <mergeCell ref="T247:Y247"/>
    <mergeCell ref="T249:Y249"/>
    <mergeCell ref="K247:M247"/>
    <mergeCell ref="K248:M248"/>
    <mergeCell ref="K249:M249"/>
    <mergeCell ref="Q245:S245"/>
    <mergeCell ref="N246:P246"/>
    <mergeCell ref="Q246:S246"/>
    <mergeCell ref="E246:G246"/>
    <mergeCell ref="N245:P245"/>
    <mergeCell ref="H246:J246"/>
    <mergeCell ref="T250:Y250"/>
    <mergeCell ref="B250:G250"/>
    <mergeCell ref="A245:A246"/>
    <mergeCell ref="T245:Y245"/>
    <mergeCell ref="E245:G245"/>
    <mergeCell ref="C159:K159"/>
    <mergeCell ref="H157:M157"/>
    <mergeCell ref="B178:G178"/>
    <mergeCell ref="A174:Y174"/>
    <mergeCell ref="A160:B160"/>
    <mergeCell ref="B209:G209"/>
    <mergeCell ref="N212:S212"/>
    <mergeCell ref="N213:S213"/>
    <mergeCell ref="Q221:S221"/>
    <mergeCell ref="O223:P223"/>
    <mergeCell ref="H243:J243"/>
    <mergeCell ref="E243:G243"/>
    <mergeCell ref="H244:J244"/>
    <mergeCell ref="E244:G244"/>
    <mergeCell ref="A241:A242"/>
    <mergeCell ref="T244:Y244"/>
    <mergeCell ref="T182:T185"/>
    <mergeCell ref="A182:A183"/>
    <mergeCell ref="W186:W189"/>
    <mergeCell ref="O194:P194"/>
    <mergeCell ref="A205:Y205"/>
    <mergeCell ref="U182:U185"/>
    <mergeCell ref="W182:W185"/>
    <mergeCell ref="N182:S182"/>
    <mergeCell ref="Z246:AE246"/>
    <mergeCell ref="T246:Y246"/>
    <mergeCell ref="Z245:AE245"/>
    <mergeCell ref="M193:N193"/>
    <mergeCell ref="Q163:AE163"/>
    <mergeCell ref="AB186:AB189"/>
    <mergeCell ref="H189:M189"/>
    <mergeCell ref="Q239:S239"/>
    <mergeCell ref="N240:P240"/>
    <mergeCell ref="C161:L161"/>
    <mergeCell ref="M191:N191"/>
    <mergeCell ref="Q191:AE191"/>
    <mergeCell ref="C191:K191"/>
    <mergeCell ref="Q178:Q181"/>
    <mergeCell ref="Q193:AE193"/>
    <mergeCell ref="AE186:AE189"/>
    <mergeCell ref="A207:Y207"/>
    <mergeCell ref="M194:N194"/>
    <mergeCell ref="A191:B191"/>
    <mergeCell ref="O193:P193"/>
    <mergeCell ref="O161:P161"/>
    <mergeCell ref="A210:A211"/>
    <mergeCell ref="H209:M209"/>
    <mergeCell ref="A214:A215"/>
    <mergeCell ref="A192:B192"/>
    <mergeCell ref="O192:P192"/>
    <mergeCell ref="Z243:AE243"/>
    <mergeCell ref="Z244:AE244"/>
    <mergeCell ref="A193:B193"/>
    <mergeCell ref="U186:U189"/>
    <mergeCell ref="N243:P243"/>
    <mergeCell ref="Q243:S243"/>
    <mergeCell ref="K121:M121"/>
    <mergeCell ref="K122:M122"/>
    <mergeCell ref="AO122:AO125"/>
    <mergeCell ref="B119:B122"/>
    <mergeCell ref="C119:C122"/>
    <mergeCell ref="D119:D122"/>
    <mergeCell ref="AL181:AQ181"/>
    <mergeCell ref="AL182:AQ182"/>
    <mergeCell ref="AL183:AQ183"/>
    <mergeCell ref="AL184:AQ184"/>
    <mergeCell ref="AI154:AN154"/>
    <mergeCell ref="A163:B163"/>
    <mergeCell ref="A154:A155"/>
    <mergeCell ref="J150:J153"/>
    <mergeCell ref="AE178:AE181"/>
    <mergeCell ref="Y178:Y181"/>
    <mergeCell ref="T178:T181"/>
    <mergeCell ref="P178:P181"/>
    <mergeCell ref="V178:V181"/>
    <mergeCell ref="U178:U181"/>
    <mergeCell ref="N177:S177"/>
    <mergeCell ref="AJ153:AO153"/>
    <mergeCell ref="C160:L160"/>
    <mergeCell ref="A156:A157"/>
    <mergeCell ref="N150:N153"/>
    <mergeCell ref="N157:S157"/>
    <mergeCell ref="N184:S184"/>
    <mergeCell ref="T177:Y177"/>
    <mergeCell ref="H177:M177"/>
    <mergeCell ref="A167:E167"/>
    <mergeCell ref="A184:A185"/>
    <mergeCell ref="Q164:AE164"/>
  </mergeCells>
  <dataValidations count="25">
    <dataValidation type="list" allowBlank="1" showInputMessage="1" showErrorMessage="1" sqref="A3:Y3 A36:Y36 A75:Y75 A110:Y110 A143:Y143 A175:Y175 A207:Y207 A236:Y236" xr:uid="{00000000-0002-0000-0200-000000000000}">
      <formula1>GRUPO</formula1>
    </dataValidation>
    <dataValidation type="list" allowBlank="1" showInputMessage="1" showErrorMessage="1" sqref="A4 A37 A76 A111 A144 A176 A237 A208" xr:uid="{00000000-0002-0000-0200-000001000000}">
      <formula1>GIM</formula1>
    </dataValidation>
    <dataValidation type="list" allowBlank="1" showInputMessage="1" showErrorMessage="1" sqref="A160:A164 V13 P11 J11 Z9 N11 T11 X15 X11 B11 F11 AB9 D11 H11 R15 A94:A98 B15 A253 A20:A24 A60:A64 A127:A131 B6:AE6 B8:Y8 H16 H14 AD9 L11 R11 N16:Q16 L15 A228 D15" xr:uid="{00000000-0002-0000-0200-000002000000}">
      <formula1>INDIRECT($A$4)</formula1>
    </dataValidation>
    <dataValidation type="list" allowBlank="1" showInputMessage="1" showErrorMessage="1" sqref="H10 Z8 B10 T10 D10 F10 N10 P10 AB8 X10 J10 X115:X118 X14 Z43 X178:X189 P43 V47 X43 F43 AG213:AG216 J47 P47 AK46 Z47 C84:C85 N43 H53 AL114 L78:L81 R43 I78:I81 R14 F113 O86:O89 R113:R116 AD113:AD116 U115:U118 H113 AA113:AA116 B78 AD121:AD122 V78 AB43 AA186:AA189 L47 O178:O181 R178:R181 R47 V43 R78:R89 B43 I146:I153 C186:C189 I121:I124 V12 T43 B14 AD8 L14 L10 AA178:AA182 O113:O116 AD43 L146:L153 AI184:AI187 AL188 U178:U189 L123:L124 R10 H47 X47 AA121:AA122 B47 AA146:AA157 D14 O146:O153 L86:L89 AD78:AD85 U86:U89 F82:F85 T78 D78 D43 X86:X89 R186:R189 F186:F189 AD178:AD186 AN122:AN125 C119:C122 F115:F119 C113 R146:R153 AD146:AD157 L113 J113 O123:O124 D39" xr:uid="{00000000-0002-0000-0200-000003000000}">
      <formula1>grupos</formula1>
    </dataValidation>
    <dataValidation type="list" allowBlank="1" showInputMessage="1" showErrorMessage="1" sqref="Q10:Q13 G10:G13 Z85 Z81 U10:U13 B7:AE7 K53:K56 Z74:AE75 W12 Z235:AE236 AB50:AE50 AE43:AE46 AM114 Z206:AE207 V86 F81 B240 Z142:AE143 G113 T85 Z79 H17 V115:V118 Q120 AB113:AB116 B219:N219 AE121:AE122 AE113:AE116 O43:O46 S10:S17 AF181:AK181 Y178:Y189 K10:K13 I10:I13 J146:J153 AE78:AE85 G82:G85 F79 B151:G151 K122 N17:Q17 S178:S181 P178:P181 V178:V189 AF179:AK179 AL41:AN41 AO122:AO125 P113 AG118 M146:M153 T147:Y147 B147:G147 H240 E87:G87 O10:O13 AI218 T149:Y149 AI220 Z87 E240 AE8 C10:C17 Y43:Y50 B185:S185 AJ214 F40:AE40 AA8 AB48:AE48 K47:K50 E244 W85 B211:AE211 M10:M17 V11 Z174:AE175 S113:S116 W43:W50 AL46:AL49 U78:U81 H83 Y78:Y81 N81 AF81 K83 P146:P153 E89:G89 AG189 Z118:AE118 Z221:AE221 AC8:AC11 Z89:AE89 J78:J81 N83 Y115:Y118 AG121 U43:U46 Y10:Y17 AB178:AB189 P86:P89 AJ250:AM250 B87 B153:G153 AJ184:AJ187 Q124 J121 Z35 H15 W78 H46:M46 H85:N85 Q43:Q50 C43:C50 T83:Z83 I113:I116 AF212:AK212 AJ216 AH214 H120:N120 G43:G46 AF210:AK210 S146:S153 AH216 Z2 AB146:AB157 M86:M89 B157:Y157 M78:M81 E78:E81 B149:G149 AF86:AG86 T221 Z109:Z110 B9:Y9 H246 I47:I50 AA43:AA50 AC43:AC46 B179:M179 S78:S89 T240:AE240 Y86:Y89 T124:Y124 S43:S50 E39:E46 D113 AE146:AE157 T244:AE244 H189:P189 T246:AE246 T219 W219 Z219:AE219 W221 K244:N244 C78 B213:AE213 K250 Q219 B221:N221 Q221 Q244 B217:AE217 T114:Y114 K248 B248:G248 N250:AE250 N248:AE248 Q242 Q246 B250:G250 B242 B215:AE215 D186:D189 K240 K242 B42:C42 E242 T242:AE242 Q240 G186:G189 N240 N242 K246:N246 H244 M47:M50 H44:M44 S186:S189 AL182:AQ182 AL184:AQ184 AE178:AE189 E246 D84:D85 B83 AI151:AN151 T153:Y153 AI149:AN149 T151:Y151 AI155:AN155 B155:Y155 AI157:AN157 H187:P187 B183:S183 D119:D122 H118:S118 B181:M181 F42:AE42 G115:G119 E10:E17 M113 T120:AE120 K113 B40:C40 H242 N122:Y122" xr:uid="{00000000-0002-0000-0200-000004000000}">
      <formula1>AULAS</formula1>
    </dataValidation>
    <dataValidation type="list" allowBlank="1" showInputMessage="1" showErrorMessage="1" sqref="A52:A57 A78:A89 A39:A50 A6:A17 A210:A221 A239:A250 A146:A157 A113:A124 A178:A189" xr:uid="{00000000-0002-0000-0200-000005000000}">
      <formula1>HORARIO</formula1>
    </dataValidation>
    <dataValidation type="list" allowBlank="1" showInputMessage="1" showErrorMessage="1" sqref="A31:A32 A138:A139 A70 A104:A105 A170 A202 A233 A136" xr:uid="{00000000-0002-0000-0200-000006000000}">
      <formula1>notas</formula1>
    </dataValidation>
    <dataValidation type="list" allowBlank="1" showInputMessage="1" showErrorMessage="1" sqref="H45:M45 P44:P46 T44:T46 F44:F46 B41 H48:H50 V44:V46 L48:L50 R48:R50 AL40 N44:N46 B44:B46 Z48:Z50 AK47:AK49 P48:P50 J48:J50 B48:B50 AD44:AD46 R44:R46 X44:X46 V48:V50 X48:X50 J54:J56 AB44:AB46 D44:D46 F39:Z39 Z44:Z46 H41:AC41 H43:M43 AC39 B39:C39 D40:D42" xr:uid="{00000000-0002-0000-0200-000007000000}">
      <formula1>INDIRECT($A$37)</formula1>
    </dataValidation>
    <dataValidation type="list" allowBlank="1" showInputMessage="1" showErrorMessage="1" sqref="AC78:AC81 E88:G88 K86:K89 T79 E86:H86 AC86 H84:N84 Z86 T84 Z84 N82 D79 Q86:Q89 H78:H82 N80 Z88:AE88 K78:K81 T86:T89 V79 T82:Z82 N86:N89 AF85:AG85 W86:W89 B84:B85 B79" xr:uid="{00000000-0002-0000-0200-000008000000}">
      <formula1>INDIRECT($A$76)</formula1>
    </dataValidation>
    <dataValidation type="list" allowBlank="1" showInputMessage="1" showErrorMessage="1" sqref="E113 H121:H124 H119:M119 AM122:AM125 H117:S117 AC121:AC122 B113 Z113:Z116 N123:N124 T115:T118 AC113:AC116 Q113:Q116 AK114 AG120 H114 N113:N116 Z117:AE117 AG117 K123:K124 B119:B122 T123:Y123 T113:Y113 E115:E119 Z121:Z122 T119:AE119 J114 N121:Y121" xr:uid="{00000000-0002-0000-0200-000009000000}">
      <formula1>INDIRECT($A$111)</formula1>
    </dataValidation>
    <dataValidation type="list" allowBlank="1" showInputMessage="1" showErrorMessage="1" sqref="B148 B154:Z154 AC154 AI154 B156:Y156 AI156 AC150 T150:Z150 AI148:AN148 T152:Y152 AI150:AN150 B146 AJ153 T146:Z146 Q150 B152:G152 H146 Q146 K146 N150 T148:Y148 B150:H150 AC146 K150 N146" xr:uid="{00000000-0002-0000-0200-00000A000000}">
      <formula1>INDIRECT($A$144)</formula1>
    </dataValidation>
    <dataValidation type="list" allowBlank="1" showInputMessage="1" showErrorMessage="1" sqref="Z178 B184:S184 H186:Q186 B180:M180 H188:P188 B186 AC182 AL181:AQ181 AL183:AQ183 B178:N178 AG188 E186 Z182 AC178 AF180:AK180 AC186 AF178:AK178 W186 Z186 Q178 W178 AH184 W182 T178 T186 B182:T182" xr:uid="{00000000-0002-0000-0200-00000B000000}">
      <formula1>INDIRECT($A$176)</formula1>
    </dataValidation>
    <dataValidation type="list" allowBlank="1" showInputMessage="1" showErrorMessage="1" sqref="AI217 B212:AE212 B210:AE210 B216:AE216 Q218 Q220 B218:N218 T220 B220:N220 W218 Z220:AF220 T218 W220 Z218:AE218 B214:AE214 AF209:AK209 AF211:AK211 AF213 AI219" xr:uid="{00000000-0002-0000-0200-00000C000000}">
      <formula1>INDIRECT($A$208)</formula1>
    </dataValidation>
    <dataValidation type="list" allowBlank="1" showInputMessage="1" showErrorMessage="1" sqref="Z239:AE239 Z249:AE249 Z245:AE245 Z243:AE243 Z247:AE247 Z241:AE241" xr:uid="{00000000-0002-0000-0200-00000D000000}">
      <formula1>INDIRECT($A$237)</formula1>
    </dataValidation>
    <dataValidation type="list" allowBlank="1" showInputMessage="1" showErrorMessage="1" sqref="M20:N24" xr:uid="{00000000-0002-0000-0200-00000E000000}">
      <formula1>INDIRECT($M$19)</formula1>
    </dataValidation>
    <dataValidation type="list" allowBlank="1" showInputMessage="1" showErrorMessage="1" sqref="M19:N19 M59:N59 M93:N93 M126:N126 M159:N159 M191:N191 M223:N223 M252:N252" xr:uid="{00000000-0002-0000-0200-00000F000000}">
      <formula1>Asignaturas2</formula1>
    </dataValidation>
    <dataValidation type="list" allowBlank="1" showInputMessage="1" showErrorMessage="1" sqref="M64:N64 M131:N131 M164:N164 M196:N196 M228:N228 M98:N98" xr:uid="{00000000-0002-0000-0200-000010000000}">
      <formula1>INDIRECT(M59)</formula1>
    </dataValidation>
    <dataValidation type="list" allowBlank="1" showInputMessage="1" showErrorMessage="1" sqref="M63:N63 M130:N130 M163:N163 M195:N195 M227:N227" xr:uid="{00000000-0002-0000-0200-000011000000}">
      <formula1>INDIRECT(M59)</formula1>
    </dataValidation>
    <dataValidation type="list" allowBlank="1" showInputMessage="1" showErrorMessage="1" sqref="M62:N62 M226:N226 M129:N129 M162:N162 M194:N194 M96:N96" xr:uid="{00000000-0002-0000-0200-000012000000}">
      <formula1>INDIRECT(M59)</formula1>
    </dataValidation>
    <dataValidation type="list" allowBlank="1" showInputMessage="1" showErrorMessage="1" sqref="M61:N61 M95:N95 M128:N128 M161:N161 M193:N193 M225:N225" xr:uid="{00000000-0002-0000-0200-000013000000}">
      <formula1>INDIRECT(M59)</formula1>
    </dataValidation>
    <dataValidation type="list" allowBlank="1" showInputMessage="1" showErrorMessage="1" sqref="M60:N60 M94:N94 M127:N127 M160:N160 M192:N192 M224:N224" xr:uid="{00000000-0002-0000-0200-000014000000}">
      <formula1>INDIRECT(M59)</formula1>
    </dataValidation>
    <dataValidation type="list" allowBlank="1" showInputMessage="1" showErrorMessage="1" sqref="A192:B196" xr:uid="{00000000-0002-0000-0200-000015000000}">
      <formula1>GIO_6</formula1>
    </dataValidation>
    <dataValidation type="list" allowBlank="1" showInputMessage="1" showErrorMessage="1" sqref="A254:B255" xr:uid="{00000000-0002-0000-0200-000016000000}">
      <formula1>$H$136:$H$142</formula1>
    </dataValidation>
    <dataValidation type="list" allowBlank="1" showInputMessage="1" showErrorMessage="1" sqref="T243:Y243" xr:uid="{00000000-0002-0000-0200-000017000000}">
      <formula1>$H$147:$H$149</formula1>
    </dataValidation>
    <dataValidation type="list" allowBlank="1" showInputMessage="1" showErrorMessage="1" sqref="K243:M243 K241 K239 K249 T239:Y239 K247 B249:G249 N249:Y249 B247:G247 N247:Y247 K245:M245 B241 B239" xr:uid="{00000000-0002-0000-0200-000018000000}">
      <formula1>$H$147:$H$151</formula1>
    </dataValidation>
  </dataValidations>
  <pageMargins left="0.35433070866141736" right="0.23622047244094491" top="0.94488188976377963" bottom="0.86614173228346458" header="0.27559055118110237" footer="0"/>
  <pageSetup paperSize="9" scale="77" fitToHeight="0" orientation="portrait" r:id="rId1"/>
  <headerFooter alignWithMargins="0">
    <oddHeader>&amp;C&amp;"Arial Narrow,Negrita"&amp;18ESCUELA POLITECNICA SUPERIOR&amp;"Arial,Normal"&amp;10
&amp;"Arial Narrow,Negrita"&amp;16Campus Vena&amp;R&amp;"Chiller,Normal"&amp;24&amp;K05-044&amp;A</oddHeader>
    <oddFooter>&amp;L&amp;12ESCUELA POLITECNICA SUPERIOR - Campus Vena&amp;11
&amp;9SUBDIRECCION  DE  ORDENACION  ACADEMICA Y PROFESORADO&amp;R&amp;12&amp;D</oddFooter>
  </headerFooter>
  <rowBreaks count="8" manualBreakCount="8">
    <brk id="33" max="16383" man="1"/>
    <brk id="72" max="16383" man="1"/>
    <brk id="107" max="16383" man="1"/>
    <brk id="140" max="16383" man="1"/>
    <brk id="172" max="16383" man="1"/>
    <brk id="204" max="16383" man="1"/>
    <brk id="233" min="1" max="30" man="1"/>
    <brk id="258" max="16383" man="1"/>
  </rowBreaks>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200-000019000000}">
          <x14:formula1>
            <xm:f>ASIGNATURAS!$H$105:$H$113</xm:f>
          </x14:formula1>
          <xm:sqref>F80 W84:Y84 AF80:AH80 Z80:AB80 E82:E85 Q78:Q85 AC82:AC85 K82:M82 F78 Z78:AB78 X78:X81 B86 B82</xm:sqref>
        </x14:dataValidation>
        <x14:dataValidation type="list" allowBlank="1" showInputMessage="1" showErrorMessage="1" xr:uid="{00000000-0002-0000-0200-00001A000000}">
          <x14:formula1>
            <xm:f>ASIGNATURAS!$H$114:$H$119</xm:f>
          </x14:formula1>
          <xm:sqref>Q123:S123 L114 W115:W118 K121:M121 N119:S119</xm:sqref>
        </x14:dataValidation>
        <x14:dataValidation type="list" allowBlank="1" showInputMessage="1" showErrorMessage="1" xr:uid="{00000000-0002-0000-0200-00001B000000}">
          <x14:formula1>
            <xm:f>ASIGNATURAS!$H$136:$H$141</xm:f>
          </x14:formula1>
          <xm:sqref>A224:B227</xm:sqref>
        </x14:dataValidation>
        <x14:dataValidation type="list" allowBlank="1" showInputMessage="1" showErrorMessage="1" xr:uid="{00000000-0002-0000-0200-00001C000000}">
          <x14:formula1>
            <xm:f>ASIGNATURAS!$F$146:$F$150</xm:f>
          </x14:formula1>
          <xm:sqref>M253:N255</xm:sqref>
        </x14:dataValidation>
        <x14:dataValidation type="list" allowBlank="1" showInputMessage="1" showErrorMessage="1" xr:uid="{00000000-0002-0000-0200-00001D000000}">
          <x14:formula1>
            <xm:f>ASIGNATURAS!$H$146:$H$148</xm:f>
          </x14:formula1>
          <xm:sqref>T245:Y245</xm:sqref>
        </x14:dataValidation>
        <x14:dataValidation type="list" allowBlank="1" showInputMessage="1" showErrorMessage="1" xr:uid="{00000000-0002-0000-0200-00001E000000}">
          <x14:formula1>
            <xm:f>ASIGNATURAS!$H$146:$H$150</xm:f>
          </x14:formula1>
          <xm:sqref>N239:S239 N241:Y241 N243:S243 N245:S245 E239:J239 E241:J241 E245:J245 E243:J243</xm:sqref>
        </x14:dataValidation>
        <x14:dataValidation type="list" allowBlank="1" showInputMessage="1" showErrorMessage="1" xr:uid="{00000000-0002-0000-0200-00001F000000}">
          <x14:formula1>
            <xm:f>ASIGNATURAS!$F$105:$F$108</xm:f>
          </x14:formula1>
          <xm:sqref>M97:N97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J347"/>
  <sheetViews>
    <sheetView tabSelected="1" view="pageBreakPreview" topLeftCell="A71" zoomScale="71" zoomScaleNormal="115" zoomScaleSheetLayoutView="71" zoomScalePageLayoutView="80" workbookViewId="0">
      <selection activeCell="Z83" sqref="Z83:AE83"/>
    </sheetView>
  </sheetViews>
  <sheetFormatPr baseColWidth="10" defaultColWidth="11.44140625" defaultRowHeight="13.2" x14ac:dyDescent="0.25"/>
  <cols>
    <col min="1" max="1" width="20.33203125" customWidth="1"/>
    <col min="2" max="30" width="3.6640625" customWidth="1"/>
    <col min="31" max="31" width="4" customWidth="1"/>
    <col min="32" max="32" width="9.109375" customWidth="1"/>
    <col min="33" max="45" width="2.88671875" customWidth="1"/>
    <col min="46" max="218" width="9.109375" customWidth="1"/>
  </cols>
  <sheetData>
    <row r="1" spans="1:31" s="1" customFormat="1" ht="60.75" customHeight="1" x14ac:dyDescent="0.4">
      <c r="A1" s="974" t="s">
        <v>631</v>
      </c>
      <c r="B1" s="975"/>
      <c r="C1" s="975"/>
      <c r="D1" s="975"/>
      <c r="E1" s="975"/>
      <c r="F1" s="975"/>
      <c r="G1" s="975"/>
      <c r="H1" s="975"/>
      <c r="I1" s="975"/>
      <c r="J1" s="975"/>
      <c r="K1" s="975"/>
      <c r="L1" s="975"/>
      <c r="M1" s="975"/>
      <c r="N1" s="975"/>
      <c r="O1" s="975"/>
      <c r="P1" s="975"/>
      <c r="Q1" s="975"/>
      <c r="R1" s="975"/>
      <c r="S1" s="975"/>
      <c r="T1" s="975"/>
      <c r="U1" s="975"/>
      <c r="V1" s="975"/>
      <c r="W1" s="975"/>
      <c r="X1" s="975"/>
      <c r="Y1" s="976"/>
      <c r="Z1" s="988" t="str">
        <f>Aulas!G5</f>
        <v>Curso 2024-2025</v>
      </c>
      <c r="AA1" s="988"/>
      <c r="AB1" s="988"/>
      <c r="AC1" s="988"/>
      <c r="AD1" s="988"/>
      <c r="AE1" s="989"/>
    </row>
    <row r="2" spans="1:31" s="8" customFormat="1" ht="23.25" customHeight="1" x14ac:dyDescent="0.4">
      <c r="A2" s="960" t="s">
        <v>1057</v>
      </c>
      <c r="B2" s="961"/>
      <c r="C2" s="961"/>
      <c r="D2" s="961"/>
      <c r="E2" s="961"/>
      <c r="F2" s="961"/>
      <c r="G2" s="961"/>
      <c r="H2" s="961"/>
      <c r="I2" s="961"/>
      <c r="J2" s="961"/>
      <c r="K2" s="961"/>
      <c r="L2" s="961"/>
      <c r="M2" s="961"/>
      <c r="N2" s="961"/>
      <c r="O2" s="961"/>
      <c r="P2" s="961"/>
      <c r="Q2" s="961"/>
      <c r="R2" s="961"/>
      <c r="S2" s="961"/>
      <c r="T2" s="961"/>
      <c r="U2" s="961"/>
      <c r="V2" s="961"/>
      <c r="W2" s="961"/>
      <c r="X2" s="961"/>
      <c r="Y2" s="962"/>
      <c r="Z2" s="984" t="s">
        <v>155</v>
      </c>
      <c r="AA2" s="984"/>
      <c r="AB2" s="984"/>
      <c r="AC2" s="984"/>
      <c r="AD2" s="984"/>
      <c r="AE2" s="985"/>
    </row>
    <row r="3" spans="1:31" s="8" customFormat="1" ht="23.25" customHeight="1" x14ac:dyDescent="0.4">
      <c r="A3" s="963" t="s">
        <v>142</v>
      </c>
      <c r="B3" s="964"/>
      <c r="C3" s="964"/>
      <c r="D3" s="964"/>
      <c r="E3" s="964"/>
      <c r="F3" s="964"/>
      <c r="G3" s="964"/>
      <c r="H3" s="964"/>
      <c r="I3" s="964"/>
      <c r="J3" s="964"/>
      <c r="K3" s="964"/>
      <c r="L3" s="964"/>
      <c r="M3" s="964"/>
      <c r="N3" s="964"/>
      <c r="O3" s="964"/>
      <c r="P3" s="964"/>
      <c r="Q3" s="964"/>
      <c r="R3" s="964"/>
      <c r="S3" s="964"/>
      <c r="T3" s="964"/>
      <c r="U3" s="964"/>
      <c r="V3" s="964"/>
      <c r="W3" s="964"/>
      <c r="X3" s="964"/>
      <c r="Y3" s="965"/>
      <c r="Z3" s="986"/>
      <c r="AA3" s="986"/>
      <c r="AB3" s="986"/>
      <c r="AC3" s="986"/>
      <c r="AD3" s="986"/>
      <c r="AE3" s="987"/>
    </row>
    <row r="4" spans="1:31" ht="38.25" customHeight="1" x14ac:dyDescent="0.25">
      <c r="A4" s="23" t="s">
        <v>705</v>
      </c>
    </row>
    <row r="5" spans="1:31" s="2" customFormat="1" ht="24" customHeight="1" thickBot="1" x14ac:dyDescent="0.3">
      <c r="A5" s="167" t="s">
        <v>1</v>
      </c>
      <c r="B5" s="988" t="s">
        <v>2</v>
      </c>
      <c r="C5" s="988"/>
      <c r="D5" s="988"/>
      <c r="E5" s="988"/>
      <c r="F5" s="988"/>
      <c r="G5" s="989"/>
      <c r="H5" s="988" t="s">
        <v>3</v>
      </c>
      <c r="I5" s="988"/>
      <c r="J5" s="988"/>
      <c r="K5" s="988"/>
      <c r="L5" s="988"/>
      <c r="M5" s="989"/>
      <c r="N5" s="988" t="s">
        <v>139</v>
      </c>
      <c r="O5" s="988"/>
      <c r="P5" s="988"/>
      <c r="Q5" s="988"/>
      <c r="R5" s="988"/>
      <c r="S5" s="989"/>
      <c r="T5" s="988" t="s">
        <v>4</v>
      </c>
      <c r="U5" s="988"/>
      <c r="V5" s="988"/>
      <c r="W5" s="988"/>
      <c r="X5" s="988"/>
      <c r="Y5" s="989"/>
      <c r="Z5" s="988" t="s">
        <v>5</v>
      </c>
      <c r="AA5" s="988"/>
      <c r="AB5" s="988"/>
      <c r="AC5" s="988"/>
      <c r="AD5" s="988"/>
      <c r="AE5" s="989"/>
    </row>
    <row r="6" spans="1:31" ht="30" customHeight="1" x14ac:dyDescent="0.3">
      <c r="A6" s="966" t="s">
        <v>10</v>
      </c>
      <c r="B6" s="932"/>
      <c r="C6" s="932"/>
      <c r="D6" s="932"/>
      <c r="E6" s="932"/>
      <c r="F6" s="932"/>
      <c r="G6" s="933"/>
      <c r="H6" s="954" t="s">
        <v>12</v>
      </c>
      <c r="I6" s="954"/>
      <c r="J6" s="954"/>
      <c r="K6" s="954"/>
      <c r="L6" s="954"/>
      <c r="M6" s="955"/>
      <c r="N6" s="954" t="s">
        <v>23</v>
      </c>
      <c r="O6" s="954"/>
      <c r="P6" s="954"/>
      <c r="Q6" s="954"/>
      <c r="R6" s="954"/>
      <c r="S6" s="955"/>
      <c r="T6" s="939" t="s">
        <v>1358</v>
      </c>
      <c r="U6" s="939"/>
      <c r="V6" s="939"/>
      <c r="W6" s="939"/>
      <c r="X6" s="939"/>
      <c r="Y6" s="949"/>
      <c r="Z6" s="932"/>
      <c r="AA6" s="932"/>
      <c r="AB6" s="932"/>
      <c r="AC6" s="932"/>
      <c r="AD6" s="932"/>
      <c r="AE6" s="933"/>
    </row>
    <row r="7" spans="1:31" ht="30" customHeight="1" x14ac:dyDescent="0.25">
      <c r="A7" s="935"/>
      <c r="B7" s="930"/>
      <c r="C7" s="930"/>
      <c r="D7" s="930"/>
      <c r="E7" s="930"/>
      <c r="F7" s="930"/>
      <c r="G7" s="931"/>
      <c r="H7" s="936" t="s">
        <v>1293</v>
      </c>
      <c r="I7" s="937"/>
      <c r="J7" s="937"/>
      <c r="K7" s="937"/>
      <c r="L7" s="937"/>
      <c r="M7" s="938"/>
      <c r="N7" s="937" t="s">
        <v>632</v>
      </c>
      <c r="O7" s="937"/>
      <c r="P7" s="937"/>
      <c r="Q7" s="937"/>
      <c r="R7" s="937"/>
      <c r="S7" s="938"/>
      <c r="T7" s="944" t="s">
        <v>1336</v>
      </c>
      <c r="U7" s="944"/>
      <c r="V7" s="944"/>
      <c r="W7" s="944"/>
      <c r="X7" s="944"/>
      <c r="Y7" s="945"/>
      <c r="Z7" s="930"/>
      <c r="AA7" s="930"/>
      <c r="AB7" s="930"/>
      <c r="AC7" s="930"/>
      <c r="AD7" s="930"/>
      <c r="AE7" s="931"/>
    </row>
    <row r="8" spans="1:31" ht="30" customHeight="1" x14ac:dyDescent="0.3">
      <c r="A8" s="997" t="s">
        <v>1019</v>
      </c>
      <c r="B8" s="1000"/>
      <c r="C8" s="967"/>
      <c r="D8" s="967"/>
      <c r="E8" s="967"/>
      <c r="F8" s="967"/>
      <c r="G8" s="968"/>
      <c r="H8" s="954" t="s">
        <v>12</v>
      </c>
      <c r="I8" s="954"/>
      <c r="J8" s="954"/>
      <c r="K8" s="954"/>
      <c r="L8" s="954"/>
      <c r="M8" s="955"/>
      <c r="N8" s="954" t="s">
        <v>23</v>
      </c>
      <c r="O8" s="954"/>
      <c r="P8" s="954"/>
      <c r="Q8" s="954"/>
      <c r="R8" s="954"/>
      <c r="S8" s="955"/>
      <c r="T8" s="954" t="s">
        <v>1358</v>
      </c>
      <c r="U8" s="954"/>
      <c r="V8" s="954"/>
      <c r="W8" s="954"/>
      <c r="X8" s="954"/>
      <c r="Y8" s="955"/>
      <c r="Z8" s="932"/>
      <c r="AA8" s="932"/>
      <c r="AB8" s="932"/>
      <c r="AC8" s="932"/>
      <c r="AD8" s="932"/>
      <c r="AE8" s="933"/>
    </row>
    <row r="9" spans="1:31" ht="30" customHeight="1" x14ac:dyDescent="0.25">
      <c r="A9" s="998"/>
      <c r="B9" s="999"/>
      <c r="C9" s="930"/>
      <c r="D9" s="930"/>
      <c r="E9" s="930"/>
      <c r="F9" s="930"/>
      <c r="G9" s="931"/>
      <c r="H9" s="936" t="s">
        <v>1293</v>
      </c>
      <c r="I9" s="937"/>
      <c r="J9" s="937"/>
      <c r="K9" s="937"/>
      <c r="L9" s="937"/>
      <c r="M9" s="938"/>
      <c r="N9" s="937" t="s">
        <v>632</v>
      </c>
      <c r="O9" s="937"/>
      <c r="P9" s="937"/>
      <c r="Q9" s="937"/>
      <c r="R9" s="937"/>
      <c r="S9" s="938"/>
      <c r="T9" s="937" t="s">
        <v>1336</v>
      </c>
      <c r="U9" s="937"/>
      <c r="V9" s="937"/>
      <c r="W9" s="937"/>
      <c r="X9" s="937"/>
      <c r="Y9" s="938"/>
      <c r="Z9" s="930"/>
      <c r="AA9" s="930"/>
      <c r="AB9" s="930"/>
      <c r="AC9" s="930"/>
      <c r="AD9" s="930"/>
      <c r="AE9" s="931"/>
    </row>
    <row r="10" spans="1:31" ht="30" customHeight="1" x14ac:dyDescent="0.3">
      <c r="A10" s="934" t="s">
        <v>1020</v>
      </c>
      <c r="B10" s="939" t="s">
        <v>79</v>
      </c>
      <c r="C10" s="939"/>
      <c r="D10" s="939"/>
      <c r="E10" s="939"/>
      <c r="F10" s="939"/>
      <c r="G10" s="949"/>
      <c r="H10" s="939" t="s">
        <v>23</v>
      </c>
      <c r="I10" s="939"/>
      <c r="J10" s="939"/>
      <c r="K10" s="939"/>
      <c r="L10" s="939"/>
      <c r="M10" s="949"/>
      <c r="N10" s="939" t="s">
        <v>13</v>
      </c>
      <c r="O10" s="939"/>
      <c r="P10" s="939"/>
      <c r="Q10" s="939"/>
      <c r="R10" s="939"/>
      <c r="S10" s="949"/>
      <c r="T10" s="954" t="s">
        <v>1358</v>
      </c>
      <c r="U10" s="954"/>
      <c r="V10" s="954"/>
      <c r="W10" s="954"/>
      <c r="X10" s="954"/>
      <c r="Y10" s="955"/>
      <c r="Z10" s="932"/>
      <c r="AA10" s="932"/>
      <c r="AB10" s="932"/>
      <c r="AC10" s="932"/>
      <c r="AD10" s="932"/>
      <c r="AE10" s="933"/>
    </row>
    <row r="11" spans="1:31" ht="30" customHeight="1" x14ac:dyDescent="0.25">
      <c r="A11" s="935"/>
      <c r="B11" s="944" t="s">
        <v>155</v>
      </c>
      <c r="C11" s="944"/>
      <c r="D11" s="944"/>
      <c r="E11" s="944"/>
      <c r="F11" s="944"/>
      <c r="G11" s="945"/>
      <c r="H11" s="944" t="s">
        <v>155</v>
      </c>
      <c r="I11" s="944"/>
      <c r="J11" s="944"/>
      <c r="K11" s="944"/>
      <c r="L11" s="944"/>
      <c r="M11" s="945"/>
      <c r="N11" s="946" t="s">
        <v>155</v>
      </c>
      <c r="O11" s="944"/>
      <c r="P11" s="944"/>
      <c r="Q11" s="944"/>
      <c r="R11" s="944"/>
      <c r="S11" s="945"/>
      <c r="T11" s="937" t="s">
        <v>1336</v>
      </c>
      <c r="U11" s="937"/>
      <c r="V11" s="937"/>
      <c r="W11" s="937"/>
      <c r="X11" s="937"/>
      <c r="Y11" s="938"/>
      <c r="Z11" s="930"/>
      <c r="AA11" s="930"/>
      <c r="AB11" s="930"/>
      <c r="AC11" s="930"/>
      <c r="AD11" s="930"/>
      <c r="AE11" s="931"/>
    </row>
    <row r="12" spans="1:31" ht="30" customHeight="1" x14ac:dyDescent="0.3">
      <c r="A12" s="934" t="s">
        <v>7</v>
      </c>
      <c r="B12" s="939" t="s">
        <v>942</v>
      </c>
      <c r="C12" s="939"/>
      <c r="D12" s="939"/>
      <c r="E12" s="939"/>
      <c r="F12" s="939"/>
      <c r="G12" s="949"/>
      <c r="H12" s="939" t="s">
        <v>23</v>
      </c>
      <c r="I12" s="939"/>
      <c r="J12" s="939"/>
      <c r="K12" s="939"/>
      <c r="L12" s="939"/>
      <c r="M12" s="949"/>
      <c r="N12" s="939" t="s">
        <v>13</v>
      </c>
      <c r="O12" s="939"/>
      <c r="P12" s="939"/>
      <c r="Q12" s="939"/>
      <c r="R12" s="939"/>
      <c r="S12" s="949"/>
      <c r="T12" s="954" t="s">
        <v>1358</v>
      </c>
      <c r="U12" s="954"/>
      <c r="V12" s="954"/>
      <c r="W12" s="954"/>
      <c r="X12" s="954"/>
      <c r="Y12" s="955"/>
      <c r="Z12" s="932"/>
      <c r="AA12" s="932"/>
      <c r="AB12" s="932"/>
      <c r="AC12" s="932"/>
      <c r="AD12" s="932"/>
      <c r="AE12" s="933"/>
    </row>
    <row r="13" spans="1:31" ht="30" customHeight="1" x14ac:dyDescent="0.25">
      <c r="A13" s="935"/>
      <c r="B13" s="944" t="s">
        <v>155</v>
      </c>
      <c r="C13" s="944"/>
      <c r="D13" s="944"/>
      <c r="E13" s="944"/>
      <c r="F13" s="944"/>
      <c r="G13" s="945"/>
      <c r="H13" s="944" t="s">
        <v>155</v>
      </c>
      <c r="I13" s="944"/>
      <c r="J13" s="944"/>
      <c r="K13" s="944"/>
      <c r="L13" s="944"/>
      <c r="M13" s="945"/>
      <c r="N13" s="946" t="s">
        <v>155</v>
      </c>
      <c r="O13" s="944"/>
      <c r="P13" s="944"/>
      <c r="Q13" s="944"/>
      <c r="R13" s="944"/>
      <c r="S13" s="945"/>
      <c r="T13" s="937" t="s">
        <v>1336</v>
      </c>
      <c r="U13" s="937"/>
      <c r="V13" s="937"/>
      <c r="W13" s="937"/>
      <c r="X13" s="937"/>
      <c r="Y13" s="938"/>
      <c r="Z13" s="930"/>
      <c r="AA13" s="930"/>
      <c r="AB13" s="930"/>
      <c r="AC13" s="930"/>
      <c r="AD13" s="930"/>
      <c r="AE13" s="931"/>
    </row>
    <row r="14" spans="1:31" ht="30" customHeight="1" x14ac:dyDescent="0.3">
      <c r="A14" s="934" t="s">
        <v>8</v>
      </c>
      <c r="B14" s="939" t="s">
        <v>12</v>
      </c>
      <c r="C14" s="939"/>
      <c r="D14" s="939"/>
      <c r="E14" s="939"/>
      <c r="F14" s="939"/>
      <c r="G14" s="949"/>
      <c r="H14" s="954" t="s">
        <v>79</v>
      </c>
      <c r="I14" s="954"/>
      <c r="J14" s="954"/>
      <c r="K14" s="954"/>
      <c r="L14" s="954"/>
      <c r="M14" s="955"/>
      <c r="N14" s="1009"/>
      <c r="O14" s="1009"/>
      <c r="P14" s="1009"/>
      <c r="Q14" s="1009"/>
      <c r="R14" s="1009"/>
      <c r="S14" s="1010"/>
      <c r="T14" s="954" t="s">
        <v>13</v>
      </c>
      <c r="U14" s="954"/>
      <c r="V14" s="954"/>
      <c r="W14" s="954"/>
      <c r="X14" s="954"/>
      <c r="Y14" s="955"/>
      <c r="Z14" s="1005"/>
      <c r="AA14" s="967"/>
      <c r="AB14" s="967"/>
      <c r="AC14" s="967"/>
      <c r="AD14" s="967"/>
      <c r="AE14" s="968"/>
    </row>
    <row r="15" spans="1:31" ht="30" customHeight="1" x14ac:dyDescent="0.25">
      <c r="A15" s="935"/>
      <c r="B15" s="944" t="s">
        <v>155</v>
      </c>
      <c r="C15" s="944"/>
      <c r="D15" s="944"/>
      <c r="E15" s="944"/>
      <c r="F15" s="944"/>
      <c r="G15" s="945"/>
      <c r="H15" s="937" t="s">
        <v>561</v>
      </c>
      <c r="I15" s="937"/>
      <c r="J15" s="937"/>
      <c r="K15" s="937"/>
      <c r="L15" s="937"/>
      <c r="M15" s="938"/>
      <c r="N15" s="1006"/>
      <c r="O15" s="1007"/>
      <c r="P15" s="1007"/>
      <c r="Q15" s="1007"/>
      <c r="R15" s="1007"/>
      <c r="S15" s="1008"/>
      <c r="T15" s="937" t="s">
        <v>1348</v>
      </c>
      <c r="U15" s="937"/>
      <c r="V15" s="937"/>
      <c r="W15" s="937"/>
      <c r="X15" s="937"/>
      <c r="Y15" s="938"/>
      <c r="Z15" s="943"/>
      <c r="AA15" s="930"/>
      <c r="AB15" s="930"/>
      <c r="AC15" s="930"/>
      <c r="AD15" s="930"/>
      <c r="AE15" s="931"/>
    </row>
    <row r="16" spans="1:31" ht="30" customHeight="1" x14ac:dyDescent="0.3">
      <c r="A16" s="934" t="s">
        <v>9</v>
      </c>
      <c r="B16" s="939" t="s">
        <v>12</v>
      </c>
      <c r="C16" s="939"/>
      <c r="D16" s="939"/>
      <c r="E16" s="939"/>
      <c r="F16" s="939"/>
      <c r="G16" s="949"/>
      <c r="H16" s="954" t="s">
        <v>79</v>
      </c>
      <c r="I16" s="954"/>
      <c r="J16" s="954"/>
      <c r="K16" s="954"/>
      <c r="L16" s="954"/>
      <c r="M16" s="955"/>
      <c r="N16" s="1009"/>
      <c r="O16" s="1009"/>
      <c r="P16" s="1009"/>
      <c r="Q16" s="1009"/>
      <c r="R16" s="1009"/>
      <c r="S16" s="1010"/>
      <c r="T16" s="954" t="s">
        <v>13</v>
      </c>
      <c r="U16" s="954"/>
      <c r="V16" s="954"/>
      <c r="W16" s="954"/>
      <c r="X16" s="954"/>
      <c r="Y16" s="955"/>
      <c r="Z16" s="1005"/>
      <c r="AA16" s="967"/>
      <c r="AB16" s="967"/>
      <c r="AC16" s="967"/>
      <c r="AD16" s="967"/>
      <c r="AE16" s="968"/>
    </row>
    <row r="17" spans="1:31" ht="30" customHeight="1" x14ac:dyDescent="0.25">
      <c r="A17" s="935"/>
      <c r="B17" s="944" t="s">
        <v>155</v>
      </c>
      <c r="C17" s="944"/>
      <c r="D17" s="944"/>
      <c r="E17" s="944"/>
      <c r="F17" s="944"/>
      <c r="G17" s="945"/>
      <c r="H17" s="937" t="s">
        <v>561</v>
      </c>
      <c r="I17" s="937"/>
      <c r="J17" s="937"/>
      <c r="K17" s="937"/>
      <c r="L17" s="937"/>
      <c r="M17" s="938"/>
      <c r="N17" s="1006"/>
      <c r="O17" s="1007"/>
      <c r="P17" s="1007"/>
      <c r="Q17" s="1007"/>
      <c r="R17" s="1007"/>
      <c r="S17" s="1008"/>
      <c r="T17" s="937" t="s">
        <v>1348</v>
      </c>
      <c r="U17" s="937"/>
      <c r="V17" s="937"/>
      <c r="W17" s="937"/>
      <c r="X17" s="937"/>
      <c r="Y17" s="938"/>
      <c r="Z17" s="943"/>
      <c r="AA17" s="930"/>
      <c r="AB17" s="930"/>
      <c r="AC17" s="930"/>
      <c r="AD17" s="930"/>
      <c r="AE17" s="931"/>
    </row>
    <row r="18" spans="1:31" ht="18" customHeight="1" x14ac:dyDescent="0.25">
      <c r="R18" s="198"/>
      <c r="U18" s="198"/>
      <c r="V18" s="198"/>
      <c r="W18" s="198"/>
      <c r="X18" s="198"/>
      <c r="Y18" s="198"/>
    </row>
    <row r="19" spans="1:31" ht="2.25" customHeight="1" x14ac:dyDescent="0.25">
      <c r="R19" s="102"/>
      <c r="U19" s="102"/>
      <c r="V19" s="102"/>
      <c r="W19" s="102"/>
      <c r="X19" s="102"/>
      <c r="Y19" s="102"/>
    </row>
    <row r="20" spans="1:31" ht="18.75" customHeight="1" x14ac:dyDescent="0.25">
      <c r="A20" s="736" t="s">
        <v>218</v>
      </c>
      <c r="B20" s="737"/>
      <c r="C20" s="952" t="s">
        <v>219</v>
      </c>
      <c r="D20" s="952"/>
      <c r="E20" s="952"/>
      <c r="F20" s="952"/>
      <c r="G20" s="952"/>
      <c r="H20" s="952"/>
      <c r="I20" s="952"/>
      <c r="J20" s="952"/>
      <c r="K20" s="952"/>
      <c r="L20" s="168"/>
      <c r="M20" s="950" t="s">
        <v>629</v>
      </c>
      <c r="N20" s="951"/>
      <c r="O20" s="952" t="s">
        <v>143</v>
      </c>
      <c r="P20" s="953"/>
      <c r="Q20" s="952" t="s">
        <v>167</v>
      </c>
      <c r="R20" s="952"/>
      <c r="S20" s="952"/>
      <c r="T20" s="952"/>
      <c r="U20" s="952"/>
      <c r="V20" s="952"/>
      <c r="W20" s="952"/>
      <c r="X20" s="952"/>
      <c r="Y20" s="952"/>
      <c r="Z20" s="952"/>
      <c r="AA20" s="952"/>
      <c r="AB20" s="952"/>
      <c r="AC20" s="952"/>
      <c r="AD20" s="952"/>
      <c r="AE20" s="953"/>
    </row>
    <row r="21" spans="1:31" ht="13.8" x14ac:dyDescent="0.25">
      <c r="A21" s="1063" t="s">
        <v>12</v>
      </c>
      <c r="B21" s="1064"/>
      <c r="C21" s="982" t="str">
        <f>ASIGNATURAS!I259</f>
        <v xml:space="preserve">Cálculo </v>
      </c>
      <c r="D21" s="983"/>
      <c r="E21" s="983"/>
      <c r="F21" s="983"/>
      <c r="G21" s="983"/>
      <c r="H21" s="983"/>
      <c r="I21" s="983"/>
      <c r="J21" s="983"/>
      <c r="K21" s="983"/>
      <c r="L21" s="983"/>
      <c r="M21" s="972">
        <v>7711</v>
      </c>
      <c r="N21" s="972"/>
      <c r="O21" s="981">
        <v>6</v>
      </c>
      <c r="P21" s="972"/>
      <c r="Q21" s="992" t="str">
        <f>ASIGNATURAS!K259</f>
        <v>Elena Cebrián de Barrio</v>
      </c>
      <c r="R21" s="993"/>
      <c r="S21" s="993"/>
      <c r="T21" s="993"/>
      <c r="U21" s="993"/>
      <c r="V21" s="993"/>
      <c r="W21" s="993"/>
      <c r="X21" s="993"/>
      <c r="Y21" s="993"/>
      <c r="Z21" s="993"/>
      <c r="AA21" s="993"/>
      <c r="AB21" s="993"/>
      <c r="AC21" s="993"/>
      <c r="AD21" s="993"/>
      <c r="AE21" s="982"/>
    </row>
    <row r="22" spans="1:31" ht="13.8" x14ac:dyDescent="0.25">
      <c r="A22" s="1063" t="s">
        <v>13</v>
      </c>
      <c r="B22" s="1064"/>
      <c r="C22" s="992" t="str">
        <f>ASIGNATURAS!I260</f>
        <v>Álgebra y Ecuaciones Diferenciales</v>
      </c>
      <c r="D22" s="993"/>
      <c r="E22" s="993"/>
      <c r="F22" s="993"/>
      <c r="G22" s="993"/>
      <c r="H22" s="993"/>
      <c r="I22" s="993"/>
      <c r="J22" s="993"/>
      <c r="K22" s="993"/>
      <c r="L22" s="982"/>
      <c r="M22" s="972">
        <v>7712</v>
      </c>
      <c r="N22" s="972"/>
      <c r="O22" s="981">
        <v>6</v>
      </c>
      <c r="P22" s="972"/>
      <c r="Q22" s="992" t="str">
        <f>ASIGNATURAS!K260</f>
        <v/>
      </c>
      <c r="R22" s="993"/>
      <c r="S22" s="993"/>
      <c r="T22" s="993"/>
      <c r="U22" s="993"/>
      <c r="V22" s="993"/>
      <c r="W22" s="993"/>
      <c r="X22" s="993"/>
      <c r="Y22" s="993"/>
      <c r="Z22" s="993"/>
      <c r="AA22" s="993"/>
      <c r="AB22" s="993"/>
      <c r="AC22" s="993"/>
      <c r="AD22" s="993"/>
      <c r="AE22" s="982"/>
    </row>
    <row r="23" spans="1:31" ht="13.8" x14ac:dyDescent="0.25">
      <c r="A23" s="1063" t="s">
        <v>79</v>
      </c>
      <c r="B23" s="1064"/>
      <c r="C23" s="992" t="str">
        <f>ASIGNATURAS!I261</f>
        <v>Física I</v>
      </c>
      <c r="D23" s="993"/>
      <c r="E23" s="993"/>
      <c r="F23" s="993"/>
      <c r="G23" s="993"/>
      <c r="H23" s="993"/>
      <c r="I23" s="993"/>
      <c r="J23" s="993"/>
      <c r="K23" s="993"/>
      <c r="L23" s="982"/>
      <c r="M23" s="972">
        <v>7713</v>
      </c>
      <c r="N23" s="972"/>
      <c r="O23" s="981">
        <v>6</v>
      </c>
      <c r="P23" s="972"/>
      <c r="Q23" s="992" t="str">
        <f>ASIGNATURAS!K261</f>
        <v xml:space="preserve">Juan José Villalaín , </v>
      </c>
      <c r="R23" s="993"/>
      <c r="S23" s="993"/>
      <c r="T23" s="993"/>
      <c r="U23" s="993"/>
      <c r="V23" s="993"/>
      <c r="W23" s="993"/>
      <c r="X23" s="993"/>
      <c r="Y23" s="993"/>
      <c r="Z23" s="993"/>
      <c r="AA23" s="993"/>
      <c r="AB23" s="993"/>
      <c r="AC23" s="993"/>
      <c r="AD23" s="993"/>
      <c r="AE23" s="982"/>
    </row>
    <row r="24" spans="1:31" ht="13.8" x14ac:dyDescent="0.25">
      <c r="A24" s="1063" t="s">
        <v>23</v>
      </c>
      <c r="B24" s="1064"/>
      <c r="C24" s="992" t="str">
        <f>ASIGNATURAS!I262</f>
        <v>Química</v>
      </c>
      <c r="D24" s="993"/>
      <c r="E24" s="993"/>
      <c r="F24" s="993"/>
      <c r="G24" s="993"/>
      <c r="H24" s="993"/>
      <c r="I24" s="993"/>
      <c r="J24" s="993"/>
      <c r="K24" s="993"/>
      <c r="L24" s="982"/>
      <c r="M24" s="972">
        <v>7714</v>
      </c>
      <c r="N24" s="972"/>
      <c r="O24" s="981">
        <v>6</v>
      </c>
      <c r="P24" s="972"/>
      <c r="Q24" s="992" t="str">
        <f>ASIGNATURAS!K262</f>
        <v xml:space="preserve">Indalecio Peñacoba, Francisco Javier Rodriguez , </v>
      </c>
      <c r="R24" s="993"/>
      <c r="S24" s="993"/>
      <c r="T24" s="993"/>
      <c r="U24" s="993"/>
      <c r="V24" s="993"/>
      <c r="W24" s="993"/>
      <c r="X24" s="993"/>
      <c r="Y24" s="993"/>
      <c r="Z24" s="993"/>
      <c r="AA24" s="993"/>
      <c r="AB24" s="993"/>
      <c r="AC24" s="993"/>
      <c r="AD24" s="993"/>
      <c r="AE24" s="982"/>
    </row>
    <row r="25" spans="1:31" ht="13.8" x14ac:dyDescent="0.25">
      <c r="A25" s="1063" t="s">
        <v>22</v>
      </c>
      <c r="B25" s="1064"/>
      <c r="C25" s="992" t="str">
        <f>ASIGNATURAS!I263</f>
        <v>Expresión Gráfica I</v>
      </c>
      <c r="D25" s="993"/>
      <c r="E25" s="993"/>
      <c r="F25" s="993"/>
      <c r="G25" s="993"/>
      <c r="H25" s="993"/>
      <c r="I25" s="993"/>
      <c r="J25" s="993"/>
      <c r="K25" s="993"/>
      <c r="L25" s="982"/>
      <c r="M25" s="972">
        <v>7715</v>
      </c>
      <c r="N25" s="972"/>
      <c r="O25" s="981">
        <v>6</v>
      </c>
      <c r="P25" s="972"/>
      <c r="Q25" s="992" t="str">
        <f>ASIGNATURAS!K263</f>
        <v>Arturo de Román Miguel, Elías Martínez</v>
      </c>
      <c r="R25" s="993"/>
      <c r="S25" s="993"/>
      <c r="T25" s="993"/>
      <c r="U25" s="993"/>
      <c r="V25" s="993"/>
      <c r="W25" s="993"/>
      <c r="X25" s="993"/>
      <c r="Y25" s="993"/>
      <c r="Z25" s="993"/>
      <c r="AA25" s="993"/>
      <c r="AB25" s="993"/>
      <c r="AC25" s="993"/>
      <c r="AD25" s="993"/>
      <c r="AE25" s="982"/>
    </row>
    <row r="28" spans="1:31" ht="24" customHeight="1" x14ac:dyDescent="0.25">
      <c r="A28" s="730" t="s">
        <v>1044</v>
      </c>
      <c r="B28" s="731"/>
      <c r="C28" s="731"/>
      <c r="D28" s="731"/>
      <c r="E28" s="732"/>
    </row>
    <row r="29" spans="1:31" ht="24" customHeight="1" x14ac:dyDescent="0.25">
      <c r="A29" s="738" t="s">
        <v>1045</v>
      </c>
      <c r="B29" s="739"/>
      <c r="C29" s="739"/>
      <c r="D29" s="739"/>
      <c r="E29" s="740"/>
    </row>
    <row r="31" spans="1:31" x14ac:dyDescent="0.25">
      <c r="A31" s="25" t="s">
        <v>217</v>
      </c>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row>
    <row r="32" spans="1:31" x14ac:dyDescent="0.25">
      <c r="A32" s="10" t="s">
        <v>1186</v>
      </c>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row>
    <row r="33" spans="1:31"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row>
    <row r="34" spans="1:31" s="1" customFormat="1" ht="60.75" customHeight="1" x14ac:dyDescent="0.4">
      <c r="A34" s="974" t="s">
        <v>631</v>
      </c>
      <c r="B34" s="975"/>
      <c r="C34" s="975"/>
      <c r="D34" s="975"/>
      <c r="E34" s="975"/>
      <c r="F34" s="975"/>
      <c r="G34" s="975"/>
      <c r="H34" s="975"/>
      <c r="I34" s="975"/>
      <c r="J34" s="975"/>
      <c r="K34" s="975"/>
      <c r="L34" s="975"/>
      <c r="M34" s="975"/>
      <c r="N34" s="975"/>
      <c r="O34" s="975"/>
      <c r="P34" s="975"/>
      <c r="Q34" s="975"/>
      <c r="R34" s="975"/>
      <c r="S34" s="975"/>
      <c r="T34" s="975"/>
      <c r="U34" s="975"/>
      <c r="V34" s="975"/>
      <c r="W34" s="975"/>
      <c r="X34" s="975"/>
      <c r="Y34" s="976"/>
      <c r="Z34" s="988" t="str">
        <f>Z1</f>
        <v>Curso 2024-2025</v>
      </c>
      <c r="AA34" s="988"/>
      <c r="AB34" s="988"/>
      <c r="AC34" s="988"/>
      <c r="AD34" s="988"/>
      <c r="AE34" s="989"/>
    </row>
    <row r="35" spans="1:31" s="8" customFormat="1" ht="23.25" customHeight="1" x14ac:dyDescent="0.4">
      <c r="A35" s="960" t="s">
        <v>1042</v>
      </c>
      <c r="B35" s="961"/>
      <c r="C35" s="961"/>
      <c r="D35" s="961"/>
      <c r="E35" s="961"/>
      <c r="F35" s="961"/>
      <c r="G35" s="961"/>
      <c r="H35" s="961"/>
      <c r="I35" s="961"/>
      <c r="J35" s="961"/>
      <c r="K35" s="961"/>
      <c r="L35" s="961"/>
      <c r="M35" s="961"/>
      <c r="N35" s="961"/>
      <c r="O35" s="961"/>
      <c r="P35" s="961"/>
      <c r="Q35" s="961"/>
      <c r="R35" s="961"/>
      <c r="S35" s="961"/>
      <c r="T35" s="961"/>
      <c r="U35" s="961"/>
      <c r="V35" s="961"/>
      <c r="W35" s="961"/>
      <c r="X35" s="961"/>
      <c r="Y35" s="962"/>
      <c r="Z35" s="984" t="s">
        <v>155</v>
      </c>
      <c r="AA35" s="984"/>
      <c r="AB35" s="984"/>
      <c r="AC35" s="984"/>
      <c r="AD35" s="984"/>
      <c r="AE35" s="985"/>
    </row>
    <row r="36" spans="1:31" s="8" customFormat="1" ht="23.25" customHeight="1" x14ac:dyDescent="0.4">
      <c r="A36" s="963" t="s">
        <v>142</v>
      </c>
      <c r="B36" s="964"/>
      <c r="C36" s="964"/>
      <c r="D36" s="964"/>
      <c r="E36" s="964"/>
      <c r="F36" s="964"/>
      <c r="G36" s="964"/>
      <c r="H36" s="964"/>
      <c r="I36" s="964"/>
      <c r="J36" s="964"/>
      <c r="K36" s="964"/>
      <c r="L36" s="964"/>
      <c r="M36" s="964"/>
      <c r="N36" s="964"/>
      <c r="O36" s="964"/>
      <c r="P36" s="964"/>
      <c r="Q36" s="964"/>
      <c r="R36" s="964"/>
      <c r="S36" s="964"/>
      <c r="T36" s="964"/>
      <c r="U36" s="964"/>
      <c r="V36" s="964"/>
      <c r="W36" s="964"/>
      <c r="X36" s="964"/>
      <c r="Y36" s="965"/>
      <c r="Z36" s="986"/>
      <c r="AA36" s="986"/>
      <c r="AB36" s="986"/>
      <c r="AC36" s="986"/>
      <c r="AD36" s="986"/>
      <c r="AE36" s="987"/>
    </row>
    <row r="37" spans="1:31" ht="38.25" customHeight="1" x14ac:dyDescent="0.25">
      <c r="A37" s="23" t="s">
        <v>706</v>
      </c>
    </row>
    <row r="38" spans="1:31" s="2" customFormat="1" ht="24" customHeight="1" thickBot="1" x14ac:dyDescent="0.3">
      <c r="A38" s="167" t="s">
        <v>1</v>
      </c>
      <c r="B38" s="988" t="s">
        <v>2</v>
      </c>
      <c r="C38" s="988"/>
      <c r="D38" s="988"/>
      <c r="E38" s="988"/>
      <c r="F38" s="988"/>
      <c r="G38" s="989"/>
      <c r="H38" s="988" t="s">
        <v>3</v>
      </c>
      <c r="I38" s="988"/>
      <c r="J38" s="988"/>
      <c r="K38" s="988"/>
      <c r="L38" s="988"/>
      <c r="M38" s="989"/>
      <c r="N38" s="988" t="s">
        <v>139</v>
      </c>
      <c r="O38" s="988"/>
      <c r="P38" s="988"/>
      <c r="Q38" s="988"/>
      <c r="R38" s="988"/>
      <c r="S38" s="989"/>
      <c r="T38" s="988" t="s">
        <v>4</v>
      </c>
      <c r="U38" s="988"/>
      <c r="V38" s="988"/>
      <c r="W38" s="988"/>
      <c r="X38" s="988"/>
      <c r="Y38" s="989"/>
      <c r="Z38" s="988" t="s">
        <v>5</v>
      </c>
      <c r="AA38" s="988"/>
      <c r="AB38" s="988"/>
      <c r="AC38" s="988"/>
      <c r="AD38" s="988"/>
      <c r="AE38" s="989"/>
    </row>
    <row r="39" spans="1:31" ht="30" customHeight="1" x14ac:dyDescent="0.3">
      <c r="A39" s="966" t="s">
        <v>10</v>
      </c>
      <c r="B39" s="1011" t="s">
        <v>26</v>
      </c>
      <c r="C39" s="1011"/>
      <c r="D39" s="1011"/>
      <c r="E39" s="1011"/>
      <c r="F39" s="1011"/>
      <c r="G39" s="1012"/>
      <c r="H39" s="969" t="s">
        <v>26</v>
      </c>
      <c r="I39" s="969"/>
      <c r="J39" s="969"/>
      <c r="K39" s="969"/>
      <c r="L39" s="969"/>
      <c r="M39" s="973"/>
      <c r="N39" s="969" t="s">
        <v>25</v>
      </c>
      <c r="O39" s="969"/>
      <c r="P39" s="969"/>
      <c r="Q39" s="969"/>
      <c r="R39" s="969"/>
      <c r="S39" s="973"/>
      <c r="T39" s="1001" t="s">
        <v>1360</v>
      </c>
      <c r="U39" s="970"/>
      <c r="V39" s="970"/>
      <c r="W39" s="970"/>
      <c r="X39" s="970"/>
      <c r="Y39" s="971"/>
      <c r="Z39" s="1002"/>
      <c r="AA39" s="1003"/>
      <c r="AB39" s="1003"/>
      <c r="AC39" s="1003"/>
      <c r="AD39" s="1003"/>
      <c r="AE39" s="1004"/>
    </row>
    <row r="40" spans="1:31" ht="30" customHeight="1" x14ac:dyDescent="0.25">
      <c r="A40" s="935"/>
      <c r="B40" s="937" t="s">
        <v>150</v>
      </c>
      <c r="C40" s="937"/>
      <c r="D40" s="937"/>
      <c r="E40" s="937"/>
      <c r="F40" s="937"/>
      <c r="G40" s="938"/>
      <c r="H40" s="944" t="s">
        <v>150</v>
      </c>
      <c r="I40" s="944"/>
      <c r="J40" s="944"/>
      <c r="K40" s="944"/>
      <c r="L40" s="944"/>
      <c r="M40" s="945"/>
      <c r="N40" s="944" t="s">
        <v>155</v>
      </c>
      <c r="O40" s="944"/>
      <c r="P40" s="944"/>
      <c r="Q40" s="944"/>
      <c r="R40" s="944"/>
      <c r="S40" s="945"/>
      <c r="T40" s="946" t="s">
        <v>832</v>
      </c>
      <c r="U40" s="944"/>
      <c r="V40" s="944"/>
      <c r="W40" s="944"/>
      <c r="X40" s="944"/>
      <c r="Y40" s="945"/>
      <c r="Z40" s="930"/>
      <c r="AA40" s="930"/>
      <c r="AB40" s="930"/>
      <c r="AC40" s="930"/>
      <c r="AD40" s="930"/>
      <c r="AE40" s="931"/>
    </row>
    <row r="41" spans="1:31" ht="30" customHeight="1" x14ac:dyDescent="0.3">
      <c r="A41" s="934" t="s">
        <v>1019</v>
      </c>
      <c r="B41" s="954" t="s">
        <v>26</v>
      </c>
      <c r="C41" s="954"/>
      <c r="D41" s="954"/>
      <c r="E41" s="954"/>
      <c r="F41" s="954"/>
      <c r="G41" s="955"/>
      <c r="H41" s="939" t="s">
        <v>26</v>
      </c>
      <c r="I41" s="939"/>
      <c r="J41" s="939"/>
      <c r="K41" s="939"/>
      <c r="L41" s="939"/>
      <c r="M41" s="949"/>
      <c r="N41" s="939" t="s">
        <v>25</v>
      </c>
      <c r="O41" s="939"/>
      <c r="P41" s="939"/>
      <c r="Q41" s="939"/>
      <c r="R41" s="939"/>
      <c r="S41" s="949"/>
      <c r="T41" s="939" t="s">
        <v>50</v>
      </c>
      <c r="U41" s="940"/>
      <c r="V41" s="940"/>
      <c r="W41" s="940"/>
      <c r="X41" s="940"/>
      <c r="Y41" s="941"/>
      <c r="Z41" s="932"/>
      <c r="AA41" s="967"/>
      <c r="AB41" s="967"/>
      <c r="AC41" s="967"/>
      <c r="AD41" s="967"/>
      <c r="AE41" s="968"/>
    </row>
    <row r="42" spans="1:31" ht="30" customHeight="1" x14ac:dyDescent="0.25">
      <c r="A42" s="935"/>
      <c r="B42" s="937" t="s">
        <v>150</v>
      </c>
      <c r="C42" s="937"/>
      <c r="D42" s="937"/>
      <c r="E42" s="937"/>
      <c r="F42" s="937"/>
      <c r="G42" s="938"/>
      <c r="H42" s="944" t="s">
        <v>150</v>
      </c>
      <c r="I42" s="944"/>
      <c r="J42" s="944"/>
      <c r="K42" s="944"/>
      <c r="L42" s="944"/>
      <c r="M42" s="945"/>
      <c r="N42" s="944" t="s">
        <v>155</v>
      </c>
      <c r="O42" s="944"/>
      <c r="P42" s="944"/>
      <c r="Q42" s="944"/>
      <c r="R42" s="944"/>
      <c r="S42" s="945"/>
      <c r="T42" s="944" t="s">
        <v>155</v>
      </c>
      <c r="U42" s="944"/>
      <c r="V42" s="944"/>
      <c r="W42" s="944"/>
      <c r="X42" s="944"/>
      <c r="Y42" s="945"/>
      <c r="Z42" s="930"/>
      <c r="AA42" s="930"/>
      <c r="AB42" s="930"/>
      <c r="AC42" s="930"/>
      <c r="AD42" s="930"/>
      <c r="AE42" s="931"/>
    </row>
    <row r="43" spans="1:31" ht="30" customHeight="1" x14ac:dyDescent="0.3">
      <c r="A43" s="934" t="s">
        <v>1020</v>
      </c>
      <c r="B43" s="954" t="s">
        <v>1360</v>
      </c>
      <c r="C43" s="956"/>
      <c r="D43" s="956"/>
      <c r="E43" s="956"/>
      <c r="F43" s="956"/>
      <c r="G43" s="957"/>
      <c r="H43" s="954" t="s">
        <v>25</v>
      </c>
      <c r="I43" s="956"/>
      <c r="J43" s="956"/>
      <c r="K43" s="956"/>
      <c r="L43" s="956"/>
      <c r="M43" s="957"/>
      <c r="N43" s="954" t="s">
        <v>50</v>
      </c>
      <c r="O43" s="956"/>
      <c r="P43" s="956"/>
      <c r="Q43" s="956"/>
      <c r="R43" s="956"/>
      <c r="S43" s="957"/>
      <c r="T43" s="954" t="s">
        <v>647</v>
      </c>
      <c r="U43" s="956"/>
      <c r="V43" s="956"/>
      <c r="W43" s="956"/>
      <c r="X43" s="956"/>
      <c r="Y43" s="957"/>
      <c r="Z43" s="954" t="s">
        <v>24</v>
      </c>
      <c r="AA43" s="956"/>
      <c r="AB43" s="956"/>
      <c r="AC43" s="956"/>
      <c r="AD43" s="956"/>
      <c r="AE43" s="957"/>
    </row>
    <row r="44" spans="1:31" ht="30" customHeight="1" x14ac:dyDescent="0.25">
      <c r="A44" s="935"/>
      <c r="B44" s="936" t="s">
        <v>1336</v>
      </c>
      <c r="C44" s="937"/>
      <c r="D44" s="937"/>
      <c r="E44" s="937"/>
      <c r="F44" s="937"/>
      <c r="G44" s="938"/>
      <c r="H44" s="936" t="s">
        <v>561</v>
      </c>
      <c r="I44" s="937"/>
      <c r="J44" s="937"/>
      <c r="K44" s="937"/>
      <c r="L44" s="937"/>
      <c r="M44" s="938"/>
      <c r="N44" s="937" t="s">
        <v>752</v>
      </c>
      <c r="O44" s="937"/>
      <c r="P44" s="937"/>
      <c r="Q44" s="937"/>
      <c r="R44" s="937"/>
      <c r="S44" s="938"/>
      <c r="T44" s="937" t="s">
        <v>164</v>
      </c>
      <c r="U44" s="937"/>
      <c r="V44" s="937"/>
      <c r="W44" s="937"/>
      <c r="X44" s="937"/>
      <c r="Y44" s="938"/>
      <c r="Z44" s="936" t="s">
        <v>148</v>
      </c>
      <c r="AA44" s="937"/>
      <c r="AB44" s="937"/>
      <c r="AC44" s="937"/>
      <c r="AD44" s="937"/>
      <c r="AE44" s="938"/>
    </row>
    <row r="45" spans="1:31" ht="30" customHeight="1" x14ac:dyDescent="0.3">
      <c r="A45" s="934" t="s">
        <v>7</v>
      </c>
      <c r="B45" s="954" t="s">
        <v>1360</v>
      </c>
      <c r="C45" s="956"/>
      <c r="D45" s="956"/>
      <c r="E45" s="956"/>
      <c r="F45" s="956"/>
      <c r="G45" s="957"/>
      <c r="H45" s="954" t="s">
        <v>25</v>
      </c>
      <c r="I45" s="956"/>
      <c r="J45" s="956"/>
      <c r="K45" s="956"/>
      <c r="L45" s="956"/>
      <c r="M45" s="957"/>
      <c r="N45" s="954" t="s">
        <v>50</v>
      </c>
      <c r="O45" s="956"/>
      <c r="P45" s="956"/>
      <c r="Q45" s="956"/>
      <c r="R45" s="956"/>
      <c r="S45" s="957"/>
      <c r="T45" s="954" t="s">
        <v>647</v>
      </c>
      <c r="U45" s="956"/>
      <c r="V45" s="956"/>
      <c r="W45" s="956"/>
      <c r="X45" s="956"/>
      <c r="Y45" s="957"/>
      <c r="Z45" s="954" t="s">
        <v>24</v>
      </c>
      <c r="AA45" s="956"/>
      <c r="AB45" s="956"/>
      <c r="AC45" s="956"/>
      <c r="AD45" s="956"/>
      <c r="AE45" s="957"/>
    </row>
    <row r="46" spans="1:31" ht="30" customHeight="1" x14ac:dyDescent="0.25">
      <c r="A46" s="935"/>
      <c r="B46" s="936" t="s">
        <v>1336</v>
      </c>
      <c r="C46" s="937"/>
      <c r="D46" s="937"/>
      <c r="E46" s="937"/>
      <c r="F46" s="937"/>
      <c r="G46" s="938"/>
      <c r="H46" s="936" t="s">
        <v>561</v>
      </c>
      <c r="I46" s="937"/>
      <c r="J46" s="937"/>
      <c r="K46" s="937"/>
      <c r="L46" s="937"/>
      <c r="M46" s="938"/>
      <c r="N46" s="937" t="s">
        <v>752</v>
      </c>
      <c r="O46" s="937"/>
      <c r="P46" s="937"/>
      <c r="Q46" s="937"/>
      <c r="R46" s="937"/>
      <c r="S46" s="938"/>
      <c r="T46" s="937" t="s">
        <v>164</v>
      </c>
      <c r="U46" s="937"/>
      <c r="V46" s="937"/>
      <c r="W46" s="937"/>
      <c r="X46" s="937"/>
      <c r="Y46" s="938"/>
      <c r="Z46" s="936" t="s">
        <v>148</v>
      </c>
      <c r="AA46" s="937"/>
      <c r="AB46" s="937"/>
      <c r="AC46" s="937"/>
      <c r="AD46" s="937"/>
      <c r="AE46" s="938"/>
    </row>
    <row r="47" spans="1:31" ht="30" customHeight="1" x14ac:dyDescent="0.3">
      <c r="A47" s="934" t="s">
        <v>8</v>
      </c>
      <c r="B47" s="954" t="s">
        <v>1360</v>
      </c>
      <c r="C47" s="956"/>
      <c r="D47" s="956"/>
      <c r="E47" s="956"/>
      <c r="F47" s="956"/>
      <c r="G47" s="957"/>
      <c r="H47" s="932"/>
      <c r="I47" s="967"/>
      <c r="J47" s="967"/>
      <c r="K47" s="967"/>
      <c r="L47" s="967"/>
      <c r="M47" s="968"/>
      <c r="N47" s="939" t="s">
        <v>24</v>
      </c>
      <c r="O47" s="940"/>
      <c r="P47" s="940"/>
      <c r="Q47" s="940"/>
      <c r="R47" s="940"/>
      <c r="S47" s="941"/>
      <c r="T47" s="939" t="s">
        <v>50</v>
      </c>
      <c r="U47" s="940"/>
      <c r="V47" s="940"/>
      <c r="W47" s="940"/>
      <c r="X47" s="940"/>
      <c r="Y47" s="941"/>
      <c r="Z47" s="969" t="s">
        <v>647</v>
      </c>
      <c r="AA47" s="970"/>
      <c r="AB47" s="970"/>
      <c r="AC47" s="970"/>
      <c r="AD47" s="970"/>
      <c r="AE47" s="971"/>
    </row>
    <row r="48" spans="1:31" ht="30" customHeight="1" x14ac:dyDescent="0.25">
      <c r="A48" s="935"/>
      <c r="B48" s="936" t="s">
        <v>1336</v>
      </c>
      <c r="C48" s="937"/>
      <c r="D48" s="937"/>
      <c r="E48" s="937"/>
      <c r="F48" s="937"/>
      <c r="G48" s="938"/>
      <c r="H48" s="943"/>
      <c r="I48" s="930"/>
      <c r="J48" s="930"/>
      <c r="K48" s="930"/>
      <c r="L48" s="930"/>
      <c r="M48" s="931"/>
      <c r="N48" s="944" t="s">
        <v>155</v>
      </c>
      <c r="O48" s="944"/>
      <c r="P48" s="944"/>
      <c r="Q48" s="944"/>
      <c r="R48" s="944"/>
      <c r="S48" s="945"/>
      <c r="T48" s="946" t="s">
        <v>155</v>
      </c>
      <c r="U48" s="944"/>
      <c r="V48" s="944"/>
      <c r="W48" s="944"/>
      <c r="X48" s="944"/>
      <c r="Y48" s="945"/>
      <c r="Z48" s="944" t="s">
        <v>155</v>
      </c>
      <c r="AA48" s="944"/>
      <c r="AB48" s="944"/>
      <c r="AC48" s="944"/>
      <c r="AD48" s="944"/>
      <c r="AE48" s="945"/>
    </row>
    <row r="49" spans="1:31" ht="30" customHeight="1" x14ac:dyDescent="0.3">
      <c r="A49" s="934" t="s">
        <v>9</v>
      </c>
      <c r="B49" s="932"/>
      <c r="C49" s="967"/>
      <c r="D49" s="967"/>
      <c r="E49" s="967"/>
      <c r="F49" s="967"/>
      <c r="G49" s="968"/>
      <c r="H49" s="932"/>
      <c r="I49" s="932"/>
      <c r="J49" s="932"/>
      <c r="K49" s="932"/>
      <c r="L49" s="932"/>
      <c r="M49" s="933"/>
      <c r="N49" s="939" t="s">
        <v>24</v>
      </c>
      <c r="O49" s="940"/>
      <c r="P49" s="940"/>
      <c r="Q49" s="940"/>
      <c r="R49" s="940"/>
      <c r="S49" s="941"/>
      <c r="T49" s="420"/>
      <c r="U49" s="20"/>
      <c r="V49" s="20"/>
      <c r="W49" s="20"/>
      <c r="X49" s="20"/>
      <c r="Y49" s="20"/>
      <c r="Z49" s="942" t="s">
        <v>647</v>
      </c>
      <c r="AA49" s="940"/>
      <c r="AB49" s="940"/>
      <c r="AC49" s="940"/>
      <c r="AD49" s="940"/>
      <c r="AE49" s="941"/>
    </row>
    <row r="50" spans="1:31" ht="30" customHeight="1" x14ac:dyDescent="0.25">
      <c r="A50" s="935"/>
      <c r="B50" s="943"/>
      <c r="C50" s="930"/>
      <c r="D50" s="930"/>
      <c r="E50" s="930"/>
      <c r="F50" s="930"/>
      <c r="G50" s="931"/>
      <c r="H50" s="930"/>
      <c r="I50" s="930"/>
      <c r="J50" s="930"/>
      <c r="K50" s="930"/>
      <c r="L50" s="930"/>
      <c r="M50" s="931"/>
      <c r="N50" s="944" t="s">
        <v>155</v>
      </c>
      <c r="O50" s="944"/>
      <c r="P50" s="944"/>
      <c r="Q50" s="944"/>
      <c r="R50" s="944"/>
      <c r="S50" s="945"/>
      <c r="T50" s="421"/>
      <c r="U50" s="20"/>
      <c r="V50" s="20"/>
      <c r="W50" s="20"/>
      <c r="X50" s="20"/>
      <c r="Y50" s="20"/>
      <c r="Z50" s="946" t="s">
        <v>155</v>
      </c>
      <c r="AA50" s="944"/>
      <c r="AB50" s="944"/>
      <c r="AC50" s="944"/>
      <c r="AD50" s="944"/>
      <c r="AE50" s="945"/>
    </row>
    <row r="51" spans="1:31" ht="41.25" customHeight="1" x14ac:dyDescent="0.25">
      <c r="R51" s="332"/>
      <c r="U51" s="332"/>
      <c r="V51" s="332"/>
      <c r="W51" s="332"/>
      <c r="X51" s="332"/>
      <c r="Y51" s="332"/>
    </row>
    <row r="52" spans="1:31" ht="18.75" customHeight="1" x14ac:dyDescent="0.25">
      <c r="A52" s="736" t="s">
        <v>218</v>
      </c>
      <c r="B52" s="737"/>
      <c r="C52" s="952" t="str">
        <f>ASIGNATURAS!I264</f>
        <v>Ampliación de Cálculo y Geometría</v>
      </c>
      <c r="D52" s="952"/>
      <c r="E52" s="952"/>
      <c r="F52" s="952"/>
      <c r="G52" s="952"/>
      <c r="H52" s="952"/>
      <c r="I52" s="952"/>
      <c r="J52" s="952"/>
      <c r="K52" s="952"/>
      <c r="L52" s="168"/>
      <c r="M52" s="950" t="s">
        <v>629</v>
      </c>
      <c r="N52" s="951"/>
      <c r="O52" s="952" t="s">
        <v>143</v>
      </c>
      <c r="P52" s="953"/>
      <c r="Q52" s="952" t="s">
        <v>167</v>
      </c>
      <c r="R52" s="952"/>
      <c r="S52" s="952"/>
      <c r="T52" s="952"/>
      <c r="U52" s="952"/>
      <c r="V52" s="952"/>
      <c r="W52" s="952"/>
      <c r="X52" s="952"/>
      <c r="Y52" s="952"/>
      <c r="Z52" s="952"/>
      <c r="AA52" s="952"/>
      <c r="AB52" s="952"/>
      <c r="AC52" s="952"/>
      <c r="AD52" s="952"/>
      <c r="AE52" s="953"/>
    </row>
    <row r="53" spans="1:31" ht="15" customHeight="1" x14ac:dyDescent="0.25">
      <c r="A53" s="1016" t="s">
        <v>929</v>
      </c>
      <c r="B53" s="1017"/>
      <c r="C53" s="947" t="str">
        <f>ASIGNATURAS!I264</f>
        <v>Ampliación de Cálculo y Geometría</v>
      </c>
      <c r="D53" s="948"/>
      <c r="E53" s="948"/>
      <c r="F53" s="948"/>
      <c r="G53" s="948"/>
      <c r="H53" s="948"/>
      <c r="I53" s="948"/>
      <c r="J53" s="948"/>
      <c r="K53" s="948"/>
      <c r="L53" s="948"/>
      <c r="M53" s="972">
        <v>7716</v>
      </c>
      <c r="N53" s="972"/>
      <c r="O53" s="1013">
        <v>6</v>
      </c>
      <c r="P53" s="1014"/>
      <c r="Q53" s="982" t="str">
        <f>ASIGNATURAS!K264</f>
        <v>Leticia Sainz</v>
      </c>
      <c r="R53" s="983"/>
      <c r="S53" s="983"/>
      <c r="T53" s="983"/>
      <c r="U53" s="983"/>
      <c r="V53" s="983"/>
      <c r="W53" s="983"/>
      <c r="X53" s="983"/>
      <c r="Y53" s="983"/>
      <c r="Z53" s="983"/>
      <c r="AA53" s="983"/>
      <c r="AB53" s="983"/>
      <c r="AC53" s="983"/>
      <c r="AD53" s="983"/>
      <c r="AE53" s="983"/>
    </row>
    <row r="54" spans="1:31" ht="14.25" customHeight="1" x14ac:dyDescent="0.25">
      <c r="A54" s="1016" t="s">
        <v>949</v>
      </c>
      <c r="B54" s="1017"/>
      <c r="C54" s="947" t="str">
        <f>ASIGNATURAS!I265</f>
        <v>Informática Básica</v>
      </c>
      <c r="D54" s="948"/>
      <c r="E54" s="948"/>
      <c r="F54" s="948"/>
      <c r="G54" s="948"/>
      <c r="H54" s="948"/>
      <c r="I54" s="948"/>
      <c r="J54" s="948"/>
      <c r="K54" s="948"/>
      <c r="L54" s="948"/>
      <c r="M54" s="972">
        <v>7717</v>
      </c>
      <c r="N54" s="972"/>
      <c r="O54" s="981">
        <v>6</v>
      </c>
      <c r="P54" s="972"/>
      <c r="Q54" s="982" t="str">
        <f>ASIGNATURAS!K265</f>
        <v>Ángel Arroyo</v>
      </c>
      <c r="R54" s="983"/>
      <c r="S54" s="983"/>
      <c r="T54" s="983"/>
      <c r="U54" s="983"/>
      <c r="V54" s="983"/>
      <c r="W54" s="983"/>
      <c r="X54" s="983"/>
      <c r="Y54" s="983"/>
      <c r="Z54" s="983"/>
      <c r="AA54" s="983"/>
      <c r="AB54" s="983"/>
      <c r="AC54" s="983"/>
      <c r="AD54" s="983"/>
      <c r="AE54" s="983"/>
    </row>
    <row r="55" spans="1:31" ht="15" x14ac:dyDescent="0.25">
      <c r="A55" s="1016" t="s">
        <v>943</v>
      </c>
      <c r="B55" s="1017"/>
      <c r="C55" s="947" t="str">
        <f>ASIGNATURAS!I266</f>
        <v>Física II</v>
      </c>
      <c r="D55" s="948"/>
      <c r="E55" s="948"/>
      <c r="F55" s="948"/>
      <c r="G55" s="948"/>
      <c r="H55" s="948"/>
      <c r="I55" s="948"/>
      <c r="J55" s="948"/>
      <c r="K55" s="948"/>
      <c r="L55" s="948"/>
      <c r="M55" s="972">
        <v>7718</v>
      </c>
      <c r="N55" s="972"/>
      <c r="O55" s="981">
        <v>6</v>
      </c>
      <c r="P55" s="972"/>
      <c r="Q55" s="982" t="str">
        <f>ASIGNATURAS!K266</f>
        <v>Mª Felicidad Bogalo Román</v>
      </c>
      <c r="R55" s="983"/>
      <c r="S55" s="983"/>
      <c r="T55" s="983"/>
      <c r="U55" s="983"/>
      <c r="V55" s="983"/>
      <c r="W55" s="983"/>
      <c r="X55" s="983"/>
      <c r="Y55" s="983"/>
      <c r="Z55" s="983"/>
      <c r="AA55" s="983"/>
      <c r="AB55" s="983"/>
      <c r="AC55" s="983"/>
      <c r="AD55" s="983"/>
      <c r="AE55" s="983"/>
    </row>
    <row r="56" spans="1:31" ht="15" customHeight="1" x14ac:dyDescent="0.25">
      <c r="A56" s="1016" t="s">
        <v>647</v>
      </c>
      <c r="B56" s="1017"/>
      <c r="C56" s="947" t="str">
        <f>ASIGNATURAS!I267</f>
        <v>Ciencia de Materiales, Estrucutura y Propiedades</v>
      </c>
      <c r="D56" s="948"/>
      <c r="E56" s="948"/>
      <c r="F56" s="948"/>
      <c r="G56" s="948"/>
      <c r="H56" s="948"/>
      <c r="I56" s="948"/>
      <c r="J56" s="948"/>
      <c r="K56" s="948"/>
      <c r="L56" s="948"/>
      <c r="M56" s="972">
        <v>7719</v>
      </c>
      <c r="N56" s="972"/>
      <c r="O56" s="981">
        <v>6</v>
      </c>
      <c r="P56" s="972"/>
      <c r="Q56" s="982" t="str">
        <f>ASIGNATURAS!K267</f>
        <v>Mónica Preciado Calzada, José Ángel Zapatero</v>
      </c>
      <c r="R56" s="983"/>
      <c r="S56" s="983"/>
      <c r="T56" s="983"/>
      <c r="U56" s="983"/>
      <c r="V56" s="983"/>
      <c r="W56" s="983"/>
      <c r="X56" s="983"/>
      <c r="Y56" s="983"/>
      <c r="Z56" s="983"/>
      <c r="AA56" s="983"/>
      <c r="AB56" s="983"/>
      <c r="AC56" s="983"/>
      <c r="AD56" s="983"/>
      <c r="AE56" s="983"/>
    </row>
    <row r="57" spans="1:31" ht="16.5" customHeight="1" x14ac:dyDescent="0.25">
      <c r="A57" s="1016" t="s">
        <v>937</v>
      </c>
      <c r="B57" s="1017"/>
      <c r="C57" s="947" t="str">
        <f>ASIGNATURAS!I268</f>
        <v>Economía de la Empresa</v>
      </c>
      <c r="D57" s="948"/>
      <c r="E57" s="948"/>
      <c r="F57" s="948"/>
      <c r="G57" s="948"/>
      <c r="H57" s="948"/>
      <c r="I57" s="948"/>
      <c r="J57" s="948"/>
      <c r="K57" s="948"/>
      <c r="L57" s="948"/>
      <c r="M57" s="972">
        <v>7720</v>
      </c>
      <c r="N57" s="972"/>
      <c r="O57" s="981">
        <v>6</v>
      </c>
      <c r="P57" s="972"/>
      <c r="Q57" s="982" t="str">
        <f>ASIGNATURAS!K268</f>
        <v>Mª Teresa Peña Pérez</v>
      </c>
      <c r="R57" s="983"/>
      <c r="S57" s="983"/>
      <c r="T57" s="983"/>
      <c r="U57" s="983"/>
      <c r="V57" s="983"/>
      <c r="W57" s="983"/>
      <c r="X57" s="983"/>
      <c r="Y57" s="983"/>
      <c r="Z57" s="983"/>
      <c r="AA57" s="983"/>
      <c r="AB57" s="983"/>
      <c r="AC57" s="983"/>
      <c r="AD57" s="983"/>
      <c r="AE57" s="983"/>
    </row>
    <row r="58" spans="1:31" ht="15" customHeight="1" x14ac:dyDescent="0.25">
      <c r="A58" s="1016" t="s">
        <v>941</v>
      </c>
      <c r="B58" s="1017"/>
      <c r="C58" s="947" t="str">
        <f>ASIGNATURAS!I269</f>
        <v>Expresión Gráfica II</v>
      </c>
      <c r="D58" s="948"/>
      <c r="E58" s="948"/>
      <c r="F58" s="948"/>
      <c r="G58" s="948"/>
      <c r="H58" s="948"/>
      <c r="I58" s="948"/>
      <c r="J58" s="948"/>
      <c r="K58" s="948"/>
      <c r="L58" s="948"/>
      <c r="M58" s="972">
        <v>7721</v>
      </c>
      <c r="N58" s="972"/>
      <c r="O58" s="981">
        <v>6</v>
      </c>
      <c r="P58" s="972"/>
      <c r="Q58" s="982" t="str">
        <f>ASIGNATURAS!K269</f>
        <v>Arturo de Roman Miguel, Esteban García Maté</v>
      </c>
      <c r="R58" s="983"/>
      <c r="S58" s="983"/>
      <c r="T58" s="983"/>
      <c r="U58" s="983"/>
      <c r="V58" s="983"/>
      <c r="W58" s="983"/>
      <c r="X58" s="983"/>
      <c r="Y58" s="983"/>
      <c r="Z58" s="983"/>
      <c r="AA58" s="983"/>
      <c r="AB58" s="983"/>
      <c r="AC58" s="983"/>
      <c r="AD58" s="983"/>
      <c r="AE58" s="983"/>
    </row>
    <row r="60" spans="1:31" ht="24" customHeight="1" x14ac:dyDescent="0.25">
      <c r="A60" s="730" t="s">
        <v>1044</v>
      </c>
      <c r="B60" s="731"/>
      <c r="C60" s="731"/>
      <c r="D60" s="731"/>
      <c r="E60" s="732"/>
    </row>
    <row r="61" spans="1:31" ht="24" customHeight="1" x14ac:dyDescent="0.25">
      <c r="A61" s="738" t="s">
        <v>1045</v>
      </c>
      <c r="B61" s="739"/>
      <c r="C61" s="739"/>
      <c r="D61" s="739"/>
      <c r="E61" s="740"/>
    </row>
    <row r="63" spans="1:31" x14ac:dyDescent="0.25">
      <c r="A63" s="25" t="s">
        <v>217</v>
      </c>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row>
    <row r="64" spans="1:31" x14ac:dyDescent="0.25">
      <c r="A64" s="25"/>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row>
    <row r="65" spans="1:34" x14ac:dyDescent="0.25">
      <c r="A65" s="25"/>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row>
    <row r="66" spans="1:34" x14ac:dyDescent="0.25">
      <c r="A66" s="25"/>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row>
    <row r="67" spans="1:34" x14ac:dyDescent="0.25">
      <c r="A67" s="25"/>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row>
    <row r="68" spans="1:34" s="1" customFormat="1" ht="60.75" customHeight="1" x14ac:dyDescent="0.4">
      <c r="A68" s="974" t="s">
        <v>638</v>
      </c>
      <c r="B68" s="975"/>
      <c r="C68" s="975"/>
      <c r="D68" s="975"/>
      <c r="E68" s="975"/>
      <c r="F68" s="975"/>
      <c r="G68" s="975"/>
      <c r="H68" s="975"/>
      <c r="I68" s="975"/>
      <c r="J68" s="975"/>
      <c r="K68" s="975"/>
      <c r="L68" s="975"/>
      <c r="M68" s="975"/>
      <c r="N68" s="975"/>
      <c r="O68" s="975"/>
      <c r="P68" s="975"/>
      <c r="Q68" s="975"/>
      <c r="R68" s="975"/>
      <c r="S68" s="975"/>
      <c r="T68" s="975"/>
      <c r="U68" s="975"/>
      <c r="V68" s="975"/>
      <c r="W68" s="975"/>
      <c r="X68" s="975"/>
      <c r="Y68" s="976"/>
      <c r="Z68" s="988" t="str">
        <f>Aulas!G5</f>
        <v>Curso 2024-2025</v>
      </c>
      <c r="AA68" s="988"/>
      <c r="AB68" s="988"/>
      <c r="AC68" s="988"/>
      <c r="AD68" s="988"/>
      <c r="AE68" s="989"/>
    </row>
    <row r="69" spans="1:34" s="8" customFormat="1" ht="23.25" customHeight="1" x14ac:dyDescent="0.4">
      <c r="A69" s="960" t="s">
        <v>1058</v>
      </c>
      <c r="B69" s="961"/>
      <c r="C69" s="961"/>
      <c r="D69" s="961"/>
      <c r="E69" s="961"/>
      <c r="F69" s="961"/>
      <c r="G69" s="961"/>
      <c r="H69" s="961"/>
      <c r="I69" s="961"/>
      <c r="J69" s="961"/>
      <c r="K69" s="961"/>
      <c r="L69" s="961"/>
      <c r="M69" s="961"/>
      <c r="N69" s="961"/>
      <c r="O69" s="961"/>
      <c r="P69" s="961"/>
      <c r="Q69" s="961"/>
      <c r="R69" s="961"/>
      <c r="S69" s="961"/>
      <c r="T69" s="961"/>
      <c r="U69" s="961"/>
      <c r="V69" s="961"/>
      <c r="W69" s="961"/>
      <c r="X69" s="961"/>
      <c r="Y69" s="962"/>
      <c r="Z69" s="984" t="s">
        <v>161</v>
      </c>
      <c r="AA69" s="984"/>
      <c r="AB69" s="984"/>
      <c r="AC69" s="984"/>
      <c r="AD69" s="984"/>
      <c r="AE69" s="985"/>
    </row>
    <row r="70" spans="1:34" s="8" customFormat="1" ht="23.25" customHeight="1" x14ac:dyDescent="0.4">
      <c r="A70" s="963" t="s">
        <v>142</v>
      </c>
      <c r="B70" s="964"/>
      <c r="C70" s="964"/>
      <c r="D70" s="964"/>
      <c r="E70" s="964"/>
      <c r="F70" s="964"/>
      <c r="G70" s="964"/>
      <c r="H70" s="964"/>
      <c r="I70" s="964"/>
      <c r="J70" s="964"/>
      <c r="K70" s="964"/>
      <c r="L70" s="964"/>
      <c r="M70" s="964"/>
      <c r="N70" s="964"/>
      <c r="O70" s="964"/>
      <c r="P70" s="964"/>
      <c r="Q70" s="964"/>
      <c r="R70" s="964"/>
      <c r="S70" s="964"/>
      <c r="T70" s="964"/>
      <c r="U70" s="964"/>
      <c r="V70" s="964"/>
      <c r="W70" s="964"/>
      <c r="X70" s="964"/>
      <c r="Y70" s="965"/>
      <c r="Z70" s="986"/>
      <c r="AA70" s="986"/>
      <c r="AB70" s="986"/>
      <c r="AC70" s="986"/>
      <c r="AD70" s="986"/>
      <c r="AE70" s="987"/>
    </row>
    <row r="71" spans="1:34" ht="38.25" customHeight="1" x14ac:dyDescent="0.25">
      <c r="A71" s="23" t="s">
        <v>707</v>
      </c>
    </row>
    <row r="72" spans="1:34" s="2" customFormat="1" ht="24" customHeight="1" thickBot="1" x14ac:dyDescent="0.3">
      <c r="A72" s="167" t="s">
        <v>1</v>
      </c>
      <c r="B72" s="988" t="s">
        <v>2</v>
      </c>
      <c r="C72" s="988"/>
      <c r="D72" s="988"/>
      <c r="E72" s="988"/>
      <c r="F72" s="988"/>
      <c r="G72" s="989"/>
      <c r="H72" s="988" t="s">
        <v>3</v>
      </c>
      <c r="I72" s="988"/>
      <c r="J72" s="988"/>
      <c r="K72" s="988"/>
      <c r="L72" s="988"/>
      <c r="M72" s="989"/>
      <c r="N72" s="988" t="s">
        <v>139</v>
      </c>
      <c r="O72" s="988"/>
      <c r="P72" s="988"/>
      <c r="Q72" s="988"/>
      <c r="R72" s="988"/>
      <c r="S72" s="989"/>
      <c r="T72" s="988" t="s">
        <v>4</v>
      </c>
      <c r="U72" s="988"/>
      <c r="V72" s="988"/>
      <c r="W72" s="988"/>
      <c r="X72" s="988"/>
      <c r="Y72" s="989"/>
      <c r="Z72" s="988" t="s">
        <v>5</v>
      </c>
      <c r="AA72" s="988"/>
      <c r="AB72" s="988"/>
      <c r="AC72" s="988"/>
      <c r="AD72" s="988"/>
      <c r="AE72" s="989"/>
    </row>
    <row r="73" spans="1:34" ht="30" customHeight="1" x14ac:dyDescent="0.3">
      <c r="A73" s="966" t="s">
        <v>10</v>
      </c>
      <c r="B73" s="932"/>
      <c r="C73" s="932"/>
      <c r="D73" s="932"/>
      <c r="E73" s="932"/>
      <c r="F73" s="932"/>
      <c r="G73" s="933"/>
      <c r="H73" s="939" t="s">
        <v>28</v>
      </c>
      <c r="I73" s="939"/>
      <c r="J73" s="939"/>
      <c r="K73" s="939"/>
      <c r="L73" s="939"/>
      <c r="M73" s="949"/>
      <c r="N73" s="932"/>
      <c r="O73" s="932"/>
      <c r="P73" s="932"/>
      <c r="Q73" s="932"/>
      <c r="R73" s="932"/>
      <c r="S73" s="933"/>
      <c r="T73" s="939" t="s">
        <v>28</v>
      </c>
      <c r="U73" s="939"/>
      <c r="V73" s="939"/>
      <c r="W73" s="939"/>
      <c r="X73" s="939"/>
      <c r="Y73" s="949"/>
      <c r="Z73" s="939" t="s">
        <v>120</v>
      </c>
      <c r="AA73" s="939"/>
      <c r="AB73" s="939"/>
      <c r="AC73" s="939"/>
      <c r="AD73" s="939"/>
      <c r="AE73" s="949"/>
      <c r="AH73" s="410"/>
    </row>
    <row r="74" spans="1:34" ht="30" customHeight="1" x14ac:dyDescent="0.25">
      <c r="A74" s="935"/>
      <c r="B74" s="930"/>
      <c r="C74" s="930"/>
      <c r="D74" s="930"/>
      <c r="E74" s="930"/>
      <c r="F74" s="930"/>
      <c r="G74" s="931"/>
      <c r="H74" s="944" t="s">
        <v>161</v>
      </c>
      <c r="I74" s="944"/>
      <c r="J74" s="944"/>
      <c r="K74" s="944"/>
      <c r="L74" s="944"/>
      <c r="M74" s="945"/>
      <c r="N74" s="930"/>
      <c r="O74" s="930"/>
      <c r="P74" s="930"/>
      <c r="Q74" s="930"/>
      <c r="R74" s="930"/>
      <c r="S74" s="931"/>
      <c r="T74" s="944" t="s">
        <v>161</v>
      </c>
      <c r="U74" s="944"/>
      <c r="V74" s="944"/>
      <c r="W74" s="944"/>
      <c r="X74" s="944"/>
      <c r="Y74" s="945"/>
      <c r="Z74" s="944" t="s">
        <v>161</v>
      </c>
      <c r="AA74" s="944"/>
      <c r="AB74" s="944"/>
      <c r="AC74" s="944"/>
      <c r="AD74" s="944"/>
      <c r="AE74" s="945"/>
    </row>
    <row r="75" spans="1:34" ht="30" customHeight="1" x14ac:dyDescent="0.3">
      <c r="A75" s="934" t="s">
        <v>1019</v>
      </c>
      <c r="B75" s="939" t="s">
        <v>1377</v>
      </c>
      <c r="C75" s="939"/>
      <c r="D75" s="939"/>
      <c r="E75" s="939"/>
      <c r="F75" s="939"/>
      <c r="G75" s="949"/>
      <c r="H75" s="939" t="s">
        <v>1377</v>
      </c>
      <c r="I75" s="939"/>
      <c r="J75" s="939"/>
      <c r="K75" s="939"/>
      <c r="L75" s="939"/>
      <c r="M75" s="949"/>
      <c r="N75" s="932"/>
      <c r="O75" s="932"/>
      <c r="P75" s="932"/>
      <c r="Q75" s="932"/>
      <c r="R75" s="932"/>
      <c r="S75" s="933"/>
      <c r="T75" s="954" t="s">
        <v>28</v>
      </c>
      <c r="U75" s="954"/>
      <c r="V75" s="954"/>
      <c r="W75" s="954"/>
      <c r="X75" s="954"/>
      <c r="Y75" s="955"/>
      <c r="Z75" s="990" t="s">
        <v>1359</v>
      </c>
      <c r="AA75" s="990"/>
      <c r="AB75" s="990"/>
      <c r="AC75" s="990"/>
      <c r="AD75" s="990"/>
      <c r="AE75" s="991"/>
    </row>
    <row r="76" spans="1:34" ht="30" customHeight="1" x14ac:dyDescent="0.25">
      <c r="A76" s="935"/>
      <c r="B76" s="944" t="s">
        <v>161</v>
      </c>
      <c r="C76" s="944"/>
      <c r="D76" s="944"/>
      <c r="E76" s="944"/>
      <c r="F76" s="944"/>
      <c r="G76" s="945"/>
      <c r="H76" s="944" t="s">
        <v>161</v>
      </c>
      <c r="I76" s="944"/>
      <c r="J76" s="944"/>
      <c r="K76" s="944"/>
      <c r="L76" s="944"/>
      <c r="M76" s="945"/>
      <c r="N76" s="930"/>
      <c r="O76" s="930"/>
      <c r="P76" s="930"/>
      <c r="Q76" s="930"/>
      <c r="R76" s="930"/>
      <c r="S76" s="931"/>
      <c r="T76" s="937" t="s">
        <v>163</v>
      </c>
      <c r="U76" s="937"/>
      <c r="V76" s="937"/>
      <c r="W76" s="937"/>
      <c r="X76" s="937"/>
      <c r="Y76" s="938"/>
      <c r="Z76" s="958" t="s">
        <v>1349</v>
      </c>
      <c r="AA76" s="958"/>
      <c r="AB76" s="958"/>
      <c r="AC76" s="958"/>
      <c r="AD76" s="958"/>
      <c r="AE76" s="959"/>
    </row>
    <row r="77" spans="1:34" ht="30" customHeight="1" x14ac:dyDescent="0.3">
      <c r="A77" s="934" t="s">
        <v>1020</v>
      </c>
      <c r="B77" s="954" t="s">
        <v>1377</v>
      </c>
      <c r="C77" s="954"/>
      <c r="D77" s="954"/>
      <c r="E77" s="954"/>
      <c r="F77" s="954"/>
      <c r="G77" s="955"/>
      <c r="H77" s="939" t="s">
        <v>120</v>
      </c>
      <c r="I77" s="939"/>
      <c r="J77" s="939"/>
      <c r="K77" s="939"/>
      <c r="L77" s="939"/>
      <c r="M77" s="949"/>
      <c r="N77" s="932"/>
      <c r="O77" s="932"/>
      <c r="P77" s="932"/>
      <c r="Q77" s="932"/>
      <c r="R77" s="932"/>
      <c r="S77" s="933"/>
      <c r="T77" s="954" t="s">
        <v>950</v>
      </c>
      <c r="U77" s="954"/>
      <c r="V77" s="954"/>
      <c r="W77" s="954"/>
      <c r="X77" s="954"/>
      <c r="Y77" s="955"/>
      <c r="Z77" s="990" t="s">
        <v>1359</v>
      </c>
      <c r="AA77" s="990"/>
      <c r="AB77" s="990"/>
      <c r="AC77" s="990"/>
      <c r="AD77" s="990"/>
      <c r="AE77" s="991"/>
    </row>
    <row r="78" spans="1:34" ht="30" customHeight="1" x14ac:dyDescent="0.25">
      <c r="A78" s="935"/>
      <c r="B78" s="937" t="s">
        <v>1384</v>
      </c>
      <c r="C78" s="937"/>
      <c r="D78" s="937"/>
      <c r="E78" s="937"/>
      <c r="F78" s="937"/>
      <c r="G78" s="938"/>
      <c r="H78" s="944" t="s">
        <v>161</v>
      </c>
      <c r="I78" s="944"/>
      <c r="J78" s="944"/>
      <c r="K78" s="944"/>
      <c r="L78" s="944"/>
      <c r="M78" s="945"/>
      <c r="N78" s="930"/>
      <c r="O78" s="930"/>
      <c r="P78" s="930"/>
      <c r="Q78" s="930"/>
      <c r="R78" s="930"/>
      <c r="S78" s="931"/>
      <c r="T78" s="937" t="s">
        <v>163</v>
      </c>
      <c r="U78" s="937"/>
      <c r="V78" s="937"/>
      <c r="W78" s="937"/>
      <c r="X78" s="937"/>
      <c r="Y78" s="938"/>
      <c r="Z78" s="958" t="s">
        <v>1349</v>
      </c>
      <c r="AA78" s="958"/>
      <c r="AB78" s="958"/>
      <c r="AC78" s="958"/>
      <c r="AD78" s="958"/>
      <c r="AE78" s="959"/>
    </row>
    <row r="79" spans="1:34" ht="30" customHeight="1" x14ac:dyDescent="0.3">
      <c r="A79" s="934" t="s">
        <v>7</v>
      </c>
      <c r="B79" s="954" t="s">
        <v>1377</v>
      </c>
      <c r="C79" s="954"/>
      <c r="D79" s="954"/>
      <c r="E79" s="954"/>
      <c r="F79" s="954"/>
      <c r="G79" s="955"/>
      <c r="H79" s="939" t="s">
        <v>1359</v>
      </c>
      <c r="I79" s="939"/>
      <c r="J79" s="939"/>
      <c r="K79" s="939"/>
      <c r="L79" s="939"/>
      <c r="M79" s="949"/>
      <c r="N79" s="939" t="s">
        <v>628</v>
      </c>
      <c r="O79" s="939"/>
      <c r="P79" s="939"/>
      <c r="Q79" s="939"/>
      <c r="R79" s="939"/>
      <c r="S79" s="949"/>
      <c r="T79" s="932"/>
      <c r="U79" s="932"/>
      <c r="V79" s="932"/>
      <c r="W79" s="932"/>
      <c r="X79" s="932"/>
      <c r="Y79" s="933"/>
      <c r="Z79" s="954" t="s">
        <v>120</v>
      </c>
      <c r="AA79" s="954"/>
      <c r="AB79" s="954"/>
      <c r="AC79" s="954"/>
      <c r="AD79" s="954"/>
      <c r="AE79" s="955"/>
    </row>
    <row r="80" spans="1:34" ht="30" customHeight="1" x14ac:dyDescent="0.25">
      <c r="A80" s="935"/>
      <c r="B80" s="937" t="s">
        <v>1384</v>
      </c>
      <c r="C80" s="937"/>
      <c r="D80" s="937"/>
      <c r="E80" s="937"/>
      <c r="F80" s="937"/>
      <c r="G80" s="938"/>
      <c r="H80" s="944" t="s">
        <v>161</v>
      </c>
      <c r="I80" s="944"/>
      <c r="J80" s="944"/>
      <c r="K80" s="944"/>
      <c r="L80" s="944"/>
      <c r="M80" s="945"/>
      <c r="N80" s="944" t="s">
        <v>161</v>
      </c>
      <c r="O80" s="944"/>
      <c r="P80" s="944"/>
      <c r="Q80" s="944"/>
      <c r="R80" s="944"/>
      <c r="S80" s="945"/>
      <c r="T80" s="930"/>
      <c r="U80" s="930"/>
      <c r="V80" s="930"/>
      <c r="W80" s="930"/>
      <c r="X80" s="930"/>
      <c r="Y80" s="931"/>
      <c r="Z80" s="937" t="s">
        <v>487</v>
      </c>
      <c r="AA80" s="937"/>
      <c r="AB80" s="937"/>
      <c r="AC80" s="937"/>
      <c r="AD80" s="937"/>
      <c r="AE80" s="938"/>
    </row>
    <row r="81" spans="1:34" ht="30" customHeight="1" x14ac:dyDescent="0.3">
      <c r="A81" s="934" t="s">
        <v>8</v>
      </c>
      <c r="B81" s="939" t="s">
        <v>1359</v>
      </c>
      <c r="C81" s="939"/>
      <c r="D81" s="939"/>
      <c r="E81" s="939"/>
      <c r="F81" s="939"/>
      <c r="G81" s="949"/>
      <c r="H81" s="977" t="s">
        <v>1359</v>
      </c>
      <c r="I81" s="977"/>
      <c r="J81" s="977"/>
      <c r="K81" s="977"/>
      <c r="L81" s="977"/>
      <c r="M81" s="978"/>
      <c r="N81" s="954" t="s">
        <v>628</v>
      </c>
      <c r="O81" s="954"/>
      <c r="P81" s="954"/>
      <c r="Q81" s="954"/>
      <c r="R81" s="954"/>
      <c r="S81" s="955"/>
      <c r="T81" s="932"/>
      <c r="U81" s="932"/>
      <c r="V81" s="932"/>
      <c r="W81" s="932"/>
      <c r="X81" s="932"/>
      <c r="Y81" s="933"/>
      <c r="Z81" s="954" t="s">
        <v>120</v>
      </c>
      <c r="AA81" s="954"/>
      <c r="AB81" s="954"/>
      <c r="AC81" s="954"/>
      <c r="AD81" s="954"/>
      <c r="AE81" s="955"/>
    </row>
    <row r="82" spans="1:34" ht="30" customHeight="1" x14ac:dyDescent="0.25">
      <c r="A82" s="935"/>
      <c r="B82" s="944" t="s">
        <v>161</v>
      </c>
      <c r="C82" s="944"/>
      <c r="D82" s="944"/>
      <c r="E82" s="944"/>
      <c r="F82" s="944"/>
      <c r="G82" s="945"/>
      <c r="H82" s="979" t="s">
        <v>1349</v>
      </c>
      <c r="I82" s="979"/>
      <c r="J82" s="979"/>
      <c r="K82" s="979"/>
      <c r="L82" s="979"/>
      <c r="M82" s="980"/>
      <c r="N82" s="936" t="s">
        <v>1350</v>
      </c>
      <c r="O82" s="937"/>
      <c r="P82" s="937"/>
      <c r="Q82" s="937"/>
      <c r="R82" s="937"/>
      <c r="S82" s="938"/>
      <c r="T82" s="930"/>
      <c r="U82" s="930"/>
      <c r="V82" s="930"/>
      <c r="W82" s="930"/>
      <c r="X82" s="930"/>
      <c r="Y82" s="931"/>
      <c r="Z82" s="937" t="s">
        <v>487</v>
      </c>
      <c r="AA82" s="937"/>
      <c r="AB82" s="937"/>
      <c r="AC82" s="937"/>
      <c r="AD82" s="937"/>
      <c r="AE82" s="938"/>
    </row>
    <row r="83" spans="1:34" ht="30" customHeight="1" x14ac:dyDescent="0.3">
      <c r="A83" s="934" t="s">
        <v>9</v>
      </c>
      <c r="B83" s="939" t="s">
        <v>628</v>
      </c>
      <c r="C83" s="939"/>
      <c r="D83" s="939"/>
      <c r="E83" s="939"/>
      <c r="F83" s="939"/>
      <c r="G83" s="949"/>
      <c r="H83" s="977" t="s">
        <v>1359</v>
      </c>
      <c r="I83" s="977"/>
      <c r="J83" s="977"/>
      <c r="K83" s="977"/>
      <c r="L83" s="977"/>
      <c r="M83" s="978"/>
      <c r="N83" s="954" t="s">
        <v>628</v>
      </c>
      <c r="O83" s="954"/>
      <c r="P83" s="954"/>
      <c r="Q83" s="954"/>
      <c r="R83" s="954"/>
      <c r="S83" s="955"/>
      <c r="T83" s="932"/>
      <c r="U83" s="932"/>
      <c r="V83" s="932"/>
      <c r="W83" s="932"/>
      <c r="X83" s="932"/>
      <c r="Y83" s="933"/>
      <c r="Z83" s="932"/>
      <c r="AA83" s="932"/>
      <c r="AB83" s="932"/>
      <c r="AC83" s="932"/>
      <c r="AD83" s="932"/>
      <c r="AE83" s="933"/>
    </row>
    <row r="84" spans="1:34" ht="30" customHeight="1" x14ac:dyDescent="0.25">
      <c r="A84" s="935"/>
      <c r="B84" s="944" t="s">
        <v>161</v>
      </c>
      <c r="C84" s="944"/>
      <c r="D84" s="944"/>
      <c r="E84" s="944"/>
      <c r="F84" s="944"/>
      <c r="G84" s="945"/>
      <c r="H84" s="979" t="s">
        <v>1349</v>
      </c>
      <c r="I84" s="979"/>
      <c r="J84" s="979"/>
      <c r="K84" s="979"/>
      <c r="L84" s="979"/>
      <c r="M84" s="980"/>
      <c r="N84" s="937" t="s">
        <v>1350</v>
      </c>
      <c r="O84" s="937"/>
      <c r="P84" s="937"/>
      <c r="Q84" s="937"/>
      <c r="R84" s="937"/>
      <c r="S84" s="938"/>
      <c r="T84" s="930"/>
      <c r="U84" s="930"/>
      <c r="V84" s="930"/>
      <c r="W84" s="930"/>
      <c r="X84" s="930"/>
      <c r="Y84" s="931"/>
      <c r="Z84" s="930"/>
      <c r="AA84" s="930"/>
      <c r="AB84" s="930"/>
      <c r="AC84" s="930"/>
      <c r="AD84" s="930"/>
      <c r="AE84" s="931"/>
    </row>
    <row r="85" spans="1:34" s="2" customFormat="1" ht="24" customHeight="1" thickBot="1" x14ac:dyDescent="0.3">
      <c r="A85" s="167" t="s">
        <v>1</v>
      </c>
      <c r="B85" s="988" t="s">
        <v>2</v>
      </c>
      <c r="C85" s="988"/>
      <c r="D85" s="988"/>
      <c r="E85" s="988"/>
      <c r="F85" s="988"/>
      <c r="G85" s="989"/>
      <c r="H85" s="988" t="s">
        <v>3</v>
      </c>
      <c r="I85" s="988"/>
      <c r="J85" s="988"/>
      <c r="K85" s="988"/>
      <c r="L85" s="988"/>
      <c r="M85" s="989"/>
      <c r="N85" s="988" t="s">
        <v>139</v>
      </c>
      <c r="O85" s="988"/>
      <c r="P85" s="988"/>
      <c r="Q85" s="988"/>
      <c r="R85" s="988"/>
      <c r="S85" s="989"/>
      <c r="T85" s="988" t="s">
        <v>4</v>
      </c>
      <c r="U85" s="988"/>
      <c r="V85" s="988"/>
      <c r="W85" s="988"/>
      <c r="X85" s="988"/>
      <c r="Y85" s="989"/>
      <c r="Z85" s="988" t="s">
        <v>5</v>
      </c>
      <c r="AA85" s="988"/>
      <c r="AB85" s="988"/>
      <c r="AC85" s="988"/>
      <c r="AD85" s="988"/>
      <c r="AE85" s="989"/>
    </row>
    <row r="86" spans="1:34" ht="30" customHeight="1" x14ac:dyDescent="0.3">
      <c r="A86" s="966" t="s">
        <v>186</v>
      </c>
      <c r="B86" s="932"/>
      <c r="C86" s="932"/>
      <c r="D86" s="932"/>
      <c r="E86" s="932"/>
      <c r="F86" s="932"/>
      <c r="G86" s="933"/>
      <c r="H86" s="939" t="s">
        <v>1250</v>
      </c>
      <c r="I86" s="939"/>
      <c r="J86" s="939"/>
      <c r="K86" s="939"/>
      <c r="L86" s="939"/>
      <c r="M86" s="949"/>
      <c r="N86" s="932"/>
      <c r="O86" s="932"/>
      <c r="P86" s="932"/>
      <c r="Q86" s="932"/>
      <c r="R86" s="932"/>
      <c r="S86" s="933"/>
      <c r="T86" s="954" t="s">
        <v>1250</v>
      </c>
      <c r="U86" s="954"/>
      <c r="V86" s="954"/>
      <c r="W86" s="954"/>
      <c r="X86" s="954"/>
      <c r="Y86" s="955"/>
      <c r="Z86" s="932"/>
      <c r="AA86" s="932"/>
      <c r="AB86" s="932"/>
      <c r="AC86" s="932"/>
      <c r="AD86" s="932"/>
      <c r="AE86" s="933"/>
      <c r="AH86" s="410"/>
    </row>
    <row r="87" spans="1:34" ht="30" customHeight="1" x14ac:dyDescent="0.25">
      <c r="A87" s="935"/>
      <c r="B87" s="930"/>
      <c r="C87" s="930"/>
      <c r="D87" s="930"/>
      <c r="E87" s="930"/>
      <c r="F87" s="930"/>
      <c r="G87" s="931"/>
      <c r="H87" s="944" t="s">
        <v>156</v>
      </c>
      <c r="I87" s="944"/>
      <c r="J87" s="944"/>
      <c r="K87" s="944"/>
      <c r="L87" s="944"/>
      <c r="M87" s="945"/>
      <c r="N87" s="930"/>
      <c r="O87" s="930"/>
      <c r="P87" s="930"/>
      <c r="Q87" s="930"/>
      <c r="R87" s="930"/>
      <c r="S87" s="931"/>
      <c r="T87" s="937" t="s">
        <v>149</v>
      </c>
      <c r="U87" s="937"/>
      <c r="V87" s="937"/>
      <c r="W87" s="937"/>
      <c r="X87" s="937"/>
      <c r="Y87" s="938"/>
      <c r="Z87" s="930"/>
      <c r="AA87" s="930"/>
      <c r="AB87" s="930"/>
      <c r="AC87" s="930"/>
      <c r="AD87" s="930"/>
      <c r="AE87" s="931"/>
    </row>
    <row r="88" spans="1:34" ht="30" customHeight="1" x14ac:dyDescent="0.3">
      <c r="A88" s="934" t="s">
        <v>188</v>
      </c>
      <c r="B88" s="932"/>
      <c r="C88" s="932"/>
      <c r="D88" s="932"/>
      <c r="E88" s="932"/>
      <c r="F88" s="932"/>
      <c r="G88" s="933"/>
      <c r="H88" s="939" t="s">
        <v>1250</v>
      </c>
      <c r="I88" s="939"/>
      <c r="J88" s="939"/>
      <c r="K88" s="939"/>
      <c r="L88" s="939"/>
      <c r="M88" s="949"/>
      <c r="N88" s="932"/>
      <c r="O88" s="932"/>
      <c r="P88" s="932"/>
      <c r="Q88" s="932"/>
      <c r="R88" s="932"/>
      <c r="S88" s="933"/>
      <c r="T88" s="954" t="s">
        <v>1250</v>
      </c>
      <c r="U88" s="954"/>
      <c r="V88" s="954"/>
      <c r="W88" s="954"/>
      <c r="X88" s="954"/>
      <c r="Y88" s="955"/>
      <c r="Z88" s="932"/>
      <c r="AA88" s="932"/>
      <c r="AB88" s="932"/>
      <c r="AC88" s="932"/>
      <c r="AD88" s="932"/>
      <c r="AE88" s="933"/>
    </row>
    <row r="89" spans="1:34" ht="30" customHeight="1" x14ac:dyDescent="0.25">
      <c r="A89" s="935"/>
      <c r="B89" s="930"/>
      <c r="C89" s="930"/>
      <c r="D89" s="930"/>
      <c r="E89" s="930"/>
      <c r="F89" s="930"/>
      <c r="G89" s="931"/>
      <c r="H89" s="944" t="s">
        <v>156</v>
      </c>
      <c r="I89" s="944"/>
      <c r="J89" s="944"/>
      <c r="K89" s="944"/>
      <c r="L89" s="944"/>
      <c r="M89" s="945"/>
      <c r="N89" s="930"/>
      <c r="O89" s="930"/>
      <c r="P89" s="930"/>
      <c r="Q89" s="930"/>
      <c r="R89" s="930"/>
      <c r="S89" s="931"/>
      <c r="T89" s="937" t="s">
        <v>149</v>
      </c>
      <c r="U89" s="937"/>
      <c r="V89" s="937"/>
      <c r="W89" s="937"/>
      <c r="X89" s="937"/>
      <c r="Y89" s="938"/>
      <c r="Z89" s="930"/>
      <c r="AA89" s="930"/>
      <c r="AB89" s="930"/>
      <c r="AC89" s="930"/>
      <c r="AD89" s="930"/>
      <c r="AE89" s="931"/>
    </row>
    <row r="91" spans="1:34" ht="15" x14ac:dyDescent="0.25">
      <c r="A91" s="736" t="s">
        <v>218</v>
      </c>
      <c r="B91" s="737"/>
      <c r="C91" s="995" t="s">
        <v>219</v>
      </c>
      <c r="D91" s="952"/>
      <c r="E91" s="952"/>
      <c r="F91" s="952"/>
      <c r="G91" s="952"/>
      <c r="H91" s="952"/>
      <c r="I91" s="952"/>
      <c r="J91" s="952"/>
      <c r="K91" s="952"/>
      <c r="L91" s="168"/>
      <c r="M91" s="996" t="s">
        <v>629</v>
      </c>
      <c r="N91" s="951"/>
      <c r="O91" s="995" t="s">
        <v>143</v>
      </c>
      <c r="P91" s="953"/>
      <c r="Q91" s="995" t="s">
        <v>167</v>
      </c>
      <c r="R91" s="952"/>
      <c r="S91" s="952"/>
      <c r="T91" s="952"/>
      <c r="U91" s="952"/>
      <c r="V91" s="952"/>
      <c r="W91" s="952"/>
      <c r="X91" s="952"/>
      <c r="Y91" s="952"/>
      <c r="Z91" s="952"/>
      <c r="AA91" s="952"/>
      <c r="AB91" s="952"/>
      <c r="AC91" s="952"/>
      <c r="AD91" s="952"/>
      <c r="AE91" s="953"/>
    </row>
    <row r="92" spans="1:34" ht="15" customHeight="1" x14ac:dyDescent="0.25">
      <c r="A92" s="1016" t="s">
        <v>628</v>
      </c>
      <c r="B92" s="1017"/>
      <c r="C92" s="992" t="str">
        <f>ASIGNATURAS!I270</f>
        <v>Ingeniería Térmica I</v>
      </c>
      <c r="D92" s="993"/>
      <c r="E92" s="993"/>
      <c r="F92" s="993"/>
      <c r="G92" s="993"/>
      <c r="H92" s="993"/>
      <c r="I92" s="993"/>
      <c r="J92" s="993"/>
      <c r="K92" s="993"/>
      <c r="L92" s="982"/>
      <c r="M92" s="994">
        <v>7722</v>
      </c>
      <c r="N92" s="981"/>
      <c r="O92" s="994">
        <v>6</v>
      </c>
      <c r="P92" s="981"/>
      <c r="Q92" s="992" t="str">
        <f>ASIGNATURAS!K270</f>
        <v>Cristina Alonso Tristán</v>
      </c>
      <c r="R92" s="993"/>
      <c r="S92" s="993"/>
      <c r="T92" s="993"/>
      <c r="U92" s="993"/>
      <c r="V92" s="993"/>
      <c r="W92" s="993"/>
      <c r="X92" s="993"/>
      <c r="Y92" s="993"/>
      <c r="Z92" s="993"/>
      <c r="AA92" s="993"/>
      <c r="AB92" s="993"/>
      <c r="AC92" s="993"/>
      <c r="AD92" s="993"/>
      <c r="AE92" s="982"/>
    </row>
    <row r="93" spans="1:34" ht="15" customHeight="1" x14ac:dyDescent="0.25">
      <c r="A93" s="1016" t="s">
        <v>950</v>
      </c>
      <c r="B93" s="1017"/>
      <c r="C93" s="992" t="str">
        <f>ASIGNATURAS!I271</f>
        <v>Fundamentos de Ingeniería Eléctrica</v>
      </c>
      <c r="D93" s="993"/>
      <c r="E93" s="993"/>
      <c r="F93" s="993"/>
      <c r="G93" s="993"/>
      <c r="H93" s="993"/>
      <c r="I93" s="993"/>
      <c r="J93" s="993"/>
      <c r="K93" s="993"/>
      <c r="L93" s="982"/>
      <c r="M93" s="994">
        <v>7723</v>
      </c>
      <c r="N93" s="981"/>
      <c r="O93" s="994">
        <v>6</v>
      </c>
      <c r="P93" s="981"/>
      <c r="Q93" s="992" t="str">
        <f>ASIGNATURAS!K271</f>
        <v>Jesús Sagredo González</v>
      </c>
      <c r="R93" s="993"/>
      <c r="S93" s="993"/>
      <c r="T93" s="993"/>
      <c r="U93" s="993"/>
      <c r="V93" s="993"/>
      <c r="W93" s="993"/>
      <c r="X93" s="993"/>
      <c r="Y93" s="993"/>
      <c r="Z93" s="993"/>
      <c r="AA93" s="993"/>
      <c r="AB93" s="993"/>
      <c r="AC93" s="993"/>
      <c r="AD93" s="993"/>
      <c r="AE93" s="982"/>
    </row>
    <row r="94" spans="1:34" ht="15" customHeight="1" x14ac:dyDescent="0.25">
      <c r="A94" s="1016" t="s">
        <v>661</v>
      </c>
      <c r="B94" s="1017"/>
      <c r="C94" s="992" t="str">
        <f>ASIGNATURAS!I272</f>
        <v>Elasticidad y Resistencia de Materiales</v>
      </c>
      <c r="D94" s="993"/>
      <c r="E94" s="993"/>
      <c r="F94" s="993"/>
      <c r="G94" s="993"/>
      <c r="H94" s="993"/>
      <c r="I94" s="993"/>
      <c r="J94" s="993"/>
      <c r="K94" s="993"/>
      <c r="L94" s="982"/>
      <c r="M94" s="994">
        <v>7724</v>
      </c>
      <c r="N94" s="981"/>
      <c r="O94" s="994">
        <v>6</v>
      </c>
      <c r="P94" s="981"/>
      <c r="Q94" s="992" t="str">
        <f>ASIGNATURAS!K272</f>
        <v xml:space="preserve">Isidoro Ivan Cuesta </v>
      </c>
      <c r="R94" s="993"/>
      <c r="S94" s="993"/>
      <c r="T94" s="993"/>
      <c r="U94" s="993"/>
      <c r="V94" s="993"/>
      <c r="W94" s="993"/>
      <c r="X94" s="993"/>
      <c r="Y94" s="993"/>
      <c r="Z94" s="993"/>
      <c r="AA94" s="993"/>
      <c r="AB94" s="993"/>
      <c r="AC94" s="993"/>
      <c r="AD94" s="993"/>
      <c r="AE94" s="982"/>
    </row>
    <row r="95" spans="1:34" ht="15" customHeight="1" x14ac:dyDescent="0.25">
      <c r="A95" s="1016" t="s">
        <v>1250</v>
      </c>
      <c r="B95" s="1017"/>
      <c r="C95" s="992" t="str">
        <f>ASIGNATURAS!I273</f>
        <v>Estadística y Cálculo Numérico</v>
      </c>
      <c r="D95" s="993"/>
      <c r="E95" s="993"/>
      <c r="F95" s="993"/>
      <c r="G95" s="993"/>
      <c r="H95" s="993"/>
      <c r="I95" s="993"/>
      <c r="J95" s="993"/>
      <c r="K95" s="993"/>
      <c r="L95" s="982"/>
      <c r="M95" s="972">
        <v>7725</v>
      </c>
      <c r="N95" s="972"/>
      <c r="O95" s="981">
        <v>6</v>
      </c>
      <c r="P95" s="972"/>
      <c r="Q95" s="982" t="str">
        <f>ASIGNATURAS!K273</f>
        <v/>
      </c>
      <c r="R95" s="983"/>
      <c r="S95" s="983"/>
      <c r="T95" s="983"/>
      <c r="U95" s="983"/>
      <c r="V95" s="983"/>
      <c r="W95" s="983"/>
      <c r="X95" s="983"/>
      <c r="Y95" s="983"/>
      <c r="Z95" s="983"/>
      <c r="AA95" s="983"/>
      <c r="AB95" s="983"/>
      <c r="AC95" s="983"/>
      <c r="AD95" s="983"/>
      <c r="AE95" s="983"/>
    </row>
    <row r="96" spans="1:34" ht="15" customHeight="1" x14ac:dyDescent="0.25">
      <c r="A96" s="1016" t="s">
        <v>639</v>
      </c>
      <c r="B96" s="1017"/>
      <c r="C96" s="992" t="str">
        <f>ASIGNATURAS!I274</f>
        <v>Organización de la Producción</v>
      </c>
      <c r="D96" s="993"/>
      <c r="E96" s="993"/>
      <c r="F96" s="993"/>
      <c r="G96" s="993"/>
      <c r="H96" s="993"/>
      <c r="I96" s="993"/>
      <c r="J96" s="993"/>
      <c r="K96" s="993"/>
      <c r="L96" s="982"/>
      <c r="M96" s="972">
        <v>7726</v>
      </c>
      <c r="N96" s="972"/>
      <c r="O96" s="981">
        <v>6</v>
      </c>
      <c r="P96" s="972"/>
      <c r="Q96" s="982" t="str">
        <f>ASIGNATURAS!K274</f>
        <v>Miguel Angel Manzanedo, Ricardo del Olmo, Oscar González</v>
      </c>
      <c r="R96" s="983"/>
      <c r="S96" s="983"/>
      <c r="T96" s="983"/>
      <c r="U96" s="983"/>
      <c r="V96" s="983"/>
      <c r="W96" s="983"/>
      <c r="X96" s="983"/>
      <c r="Y96" s="983"/>
      <c r="Z96" s="983"/>
      <c r="AA96" s="983"/>
      <c r="AB96" s="983"/>
      <c r="AC96" s="983"/>
      <c r="AD96" s="983"/>
      <c r="AE96" s="983"/>
    </row>
    <row r="97" spans="1:31" ht="15" customHeight="1" x14ac:dyDescent="0.25">
      <c r="A97" s="1016" t="s">
        <v>120</v>
      </c>
      <c r="B97" s="1017"/>
      <c r="C97" s="992" t="str">
        <f>ASIGNATURAS!I275</f>
        <v>Energías Renovables y Medio Ambiente</v>
      </c>
      <c r="D97" s="993"/>
      <c r="E97" s="993"/>
      <c r="F97" s="993"/>
      <c r="G97" s="993"/>
      <c r="H97" s="993"/>
      <c r="I97" s="993"/>
      <c r="J97" s="993"/>
      <c r="K97" s="993"/>
      <c r="L97" s="982"/>
      <c r="M97" s="972">
        <v>7727</v>
      </c>
      <c r="N97" s="972"/>
      <c r="O97" s="981">
        <v>6</v>
      </c>
      <c r="P97" s="972"/>
      <c r="Q97" s="982" t="str">
        <f>ASIGNATURAS!K275</f>
        <v>Manuel Iván González, Fco Javier Rodríguez</v>
      </c>
      <c r="R97" s="983"/>
      <c r="S97" s="983"/>
      <c r="T97" s="983"/>
      <c r="U97" s="983"/>
      <c r="V97" s="983"/>
      <c r="W97" s="983"/>
      <c r="X97" s="983"/>
      <c r="Y97" s="983"/>
      <c r="Z97" s="983"/>
      <c r="AA97" s="983"/>
      <c r="AB97" s="983"/>
      <c r="AC97" s="983"/>
      <c r="AD97" s="983"/>
      <c r="AE97" s="983"/>
    </row>
    <row r="100" spans="1:31" ht="15" x14ac:dyDescent="0.25">
      <c r="A100" s="730" t="s">
        <v>1044</v>
      </c>
      <c r="B100" s="731"/>
      <c r="C100" s="731"/>
      <c r="D100" s="731"/>
      <c r="E100" s="732"/>
    </row>
    <row r="101" spans="1:31" ht="15" x14ac:dyDescent="0.25">
      <c r="A101" s="738" t="s">
        <v>1045</v>
      </c>
      <c r="B101" s="739"/>
      <c r="C101" s="739"/>
      <c r="D101" s="739"/>
      <c r="E101" s="740"/>
    </row>
    <row r="102" spans="1:31" x14ac:dyDescent="0.25">
      <c r="AA102" s="10"/>
      <c r="AB102" s="10"/>
      <c r="AC102" s="10"/>
      <c r="AD102" s="10"/>
      <c r="AE102" s="10"/>
    </row>
    <row r="103" spans="1:31" x14ac:dyDescent="0.25">
      <c r="A103" s="25" t="s">
        <v>217</v>
      </c>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row>
    <row r="104" spans="1:31" x14ac:dyDescent="0.25">
      <c r="A104" s="25"/>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row>
    <row r="105" spans="1:31" x14ac:dyDescent="0.25">
      <c r="A105" s="25"/>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row>
    <row r="106" spans="1:31" x14ac:dyDescent="0.25">
      <c r="A106" s="25"/>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row>
    <row r="107" spans="1:31" x14ac:dyDescent="0.25">
      <c r="A107" s="25"/>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row>
    <row r="108" spans="1:31" x14ac:dyDescent="0.25">
      <c r="A108" s="25"/>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row>
    <row r="109" spans="1:31" s="1" customFormat="1" ht="60.75" customHeight="1" x14ac:dyDescent="0.4">
      <c r="A109" s="974" t="s">
        <v>638</v>
      </c>
      <c r="B109" s="975"/>
      <c r="C109" s="975"/>
      <c r="D109" s="975"/>
      <c r="E109" s="975"/>
      <c r="F109" s="975"/>
      <c r="G109" s="975"/>
      <c r="H109" s="975"/>
      <c r="I109" s="975"/>
      <c r="J109" s="975"/>
      <c r="K109" s="975"/>
      <c r="L109" s="975"/>
      <c r="M109" s="975"/>
      <c r="N109" s="975"/>
      <c r="O109" s="975"/>
      <c r="P109" s="975"/>
      <c r="Q109" s="975"/>
      <c r="R109" s="975"/>
      <c r="S109" s="975"/>
      <c r="T109" s="975"/>
      <c r="U109" s="975"/>
      <c r="V109" s="975"/>
      <c r="W109" s="975"/>
      <c r="X109" s="975"/>
      <c r="Y109" s="976"/>
      <c r="Z109" s="988" t="str">
        <f>Aulas!G5</f>
        <v>Curso 2024-2025</v>
      </c>
      <c r="AA109" s="988"/>
      <c r="AB109" s="988"/>
      <c r="AC109" s="988"/>
      <c r="AD109" s="988"/>
      <c r="AE109" s="989"/>
    </row>
    <row r="110" spans="1:31" s="8" customFormat="1" ht="23.25" customHeight="1" x14ac:dyDescent="0.4">
      <c r="A110" s="960" t="s">
        <v>1059</v>
      </c>
      <c r="B110" s="961"/>
      <c r="C110" s="961"/>
      <c r="D110" s="961"/>
      <c r="E110" s="961"/>
      <c r="F110" s="961"/>
      <c r="G110" s="961"/>
      <c r="H110" s="961"/>
      <c r="I110" s="961"/>
      <c r="J110" s="961"/>
      <c r="K110" s="961"/>
      <c r="L110" s="961"/>
      <c r="M110" s="961"/>
      <c r="N110" s="961"/>
      <c r="O110" s="961"/>
      <c r="P110" s="961"/>
      <c r="Q110" s="961"/>
      <c r="R110" s="961"/>
      <c r="S110" s="961"/>
      <c r="T110" s="961"/>
      <c r="U110" s="961"/>
      <c r="V110" s="961"/>
      <c r="W110" s="961"/>
      <c r="X110" s="961"/>
      <c r="Y110" s="962"/>
      <c r="Z110" s="984" t="s">
        <v>162</v>
      </c>
      <c r="AA110" s="984"/>
      <c r="AB110" s="984"/>
      <c r="AC110" s="984"/>
      <c r="AD110" s="984"/>
      <c r="AE110" s="985"/>
    </row>
    <row r="111" spans="1:31" s="8" customFormat="1" ht="23.25" customHeight="1" x14ac:dyDescent="0.4">
      <c r="A111" s="963" t="s">
        <v>142</v>
      </c>
      <c r="B111" s="964"/>
      <c r="C111" s="964"/>
      <c r="D111" s="964"/>
      <c r="E111" s="964"/>
      <c r="F111" s="964"/>
      <c r="G111" s="964"/>
      <c r="H111" s="964"/>
      <c r="I111" s="964"/>
      <c r="J111" s="964"/>
      <c r="K111" s="964"/>
      <c r="L111" s="964"/>
      <c r="M111" s="964"/>
      <c r="N111" s="964"/>
      <c r="O111" s="964"/>
      <c r="P111" s="964"/>
      <c r="Q111" s="964"/>
      <c r="R111" s="964"/>
      <c r="S111" s="964"/>
      <c r="T111" s="964"/>
      <c r="U111" s="964"/>
      <c r="V111" s="964"/>
      <c r="W111" s="964"/>
      <c r="X111" s="964"/>
      <c r="Y111" s="965"/>
      <c r="Z111" s="986"/>
      <c r="AA111" s="986"/>
      <c r="AB111" s="986"/>
      <c r="AC111" s="986"/>
      <c r="AD111" s="986"/>
      <c r="AE111" s="987"/>
    </row>
    <row r="112" spans="1:31" ht="38.25" customHeight="1" x14ac:dyDescent="0.25">
      <c r="A112" s="23" t="s">
        <v>710</v>
      </c>
    </row>
    <row r="113" spans="1:31" s="2" customFormat="1" ht="24" customHeight="1" thickBot="1" x14ac:dyDescent="0.3">
      <c r="A113" s="167" t="s">
        <v>1</v>
      </c>
      <c r="B113" s="988" t="s">
        <v>2</v>
      </c>
      <c r="C113" s="988"/>
      <c r="D113" s="988"/>
      <c r="E113" s="988"/>
      <c r="F113" s="988"/>
      <c r="G113" s="989"/>
      <c r="H113" s="988" t="s">
        <v>3</v>
      </c>
      <c r="I113" s="988"/>
      <c r="J113" s="988"/>
      <c r="K113" s="988"/>
      <c r="L113" s="988"/>
      <c r="M113" s="989"/>
      <c r="N113" s="988" t="s">
        <v>139</v>
      </c>
      <c r="O113" s="988"/>
      <c r="P113" s="988"/>
      <c r="Q113" s="988"/>
      <c r="R113" s="988"/>
      <c r="S113" s="989"/>
      <c r="T113" s="988" t="s">
        <v>4</v>
      </c>
      <c r="U113" s="988"/>
      <c r="V113" s="988"/>
      <c r="W113" s="988"/>
      <c r="X113" s="988"/>
      <c r="Y113" s="989"/>
      <c r="Z113" s="988" t="s">
        <v>5</v>
      </c>
      <c r="AA113" s="988"/>
      <c r="AB113" s="988"/>
      <c r="AC113" s="988"/>
      <c r="AD113" s="988"/>
      <c r="AE113" s="989"/>
    </row>
    <row r="114" spans="1:31" ht="30" customHeight="1" x14ac:dyDescent="0.3">
      <c r="A114" s="966" t="s">
        <v>10</v>
      </c>
      <c r="B114" s="954" t="s">
        <v>649</v>
      </c>
      <c r="C114" s="954"/>
      <c r="D114" s="954"/>
      <c r="E114" s="954"/>
      <c r="F114" s="954"/>
      <c r="G114" s="955"/>
      <c r="H114" s="954" t="s">
        <v>31</v>
      </c>
      <c r="I114" s="954"/>
      <c r="J114" s="954"/>
      <c r="K114" s="954"/>
      <c r="L114" s="954"/>
      <c r="M114" s="955"/>
      <c r="N114" s="954" t="s">
        <v>1379</v>
      </c>
      <c r="O114" s="954"/>
      <c r="P114" s="954"/>
      <c r="Q114" s="954"/>
      <c r="R114" s="954"/>
      <c r="S114" s="955"/>
      <c r="T114" s="954" t="s">
        <v>1378</v>
      </c>
      <c r="U114" s="954"/>
      <c r="V114" s="954"/>
      <c r="W114" s="954"/>
      <c r="X114" s="954"/>
      <c r="Y114" s="955"/>
      <c r="Z114" s="932"/>
      <c r="AA114" s="932"/>
      <c r="AB114" s="932"/>
      <c r="AC114" s="932"/>
      <c r="AD114" s="932"/>
      <c r="AE114" s="933"/>
    </row>
    <row r="115" spans="1:31" ht="30" customHeight="1" x14ac:dyDescent="0.25">
      <c r="A115" s="935"/>
      <c r="B115" s="937" t="s">
        <v>577</v>
      </c>
      <c r="C115" s="937"/>
      <c r="D115" s="937"/>
      <c r="E115" s="937"/>
      <c r="F115" s="937"/>
      <c r="G115" s="938"/>
      <c r="H115" s="937" t="s">
        <v>161</v>
      </c>
      <c r="I115" s="937"/>
      <c r="J115" s="937"/>
      <c r="K115" s="937"/>
      <c r="L115" s="937"/>
      <c r="M115" s="938"/>
      <c r="N115" s="937" t="s">
        <v>161</v>
      </c>
      <c r="O115" s="937"/>
      <c r="P115" s="937"/>
      <c r="Q115" s="937"/>
      <c r="R115" s="937"/>
      <c r="S115" s="938"/>
      <c r="T115" s="937" t="s">
        <v>682</v>
      </c>
      <c r="U115" s="937"/>
      <c r="V115" s="937"/>
      <c r="W115" s="937"/>
      <c r="X115" s="937"/>
      <c r="Y115" s="938"/>
      <c r="Z115" s="930"/>
      <c r="AA115" s="930"/>
      <c r="AB115" s="930"/>
      <c r="AC115" s="930"/>
      <c r="AD115" s="930"/>
      <c r="AE115" s="931"/>
    </row>
    <row r="116" spans="1:31" ht="30" customHeight="1" x14ac:dyDescent="0.3">
      <c r="A116" s="934" t="s">
        <v>1019</v>
      </c>
      <c r="B116" s="954" t="s">
        <v>649</v>
      </c>
      <c r="C116" s="954"/>
      <c r="D116" s="954"/>
      <c r="E116" s="954"/>
      <c r="F116" s="954"/>
      <c r="G116" s="955"/>
      <c r="H116" s="954" t="s">
        <v>31</v>
      </c>
      <c r="I116" s="954"/>
      <c r="J116" s="954"/>
      <c r="K116" s="954"/>
      <c r="L116" s="954"/>
      <c r="M116" s="955"/>
      <c r="N116" s="954" t="s">
        <v>1379</v>
      </c>
      <c r="O116" s="954"/>
      <c r="P116" s="954"/>
      <c r="Q116" s="954"/>
      <c r="R116" s="954"/>
      <c r="S116" s="955"/>
      <c r="T116" s="954" t="s">
        <v>1378</v>
      </c>
      <c r="U116" s="954"/>
      <c r="V116" s="954"/>
      <c r="W116" s="954"/>
      <c r="X116" s="954"/>
      <c r="Y116" s="955"/>
      <c r="Z116" s="932"/>
      <c r="AA116" s="932"/>
      <c r="AB116" s="932"/>
      <c r="AC116" s="932"/>
      <c r="AD116" s="932"/>
      <c r="AE116" s="933"/>
    </row>
    <row r="117" spans="1:31" ht="30" customHeight="1" x14ac:dyDescent="0.25">
      <c r="A117" s="935"/>
      <c r="B117" s="937" t="s">
        <v>577</v>
      </c>
      <c r="C117" s="937"/>
      <c r="D117" s="937"/>
      <c r="E117" s="937"/>
      <c r="F117" s="937"/>
      <c r="G117" s="938"/>
      <c r="H117" s="937" t="s">
        <v>161</v>
      </c>
      <c r="I117" s="937"/>
      <c r="J117" s="937"/>
      <c r="K117" s="937"/>
      <c r="L117" s="937"/>
      <c r="M117" s="938"/>
      <c r="N117" s="937" t="s">
        <v>161</v>
      </c>
      <c r="O117" s="937"/>
      <c r="P117" s="937"/>
      <c r="Q117" s="937"/>
      <c r="R117" s="937"/>
      <c r="S117" s="938"/>
      <c r="T117" s="937" t="s">
        <v>682</v>
      </c>
      <c r="U117" s="937"/>
      <c r="V117" s="937"/>
      <c r="W117" s="937"/>
      <c r="X117" s="937"/>
      <c r="Y117" s="938"/>
      <c r="Z117" s="930"/>
      <c r="AA117" s="930"/>
      <c r="AB117" s="930"/>
      <c r="AC117" s="930"/>
      <c r="AD117" s="930"/>
      <c r="AE117" s="931"/>
    </row>
    <row r="118" spans="1:31" ht="30" customHeight="1" x14ac:dyDescent="0.3">
      <c r="A118" s="934" t="s">
        <v>1020</v>
      </c>
      <c r="B118" s="939" t="s">
        <v>649</v>
      </c>
      <c r="C118" s="939"/>
      <c r="D118" s="939"/>
      <c r="E118" s="939"/>
      <c r="F118" s="939"/>
      <c r="G118" s="949"/>
      <c r="H118" s="939" t="s">
        <v>649</v>
      </c>
      <c r="I118" s="939"/>
      <c r="J118" s="939"/>
      <c r="K118" s="939"/>
      <c r="L118" s="939"/>
      <c r="M118" s="949"/>
      <c r="N118" s="939" t="s">
        <v>1378</v>
      </c>
      <c r="O118" s="939"/>
      <c r="P118" s="939"/>
      <c r="Q118" s="939"/>
      <c r="R118" s="939"/>
      <c r="S118" s="949"/>
      <c r="T118" s="939" t="s">
        <v>31</v>
      </c>
      <c r="U118" s="939"/>
      <c r="V118" s="939"/>
      <c r="W118" s="939"/>
      <c r="X118" s="939"/>
      <c r="Y118" s="949"/>
      <c r="Z118" s="932"/>
      <c r="AA118" s="932"/>
      <c r="AB118" s="932"/>
      <c r="AC118" s="932"/>
      <c r="AD118" s="932"/>
      <c r="AE118" s="933"/>
    </row>
    <row r="119" spans="1:31" ht="30" customHeight="1" x14ac:dyDescent="0.25">
      <c r="A119" s="935"/>
      <c r="B119" s="944" t="s">
        <v>162</v>
      </c>
      <c r="C119" s="944"/>
      <c r="D119" s="944"/>
      <c r="E119" s="944"/>
      <c r="F119" s="944"/>
      <c r="G119" s="945"/>
      <c r="H119" s="944" t="s">
        <v>162</v>
      </c>
      <c r="I119" s="944"/>
      <c r="J119" s="944"/>
      <c r="K119" s="944"/>
      <c r="L119" s="944"/>
      <c r="M119" s="945"/>
      <c r="N119" s="944" t="s">
        <v>162</v>
      </c>
      <c r="O119" s="944"/>
      <c r="P119" s="944"/>
      <c r="Q119" s="944"/>
      <c r="R119" s="944"/>
      <c r="S119" s="945"/>
      <c r="T119" s="944" t="s">
        <v>162</v>
      </c>
      <c r="U119" s="944"/>
      <c r="V119" s="944"/>
      <c r="W119" s="944"/>
      <c r="X119" s="944"/>
      <c r="Y119" s="945"/>
      <c r="Z119" s="930"/>
      <c r="AA119" s="930"/>
      <c r="AB119" s="930"/>
      <c r="AC119" s="930"/>
      <c r="AD119" s="930"/>
      <c r="AE119" s="931"/>
    </row>
    <row r="120" spans="1:31" ht="30" customHeight="1" x14ac:dyDescent="0.3">
      <c r="A120" s="934" t="s">
        <v>7</v>
      </c>
      <c r="B120" s="939" t="s">
        <v>29</v>
      </c>
      <c r="C120" s="939"/>
      <c r="D120" s="939"/>
      <c r="E120" s="939"/>
      <c r="F120" s="939"/>
      <c r="G120" s="949"/>
      <c r="H120" s="939" t="s">
        <v>29</v>
      </c>
      <c r="I120" s="939"/>
      <c r="J120" s="939"/>
      <c r="K120" s="939"/>
      <c r="L120" s="939"/>
      <c r="M120" s="949"/>
      <c r="N120" s="939" t="s">
        <v>1378</v>
      </c>
      <c r="O120" s="939"/>
      <c r="P120" s="939"/>
      <c r="Q120" s="939"/>
      <c r="R120" s="939"/>
      <c r="S120" s="949"/>
      <c r="T120" s="939" t="s">
        <v>31</v>
      </c>
      <c r="U120" s="939"/>
      <c r="V120" s="939"/>
      <c r="W120" s="939"/>
      <c r="X120" s="939"/>
      <c r="Y120" s="949"/>
      <c r="Z120" s="932"/>
      <c r="AA120" s="932"/>
      <c r="AB120" s="932"/>
      <c r="AC120" s="932"/>
      <c r="AD120" s="932"/>
      <c r="AE120" s="933"/>
    </row>
    <row r="121" spans="1:31" ht="30" customHeight="1" x14ac:dyDescent="0.25">
      <c r="A121" s="935"/>
      <c r="B121" s="944" t="s">
        <v>162</v>
      </c>
      <c r="C121" s="944"/>
      <c r="D121" s="944"/>
      <c r="E121" s="944"/>
      <c r="F121" s="944"/>
      <c r="G121" s="945"/>
      <c r="H121" s="944" t="s">
        <v>162</v>
      </c>
      <c r="I121" s="944"/>
      <c r="J121" s="944"/>
      <c r="K121" s="944"/>
      <c r="L121" s="944"/>
      <c r="M121" s="945"/>
      <c r="N121" s="944" t="s">
        <v>162</v>
      </c>
      <c r="O121" s="944"/>
      <c r="P121" s="944"/>
      <c r="Q121" s="944"/>
      <c r="R121" s="944"/>
      <c r="S121" s="945"/>
      <c r="T121" s="944" t="s">
        <v>162</v>
      </c>
      <c r="U121" s="944"/>
      <c r="V121" s="944"/>
      <c r="W121" s="944"/>
      <c r="X121" s="944"/>
      <c r="Y121" s="945"/>
      <c r="Z121" s="930"/>
      <c r="AA121" s="930"/>
      <c r="AB121" s="930"/>
      <c r="AC121" s="930"/>
      <c r="AD121" s="930"/>
      <c r="AE121" s="931"/>
    </row>
    <row r="122" spans="1:31" ht="30" customHeight="1" x14ac:dyDescent="0.3">
      <c r="A122" s="934" t="s">
        <v>8</v>
      </c>
      <c r="B122" s="954" t="s">
        <v>29</v>
      </c>
      <c r="C122" s="954"/>
      <c r="D122" s="954"/>
      <c r="E122" s="954"/>
      <c r="F122" s="954"/>
      <c r="G122" s="955"/>
      <c r="H122" s="932"/>
      <c r="I122" s="932"/>
      <c r="J122" s="932"/>
      <c r="K122" s="932"/>
      <c r="L122" s="932"/>
      <c r="M122" s="933"/>
      <c r="N122" s="932"/>
      <c r="O122" s="932"/>
      <c r="P122" s="932"/>
      <c r="Q122" s="932"/>
      <c r="R122" s="932"/>
      <c r="S122" s="933"/>
      <c r="T122" s="939" t="s">
        <v>1379</v>
      </c>
      <c r="U122" s="939"/>
      <c r="V122" s="939"/>
      <c r="W122" s="939"/>
      <c r="X122" s="939"/>
      <c r="Y122" s="949"/>
      <c r="Z122" s="932"/>
      <c r="AA122" s="932"/>
      <c r="AB122" s="932"/>
      <c r="AC122" s="932"/>
      <c r="AD122" s="932"/>
      <c r="AE122" s="933"/>
    </row>
    <row r="123" spans="1:31" ht="30" customHeight="1" x14ac:dyDescent="0.25">
      <c r="A123" s="935"/>
      <c r="B123" s="937" t="s">
        <v>577</v>
      </c>
      <c r="C123" s="937"/>
      <c r="D123" s="937"/>
      <c r="E123" s="937"/>
      <c r="F123" s="937"/>
      <c r="G123" s="938"/>
      <c r="H123" s="930"/>
      <c r="I123" s="930"/>
      <c r="J123" s="930"/>
      <c r="K123" s="930"/>
      <c r="L123" s="930"/>
      <c r="M123" s="931"/>
      <c r="N123" s="930"/>
      <c r="O123" s="930"/>
      <c r="P123" s="930"/>
      <c r="Q123" s="930"/>
      <c r="R123" s="930"/>
      <c r="S123" s="931"/>
      <c r="T123" s="944" t="s">
        <v>162</v>
      </c>
      <c r="U123" s="944"/>
      <c r="V123" s="944"/>
      <c r="W123" s="944"/>
      <c r="X123" s="944"/>
      <c r="Y123" s="945"/>
      <c r="Z123" s="930"/>
      <c r="AA123" s="930"/>
      <c r="AB123" s="930"/>
      <c r="AC123" s="930"/>
      <c r="AD123" s="930"/>
      <c r="AE123" s="931"/>
    </row>
    <row r="124" spans="1:31" ht="30" customHeight="1" x14ac:dyDescent="0.3">
      <c r="A124" s="934" t="s">
        <v>9</v>
      </c>
      <c r="B124" s="954" t="s">
        <v>29</v>
      </c>
      <c r="C124" s="954"/>
      <c r="D124" s="954"/>
      <c r="E124" s="954"/>
      <c r="F124" s="954"/>
      <c r="G124" s="955"/>
      <c r="H124" s="932"/>
      <c r="I124" s="932"/>
      <c r="J124" s="932"/>
      <c r="K124" s="932"/>
      <c r="L124" s="932"/>
      <c r="M124" s="933"/>
      <c r="N124" s="932"/>
      <c r="O124" s="932"/>
      <c r="P124" s="932"/>
      <c r="Q124" s="932"/>
      <c r="R124" s="932"/>
      <c r="S124" s="933"/>
      <c r="T124" s="939" t="s">
        <v>1379</v>
      </c>
      <c r="U124" s="939"/>
      <c r="V124" s="939"/>
      <c r="W124" s="939"/>
      <c r="X124" s="939"/>
      <c r="Y124" s="949"/>
      <c r="Z124" s="932"/>
      <c r="AA124" s="932"/>
      <c r="AB124" s="932"/>
      <c r="AC124" s="932"/>
      <c r="AD124" s="932"/>
      <c r="AE124" s="933"/>
    </row>
    <row r="125" spans="1:31" ht="30" customHeight="1" x14ac:dyDescent="0.25">
      <c r="A125" s="935"/>
      <c r="B125" s="937" t="s">
        <v>577</v>
      </c>
      <c r="C125" s="937"/>
      <c r="D125" s="937"/>
      <c r="E125" s="937"/>
      <c r="F125" s="937"/>
      <c r="G125" s="938"/>
      <c r="H125" s="930"/>
      <c r="I125" s="930"/>
      <c r="J125" s="930"/>
      <c r="K125" s="930"/>
      <c r="L125" s="930"/>
      <c r="M125" s="931"/>
      <c r="N125" s="930"/>
      <c r="O125" s="930"/>
      <c r="P125" s="930"/>
      <c r="Q125" s="930"/>
      <c r="R125" s="930"/>
      <c r="S125" s="931"/>
      <c r="T125" s="944" t="s">
        <v>162</v>
      </c>
      <c r="U125" s="944"/>
      <c r="V125" s="944"/>
      <c r="W125" s="944"/>
      <c r="X125" s="944"/>
      <c r="Y125" s="945"/>
      <c r="Z125" s="930"/>
      <c r="AA125" s="930"/>
      <c r="AB125" s="930"/>
      <c r="AC125" s="930"/>
      <c r="AD125" s="930"/>
      <c r="AE125" s="931"/>
    </row>
    <row r="127" spans="1:31" ht="15" x14ac:dyDescent="0.25">
      <c r="A127" s="736" t="s">
        <v>218</v>
      </c>
      <c r="B127" s="737"/>
      <c r="C127" s="952" t="s">
        <v>219</v>
      </c>
      <c r="D127" s="952"/>
      <c r="E127" s="952"/>
      <c r="F127" s="952"/>
      <c r="G127" s="952"/>
      <c r="H127" s="952"/>
      <c r="I127" s="952"/>
      <c r="J127" s="952"/>
      <c r="K127" s="952"/>
      <c r="L127" s="168"/>
      <c r="M127" s="950" t="s">
        <v>629</v>
      </c>
      <c r="N127" s="951"/>
      <c r="O127" s="952" t="s">
        <v>143</v>
      </c>
      <c r="P127" s="953"/>
      <c r="Q127" s="952" t="s">
        <v>167</v>
      </c>
      <c r="R127" s="952"/>
      <c r="S127" s="952"/>
      <c r="T127" s="952"/>
      <c r="U127" s="952"/>
      <c r="V127" s="952"/>
      <c r="W127" s="952"/>
      <c r="X127" s="952"/>
      <c r="Y127" s="952"/>
      <c r="Z127" s="952"/>
      <c r="AA127" s="952"/>
      <c r="AB127" s="952"/>
      <c r="AC127" s="952"/>
      <c r="AD127" s="952"/>
      <c r="AE127" s="953"/>
    </row>
    <row r="128" spans="1:31" ht="15" x14ac:dyDescent="0.25">
      <c r="A128" s="1016" t="s">
        <v>81</v>
      </c>
      <c r="B128" s="1017"/>
      <c r="C128" s="947" t="str">
        <f>ASIGNATURAS!I276</f>
        <v>Teoria de Circuitos</v>
      </c>
      <c r="D128" s="948"/>
      <c r="E128" s="948"/>
      <c r="F128" s="948"/>
      <c r="G128" s="948"/>
      <c r="H128" s="948"/>
      <c r="I128" s="948"/>
      <c r="J128" s="948"/>
      <c r="K128" s="948"/>
      <c r="L128" s="948"/>
      <c r="M128" s="972">
        <v>7728</v>
      </c>
      <c r="N128" s="972"/>
      <c r="O128" s="1013">
        <v>6</v>
      </c>
      <c r="P128" s="1014"/>
      <c r="Q128" s="982" t="str">
        <f>ASIGNATURAS!K276</f>
        <v>Jesús Sagredo González</v>
      </c>
      <c r="R128" s="983"/>
      <c r="S128" s="983"/>
      <c r="T128" s="983"/>
      <c r="U128" s="983"/>
      <c r="V128" s="983"/>
      <c r="W128" s="983"/>
      <c r="X128" s="983"/>
      <c r="Y128" s="983"/>
      <c r="Z128" s="983"/>
      <c r="AA128" s="983"/>
      <c r="AB128" s="983"/>
      <c r="AC128" s="983"/>
      <c r="AD128" s="983"/>
      <c r="AE128" s="983"/>
    </row>
    <row r="129" spans="1:31" ht="15" customHeight="1" x14ac:dyDescent="0.25">
      <c r="A129" s="1016" t="s">
        <v>30</v>
      </c>
      <c r="B129" s="1017"/>
      <c r="C129" s="947" t="str">
        <f>ASIGNATURAS!I277</f>
        <v xml:space="preserve">Fundamentos de Electrónica </v>
      </c>
      <c r="D129" s="948"/>
      <c r="E129" s="948"/>
      <c r="F129" s="948"/>
      <c r="G129" s="948"/>
      <c r="H129" s="948"/>
      <c r="I129" s="948"/>
      <c r="J129" s="948"/>
      <c r="K129" s="948"/>
      <c r="L129" s="948"/>
      <c r="M129" s="972">
        <v>7729</v>
      </c>
      <c r="N129" s="972"/>
      <c r="O129" s="981">
        <v>6</v>
      </c>
      <c r="P129" s="972"/>
      <c r="Q129" s="982" t="str">
        <f>ASIGNATURAS!K277</f>
        <v>Jesús H. Lucio</v>
      </c>
      <c r="R129" s="983"/>
      <c r="S129" s="983"/>
      <c r="T129" s="983"/>
      <c r="U129" s="983"/>
      <c r="V129" s="983"/>
      <c r="W129" s="983"/>
      <c r="X129" s="983"/>
      <c r="Y129" s="983"/>
      <c r="Z129" s="983"/>
      <c r="AA129" s="983"/>
      <c r="AB129" s="983"/>
      <c r="AC129" s="983"/>
      <c r="AD129" s="983"/>
      <c r="AE129" s="983"/>
    </row>
    <row r="130" spans="1:31" ht="15" customHeight="1" x14ac:dyDescent="0.25">
      <c r="A130" s="1016" t="s">
        <v>31</v>
      </c>
      <c r="B130" s="1017"/>
      <c r="C130" s="947" t="str">
        <f>ASIGNATURAS!I278</f>
        <v>Mecanismos</v>
      </c>
      <c r="D130" s="948"/>
      <c r="E130" s="948"/>
      <c r="F130" s="948"/>
      <c r="G130" s="948"/>
      <c r="H130" s="948"/>
      <c r="I130" s="948"/>
      <c r="J130" s="948"/>
      <c r="K130" s="948"/>
      <c r="L130" s="948"/>
      <c r="M130" s="994">
        <v>7730</v>
      </c>
      <c r="N130" s="981"/>
      <c r="O130" s="981">
        <v>6</v>
      </c>
      <c r="P130" s="972"/>
      <c r="Q130" s="982" t="str">
        <f>ASIGNATURAS!K278</f>
        <v>Alberto Martínez Martínez</v>
      </c>
      <c r="R130" s="983"/>
      <c r="S130" s="983"/>
      <c r="T130" s="983"/>
      <c r="U130" s="983"/>
      <c r="V130" s="983"/>
      <c r="W130" s="983"/>
      <c r="X130" s="983"/>
      <c r="Y130" s="983"/>
      <c r="Z130" s="983"/>
      <c r="AA130" s="983"/>
      <c r="AB130" s="983"/>
      <c r="AC130" s="983"/>
      <c r="AD130" s="983"/>
      <c r="AE130" s="983"/>
    </row>
    <row r="131" spans="1:31" ht="15" customHeight="1" x14ac:dyDescent="0.25">
      <c r="A131" s="1016" t="s">
        <v>640</v>
      </c>
      <c r="B131" s="1017"/>
      <c r="C131" s="947" t="str">
        <f>ASIGNATURAS!I279</f>
        <v>Ingeniería Fluidomecánica</v>
      </c>
      <c r="D131" s="948"/>
      <c r="E131" s="948"/>
      <c r="F131" s="948"/>
      <c r="G131" s="948"/>
      <c r="H131" s="948"/>
      <c r="I131" s="948"/>
      <c r="J131" s="948"/>
      <c r="K131" s="948"/>
      <c r="L131" s="948"/>
      <c r="M131" s="994">
        <v>7731</v>
      </c>
      <c r="N131" s="981"/>
      <c r="O131" s="981">
        <v>6</v>
      </c>
      <c r="P131" s="972"/>
      <c r="Q131" s="982" t="str">
        <f>ASIGNATURAS!K279</f>
        <v>José Antonio Barón</v>
      </c>
      <c r="R131" s="983"/>
      <c r="S131" s="983"/>
      <c r="T131" s="983"/>
      <c r="U131" s="983"/>
      <c r="V131" s="983"/>
      <c r="W131" s="983"/>
      <c r="X131" s="983"/>
      <c r="Y131" s="983"/>
      <c r="Z131" s="983"/>
      <c r="AA131" s="983"/>
      <c r="AB131" s="983"/>
      <c r="AC131" s="983"/>
      <c r="AD131" s="983"/>
      <c r="AE131" s="983"/>
    </row>
    <row r="132" spans="1:31" ht="15" customHeight="1" x14ac:dyDescent="0.25">
      <c r="A132" s="1016" t="s">
        <v>29</v>
      </c>
      <c r="B132" s="1017"/>
      <c r="C132" s="947" t="str">
        <f>ASIGNATURAS!I280</f>
        <v>Automatismos y Control Industrial</v>
      </c>
      <c r="D132" s="948"/>
      <c r="E132" s="948"/>
      <c r="F132" s="948"/>
      <c r="G132" s="948"/>
      <c r="H132" s="948"/>
      <c r="I132" s="948"/>
      <c r="J132" s="948"/>
      <c r="K132" s="948"/>
      <c r="L132" s="948"/>
      <c r="M132" s="994">
        <v>7732</v>
      </c>
      <c r="N132" s="981"/>
      <c r="O132" s="981">
        <v>6</v>
      </c>
      <c r="P132" s="972"/>
      <c r="Q132" s="982" t="str">
        <f>ASIGNATURAS!K280</f>
        <v>Juan Vicente Martín Fraile</v>
      </c>
      <c r="R132" s="983"/>
      <c r="S132" s="983"/>
      <c r="T132" s="983"/>
      <c r="U132" s="983"/>
      <c r="V132" s="983"/>
      <c r="W132" s="983"/>
      <c r="X132" s="983"/>
      <c r="Y132" s="983"/>
      <c r="Z132" s="983"/>
      <c r="AA132" s="983"/>
      <c r="AB132" s="983"/>
      <c r="AC132" s="983"/>
      <c r="AD132" s="983"/>
      <c r="AE132" s="983"/>
    </row>
    <row r="133" spans="1:31" ht="15" x14ac:dyDescent="0.25">
      <c r="A133" s="1016"/>
      <c r="B133" s="1017"/>
      <c r="C133" s="982"/>
      <c r="D133" s="983"/>
      <c r="E133" s="983"/>
      <c r="F133" s="983"/>
      <c r="G133" s="983"/>
      <c r="H133" s="983"/>
      <c r="I133" s="983"/>
      <c r="J133" s="983"/>
      <c r="K133" s="983"/>
      <c r="L133" s="983"/>
      <c r="M133" s="994"/>
      <c r="N133" s="981"/>
      <c r="O133" s="981"/>
      <c r="P133" s="972"/>
      <c r="Q133" s="982"/>
      <c r="R133" s="983"/>
      <c r="S133" s="983"/>
      <c r="T133" s="983"/>
      <c r="U133" s="983"/>
      <c r="V133" s="983"/>
      <c r="W133" s="983"/>
      <c r="X133" s="983"/>
      <c r="Y133" s="983"/>
      <c r="Z133" s="983"/>
      <c r="AA133" s="983"/>
      <c r="AB133" s="983"/>
      <c r="AC133" s="983"/>
      <c r="AD133" s="983"/>
      <c r="AE133" s="983"/>
    </row>
    <row r="135" spans="1:31" ht="15" x14ac:dyDescent="0.25">
      <c r="A135" s="730" t="s">
        <v>1044</v>
      </c>
      <c r="B135" s="731"/>
      <c r="C135" s="731"/>
      <c r="D135" s="731"/>
      <c r="E135" s="732"/>
    </row>
    <row r="136" spans="1:31" ht="15" x14ac:dyDescent="0.25">
      <c r="A136" s="738" t="s">
        <v>1045</v>
      </c>
      <c r="B136" s="739"/>
      <c r="C136" s="739"/>
      <c r="D136" s="739"/>
      <c r="E136" s="740"/>
    </row>
    <row r="138" spans="1:31" x14ac:dyDescent="0.25">
      <c r="A138" s="25" t="s">
        <v>217</v>
      </c>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spans="1:31" x14ac:dyDescent="0.25">
      <c r="A139" s="25"/>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spans="1:31" x14ac:dyDescent="0.25">
      <c r="A140" s="25"/>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spans="1:31" x14ac:dyDescent="0.25">
      <c r="A141" s="25"/>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4" spans="1:31" s="1" customFormat="1" ht="60.75" customHeight="1" x14ac:dyDescent="0.4">
      <c r="A144" s="974" t="s">
        <v>675</v>
      </c>
      <c r="B144" s="975"/>
      <c r="C144" s="975"/>
      <c r="D144" s="975"/>
      <c r="E144" s="975"/>
      <c r="F144" s="975"/>
      <c r="G144" s="975"/>
      <c r="H144" s="975"/>
      <c r="I144" s="975"/>
      <c r="J144" s="975"/>
      <c r="K144" s="975"/>
      <c r="L144" s="975"/>
      <c r="M144" s="975"/>
      <c r="N144" s="975"/>
      <c r="O144" s="975"/>
      <c r="P144" s="975"/>
      <c r="Q144" s="975"/>
      <c r="R144" s="975"/>
      <c r="S144" s="975"/>
      <c r="T144" s="975"/>
      <c r="U144" s="975"/>
      <c r="V144" s="975"/>
      <c r="W144" s="975"/>
      <c r="X144" s="975"/>
      <c r="Y144" s="976"/>
      <c r="Z144" s="988" t="str">
        <f>Aulas!G5</f>
        <v>Curso 2024-2025</v>
      </c>
      <c r="AA144" s="988"/>
      <c r="AB144" s="988"/>
      <c r="AC144" s="988"/>
      <c r="AD144" s="988"/>
      <c r="AE144" s="989"/>
    </row>
    <row r="145" spans="1:31" s="8" customFormat="1" ht="23.25" customHeight="1" x14ac:dyDescent="0.4">
      <c r="A145" s="960" t="s">
        <v>1052</v>
      </c>
      <c r="B145" s="961"/>
      <c r="C145" s="961"/>
      <c r="D145" s="961"/>
      <c r="E145" s="961"/>
      <c r="F145" s="961"/>
      <c r="G145" s="961"/>
      <c r="H145" s="961"/>
      <c r="I145" s="961"/>
      <c r="J145" s="961"/>
      <c r="K145" s="961"/>
      <c r="L145" s="961"/>
      <c r="M145" s="961"/>
      <c r="N145" s="961"/>
      <c r="O145" s="961"/>
      <c r="P145" s="961"/>
      <c r="Q145" s="961"/>
      <c r="R145" s="961"/>
      <c r="S145" s="961"/>
      <c r="T145" s="961"/>
      <c r="U145" s="961"/>
      <c r="V145" s="961"/>
      <c r="W145" s="961"/>
      <c r="X145" s="961"/>
      <c r="Y145" s="962"/>
      <c r="Z145" s="984" t="s">
        <v>157</v>
      </c>
      <c r="AA145" s="984"/>
      <c r="AB145" s="984"/>
      <c r="AC145" s="984"/>
      <c r="AD145" s="984"/>
      <c r="AE145" s="985"/>
    </row>
    <row r="146" spans="1:31" s="8" customFormat="1" ht="23.25" customHeight="1" x14ac:dyDescent="0.4">
      <c r="A146" s="963" t="s">
        <v>142</v>
      </c>
      <c r="B146" s="964"/>
      <c r="C146" s="964"/>
      <c r="D146" s="964"/>
      <c r="E146" s="964"/>
      <c r="F146" s="964"/>
      <c r="G146" s="964"/>
      <c r="H146" s="964"/>
      <c r="I146" s="964"/>
      <c r="J146" s="964"/>
      <c r="K146" s="964"/>
      <c r="L146" s="964"/>
      <c r="M146" s="964"/>
      <c r="N146" s="964"/>
      <c r="O146" s="964"/>
      <c r="P146" s="964"/>
      <c r="Q146" s="964"/>
      <c r="R146" s="964"/>
      <c r="S146" s="964"/>
      <c r="T146" s="964"/>
      <c r="U146" s="964"/>
      <c r="V146" s="964"/>
      <c r="W146" s="964"/>
      <c r="X146" s="964"/>
      <c r="Y146" s="965"/>
      <c r="Z146" s="986"/>
      <c r="AA146" s="986"/>
      <c r="AB146" s="986"/>
      <c r="AC146" s="986"/>
      <c r="AD146" s="986"/>
      <c r="AE146" s="987"/>
    </row>
    <row r="147" spans="1:31" ht="38.25" customHeight="1" x14ac:dyDescent="0.25">
      <c r="A147" s="23" t="s">
        <v>709</v>
      </c>
    </row>
    <row r="148" spans="1:31" s="2" customFormat="1" ht="24" customHeight="1" thickBot="1" x14ac:dyDescent="0.3">
      <c r="A148" s="167" t="s">
        <v>1</v>
      </c>
      <c r="B148" s="988" t="s">
        <v>2</v>
      </c>
      <c r="C148" s="988"/>
      <c r="D148" s="988"/>
      <c r="E148" s="988"/>
      <c r="F148" s="988"/>
      <c r="G148" s="989"/>
      <c r="H148" s="988" t="s">
        <v>3</v>
      </c>
      <c r="I148" s="988"/>
      <c r="J148" s="988"/>
      <c r="K148" s="988"/>
      <c r="L148" s="988"/>
      <c r="M148" s="989"/>
      <c r="N148" s="988" t="s">
        <v>139</v>
      </c>
      <c r="O148" s="988"/>
      <c r="P148" s="988"/>
      <c r="Q148" s="988"/>
      <c r="R148" s="988"/>
      <c r="S148" s="989"/>
      <c r="T148" s="988" t="s">
        <v>4</v>
      </c>
      <c r="U148" s="988"/>
      <c r="V148" s="988"/>
      <c r="W148" s="988"/>
      <c r="X148" s="988"/>
      <c r="Y148" s="989"/>
      <c r="Z148" s="988" t="s">
        <v>5</v>
      </c>
      <c r="AA148" s="988"/>
      <c r="AB148" s="988"/>
      <c r="AC148" s="988"/>
      <c r="AD148" s="988"/>
      <c r="AE148" s="989"/>
    </row>
    <row r="149" spans="1:31" ht="30" customHeight="1" x14ac:dyDescent="0.3">
      <c r="A149" s="966" t="s">
        <v>10</v>
      </c>
      <c r="B149" s="954" t="s">
        <v>678</v>
      </c>
      <c r="C149" s="954"/>
      <c r="D149" s="954"/>
      <c r="E149" s="954"/>
      <c r="F149" s="954"/>
      <c r="G149" s="955"/>
      <c r="H149" s="939" t="s">
        <v>703</v>
      </c>
      <c r="I149" s="939"/>
      <c r="J149" s="939"/>
      <c r="K149" s="939"/>
      <c r="L149" s="939"/>
      <c r="M149" s="949"/>
      <c r="N149" s="942" t="s">
        <v>27</v>
      </c>
      <c r="O149" s="940"/>
      <c r="P149" s="940"/>
      <c r="Q149" s="940"/>
      <c r="R149" s="940"/>
      <c r="S149" s="941"/>
      <c r="Z149" s="1015" t="s">
        <v>677</v>
      </c>
      <c r="AA149" s="956"/>
      <c r="AB149" s="956"/>
      <c r="AC149" s="956"/>
      <c r="AD149" s="956"/>
      <c r="AE149" s="957"/>
    </row>
    <row r="150" spans="1:31" ht="30" customHeight="1" x14ac:dyDescent="0.25">
      <c r="A150" s="935"/>
      <c r="B150" s="937" t="s">
        <v>682</v>
      </c>
      <c r="C150" s="937"/>
      <c r="D150" s="937"/>
      <c r="E150" s="937"/>
      <c r="F150" s="937"/>
      <c r="G150" s="938"/>
      <c r="H150" s="944" t="s">
        <v>157</v>
      </c>
      <c r="I150" s="944"/>
      <c r="J150" s="944"/>
      <c r="K150" s="944"/>
      <c r="L150" s="944"/>
      <c r="M150" s="945"/>
      <c r="N150" s="944" t="s">
        <v>157</v>
      </c>
      <c r="O150" s="944"/>
      <c r="P150" s="944"/>
      <c r="Q150" s="944"/>
      <c r="R150" s="944"/>
      <c r="S150" s="945"/>
      <c r="Z150" s="936" t="s">
        <v>682</v>
      </c>
      <c r="AA150" s="937"/>
      <c r="AB150" s="937"/>
      <c r="AC150" s="937"/>
      <c r="AD150" s="937"/>
      <c r="AE150" s="938"/>
    </row>
    <row r="151" spans="1:31" ht="30" customHeight="1" x14ac:dyDescent="0.3">
      <c r="A151" s="934" t="s">
        <v>1019</v>
      </c>
      <c r="B151" s="954" t="s">
        <v>678</v>
      </c>
      <c r="C151" s="954"/>
      <c r="D151" s="954"/>
      <c r="E151" s="954"/>
      <c r="F151" s="954"/>
      <c r="G151" s="955"/>
      <c r="H151" s="1015" t="s">
        <v>34</v>
      </c>
      <c r="I151" s="956"/>
      <c r="J151" s="956"/>
      <c r="K151" s="956"/>
      <c r="L151" s="956"/>
      <c r="M151" s="957"/>
      <c r="N151" s="939" t="s">
        <v>678</v>
      </c>
      <c r="O151" s="939"/>
      <c r="P151" s="939"/>
      <c r="Q151" s="939"/>
      <c r="R151" s="939"/>
      <c r="S151" s="949"/>
      <c r="T151" s="942" t="s">
        <v>36</v>
      </c>
      <c r="U151" s="940"/>
      <c r="V151" s="940"/>
      <c r="W151" s="940"/>
      <c r="X151" s="940"/>
      <c r="Y151" s="941"/>
      <c r="Z151" s="954" t="s">
        <v>677</v>
      </c>
      <c r="AA151" s="954"/>
      <c r="AB151" s="954"/>
      <c r="AC151" s="954"/>
      <c r="AD151" s="954"/>
      <c r="AE151" s="955"/>
    </row>
    <row r="152" spans="1:31" ht="30" customHeight="1" x14ac:dyDescent="0.25">
      <c r="A152" s="935"/>
      <c r="B152" s="937" t="s">
        <v>682</v>
      </c>
      <c r="C152" s="937"/>
      <c r="D152" s="937"/>
      <c r="E152" s="937"/>
      <c r="F152" s="937"/>
      <c r="G152" s="938"/>
      <c r="H152" s="936" t="s">
        <v>157</v>
      </c>
      <c r="I152" s="937"/>
      <c r="J152" s="937"/>
      <c r="K152" s="937"/>
      <c r="L152" s="937"/>
      <c r="M152" s="938"/>
      <c r="N152" s="944" t="s">
        <v>157</v>
      </c>
      <c r="O152" s="944"/>
      <c r="P152" s="944"/>
      <c r="Q152" s="944"/>
      <c r="R152" s="944"/>
      <c r="S152" s="945"/>
      <c r="T152" s="944" t="s">
        <v>157</v>
      </c>
      <c r="U152" s="944"/>
      <c r="V152" s="944"/>
      <c r="W152" s="944"/>
      <c r="X152" s="944"/>
      <c r="Y152" s="945"/>
      <c r="Z152" s="936" t="s">
        <v>682</v>
      </c>
      <c r="AA152" s="937"/>
      <c r="AB152" s="937"/>
      <c r="AC152" s="937"/>
      <c r="AD152" s="937"/>
      <c r="AE152" s="938"/>
    </row>
    <row r="153" spans="1:31" ht="30" customHeight="1" x14ac:dyDescent="0.3">
      <c r="A153" s="934" t="s">
        <v>1020</v>
      </c>
      <c r="B153" s="939" t="s">
        <v>678</v>
      </c>
      <c r="C153" s="939"/>
      <c r="D153" s="939"/>
      <c r="E153" s="939"/>
      <c r="F153" s="939"/>
      <c r="G153" s="949"/>
      <c r="H153" s="954" t="s">
        <v>34</v>
      </c>
      <c r="I153" s="954"/>
      <c r="J153" s="954"/>
      <c r="K153" s="954"/>
      <c r="L153" s="954"/>
      <c r="M153" s="955"/>
      <c r="N153" s="954" t="s">
        <v>703</v>
      </c>
      <c r="O153" s="954"/>
      <c r="P153" s="954"/>
      <c r="Q153" s="954"/>
      <c r="R153" s="954"/>
      <c r="S153" s="955"/>
      <c r="T153" s="939" t="s">
        <v>36</v>
      </c>
      <c r="U153" s="939"/>
      <c r="V153" s="939"/>
      <c r="W153" s="939"/>
      <c r="X153" s="939"/>
      <c r="Y153" s="949"/>
      <c r="Z153" s="954" t="s">
        <v>36</v>
      </c>
      <c r="AA153" s="954"/>
      <c r="AB153" s="954"/>
      <c r="AC153" s="954"/>
      <c r="AD153" s="954"/>
      <c r="AE153" s="955"/>
    </row>
    <row r="154" spans="1:31" ht="30" customHeight="1" x14ac:dyDescent="0.25">
      <c r="A154" s="935"/>
      <c r="B154" s="944" t="s">
        <v>157</v>
      </c>
      <c r="C154" s="944"/>
      <c r="D154" s="944"/>
      <c r="E154" s="944"/>
      <c r="F154" s="944"/>
      <c r="G154" s="945"/>
      <c r="H154" s="936" t="s">
        <v>157</v>
      </c>
      <c r="I154" s="937"/>
      <c r="J154" s="937"/>
      <c r="K154" s="937"/>
      <c r="L154" s="937"/>
      <c r="M154" s="938"/>
      <c r="N154" s="936" t="s">
        <v>1333</v>
      </c>
      <c r="O154" s="937"/>
      <c r="P154" s="937"/>
      <c r="Q154" s="937"/>
      <c r="R154" s="937"/>
      <c r="S154" s="938"/>
      <c r="T154" s="944" t="s">
        <v>157</v>
      </c>
      <c r="U154" s="944"/>
      <c r="V154" s="944"/>
      <c r="W154" s="944"/>
      <c r="X154" s="944"/>
      <c r="Y154" s="945"/>
      <c r="Z154" s="937" t="s">
        <v>1351</v>
      </c>
      <c r="AA154" s="937"/>
      <c r="AB154" s="937"/>
      <c r="AC154" s="937"/>
      <c r="AD154" s="937"/>
      <c r="AE154" s="938"/>
    </row>
    <row r="155" spans="1:31" ht="30" customHeight="1" x14ac:dyDescent="0.3">
      <c r="A155" s="934" t="s">
        <v>7</v>
      </c>
      <c r="B155" s="939" t="s">
        <v>703</v>
      </c>
      <c r="C155" s="939"/>
      <c r="D155" s="939"/>
      <c r="E155" s="939"/>
      <c r="F155" s="939"/>
      <c r="G155" s="949"/>
      <c r="H155" s="939" t="s">
        <v>27</v>
      </c>
      <c r="I155" s="939"/>
      <c r="J155" s="939"/>
      <c r="K155" s="939"/>
      <c r="L155" s="939"/>
      <c r="M155" s="949"/>
      <c r="N155" s="954" t="s">
        <v>703</v>
      </c>
      <c r="O155" s="954"/>
      <c r="P155" s="954"/>
      <c r="Q155" s="954"/>
      <c r="R155" s="954"/>
      <c r="S155" s="955"/>
      <c r="T155" s="939" t="s">
        <v>677</v>
      </c>
      <c r="U155" s="939"/>
      <c r="V155" s="939"/>
      <c r="W155" s="939"/>
      <c r="X155" s="939"/>
      <c r="Y155" s="949"/>
      <c r="Z155" s="954" t="s">
        <v>36</v>
      </c>
      <c r="AA155" s="954"/>
      <c r="AB155" s="954"/>
      <c r="AC155" s="954"/>
      <c r="AD155" s="954"/>
      <c r="AE155" s="955"/>
    </row>
    <row r="156" spans="1:31" ht="30" customHeight="1" x14ac:dyDescent="0.25">
      <c r="A156" s="935"/>
      <c r="B156" s="944" t="s">
        <v>157</v>
      </c>
      <c r="C156" s="944"/>
      <c r="D156" s="944"/>
      <c r="E156" s="944"/>
      <c r="F156" s="944"/>
      <c r="G156" s="945"/>
      <c r="H156" s="944" t="s">
        <v>157</v>
      </c>
      <c r="I156" s="944"/>
      <c r="J156" s="944"/>
      <c r="K156" s="944"/>
      <c r="L156" s="944"/>
      <c r="M156" s="945"/>
      <c r="N156" s="936" t="s">
        <v>1333</v>
      </c>
      <c r="O156" s="937"/>
      <c r="P156" s="937"/>
      <c r="Q156" s="937"/>
      <c r="R156" s="937"/>
      <c r="S156" s="938"/>
      <c r="T156" s="944" t="s">
        <v>157</v>
      </c>
      <c r="U156" s="944"/>
      <c r="V156" s="944"/>
      <c r="W156" s="944"/>
      <c r="X156" s="944"/>
      <c r="Y156" s="945"/>
      <c r="Z156" s="937" t="s">
        <v>1351</v>
      </c>
      <c r="AA156" s="937"/>
      <c r="AB156" s="937"/>
      <c r="AC156" s="937"/>
      <c r="AD156" s="937"/>
      <c r="AE156" s="938"/>
    </row>
    <row r="157" spans="1:31" ht="30" customHeight="1" x14ac:dyDescent="0.3">
      <c r="A157" s="934" t="s">
        <v>8</v>
      </c>
      <c r="B157" s="939" t="s">
        <v>34</v>
      </c>
      <c r="C157" s="939"/>
      <c r="D157" s="939"/>
      <c r="E157" s="939"/>
      <c r="F157" s="939"/>
      <c r="G157" s="949"/>
      <c r="H157" s="932"/>
      <c r="I157" s="932"/>
      <c r="J157" s="932"/>
      <c r="K157" s="932"/>
      <c r="L157" s="932"/>
      <c r="M157" s="933"/>
      <c r="N157" s="932"/>
      <c r="O157" s="932"/>
      <c r="P157" s="932"/>
      <c r="Q157" s="932"/>
      <c r="R157" s="932"/>
      <c r="S157" s="933"/>
      <c r="T157" s="939" t="s">
        <v>677</v>
      </c>
      <c r="U157" s="939"/>
      <c r="V157" s="939"/>
      <c r="W157" s="939"/>
      <c r="X157" s="939"/>
      <c r="Y157" s="949"/>
      <c r="Z157" s="932"/>
      <c r="AA157" s="932"/>
      <c r="AB157" s="932"/>
      <c r="AC157" s="932"/>
      <c r="AD157" s="932"/>
      <c r="AE157" s="933"/>
    </row>
    <row r="158" spans="1:31" ht="30" customHeight="1" x14ac:dyDescent="0.25">
      <c r="A158" s="935"/>
      <c r="B158" s="944" t="s">
        <v>157</v>
      </c>
      <c r="C158" s="944"/>
      <c r="D158" s="944"/>
      <c r="E158" s="944"/>
      <c r="F158" s="944"/>
      <c r="G158" s="945"/>
      <c r="H158" s="930"/>
      <c r="I158" s="930"/>
      <c r="J158" s="930"/>
      <c r="K158" s="930"/>
      <c r="L158" s="930"/>
      <c r="M158" s="931"/>
      <c r="N158" s="930"/>
      <c r="O158" s="930"/>
      <c r="P158" s="930"/>
      <c r="Q158" s="930"/>
      <c r="R158" s="930"/>
      <c r="S158" s="931"/>
      <c r="T158" s="944" t="s">
        <v>157</v>
      </c>
      <c r="U158" s="944"/>
      <c r="V158" s="944"/>
      <c r="W158" s="944"/>
      <c r="X158" s="944"/>
      <c r="Y158" s="945"/>
      <c r="Z158" s="930"/>
      <c r="AA158" s="930"/>
      <c r="AB158" s="930"/>
      <c r="AC158" s="930"/>
      <c r="AD158" s="930"/>
      <c r="AE158" s="931"/>
    </row>
    <row r="159" spans="1:31" ht="30" customHeight="1" x14ac:dyDescent="0.3">
      <c r="A159" s="934" t="s">
        <v>9</v>
      </c>
      <c r="B159" s="939" t="s">
        <v>34</v>
      </c>
      <c r="C159" s="939"/>
      <c r="D159" s="939"/>
      <c r="E159" s="939"/>
      <c r="F159" s="939"/>
      <c r="G159" s="949"/>
      <c r="H159" s="932"/>
      <c r="I159" s="932"/>
      <c r="J159" s="932"/>
      <c r="K159" s="932"/>
      <c r="L159" s="932"/>
      <c r="M159" s="933"/>
      <c r="N159" s="932"/>
      <c r="O159" s="932"/>
      <c r="P159" s="932"/>
      <c r="Q159" s="932"/>
      <c r="R159" s="932"/>
      <c r="S159" s="933"/>
      <c r="T159" s="932"/>
      <c r="U159" s="932"/>
      <c r="V159" s="932"/>
      <c r="W159" s="932"/>
      <c r="X159" s="932"/>
      <c r="Y159" s="933"/>
      <c r="Z159" s="932"/>
      <c r="AA159" s="932"/>
      <c r="AB159" s="932"/>
      <c r="AC159" s="932"/>
      <c r="AD159" s="932"/>
      <c r="AE159" s="933"/>
    </row>
    <row r="160" spans="1:31" ht="30" customHeight="1" x14ac:dyDescent="0.25">
      <c r="A160" s="935"/>
      <c r="B160" s="944" t="s">
        <v>157</v>
      </c>
      <c r="C160" s="944"/>
      <c r="D160" s="944"/>
      <c r="E160" s="944"/>
      <c r="F160" s="944"/>
      <c r="G160" s="945"/>
      <c r="H160" s="930"/>
      <c r="I160" s="930"/>
      <c r="J160" s="930"/>
      <c r="K160" s="930"/>
      <c r="L160" s="930"/>
      <c r="M160" s="931"/>
      <c r="N160" s="930"/>
      <c r="O160" s="930"/>
      <c r="P160" s="930"/>
      <c r="Q160" s="930"/>
      <c r="R160" s="930"/>
      <c r="S160" s="931"/>
      <c r="T160" s="930"/>
      <c r="U160" s="930"/>
      <c r="V160" s="930"/>
      <c r="W160" s="930"/>
      <c r="X160" s="930"/>
      <c r="Y160" s="931"/>
      <c r="Z160" s="930"/>
      <c r="AA160" s="930"/>
      <c r="AB160" s="930"/>
      <c r="AC160" s="930"/>
      <c r="AD160" s="930"/>
      <c r="AE160" s="931"/>
    </row>
    <row r="161" spans="1:31" s="2" customFormat="1" ht="24" customHeight="1" thickBot="1" x14ac:dyDescent="0.3">
      <c r="A161" s="167" t="s">
        <v>1</v>
      </c>
      <c r="B161" s="988" t="s">
        <v>2</v>
      </c>
      <c r="C161" s="988"/>
      <c r="D161" s="988"/>
      <c r="E161" s="988"/>
      <c r="F161" s="988"/>
      <c r="G161" s="989"/>
      <c r="H161" s="988" t="s">
        <v>3</v>
      </c>
      <c r="I161" s="988"/>
      <c r="J161" s="988"/>
      <c r="K161" s="988"/>
      <c r="L161" s="988"/>
      <c r="M161" s="989"/>
      <c r="N161" s="988" t="s">
        <v>139</v>
      </c>
      <c r="O161" s="988"/>
      <c r="P161" s="988"/>
      <c r="Q161" s="988"/>
      <c r="R161" s="988"/>
      <c r="S161" s="989"/>
      <c r="T161" s="988" t="s">
        <v>4</v>
      </c>
      <c r="U161" s="988"/>
      <c r="V161" s="988"/>
      <c r="W161" s="988"/>
      <c r="X161" s="988"/>
      <c r="Y161" s="989"/>
      <c r="Z161" s="988" t="s">
        <v>5</v>
      </c>
      <c r="AA161" s="988"/>
      <c r="AB161" s="988"/>
      <c r="AC161" s="988"/>
      <c r="AD161" s="988"/>
      <c r="AE161" s="989"/>
    </row>
    <row r="162" spans="1:31" ht="30" customHeight="1" x14ac:dyDescent="0.3">
      <c r="A162" s="966" t="s">
        <v>187</v>
      </c>
      <c r="B162" s="954" t="s">
        <v>27</v>
      </c>
      <c r="C162" s="954"/>
      <c r="D162" s="954"/>
      <c r="E162" s="954"/>
      <c r="F162" s="954"/>
      <c r="G162" s="955"/>
      <c r="H162" s="932"/>
      <c r="I162" s="932"/>
      <c r="J162" s="932"/>
      <c r="K162" s="932"/>
      <c r="L162" s="932"/>
      <c r="M162" s="933"/>
      <c r="N162" s="1005"/>
      <c r="O162" s="967"/>
      <c r="P162" s="967"/>
      <c r="Q162" s="967"/>
      <c r="R162" s="967"/>
      <c r="S162" s="968"/>
      <c r="T162" s="10"/>
      <c r="U162" s="10"/>
      <c r="V162" s="10"/>
      <c r="W162" s="10"/>
      <c r="X162" s="10"/>
      <c r="Y162" s="10"/>
      <c r="Z162" s="1005"/>
      <c r="AA162" s="967"/>
      <c r="AB162" s="967"/>
      <c r="AC162" s="967"/>
      <c r="AD162" s="967"/>
      <c r="AE162" s="968"/>
    </row>
    <row r="163" spans="1:31" ht="30" customHeight="1" x14ac:dyDescent="0.25">
      <c r="A163" s="935"/>
      <c r="B163" s="937" t="s">
        <v>164</v>
      </c>
      <c r="C163" s="937"/>
      <c r="D163" s="937"/>
      <c r="E163" s="937"/>
      <c r="F163" s="937"/>
      <c r="G163" s="938"/>
      <c r="H163" s="930"/>
      <c r="I163" s="930"/>
      <c r="J163" s="930"/>
      <c r="K163" s="930"/>
      <c r="L163" s="930"/>
      <c r="M163" s="931"/>
      <c r="N163" s="930"/>
      <c r="O163" s="930"/>
      <c r="P163" s="930"/>
      <c r="Q163" s="930"/>
      <c r="R163" s="930"/>
      <c r="S163" s="931"/>
      <c r="T163" s="10"/>
      <c r="U163" s="10"/>
      <c r="V163" s="10"/>
      <c r="W163" s="10"/>
      <c r="X163" s="10"/>
      <c r="Y163" s="10"/>
      <c r="Z163" s="943"/>
      <c r="AA163" s="930"/>
      <c r="AB163" s="930"/>
      <c r="AC163" s="930"/>
      <c r="AD163" s="930"/>
      <c r="AE163" s="931"/>
    </row>
    <row r="164" spans="1:31" ht="30" customHeight="1" x14ac:dyDescent="0.3">
      <c r="A164" s="934" t="s">
        <v>186</v>
      </c>
      <c r="B164" s="954" t="s">
        <v>27</v>
      </c>
      <c r="C164" s="954"/>
      <c r="D164" s="954"/>
      <c r="E164" s="954"/>
      <c r="F164" s="954"/>
      <c r="G164" s="955"/>
      <c r="H164" s="1005"/>
      <c r="I164" s="967"/>
      <c r="J164" s="967"/>
      <c r="K164" s="967"/>
      <c r="L164" s="967"/>
      <c r="M164" s="968"/>
      <c r="N164" s="932"/>
      <c r="O164" s="932"/>
      <c r="P164" s="932"/>
      <c r="Q164" s="932"/>
      <c r="R164" s="932"/>
      <c r="S164" s="933"/>
      <c r="T164" s="1005"/>
      <c r="U164" s="967"/>
      <c r="V164" s="967"/>
      <c r="W164" s="967"/>
      <c r="X164" s="967"/>
      <c r="Y164" s="968"/>
      <c r="Z164" s="932"/>
      <c r="AA164" s="932"/>
      <c r="AB164" s="932"/>
      <c r="AC164" s="932"/>
      <c r="AD164" s="932"/>
      <c r="AE164" s="933"/>
    </row>
    <row r="165" spans="1:31" ht="30" customHeight="1" x14ac:dyDescent="0.25">
      <c r="A165" s="935"/>
      <c r="B165" s="937" t="s">
        <v>164</v>
      </c>
      <c r="C165" s="937"/>
      <c r="D165" s="937"/>
      <c r="E165" s="937"/>
      <c r="F165" s="937"/>
      <c r="G165" s="938"/>
      <c r="H165" s="943"/>
      <c r="I165" s="930"/>
      <c r="J165" s="930"/>
      <c r="K165" s="930"/>
      <c r="L165" s="930"/>
      <c r="M165" s="931"/>
      <c r="N165" s="930"/>
      <c r="O165" s="930"/>
      <c r="P165" s="930"/>
      <c r="Q165" s="930"/>
      <c r="R165" s="930"/>
      <c r="S165" s="931"/>
      <c r="T165" s="930"/>
      <c r="U165" s="930"/>
      <c r="V165" s="930"/>
      <c r="W165" s="930"/>
      <c r="X165" s="930"/>
      <c r="Y165" s="931"/>
      <c r="Z165" s="943"/>
      <c r="AA165" s="930"/>
      <c r="AB165" s="930"/>
      <c r="AC165" s="930"/>
      <c r="AD165" s="930"/>
      <c r="AE165" s="931"/>
    </row>
    <row r="166" spans="1:31" x14ac:dyDescent="0.25">
      <c r="P166" s="332"/>
      <c r="Q166" s="332"/>
      <c r="S166" s="332"/>
    </row>
    <row r="167" spans="1:31" ht="15" x14ac:dyDescent="0.25">
      <c r="A167" s="736" t="s">
        <v>218</v>
      </c>
      <c r="B167" s="737"/>
      <c r="C167" s="952" t="s">
        <v>219</v>
      </c>
      <c r="D167" s="952"/>
      <c r="E167" s="952"/>
      <c r="F167" s="952"/>
      <c r="G167" s="952"/>
      <c r="H167" s="952"/>
      <c r="I167" s="952"/>
      <c r="J167" s="952"/>
      <c r="K167" s="952"/>
      <c r="L167" s="168"/>
      <c r="M167" s="950" t="s">
        <v>629</v>
      </c>
      <c r="N167" s="951"/>
      <c r="O167" s="952" t="s">
        <v>143</v>
      </c>
      <c r="P167" s="953"/>
      <c r="Q167" s="952" t="s">
        <v>167</v>
      </c>
      <c r="R167" s="952"/>
      <c r="S167" s="952"/>
      <c r="T167" s="952"/>
      <c r="U167" s="952"/>
      <c r="V167" s="952"/>
      <c r="W167" s="952"/>
      <c r="X167" s="952"/>
      <c r="Y167" s="952"/>
      <c r="Z167" s="952"/>
      <c r="AA167" s="952"/>
      <c r="AB167" s="952"/>
      <c r="AC167" s="952"/>
      <c r="AD167" s="952"/>
      <c r="AE167" s="953"/>
    </row>
    <row r="168" spans="1:31" ht="15" x14ac:dyDescent="0.25">
      <c r="A168" s="1016" t="s">
        <v>27</v>
      </c>
      <c r="B168" s="1017"/>
      <c r="C168" s="947" t="str">
        <f>ASIGNATURAS!I281</f>
        <v>Ingeniería de Materiales</v>
      </c>
      <c r="D168" s="948"/>
      <c r="E168" s="948"/>
      <c r="F168" s="948"/>
      <c r="G168" s="948"/>
      <c r="H168" s="948"/>
      <c r="I168" s="948"/>
      <c r="J168" s="948"/>
      <c r="K168" s="948"/>
      <c r="L168" s="948"/>
      <c r="M168" s="972">
        <v>7733</v>
      </c>
      <c r="N168" s="972"/>
      <c r="O168" s="1013">
        <v>6</v>
      </c>
      <c r="P168" s="1014"/>
      <c r="Q168" s="982" t="str">
        <f>ASIGNATURAS!K281</f>
        <v>Mónica Preciado, David Cardenas</v>
      </c>
      <c r="R168" s="983"/>
      <c r="S168" s="983"/>
      <c r="T168" s="983"/>
      <c r="U168" s="983"/>
      <c r="V168" s="983"/>
      <c r="W168" s="983"/>
      <c r="X168" s="983"/>
      <c r="Y168" s="983"/>
      <c r="Z168" s="983"/>
      <c r="AA168" s="983"/>
      <c r="AB168" s="983"/>
      <c r="AC168" s="983"/>
      <c r="AD168" s="983"/>
      <c r="AE168" s="983"/>
    </row>
    <row r="169" spans="1:31" ht="15" customHeight="1" x14ac:dyDescent="0.25">
      <c r="A169" s="1016" t="s">
        <v>703</v>
      </c>
      <c r="B169" s="1017"/>
      <c r="C169" s="947" t="str">
        <f>ASIGNATURAS!I282</f>
        <v>Máquinas Eléctricas</v>
      </c>
      <c r="D169" s="948"/>
      <c r="E169" s="948"/>
      <c r="F169" s="948"/>
      <c r="G169" s="948"/>
      <c r="H169" s="948"/>
      <c r="I169" s="948"/>
      <c r="J169" s="948"/>
      <c r="K169" s="948"/>
      <c r="L169" s="948"/>
      <c r="M169" s="972">
        <v>7740</v>
      </c>
      <c r="N169" s="972"/>
      <c r="O169" s="981">
        <v>6</v>
      </c>
      <c r="P169" s="972"/>
      <c r="Q169" s="982" t="str">
        <f>ASIGNATURAS!K282</f>
        <v>Vanesa Fernández Cavero</v>
      </c>
      <c r="R169" s="983"/>
      <c r="S169" s="983"/>
      <c r="T169" s="983"/>
      <c r="U169" s="983"/>
      <c r="V169" s="983"/>
      <c r="W169" s="983"/>
      <c r="X169" s="983"/>
      <c r="Y169" s="983"/>
      <c r="Z169" s="983"/>
      <c r="AA169" s="983"/>
      <c r="AB169" s="983"/>
      <c r="AC169" s="983"/>
      <c r="AD169" s="983"/>
      <c r="AE169" s="983"/>
    </row>
    <row r="170" spans="1:31" ht="15" customHeight="1" x14ac:dyDescent="0.25">
      <c r="A170" s="1016" t="s">
        <v>34</v>
      </c>
      <c r="B170" s="1017"/>
      <c r="C170" s="947" t="str">
        <f>ASIGNATURAS!I283</f>
        <v>Resistencia de Materiales II</v>
      </c>
      <c r="D170" s="948"/>
      <c r="E170" s="948"/>
      <c r="F170" s="948"/>
      <c r="G170" s="948"/>
      <c r="H170" s="948"/>
      <c r="I170" s="948"/>
      <c r="J170" s="948"/>
      <c r="K170" s="948"/>
      <c r="L170" s="948"/>
      <c r="M170" s="972">
        <v>7735</v>
      </c>
      <c r="N170" s="972"/>
      <c r="O170" s="981">
        <v>6</v>
      </c>
      <c r="P170" s="972"/>
      <c r="Q170" s="982" t="str">
        <f>ASIGNATURAS!K283</f>
        <v>Wilco Verbeeten,  Jesús Manuel Alegre</v>
      </c>
      <c r="R170" s="983"/>
      <c r="S170" s="983"/>
      <c r="T170" s="983"/>
      <c r="U170" s="983"/>
      <c r="V170" s="983"/>
      <c r="W170" s="983"/>
      <c r="X170" s="983"/>
      <c r="Y170" s="983"/>
      <c r="Z170" s="983"/>
      <c r="AA170" s="983"/>
      <c r="AB170" s="983"/>
      <c r="AC170" s="983"/>
      <c r="AD170" s="983"/>
      <c r="AE170" s="983"/>
    </row>
    <row r="171" spans="1:31" ht="15" customHeight="1" x14ac:dyDescent="0.25">
      <c r="A171" s="1016" t="s">
        <v>36</v>
      </c>
      <c r="B171" s="1017"/>
      <c r="C171" s="947" t="str">
        <f>ASIGNATURAS!I284</f>
        <v>Mecanismos II</v>
      </c>
      <c r="D171" s="948"/>
      <c r="E171" s="948"/>
      <c r="F171" s="948"/>
      <c r="G171" s="948"/>
      <c r="H171" s="948"/>
      <c r="I171" s="948"/>
      <c r="J171" s="948"/>
      <c r="K171" s="948"/>
      <c r="L171" s="948"/>
      <c r="M171" s="972">
        <v>7736</v>
      </c>
      <c r="N171" s="972"/>
      <c r="O171" s="981">
        <v>6</v>
      </c>
      <c r="P171" s="972"/>
      <c r="Q171" s="982" t="str">
        <f>ASIGNATURAS!K284</f>
        <v>Eduardo Pérez Colina</v>
      </c>
      <c r="R171" s="983"/>
      <c r="S171" s="983"/>
      <c r="T171" s="983"/>
      <c r="U171" s="983"/>
      <c r="V171" s="983"/>
      <c r="W171" s="983"/>
      <c r="X171" s="983"/>
      <c r="Y171" s="983"/>
      <c r="Z171" s="983"/>
      <c r="AA171" s="983"/>
      <c r="AB171" s="983"/>
      <c r="AC171" s="983"/>
      <c r="AD171" s="983"/>
      <c r="AE171" s="983"/>
    </row>
    <row r="172" spans="1:31" ht="15" customHeight="1" x14ac:dyDescent="0.25">
      <c r="A172" s="1016" t="s">
        <v>677</v>
      </c>
      <c r="B172" s="1017"/>
      <c r="C172" s="947" t="str">
        <f>ASIGNATURAS!I285</f>
        <v>Electrónica Analógica</v>
      </c>
      <c r="D172" s="948"/>
      <c r="E172" s="948"/>
      <c r="F172" s="948"/>
      <c r="G172" s="948"/>
      <c r="H172" s="948"/>
      <c r="I172" s="948"/>
      <c r="J172" s="948"/>
      <c r="K172" s="948"/>
      <c r="L172" s="948"/>
      <c r="M172" s="972">
        <v>7737</v>
      </c>
      <c r="N172" s="972"/>
      <c r="O172" s="981">
        <v>6</v>
      </c>
      <c r="P172" s="972"/>
      <c r="Q172" s="982" t="str">
        <f>ASIGNATURAS!K285</f>
        <v>Jesús H. Lucio</v>
      </c>
      <c r="R172" s="983"/>
      <c r="S172" s="983"/>
      <c r="T172" s="983"/>
      <c r="U172" s="983"/>
      <c r="V172" s="983"/>
      <c r="W172" s="983"/>
      <c r="X172" s="983"/>
      <c r="Y172" s="983"/>
      <c r="Z172" s="983"/>
      <c r="AA172" s="983"/>
      <c r="AB172" s="983"/>
      <c r="AC172" s="983"/>
      <c r="AD172" s="983"/>
      <c r="AE172" s="983"/>
    </row>
    <row r="173" spans="1:31" ht="15" x14ac:dyDescent="0.25">
      <c r="A173" s="1016" t="s">
        <v>678</v>
      </c>
      <c r="B173" s="1017"/>
      <c r="C173" s="947" t="str">
        <f>ASIGNATURAS!I286</f>
        <v>Electrónica Digital</v>
      </c>
      <c r="D173" s="948"/>
      <c r="E173" s="948"/>
      <c r="F173" s="948"/>
      <c r="G173" s="948"/>
      <c r="H173" s="948"/>
      <c r="I173" s="948"/>
      <c r="J173" s="948"/>
      <c r="K173" s="948"/>
      <c r="L173" s="948"/>
      <c r="M173" s="972">
        <v>7738</v>
      </c>
      <c r="N173" s="972"/>
      <c r="O173" s="981">
        <v>6</v>
      </c>
      <c r="P173" s="972"/>
      <c r="Q173" s="982" t="str">
        <f>ASIGNATURAS!K286</f>
        <v xml:space="preserve">Miguel Angel Lozano </v>
      </c>
      <c r="R173" s="983"/>
      <c r="S173" s="983"/>
      <c r="T173" s="983"/>
      <c r="U173" s="983"/>
      <c r="V173" s="983"/>
      <c r="W173" s="983"/>
      <c r="X173" s="983"/>
      <c r="Y173" s="983"/>
      <c r="Z173" s="983"/>
      <c r="AA173" s="983"/>
      <c r="AB173" s="983"/>
      <c r="AC173" s="983"/>
      <c r="AD173" s="983"/>
      <c r="AE173" s="983"/>
    </row>
    <row r="176" spans="1:31" ht="15" x14ac:dyDescent="0.25">
      <c r="A176" s="730" t="s">
        <v>1044</v>
      </c>
      <c r="B176" s="731"/>
      <c r="C176" s="731"/>
      <c r="D176" s="731"/>
      <c r="E176" s="732"/>
    </row>
    <row r="177" spans="1:31" ht="15" x14ac:dyDescent="0.25">
      <c r="A177" s="733" t="s">
        <v>1045</v>
      </c>
      <c r="B177" s="734"/>
      <c r="C177" s="734"/>
      <c r="D177" s="734"/>
      <c r="E177" s="735"/>
    </row>
    <row r="179" spans="1:31" x14ac:dyDescent="0.25">
      <c r="A179" s="25" t="s">
        <v>217</v>
      </c>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3" spans="1:31" s="1" customFormat="1" ht="60.75" customHeight="1" x14ac:dyDescent="0.4">
      <c r="A183" s="974" t="s">
        <v>675</v>
      </c>
      <c r="B183" s="975"/>
      <c r="C183" s="975"/>
      <c r="D183" s="975"/>
      <c r="E183" s="975"/>
      <c r="F183" s="975"/>
      <c r="G183" s="975"/>
      <c r="H183" s="975"/>
      <c r="I183" s="975"/>
      <c r="J183" s="975"/>
      <c r="K183" s="975"/>
      <c r="L183" s="975"/>
      <c r="M183" s="975"/>
      <c r="N183" s="975"/>
      <c r="O183" s="975"/>
      <c r="P183" s="975"/>
      <c r="Q183" s="975"/>
      <c r="R183" s="975"/>
      <c r="S183" s="975"/>
      <c r="T183" s="975"/>
      <c r="U183" s="975"/>
      <c r="V183" s="975"/>
      <c r="W183" s="975"/>
      <c r="X183" s="975"/>
      <c r="Y183" s="976"/>
      <c r="Z183" s="988" t="str">
        <f>Aulas!G5</f>
        <v>Curso 2024-2025</v>
      </c>
      <c r="AA183" s="988"/>
      <c r="AB183" s="988"/>
      <c r="AC183" s="988"/>
      <c r="AD183" s="988"/>
      <c r="AE183" s="989"/>
    </row>
    <row r="184" spans="1:31" s="8" customFormat="1" ht="23.25" customHeight="1" x14ac:dyDescent="0.4">
      <c r="A184" s="960" t="s">
        <v>1053</v>
      </c>
      <c r="B184" s="961"/>
      <c r="C184" s="961"/>
      <c r="D184" s="961"/>
      <c r="E184" s="961"/>
      <c r="F184" s="961"/>
      <c r="G184" s="961"/>
      <c r="H184" s="961"/>
      <c r="I184" s="961"/>
      <c r="J184" s="961"/>
      <c r="K184" s="961"/>
      <c r="L184" s="961"/>
      <c r="M184" s="961"/>
      <c r="N184" s="961"/>
      <c r="O184" s="961"/>
      <c r="P184" s="961"/>
      <c r="Q184" s="961"/>
      <c r="R184" s="961"/>
      <c r="S184" s="961"/>
      <c r="T184" s="961"/>
      <c r="U184" s="961"/>
      <c r="V184" s="961"/>
      <c r="W184" s="961"/>
      <c r="X184" s="961"/>
      <c r="Y184" s="962"/>
      <c r="Z184" s="984" t="s">
        <v>157</v>
      </c>
      <c r="AA184" s="984"/>
      <c r="AB184" s="984"/>
      <c r="AC184" s="984"/>
      <c r="AD184" s="984"/>
      <c r="AE184" s="985"/>
    </row>
    <row r="185" spans="1:31" s="8" customFormat="1" ht="23.25" customHeight="1" x14ac:dyDescent="0.4">
      <c r="A185" s="963" t="s">
        <v>142</v>
      </c>
      <c r="B185" s="964"/>
      <c r="C185" s="964"/>
      <c r="D185" s="964"/>
      <c r="E185" s="964"/>
      <c r="F185" s="964"/>
      <c r="G185" s="964"/>
      <c r="H185" s="964"/>
      <c r="I185" s="964"/>
      <c r="J185" s="964"/>
      <c r="K185" s="964"/>
      <c r="L185" s="964"/>
      <c r="M185" s="964"/>
      <c r="N185" s="964"/>
      <c r="O185" s="964"/>
      <c r="P185" s="964"/>
      <c r="Q185" s="964"/>
      <c r="R185" s="964"/>
      <c r="S185" s="964"/>
      <c r="T185" s="964"/>
      <c r="U185" s="964"/>
      <c r="V185" s="964"/>
      <c r="W185" s="964"/>
      <c r="X185" s="964"/>
      <c r="Y185" s="965"/>
      <c r="Z185" s="986"/>
      <c r="AA185" s="986"/>
      <c r="AB185" s="986"/>
      <c r="AC185" s="986"/>
      <c r="AD185" s="986"/>
      <c r="AE185" s="987"/>
    </row>
    <row r="186" spans="1:31" ht="38.25" customHeight="1" x14ac:dyDescent="0.25">
      <c r="A186" s="23" t="s">
        <v>708</v>
      </c>
    </row>
    <row r="187" spans="1:31" s="2" customFormat="1" ht="24" customHeight="1" thickBot="1" x14ac:dyDescent="0.3">
      <c r="A187" s="167" t="s">
        <v>1</v>
      </c>
      <c r="B187" s="988" t="s">
        <v>2</v>
      </c>
      <c r="C187" s="988"/>
      <c r="D187" s="988"/>
      <c r="E187" s="988"/>
      <c r="F187" s="988"/>
      <c r="G187" s="989"/>
      <c r="H187" s="988" t="s">
        <v>3</v>
      </c>
      <c r="I187" s="988"/>
      <c r="J187" s="988"/>
      <c r="K187" s="988"/>
      <c r="L187" s="988"/>
      <c r="M187" s="989"/>
      <c r="N187" s="988" t="s">
        <v>139</v>
      </c>
      <c r="O187" s="988"/>
      <c r="P187" s="988"/>
      <c r="Q187" s="988"/>
      <c r="R187" s="988"/>
      <c r="S187" s="989"/>
      <c r="T187" s="988" t="s">
        <v>4</v>
      </c>
      <c r="U187" s="988"/>
      <c r="V187" s="988"/>
      <c r="W187" s="988"/>
      <c r="X187" s="988"/>
      <c r="Y187" s="989"/>
      <c r="Z187" s="988" t="s">
        <v>5</v>
      </c>
      <c r="AA187" s="988"/>
      <c r="AB187" s="988"/>
      <c r="AC187" s="988"/>
      <c r="AD187" s="988"/>
      <c r="AE187" s="989"/>
    </row>
    <row r="188" spans="1:31" ht="30" customHeight="1" x14ac:dyDescent="0.3">
      <c r="A188" s="966" t="s">
        <v>10</v>
      </c>
      <c r="B188" s="932"/>
      <c r="C188" s="932"/>
      <c r="D188" s="932"/>
      <c r="E188" s="932"/>
      <c r="F188" s="932"/>
      <c r="G188" s="933"/>
      <c r="H188" s="932"/>
      <c r="I188" s="932"/>
      <c r="J188" s="932"/>
      <c r="K188" s="932"/>
      <c r="L188" s="932"/>
      <c r="M188" s="933"/>
      <c r="N188" s="954" t="s">
        <v>704</v>
      </c>
      <c r="O188" s="954"/>
      <c r="P188" s="954"/>
      <c r="Q188" s="954"/>
      <c r="R188" s="954"/>
      <c r="S188" s="955"/>
      <c r="T188" s="939" t="s">
        <v>679</v>
      </c>
      <c r="U188" s="939"/>
      <c r="V188" s="939"/>
      <c r="W188" s="939"/>
      <c r="X188" s="939"/>
      <c r="Y188" s="949"/>
      <c r="Z188" s="932"/>
      <c r="AA188" s="932"/>
      <c r="AB188" s="932"/>
      <c r="AC188" s="932"/>
      <c r="AD188" s="932"/>
      <c r="AE188" s="933"/>
    </row>
    <row r="189" spans="1:31" ht="30" customHeight="1" x14ac:dyDescent="0.25">
      <c r="A189" s="935"/>
      <c r="B189" s="930"/>
      <c r="C189" s="930"/>
      <c r="D189" s="930"/>
      <c r="E189" s="930"/>
      <c r="F189" s="930"/>
      <c r="G189" s="931"/>
      <c r="H189" s="930"/>
      <c r="I189" s="930"/>
      <c r="J189" s="930"/>
      <c r="K189" s="930"/>
      <c r="L189" s="930"/>
      <c r="M189" s="931"/>
      <c r="N189" s="937" t="s">
        <v>157</v>
      </c>
      <c r="O189" s="937"/>
      <c r="P189" s="937"/>
      <c r="Q189" s="937"/>
      <c r="R189" s="937"/>
      <c r="S189" s="938"/>
      <c r="T189" s="944" t="s">
        <v>157</v>
      </c>
      <c r="U189" s="944"/>
      <c r="V189" s="944"/>
      <c r="W189" s="944"/>
      <c r="X189" s="944"/>
      <c r="Y189" s="945"/>
      <c r="Z189" s="930"/>
      <c r="AA189" s="930"/>
      <c r="AB189" s="930"/>
      <c r="AC189" s="930"/>
      <c r="AD189" s="930"/>
      <c r="AE189" s="931"/>
    </row>
    <row r="190" spans="1:31" ht="30" customHeight="1" x14ac:dyDescent="0.3">
      <c r="A190" s="934" t="s">
        <v>1019</v>
      </c>
      <c r="B190" s="932"/>
      <c r="C190" s="932"/>
      <c r="D190" s="932"/>
      <c r="E190" s="932"/>
      <c r="F190" s="932"/>
      <c r="G190" s="933"/>
      <c r="H190" s="939" t="s">
        <v>704</v>
      </c>
      <c r="I190" s="939"/>
      <c r="J190" s="939"/>
      <c r="K190" s="939"/>
      <c r="L190" s="939"/>
      <c r="M190" s="949"/>
      <c r="N190" s="954" t="s">
        <v>704</v>
      </c>
      <c r="O190" s="954"/>
      <c r="P190" s="954"/>
      <c r="Q190" s="954"/>
      <c r="R190" s="954"/>
      <c r="S190" s="955"/>
      <c r="T190" s="939" t="s">
        <v>679</v>
      </c>
      <c r="U190" s="939"/>
      <c r="V190" s="939"/>
      <c r="W190" s="939"/>
      <c r="X190" s="939"/>
      <c r="Y190" s="949"/>
      <c r="Z190" s="932"/>
      <c r="AA190" s="932"/>
      <c r="AB190" s="932"/>
      <c r="AC190" s="932"/>
      <c r="AD190" s="932"/>
      <c r="AE190" s="933"/>
    </row>
    <row r="191" spans="1:31" ht="30" customHeight="1" x14ac:dyDescent="0.25">
      <c r="A191" s="935"/>
      <c r="B191" s="930"/>
      <c r="C191" s="930"/>
      <c r="D191" s="930"/>
      <c r="E191" s="930"/>
      <c r="F191" s="930"/>
      <c r="G191" s="931"/>
      <c r="H191" s="944" t="s">
        <v>157</v>
      </c>
      <c r="I191" s="944"/>
      <c r="J191" s="944"/>
      <c r="K191" s="944"/>
      <c r="L191" s="944"/>
      <c r="M191" s="945"/>
      <c r="N191" s="937" t="s">
        <v>157</v>
      </c>
      <c r="O191" s="937"/>
      <c r="P191" s="937"/>
      <c r="Q191" s="937"/>
      <c r="R191" s="937"/>
      <c r="S191" s="938"/>
      <c r="T191" s="944" t="s">
        <v>157</v>
      </c>
      <c r="U191" s="944"/>
      <c r="V191" s="944"/>
      <c r="W191" s="944"/>
      <c r="X191" s="944"/>
      <c r="Y191" s="945"/>
      <c r="Z191" s="930"/>
      <c r="AA191" s="930"/>
      <c r="AB191" s="930"/>
      <c r="AC191" s="930"/>
      <c r="AD191" s="930"/>
      <c r="AE191" s="931"/>
    </row>
    <row r="192" spans="1:31" ht="30" customHeight="1" x14ac:dyDescent="0.3">
      <c r="A192" s="934" t="s">
        <v>1020</v>
      </c>
      <c r="B192" s="954" t="s">
        <v>702</v>
      </c>
      <c r="C192" s="954"/>
      <c r="D192" s="954"/>
      <c r="E192" s="954"/>
      <c r="F192" s="954"/>
      <c r="G192" s="955"/>
      <c r="H192" s="939" t="s">
        <v>704</v>
      </c>
      <c r="I192" s="939"/>
      <c r="J192" s="939"/>
      <c r="K192" s="939"/>
      <c r="L192" s="939"/>
      <c r="M192" s="949"/>
      <c r="N192" s="939" t="s">
        <v>681</v>
      </c>
      <c r="O192" s="939"/>
      <c r="P192" s="939"/>
      <c r="Q192" s="939"/>
      <c r="R192" s="939"/>
      <c r="S192" s="949"/>
      <c r="T192" s="954" t="s">
        <v>681</v>
      </c>
      <c r="U192" s="954"/>
      <c r="V192" s="954"/>
      <c r="W192" s="954"/>
      <c r="X192" s="954"/>
      <c r="Y192" s="955"/>
      <c r="Z192" s="932"/>
      <c r="AA192" s="932"/>
      <c r="AB192" s="932"/>
      <c r="AC192" s="932"/>
      <c r="AD192" s="932"/>
      <c r="AE192" s="933"/>
    </row>
    <row r="193" spans="1:31" ht="30" customHeight="1" x14ac:dyDescent="0.25">
      <c r="A193" s="935"/>
      <c r="B193" s="937" t="s">
        <v>645</v>
      </c>
      <c r="C193" s="937"/>
      <c r="D193" s="937"/>
      <c r="E193" s="937"/>
      <c r="F193" s="937"/>
      <c r="G193" s="938"/>
      <c r="H193" s="944" t="s">
        <v>157</v>
      </c>
      <c r="I193" s="944"/>
      <c r="J193" s="944"/>
      <c r="K193" s="944"/>
      <c r="L193" s="944"/>
      <c r="M193" s="945"/>
      <c r="N193" s="944" t="s">
        <v>157</v>
      </c>
      <c r="O193" s="944"/>
      <c r="P193" s="944"/>
      <c r="Q193" s="944"/>
      <c r="R193" s="944"/>
      <c r="S193" s="945"/>
      <c r="T193" s="937" t="s">
        <v>1353</v>
      </c>
      <c r="U193" s="937"/>
      <c r="V193" s="937"/>
      <c r="W193" s="937"/>
      <c r="X193" s="937"/>
      <c r="Y193" s="938"/>
      <c r="Z193" s="930"/>
      <c r="AA193" s="930"/>
      <c r="AB193" s="930"/>
      <c r="AC193" s="930"/>
      <c r="AD193" s="930"/>
      <c r="AE193" s="931"/>
    </row>
    <row r="194" spans="1:31" ht="30" customHeight="1" x14ac:dyDescent="0.3">
      <c r="A194" s="934" t="s">
        <v>7</v>
      </c>
      <c r="B194" s="954" t="s">
        <v>702</v>
      </c>
      <c r="C194" s="954"/>
      <c r="D194" s="954"/>
      <c r="E194" s="954"/>
      <c r="F194" s="954"/>
      <c r="G194" s="955"/>
      <c r="H194" s="939" t="s">
        <v>38</v>
      </c>
      <c r="I194" s="939"/>
      <c r="J194" s="939"/>
      <c r="K194" s="939"/>
      <c r="L194" s="939"/>
      <c r="M194" s="949"/>
      <c r="N194" s="939" t="s">
        <v>38</v>
      </c>
      <c r="O194" s="939"/>
      <c r="P194" s="939"/>
      <c r="Q194" s="939"/>
      <c r="R194" s="939"/>
      <c r="S194" s="949"/>
      <c r="T194" s="954" t="s">
        <v>681</v>
      </c>
      <c r="U194" s="954"/>
      <c r="V194" s="954"/>
      <c r="W194" s="954"/>
      <c r="X194" s="954"/>
      <c r="Y194" s="955"/>
      <c r="Z194" s="932"/>
      <c r="AA194" s="932"/>
      <c r="AB194" s="932"/>
      <c r="AC194" s="932"/>
      <c r="AD194" s="932"/>
      <c r="AE194" s="933"/>
    </row>
    <row r="195" spans="1:31" ht="30" customHeight="1" x14ac:dyDescent="0.25">
      <c r="A195" s="935"/>
      <c r="B195" s="937" t="s">
        <v>645</v>
      </c>
      <c r="C195" s="937"/>
      <c r="D195" s="937"/>
      <c r="E195" s="937"/>
      <c r="F195" s="937"/>
      <c r="G195" s="938"/>
      <c r="H195" s="944" t="s">
        <v>157</v>
      </c>
      <c r="I195" s="944"/>
      <c r="J195" s="944"/>
      <c r="K195" s="944"/>
      <c r="L195" s="944"/>
      <c r="M195" s="945"/>
      <c r="N195" s="944" t="s">
        <v>157</v>
      </c>
      <c r="O195" s="944"/>
      <c r="P195" s="944"/>
      <c r="Q195" s="944"/>
      <c r="R195" s="944"/>
      <c r="S195" s="945"/>
      <c r="T195" s="937" t="s">
        <v>1353</v>
      </c>
      <c r="U195" s="937"/>
      <c r="V195" s="937"/>
      <c r="W195" s="937"/>
      <c r="X195" s="937"/>
      <c r="Y195" s="938"/>
      <c r="Z195" s="930"/>
      <c r="AA195" s="930"/>
      <c r="AB195" s="930"/>
      <c r="AC195" s="930"/>
      <c r="AD195" s="930"/>
      <c r="AE195" s="931"/>
    </row>
    <row r="196" spans="1:31" ht="30" customHeight="1" x14ac:dyDescent="0.3">
      <c r="A196" s="934" t="s">
        <v>8</v>
      </c>
      <c r="B196" s="939" t="s">
        <v>702</v>
      </c>
      <c r="C196" s="939"/>
      <c r="D196" s="939"/>
      <c r="E196" s="939"/>
      <c r="F196" s="939"/>
      <c r="G196" s="949"/>
      <c r="H196" s="954" t="s">
        <v>679</v>
      </c>
      <c r="I196" s="954"/>
      <c r="J196" s="954"/>
      <c r="K196" s="954"/>
      <c r="L196" s="954"/>
      <c r="M196" s="955"/>
      <c r="N196" s="954" t="s">
        <v>38</v>
      </c>
      <c r="O196" s="954"/>
      <c r="P196" s="954"/>
      <c r="Q196" s="954"/>
      <c r="R196" s="954"/>
      <c r="S196" s="955"/>
      <c r="T196" s="939" t="s">
        <v>681</v>
      </c>
      <c r="U196" s="939"/>
      <c r="V196" s="939"/>
      <c r="W196" s="939"/>
      <c r="X196" s="939"/>
      <c r="Y196" s="949"/>
      <c r="Z196" s="932"/>
      <c r="AA196" s="932"/>
      <c r="AB196" s="932"/>
      <c r="AC196" s="932"/>
      <c r="AD196" s="932"/>
      <c r="AE196" s="933"/>
    </row>
    <row r="197" spans="1:31" ht="30" customHeight="1" x14ac:dyDescent="0.25">
      <c r="A197" s="935"/>
      <c r="B197" s="944" t="s">
        <v>157</v>
      </c>
      <c r="C197" s="944"/>
      <c r="D197" s="944"/>
      <c r="E197" s="944"/>
      <c r="F197" s="944"/>
      <c r="G197" s="945"/>
      <c r="H197" s="937" t="s">
        <v>1352</v>
      </c>
      <c r="I197" s="937"/>
      <c r="J197" s="937"/>
      <c r="K197" s="937"/>
      <c r="L197" s="937"/>
      <c r="M197" s="938"/>
      <c r="N197" s="936" t="s">
        <v>1303</v>
      </c>
      <c r="O197" s="937"/>
      <c r="P197" s="937"/>
      <c r="Q197" s="937"/>
      <c r="R197" s="937"/>
      <c r="S197" s="938"/>
      <c r="T197" s="944" t="s">
        <v>157</v>
      </c>
      <c r="U197" s="944"/>
      <c r="V197" s="944"/>
      <c r="W197" s="944"/>
      <c r="X197" s="944"/>
      <c r="Y197" s="945"/>
      <c r="Z197" s="930"/>
      <c r="AA197" s="930"/>
      <c r="AB197" s="930"/>
      <c r="AC197" s="930"/>
      <c r="AD197" s="930"/>
      <c r="AE197" s="931"/>
    </row>
    <row r="198" spans="1:31" ht="30" customHeight="1" x14ac:dyDescent="0.3">
      <c r="A198" s="934" t="s">
        <v>9</v>
      </c>
      <c r="B198" s="932"/>
      <c r="C198" s="932"/>
      <c r="D198" s="932"/>
      <c r="E198" s="932"/>
      <c r="F198" s="932"/>
      <c r="G198" s="933"/>
      <c r="H198" s="954" t="s">
        <v>679</v>
      </c>
      <c r="I198" s="954"/>
      <c r="J198" s="954"/>
      <c r="K198" s="954"/>
      <c r="L198" s="954"/>
      <c r="M198" s="955"/>
      <c r="N198" s="954" t="s">
        <v>38</v>
      </c>
      <c r="O198" s="954"/>
      <c r="P198" s="954"/>
      <c r="Q198" s="954"/>
      <c r="R198" s="954"/>
      <c r="S198" s="955"/>
      <c r="T198" s="939" t="s">
        <v>702</v>
      </c>
      <c r="U198" s="939"/>
      <c r="V198" s="939"/>
      <c r="W198" s="939"/>
      <c r="X198" s="939"/>
      <c r="Y198" s="949"/>
      <c r="Z198" s="932"/>
      <c r="AA198" s="932"/>
      <c r="AB198" s="932"/>
      <c r="AC198" s="932"/>
      <c r="AD198" s="932"/>
      <c r="AE198" s="933"/>
    </row>
    <row r="199" spans="1:31" ht="30" customHeight="1" x14ac:dyDescent="0.25">
      <c r="A199" s="935"/>
      <c r="B199" s="930"/>
      <c r="C199" s="930"/>
      <c r="D199" s="930"/>
      <c r="E199" s="930"/>
      <c r="F199" s="930"/>
      <c r="G199" s="931"/>
      <c r="H199" s="937" t="s">
        <v>1352</v>
      </c>
      <c r="I199" s="937"/>
      <c r="J199" s="937"/>
      <c r="K199" s="937"/>
      <c r="L199" s="937"/>
      <c r="M199" s="938"/>
      <c r="N199" s="936" t="s">
        <v>1303</v>
      </c>
      <c r="O199" s="937"/>
      <c r="P199" s="937"/>
      <c r="Q199" s="937"/>
      <c r="R199" s="937"/>
      <c r="S199" s="938"/>
      <c r="T199" s="944" t="s">
        <v>157</v>
      </c>
      <c r="U199" s="944"/>
      <c r="V199" s="944"/>
      <c r="W199" s="944"/>
      <c r="X199" s="944"/>
      <c r="Y199" s="945"/>
      <c r="Z199" s="930"/>
      <c r="AA199" s="930"/>
      <c r="AB199" s="930"/>
      <c r="AC199" s="930"/>
      <c r="AD199" s="930"/>
      <c r="AE199" s="931"/>
    </row>
    <row r="201" spans="1:31" ht="15" x14ac:dyDescent="0.25">
      <c r="A201" s="736" t="s">
        <v>218</v>
      </c>
      <c r="B201" s="737"/>
      <c r="C201" s="952" t="s">
        <v>219</v>
      </c>
      <c r="D201" s="952"/>
      <c r="E201" s="952"/>
      <c r="F201" s="952"/>
      <c r="G201" s="952"/>
      <c r="H201" s="952"/>
      <c r="I201" s="952"/>
      <c r="J201" s="952"/>
      <c r="K201" s="952"/>
      <c r="L201" s="168"/>
      <c r="M201" s="950" t="s">
        <v>629</v>
      </c>
      <c r="N201" s="951"/>
      <c r="O201" s="952" t="s">
        <v>143</v>
      </c>
      <c r="P201" s="953"/>
      <c r="Q201" s="995" t="s">
        <v>167</v>
      </c>
      <c r="R201" s="952"/>
      <c r="S201" s="952"/>
      <c r="T201" s="952"/>
      <c r="U201" s="952"/>
      <c r="V201" s="952"/>
      <c r="W201" s="952"/>
      <c r="X201" s="952"/>
      <c r="Y201" s="952"/>
      <c r="Z201" s="952"/>
      <c r="AA201" s="952"/>
      <c r="AB201" s="952"/>
      <c r="AC201" s="952"/>
      <c r="AD201" s="952"/>
      <c r="AE201" s="1021"/>
    </row>
    <row r="202" spans="1:31" ht="15" customHeight="1" x14ac:dyDescent="0.25">
      <c r="A202" s="1016" t="s">
        <v>681</v>
      </c>
      <c r="B202" s="1017"/>
      <c r="C202" s="947" t="str">
        <f>ASIGNATURAS!I287</f>
        <v>Sistemas de Producción y Fabricación Industrial</v>
      </c>
      <c r="D202" s="948"/>
      <c r="E202" s="948"/>
      <c r="F202" s="948"/>
      <c r="G202" s="948"/>
      <c r="H202" s="948"/>
      <c r="I202" s="948"/>
      <c r="J202" s="948"/>
      <c r="K202" s="948"/>
      <c r="L202" s="948"/>
      <c r="M202" s="972">
        <v>7739</v>
      </c>
      <c r="N202" s="972"/>
      <c r="O202" s="1013">
        <v>6</v>
      </c>
      <c r="P202" s="1014"/>
      <c r="Q202" s="983" t="str">
        <f>ASIGNATURAS!K287</f>
        <v>Miriam Lorenzo</v>
      </c>
      <c r="R202" s="983"/>
      <c r="S202" s="983"/>
      <c r="T202" s="983"/>
      <c r="U202" s="983"/>
      <c r="V202" s="983"/>
      <c r="W202" s="983"/>
      <c r="X202" s="983"/>
      <c r="Y202" s="983"/>
      <c r="Z202" s="983"/>
      <c r="AA202" s="983"/>
      <c r="AB202" s="983"/>
      <c r="AC202" s="983"/>
      <c r="AD202" s="983"/>
      <c r="AE202" s="1018"/>
    </row>
    <row r="203" spans="1:31" ht="15" customHeight="1" x14ac:dyDescent="0.25">
      <c r="A203" s="1016" t="s">
        <v>38</v>
      </c>
      <c r="B203" s="1017"/>
      <c r="C203" s="947" t="str">
        <f>ASIGNATURAS!I288</f>
        <v>Ingeniería Térmica II</v>
      </c>
      <c r="D203" s="948"/>
      <c r="E203" s="948"/>
      <c r="F203" s="948"/>
      <c r="G203" s="948"/>
      <c r="H203" s="948"/>
      <c r="I203" s="948"/>
      <c r="J203" s="948"/>
      <c r="K203" s="948"/>
      <c r="L203" s="948"/>
      <c r="M203" s="972">
        <v>7734</v>
      </c>
      <c r="N203" s="972"/>
      <c r="O203" s="981">
        <v>6</v>
      </c>
      <c r="P203" s="972"/>
      <c r="Q203" s="983" t="str">
        <f>ASIGNATURAS!K288</f>
        <v>Cristina Alonso Tristán</v>
      </c>
      <c r="R203" s="983"/>
      <c r="S203" s="983"/>
      <c r="T203" s="983"/>
      <c r="U203" s="983"/>
      <c r="V203" s="983"/>
      <c r="W203" s="983"/>
      <c r="X203" s="983"/>
      <c r="Y203" s="983"/>
      <c r="Z203" s="983"/>
      <c r="AA203" s="983"/>
      <c r="AB203" s="983"/>
      <c r="AC203" s="983"/>
      <c r="AD203" s="983"/>
      <c r="AE203" s="1018"/>
    </row>
    <row r="204" spans="1:31" ht="15" customHeight="1" x14ac:dyDescent="0.25">
      <c r="A204" s="1016" t="s">
        <v>702</v>
      </c>
      <c r="B204" s="1017"/>
      <c r="C204" s="947" t="str">
        <f>ASIGNATURAS!I289</f>
        <v>Regulación Automática</v>
      </c>
      <c r="D204" s="948"/>
      <c r="E204" s="948"/>
      <c r="F204" s="948"/>
      <c r="G204" s="948"/>
      <c r="H204" s="948"/>
      <c r="I204" s="948"/>
      <c r="J204" s="948"/>
      <c r="K204" s="948"/>
      <c r="L204" s="948"/>
      <c r="M204" s="972">
        <v>7741</v>
      </c>
      <c r="N204" s="972"/>
      <c r="O204" s="981">
        <v>6</v>
      </c>
      <c r="P204" s="972"/>
      <c r="Q204" s="983" t="str">
        <f>ASIGNATURAS!K289</f>
        <v xml:space="preserve">Jesús Enrique Sierra García, </v>
      </c>
      <c r="R204" s="983"/>
      <c r="S204" s="983"/>
      <c r="T204" s="983"/>
      <c r="U204" s="983"/>
      <c r="V204" s="983"/>
      <c r="W204" s="983"/>
      <c r="X204" s="983"/>
      <c r="Y204" s="983"/>
      <c r="Z204" s="983"/>
      <c r="AA204" s="983"/>
      <c r="AB204" s="983"/>
      <c r="AC204" s="983"/>
      <c r="AD204" s="983"/>
      <c r="AE204" s="1018"/>
    </row>
    <row r="205" spans="1:31" ht="15" customHeight="1" x14ac:dyDescent="0.25">
      <c r="A205" s="1016" t="s">
        <v>679</v>
      </c>
      <c r="B205" s="1017"/>
      <c r="C205" s="947" t="str">
        <f>ASIGNATURAS!I290</f>
        <v>Sistemas Basados en Microprocesadores</v>
      </c>
      <c r="D205" s="948"/>
      <c r="E205" s="948"/>
      <c r="F205" s="948"/>
      <c r="G205" s="948"/>
      <c r="H205" s="948"/>
      <c r="I205" s="948"/>
      <c r="J205" s="948"/>
      <c r="K205" s="948"/>
      <c r="L205" s="948"/>
      <c r="M205" s="972">
        <v>7742</v>
      </c>
      <c r="N205" s="972"/>
      <c r="O205" s="981">
        <v>6</v>
      </c>
      <c r="P205" s="972"/>
      <c r="Q205" s="983" t="str">
        <f>ASIGNATURAS!K290</f>
        <v>Fernando Rívas, Miguel Ángel Cantera</v>
      </c>
      <c r="R205" s="983"/>
      <c r="S205" s="983"/>
      <c r="T205" s="983"/>
      <c r="U205" s="983"/>
      <c r="V205" s="983"/>
      <c r="W205" s="983"/>
      <c r="X205" s="983"/>
      <c r="Y205" s="983"/>
      <c r="Z205" s="983"/>
      <c r="AA205" s="983"/>
      <c r="AB205" s="983"/>
      <c r="AC205" s="983"/>
      <c r="AD205" s="983"/>
      <c r="AE205" s="1018"/>
    </row>
    <row r="206" spans="1:31" ht="15" customHeight="1" x14ac:dyDescent="0.25">
      <c r="A206" s="1016" t="s">
        <v>704</v>
      </c>
      <c r="B206" s="1017"/>
      <c r="C206" s="947" t="str">
        <f>ASIGNATURAS!I291</f>
        <v>Diseño de Máquinas I</v>
      </c>
      <c r="D206" s="948"/>
      <c r="E206" s="948"/>
      <c r="F206" s="948"/>
      <c r="G206" s="948"/>
      <c r="H206" s="948"/>
      <c r="I206" s="948"/>
      <c r="J206" s="948"/>
      <c r="K206" s="948"/>
      <c r="L206" s="948"/>
      <c r="M206" s="972">
        <v>7743</v>
      </c>
      <c r="N206" s="972"/>
      <c r="O206" s="981">
        <v>6</v>
      </c>
      <c r="P206" s="972"/>
      <c r="Q206" s="983" t="str">
        <f>ASIGNATURAS!K291</f>
        <v>Mª José García</v>
      </c>
      <c r="R206" s="983"/>
      <c r="S206" s="983"/>
      <c r="T206" s="983"/>
      <c r="U206" s="983"/>
      <c r="V206" s="983"/>
      <c r="W206" s="983"/>
      <c r="X206" s="983"/>
      <c r="Y206" s="983"/>
      <c r="Z206" s="983"/>
      <c r="AA206" s="983"/>
      <c r="AB206" s="983"/>
      <c r="AC206" s="983"/>
      <c r="AD206" s="983"/>
      <c r="AE206" s="1018"/>
    </row>
    <row r="207" spans="1:31" ht="15" x14ac:dyDescent="0.25">
      <c r="A207" s="1016"/>
      <c r="B207" s="1017"/>
      <c r="C207" s="982"/>
      <c r="D207" s="983"/>
      <c r="E207" s="983"/>
      <c r="F207" s="983"/>
      <c r="G207" s="983"/>
      <c r="H207" s="983"/>
      <c r="I207" s="983"/>
      <c r="J207" s="983"/>
      <c r="K207" s="983"/>
      <c r="L207" s="983"/>
      <c r="M207" s="994"/>
      <c r="N207" s="981"/>
      <c r="O207" s="981"/>
      <c r="P207" s="972"/>
      <c r="Q207" s="983"/>
      <c r="R207" s="983"/>
      <c r="S207" s="983"/>
      <c r="T207" s="983"/>
      <c r="U207" s="983"/>
      <c r="V207" s="983"/>
      <c r="W207" s="983"/>
      <c r="X207" s="983"/>
      <c r="Y207" s="983"/>
      <c r="Z207" s="983"/>
      <c r="AA207" s="983"/>
      <c r="AB207" s="983"/>
      <c r="AC207" s="983"/>
      <c r="AD207" s="983"/>
      <c r="AE207" s="1018"/>
    </row>
    <row r="209" spans="1:31" ht="15" x14ac:dyDescent="0.25">
      <c r="A209" s="730" t="s">
        <v>1044</v>
      </c>
      <c r="B209" s="731"/>
      <c r="C209" s="731"/>
      <c r="D209" s="731"/>
      <c r="E209" s="732"/>
    </row>
    <row r="210" spans="1:31" ht="15" x14ac:dyDescent="0.25">
      <c r="A210" s="738" t="s">
        <v>1045</v>
      </c>
      <c r="B210" s="739"/>
      <c r="C210" s="739"/>
      <c r="D210" s="739"/>
      <c r="E210" s="740"/>
    </row>
    <row r="212" spans="1:31" x14ac:dyDescent="0.25">
      <c r="A212" s="25" t="s">
        <v>217</v>
      </c>
    </row>
    <row r="217" spans="1:31" s="1" customFormat="1" ht="60.75" customHeight="1" x14ac:dyDescent="0.4">
      <c r="A217" s="974" t="s">
        <v>791</v>
      </c>
      <c r="B217" s="975"/>
      <c r="C217" s="975"/>
      <c r="D217" s="975"/>
      <c r="E217" s="975"/>
      <c r="F217" s="975"/>
      <c r="G217" s="975"/>
      <c r="H217" s="975"/>
      <c r="I217" s="975"/>
      <c r="J217" s="975"/>
      <c r="K217" s="975"/>
      <c r="L217" s="975"/>
      <c r="M217" s="975"/>
      <c r="N217" s="975"/>
      <c r="O217" s="975"/>
      <c r="P217" s="975"/>
      <c r="Q217" s="975"/>
      <c r="R217" s="975"/>
      <c r="S217" s="975"/>
      <c r="T217" s="975"/>
      <c r="U217" s="975"/>
      <c r="V217" s="975"/>
      <c r="W217" s="975"/>
      <c r="X217" s="975"/>
      <c r="Y217" s="976"/>
      <c r="Z217" s="988" t="str">
        <f>Aulas!G5</f>
        <v>Curso 2024-2025</v>
      </c>
      <c r="AA217" s="988"/>
      <c r="AB217" s="988"/>
      <c r="AC217" s="988"/>
      <c r="AD217" s="988"/>
      <c r="AE217" s="989"/>
    </row>
    <row r="218" spans="1:31" s="8" customFormat="1" ht="23.25" customHeight="1" x14ac:dyDescent="0.4">
      <c r="A218" s="960" t="s">
        <v>1054</v>
      </c>
      <c r="B218" s="961"/>
      <c r="C218" s="961"/>
      <c r="D218" s="961"/>
      <c r="E218" s="961"/>
      <c r="F218" s="961"/>
      <c r="G218" s="961"/>
      <c r="H218" s="961"/>
      <c r="I218" s="961"/>
      <c r="J218" s="961"/>
      <c r="K218" s="961"/>
      <c r="L218" s="961"/>
      <c r="M218" s="961"/>
      <c r="N218" s="961"/>
      <c r="O218" s="961"/>
      <c r="P218" s="961"/>
      <c r="Q218" s="961"/>
      <c r="R218" s="961"/>
      <c r="S218" s="961"/>
      <c r="T218" s="961"/>
      <c r="U218" s="961"/>
      <c r="V218" s="961"/>
      <c r="W218" s="961"/>
      <c r="X218" s="961"/>
      <c r="Y218" s="962"/>
      <c r="Z218" s="984" t="s">
        <v>150</v>
      </c>
      <c r="AA218" s="984"/>
      <c r="AB218" s="984"/>
      <c r="AC218" s="984"/>
      <c r="AD218" s="984"/>
      <c r="AE218" s="985"/>
    </row>
    <row r="219" spans="1:31" s="8" customFormat="1" ht="23.25" customHeight="1" x14ac:dyDescent="0.4">
      <c r="A219" s="963" t="s">
        <v>181</v>
      </c>
      <c r="B219" s="964"/>
      <c r="C219" s="964"/>
      <c r="D219" s="964"/>
      <c r="E219" s="964"/>
      <c r="F219" s="964"/>
      <c r="G219" s="964"/>
      <c r="H219" s="964"/>
      <c r="I219" s="964"/>
      <c r="J219" s="964"/>
      <c r="K219" s="964"/>
      <c r="L219" s="964"/>
      <c r="M219" s="964"/>
      <c r="N219" s="964"/>
      <c r="O219" s="964"/>
      <c r="P219" s="964"/>
      <c r="Q219" s="964"/>
      <c r="R219" s="964"/>
      <c r="S219" s="964"/>
      <c r="T219" s="964"/>
      <c r="U219" s="964"/>
      <c r="V219" s="964"/>
      <c r="W219" s="964"/>
      <c r="X219" s="964"/>
      <c r="Y219" s="965"/>
      <c r="Z219" s="986"/>
      <c r="AA219" s="986"/>
      <c r="AB219" s="986"/>
      <c r="AC219" s="986"/>
      <c r="AD219" s="986"/>
      <c r="AE219" s="987"/>
    </row>
    <row r="220" spans="1:31" ht="38.25" customHeight="1" x14ac:dyDescent="0.25">
      <c r="A220" s="23" t="s">
        <v>794</v>
      </c>
    </row>
    <row r="221" spans="1:31" s="2" customFormat="1" ht="24" customHeight="1" thickBot="1" x14ac:dyDescent="0.3">
      <c r="A221" s="167" t="s">
        <v>1</v>
      </c>
      <c r="B221" s="988" t="s">
        <v>2</v>
      </c>
      <c r="C221" s="988"/>
      <c r="D221" s="988"/>
      <c r="E221" s="988"/>
      <c r="F221" s="988"/>
      <c r="G221" s="989"/>
      <c r="H221" s="988" t="s">
        <v>3</v>
      </c>
      <c r="I221" s="988"/>
      <c r="J221" s="988"/>
      <c r="K221" s="988"/>
      <c r="L221" s="988"/>
      <c r="M221" s="989"/>
      <c r="N221" s="988" t="s">
        <v>139</v>
      </c>
      <c r="O221" s="988"/>
      <c r="P221" s="988"/>
      <c r="Q221" s="988"/>
      <c r="R221" s="988"/>
      <c r="S221" s="989"/>
      <c r="T221" s="988" t="s">
        <v>4</v>
      </c>
      <c r="U221" s="988"/>
      <c r="V221" s="988"/>
      <c r="W221" s="988"/>
      <c r="X221" s="988"/>
      <c r="Y221" s="989"/>
      <c r="Z221" s="988" t="s">
        <v>5</v>
      </c>
      <c r="AA221" s="988"/>
      <c r="AB221" s="988"/>
      <c r="AC221" s="988"/>
      <c r="AD221" s="988"/>
      <c r="AE221" s="989"/>
    </row>
    <row r="222" spans="1:31" ht="30" customHeight="1" x14ac:dyDescent="0.3">
      <c r="A222" s="966" t="s">
        <v>1131</v>
      </c>
      <c r="B222" s="1019" t="s">
        <v>797</v>
      </c>
      <c r="C222" s="1019"/>
      <c r="D222" s="1019"/>
      <c r="E222" s="1019"/>
      <c r="F222" s="1019"/>
      <c r="G222" s="1020"/>
      <c r="H222" s="932"/>
      <c r="I222" s="932"/>
      <c r="J222" s="932"/>
      <c r="K222" s="932"/>
      <c r="L222" s="932"/>
      <c r="M222" s="933"/>
      <c r="N222" s="939" t="s">
        <v>35</v>
      </c>
      <c r="O222" s="939"/>
      <c r="P222" s="939"/>
      <c r="Q222" s="939"/>
      <c r="R222" s="939"/>
      <c r="S222" s="949"/>
      <c r="T222" s="932"/>
      <c r="U222" s="932"/>
      <c r="V222" s="932"/>
      <c r="W222" s="932"/>
      <c r="X222" s="932"/>
      <c r="Y222" s="933"/>
      <c r="Z222" s="939" t="s">
        <v>803</v>
      </c>
      <c r="AA222" s="939"/>
      <c r="AB222" s="939"/>
      <c r="AC222" s="939"/>
      <c r="AD222" s="939"/>
      <c r="AE222" s="949"/>
    </row>
    <row r="223" spans="1:31" ht="30" customHeight="1" x14ac:dyDescent="0.25">
      <c r="A223" s="935"/>
      <c r="B223" s="944" t="s">
        <v>150</v>
      </c>
      <c r="C223" s="944"/>
      <c r="D223" s="944"/>
      <c r="E223" s="944"/>
      <c r="F223" s="944"/>
      <c r="G223" s="945"/>
      <c r="H223" s="943"/>
      <c r="I223" s="930"/>
      <c r="J223" s="930"/>
      <c r="K223" s="930"/>
      <c r="L223" s="930"/>
      <c r="M223" s="931"/>
      <c r="N223" s="946" t="s">
        <v>147</v>
      </c>
      <c r="O223" s="944"/>
      <c r="P223" s="944"/>
      <c r="Q223" s="944"/>
      <c r="R223" s="944"/>
      <c r="S223" s="945"/>
      <c r="T223" s="943"/>
      <c r="U223" s="930"/>
      <c r="V223" s="930"/>
      <c r="W223" s="930"/>
      <c r="X223" s="930"/>
      <c r="Y223" s="931"/>
      <c r="Z223" s="946" t="s">
        <v>150</v>
      </c>
      <c r="AA223" s="944"/>
      <c r="AB223" s="944"/>
      <c r="AC223" s="944"/>
      <c r="AD223" s="944"/>
      <c r="AE223" s="945"/>
    </row>
    <row r="224" spans="1:31" ht="30" customHeight="1" x14ac:dyDescent="0.3">
      <c r="A224" s="934" t="s">
        <v>187</v>
      </c>
      <c r="B224" s="1019" t="s">
        <v>797</v>
      </c>
      <c r="C224" s="1019"/>
      <c r="D224" s="1019"/>
      <c r="E224" s="1019"/>
      <c r="F224" s="1019"/>
      <c r="G224" s="1020"/>
      <c r="H224" s="1022" t="s">
        <v>797</v>
      </c>
      <c r="I224" s="1022"/>
      <c r="J224" s="1022"/>
      <c r="K224" s="1022"/>
      <c r="L224" s="1022"/>
      <c r="M224" s="1023"/>
      <c r="N224" s="939" t="s">
        <v>1380</v>
      </c>
      <c r="O224" s="939"/>
      <c r="P224" s="939"/>
      <c r="Q224" s="939"/>
      <c r="R224" s="939"/>
      <c r="S224" s="949"/>
      <c r="T224" s="939" t="s">
        <v>796</v>
      </c>
      <c r="U224" s="939"/>
      <c r="V224" s="939"/>
      <c r="W224" s="939"/>
      <c r="X224" s="939"/>
      <c r="Y224" s="949"/>
      <c r="Z224" s="939" t="s">
        <v>803</v>
      </c>
      <c r="AA224" s="939"/>
      <c r="AB224" s="939"/>
      <c r="AC224" s="939"/>
      <c r="AD224" s="939"/>
      <c r="AE224" s="949"/>
    </row>
    <row r="225" spans="1:31" ht="30" customHeight="1" x14ac:dyDescent="0.25">
      <c r="A225" s="935"/>
      <c r="B225" s="944" t="s">
        <v>150</v>
      </c>
      <c r="C225" s="944"/>
      <c r="D225" s="944"/>
      <c r="E225" s="944"/>
      <c r="F225" s="944"/>
      <c r="G225" s="945"/>
      <c r="H225" s="936" t="s">
        <v>682</v>
      </c>
      <c r="I225" s="937"/>
      <c r="J225" s="937"/>
      <c r="K225" s="937"/>
      <c r="L225" s="937"/>
      <c r="M225" s="938"/>
      <c r="N225" s="946" t="s">
        <v>150</v>
      </c>
      <c r="O225" s="944"/>
      <c r="P225" s="944"/>
      <c r="Q225" s="944"/>
      <c r="R225" s="944"/>
      <c r="S225" s="945"/>
      <c r="T225" s="946" t="s">
        <v>150</v>
      </c>
      <c r="U225" s="944"/>
      <c r="V225" s="944"/>
      <c r="W225" s="944"/>
      <c r="X225" s="944"/>
      <c r="Y225" s="945"/>
      <c r="Z225" s="946" t="s">
        <v>150</v>
      </c>
      <c r="AA225" s="944"/>
      <c r="AB225" s="944"/>
      <c r="AC225" s="944"/>
      <c r="AD225" s="944"/>
      <c r="AE225" s="945"/>
    </row>
    <row r="226" spans="1:31" ht="30" customHeight="1" x14ac:dyDescent="0.3">
      <c r="A226" s="934" t="s">
        <v>186</v>
      </c>
      <c r="B226" s="956" t="s">
        <v>796</v>
      </c>
      <c r="C226" s="956"/>
      <c r="D226" s="956"/>
      <c r="E226" s="956"/>
      <c r="F226" s="956"/>
      <c r="G226" s="957"/>
      <c r="H226" s="1024" t="s">
        <v>797</v>
      </c>
      <c r="I226" s="1022"/>
      <c r="J226" s="1022"/>
      <c r="K226" s="1022"/>
      <c r="L226" s="1022"/>
      <c r="M226" s="1023"/>
      <c r="N226" s="939" t="s">
        <v>1380</v>
      </c>
      <c r="O226" s="939"/>
      <c r="P226" s="939"/>
      <c r="Q226" s="939"/>
      <c r="R226" s="939"/>
      <c r="S226" s="949"/>
      <c r="T226" s="939" t="s">
        <v>796</v>
      </c>
      <c r="U226" s="939"/>
      <c r="V226" s="939"/>
      <c r="W226" s="939"/>
      <c r="X226" s="939"/>
      <c r="Y226" s="949"/>
      <c r="Z226" s="1005"/>
      <c r="AA226" s="967"/>
      <c r="AB226" s="967"/>
      <c r="AC226" s="967"/>
      <c r="AD226" s="967"/>
      <c r="AE226" s="968"/>
    </row>
    <row r="227" spans="1:31" ht="30" customHeight="1" x14ac:dyDescent="0.25">
      <c r="A227" s="935"/>
      <c r="B227" s="937" t="s">
        <v>150</v>
      </c>
      <c r="C227" s="937"/>
      <c r="D227" s="937"/>
      <c r="E227" s="937"/>
      <c r="F227" s="937"/>
      <c r="G227" s="938"/>
      <c r="H227" s="936" t="s">
        <v>682</v>
      </c>
      <c r="I227" s="937"/>
      <c r="J227" s="937"/>
      <c r="K227" s="937"/>
      <c r="L227" s="937"/>
      <c r="M227" s="938"/>
      <c r="N227" s="946" t="s">
        <v>150</v>
      </c>
      <c r="O227" s="944"/>
      <c r="P227" s="944"/>
      <c r="Q227" s="944"/>
      <c r="R227" s="944"/>
      <c r="S227" s="945"/>
      <c r="T227" s="946" t="s">
        <v>150</v>
      </c>
      <c r="U227" s="944"/>
      <c r="V227" s="944"/>
      <c r="W227" s="944"/>
      <c r="X227" s="944"/>
      <c r="Y227" s="945"/>
      <c r="Z227" s="930"/>
      <c r="AA227" s="930"/>
      <c r="AB227" s="930"/>
      <c r="AC227" s="930"/>
      <c r="AD227" s="930"/>
      <c r="AE227" s="931"/>
    </row>
    <row r="228" spans="1:31" ht="30" customHeight="1" x14ac:dyDescent="0.3">
      <c r="A228" s="934" t="s">
        <v>188</v>
      </c>
      <c r="B228" s="1015" t="s">
        <v>796</v>
      </c>
      <c r="C228" s="956"/>
      <c r="D228" s="956"/>
      <c r="E228" s="956"/>
      <c r="F228" s="956"/>
      <c r="G228" s="957"/>
      <c r="H228" s="1005"/>
      <c r="I228" s="967"/>
      <c r="J228" s="967"/>
      <c r="K228" s="967"/>
      <c r="L228" s="967"/>
      <c r="M228" s="968"/>
      <c r="N228" s="954" t="s">
        <v>35</v>
      </c>
      <c r="O228" s="954"/>
      <c r="P228" s="954"/>
      <c r="Q228" s="954"/>
      <c r="R228" s="954"/>
      <c r="S228" s="955"/>
      <c r="T228" s="1015" t="s">
        <v>1380</v>
      </c>
      <c r="U228" s="956"/>
      <c r="V228" s="956"/>
      <c r="W228" s="956"/>
      <c r="X228" s="956"/>
      <c r="Y228" s="957"/>
      <c r="Z228" s="1005"/>
      <c r="AA228" s="967"/>
      <c r="AB228" s="967"/>
      <c r="AC228" s="967"/>
      <c r="AD228" s="967"/>
      <c r="AE228" s="968"/>
    </row>
    <row r="229" spans="1:31" ht="30" customHeight="1" x14ac:dyDescent="0.25">
      <c r="A229" s="935"/>
      <c r="B229" s="937" t="s">
        <v>150</v>
      </c>
      <c r="C229" s="937"/>
      <c r="D229" s="937"/>
      <c r="E229" s="937"/>
      <c r="F229" s="937"/>
      <c r="G229" s="938"/>
      <c r="H229" s="943"/>
      <c r="I229" s="930"/>
      <c r="J229" s="930"/>
      <c r="K229" s="930"/>
      <c r="L229" s="930"/>
      <c r="M229" s="931"/>
      <c r="N229" s="936" t="s">
        <v>147</v>
      </c>
      <c r="O229" s="937"/>
      <c r="P229" s="937"/>
      <c r="Q229" s="937"/>
      <c r="R229" s="937"/>
      <c r="S229" s="938"/>
      <c r="T229" s="936" t="s">
        <v>486</v>
      </c>
      <c r="U229" s="937"/>
      <c r="V229" s="937"/>
      <c r="W229" s="937"/>
      <c r="X229" s="937"/>
      <c r="Y229" s="938"/>
      <c r="Z229" s="930"/>
      <c r="AA229" s="930"/>
      <c r="AB229" s="930"/>
      <c r="AC229" s="930"/>
      <c r="AD229" s="930"/>
      <c r="AE229" s="931"/>
    </row>
    <row r="230" spans="1:31" ht="30" customHeight="1" x14ac:dyDescent="0.3">
      <c r="A230" s="934" t="s">
        <v>189</v>
      </c>
      <c r="B230" s="1015" t="s">
        <v>803</v>
      </c>
      <c r="C230" s="956"/>
      <c r="D230" s="956"/>
      <c r="E230" s="956"/>
      <c r="F230" s="956"/>
      <c r="G230" s="957"/>
      <c r="H230" s="1005"/>
      <c r="I230" s="967"/>
      <c r="J230" s="967"/>
      <c r="K230" s="967"/>
      <c r="L230" s="967"/>
      <c r="M230" s="968"/>
      <c r="N230" s="954" t="s">
        <v>35</v>
      </c>
      <c r="O230" s="954"/>
      <c r="P230" s="954"/>
      <c r="Q230" s="954"/>
      <c r="R230" s="954"/>
      <c r="S230" s="955"/>
      <c r="T230" s="1015" t="s">
        <v>1380</v>
      </c>
      <c r="U230" s="956"/>
      <c r="V230" s="956"/>
      <c r="W230" s="956"/>
      <c r="X230" s="956"/>
      <c r="Y230" s="957"/>
      <c r="Z230" s="1005"/>
      <c r="AA230" s="967"/>
      <c r="AB230" s="967"/>
      <c r="AC230" s="967"/>
      <c r="AD230" s="967"/>
      <c r="AE230" s="968"/>
    </row>
    <row r="231" spans="1:31" ht="30" customHeight="1" x14ac:dyDescent="0.25">
      <c r="A231" s="935"/>
      <c r="B231" s="936" t="s">
        <v>682</v>
      </c>
      <c r="C231" s="937"/>
      <c r="D231" s="937"/>
      <c r="E231" s="937"/>
      <c r="F231" s="937"/>
      <c r="G231" s="938"/>
      <c r="H231" s="943"/>
      <c r="I231" s="930"/>
      <c r="J231" s="930"/>
      <c r="K231" s="930"/>
      <c r="L231" s="930"/>
      <c r="M231" s="931"/>
      <c r="N231" s="936" t="s">
        <v>147</v>
      </c>
      <c r="O231" s="937"/>
      <c r="P231" s="937"/>
      <c r="Q231" s="937"/>
      <c r="R231" s="937"/>
      <c r="S231" s="938"/>
      <c r="T231" s="936" t="s">
        <v>486</v>
      </c>
      <c r="U231" s="937"/>
      <c r="V231" s="937"/>
      <c r="W231" s="937"/>
      <c r="X231" s="937"/>
      <c r="Y231" s="938"/>
      <c r="Z231" s="943"/>
      <c r="AA231" s="930"/>
      <c r="AB231" s="930"/>
      <c r="AC231" s="930"/>
      <c r="AD231" s="930"/>
      <c r="AE231" s="931"/>
    </row>
    <row r="232" spans="1:31" ht="30" customHeight="1" x14ac:dyDescent="0.3">
      <c r="A232" s="934" t="s">
        <v>190</v>
      </c>
      <c r="B232" s="1015" t="s">
        <v>803</v>
      </c>
      <c r="C232" s="956"/>
      <c r="D232" s="956"/>
      <c r="E232" s="956"/>
      <c r="F232" s="956"/>
      <c r="G232" s="957"/>
      <c r="H232" s="1005"/>
      <c r="I232" s="967"/>
      <c r="J232" s="967"/>
      <c r="K232" s="967"/>
      <c r="L232" s="967"/>
      <c r="M232" s="968"/>
      <c r="N232" s="954" t="s">
        <v>35</v>
      </c>
      <c r="O232" s="954"/>
      <c r="P232" s="954"/>
      <c r="Q232" s="954"/>
      <c r="R232" s="954"/>
      <c r="S232" s="955"/>
      <c r="T232" s="1005"/>
      <c r="U232" s="967"/>
      <c r="V232" s="967"/>
      <c r="W232" s="967"/>
      <c r="X232" s="967"/>
      <c r="Y232" s="968"/>
      <c r="Z232" s="932"/>
      <c r="AA232" s="932"/>
      <c r="AB232" s="932"/>
      <c r="AC232" s="932"/>
      <c r="AD232" s="932"/>
      <c r="AE232" s="933"/>
    </row>
    <row r="233" spans="1:31" ht="30" customHeight="1" x14ac:dyDescent="0.25">
      <c r="A233" s="935"/>
      <c r="B233" s="936" t="s">
        <v>682</v>
      </c>
      <c r="C233" s="937"/>
      <c r="D233" s="937"/>
      <c r="E233" s="937"/>
      <c r="F233" s="937"/>
      <c r="G233" s="938"/>
      <c r="H233" s="943"/>
      <c r="I233" s="930"/>
      <c r="J233" s="930"/>
      <c r="K233" s="930"/>
      <c r="L233" s="930"/>
      <c r="M233" s="931"/>
      <c r="N233" s="936" t="s">
        <v>147</v>
      </c>
      <c r="O233" s="937"/>
      <c r="P233" s="937"/>
      <c r="Q233" s="937"/>
      <c r="R233" s="937"/>
      <c r="S233" s="938"/>
      <c r="T233" s="943"/>
      <c r="U233" s="930"/>
      <c r="V233" s="930"/>
      <c r="W233" s="930"/>
      <c r="X233" s="930"/>
      <c r="Y233" s="931"/>
      <c r="Z233" s="930"/>
      <c r="AA233" s="930"/>
      <c r="AB233" s="930"/>
      <c r="AC233" s="930"/>
      <c r="AD233" s="930"/>
      <c r="AE233" s="931"/>
    </row>
    <row r="234" spans="1:31" x14ac:dyDescent="0.25">
      <c r="P234" s="332"/>
      <c r="Q234" s="332"/>
      <c r="S234" s="332"/>
    </row>
    <row r="235" spans="1:31" ht="15" x14ac:dyDescent="0.25">
      <c r="A235" s="736" t="s">
        <v>218</v>
      </c>
      <c r="B235" s="737"/>
      <c r="C235" s="952" t="s">
        <v>219</v>
      </c>
      <c r="D235" s="952"/>
      <c r="E235" s="952"/>
      <c r="F235" s="952"/>
      <c r="G235" s="952"/>
      <c r="H235" s="952"/>
      <c r="I235" s="952"/>
      <c r="J235" s="952"/>
      <c r="K235" s="952"/>
      <c r="L235" s="168"/>
      <c r="M235" s="950" t="s">
        <v>629</v>
      </c>
      <c r="N235" s="951"/>
      <c r="O235" s="952" t="s">
        <v>143</v>
      </c>
      <c r="P235" s="953"/>
      <c r="Q235" s="952" t="s">
        <v>167</v>
      </c>
      <c r="R235" s="952"/>
      <c r="S235" s="952"/>
      <c r="T235" s="952"/>
      <c r="U235" s="952"/>
      <c r="V235" s="952"/>
      <c r="W235" s="952"/>
      <c r="X235" s="952"/>
      <c r="Y235" s="952"/>
      <c r="Z235" s="952"/>
      <c r="AA235" s="952"/>
      <c r="AB235" s="952"/>
      <c r="AC235" s="952"/>
      <c r="AD235" s="952"/>
      <c r="AE235" s="953"/>
    </row>
    <row r="236" spans="1:31" ht="15" customHeight="1" x14ac:dyDescent="0.25">
      <c r="A236" s="1016" t="s">
        <v>795</v>
      </c>
      <c r="B236" s="1017"/>
      <c r="C236" s="947" t="str">
        <f>ASIGNATURAS!I292</f>
        <v>Tecnología Mecánica I</v>
      </c>
      <c r="D236" s="948"/>
      <c r="E236" s="948"/>
      <c r="F236" s="948"/>
      <c r="G236" s="948"/>
      <c r="H236" s="948"/>
      <c r="I236" s="948"/>
      <c r="J236" s="948"/>
      <c r="K236" s="948"/>
      <c r="L236" s="948"/>
      <c r="M236" s="972">
        <v>7749</v>
      </c>
      <c r="N236" s="972"/>
      <c r="O236" s="1013">
        <v>6</v>
      </c>
      <c r="P236" s="1014"/>
      <c r="Q236" s="982" t="str">
        <f>ASIGNATURAS!K292</f>
        <v>Miriam Lorenzo Bañuelos</v>
      </c>
      <c r="R236" s="983"/>
      <c r="S236" s="983"/>
      <c r="T236" s="983"/>
      <c r="U236" s="983"/>
      <c r="V236" s="983"/>
      <c r="W236" s="983"/>
      <c r="X236" s="983"/>
      <c r="Y236" s="983"/>
      <c r="Z236" s="983"/>
      <c r="AA236" s="983"/>
      <c r="AB236" s="983"/>
      <c r="AC236" s="983"/>
      <c r="AD236" s="983"/>
      <c r="AE236" s="983"/>
    </row>
    <row r="237" spans="1:31" ht="15" customHeight="1" x14ac:dyDescent="0.25">
      <c r="A237" s="1016" t="s">
        <v>796</v>
      </c>
      <c r="B237" s="1017"/>
      <c r="C237" s="947" t="str">
        <f>ASIGNATURAS!I293</f>
        <v>Diseño de Máquinas II</v>
      </c>
      <c r="D237" s="948"/>
      <c r="E237" s="948"/>
      <c r="F237" s="948"/>
      <c r="G237" s="948"/>
      <c r="H237" s="948"/>
      <c r="I237" s="948"/>
      <c r="J237" s="948"/>
      <c r="K237" s="948"/>
      <c r="L237" s="948"/>
      <c r="M237" s="972">
        <v>7745</v>
      </c>
      <c r="N237" s="972"/>
      <c r="O237" s="981">
        <v>6</v>
      </c>
      <c r="P237" s="972"/>
      <c r="Q237" s="982" t="str">
        <f>ASIGNATURAS!K293</f>
        <v>Alberto Martínez Martínez</v>
      </c>
      <c r="R237" s="983"/>
      <c r="S237" s="983"/>
      <c r="T237" s="983"/>
      <c r="U237" s="983"/>
      <c r="V237" s="983"/>
      <c r="W237" s="983"/>
      <c r="X237" s="983"/>
      <c r="Y237" s="983"/>
      <c r="Z237" s="983"/>
      <c r="AA237" s="983"/>
      <c r="AB237" s="983"/>
      <c r="AC237" s="983"/>
      <c r="AD237" s="983"/>
      <c r="AE237" s="983"/>
    </row>
    <row r="238" spans="1:31" ht="15" customHeight="1" x14ac:dyDescent="0.25">
      <c r="A238" s="1016" t="s">
        <v>797</v>
      </c>
      <c r="B238" s="1017"/>
      <c r="C238" s="947" t="str">
        <f>ASIGNATURAS!I294</f>
        <v>Instrumentación Electrónica</v>
      </c>
      <c r="D238" s="948"/>
      <c r="E238" s="948"/>
      <c r="F238" s="948"/>
      <c r="G238" s="948"/>
      <c r="H238" s="948"/>
      <c r="I238" s="948"/>
      <c r="J238" s="948"/>
      <c r="K238" s="948"/>
      <c r="L238" s="948"/>
      <c r="M238" s="972">
        <v>7746</v>
      </c>
      <c r="N238" s="972"/>
      <c r="O238" s="981">
        <v>6</v>
      </c>
      <c r="P238" s="972"/>
      <c r="Q238" s="982" t="str">
        <f>ASIGNATURAS!K294</f>
        <v>Ignacio Moreno Velasco</v>
      </c>
      <c r="R238" s="983"/>
      <c r="S238" s="983"/>
      <c r="T238" s="983"/>
      <c r="U238" s="983"/>
      <c r="V238" s="983"/>
      <c r="W238" s="983"/>
      <c r="X238" s="983"/>
      <c r="Y238" s="983"/>
      <c r="Z238" s="983"/>
      <c r="AA238" s="983"/>
      <c r="AB238" s="983"/>
      <c r="AC238" s="983"/>
      <c r="AD238" s="983"/>
      <c r="AE238" s="983"/>
    </row>
    <row r="239" spans="1:31" ht="15" customHeight="1" x14ac:dyDescent="0.25">
      <c r="A239" s="1016" t="s">
        <v>798</v>
      </c>
      <c r="B239" s="1017"/>
      <c r="C239" s="947" t="str">
        <f>ASIGNATURAS!I295</f>
        <v>Ingeniería Gráfica</v>
      </c>
      <c r="D239" s="948"/>
      <c r="E239" s="948"/>
      <c r="F239" s="948"/>
      <c r="G239" s="948"/>
      <c r="H239" s="948"/>
      <c r="I239" s="948"/>
      <c r="J239" s="948"/>
      <c r="K239" s="948"/>
      <c r="L239" s="948"/>
      <c r="M239" s="972">
        <v>7747</v>
      </c>
      <c r="N239" s="972"/>
      <c r="O239" s="981">
        <v>6</v>
      </c>
      <c r="P239" s="972"/>
      <c r="Q239" s="982" t="str">
        <f>ASIGNATURAS!K295</f>
        <v xml:space="preserve">Elías Martínez, </v>
      </c>
      <c r="R239" s="983"/>
      <c r="S239" s="983"/>
      <c r="T239" s="983"/>
      <c r="U239" s="983"/>
      <c r="V239" s="983"/>
      <c r="W239" s="983"/>
      <c r="X239" s="983"/>
      <c r="Y239" s="983"/>
      <c r="Z239" s="983"/>
      <c r="AA239" s="983"/>
      <c r="AB239" s="983"/>
      <c r="AC239" s="983"/>
      <c r="AD239" s="983"/>
      <c r="AE239" s="983"/>
    </row>
    <row r="240" spans="1:31" ht="15" customHeight="1" x14ac:dyDescent="0.25">
      <c r="A240" s="1016" t="s">
        <v>803</v>
      </c>
      <c r="B240" s="1017"/>
      <c r="C240" s="947" t="str">
        <f>ASIGNATURAS!I296</f>
        <v>Tecnología de los Sistemas Electrónicos</v>
      </c>
      <c r="D240" s="948"/>
      <c r="E240" s="948"/>
      <c r="F240" s="948"/>
      <c r="G240" s="948"/>
      <c r="H240" s="948"/>
      <c r="I240" s="948"/>
      <c r="J240" s="948"/>
      <c r="K240" s="948"/>
      <c r="L240" s="948"/>
      <c r="M240" s="972">
        <v>7748</v>
      </c>
      <c r="N240" s="972"/>
      <c r="O240" s="981">
        <v>6</v>
      </c>
      <c r="P240" s="972"/>
      <c r="Q240" s="982" t="str">
        <f>ASIGNATURAS!K296</f>
        <v xml:space="preserve">Jose Mª Cámara, Guzmán Moreno </v>
      </c>
      <c r="R240" s="983"/>
      <c r="S240" s="983"/>
      <c r="T240" s="983"/>
      <c r="U240" s="983"/>
      <c r="V240" s="983"/>
      <c r="W240" s="983"/>
      <c r="X240" s="983"/>
      <c r="Y240" s="983"/>
      <c r="Z240" s="983"/>
      <c r="AA240" s="983"/>
      <c r="AB240" s="983"/>
      <c r="AC240" s="983"/>
      <c r="AD240" s="983"/>
      <c r="AE240" s="983"/>
    </row>
    <row r="241" spans="1:31" ht="15" x14ac:dyDescent="0.25">
      <c r="A241" s="1016"/>
      <c r="B241" s="1017"/>
      <c r="C241" s="947"/>
      <c r="D241" s="948"/>
      <c r="E241" s="948"/>
      <c r="F241" s="948"/>
      <c r="G241" s="948"/>
      <c r="H241" s="948"/>
      <c r="I241" s="948"/>
      <c r="J241" s="948"/>
      <c r="K241" s="948"/>
      <c r="L241" s="948"/>
      <c r="M241" s="972"/>
      <c r="N241" s="972"/>
      <c r="O241" s="981"/>
      <c r="P241" s="972"/>
      <c r="Q241" s="982"/>
      <c r="R241" s="983"/>
      <c r="S241" s="983"/>
      <c r="T241" s="983"/>
      <c r="U241" s="983"/>
      <c r="V241" s="983"/>
      <c r="W241" s="983"/>
      <c r="X241" s="983"/>
      <c r="Y241" s="983"/>
      <c r="Z241" s="983"/>
      <c r="AA241" s="983"/>
      <c r="AB241" s="983"/>
      <c r="AC241" s="983"/>
      <c r="AD241" s="983"/>
      <c r="AE241" s="983"/>
    </row>
    <row r="244" spans="1:31" ht="15" x14ac:dyDescent="0.25">
      <c r="A244" s="730" t="s">
        <v>1044</v>
      </c>
      <c r="B244" s="731"/>
      <c r="C244" s="731"/>
      <c r="D244" s="731"/>
      <c r="E244" s="732"/>
    </row>
    <row r="245" spans="1:31" ht="15" x14ac:dyDescent="0.25">
      <c r="A245" s="733" t="s">
        <v>1045</v>
      </c>
      <c r="B245" s="734"/>
      <c r="C245" s="734"/>
      <c r="D245" s="734"/>
      <c r="E245" s="735"/>
    </row>
    <row r="247" spans="1:31" x14ac:dyDescent="0.25">
      <c r="A247" s="25" t="s">
        <v>217</v>
      </c>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51" spans="1:31" s="1" customFormat="1" ht="60.75" customHeight="1" x14ac:dyDescent="0.4">
      <c r="A251" s="974" t="s">
        <v>791</v>
      </c>
      <c r="B251" s="975"/>
      <c r="C251" s="975"/>
      <c r="D251" s="975"/>
      <c r="E251" s="975"/>
      <c r="F251" s="975"/>
      <c r="G251" s="975"/>
      <c r="H251" s="975"/>
      <c r="I251" s="975"/>
      <c r="J251" s="975"/>
      <c r="K251" s="975"/>
      <c r="L251" s="975"/>
      <c r="M251" s="975"/>
      <c r="N251" s="975"/>
      <c r="O251" s="975"/>
      <c r="P251" s="975"/>
      <c r="Q251" s="975"/>
      <c r="R251" s="975"/>
      <c r="S251" s="975"/>
      <c r="T251" s="975"/>
      <c r="U251" s="975"/>
      <c r="V251" s="975"/>
      <c r="W251" s="975"/>
      <c r="X251" s="975"/>
      <c r="Y251" s="976"/>
      <c r="Z251" s="988" t="str">
        <f>Aulas!G5</f>
        <v>Curso 2024-2025</v>
      </c>
      <c r="AA251" s="988"/>
      <c r="AB251" s="988"/>
      <c r="AC251" s="988"/>
      <c r="AD251" s="988"/>
      <c r="AE251" s="989"/>
    </row>
    <row r="252" spans="1:31" s="8" customFormat="1" ht="23.25" customHeight="1" x14ac:dyDescent="0.4">
      <c r="A252" s="960" t="s">
        <v>1055</v>
      </c>
      <c r="B252" s="961"/>
      <c r="C252" s="961"/>
      <c r="D252" s="961"/>
      <c r="E252" s="961"/>
      <c r="F252" s="961"/>
      <c r="G252" s="961"/>
      <c r="H252" s="961"/>
      <c r="I252" s="961"/>
      <c r="J252" s="961"/>
      <c r="K252" s="961"/>
      <c r="L252" s="961"/>
      <c r="M252" s="961"/>
      <c r="N252" s="961"/>
      <c r="O252" s="961"/>
      <c r="P252" s="961"/>
      <c r="Q252" s="961"/>
      <c r="R252" s="961"/>
      <c r="S252" s="961"/>
      <c r="T252" s="961"/>
      <c r="U252" s="961"/>
      <c r="V252" s="961"/>
      <c r="W252" s="961"/>
      <c r="X252" s="961"/>
      <c r="Y252" s="962"/>
      <c r="Z252" s="984" t="s">
        <v>157</v>
      </c>
      <c r="AA252" s="984"/>
      <c r="AB252" s="984"/>
      <c r="AC252" s="984"/>
      <c r="AD252" s="984"/>
      <c r="AE252" s="985"/>
    </row>
    <row r="253" spans="1:31" s="8" customFormat="1" ht="23.25" customHeight="1" x14ac:dyDescent="0.4">
      <c r="A253" s="963" t="s">
        <v>181</v>
      </c>
      <c r="B253" s="964"/>
      <c r="C253" s="964"/>
      <c r="D253" s="964"/>
      <c r="E253" s="964"/>
      <c r="F253" s="964"/>
      <c r="G253" s="964"/>
      <c r="H253" s="964"/>
      <c r="I253" s="964"/>
      <c r="J253" s="964"/>
      <c r="K253" s="964"/>
      <c r="L253" s="964"/>
      <c r="M253" s="964"/>
      <c r="N253" s="964"/>
      <c r="O253" s="964"/>
      <c r="P253" s="964"/>
      <c r="Q253" s="964"/>
      <c r="R253" s="964"/>
      <c r="S253" s="964"/>
      <c r="T253" s="964"/>
      <c r="U253" s="964"/>
      <c r="V253" s="964"/>
      <c r="W253" s="964"/>
      <c r="X253" s="964"/>
      <c r="Y253" s="965"/>
      <c r="Z253" s="986"/>
      <c r="AA253" s="986"/>
      <c r="AB253" s="986"/>
      <c r="AC253" s="986"/>
      <c r="AD253" s="986"/>
      <c r="AE253" s="987"/>
    </row>
    <row r="254" spans="1:31" ht="38.25" customHeight="1" x14ac:dyDescent="0.25">
      <c r="A254" s="23" t="s">
        <v>793</v>
      </c>
    </row>
    <row r="255" spans="1:31" s="2" customFormat="1" ht="24" customHeight="1" thickBot="1" x14ac:dyDescent="0.3">
      <c r="A255" s="167" t="s">
        <v>1</v>
      </c>
      <c r="B255" s="988" t="s">
        <v>2</v>
      </c>
      <c r="C255" s="988"/>
      <c r="D255" s="988"/>
      <c r="E255" s="988"/>
      <c r="F255" s="988"/>
      <c r="G255" s="989"/>
      <c r="H255" s="988" t="s">
        <v>3</v>
      </c>
      <c r="I255" s="988"/>
      <c r="J255" s="988"/>
      <c r="K255" s="988"/>
      <c r="L255" s="988"/>
      <c r="M255" s="989"/>
      <c r="N255" s="988" t="s">
        <v>139</v>
      </c>
      <c r="O255" s="988"/>
      <c r="P255" s="988"/>
      <c r="Q255" s="988"/>
      <c r="R255" s="988"/>
      <c r="S255" s="989"/>
      <c r="T255" s="988" t="s">
        <v>4</v>
      </c>
      <c r="U255" s="988"/>
      <c r="V255" s="988"/>
      <c r="W255" s="988"/>
      <c r="X255" s="988"/>
      <c r="Y255" s="989"/>
      <c r="Z255" s="988" t="s">
        <v>5</v>
      </c>
      <c r="AA255" s="988"/>
      <c r="AB255" s="988"/>
      <c r="AC255" s="988"/>
      <c r="AD255" s="988"/>
      <c r="AE255" s="989"/>
    </row>
    <row r="256" spans="1:31" ht="30" customHeight="1" x14ac:dyDescent="0.3">
      <c r="A256" s="966" t="s">
        <v>1131</v>
      </c>
      <c r="B256" s="954" t="s">
        <v>802</v>
      </c>
      <c r="C256" s="954"/>
      <c r="D256" s="954"/>
      <c r="E256" s="954"/>
      <c r="F256" s="954"/>
      <c r="G256" s="955"/>
      <c r="H256" s="954" t="s">
        <v>41</v>
      </c>
      <c r="I256" s="954"/>
      <c r="J256" s="954"/>
      <c r="K256" s="954"/>
      <c r="L256" s="954"/>
      <c r="M256" s="955"/>
      <c r="N256" s="939" t="s">
        <v>805</v>
      </c>
      <c r="O256" s="939"/>
      <c r="P256" s="939"/>
      <c r="Q256" s="939"/>
      <c r="R256" s="939"/>
      <c r="S256" s="949"/>
      <c r="T256" s="932"/>
      <c r="U256" s="932"/>
      <c r="V256" s="932"/>
      <c r="W256" s="932"/>
      <c r="X256" s="932"/>
      <c r="Y256" s="933"/>
      <c r="Z256" s="939" t="s">
        <v>41</v>
      </c>
      <c r="AA256" s="939"/>
      <c r="AB256" s="939"/>
      <c r="AC256" s="939"/>
      <c r="AD256" s="939"/>
      <c r="AE256" s="949"/>
    </row>
    <row r="257" spans="1:42" ht="30" customHeight="1" x14ac:dyDescent="0.25">
      <c r="A257" s="935"/>
      <c r="B257" s="937" t="s">
        <v>157</v>
      </c>
      <c r="C257" s="937"/>
      <c r="D257" s="937"/>
      <c r="E257" s="937"/>
      <c r="F257" s="937"/>
      <c r="G257" s="938"/>
      <c r="H257" s="937" t="s">
        <v>630</v>
      </c>
      <c r="I257" s="937"/>
      <c r="J257" s="937"/>
      <c r="K257" s="937"/>
      <c r="L257" s="937"/>
      <c r="M257" s="938"/>
      <c r="N257" s="944" t="s">
        <v>157</v>
      </c>
      <c r="O257" s="944"/>
      <c r="P257" s="944"/>
      <c r="Q257" s="944"/>
      <c r="R257" s="944"/>
      <c r="S257" s="945"/>
      <c r="T257" s="930"/>
      <c r="U257" s="930"/>
      <c r="V257" s="930"/>
      <c r="W257" s="930"/>
      <c r="X257" s="930"/>
      <c r="Y257" s="931"/>
      <c r="Z257" s="944" t="s">
        <v>630</v>
      </c>
      <c r="AA257" s="944"/>
      <c r="AB257" s="944"/>
      <c r="AC257" s="944"/>
      <c r="AD257" s="944"/>
      <c r="AE257" s="945"/>
    </row>
    <row r="258" spans="1:42" ht="30" customHeight="1" x14ac:dyDescent="0.3">
      <c r="A258" s="934" t="s">
        <v>187</v>
      </c>
      <c r="B258" s="1025" t="s">
        <v>802</v>
      </c>
      <c r="C258" s="956"/>
      <c r="D258" s="956"/>
      <c r="E258" s="956"/>
      <c r="F258" s="956"/>
      <c r="G258" s="957"/>
      <c r="H258" s="954" t="s">
        <v>41</v>
      </c>
      <c r="I258" s="954"/>
      <c r="J258" s="954"/>
      <c r="K258" s="954"/>
      <c r="L258" s="954"/>
      <c r="M258" s="955"/>
      <c r="N258" s="939" t="s">
        <v>805</v>
      </c>
      <c r="O258" s="939"/>
      <c r="P258" s="939"/>
      <c r="Q258" s="939"/>
      <c r="R258" s="939"/>
      <c r="S258" s="949"/>
      <c r="T258" s="932"/>
      <c r="U258" s="932"/>
      <c r="V258" s="932"/>
      <c r="W258" s="932"/>
      <c r="X258" s="932"/>
      <c r="Y258" s="933"/>
      <c r="Z258" s="939" t="s">
        <v>41</v>
      </c>
      <c r="AA258" s="939"/>
      <c r="AB258" s="939"/>
      <c r="AC258" s="939"/>
      <c r="AD258" s="939"/>
      <c r="AE258" s="949"/>
    </row>
    <row r="259" spans="1:42" ht="30" customHeight="1" x14ac:dyDescent="0.25">
      <c r="A259" s="935"/>
      <c r="B259" s="1026" t="s">
        <v>157</v>
      </c>
      <c r="C259" s="937"/>
      <c r="D259" s="937"/>
      <c r="E259" s="937"/>
      <c r="F259" s="937"/>
      <c r="G259" s="938"/>
      <c r="H259" s="937" t="s">
        <v>630</v>
      </c>
      <c r="I259" s="937"/>
      <c r="J259" s="937"/>
      <c r="K259" s="937"/>
      <c r="L259" s="937"/>
      <c r="M259" s="938"/>
      <c r="N259" s="944" t="s">
        <v>157</v>
      </c>
      <c r="O259" s="944"/>
      <c r="P259" s="944"/>
      <c r="Q259" s="944"/>
      <c r="R259" s="944"/>
      <c r="S259" s="945"/>
      <c r="T259" s="930"/>
      <c r="U259" s="930"/>
      <c r="V259" s="930"/>
      <c r="W259" s="930"/>
      <c r="X259" s="930"/>
      <c r="Y259" s="931"/>
      <c r="Z259" s="944" t="s">
        <v>630</v>
      </c>
      <c r="AA259" s="944"/>
      <c r="AB259" s="944"/>
      <c r="AC259" s="944"/>
      <c r="AD259" s="944"/>
      <c r="AE259" s="945"/>
      <c r="AJ259" s="20"/>
    </row>
    <row r="260" spans="1:42" ht="30" customHeight="1" x14ac:dyDescent="0.3">
      <c r="A260" s="934" t="s">
        <v>186</v>
      </c>
      <c r="B260" s="939" t="s">
        <v>800</v>
      </c>
      <c r="C260" s="939"/>
      <c r="D260" s="939"/>
      <c r="E260" s="939"/>
      <c r="F260" s="939"/>
      <c r="G260" s="949"/>
      <c r="H260" s="939" t="s">
        <v>802</v>
      </c>
      <c r="I260" s="939"/>
      <c r="J260" s="939"/>
      <c r="K260" s="939"/>
      <c r="L260" s="939"/>
      <c r="M260" s="949"/>
      <c r="N260" s="954" t="s">
        <v>39</v>
      </c>
      <c r="O260" s="954"/>
      <c r="P260" s="954"/>
      <c r="Q260" s="954"/>
      <c r="R260" s="954"/>
      <c r="S260" s="955"/>
      <c r="T260" s="954" t="s">
        <v>805</v>
      </c>
      <c r="U260" s="954"/>
      <c r="V260" s="954"/>
      <c r="W260" s="954"/>
      <c r="X260" s="954"/>
      <c r="Y260" s="955"/>
      <c r="Z260" s="932"/>
      <c r="AA260" s="932"/>
      <c r="AB260" s="932"/>
      <c r="AC260" s="932"/>
      <c r="AD260" s="932"/>
      <c r="AE260" s="933"/>
      <c r="AK260" s="1027"/>
      <c r="AL260" s="1027"/>
      <c r="AM260" s="1027"/>
      <c r="AN260" s="1027"/>
      <c r="AO260" s="1027"/>
      <c r="AP260" s="1027"/>
    </row>
    <row r="261" spans="1:42" ht="30" customHeight="1" x14ac:dyDescent="0.3">
      <c r="A261" s="935"/>
      <c r="B261" s="944" t="s">
        <v>157</v>
      </c>
      <c r="C261" s="944"/>
      <c r="D261" s="944"/>
      <c r="E261" s="944"/>
      <c r="F261" s="944"/>
      <c r="G261" s="945"/>
      <c r="H261" s="944" t="s">
        <v>157</v>
      </c>
      <c r="I261" s="944"/>
      <c r="J261" s="944"/>
      <c r="K261" s="944"/>
      <c r="L261" s="944"/>
      <c r="M261" s="945"/>
      <c r="N261" s="937" t="s">
        <v>157</v>
      </c>
      <c r="O261" s="937"/>
      <c r="P261" s="937"/>
      <c r="Q261" s="937"/>
      <c r="R261" s="937"/>
      <c r="S261" s="938"/>
      <c r="T261" s="937" t="s">
        <v>577</v>
      </c>
      <c r="U261" s="937"/>
      <c r="V261" s="937"/>
      <c r="W261" s="937"/>
      <c r="X261" s="937"/>
      <c r="Y261" s="938"/>
      <c r="Z261" s="930"/>
      <c r="AA261" s="930"/>
      <c r="AB261" s="930"/>
      <c r="AC261" s="930"/>
      <c r="AD261" s="930"/>
      <c r="AE261" s="931"/>
      <c r="AK261" s="954"/>
      <c r="AL261" s="954"/>
      <c r="AM261" s="954"/>
      <c r="AN261" s="954"/>
      <c r="AO261" s="954"/>
      <c r="AP261" s="954"/>
    </row>
    <row r="262" spans="1:42" ht="30" customHeight="1" x14ac:dyDescent="0.3">
      <c r="A262" s="934" t="s">
        <v>188</v>
      </c>
      <c r="B262" s="942" t="s">
        <v>800</v>
      </c>
      <c r="C262" s="940"/>
      <c r="D262" s="940"/>
      <c r="E262" s="940"/>
      <c r="F262" s="940"/>
      <c r="G262" s="941"/>
      <c r="H262" s="939" t="s">
        <v>802</v>
      </c>
      <c r="I262" s="939"/>
      <c r="J262" s="939"/>
      <c r="K262" s="939"/>
      <c r="L262" s="939"/>
      <c r="M262" s="949"/>
      <c r="N262" s="954" t="s">
        <v>39</v>
      </c>
      <c r="O262" s="954"/>
      <c r="P262" s="954"/>
      <c r="Q262" s="954"/>
      <c r="R262" s="954"/>
      <c r="S262" s="955"/>
      <c r="T262" s="954" t="s">
        <v>805</v>
      </c>
      <c r="U262" s="954"/>
      <c r="V262" s="954"/>
      <c r="W262" s="954"/>
      <c r="X262" s="954"/>
      <c r="Y262" s="955"/>
      <c r="Z262" s="932"/>
      <c r="AA262" s="932"/>
      <c r="AB262" s="932"/>
      <c r="AC262" s="932"/>
      <c r="AD262" s="932"/>
      <c r="AE262" s="933"/>
      <c r="AK262" s="1027"/>
      <c r="AL262" s="1027"/>
      <c r="AM262" s="1027"/>
      <c r="AN262" s="1027"/>
      <c r="AO262" s="1027"/>
      <c r="AP262" s="1027"/>
    </row>
    <row r="263" spans="1:42" ht="30" customHeight="1" x14ac:dyDescent="0.25">
      <c r="A263" s="935"/>
      <c r="B263" s="946" t="s">
        <v>157</v>
      </c>
      <c r="C263" s="944"/>
      <c r="D263" s="944"/>
      <c r="E263" s="944"/>
      <c r="F263" s="944"/>
      <c r="G263" s="945"/>
      <c r="H263" s="944" t="s">
        <v>157</v>
      </c>
      <c r="I263" s="944"/>
      <c r="J263" s="944"/>
      <c r="K263" s="944"/>
      <c r="L263" s="944"/>
      <c r="M263" s="945"/>
      <c r="N263" s="937" t="s">
        <v>157</v>
      </c>
      <c r="O263" s="937"/>
      <c r="P263" s="937"/>
      <c r="Q263" s="937"/>
      <c r="R263" s="937"/>
      <c r="S263" s="938"/>
      <c r="T263" s="937" t="s">
        <v>577</v>
      </c>
      <c r="U263" s="937"/>
      <c r="V263" s="937"/>
      <c r="W263" s="937"/>
      <c r="X263" s="937"/>
      <c r="Y263" s="938"/>
      <c r="Z263" s="930"/>
      <c r="AA263" s="930"/>
      <c r="AB263" s="930"/>
      <c r="AC263" s="930"/>
      <c r="AD263" s="930"/>
      <c r="AE263" s="931"/>
    </row>
    <row r="264" spans="1:42" ht="30" customHeight="1" x14ac:dyDescent="0.3">
      <c r="A264" s="934" t="s">
        <v>189</v>
      </c>
      <c r="B264" s="954" t="s">
        <v>799</v>
      </c>
      <c r="C264" s="954"/>
      <c r="D264" s="954"/>
      <c r="E264" s="954"/>
      <c r="F264" s="954"/>
      <c r="G264" s="955"/>
      <c r="H264" s="1015" t="s">
        <v>800</v>
      </c>
      <c r="I264" s="956"/>
      <c r="J264" s="956"/>
      <c r="K264" s="956"/>
      <c r="L264" s="956"/>
      <c r="M264" s="957"/>
      <c r="N264" s="939" t="s">
        <v>799</v>
      </c>
      <c r="O264" s="939"/>
      <c r="P264" s="939"/>
      <c r="Q264" s="939"/>
      <c r="R264" s="939"/>
      <c r="S264" s="949"/>
      <c r="T264" s="942" t="s">
        <v>39</v>
      </c>
      <c r="U264" s="940"/>
      <c r="V264" s="940"/>
      <c r="W264" s="940"/>
      <c r="X264" s="940"/>
      <c r="Y264" s="941"/>
      <c r="Z264" s="1005"/>
      <c r="AA264" s="967"/>
      <c r="AB264" s="967"/>
      <c r="AC264" s="967"/>
      <c r="AD264" s="967"/>
      <c r="AE264" s="968"/>
      <c r="AJ264" s="954"/>
      <c r="AK264" s="954"/>
      <c r="AL264" s="954"/>
      <c r="AM264" s="954"/>
      <c r="AN264" s="954"/>
      <c r="AO264" s="954"/>
    </row>
    <row r="265" spans="1:42" ht="30" customHeight="1" x14ac:dyDescent="0.25">
      <c r="A265" s="935"/>
      <c r="B265" s="937" t="s">
        <v>682</v>
      </c>
      <c r="C265" s="937"/>
      <c r="D265" s="937"/>
      <c r="E265" s="937"/>
      <c r="F265" s="937"/>
      <c r="G265" s="938"/>
      <c r="H265" s="937" t="s">
        <v>1287</v>
      </c>
      <c r="I265" s="937"/>
      <c r="J265" s="937"/>
      <c r="K265" s="937"/>
      <c r="L265" s="937"/>
      <c r="M265" s="938"/>
      <c r="N265" s="944" t="s">
        <v>157</v>
      </c>
      <c r="O265" s="944"/>
      <c r="P265" s="944"/>
      <c r="Q265" s="944"/>
      <c r="R265" s="944"/>
      <c r="S265" s="945"/>
      <c r="T265" s="944" t="s">
        <v>157</v>
      </c>
      <c r="U265" s="944"/>
      <c r="V265" s="944"/>
      <c r="W265" s="944"/>
      <c r="X265" s="944"/>
      <c r="Y265" s="945"/>
      <c r="Z265" s="930"/>
      <c r="AA265" s="930"/>
      <c r="AB265" s="930"/>
      <c r="AC265" s="930"/>
      <c r="AD265" s="930"/>
      <c r="AE265" s="931"/>
    </row>
    <row r="266" spans="1:42" ht="30" customHeight="1" x14ac:dyDescent="0.3">
      <c r="A266" s="997" t="s">
        <v>190</v>
      </c>
      <c r="B266" s="1025" t="s">
        <v>799</v>
      </c>
      <c r="C266" s="956"/>
      <c r="D266" s="956"/>
      <c r="E266" s="956"/>
      <c r="F266" s="956"/>
      <c r="G266" s="957"/>
      <c r="H266" s="954" t="s">
        <v>800</v>
      </c>
      <c r="I266" s="954"/>
      <c r="J266" s="954"/>
      <c r="K266" s="954"/>
      <c r="L266" s="954"/>
      <c r="M266" s="955"/>
      <c r="N266" s="939" t="s">
        <v>799</v>
      </c>
      <c r="O266" s="939"/>
      <c r="P266" s="939"/>
      <c r="Q266" s="939"/>
      <c r="R266" s="939"/>
      <c r="S266" s="949"/>
      <c r="T266" s="939" t="s">
        <v>39</v>
      </c>
      <c r="U266" s="939"/>
      <c r="V266" s="939"/>
      <c r="W266" s="939"/>
      <c r="X266" s="939"/>
      <c r="Y266" s="949"/>
      <c r="Z266" s="932"/>
      <c r="AA266" s="932"/>
      <c r="AB266" s="932"/>
      <c r="AC266" s="932"/>
      <c r="AD266" s="932"/>
      <c r="AE266" s="933"/>
    </row>
    <row r="267" spans="1:42" ht="30" customHeight="1" x14ac:dyDescent="0.25">
      <c r="A267" s="998"/>
      <c r="B267" s="1026" t="s">
        <v>682</v>
      </c>
      <c r="C267" s="937"/>
      <c r="D267" s="937"/>
      <c r="E267" s="937"/>
      <c r="F267" s="937"/>
      <c r="G267" s="938"/>
      <c r="H267" s="937" t="s">
        <v>1287</v>
      </c>
      <c r="I267" s="937"/>
      <c r="J267" s="937"/>
      <c r="K267" s="937"/>
      <c r="L267" s="937"/>
      <c r="M267" s="938"/>
      <c r="N267" s="944" t="s">
        <v>157</v>
      </c>
      <c r="O267" s="944"/>
      <c r="P267" s="944"/>
      <c r="Q267" s="944"/>
      <c r="R267" s="944"/>
      <c r="S267" s="945"/>
      <c r="T267" s="944" t="s">
        <v>157</v>
      </c>
      <c r="U267" s="944"/>
      <c r="V267" s="944"/>
      <c r="W267" s="944"/>
      <c r="X267" s="944"/>
      <c r="Y267" s="945"/>
      <c r="Z267" s="930"/>
      <c r="AA267" s="930"/>
      <c r="AB267" s="930"/>
      <c r="AC267" s="930"/>
      <c r="AD267" s="930"/>
      <c r="AE267" s="931"/>
    </row>
    <row r="269" spans="1:42" ht="15" x14ac:dyDescent="0.25">
      <c r="A269" s="736" t="s">
        <v>218</v>
      </c>
      <c r="B269" s="737"/>
      <c r="C269" s="952" t="s">
        <v>219</v>
      </c>
      <c r="D269" s="952"/>
      <c r="E269" s="952"/>
      <c r="F269" s="952"/>
      <c r="G269" s="952"/>
      <c r="H269" s="952"/>
      <c r="I269" s="952"/>
      <c r="J269" s="952"/>
      <c r="K269" s="952"/>
      <c r="L269" s="168"/>
      <c r="M269" s="950" t="s">
        <v>629</v>
      </c>
      <c r="N269" s="951"/>
      <c r="O269" s="952" t="s">
        <v>143</v>
      </c>
      <c r="P269" s="953"/>
      <c r="Q269" s="995" t="s">
        <v>167</v>
      </c>
      <c r="R269" s="952"/>
      <c r="S269" s="952"/>
      <c r="T269" s="952"/>
      <c r="U269" s="952"/>
      <c r="V269" s="952"/>
      <c r="W269" s="952"/>
      <c r="X269" s="952"/>
      <c r="Y269" s="952"/>
      <c r="Z269" s="952"/>
      <c r="AA269" s="952"/>
      <c r="AB269" s="952"/>
      <c r="AC269" s="952"/>
      <c r="AD269" s="952"/>
      <c r="AE269" s="1021"/>
    </row>
    <row r="270" spans="1:42" ht="15" x14ac:dyDescent="0.25">
      <c r="A270" s="1016" t="s">
        <v>799</v>
      </c>
      <c r="B270" s="1017"/>
      <c r="C270" s="947" t="str">
        <f>ASIGNATURAS!I297</f>
        <v>Electrónica de Potencia</v>
      </c>
      <c r="D270" s="948"/>
      <c r="E270" s="948"/>
      <c r="F270" s="948"/>
      <c r="G270" s="948"/>
      <c r="H270" s="948"/>
      <c r="I270" s="948"/>
      <c r="J270" s="948"/>
      <c r="K270" s="948"/>
      <c r="L270" s="948"/>
      <c r="M270" s="972">
        <v>7744</v>
      </c>
      <c r="N270" s="972"/>
      <c r="O270" s="1013">
        <v>6</v>
      </c>
      <c r="P270" s="1014"/>
      <c r="Q270" s="982" t="str">
        <f>ASIGNATURAS!K297</f>
        <v>Guirguis Zaki</v>
      </c>
      <c r="R270" s="983"/>
      <c r="S270" s="983"/>
      <c r="T270" s="983"/>
      <c r="U270" s="983"/>
      <c r="V270" s="983"/>
      <c r="W270" s="983"/>
      <c r="X270" s="983"/>
      <c r="Y270" s="983"/>
      <c r="Z270" s="983"/>
      <c r="AA270" s="983"/>
      <c r="AB270" s="983"/>
      <c r="AC270" s="983"/>
      <c r="AD270" s="983"/>
      <c r="AE270" s="983"/>
    </row>
    <row r="271" spans="1:42" ht="15" x14ac:dyDescent="0.25">
      <c r="A271" s="1016" t="s">
        <v>116</v>
      </c>
      <c r="B271" s="1017"/>
      <c r="C271" s="947" t="str">
        <f>ASIGNATURAS!I298</f>
        <v>Control de Procesos Industriales</v>
      </c>
      <c r="D271" s="948"/>
      <c r="E271" s="948"/>
      <c r="F271" s="948"/>
      <c r="G271" s="948"/>
      <c r="H271" s="948"/>
      <c r="I271" s="948"/>
      <c r="J271" s="948"/>
      <c r="K271" s="948"/>
      <c r="L271" s="948"/>
      <c r="M271" s="972">
        <v>7750</v>
      </c>
      <c r="N271" s="972"/>
      <c r="O271" s="981">
        <v>6</v>
      </c>
      <c r="P271" s="972"/>
      <c r="Q271" s="983" t="str">
        <f>ASIGNATURAS!K298</f>
        <v>Gabriel Rubio Pérez</v>
      </c>
      <c r="R271" s="983"/>
      <c r="S271" s="983"/>
      <c r="T271" s="983"/>
      <c r="U271" s="983"/>
      <c r="V271" s="983"/>
      <c r="W271" s="983"/>
      <c r="X271" s="983"/>
      <c r="Y271" s="983"/>
      <c r="Z271" s="983"/>
      <c r="AA271" s="983"/>
      <c r="AB271" s="983"/>
      <c r="AC271" s="983"/>
      <c r="AD271" s="983"/>
      <c r="AE271" s="1018"/>
    </row>
    <row r="272" spans="1:42" ht="15" customHeight="1" x14ac:dyDescent="0.25">
      <c r="A272" s="1016" t="s">
        <v>41</v>
      </c>
      <c r="B272" s="1017"/>
      <c r="C272" s="947" t="str">
        <f>ASIGNATURAS!I299</f>
        <v>Instalaciones Industriales I</v>
      </c>
      <c r="D272" s="948"/>
      <c r="E272" s="948"/>
      <c r="F272" s="948"/>
      <c r="G272" s="948"/>
      <c r="H272" s="948"/>
      <c r="I272" s="948"/>
      <c r="J272" s="948"/>
      <c r="K272" s="948"/>
      <c r="L272" s="948"/>
      <c r="M272" s="972">
        <v>7751</v>
      </c>
      <c r="N272" s="972"/>
      <c r="O272" s="981">
        <v>6</v>
      </c>
      <c r="P272" s="972"/>
      <c r="Q272" s="983" t="str">
        <f>ASIGNATURAS!K299</f>
        <v>Luís Alfredo Suarez Vivar</v>
      </c>
      <c r="R272" s="983"/>
      <c r="S272" s="983"/>
      <c r="T272" s="983"/>
      <c r="U272" s="983"/>
      <c r="V272" s="983"/>
      <c r="W272" s="983"/>
      <c r="X272" s="983"/>
      <c r="Y272" s="983"/>
      <c r="Z272" s="983"/>
      <c r="AA272" s="983"/>
      <c r="AB272" s="983"/>
      <c r="AC272" s="983"/>
      <c r="AD272" s="983"/>
      <c r="AE272" s="1018"/>
    </row>
    <row r="273" spans="1:31" ht="15" customHeight="1" x14ac:dyDescent="0.25">
      <c r="A273" s="1016" t="s">
        <v>800</v>
      </c>
      <c r="B273" s="1017"/>
      <c r="C273" s="947" t="str">
        <f>ASIGNATURAS!I300</f>
        <v>Informática Industrial</v>
      </c>
      <c r="D273" s="948"/>
      <c r="E273" s="948"/>
      <c r="F273" s="948"/>
      <c r="G273" s="948"/>
      <c r="H273" s="948"/>
      <c r="I273" s="948"/>
      <c r="J273" s="948"/>
      <c r="K273" s="948"/>
      <c r="L273" s="948"/>
      <c r="M273" s="972">
        <v>7752</v>
      </c>
      <c r="N273" s="972"/>
      <c r="O273" s="981">
        <v>6</v>
      </c>
      <c r="P273" s="972"/>
      <c r="Q273" s="983" t="str">
        <f>ASIGNATURAS!K300</f>
        <v>José Luis Jabato</v>
      </c>
      <c r="R273" s="983"/>
      <c r="S273" s="983"/>
      <c r="T273" s="983"/>
      <c r="U273" s="983"/>
      <c r="V273" s="983"/>
      <c r="W273" s="983"/>
      <c r="X273" s="983"/>
      <c r="Y273" s="983"/>
      <c r="Z273" s="983"/>
      <c r="AA273" s="983"/>
      <c r="AB273" s="983"/>
      <c r="AC273" s="983"/>
      <c r="AD273" s="983"/>
      <c r="AE273" s="1018"/>
    </row>
    <row r="274" spans="1:31" ht="15" customHeight="1" x14ac:dyDescent="0.25">
      <c r="A274" s="1016" t="s">
        <v>39</v>
      </c>
      <c r="B274" s="1017"/>
      <c r="C274" s="947" t="str">
        <f>ASIGNATURAS!I301</f>
        <v>Estructuras I</v>
      </c>
      <c r="D274" s="948"/>
      <c r="E274" s="948"/>
      <c r="F274" s="948"/>
      <c r="G274" s="948"/>
      <c r="H274" s="948"/>
      <c r="I274" s="948"/>
      <c r="J274" s="948"/>
      <c r="K274" s="948"/>
      <c r="L274" s="948"/>
      <c r="M274" s="972">
        <v>7753</v>
      </c>
      <c r="N274" s="972"/>
      <c r="O274" s="981">
        <v>6</v>
      </c>
      <c r="P274" s="972"/>
      <c r="Q274" s="983" t="str">
        <f>ASIGNATURAS!K301</f>
        <v xml:space="preserve">Jesús Moreno, </v>
      </c>
      <c r="R274" s="983"/>
      <c r="S274" s="983"/>
      <c r="T274" s="983"/>
      <c r="U274" s="983"/>
      <c r="V274" s="983"/>
      <c r="W274" s="983"/>
      <c r="X274" s="983"/>
      <c r="Y274" s="983"/>
      <c r="Z274" s="983"/>
      <c r="AA274" s="983"/>
      <c r="AB274" s="983"/>
      <c r="AC274" s="983"/>
      <c r="AD274" s="983"/>
      <c r="AE274" s="1018"/>
    </row>
    <row r="275" spans="1:31" ht="15" customHeight="1" x14ac:dyDescent="0.25">
      <c r="A275" s="1016" t="s">
        <v>802</v>
      </c>
      <c r="B275" s="1017"/>
      <c r="C275" s="947" t="str">
        <f>ASIGNATURAS!I302</f>
        <v>Máquinas Hidráulicas</v>
      </c>
      <c r="D275" s="948"/>
      <c r="E275" s="948"/>
      <c r="F275" s="948"/>
      <c r="G275" s="948"/>
      <c r="H275" s="948"/>
      <c r="I275" s="948"/>
      <c r="J275" s="948"/>
      <c r="K275" s="948"/>
      <c r="L275" s="948"/>
      <c r="M275" s="972">
        <v>7763</v>
      </c>
      <c r="N275" s="972"/>
      <c r="O275" s="981">
        <v>6</v>
      </c>
      <c r="P275" s="972"/>
      <c r="Q275" s="983" t="str">
        <f>ASIGNATURAS!K302</f>
        <v>David GonzálezIgnacio Velázquez</v>
      </c>
      <c r="R275" s="983"/>
      <c r="S275" s="983"/>
      <c r="T275" s="983"/>
      <c r="U275" s="983"/>
      <c r="V275" s="983"/>
      <c r="W275" s="983"/>
      <c r="X275" s="983"/>
      <c r="Y275" s="983"/>
      <c r="Z275" s="983"/>
      <c r="AA275" s="983"/>
      <c r="AB275" s="983"/>
      <c r="AC275" s="983"/>
      <c r="AD275" s="983"/>
      <c r="AE275" s="1018"/>
    </row>
    <row r="277" spans="1:31" ht="15" x14ac:dyDescent="0.25">
      <c r="A277" s="730" t="s">
        <v>1044</v>
      </c>
      <c r="B277" s="731"/>
      <c r="C277" s="731"/>
      <c r="D277" s="731"/>
      <c r="E277" s="732"/>
    </row>
    <row r="278" spans="1:31" ht="15" x14ac:dyDescent="0.25">
      <c r="A278" s="733" t="s">
        <v>1045</v>
      </c>
      <c r="B278" s="734"/>
      <c r="C278" s="734"/>
      <c r="D278" s="734"/>
      <c r="E278" s="735"/>
    </row>
    <row r="280" spans="1:31" x14ac:dyDescent="0.25">
      <c r="A280" s="25" t="s">
        <v>217</v>
      </c>
    </row>
    <row r="283" spans="1:31" ht="27" customHeight="1" x14ac:dyDescent="0.25"/>
    <row r="284" spans="1:31" ht="54.75" customHeight="1" x14ac:dyDescent="0.25">
      <c r="A284" s="974" t="s">
        <v>995</v>
      </c>
      <c r="B284" s="975"/>
      <c r="C284" s="975"/>
      <c r="D284" s="975"/>
      <c r="E284" s="975"/>
      <c r="F284" s="975"/>
      <c r="G284" s="975"/>
      <c r="H284" s="975"/>
      <c r="I284" s="975"/>
      <c r="J284" s="975"/>
      <c r="K284" s="975"/>
      <c r="L284" s="975"/>
      <c r="M284" s="975"/>
      <c r="N284" s="975"/>
      <c r="O284" s="975"/>
      <c r="P284" s="975"/>
      <c r="Q284" s="975"/>
      <c r="R284" s="975"/>
      <c r="S284" s="975"/>
      <c r="T284" s="975"/>
      <c r="U284" s="975"/>
      <c r="V284" s="975"/>
      <c r="W284" s="975"/>
      <c r="X284" s="975"/>
      <c r="Y284" s="976"/>
      <c r="Z284" s="988" t="str">
        <f>Aulas!G5</f>
        <v>Curso 2024-2025</v>
      </c>
      <c r="AA284" s="988"/>
      <c r="AB284" s="988"/>
      <c r="AC284" s="988"/>
      <c r="AD284" s="988"/>
      <c r="AE284" s="989"/>
    </row>
    <row r="285" spans="1:31" ht="18" customHeight="1" x14ac:dyDescent="0.25">
      <c r="A285" s="960" t="s">
        <v>1056</v>
      </c>
      <c r="B285" s="961"/>
      <c r="C285" s="961"/>
      <c r="D285" s="961"/>
      <c r="E285" s="961"/>
      <c r="F285" s="961"/>
      <c r="G285" s="961"/>
      <c r="H285" s="961"/>
      <c r="I285" s="961"/>
      <c r="J285" s="961"/>
      <c r="K285" s="961"/>
      <c r="L285" s="961"/>
      <c r="M285" s="961"/>
      <c r="N285" s="961"/>
      <c r="O285" s="961"/>
      <c r="P285" s="961"/>
      <c r="Q285" s="961"/>
      <c r="R285" s="961"/>
      <c r="S285" s="961"/>
      <c r="T285" s="961"/>
      <c r="U285" s="961"/>
      <c r="V285" s="961"/>
      <c r="W285" s="961"/>
      <c r="X285" s="961"/>
      <c r="Y285" s="962"/>
      <c r="Z285" s="984" t="s">
        <v>158</v>
      </c>
      <c r="AA285" s="984"/>
      <c r="AB285" s="984"/>
      <c r="AC285" s="984"/>
      <c r="AD285" s="984"/>
      <c r="AE285" s="985"/>
    </row>
    <row r="286" spans="1:31" ht="18" customHeight="1" x14ac:dyDescent="0.25">
      <c r="A286" s="963" t="s">
        <v>181</v>
      </c>
      <c r="B286" s="964"/>
      <c r="C286" s="964"/>
      <c r="D286" s="964"/>
      <c r="E286" s="964"/>
      <c r="F286" s="964"/>
      <c r="G286" s="964"/>
      <c r="H286" s="964"/>
      <c r="I286" s="964"/>
      <c r="J286" s="964"/>
      <c r="K286" s="964"/>
      <c r="L286" s="964"/>
      <c r="M286" s="964"/>
      <c r="N286" s="964"/>
      <c r="O286" s="964"/>
      <c r="P286" s="964"/>
      <c r="Q286" s="964"/>
      <c r="R286" s="964"/>
      <c r="S286" s="964"/>
      <c r="T286" s="964"/>
      <c r="U286" s="964"/>
      <c r="V286" s="964"/>
      <c r="W286" s="964"/>
      <c r="X286" s="964"/>
      <c r="Y286" s="965"/>
      <c r="Z286" s="986"/>
      <c r="AA286" s="986"/>
      <c r="AB286" s="986"/>
      <c r="AC286" s="986"/>
      <c r="AD286" s="986"/>
      <c r="AE286" s="987"/>
    </row>
    <row r="287" spans="1:31" ht="38.25" customHeight="1" x14ac:dyDescent="0.25">
      <c r="A287" s="444" t="s">
        <v>996</v>
      </c>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row>
    <row r="288" spans="1:31" s="2" customFormat="1" ht="24" customHeight="1" thickBot="1" x14ac:dyDescent="0.3">
      <c r="A288" s="167" t="s">
        <v>1</v>
      </c>
      <c r="B288" s="1041" t="s">
        <v>2</v>
      </c>
      <c r="C288" s="1042"/>
      <c r="D288" s="1042"/>
      <c r="E288" s="1042"/>
      <c r="F288" s="1042"/>
      <c r="G288" s="1043"/>
      <c r="H288" s="1028" t="s">
        <v>3</v>
      </c>
      <c r="I288" s="1029"/>
      <c r="J288" s="1029"/>
      <c r="K288" s="1029"/>
      <c r="L288" s="1029"/>
      <c r="M288" s="1030"/>
      <c r="N288" s="1042" t="s">
        <v>139</v>
      </c>
      <c r="O288" s="1042"/>
      <c r="P288" s="1042"/>
      <c r="Q288" s="1042"/>
      <c r="R288" s="1042"/>
      <c r="S288" s="1043"/>
      <c r="T288" s="1042" t="s">
        <v>4</v>
      </c>
      <c r="U288" s="1042"/>
      <c r="V288" s="1042"/>
      <c r="W288" s="1042"/>
      <c r="X288" s="1042"/>
      <c r="Y288" s="1043"/>
      <c r="Z288" s="1028" t="s">
        <v>5</v>
      </c>
      <c r="AA288" s="1029"/>
      <c r="AB288" s="1029"/>
      <c r="AC288" s="1029"/>
      <c r="AD288" s="1029"/>
      <c r="AE288" s="1030"/>
    </row>
    <row r="289" spans="1:62" ht="30" customHeight="1" x14ac:dyDescent="0.3">
      <c r="A289" s="966" t="s">
        <v>1131</v>
      </c>
      <c r="B289" s="1044" t="s">
        <v>1383</v>
      </c>
      <c r="C289" s="1035"/>
      <c r="D289" s="1035"/>
      <c r="E289" s="1035"/>
      <c r="F289" s="1035"/>
      <c r="G289" s="1036"/>
      <c r="H289" s="1015" t="s">
        <v>1381</v>
      </c>
      <c r="I289" s="956"/>
      <c r="J289" s="956"/>
      <c r="K289" s="956"/>
      <c r="L289" s="956"/>
      <c r="M289" s="957"/>
      <c r="N289" s="1034" t="s">
        <v>991</v>
      </c>
      <c r="O289" s="1035"/>
      <c r="P289" s="1035"/>
      <c r="Q289" s="1035"/>
      <c r="R289" s="1035"/>
      <c r="S289" s="1036"/>
      <c r="T289" s="1038" t="s">
        <v>1381</v>
      </c>
      <c r="U289" s="1039"/>
      <c r="V289" s="1039"/>
      <c r="W289" s="1039"/>
      <c r="X289" s="1039"/>
      <c r="Y289" s="1040"/>
      <c r="AG289" s="954"/>
      <c r="AH289" s="954"/>
      <c r="AI289" s="954"/>
      <c r="AJ289" s="954"/>
      <c r="AK289" s="954"/>
      <c r="AL289" s="954"/>
      <c r="AM289" s="954"/>
      <c r="AN289" s="954"/>
      <c r="AO289" s="954"/>
      <c r="AP289" s="954"/>
      <c r="AQ289" s="954"/>
      <c r="AR289" s="954"/>
      <c r="AS289" s="954"/>
      <c r="AT289" s="954"/>
      <c r="AU289" s="954"/>
      <c r="AV289" s="954"/>
      <c r="AW289" s="954"/>
      <c r="AX289" s="954"/>
      <c r="AY289" s="954"/>
      <c r="AZ289" s="954"/>
      <c r="BA289" s="954"/>
      <c r="BB289" s="954"/>
      <c r="BC289" s="954"/>
      <c r="BD289" s="954"/>
      <c r="BE289" s="932"/>
      <c r="BF289" s="932"/>
      <c r="BG289" s="932"/>
      <c r="BH289" s="932"/>
      <c r="BI289" s="932"/>
      <c r="BJ289" s="932"/>
    </row>
    <row r="290" spans="1:62" ht="30" customHeight="1" x14ac:dyDescent="0.25">
      <c r="A290" s="935"/>
      <c r="B290" s="937" t="s">
        <v>577</v>
      </c>
      <c r="C290" s="937"/>
      <c r="D290" s="937"/>
      <c r="E290" s="937"/>
      <c r="F290" s="937"/>
      <c r="G290" s="938"/>
      <c r="H290" s="936" t="s">
        <v>577</v>
      </c>
      <c r="I290" s="937"/>
      <c r="J290" s="937"/>
      <c r="K290" s="937"/>
      <c r="L290" s="937"/>
      <c r="M290" s="938"/>
      <c r="N290" s="936" t="s">
        <v>538</v>
      </c>
      <c r="O290" s="937"/>
      <c r="P290" s="937"/>
      <c r="Q290" s="937"/>
      <c r="R290" s="937"/>
      <c r="S290" s="938"/>
      <c r="T290" s="946" t="s">
        <v>158</v>
      </c>
      <c r="U290" s="944"/>
      <c r="V290" s="944"/>
      <c r="W290" s="944"/>
      <c r="X290" s="944"/>
      <c r="Y290" s="945"/>
      <c r="AG290" s="1027"/>
      <c r="AH290" s="1027"/>
      <c r="AI290" s="1027"/>
      <c r="AJ290" s="1027"/>
      <c r="AK290" s="1027"/>
      <c r="AL290" s="1027"/>
      <c r="AM290" s="1027"/>
      <c r="AN290" s="1027"/>
      <c r="AO290" s="1027"/>
      <c r="AP290" s="1027"/>
      <c r="AQ290" s="1027"/>
      <c r="AR290" s="1027"/>
      <c r="AS290" s="1027"/>
      <c r="AT290" s="1027"/>
      <c r="AU290" s="1027"/>
      <c r="AV290" s="1027"/>
      <c r="AW290" s="1027"/>
      <c r="AX290" s="1027"/>
      <c r="AY290" s="1027"/>
      <c r="AZ290" s="1027"/>
      <c r="BA290" s="1027"/>
      <c r="BB290" s="1027"/>
      <c r="BC290" s="1027"/>
      <c r="BD290" s="1027"/>
      <c r="BE290" s="1061"/>
      <c r="BF290" s="1061"/>
      <c r="BG290" s="1061"/>
      <c r="BH290" s="1061"/>
      <c r="BI290" s="1061"/>
      <c r="BJ290" s="1061"/>
    </row>
    <row r="291" spans="1:62" ht="30" customHeight="1" x14ac:dyDescent="0.3">
      <c r="A291" s="934" t="s">
        <v>187</v>
      </c>
      <c r="B291" s="956" t="s">
        <v>1383</v>
      </c>
      <c r="C291" s="956"/>
      <c r="D291" s="956"/>
      <c r="E291" s="956"/>
      <c r="F291" s="956"/>
      <c r="G291" s="957"/>
      <c r="H291" s="1015" t="s">
        <v>1381</v>
      </c>
      <c r="I291" s="956"/>
      <c r="J291" s="956"/>
      <c r="K291" s="956"/>
      <c r="L291" s="956"/>
      <c r="M291" s="957"/>
      <c r="N291" s="1015" t="s">
        <v>991</v>
      </c>
      <c r="O291" s="956"/>
      <c r="P291" s="956"/>
      <c r="Q291" s="956"/>
      <c r="R291" s="956"/>
      <c r="S291" s="957"/>
      <c r="T291" s="1037" t="s">
        <v>1383</v>
      </c>
      <c r="U291" s="939"/>
      <c r="V291" s="939"/>
      <c r="W291" s="939"/>
      <c r="X291" s="939"/>
      <c r="Y291" s="949"/>
      <c r="Z291" s="1005"/>
      <c r="AA291" s="967"/>
      <c r="AB291" s="967"/>
      <c r="AC291" s="967"/>
      <c r="AD291" s="967"/>
      <c r="AE291" s="968"/>
      <c r="AG291" s="954"/>
      <c r="AH291" s="954"/>
      <c r="AI291" s="954"/>
      <c r="AJ291" s="954"/>
      <c r="AK291" s="954"/>
      <c r="AL291" s="954"/>
      <c r="AM291" s="954"/>
      <c r="AN291" s="954"/>
      <c r="AO291" s="954"/>
      <c r="AP291" s="954"/>
      <c r="AQ291" s="954"/>
      <c r="AR291" s="954"/>
      <c r="AS291" s="954"/>
      <c r="AT291" s="954"/>
      <c r="AU291" s="954"/>
      <c r="AV291" s="954"/>
      <c r="AW291" s="954"/>
      <c r="AX291" s="954"/>
      <c r="AY291" s="954"/>
      <c r="AZ291" s="954"/>
      <c r="BA291" s="954"/>
      <c r="BB291" s="954"/>
      <c r="BC291" s="954"/>
      <c r="BD291" s="954"/>
      <c r="BE291" s="932"/>
      <c r="BF291" s="932"/>
      <c r="BG291" s="932"/>
      <c r="BH291" s="932"/>
      <c r="BI291" s="932"/>
      <c r="BJ291" s="932"/>
    </row>
    <row r="292" spans="1:62" ht="30" customHeight="1" x14ac:dyDescent="0.25">
      <c r="A292" s="935"/>
      <c r="B292" s="937" t="s">
        <v>577</v>
      </c>
      <c r="C292" s="937"/>
      <c r="D292" s="937"/>
      <c r="E292" s="937"/>
      <c r="F292" s="937"/>
      <c r="G292" s="938"/>
      <c r="H292" s="1054" t="s">
        <v>577</v>
      </c>
      <c r="I292" s="1055"/>
      <c r="J292" s="1055"/>
      <c r="K292" s="1055"/>
      <c r="L292" s="1055"/>
      <c r="M292" s="1056"/>
      <c r="N292" s="936" t="s">
        <v>538</v>
      </c>
      <c r="O292" s="937"/>
      <c r="P292" s="937"/>
      <c r="Q292" s="937"/>
      <c r="R292" s="937"/>
      <c r="S292" s="938"/>
      <c r="T292" s="946" t="s">
        <v>158</v>
      </c>
      <c r="U292" s="944"/>
      <c r="V292" s="944"/>
      <c r="W292" s="944"/>
      <c r="X292" s="944"/>
      <c r="Y292" s="945"/>
      <c r="Z292" s="1031"/>
      <c r="AA292" s="1032"/>
      <c r="AB292" s="1032"/>
      <c r="AC292" s="1032"/>
      <c r="AD292" s="1032"/>
      <c r="AE292" s="1033"/>
      <c r="AG292" s="1027"/>
      <c r="AH292" s="1027"/>
      <c r="AI292" s="1027"/>
      <c r="AJ292" s="1027"/>
      <c r="AK292" s="1027"/>
      <c r="AL292" s="1027"/>
      <c r="AM292" s="1027"/>
      <c r="AN292" s="1027"/>
      <c r="AO292" s="1027"/>
      <c r="AP292" s="1027"/>
      <c r="AQ292" s="1027"/>
      <c r="AR292" s="1027"/>
      <c r="AS292" s="1027"/>
      <c r="AT292" s="1027"/>
      <c r="AU292" s="1027"/>
      <c r="AV292" s="1027"/>
      <c r="AW292" s="1027"/>
      <c r="AX292" s="1027"/>
      <c r="AY292" s="1027"/>
      <c r="AZ292" s="1027"/>
      <c r="BA292" s="1027"/>
      <c r="BB292" s="1027"/>
      <c r="BC292" s="1027"/>
      <c r="BD292" s="1027"/>
      <c r="BE292" s="1061"/>
      <c r="BF292" s="1061"/>
      <c r="BG292" s="1061"/>
      <c r="BH292" s="1061"/>
      <c r="BI292" s="1061"/>
      <c r="BJ292" s="1061"/>
    </row>
    <row r="293" spans="1:62" ht="30" customHeight="1" x14ac:dyDescent="0.3">
      <c r="A293" s="934" t="s">
        <v>186</v>
      </c>
      <c r="B293" s="967"/>
      <c r="C293" s="967"/>
      <c r="D293" s="967"/>
      <c r="E293" s="967"/>
      <c r="F293" s="967"/>
      <c r="G293" s="968"/>
      <c r="H293" s="942" t="s">
        <v>1381</v>
      </c>
      <c r="I293" s="940"/>
      <c r="J293" s="940"/>
      <c r="K293" s="940"/>
      <c r="L293" s="940"/>
      <c r="M293" s="941"/>
      <c r="N293" s="1015" t="s">
        <v>991</v>
      </c>
      <c r="O293" s="956"/>
      <c r="P293" s="956"/>
      <c r="Q293" s="956"/>
      <c r="R293" s="956"/>
      <c r="S293" s="957"/>
      <c r="T293" s="1015" t="s">
        <v>42</v>
      </c>
      <c r="U293" s="956"/>
      <c r="V293" s="956"/>
      <c r="W293" s="956"/>
      <c r="X293" s="956"/>
      <c r="Y293" s="957"/>
      <c r="Z293" s="1005"/>
      <c r="AA293" s="967"/>
      <c r="AB293" s="967"/>
      <c r="AC293" s="967"/>
      <c r="AD293" s="967"/>
      <c r="AE293" s="968"/>
      <c r="AG293" s="954"/>
      <c r="AH293" s="954"/>
      <c r="AI293" s="954"/>
      <c r="AJ293" s="954"/>
      <c r="AK293" s="954"/>
      <c r="AL293" s="954"/>
      <c r="AM293" s="939"/>
      <c r="AN293" s="939"/>
      <c r="AO293" s="939"/>
      <c r="AP293" s="939"/>
      <c r="AQ293" s="939"/>
      <c r="AR293" s="939"/>
      <c r="AS293" s="939"/>
      <c r="AT293" s="939"/>
      <c r="AU293" s="939"/>
      <c r="AV293" s="939"/>
      <c r="AW293" s="939"/>
      <c r="AX293" s="939"/>
      <c r="AY293" s="939"/>
      <c r="AZ293" s="939"/>
      <c r="BA293" s="939"/>
      <c r="BB293" s="939"/>
      <c r="BC293" s="939"/>
      <c r="BD293" s="939"/>
      <c r="BE293" s="932"/>
      <c r="BF293" s="932"/>
      <c r="BG293" s="932"/>
      <c r="BH293" s="932"/>
      <c r="BI293" s="932"/>
      <c r="BJ293" s="932"/>
    </row>
    <row r="294" spans="1:62" ht="30" customHeight="1" x14ac:dyDescent="0.25">
      <c r="A294" s="935"/>
      <c r="B294" s="930"/>
      <c r="C294" s="930"/>
      <c r="D294" s="930"/>
      <c r="E294" s="930"/>
      <c r="F294" s="930"/>
      <c r="G294" s="931"/>
      <c r="H294" s="946" t="s">
        <v>158</v>
      </c>
      <c r="I294" s="944"/>
      <c r="J294" s="944"/>
      <c r="K294" s="944"/>
      <c r="L294" s="944"/>
      <c r="M294" s="945"/>
      <c r="N294" s="936" t="s">
        <v>538</v>
      </c>
      <c r="O294" s="937"/>
      <c r="P294" s="937"/>
      <c r="Q294" s="937"/>
      <c r="R294" s="937"/>
      <c r="S294" s="938"/>
      <c r="T294" s="936" t="s">
        <v>158</v>
      </c>
      <c r="U294" s="937"/>
      <c r="V294" s="937"/>
      <c r="W294" s="937"/>
      <c r="X294" s="937"/>
      <c r="Y294" s="938"/>
      <c r="Z294" s="1031"/>
      <c r="AA294" s="1032"/>
      <c r="AB294" s="1032"/>
      <c r="AC294" s="1032"/>
      <c r="AD294" s="1032"/>
      <c r="AE294" s="1033"/>
      <c r="AG294" s="1027"/>
      <c r="AH294" s="1027"/>
      <c r="AI294" s="1027"/>
      <c r="AJ294" s="1027"/>
      <c r="AK294" s="1027"/>
      <c r="AL294" s="1027"/>
      <c r="AM294" s="1062"/>
      <c r="AN294" s="1062"/>
      <c r="AO294" s="1062"/>
      <c r="AP294" s="1062"/>
      <c r="AQ294" s="1062"/>
      <c r="AR294" s="1062"/>
      <c r="AS294" s="1062"/>
      <c r="AT294" s="1062"/>
      <c r="AU294" s="1062"/>
      <c r="AV294" s="1062"/>
      <c r="AW294" s="1062"/>
      <c r="AX294" s="1062"/>
      <c r="AY294" s="1062"/>
      <c r="AZ294" s="1062"/>
      <c r="BA294" s="1062"/>
      <c r="BB294" s="1062"/>
      <c r="BC294" s="1062"/>
      <c r="BD294" s="1062"/>
      <c r="BE294" s="1061"/>
      <c r="BF294" s="1061"/>
      <c r="BG294" s="1061"/>
      <c r="BH294" s="1061"/>
      <c r="BI294" s="1061"/>
      <c r="BJ294" s="1061"/>
    </row>
    <row r="295" spans="1:62" ht="30" customHeight="1" x14ac:dyDescent="0.3">
      <c r="A295" s="934" t="s">
        <v>188</v>
      </c>
      <c r="B295" s="1005"/>
      <c r="C295" s="967"/>
      <c r="D295" s="967"/>
      <c r="E295" s="967"/>
      <c r="F295" s="967"/>
      <c r="G295" s="968"/>
      <c r="H295" s="940" t="s">
        <v>1383</v>
      </c>
      <c r="I295" s="940"/>
      <c r="J295" s="940"/>
      <c r="K295" s="940"/>
      <c r="L295" s="940"/>
      <c r="M295" s="941"/>
      <c r="N295" s="942" t="s">
        <v>991</v>
      </c>
      <c r="O295" s="940"/>
      <c r="P295" s="940"/>
      <c r="Q295" s="940"/>
      <c r="R295" s="940"/>
      <c r="S295" s="941"/>
      <c r="T295" s="1015" t="s">
        <v>42</v>
      </c>
      <c r="U295" s="956"/>
      <c r="V295" s="956"/>
      <c r="W295" s="956"/>
      <c r="X295" s="956"/>
      <c r="Y295" s="957"/>
      <c r="Z295" s="1005"/>
      <c r="AA295" s="967"/>
      <c r="AB295" s="967"/>
      <c r="AC295" s="967"/>
      <c r="AD295" s="967"/>
      <c r="AE295" s="968"/>
      <c r="AG295" s="939"/>
      <c r="AH295" s="939"/>
      <c r="AI295" s="939"/>
      <c r="AJ295" s="939"/>
      <c r="AK295" s="939"/>
      <c r="AL295" s="939"/>
      <c r="AM295" s="939"/>
      <c r="AN295" s="939"/>
      <c r="AO295" s="939"/>
      <c r="AP295" s="939"/>
      <c r="AQ295" s="939"/>
      <c r="AR295" s="939"/>
      <c r="AS295" s="939"/>
      <c r="AT295" s="939"/>
      <c r="AU295" s="939"/>
      <c r="AV295" s="939"/>
      <c r="AW295" s="939"/>
      <c r="AX295" s="939"/>
      <c r="AY295" s="939"/>
      <c r="AZ295" s="939"/>
      <c r="BA295" s="939"/>
      <c r="BB295" s="939"/>
      <c r="BC295" s="939"/>
      <c r="BD295" s="939"/>
      <c r="BE295" s="932"/>
      <c r="BF295" s="932"/>
      <c r="BG295" s="932"/>
      <c r="BH295" s="932"/>
      <c r="BI295" s="932"/>
      <c r="BJ295" s="932"/>
    </row>
    <row r="296" spans="1:62" ht="30" customHeight="1" x14ac:dyDescent="0.25">
      <c r="A296" s="935"/>
      <c r="B296" s="943"/>
      <c r="C296" s="930"/>
      <c r="D296" s="930"/>
      <c r="E296" s="930"/>
      <c r="F296" s="930"/>
      <c r="G296" s="931"/>
      <c r="H296" s="944" t="s">
        <v>158</v>
      </c>
      <c r="I296" s="944"/>
      <c r="J296" s="944"/>
      <c r="K296" s="944"/>
      <c r="L296" s="944"/>
      <c r="M296" s="945"/>
      <c r="N296" s="946" t="s">
        <v>538</v>
      </c>
      <c r="O296" s="944"/>
      <c r="P296" s="944"/>
      <c r="Q296" s="944"/>
      <c r="R296" s="944"/>
      <c r="S296" s="945"/>
      <c r="T296" s="936" t="s">
        <v>158</v>
      </c>
      <c r="U296" s="937"/>
      <c r="V296" s="937"/>
      <c r="W296" s="937"/>
      <c r="X296" s="937"/>
      <c r="Y296" s="938"/>
      <c r="Z296" s="1031"/>
      <c r="AA296" s="1032"/>
      <c r="AB296" s="1032"/>
      <c r="AC296" s="1032"/>
      <c r="AD296" s="1032"/>
      <c r="AE296" s="1033"/>
      <c r="AG296" s="1062"/>
      <c r="AH296" s="1062"/>
      <c r="AI296" s="1062"/>
      <c r="AJ296" s="1062"/>
      <c r="AK296" s="1062"/>
      <c r="AL296" s="1062"/>
      <c r="AM296" s="1062"/>
      <c r="AN296" s="1062"/>
      <c r="AO296" s="1062"/>
      <c r="AP296" s="1062"/>
      <c r="AQ296" s="1062"/>
      <c r="AR296" s="1062"/>
      <c r="AS296" s="1062"/>
      <c r="AT296" s="1062"/>
      <c r="AU296" s="1062"/>
      <c r="AV296" s="1062"/>
      <c r="AW296" s="1062"/>
      <c r="AX296" s="1062"/>
      <c r="AY296" s="1062"/>
      <c r="AZ296" s="1062"/>
      <c r="BA296" s="1062"/>
      <c r="BB296" s="1062"/>
      <c r="BC296" s="1062"/>
      <c r="BD296" s="1062"/>
      <c r="BE296" s="1061"/>
      <c r="BF296" s="1061"/>
      <c r="BG296" s="1061"/>
      <c r="BH296" s="1061"/>
      <c r="BI296" s="1061"/>
      <c r="BJ296" s="1061"/>
    </row>
    <row r="297" spans="1:62" ht="30" customHeight="1" x14ac:dyDescent="0.3">
      <c r="A297" s="934" t="s">
        <v>189</v>
      </c>
      <c r="B297" s="1005"/>
      <c r="C297" s="967"/>
      <c r="D297" s="967"/>
      <c r="E297" s="967"/>
      <c r="F297" s="967"/>
      <c r="G297" s="968"/>
      <c r="H297" s="942" t="s">
        <v>1382</v>
      </c>
      <c r="I297" s="940"/>
      <c r="J297" s="940"/>
      <c r="K297" s="940"/>
      <c r="L297" s="940"/>
      <c r="M297" s="941"/>
      <c r="N297" s="942" t="s">
        <v>42</v>
      </c>
      <c r="O297" s="940"/>
      <c r="P297" s="940"/>
      <c r="Q297" s="940"/>
      <c r="R297" s="940"/>
      <c r="S297" s="941"/>
      <c r="T297" s="1015" t="s">
        <v>1382</v>
      </c>
      <c r="U297" s="956"/>
      <c r="V297" s="956"/>
      <c r="W297" s="956"/>
      <c r="X297" s="956"/>
      <c r="Y297" s="957"/>
      <c r="Z297" s="1005"/>
      <c r="AA297" s="967"/>
      <c r="AB297" s="967"/>
      <c r="AC297" s="967"/>
      <c r="AD297" s="967"/>
      <c r="AE297" s="968"/>
      <c r="AG297" s="939"/>
      <c r="AH297" s="939"/>
      <c r="AI297" s="939"/>
      <c r="AJ297" s="939"/>
      <c r="AK297" s="939"/>
      <c r="AL297" s="939"/>
      <c r="AM297" s="954"/>
      <c r="AN297" s="954"/>
      <c r="AO297" s="954"/>
      <c r="AP297" s="954"/>
      <c r="AQ297" s="954"/>
      <c r="AR297" s="954"/>
      <c r="AS297" s="939"/>
      <c r="AT297" s="939"/>
      <c r="AU297" s="939"/>
      <c r="AV297" s="939"/>
      <c r="AW297" s="939"/>
      <c r="AX297" s="939"/>
      <c r="AY297" s="932"/>
      <c r="AZ297" s="932"/>
      <c r="BA297" s="932"/>
      <c r="BB297" s="932"/>
      <c r="BC297" s="932"/>
      <c r="BD297" s="932"/>
      <c r="BE297" s="932"/>
      <c r="BF297" s="932"/>
      <c r="BG297" s="932"/>
      <c r="BH297" s="932"/>
      <c r="BI297" s="932"/>
      <c r="BJ297" s="932"/>
    </row>
    <row r="298" spans="1:62" ht="30" customHeight="1" x14ac:dyDescent="0.25">
      <c r="A298" s="935"/>
      <c r="B298" s="943"/>
      <c r="C298" s="930"/>
      <c r="D298" s="930"/>
      <c r="E298" s="930"/>
      <c r="F298" s="930"/>
      <c r="G298" s="931"/>
      <c r="H298" s="946" t="s">
        <v>158</v>
      </c>
      <c r="I298" s="944"/>
      <c r="J298" s="944"/>
      <c r="K298" s="944"/>
      <c r="L298" s="944"/>
      <c r="M298" s="945"/>
      <c r="N298" s="946" t="s">
        <v>158</v>
      </c>
      <c r="O298" s="944"/>
      <c r="P298" s="944"/>
      <c r="Q298" s="944"/>
      <c r="R298" s="944"/>
      <c r="S298" s="945"/>
      <c r="T298" s="936" t="s">
        <v>683</v>
      </c>
      <c r="U298" s="937"/>
      <c r="V298" s="937"/>
      <c r="W298" s="937"/>
      <c r="X298" s="937"/>
      <c r="Y298" s="938"/>
      <c r="Z298" s="1031"/>
      <c r="AA298" s="1032"/>
      <c r="AB298" s="1032"/>
      <c r="AC298" s="1032"/>
      <c r="AD298" s="1032"/>
      <c r="AE298" s="1033"/>
      <c r="AG298" s="1062"/>
      <c r="AH298" s="1062"/>
      <c r="AI298" s="1062"/>
      <c r="AJ298" s="1062"/>
      <c r="AK298" s="1062"/>
      <c r="AL298" s="1062"/>
      <c r="AM298" s="1027"/>
      <c r="AN298" s="1027"/>
      <c r="AO298" s="1027"/>
      <c r="AP298" s="1027"/>
      <c r="AQ298" s="1027"/>
      <c r="AR298" s="1027"/>
      <c r="AS298" s="1062"/>
      <c r="AT298" s="1062"/>
      <c r="AU298" s="1062"/>
      <c r="AV298" s="1062"/>
      <c r="AW298" s="1062"/>
      <c r="AX298" s="1062"/>
      <c r="AY298" s="1061"/>
      <c r="AZ298" s="1061"/>
      <c r="BA298" s="1061"/>
      <c r="BB298" s="1061"/>
      <c r="BC298" s="1061"/>
      <c r="BD298" s="1061"/>
      <c r="BE298" s="1061"/>
      <c r="BF298" s="1061"/>
      <c r="BG298" s="1061"/>
      <c r="BH298" s="1061"/>
      <c r="BI298" s="1061"/>
      <c r="BJ298" s="1061"/>
    </row>
    <row r="299" spans="1:62" ht="30" customHeight="1" x14ac:dyDescent="0.3">
      <c r="A299" s="934" t="s">
        <v>190</v>
      </c>
      <c r="B299" s="20"/>
      <c r="C299" s="20"/>
      <c r="D299" s="20"/>
      <c r="E299" s="20"/>
      <c r="F299" s="20"/>
      <c r="G299" s="20"/>
      <c r="H299" s="942" t="s">
        <v>1382</v>
      </c>
      <c r="I299" s="940"/>
      <c r="J299" s="940"/>
      <c r="K299" s="940"/>
      <c r="L299" s="940"/>
      <c r="M299" s="941"/>
      <c r="N299" s="942" t="s">
        <v>42</v>
      </c>
      <c r="O299" s="940"/>
      <c r="P299" s="940"/>
      <c r="Q299" s="940"/>
      <c r="R299" s="940"/>
      <c r="S299" s="941"/>
      <c r="T299" s="1015" t="s">
        <v>1382</v>
      </c>
      <c r="U299" s="956"/>
      <c r="V299" s="956"/>
      <c r="W299" s="956"/>
      <c r="X299" s="956"/>
      <c r="Y299" s="957"/>
      <c r="Z299" s="1005"/>
      <c r="AA299" s="967"/>
      <c r="AB299" s="967"/>
      <c r="AC299" s="967"/>
      <c r="AD299" s="967"/>
      <c r="AE299" s="968"/>
      <c r="AG299" s="932"/>
      <c r="AH299" s="932"/>
      <c r="AI299" s="932"/>
      <c r="AJ299" s="932"/>
      <c r="AK299" s="932"/>
      <c r="AL299" s="932"/>
      <c r="AM299" s="954"/>
      <c r="AN299" s="954"/>
      <c r="AO299" s="954"/>
      <c r="AP299" s="954"/>
      <c r="AQ299" s="954"/>
      <c r="AR299" s="954"/>
      <c r="AS299" s="932"/>
      <c r="AT299" s="932"/>
      <c r="AU299" s="932"/>
      <c r="AV299" s="932"/>
      <c r="AW299" s="932"/>
      <c r="AX299" s="932"/>
      <c r="AY299" s="932"/>
      <c r="AZ299" s="932"/>
      <c r="BA299" s="932"/>
      <c r="BB299" s="932"/>
      <c r="BC299" s="932"/>
      <c r="BD299" s="932"/>
      <c r="BE299" s="932"/>
      <c r="BF299" s="932"/>
      <c r="BG299" s="932"/>
      <c r="BH299" s="932"/>
      <c r="BI299" s="932"/>
      <c r="BJ299" s="932"/>
    </row>
    <row r="300" spans="1:62" ht="30" customHeight="1" x14ac:dyDescent="0.25">
      <c r="A300" s="935"/>
      <c r="B300" s="497"/>
      <c r="C300" s="497"/>
      <c r="D300" s="497"/>
      <c r="E300" s="20"/>
      <c r="F300" s="497"/>
      <c r="G300" s="20"/>
      <c r="H300" s="946" t="s">
        <v>158</v>
      </c>
      <c r="I300" s="944"/>
      <c r="J300" s="944"/>
      <c r="K300" s="944"/>
      <c r="L300" s="944"/>
      <c r="M300" s="945"/>
      <c r="N300" s="946" t="s">
        <v>158</v>
      </c>
      <c r="O300" s="944"/>
      <c r="P300" s="944"/>
      <c r="Q300" s="944"/>
      <c r="R300" s="944"/>
      <c r="S300" s="945"/>
      <c r="T300" s="936" t="s">
        <v>683</v>
      </c>
      <c r="U300" s="937"/>
      <c r="V300" s="937"/>
      <c r="W300" s="937"/>
      <c r="X300" s="937"/>
      <c r="Y300" s="938"/>
      <c r="Z300" s="1031"/>
      <c r="AA300" s="1032"/>
      <c r="AB300" s="1032"/>
      <c r="AC300" s="1032"/>
      <c r="AD300" s="1032"/>
      <c r="AE300" s="1033"/>
      <c r="AG300" s="1061"/>
      <c r="AH300" s="1061"/>
      <c r="AI300" s="1061"/>
      <c r="AJ300" s="1061"/>
      <c r="AK300" s="1061"/>
      <c r="AL300" s="1061"/>
      <c r="AM300" s="1027"/>
      <c r="AN300" s="1027"/>
      <c r="AO300" s="1027"/>
      <c r="AP300" s="1027"/>
      <c r="AQ300" s="1027"/>
      <c r="AR300" s="1027"/>
      <c r="AS300" s="1061"/>
      <c r="AT300" s="1061"/>
      <c r="AU300" s="1061"/>
      <c r="AV300" s="1061"/>
      <c r="AW300" s="1061"/>
      <c r="AX300" s="1061"/>
      <c r="AY300" s="1061"/>
      <c r="AZ300" s="1061"/>
      <c r="BA300" s="1061"/>
      <c r="BB300" s="1061"/>
      <c r="BC300" s="1061"/>
      <c r="BD300" s="1061"/>
      <c r="BE300" s="1061"/>
      <c r="BF300" s="1061"/>
      <c r="BG300" s="1061"/>
      <c r="BH300" s="1061"/>
      <c r="BI300" s="1061"/>
      <c r="BJ300" s="1061"/>
    </row>
    <row r="301" spans="1:62" x14ac:dyDescent="0.25">
      <c r="A301" s="10"/>
      <c r="B301" s="10"/>
      <c r="C301" s="10"/>
      <c r="D301" s="10"/>
      <c r="E301" s="445"/>
      <c r="F301" s="10"/>
      <c r="G301" s="445"/>
      <c r="H301" s="10"/>
      <c r="I301" s="10"/>
      <c r="J301" s="10"/>
      <c r="K301" s="10"/>
      <c r="L301" s="10"/>
      <c r="M301" s="10"/>
      <c r="N301" s="10"/>
      <c r="O301" s="10"/>
      <c r="P301" s="445"/>
      <c r="Q301" s="445"/>
      <c r="R301" s="10"/>
      <c r="S301" s="445"/>
      <c r="T301" s="10"/>
      <c r="U301" s="10"/>
      <c r="V301" s="10"/>
      <c r="W301" s="10"/>
      <c r="X301" s="10"/>
      <c r="Y301" s="10"/>
      <c r="Z301" s="10"/>
      <c r="AA301" s="10"/>
      <c r="AB301" s="10"/>
      <c r="AC301" s="10"/>
      <c r="AD301" s="10"/>
      <c r="AE301" s="10"/>
    </row>
    <row r="302" spans="1:62" ht="15" x14ac:dyDescent="0.25">
      <c r="A302" s="736" t="s">
        <v>218</v>
      </c>
      <c r="B302" s="737"/>
      <c r="C302" s="952" t="s">
        <v>219</v>
      </c>
      <c r="D302" s="952"/>
      <c r="E302" s="952"/>
      <c r="F302" s="952"/>
      <c r="G302" s="952"/>
      <c r="H302" s="952"/>
      <c r="I302" s="952"/>
      <c r="J302" s="952"/>
      <c r="K302" s="952"/>
      <c r="L302" s="168"/>
      <c r="M302" s="950" t="s">
        <v>629</v>
      </c>
      <c r="N302" s="951"/>
      <c r="O302" s="952" t="s">
        <v>143</v>
      </c>
      <c r="P302" s="953"/>
      <c r="Q302" s="995" t="s">
        <v>167</v>
      </c>
      <c r="R302" s="952"/>
      <c r="S302" s="952"/>
      <c r="T302" s="952"/>
      <c r="U302" s="952"/>
      <c r="V302" s="952"/>
      <c r="W302" s="952"/>
      <c r="X302" s="952"/>
      <c r="Y302" s="952"/>
      <c r="Z302" s="952"/>
      <c r="AA302" s="952"/>
      <c r="AB302" s="952"/>
      <c r="AC302" s="952"/>
      <c r="AD302" s="952"/>
      <c r="AE302" s="1021"/>
    </row>
    <row r="303" spans="1:62" ht="15" customHeight="1" x14ac:dyDescent="0.25">
      <c r="A303" s="1016" t="s">
        <v>991</v>
      </c>
      <c r="B303" s="1017"/>
      <c r="C303" s="1047" t="str">
        <f>ASIGNATURAS!I303</f>
        <v>Oficina Técnica</v>
      </c>
      <c r="D303" s="1048"/>
      <c r="E303" s="1048"/>
      <c r="F303" s="1048"/>
      <c r="G303" s="1048"/>
      <c r="H303" s="1048"/>
      <c r="I303" s="1048"/>
      <c r="J303" s="1048"/>
      <c r="K303" s="1048"/>
      <c r="L303" s="1049"/>
      <c r="M303" s="1045">
        <v>7754</v>
      </c>
      <c r="N303" s="1046"/>
      <c r="O303" s="1045">
        <v>6</v>
      </c>
      <c r="P303" s="1046"/>
      <c r="Q303" s="1047" t="str">
        <f>ASIGNATURAS!K303</f>
        <v>Raul Zamora</v>
      </c>
      <c r="R303" s="1048"/>
      <c r="S303" s="1048"/>
      <c r="T303" s="1048"/>
      <c r="U303" s="1048"/>
      <c r="V303" s="1048"/>
      <c r="W303" s="1048"/>
      <c r="X303" s="1048"/>
      <c r="Y303" s="1048"/>
      <c r="Z303" s="1048"/>
      <c r="AA303" s="1048"/>
      <c r="AB303" s="1048"/>
      <c r="AC303" s="1048"/>
      <c r="AD303" s="1048"/>
      <c r="AE303" s="1049"/>
    </row>
    <row r="304" spans="1:62" ht="15" customHeight="1" x14ac:dyDescent="0.25">
      <c r="A304" s="1016" t="s">
        <v>1381</v>
      </c>
      <c r="B304" s="1017"/>
      <c r="C304" s="1047" t="str">
        <f>ASIGNATURAS!I304</f>
        <v>Automatización Industrial</v>
      </c>
      <c r="D304" s="1048"/>
      <c r="E304" s="1048"/>
      <c r="F304" s="1048"/>
      <c r="G304" s="1048"/>
      <c r="H304" s="1048"/>
      <c r="I304" s="1048"/>
      <c r="J304" s="1048"/>
      <c r="K304" s="1048"/>
      <c r="L304" s="1049"/>
      <c r="M304" s="1045">
        <v>7755</v>
      </c>
      <c r="N304" s="1046"/>
      <c r="O304" s="1045">
        <v>6</v>
      </c>
      <c r="P304" s="1046"/>
      <c r="Q304" s="1047" t="str">
        <f>ASIGNATURAS!K304</f>
        <v>Juan Vicente Martín</v>
      </c>
      <c r="R304" s="1048"/>
      <c r="S304" s="1048"/>
      <c r="T304" s="1048"/>
      <c r="U304" s="1048"/>
      <c r="V304" s="1048"/>
      <c r="W304" s="1048"/>
      <c r="X304" s="1048"/>
      <c r="Y304" s="1048"/>
      <c r="Z304" s="1048"/>
      <c r="AA304" s="1048"/>
      <c r="AB304" s="1048"/>
      <c r="AC304" s="1048"/>
      <c r="AD304" s="1048"/>
      <c r="AE304" s="1049"/>
    </row>
    <row r="305" spans="1:31" ht="15" customHeight="1" x14ac:dyDescent="0.25">
      <c r="A305" s="1016" t="s">
        <v>992</v>
      </c>
      <c r="B305" s="1017"/>
      <c r="C305" s="1047" t="str">
        <f>ASIGNATURAS!I305</f>
        <v>Estructuras II</v>
      </c>
      <c r="D305" s="1048"/>
      <c r="E305" s="1048"/>
      <c r="F305" s="1048"/>
      <c r="G305" s="1048"/>
      <c r="H305" s="1048"/>
      <c r="I305" s="1048"/>
      <c r="J305" s="1048"/>
      <c r="K305" s="1048"/>
      <c r="L305" s="1049"/>
      <c r="M305" s="1045">
        <v>7756</v>
      </c>
      <c r="N305" s="1046"/>
      <c r="O305" s="1045">
        <v>6</v>
      </c>
      <c r="P305" s="1046"/>
      <c r="Q305" s="1047" t="str">
        <f>ASIGNATURAS!K305</f>
        <v>José Antonio Martínez</v>
      </c>
      <c r="R305" s="1048"/>
      <c r="S305" s="1048"/>
      <c r="T305" s="1048"/>
      <c r="U305" s="1048"/>
      <c r="V305" s="1048"/>
      <c r="W305" s="1048"/>
      <c r="X305" s="1048"/>
      <c r="Y305" s="1048"/>
      <c r="Z305" s="1048"/>
      <c r="AA305" s="1048"/>
      <c r="AB305" s="1048"/>
      <c r="AC305" s="1048"/>
      <c r="AD305" s="1048"/>
      <c r="AE305" s="1049"/>
    </row>
    <row r="306" spans="1:31" ht="15" customHeight="1" x14ac:dyDescent="0.25">
      <c r="A306" s="1016" t="s">
        <v>1382</v>
      </c>
      <c r="B306" s="1017"/>
      <c r="C306" s="1047" t="str">
        <f>ASIGNATURAS!I306</f>
        <v xml:space="preserve">Máquinas Térmicas </v>
      </c>
      <c r="D306" s="1048"/>
      <c r="E306" s="1048"/>
      <c r="F306" s="1048"/>
      <c r="G306" s="1048"/>
      <c r="H306" s="1048"/>
      <c r="I306" s="1048"/>
      <c r="J306" s="1048"/>
      <c r="K306" s="1048"/>
      <c r="L306" s="1049"/>
      <c r="M306" s="1045">
        <v>7757</v>
      </c>
      <c r="N306" s="1046"/>
      <c r="O306" s="1045">
        <v>6</v>
      </c>
      <c r="P306" s="1046"/>
      <c r="Q306" s="1047" t="str">
        <f>ASIGNATURAS!K306</f>
        <v>Fernando Aguilar</v>
      </c>
      <c r="R306" s="1048"/>
      <c r="S306" s="1048"/>
      <c r="T306" s="1048"/>
      <c r="U306" s="1048"/>
      <c r="V306" s="1048"/>
      <c r="W306" s="1048"/>
      <c r="X306" s="1048"/>
      <c r="Y306" s="1048"/>
      <c r="Z306" s="1048"/>
      <c r="AA306" s="1048"/>
      <c r="AB306" s="1048"/>
      <c r="AC306" s="1048"/>
      <c r="AD306" s="1048"/>
      <c r="AE306" s="1049"/>
    </row>
    <row r="307" spans="1:31" ht="15" customHeight="1" x14ac:dyDescent="0.25">
      <c r="A307" s="1016" t="s">
        <v>1383</v>
      </c>
      <c r="B307" s="1017"/>
      <c r="C307" s="1047" t="str">
        <f>ASIGNATURAS!I307</f>
        <v>Robótica Industrial</v>
      </c>
      <c r="D307" s="1048"/>
      <c r="E307" s="1048"/>
      <c r="F307" s="1048"/>
      <c r="G307" s="1048"/>
      <c r="H307" s="1048"/>
      <c r="I307" s="1048"/>
      <c r="J307" s="1048"/>
      <c r="K307" s="1048"/>
      <c r="L307" s="1049"/>
      <c r="M307" s="1045">
        <v>7758</v>
      </c>
      <c r="N307" s="1046"/>
      <c r="O307" s="1045">
        <v>6</v>
      </c>
      <c r="P307" s="1046"/>
      <c r="Q307" s="1047" t="str">
        <f>ASIGNATURAS!K307</f>
        <v>Jesús Enrique Sierra</v>
      </c>
      <c r="R307" s="1048"/>
      <c r="S307" s="1048"/>
      <c r="T307" s="1048"/>
      <c r="U307" s="1048"/>
      <c r="V307" s="1048"/>
      <c r="W307" s="1048"/>
      <c r="X307" s="1048"/>
      <c r="Y307" s="1048"/>
      <c r="Z307" s="1048"/>
      <c r="AA307" s="1048"/>
      <c r="AB307" s="1048"/>
      <c r="AC307" s="1048"/>
      <c r="AD307" s="1048"/>
      <c r="AE307" s="1049"/>
    </row>
    <row r="308" spans="1:31" ht="15" x14ac:dyDescent="0.25">
      <c r="A308" s="1016"/>
      <c r="B308" s="1017"/>
      <c r="C308" s="1047"/>
      <c r="D308" s="1048"/>
      <c r="E308" s="1048"/>
      <c r="F308" s="1048"/>
      <c r="G308" s="1048"/>
      <c r="H308" s="1048"/>
      <c r="I308" s="1048"/>
      <c r="J308" s="1048"/>
      <c r="K308" s="1048"/>
      <c r="L308" s="1049"/>
      <c r="M308" s="1045"/>
      <c r="N308" s="1046"/>
      <c r="O308" s="1045"/>
      <c r="P308" s="1046"/>
      <c r="Q308" s="1047"/>
      <c r="R308" s="1048"/>
      <c r="S308" s="1048"/>
      <c r="T308" s="1048"/>
      <c r="U308" s="1048"/>
      <c r="V308" s="1048"/>
      <c r="W308" s="1048"/>
      <c r="X308" s="1048"/>
      <c r="Y308" s="1048"/>
      <c r="Z308" s="1048"/>
      <c r="AA308" s="1048"/>
      <c r="AB308" s="1048"/>
      <c r="AC308" s="1048"/>
      <c r="AD308" s="1048"/>
      <c r="AE308" s="1049"/>
    </row>
    <row r="309" spans="1:31"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row>
    <row r="310" spans="1:31"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row>
    <row r="311" spans="1:31" ht="15" x14ac:dyDescent="0.25">
      <c r="A311" s="730" t="s">
        <v>1044</v>
      </c>
      <c r="B311" s="731"/>
      <c r="C311" s="731"/>
      <c r="D311" s="731"/>
      <c r="E311" s="732"/>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row>
    <row r="312" spans="1:31" ht="15" x14ac:dyDescent="0.25">
      <c r="A312" s="738" t="s">
        <v>1045</v>
      </c>
      <c r="B312" s="739"/>
      <c r="C312" s="739"/>
      <c r="D312" s="739"/>
      <c r="E312" s="74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row>
    <row r="313" spans="1:31"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row>
    <row r="314" spans="1:31" x14ac:dyDescent="0.25">
      <c r="A314" s="446" t="s">
        <v>217</v>
      </c>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row>
    <row r="315" spans="1:31"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row>
    <row r="316" spans="1:31"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row>
    <row r="317" spans="1:31"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row>
    <row r="318" spans="1:31" ht="60.75" customHeight="1" x14ac:dyDescent="0.25">
      <c r="A318" s="974" t="s">
        <v>995</v>
      </c>
      <c r="B318" s="975"/>
      <c r="C318" s="975"/>
      <c r="D318" s="975"/>
      <c r="E318" s="975"/>
      <c r="F318" s="975"/>
      <c r="G318" s="975"/>
      <c r="H318" s="975"/>
      <c r="I318" s="975"/>
      <c r="J318" s="975"/>
      <c r="K318" s="975"/>
      <c r="L318" s="975"/>
      <c r="M318" s="975"/>
      <c r="N318" s="975"/>
      <c r="O318" s="975"/>
      <c r="P318" s="975"/>
      <c r="Q318" s="975"/>
      <c r="R318" s="975"/>
      <c r="S318" s="975"/>
      <c r="T318" s="975"/>
      <c r="U318" s="975"/>
      <c r="V318" s="975"/>
      <c r="W318" s="975"/>
      <c r="X318" s="975"/>
      <c r="Y318" s="976"/>
      <c r="Z318" s="988" t="str">
        <f>Aulas!G5</f>
        <v>Curso 2024-2025</v>
      </c>
      <c r="AA318" s="988"/>
      <c r="AB318" s="988"/>
      <c r="AC318" s="988"/>
      <c r="AD318" s="988"/>
      <c r="AE318" s="989"/>
    </row>
    <row r="319" spans="1:31" ht="18" customHeight="1" x14ac:dyDescent="0.25">
      <c r="A319" s="960" t="s">
        <v>1008</v>
      </c>
      <c r="B319" s="961"/>
      <c r="C319" s="961"/>
      <c r="D319" s="961"/>
      <c r="E319" s="961"/>
      <c r="F319" s="961"/>
      <c r="G319" s="961"/>
      <c r="H319" s="961"/>
      <c r="I319" s="961"/>
      <c r="J319" s="961"/>
      <c r="K319" s="961"/>
      <c r="L319" s="961"/>
      <c r="M319" s="961"/>
      <c r="N319" s="961"/>
      <c r="O319" s="961"/>
      <c r="P319" s="961"/>
      <c r="Q319" s="961"/>
      <c r="R319" s="961"/>
      <c r="S319" s="961"/>
      <c r="T319" s="961"/>
      <c r="U319" s="961"/>
      <c r="V319" s="961"/>
      <c r="W319" s="961"/>
      <c r="X319" s="961"/>
      <c r="Y319" s="962"/>
      <c r="Z319" s="984" t="s">
        <v>159</v>
      </c>
      <c r="AA319" s="984"/>
      <c r="AB319" s="984"/>
      <c r="AC319" s="984"/>
      <c r="AD319" s="984"/>
      <c r="AE319" s="985"/>
    </row>
    <row r="320" spans="1:31" ht="18" customHeight="1" x14ac:dyDescent="0.25">
      <c r="A320" s="963" t="s">
        <v>181</v>
      </c>
      <c r="B320" s="964"/>
      <c r="C320" s="964"/>
      <c r="D320" s="964"/>
      <c r="E320" s="964"/>
      <c r="F320" s="964"/>
      <c r="G320" s="964"/>
      <c r="H320" s="964"/>
      <c r="I320" s="964"/>
      <c r="J320" s="964"/>
      <c r="K320" s="964"/>
      <c r="L320" s="964"/>
      <c r="M320" s="964"/>
      <c r="N320" s="964"/>
      <c r="O320" s="964"/>
      <c r="P320" s="964"/>
      <c r="Q320" s="964"/>
      <c r="R320" s="964"/>
      <c r="S320" s="964"/>
      <c r="T320" s="964"/>
      <c r="U320" s="964"/>
      <c r="V320" s="964"/>
      <c r="W320" s="964"/>
      <c r="X320" s="964"/>
      <c r="Y320" s="965"/>
      <c r="Z320" s="986"/>
      <c r="AA320" s="986"/>
      <c r="AB320" s="986"/>
      <c r="AC320" s="986"/>
      <c r="AD320" s="986"/>
      <c r="AE320" s="987"/>
    </row>
    <row r="321" spans="1:31" ht="38.25" customHeight="1" x14ac:dyDescent="0.25">
      <c r="A321" s="23" t="s">
        <v>997</v>
      </c>
    </row>
    <row r="322" spans="1:31" ht="18" thickBot="1" x14ac:dyDescent="0.3">
      <c r="A322" s="167" t="s">
        <v>1</v>
      </c>
      <c r="B322" s="1041" t="s">
        <v>2</v>
      </c>
      <c r="C322" s="1042"/>
      <c r="D322" s="1042"/>
      <c r="E322" s="1042"/>
      <c r="F322" s="1042"/>
      <c r="G322" s="1043"/>
      <c r="H322" s="1028" t="s">
        <v>3</v>
      </c>
      <c r="I322" s="1029"/>
      <c r="J322" s="1029"/>
      <c r="K322" s="1029"/>
      <c r="L322" s="1029"/>
      <c r="M322" s="1030"/>
      <c r="N322" s="1028" t="s">
        <v>139</v>
      </c>
      <c r="O322" s="1029"/>
      <c r="P322" s="1029"/>
      <c r="Q322" s="1029"/>
      <c r="R322" s="1029"/>
      <c r="S322" s="1030"/>
      <c r="T322" s="1041" t="s">
        <v>4</v>
      </c>
      <c r="U322" s="1042"/>
      <c r="V322" s="1042"/>
      <c r="W322" s="1042"/>
      <c r="X322" s="1042"/>
      <c r="Y322" s="1043"/>
      <c r="Z322" s="1041" t="s">
        <v>5</v>
      </c>
      <c r="AA322" s="1042"/>
      <c r="AB322" s="1042"/>
      <c r="AC322" s="1042"/>
      <c r="AD322" s="1042"/>
      <c r="AE322" s="1043"/>
    </row>
    <row r="323" spans="1:31" ht="30" customHeight="1" x14ac:dyDescent="0.3">
      <c r="A323" s="966" t="s">
        <v>1131</v>
      </c>
      <c r="B323" s="1050"/>
      <c r="C323" s="1050"/>
      <c r="D323" s="1050"/>
      <c r="E323" s="1050"/>
      <c r="F323" s="1050"/>
      <c r="G323" s="1051"/>
      <c r="H323" s="1052"/>
      <c r="I323" s="932"/>
      <c r="J323" s="932"/>
      <c r="K323" s="932"/>
      <c r="L323" s="932"/>
      <c r="M323" s="933"/>
      <c r="N323" s="1052"/>
      <c r="O323" s="932"/>
      <c r="P323" s="932"/>
      <c r="Q323" s="932"/>
      <c r="R323" s="932"/>
      <c r="S323" s="933"/>
      <c r="T323" s="1053"/>
      <c r="U323" s="1050"/>
      <c r="V323" s="1050"/>
      <c r="W323" s="1050"/>
      <c r="X323" s="1050"/>
      <c r="Y323" s="1051"/>
      <c r="Z323" s="1053"/>
      <c r="AA323" s="1050"/>
      <c r="AB323" s="1050"/>
      <c r="AC323" s="1050"/>
      <c r="AD323" s="1050"/>
      <c r="AE323" s="1051"/>
    </row>
    <row r="324" spans="1:31" ht="30" customHeight="1" x14ac:dyDescent="0.25">
      <c r="A324" s="935"/>
      <c r="B324" s="1032"/>
      <c r="C324" s="1032"/>
      <c r="D324" s="1032"/>
      <c r="E324" s="1032"/>
      <c r="F324" s="1032"/>
      <c r="G324" s="1033"/>
      <c r="H324" s="1031"/>
      <c r="I324" s="1032"/>
      <c r="J324" s="1032"/>
      <c r="K324" s="1032"/>
      <c r="L324" s="1032"/>
      <c r="M324" s="1033"/>
      <c r="N324" s="1031"/>
      <c r="O324" s="1032"/>
      <c r="P324" s="1032"/>
      <c r="Q324" s="1032"/>
      <c r="R324" s="1032"/>
      <c r="S324" s="1033"/>
      <c r="T324" s="1031"/>
      <c r="U324" s="1032"/>
      <c r="V324" s="1032"/>
      <c r="W324" s="1032"/>
      <c r="X324" s="1032"/>
      <c r="Y324" s="1033"/>
      <c r="Z324" s="1031"/>
      <c r="AA324" s="1032"/>
      <c r="AB324" s="1032"/>
      <c r="AC324" s="1032"/>
      <c r="AD324" s="1032"/>
      <c r="AE324" s="1033"/>
    </row>
    <row r="325" spans="1:31" ht="30" customHeight="1" x14ac:dyDescent="0.3">
      <c r="A325" s="934" t="s">
        <v>187</v>
      </c>
      <c r="B325" s="1000"/>
      <c r="C325" s="967"/>
      <c r="D325" s="967"/>
      <c r="E325" s="967"/>
      <c r="F325" s="967"/>
      <c r="G325" s="968"/>
      <c r="H325" s="1005"/>
      <c r="I325" s="967"/>
      <c r="J325" s="967"/>
      <c r="K325" s="967"/>
      <c r="L325" s="967"/>
      <c r="M325" s="968"/>
      <c r="N325" s="1005"/>
      <c r="O325" s="967"/>
      <c r="P325" s="967"/>
      <c r="Q325" s="967"/>
      <c r="R325" s="967"/>
      <c r="S325" s="968"/>
      <c r="T325" s="1005"/>
      <c r="U325" s="967"/>
      <c r="V325" s="967"/>
      <c r="W325" s="967"/>
      <c r="X325" s="967"/>
      <c r="Y325" s="968"/>
      <c r="Z325" s="1005"/>
      <c r="AA325" s="967"/>
      <c r="AB325" s="967"/>
      <c r="AC325" s="967"/>
      <c r="AD325" s="967"/>
      <c r="AE325" s="968"/>
    </row>
    <row r="326" spans="1:31" ht="30" customHeight="1" x14ac:dyDescent="0.25">
      <c r="A326" s="935"/>
      <c r="B326" s="999"/>
      <c r="C326" s="930"/>
      <c r="D326" s="930"/>
      <c r="E326" s="930"/>
      <c r="F326" s="930"/>
      <c r="G326" s="931"/>
      <c r="H326" s="943"/>
      <c r="I326" s="930"/>
      <c r="J326" s="930"/>
      <c r="K326" s="930"/>
      <c r="L326" s="930"/>
      <c r="M326" s="931"/>
      <c r="N326" s="943"/>
      <c r="O326" s="930"/>
      <c r="P326" s="930"/>
      <c r="Q326" s="930"/>
      <c r="R326" s="930"/>
      <c r="S326" s="931"/>
      <c r="T326" s="1057"/>
      <c r="U326" s="1058"/>
      <c r="V326" s="1058"/>
      <c r="W326" s="1058"/>
      <c r="X326" s="1058"/>
      <c r="Y326" s="1059"/>
      <c r="Z326" s="1031"/>
      <c r="AA326" s="1032"/>
      <c r="AB326" s="1032"/>
      <c r="AC326" s="1032"/>
      <c r="AD326" s="1032"/>
      <c r="AE326" s="1033"/>
    </row>
    <row r="327" spans="1:31" ht="30" customHeight="1" x14ac:dyDescent="0.3">
      <c r="A327" s="934" t="s">
        <v>186</v>
      </c>
      <c r="B327" s="967"/>
      <c r="C327" s="967"/>
      <c r="D327" s="967"/>
      <c r="E327" s="967"/>
      <c r="F327" s="967"/>
      <c r="G327" s="968"/>
      <c r="H327" s="1005"/>
      <c r="I327" s="967"/>
      <c r="J327" s="967"/>
      <c r="K327" s="967"/>
      <c r="L327" s="967"/>
      <c r="M327" s="968"/>
      <c r="N327" s="1005"/>
      <c r="O327" s="967"/>
      <c r="P327" s="967"/>
      <c r="Q327" s="967"/>
      <c r="R327" s="967"/>
      <c r="S327" s="968"/>
      <c r="T327" s="1015" t="s">
        <v>46</v>
      </c>
      <c r="U327" s="956"/>
      <c r="V327" s="956"/>
      <c r="W327" s="956"/>
      <c r="X327" s="956"/>
      <c r="Y327" s="957"/>
      <c r="Z327" s="1005"/>
      <c r="AA327" s="967"/>
      <c r="AB327" s="967"/>
      <c r="AC327" s="967"/>
      <c r="AD327" s="967"/>
      <c r="AE327" s="968"/>
    </row>
    <row r="328" spans="1:31" ht="30" customHeight="1" x14ac:dyDescent="0.25">
      <c r="A328" s="935"/>
      <c r="B328" s="930"/>
      <c r="C328" s="930"/>
      <c r="D328" s="930"/>
      <c r="E328" s="930"/>
      <c r="F328" s="930"/>
      <c r="G328" s="931"/>
      <c r="H328" s="943"/>
      <c r="I328" s="930"/>
      <c r="J328" s="930"/>
      <c r="K328" s="930"/>
      <c r="L328" s="930"/>
      <c r="M328" s="931"/>
      <c r="N328" s="943"/>
      <c r="O328" s="930"/>
      <c r="P328" s="930"/>
      <c r="Q328" s="930"/>
      <c r="R328" s="930"/>
      <c r="S328" s="931"/>
      <c r="T328" s="1054" t="s">
        <v>160</v>
      </c>
      <c r="U328" s="1055"/>
      <c r="V328" s="1055"/>
      <c r="W328" s="1055"/>
      <c r="X328" s="1055"/>
      <c r="Y328" s="1056"/>
      <c r="Z328" s="1031"/>
      <c r="AA328" s="1032"/>
      <c r="AB328" s="1032"/>
      <c r="AC328" s="1032"/>
      <c r="AD328" s="1032"/>
      <c r="AE328" s="1033"/>
    </row>
    <row r="329" spans="1:31" ht="30" customHeight="1" x14ac:dyDescent="0.3">
      <c r="A329" s="934" t="s">
        <v>188</v>
      </c>
      <c r="B329" s="1052"/>
      <c r="C329" s="932"/>
      <c r="D329" s="932"/>
      <c r="E329" s="932"/>
      <c r="F329" s="932"/>
      <c r="G329" s="933"/>
      <c r="H329" s="1005"/>
      <c r="I329" s="967"/>
      <c r="J329" s="967"/>
      <c r="K329" s="967"/>
      <c r="L329" s="967"/>
      <c r="M329" s="968"/>
      <c r="N329" s="1005"/>
      <c r="O329" s="967"/>
      <c r="P329" s="967"/>
      <c r="Q329" s="967"/>
      <c r="R329" s="967"/>
      <c r="S329" s="968"/>
      <c r="T329" s="1015" t="s">
        <v>46</v>
      </c>
      <c r="U329" s="956"/>
      <c r="V329" s="956"/>
      <c r="W329" s="956"/>
      <c r="X329" s="956"/>
      <c r="Y329" s="957"/>
      <c r="Z329" s="1005"/>
      <c r="AA329" s="967"/>
      <c r="AB329" s="967"/>
      <c r="AC329" s="967"/>
      <c r="AD329" s="967"/>
      <c r="AE329" s="968"/>
    </row>
    <row r="330" spans="1:31" ht="30" customHeight="1" x14ac:dyDescent="0.25">
      <c r="A330" s="935"/>
      <c r="B330" s="930"/>
      <c r="C330" s="930"/>
      <c r="D330" s="930"/>
      <c r="E330" s="930"/>
      <c r="F330" s="930"/>
      <c r="G330" s="931"/>
      <c r="H330" s="943"/>
      <c r="I330" s="930"/>
      <c r="J330" s="930"/>
      <c r="K330" s="930"/>
      <c r="L330" s="930"/>
      <c r="M330" s="931"/>
      <c r="N330" s="943"/>
      <c r="O330" s="930"/>
      <c r="P330" s="930"/>
      <c r="Q330" s="930"/>
      <c r="R330" s="930"/>
      <c r="S330" s="931"/>
      <c r="T330" s="1054" t="s">
        <v>160</v>
      </c>
      <c r="U330" s="1055"/>
      <c r="V330" s="1055"/>
      <c r="W330" s="1055"/>
      <c r="X330" s="1055"/>
      <c r="Y330" s="1056"/>
      <c r="Z330" s="1031"/>
      <c r="AA330" s="1032"/>
      <c r="AB330" s="1032"/>
      <c r="AC330" s="1032"/>
      <c r="AD330" s="1032"/>
      <c r="AE330" s="1033"/>
    </row>
    <row r="331" spans="1:31" ht="30" customHeight="1" x14ac:dyDescent="0.3">
      <c r="A331" s="934" t="s">
        <v>189</v>
      </c>
      <c r="B331" s="967"/>
      <c r="C331" s="967"/>
      <c r="D331" s="967"/>
      <c r="E331" s="967"/>
      <c r="F331" s="967"/>
      <c r="G331" s="968"/>
      <c r="H331" s="940" t="s">
        <v>46</v>
      </c>
      <c r="I331" s="940"/>
      <c r="J331" s="940"/>
      <c r="K331" s="940"/>
      <c r="L331" s="940"/>
      <c r="M331" s="941"/>
      <c r="N331" s="1005"/>
      <c r="O331" s="967"/>
      <c r="P331" s="967"/>
      <c r="Q331" s="967"/>
      <c r="R331" s="967"/>
      <c r="S331" s="968"/>
      <c r="T331" s="1005"/>
      <c r="U331" s="967"/>
      <c r="V331" s="967"/>
      <c r="W331" s="967"/>
      <c r="X331" s="967"/>
      <c r="Y331" s="968"/>
      <c r="Z331" s="1005"/>
      <c r="AA331" s="967"/>
      <c r="AB331" s="967"/>
      <c r="AC331" s="967"/>
      <c r="AD331" s="967"/>
      <c r="AE331" s="968"/>
    </row>
    <row r="332" spans="1:31" ht="30" customHeight="1" x14ac:dyDescent="0.25">
      <c r="A332" s="935"/>
      <c r="B332" s="930"/>
      <c r="C332" s="930"/>
      <c r="D332" s="930"/>
      <c r="E332" s="930"/>
      <c r="F332" s="930"/>
      <c r="G332" s="931"/>
      <c r="H332" s="944" t="s">
        <v>160</v>
      </c>
      <c r="I332" s="944"/>
      <c r="J332" s="944"/>
      <c r="K332" s="944"/>
      <c r="L332" s="944"/>
      <c r="M332" s="945"/>
      <c r="N332" s="943"/>
      <c r="O332" s="930"/>
      <c r="P332" s="930"/>
      <c r="Q332" s="930"/>
      <c r="R332" s="930"/>
      <c r="S332" s="931"/>
      <c r="T332" s="943"/>
      <c r="U332" s="930"/>
      <c r="V332" s="930"/>
      <c r="W332" s="930"/>
      <c r="X332" s="930"/>
      <c r="Y332" s="931"/>
      <c r="Z332" s="1031"/>
      <c r="AA332" s="1032"/>
      <c r="AB332" s="1032"/>
      <c r="AC332" s="1032"/>
      <c r="AD332" s="1032"/>
      <c r="AE332" s="1033"/>
    </row>
    <row r="333" spans="1:31" ht="30" customHeight="1" x14ac:dyDescent="0.3">
      <c r="A333" s="934" t="s">
        <v>190</v>
      </c>
      <c r="B333" s="932"/>
      <c r="C333" s="932"/>
      <c r="D333" s="932"/>
      <c r="E333" s="932"/>
      <c r="F333" s="932"/>
      <c r="G333" s="933"/>
      <c r="H333" s="939" t="s">
        <v>46</v>
      </c>
      <c r="I333" s="939"/>
      <c r="J333" s="939"/>
      <c r="K333" s="939"/>
      <c r="L333" s="939"/>
      <c r="M333" s="949"/>
      <c r="N333" s="1005"/>
      <c r="O333" s="967"/>
      <c r="P333" s="967"/>
      <c r="Q333" s="967"/>
      <c r="R333" s="967"/>
      <c r="S333" s="968"/>
      <c r="T333" s="1005"/>
      <c r="U333" s="967"/>
      <c r="V333" s="967"/>
      <c r="W333" s="967"/>
      <c r="X333" s="967"/>
      <c r="Y333" s="968"/>
      <c r="Z333" s="1005"/>
      <c r="AA333" s="967"/>
      <c r="AB333" s="967"/>
      <c r="AC333" s="967"/>
      <c r="AD333" s="967"/>
      <c r="AE333" s="968"/>
    </row>
    <row r="334" spans="1:31" ht="30" customHeight="1" x14ac:dyDescent="0.25">
      <c r="A334" s="935"/>
      <c r="B334" s="930"/>
      <c r="C334" s="930"/>
      <c r="D334" s="930"/>
      <c r="E334" s="930"/>
      <c r="F334" s="930"/>
      <c r="G334" s="931"/>
      <c r="H334" s="944" t="s">
        <v>160</v>
      </c>
      <c r="I334" s="944"/>
      <c r="J334" s="944"/>
      <c r="K334" s="944"/>
      <c r="L334" s="944"/>
      <c r="M334" s="945"/>
      <c r="N334" s="1031"/>
      <c r="O334" s="1032"/>
      <c r="P334" s="1032"/>
      <c r="Q334" s="1032"/>
      <c r="R334" s="1032"/>
      <c r="S334" s="1033"/>
      <c r="T334" s="1031"/>
      <c r="U334" s="1032"/>
      <c r="V334" s="1032"/>
      <c r="W334" s="1032"/>
      <c r="X334" s="1032"/>
      <c r="Y334" s="1033"/>
      <c r="Z334" s="1031"/>
      <c r="AA334" s="1032"/>
      <c r="AB334" s="1032"/>
      <c r="AC334" s="1032"/>
      <c r="AD334" s="1032"/>
      <c r="AE334" s="1033"/>
    </row>
    <row r="336" spans="1:31" ht="15" x14ac:dyDescent="0.25">
      <c r="A336" s="736" t="s">
        <v>218</v>
      </c>
      <c r="B336" s="737"/>
      <c r="C336" s="995" t="s">
        <v>219</v>
      </c>
      <c r="D336" s="952"/>
      <c r="E336" s="952"/>
      <c r="F336" s="952"/>
      <c r="G336" s="952"/>
      <c r="H336" s="952"/>
      <c r="I336" s="952"/>
      <c r="J336" s="952"/>
      <c r="K336" s="952"/>
      <c r="L336" s="168"/>
      <c r="M336" s="996" t="s">
        <v>629</v>
      </c>
      <c r="N336" s="951"/>
      <c r="O336" s="995" t="s">
        <v>143</v>
      </c>
      <c r="P336" s="953"/>
      <c r="Q336" s="995" t="s">
        <v>167</v>
      </c>
      <c r="R336" s="952"/>
      <c r="S336" s="952"/>
      <c r="T336" s="952"/>
      <c r="U336" s="952"/>
      <c r="V336" s="952"/>
      <c r="W336" s="952"/>
      <c r="X336" s="952"/>
      <c r="Y336" s="952"/>
      <c r="Z336" s="952"/>
      <c r="AA336" s="952"/>
      <c r="AB336" s="952"/>
      <c r="AC336" s="952"/>
      <c r="AD336" s="952"/>
      <c r="AE336" s="1021"/>
    </row>
    <row r="337" spans="1:31" ht="15" x14ac:dyDescent="0.25">
      <c r="A337" s="1016" t="s">
        <v>46</v>
      </c>
      <c r="B337" s="1017"/>
      <c r="C337" s="992" t="str">
        <f>ASIGNATURAS!I308</f>
        <v>Inglés Aplicado a la Ing Mecánica</v>
      </c>
      <c r="D337" s="993"/>
      <c r="E337" s="993"/>
      <c r="F337" s="993"/>
      <c r="G337" s="993"/>
      <c r="H337" s="993"/>
      <c r="I337" s="993"/>
      <c r="J337" s="993"/>
      <c r="K337" s="993"/>
      <c r="L337" s="982"/>
      <c r="M337" s="994">
        <v>7760</v>
      </c>
      <c r="N337" s="981"/>
      <c r="O337" s="994">
        <v>6</v>
      </c>
      <c r="P337" s="981"/>
      <c r="Q337" s="992" t="str">
        <f>ASIGNATURAS!K308</f>
        <v>Ana Isabel Gómez</v>
      </c>
      <c r="R337" s="993"/>
      <c r="S337" s="993"/>
      <c r="T337" s="993"/>
      <c r="U337" s="993"/>
      <c r="V337" s="993"/>
      <c r="W337" s="993"/>
      <c r="X337" s="993"/>
      <c r="Y337" s="993"/>
      <c r="Z337" s="993"/>
      <c r="AA337" s="993"/>
      <c r="AB337" s="993"/>
      <c r="AC337" s="993"/>
      <c r="AD337" s="993"/>
      <c r="AE337" s="982"/>
    </row>
    <row r="338" spans="1:31" ht="15" x14ac:dyDescent="0.25">
      <c r="A338" s="1016"/>
      <c r="B338" s="1017"/>
      <c r="C338" s="992"/>
      <c r="D338" s="993"/>
      <c r="E338" s="993"/>
      <c r="F338" s="993"/>
      <c r="G338" s="993"/>
      <c r="H338" s="993"/>
      <c r="I338" s="993"/>
      <c r="J338" s="993"/>
      <c r="K338" s="993"/>
      <c r="L338" s="982"/>
      <c r="M338" s="994"/>
      <c r="N338" s="981"/>
      <c r="O338" s="994"/>
      <c r="P338" s="981"/>
      <c r="Q338" s="992"/>
      <c r="R338" s="993"/>
      <c r="S338" s="993"/>
      <c r="T338" s="993"/>
      <c r="U338" s="993"/>
      <c r="V338" s="993"/>
      <c r="W338" s="993"/>
      <c r="X338" s="993"/>
      <c r="Y338" s="993"/>
      <c r="Z338" s="993"/>
      <c r="AA338" s="993"/>
      <c r="AB338" s="993"/>
      <c r="AC338" s="993"/>
      <c r="AD338" s="993"/>
      <c r="AE338" s="1060"/>
    </row>
    <row r="339" spans="1:31" ht="15" customHeight="1" x14ac:dyDescent="0.25">
      <c r="A339" s="1016"/>
      <c r="B339" s="1017"/>
      <c r="C339" s="992"/>
      <c r="D339" s="993"/>
      <c r="E339" s="993"/>
      <c r="F339" s="993"/>
      <c r="G339" s="993"/>
      <c r="H339" s="993"/>
      <c r="I339" s="993"/>
      <c r="J339" s="993"/>
      <c r="K339" s="993"/>
      <c r="L339" s="982"/>
      <c r="M339" s="994"/>
      <c r="N339" s="981"/>
      <c r="O339" s="994"/>
      <c r="P339" s="981"/>
      <c r="Q339" s="992"/>
      <c r="R339" s="993"/>
      <c r="S339" s="993"/>
      <c r="T339" s="993"/>
      <c r="U339" s="993"/>
      <c r="V339" s="993"/>
      <c r="W339" s="993"/>
      <c r="X339" s="993"/>
      <c r="Y339" s="993"/>
      <c r="Z339" s="993"/>
      <c r="AA339" s="993"/>
      <c r="AB339" s="993"/>
      <c r="AC339" s="993"/>
      <c r="AD339" s="993"/>
      <c r="AE339" s="1060"/>
    </row>
    <row r="340" spans="1:31" ht="15" customHeight="1" x14ac:dyDescent="0.25">
      <c r="A340" s="1016"/>
      <c r="B340" s="1017"/>
      <c r="C340" s="992"/>
      <c r="D340" s="993"/>
      <c r="E340" s="993"/>
      <c r="F340" s="993"/>
      <c r="G340" s="993"/>
      <c r="H340" s="993"/>
      <c r="I340" s="993"/>
      <c r="J340" s="993"/>
      <c r="K340" s="993"/>
      <c r="L340" s="982"/>
      <c r="M340" s="994"/>
      <c r="N340" s="981"/>
      <c r="O340" s="994"/>
      <c r="P340" s="981"/>
      <c r="Q340" s="992"/>
      <c r="R340" s="993"/>
      <c r="S340" s="993"/>
      <c r="T340" s="993"/>
      <c r="U340" s="993"/>
      <c r="V340" s="993"/>
      <c r="W340" s="993"/>
      <c r="X340" s="993"/>
      <c r="Y340" s="993"/>
      <c r="Z340" s="993"/>
      <c r="AA340" s="993"/>
      <c r="AB340" s="993"/>
      <c r="AC340" s="993"/>
      <c r="AD340" s="993"/>
      <c r="AE340" s="1060"/>
    </row>
    <row r="341" spans="1:31" ht="15" customHeight="1" x14ac:dyDescent="0.25">
      <c r="A341" s="1016"/>
      <c r="B341" s="1017"/>
      <c r="C341" s="992"/>
      <c r="D341" s="993"/>
      <c r="E341" s="993"/>
      <c r="F341" s="993"/>
      <c r="G341" s="993"/>
      <c r="H341" s="993"/>
      <c r="I341" s="993"/>
      <c r="J341" s="993"/>
      <c r="K341" s="993"/>
      <c r="L341" s="982"/>
      <c r="M341" s="994"/>
      <c r="N341" s="981"/>
      <c r="O341" s="994"/>
      <c r="P341" s="981"/>
      <c r="Q341" s="992"/>
      <c r="R341" s="993"/>
      <c r="S341" s="993"/>
      <c r="T341" s="993"/>
      <c r="U341" s="993"/>
      <c r="V341" s="993"/>
      <c r="W341" s="993"/>
      <c r="X341" s="993"/>
      <c r="Y341" s="993"/>
      <c r="Z341" s="993"/>
      <c r="AA341" s="993"/>
      <c r="AB341" s="993"/>
      <c r="AC341" s="993"/>
      <c r="AD341" s="993"/>
      <c r="AE341" s="1060"/>
    </row>
    <row r="342" spans="1:31" ht="15" customHeight="1" x14ac:dyDescent="0.25">
      <c r="A342" s="1016"/>
      <c r="B342" s="1017"/>
      <c r="C342" s="992"/>
      <c r="D342" s="993"/>
      <c r="E342" s="993"/>
      <c r="F342" s="993"/>
      <c r="G342" s="993"/>
      <c r="H342" s="993"/>
      <c r="I342" s="993"/>
      <c r="J342" s="993"/>
      <c r="K342" s="993"/>
      <c r="L342" s="982"/>
      <c r="M342" s="994"/>
      <c r="N342" s="981"/>
      <c r="O342" s="994"/>
      <c r="P342" s="981"/>
      <c r="Q342" s="992"/>
      <c r="R342" s="993"/>
      <c r="S342" s="993"/>
      <c r="T342" s="993"/>
      <c r="U342" s="993"/>
      <c r="V342" s="993"/>
      <c r="W342" s="993"/>
      <c r="X342" s="993"/>
      <c r="Y342" s="993"/>
      <c r="Z342" s="993"/>
      <c r="AA342" s="993"/>
      <c r="AB342" s="993"/>
      <c r="AC342" s="993"/>
      <c r="AD342" s="993"/>
      <c r="AE342" s="1060"/>
    </row>
    <row r="344" spans="1:31" ht="15" x14ac:dyDescent="0.25">
      <c r="A344" s="730" t="s">
        <v>1044</v>
      </c>
      <c r="B344" s="731"/>
      <c r="C344" s="731"/>
      <c r="D344" s="731"/>
      <c r="E344" s="732"/>
    </row>
    <row r="345" spans="1:31" ht="15" x14ac:dyDescent="0.25">
      <c r="A345" s="733" t="s">
        <v>1045</v>
      </c>
      <c r="B345" s="734"/>
      <c r="C345" s="734"/>
      <c r="D345" s="734"/>
      <c r="E345" s="735"/>
    </row>
    <row r="347" spans="1:31" x14ac:dyDescent="0.25">
      <c r="A347" s="25" t="s">
        <v>217</v>
      </c>
    </row>
  </sheetData>
  <dataConsolidate>
    <dataRefs count="1">
      <dataRef ref="H263:H268" sheet="ASIGNATURAS"/>
    </dataRefs>
  </dataConsolidate>
  <mergeCells count="1203">
    <mergeCell ref="A338:B338"/>
    <mergeCell ref="A339:B339"/>
    <mergeCell ref="A340:B340"/>
    <mergeCell ref="A341:B341"/>
    <mergeCell ref="A342:B342"/>
    <mergeCell ref="A236:B236"/>
    <mergeCell ref="A237:B237"/>
    <mergeCell ref="A238:B238"/>
    <mergeCell ref="A239:B239"/>
    <mergeCell ref="A240:B240"/>
    <mergeCell ref="A241:B241"/>
    <mergeCell ref="A270:B270"/>
    <mergeCell ref="A271:B271"/>
    <mergeCell ref="A272:B272"/>
    <mergeCell ref="A273:B273"/>
    <mergeCell ref="A274:B274"/>
    <mergeCell ref="A275:B275"/>
    <mergeCell ref="A303:B303"/>
    <mergeCell ref="A304:B304"/>
    <mergeCell ref="A305:B305"/>
    <mergeCell ref="A306:B306"/>
    <mergeCell ref="A307:B307"/>
    <mergeCell ref="A331:A332"/>
    <mergeCell ref="B331:G331"/>
    <mergeCell ref="A327:A328"/>
    <mergeCell ref="B327:G327"/>
    <mergeCell ref="C308:L308"/>
    <mergeCell ref="H263:M263"/>
    <mergeCell ref="H265:M265"/>
    <mergeCell ref="A262:A263"/>
    <mergeCell ref="M236:N236"/>
    <mergeCell ref="C342:L342"/>
    <mergeCell ref="A128:B128"/>
    <mergeCell ref="A129:B129"/>
    <mergeCell ref="A130:B130"/>
    <mergeCell ref="A131:B131"/>
    <mergeCell ref="A132:B132"/>
    <mergeCell ref="A169:B169"/>
    <mergeCell ref="A170:B170"/>
    <mergeCell ref="A171:B171"/>
    <mergeCell ref="A172:B172"/>
    <mergeCell ref="A173:B173"/>
    <mergeCell ref="A202:B202"/>
    <mergeCell ref="A203:B203"/>
    <mergeCell ref="A204:B204"/>
    <mergeCell ref="A205:B205"/>
    <mergeCell ref="A206:B206"/>
    <mergeCell ref="A207:B207"/>
    <mergeCell ref="A133:B133"/>
    <mergeCell ref="B158:G158"/>
    <mergeCell ref="A21:B21"/>
    <mergeCell ref="A22:B22"/>
    <mergeCell ref="A23:B23"/>
    <mergeCell ref="A24:B24"/>
    <mergeCell ref="A25:B25"/>
    <mergeCell ref="A53:B53"/>
    <mergeCell ref="A54:B54"/>
    <mergeCell ref="A55:B55"/>
    <mergeCell ref="A56:B56"/>
    <mergeCell ref="A57:B57"/>
    <mergeCell ref="A58:B58"/>
    <mergeCell ref="A92:B92"/>
    <mergeCell ref="A93:B93"/>
    <mergeCell ref="A94:B94"/>
    <mergeCell ref="A95:B95"/>
    <mergeCell ref="A96:B96"/>
    <mergeCell ref="A97:B97"/>
    <mergeCell ref="B81:G81"/>
    <mergeCell ref="B80:G80"/>
    <mergeCell ref="B76:G76"/>
    <mergeCell ref="Z164:AE164"/>
    <mergeCell ref="B165:G165"/>
    <mergeCell ref="H165:M165"/>
    <mergeCell ref="N165:S165"/>
    <mergeCell ref="T165:Y165"/>
    <mergeCell ref="Z165:AE165"/>
    <mergeCell ref="A162:A163"/>
    <mergeCell ref="A164:A165"/>
    <mergeCell ref="B161:G161"/>
    <mergeCell ref="H161:M161"/>
    <mergeCell ref="N161:S161"/>
    <mergeCell ref="T161:Y161"/>
    <mergeCell ref="Z161:AE161"/>
    <mergeCell ref="B162:G162"/>
    <mergeCell ref="H162:M162"/>
    <mergeCell ref="N162:S162"/>
    <mergeCell ref="Z162:AE162"/>
    <mergeCell ref="B163:G163"/>
    <mergeCell ref="H163:M163"/>
    <mergeCell ref="N163:S163"/>
    <mergeCell ref="Z163:AE163"/>
    <mergeCell ref="B164:G164"/>
    <mergeCell ref="H164:M164"/>
    <mergeCell ref="N164:S164"/>
    <mergeCell ref="T164:Y164"/>
    <mergeCell ref="T17:Y17"/>
    <mergeCell ref="Z17:AE17"/>
    <mergeCell ref="T294:Y294"/>
    <mergeCell ref="B294:G294"/>
    <mergeCell ref="H289:M289"/>
    <mergeCell ref="H290:M290"/>
    <mergeCell ref="B293:G293"/>
    <mergeCell ref="A291:A292"/>
    <mergeCell ref="N291:S291"/>
    <mergeCell ref="H291:M291"/>
    <mergeCell ref="N292:S292"/>
    <mergeCell ref="H292:M292"/>
    <mergeCell ref="N296:S296"/>
    <mergeCell ref="B295:G295"/>
    <mergeCell ref="B296:G296"/>
    <mergeCell ref="H295:M295"/>
    <mergeCell ref="Q272:AE272"/>
    <mergeCell ref="Q273:AE273"/>
    <mergeCell ref="H257:M257"/>
    <mergeCell ref="T259:Y259"/>
    <mergeCell ref="C241:L241"/>
    <mergeCell ref="B262:G262"/>
    <mergeCell ref="A260:A261"/>
    <mergeCell ref="C239:L239"/>
    <mergeCell ref="Q240:AE240"/>
    <mergeCell ref="C274:L274"/>
    <mergeCell ref="M274:N274"/>
    <mergeCell ref="A286:Y286"/>
    <mergeCell ref="O274:P274"/>
    <mergeCell ref="C275:L275"/>
    <mergeCell ref="T290:Y290"/>
    <mergeCell ref="M269:N269"/>
    <mergeCell ref="AS291:AX291"/>
    <mergeCell ref="AY291:BD291"/>
    <mergeCell ref="BE291:BJ291"/>
    <mergeCell ref="AG292:AL292"/>
    <mergeCell ref="AM292:AR292"/>
    <mergeCell ref="AS292:AX292"/>
    <mergeCell ref="AY292:BD292"/>
    <mergeCell ref="BE292:BJ292"/>
    <mergeCell ref="AS298:AX298"/>
    <mergeCell ref="AY298:BD298"/>
    <mergeCell ref="BE298:BJ298"/>
    <mergeCell ref="AG299:AL299"/>
    <mergeCell ref="AM299:AR299"/>
    <mergeCell ref="AS299:AX299"/>
    <mergeCell ref="AY299:BD299"/>
    <mergeCell ref="BE299:BJ299"/>
    <mergeCell ref="AG289:AL289"/>
    <mergeCell ref="AM289:AR289"/>
    <mergeCell ref="AS289:AX289"/>
    <mergeCell ref="AY289:BD289"/>
    <mergeCell ref="BE289:BJ289"/>
    <mergeCell ref="AG290:AL290"/>
    <mergeCell ref="AM290:AR290"/>
    <mergeCell ref="AS290:AX290"/>
    <mergeCell ref="AY290:BD290"/>
    <mergeCell ref="BE290:BJ290"/>
    <mergeCell ref="AG291:AL291"/>
    <mergeCell ref="AM291:AR291"/>
    <mergeCell ref="AG300:AL300"/>
    <mergeCell ref="AM300:AR300"/>
    <mergeCell ref="AS300:AX300"/>
    <mergeCell ref="AY300:BD300"/>
    <mergeCell ref="BE300:BJ300"/>
    <mergeCell ref="AG293:AL293"/>
    <mergeCell ref="AM293:AR293"/>
    <mergeCell ref="AS293:AX293"/>
    <mergeCell ref="AY293:BD293"/>
    <mergeCell ref="BE293:BJ293"/>
    <mergeCell ref="AG294:AL294"/>
    <mergeCell ref="AM294:AR294"/>
    <mergeCell ref="AS294:AX294"/>
    <mergeCell ref="AY294:BD294"/>
    <mergeCell ref="BE294:BJ294"/>
    <mergeCell ref="AG295:AL295"/>
    <mergeCell ref="AM295:AR295"/>
    <mergeCell ref="AS295:AX295"/>
    <mergeCell ref="AY295:BD295"/>
    <mergeCell ref="BE295:BJ295"/>
    <mergeCell ref="AG296:AL296"/>
    <mergeCell ref="AM296:AR296"/>
    <mergeCell ref="AS296:AX296"/>
    <mergeCell ref="AY296:BD296"/>
    <mergeCell ref="BE296:BJ296"/>
    <mergeCell ref="AG297:AL297"/>
    <mergeCell ref="AM297:AR297"/>
    <mergeCell ref="AS297:AX297"/>
    <mergeCell ref="AY297:BD297"/>
    <mergeCell ref="BE297:BJ297"/>
    <mergeCell ref="AG298:AL298"/>
    <mergeCell ref="AM298:AR298"/>
    <mergeCell ref="M342:N342"/>
    <mergeCell ref="O342:P342"/>
    <mergeCell ref="Q342:AE342"/>
    <mergeCell ref="C340:L340"/>
    <mergeCell ref="M340:N340"/>
    <mergeCell ref="O340:P340"/>
    <mergeCell ref="Q340:AE340"/>
    <mergeCell ref="C341:L341"/>
    <mergeCell ref="M341:N341"/>
    <mergeCell ref="O341:P341"/>
    <mergeCell ref="Q341:AE341"/>
    <mergeCell ref="C338:L338"/>
    <mergeCell ref="M338:N338"/>
    <mergeCell ref="O338:P338"/>
    <mergeCell ref="Q338:AE338"/>
    <mergeCell ref="C339:L339"/>
    <mergeCell ref="M339:N339"/>
    <mergeCell ref="O339:P339"/>
    <mergeCell ref="Q339:AE339"/>
    <mergeCell ref="C336:K336"/>
    <mergeCell ref="M336:N336"/>
    <mergeCell ref="O336:P336"/>
    <mergeCell ref="Q336:AE336"/>
    <mergeCell ref="C337:L337"/>
    <mergeCell ref="M337:N337"/>
    <mergeCell ref="O337:P337"/>
    <mergeCell ref="Q337:AE337"/>
    <mergeCell ref="A333:A334"/>
    <mergeCell ref="B333:G333"/>
    <mergeCell ref="H333:M333"/>
    <mergeCell ref="N333:S333"/>
    <mergeCell ref="T333:Y333"/>
    <mergeCell ref="Z333:AE333"/>
    <mergeCell ref="B334:G334"/>
    <mergeCell ref="H334:M334"/>
    <mergeCell ref="N334:S334"/>
    <mergeCell ref="T334:Y334"/>
    <mergeCell ref="Z334:AE334"/>
    <mergeCell ref="A337:B337"/>
    <mergeCell ref="H331:M331"/>
    <mergeCell ref="N331:S331"/>
    <mergeCell ref="T331:Y331"/>
    <mergeCell ref="Z331:AE331"/>
    <mergeCell ref="B332:G332"/>
    <mergeCell ref="H332:M332"/>
    <mergeCell ref="N332:S332"/>
    <mergeCell ref="T332:Y332"/>
    <mergeCell ref="Z332:AE332"/>
    <mergeCell ref="A329:A330"/>
    <mergeCell ref="B329:G329"/>
    <mergeCell ref="H329:M329"/>
    <mergeCell ref="N329:S329"/>
    <mergeCell ref="T329:Y329"/>
    <mergeCell ref="Z329:AE329"/>
    <mergeCell ref="B330:G330"/>
    <mergeCell ref="H330:M330"/>
    <mergeCell ref="N330:S330"/>
    <mergeCell ref="T330:Y330"/>
    <mergeCell ref="Z330:AE330"/>
    <mergeCell ref="H327:M327"/>
    <mergeCell ref="N327:S327"/>
    <mergeCell ref="T327:Y327"/>
    <mergeCell ref="Z327:AE327"/>
    <mergeCell ref="B328:G328"/>
    <mergeCell ref="H328:M328"/>
    <mergeCell ref="N328:S328"/>
    <mergeCell ref="T328:Y328"/>
    <mergeCell ref="Z328:AE328"/>
    <mergeCell ref="A325:A326"/>
    <mergeCell ref="B325:G325"/>
    <mergeCell ref="H325:M325"/>
    <mergeCell ref="N325:S325"/>
    <mergeCell ref="T325:Y325"/>
    <mergeCell ref="Z325:AE325"/>
    <mergeCell ref="B326:G326"/>
    <mergeCell ref="H326:M326"/>
    <mergeCell ref="N326:S326"/>
    <mergeCell ref="T326:Y326"/>
    <mergeCell ref="Z326:AE326"/>
    <mergeCell ref="Z319:AE320"/>
    <mergeCell ref="B322:G322"/>
    <mergeCell ref="H322:M322"/>
    <mergeCell ref="N322:S322"/>
    <mergeCell ref="T322:Y322"/>
    <mergeCell ref="Z322:AE322"/>
    <mergeCell ref="A323:A324"/>
    <mergeCell ref="B323:G323"/>
    <mergeCell ref="H323:M323"/>
    <mergeCell ref="N323:S323"/>
    <mergeCell ref="T323:Y323"/>
    <mergeCell ref="Z323:AE323"/>
    <mergeCell ref="B324:G324"/>
    <mergeCell ref="H324:M324"/>
    <mergeCell ref="N324:S324"/>
    <mergeCell ref="T324:Y324"/>
    <mergeCell ref="Z324:AE324"/>
    <mergeCell ref="A319:Y319"/>
    <mergeCell ref="A320:Y320"/>
    <mergeCell ref="M308:N308"/>
    <mergeCell ref="O308:P308"/>
    <mergeCell ref="Q308:AE308"/>
    <mergeCell ref="Z318:AE318"/>
    <mergeCell ref="C306:L306"/>
    <mergeCell ref="M306:N306"/>
    <mergeCell ref="O306:P306"/>
    <mergeCell ref="Q306:AE306"/>
    <mergeCell ref="C307:L307"/>
    <mergeCell ref="M307:N307"/>
    <mergeCell ref="O307:P307"/>
    <mergeCell ref="Q307:AE307"/>
    <mergeCell ref="C304:L304"/>
    <mergeCell ref="M304:N304"/>
    <mergeCell ref="O304:P304"/>
    <mergeCell ref="Q304:AE304"/>
    <mergeCell ref="C305:L305"/>
    <mergeCell ref="M305:N305"/>
    <mergeCell ref="O305:P305"/>
    <mergeCell ref="Q305:AE305"/>
    <mergeCell ref="A318:Y318"/>
    <mergeCell ref="A308:B308"/>
    <mergeCell ref="M303:N303"/>
    <mergeCell ref="O303:P303"/>
    <mergeCell ref="Q303:AE303"/>
    <mergeCell ref="A299:A300"/>
    <mergeCell ref="T299:Y299"/>
    <mergeCell ref="Z299:AE299"/>
    <mergeCell ref="T300:Y300"/>
    <mergeCell ref="Z300:AE300"/>
    <mergeCell ref="A297:A298"/>
    <mergeCell ref="T295:Y295"/>
    <mergeCell ref="N299:S299"/>
    <mergeCell ref="Z297:AE297"/>
    <mergeCell ref="T296:Y296"/>
    <mergeCell ref="N300:S300"/>
    <mergeCell ref="Z298:AE298"/>
    <mergeCell ref="N297:S297"/>
    <mergeCell ref="N298:S298"/>
    <mergeCell ref="B297:G297"/>
    <mergeCell ref="B298:G298"/>
    <mergeCell ref="T297:Y297"/>
    <mergeCell ref="T298:Y298"/>
    <mergeCell ref="A295:A296"/>
    <mergeCell ref="H299:M299"/>
    <mergeCell ref="H300:M300"/>
    <mergeCell ref="H297:M297"/>
    <mergeCell ref="H298:M298"/>
    <mergeCell ref="N295:S295"/>
    <mergeCell ref="C302:K302"/>
    <mergeCell ref="M302:N302"/>
    <mergeCell ref="O302:P302"/>
    <mergeCell ref="Q302:AE302"/>
    <mergeCell ref="C303:L303"/>
    <mergeCell ref="C272:L272"/>
    <mergeCell ref="B290:G290"/>
    <mergeCell ref="B291:G291"/>
    <mergeCell ref="B292:G292"/>
    <mergeCell ref="T266:Y266"/>
    <mergeCell ref="T267:Y267"/>
    <mergeCell ref="Q275:AE275"/>
    <mergeCell ref="C271:L271"/>
    <mergeCell ref="M271:N271"/>
    <mergeCell ref="O271:P271"/>
    <mergeCell ref="Q271:AE271"/>
    <mergeCell ref="B266:G266"/>
    <mergeCell ref="N266:S266"/>
    <mergeCell ref="Z266:AE266"/>
    <mergeCell ref="Z285:AE286"/>
    <mergeCell ref="B288:G288"/>
    <mergeCell ref="H288:M288"/>
    <mergeCell ref="N288:S288"/>
    <mergeCell ref="T288:Y288"/>
    <mergeCell ref="C273:L273"/>
    <mergeCell ref="M273:N273"/>
    <mergeCell ref="O273:P273"/>
    <mergeCell ref="M272:N272"/>
    <mergeCell ref="O272:P272"/>
    <mergeCell ref="A284:Y284"/>
    <mergeCell ref="A285:Y285"/>
    <mergeCell ref="B289:G289"/>
    <mergeCell ref="H296:M296"/>
    <mergeCell ref="Z284:AE284"/>
    <mergeCell ref="AK262:AP262"/>
    <mergeCell ref="T258:Y258"/>
    <mergeCell ref="H262:M262"/>
    <mergeCell ref="Z288:AE288"/>
    <mergeCell ref="Z294:AE294"/>
    <mergeCell ref="Z293:AE293"/>
    <mergeCell ref="Z296:AE296"/>
    <mergeCell ref="Z295:AE295"/>
    <mergeCell ref="Z291:AE291"/>
    <mergeCell ref="Z292:AE292"/>
    <mergeCell ref="A293:A294"/>
    <mergeCell ref="N293:S293"/>
    <mergeCell ref="H293:M293"/>
    <mergeCell ref="N294:S294"/>
    <mergeCell ref="H294:M294"/>
    <mergeCell ref="T293:Y293"/>
    <mergeCell ref="N258:S258"/>
    <mergeCell ref="N259:S259"/>
    <mergeCell ref="Z260:AE260"/>
    <mergeCell ref="H264:M264"/>
    <mergeCell ref="T260:Y260"/>
    <mergeCell ref="A289:A290"/>
    <mergeCell ref="N289:S289"/>
    <mergeCell ref="T291:Y291"/>
    <mergeCell ref="T289:Y289"/>
    <mergeCell ref="N290:S290"/>
    <mergeCell ref="T292:Y292"/>
    <mergeCell ref="AJ264:AO264"/>
    <mergeCell ref="AK260:AP260"/>
    <mergeCell ref="O269:P269"/>
    <mergeCell ref="Z262:AE262"/>
    <mergeCell ref="H266:M266"/>
    <mergeCell ref="H258:M258"/>
    <mergeCell ref="H267:M267"/>
    <mergeCell ref="H259:M259"/>
    <mergeCell ref="A258:A259"/>
    <mergeCell ref="Z255:AE255"/>
    <mergeCell ref="H256:M256"/>
    <mergeCell ref="Z264:AE264"/>
    <mergeCell ref="Z265:AE265"/>
    <mergeCell ref="B264:G264"/>
    <mergeCell ref="B265:G265"/>
    <mergeCell ref="B267:G267"/>
    <mergeCell ref="AK261:AP261"/>
    <mergeCell ref="A264:A265"/>
    <mergeCell ref="A256:A257"/>
    <mergeCell ref="N263:S263"/>
    <mergeCell ref="A266:A267"/>
    <mergeCell ref="H261:M261"/>
    <mergeCell ref="N261:S261"/>
    <mergeCell ref="Z263:AE263"/>
    <mergeCell ref="T262:Y262"/>
    <mergeCell ref="T263:Y263"/>
    <mergeCell ref="H260:M260"/>
    <mergeCell ref="B260:G260"/>
    <mergeCell ref="N260:S260"/>
    <mergeCell ref="B261:G261"/>
    <mergeCell ref="N267:S267"/>
    <mergeCell ref="Z267:AE267"/>
    <mergeCell ref="T261:Y261"/>
    <mergeCell ref="Z252:AE253"/>
    <mergeCell ref="O240:P240"/>
    <mergeCell ref="Z256:AE256"/>
    <mergeCell ref="Z257:AE257"/>
    <mergeCell ref="Z258:AE258"/>
    <mergeCell ref="Z259:AE259"/>
    <mergeCell ref="Q241:AE241"/>
    <mergeCell ref="Z251:AE251"/>
    <mergeCell ref="B255:G255"/>
    <mergeCell ref="H255:M255"/>
    <mergeCell ref="N255:S255"/>
    <mergeCell ref="T255:Y255"/>
    <mergeCell ref="B256:G256"/>
    <mergeCell ref="B257:G257"/>
    <mergeCell ref="B258:G258"/>
    <mergeCell ref="B259:G259"/>
    <mergeCell ref="T256:Y256"/>
    <mergeCell ref="N256:S256"/>
    <mergeCell ref="N257:S257"/>
    <mergeCell ref="T257:Y257"/>
    <mergeCell ref="M241:N241"/>
    <mergeCell ref="O241:P241"/>
    <mergeCell ref="A251:Y251"/>
    <mergeCell ref="A252:Y252"/>
    <mergeCell ref="A253:Y253"/>
    <mergeCell ref="O236:P236"/>
    <mergeCell ref="Q236:AE236"/>
    <mergeCell ref="A228:A229"/>
    <mergeCell ref="T233:Y233"/>
    <mergeCell ref="T232:Y232"/>
    <mergeCell ref="C237:L237"/>
    <mergeCell ref="M237:N237"/>
    <mergeCell ref="O237:P237"/>
    <mergeCell ref="Q237:AE237"/>
    <mergeCell ref="C238:L238"/>
    <mergeCell ref="M238:N238"/>
    <mergeCell ref="O238:P238"/>
    <mergeCell ref="Q238:AE238"/>
    <mergeCell ref="M275:N275"/>
    <mergeCell ref="O275:P275"/>
    <mergeCell ref="Q269:AE269"/>
    <mergeCell ref="C270:L270"/>
    <mergeCell ref="M270:N270"/>
    <mergeCell ref="O270:P270"/>
    <mergeCell ref="Q270:AE270"/>
    <mergeCell ref="Q274:AE274"/>
    <mergeCell ref="C269:K269"/>
    <mergeCell ref="T264:Y264"/>
    <mergeCell ref="T265:Y265"/>
    <mergeCell ref="Z261:AE261"/>
    <mergeCell ref="N264:S264"/>
    <mergeCell ref="B263:G263"/>
    <mergeCell ref="N265:S265"/>
    <mergeCell ref="N262:S262"/>
    <mergeCell ref="C240:L240"/>
    <mergeCell ref="M240:N240"/>
    <mergeCell ref="M239:N239"/>
    <mergeCell ref="O239:P239"/>
    <mergeCell ref="B228:G228"/>
    <mergeCell ref="Z226:AE226"/>
    <mergeCell ref="Z227:AE227"/>
    <mergeCell ref="Z228:AE228"/>
    <mergeCell ref="Z229:AE229"/>
    <mergeCell ref="Z230:AE230"/>
    <mergeCell ref="Z231:AE231"/>
    <mergeCell ref="N229:S229"/>
    <mergeCell ref="H230:M230"/>
    <mergeCell ref="H231:M231"/>
    <mergeCell ref="H229:M229"/>
    <mergeCell ref="H226:M226"/>
    <mergeCell ref="A230:A231"/>
    <mergeCell ref="N230:S230"/>
    <mergeCell ref="N231:S231"/>
    <mergeCell ref="T230:Y230"/>
    <mergeCell ref="T231:Y231"/>
    <mergeCell ref="T228:Y228"/>
    <mergeCell ref="T229:Y229"/>
    <mergeCell ref="N228:S228"/>
    <mergeCell ref="A226:A227"/>
    <mergeCell ref="Q239:AE239"/>
    <mergeCell ref="H227:M227"/>
    <mergeCell ref="C235:K235"/>
    <mergeCell ref="M235:N235"/>
    <mergeCell ref="O235:P235"/>
    <mergeCell ref="Q235:AE235"/>
    <mergeCell ref="C236:L236"/>
    <mergeCell ref="B230:G230"/>
    <mergeCell ref="B231:G231"/>
    <mergeCell ref="A232:A233"/>
    <mergeCell ref="N232:S232"/>
    <mergeCell ref="H232:M232"/>
    <mergeCell ref="Z232:AE232"/>
    <mergeCell ref="N233:S233"/>
    <mergeCell ref="H233:M233"/>
    <mergeCell ref="Z233:AE233"/>
    <mergeCell ref="B225:G225"/>
    <mergeCell ref="A224:A225"/>
    <mergeCell ref="T225:Y225"/>
    <mergeCell ref="N224:S224"/>
    <mergeCell ref="N225:S225"/>
    <mergeCell ref="N222:S222"/>
    <mergeCell ref="N223:S223"/>
    <mergeCell ref="Z224:AE224"/>
    <mergeCell ref="Z225:AE225"/>
    <mergeCell ref="B232:G232"/>
    <mergeCell ref="B233:G233"/>
    <mergeCell ref="H228:M228"/>
    <mergeCell ref="B229:G229"/>
    <mergeCell ref="H225:M225"/>
    <mergeCell ref="B226:G226"/>
    <mergeCell ref="B227:G227"/>
    <mergeCell ref="N226:S226"/>
    <mergeCell ref="T226:Y226"/>
    <mergeCell ref="N227:S227"/>
    <mergeCell ref="T227:Y227"/>
    <mergeCell ref="H224:M224"/>
    <mergeCell ref="T222:Y222"/>
    <mergeCell ref="H222:M222"/>
    <mergeCell ref="T223:Y223"/>
    <mergeCell ref="H223:M223"/>
    <mergeCell ref="Z221:AE221"/>
    <mergeCell ref="A198:A199"/>
    <mergeCell ref="B221:G221"/>
    <mergeCell ref="H221:M221"/>
    <mergeCell ref="N221:S221"/>
    <mergeCell ref="T221:Y221"/>
    <mergeCell ref="C206:L206"/>
    <mergeCell ref="M205:N205"/>
    <mergeCell ref="H198:M198"/>
    <mergeCell ref="C207:L207"/>
    <mergeCell ref="M207:N207"/>
    <mergeCell ref="C203:L203"/>
    <mergeCell ref="T224:Y224"/>
    <mergeCell ref="O202:P202"/>
    <mergeCell ref="Q202:AE202"/>
    <mergeCell ref="B224:G224"/>
    <mergeCell ref="Z222:AE222"/>
    <mergeCell ref="Z223:AE223"/>
    <mergeCell ref="N199:S199"/>
    <mergeCell ref="O201:P201"/>
    <mergeCell ref="Q201:AE201"/>
    <mergeCell ref="Q203:AE203"/>
    <mergeCell ref="C204:L204"/>
    <mergeCell ref="M204:N204"/>
    <mergeCell ref="O204:P204"/>
    <mergeCell ref="Q204:AE204"/>
    <mergeCell ref="M203:N203"/>
    <mergeCell ref="O203:P203"/>
    <mergeCell ref="A217:Y217"/>
    <mergeCell ref="A218:Y218"/>
    <mergeCell ref="A219:Y219"/>
    <mergeCell ref="A222:A223"/>
    <mergeCell ref="O207:P207"/>
    <mergeCell ref="Q207:AE207"/>
    <mergeCell ref="O205:P205"/>
    <mergeCell ref="Q205:AE205"/>
    <mergeCell ref="M206:N206"/>
    <mergeCell ref="O206:P206"/>
    <mergeCell ref="Q206:AE206"/>
    <mergeCell ref="Z217:AE217"/>
    <mergeCell ref="Z218:AE219"/>
    <mergeCell ref="B222:G222"/>
    <mergeCell ref="B223:G223"/>
    <mergeCell ref="C205:L205"/>
    <mergeCell ref="Z191:AE191"/>
    <mergeCell ref="B193:G193"/>
    <mergeCell ref="T190:Y190"/>
    <mergeCell ref="B190:G190"/>
    <mergeCell ref="H195:M195"/>
    <mergeCell ref="H194:M194"/>
    <mergeCell ref="H192:M192"/>
    <mergeCell ref="C201:K201"/>
    <mergeCell ref="M201:N201"/>
    <mergeCell ref="H199:M199"/>
    <mergeCell ref="B197:G197"/>
    <mergeCell ref="N191:S191"/>
    <mergeCell ref="N197:S197"/>
    <mergeCell ref="Z199:AE199"/>
    <mergeCell ref="T197:Y197"/>
    <mergeCell ref="Z197:AE197"/>
    <mergeCell ref="Z194:AE194"/>
    <mergeCell ref="Z198:AE198"/>
    <mergeCell ref="T198:Y198"/>
    <mergeCell ref="B199:G199"/>
    <mergeCell ref="Q169:AE169"/>
    <mergeCell ref="N194:S194"/>
    <mergeCell ref="T194:Y194"/>
    <mergeCell ref="Q168:AE168"/>
    <mergeCell ref="C171:L171"/>
    <mergeCell ref="M172:N172"/>
    <mergeCell ref="O169:P169"/>
    <mergeCell ref="O172:P172"/>
    <mergeCell ref="C170:L170"/>
    <mergeCell ref="M170:N170"/>
    <mergeCell ref="O170:P170"/>
    <mergeCell ref="Q170:AE170"/>
    <mergeCell ref="T187:Y187"/>
    <mergeCell ref="Z187:AE187"/>
    <mergeCell ref="C173:L173"/>
    <mergeCell ref="N193:S193"/>
    <mergeCell ref="T193:Y193"/>
    <mergeCell ref="H193:M193"/>
    <mergeCell ref="Z184:AE185"/>
    <mergeCell ref="B187:G187"/>
    <mergeCell ref="H187:M187"/>
    <mergeCell ref="T192:Y192"/>
    <mergeCell ref="A183:Y183"/>
    <mergeCell ref="A184:Y184"/>
    <mergeCell ref="A185:Y185"/>
    <mergeCell ref="A168:B168"/>
    <mergeCell ref="A194:A195"/>
    <mergeCell ref="A192:A193"/>
    <mergeCell ref="N187:S187"/>
    <mergeCell ref="B195:G195"/>
    <mergeCell ref="T189:Y189"/>
    <mergeCell ref="B192:G192"/>
    <mergeCell ref="H191:M191"/>
    <mergeCell ref="H189:M189"/>
    <mergeCell ref="B194:G194"/>
    <mergeCell ref="N195:S195"/>
    <mergeCell ref="T195:Y195"/>
    <mergeCell ref="M173:N173"/>
    <mergeCell ref="O173:P173"/>
    <mergeCell ref="Q173:AE173"/>
    <mergeCell ref="Z183:AE183"/>
    <mergeCell ref="A188:A189"/>
    <mergeCell ref="B188:G188"/>
    <mergeCell ref="Z188:AE188"/>
    <mergeCell ref="N188:S188"/>
    <mergeCell ref="H188:M188"/>
    <mergeCell ref="B189:G189"/>
    <mergeCell ref="N189:S189"/>
    <mergeCell ref="H190:M190"/>
    <mergeCell ref="Z193:AE193"/>
    <mergeCell ref="A190:A191"/>
    <mergeCell ref="Z195:AE195"/>
    <mergeCell ref="N157:S157"/>
    <mergeCell ref="N158:S158"/>
    <mergeCell ref="Z160:AE160"/>
    <mergeCell ref="Z159:AE159"/>
    <mergeCell ref="B159:G159"/>
    <mergeCell ref="N192:S192"/>
    <mergeCell ref="Z189:AE189"/>
    <mergeCell ref="Z158:AE158"/>
    <mergeCell ref="N159:S159"/>
    <mergeCell ref="N190:S190"/>
    <mergeCell ref="T191:Y191"/>
    <mergeCell ref="C202:L202"/>
    <mergeCell ref="M202:N202"/>
    <mergeCell ref="Q172:AE172"/>
    <mergeCell ref="B198:G198"/>
    <mergeCell ref="T158:Y158"/>
    <mergeCell ref="H155:M155"/>
    <mergeCell ref="H156:M156"/>
    <mergeCell ref="Z196:AE196"/>
    <mergeCell ref="Z192:AE192"/>
    <mergeCell ref="Z190:AE190"/>
    <mergeCell ref="T196:Y196"/>
    <mergeCell ref="H197:M197"/>
    <mergeCell ref="T199:Y199"/>
    <mergeCell ref="N198:S198"/>
    <mergeCell ref="M171:N171"/>
    <mergeCell ref="O171:P171"/>
    <mergeCell ref="T188:Y188"/>
    <mergeCell ref="H196:M196"/>
    <mergeCell ref="C169:L169"/>
    <mergeCell ref="M169:N169"/>
    <mergeCell ref="C172:L172"/>
    <mergeCell ref="H153:M153"/>
    <mergeCell ref="H154:M154"/>
    <mergeCell ref="H151:M151"/>
    <mergeCell ref="H152:M152"/>
    <mergeCell ref="B153:G153"/>
    <mergeCell ref="B154:G154"/>
    <mergeCell ref="B151:G151"/>
    <mergeCell ref="A196:A197"/>
    <mergeCell ref="N196:S196"/>
    <mergeCell ref="B196:G196"/>
    <mergeCell ref="B191:G191"/>
    <mergeCell ref="C167:K167"/>
    <mergeCell ref="M167:N167"/>
    <mergeCell ref="O167:P167"/>
    <mergeCell ref="Q167:AE167"/>
    <mergeCell ref="C168:L168"/>
    <mergeCell ref="M168:N168"/>
    <mergeCell ref="O168:P168"/>
    <mergeCell ref="Q171:AE171"/>
    <mergeCell ref="T159:Y159"/>
    <mergeCell ref="T155:Y155"/>
    <mergeCell ref="H157:M157"/>
    <mergeCell ref="A159:A160"/>
    <mergeCell ref="A157:A158"/>
    <mergeCell ref="A155:A156"/>
    <mergeCell ref="T157:Y157"/>
    <mergeCell ref="H159:M159"/>
    <mergeCell ref="B156:G156"/>
    <mergeCell ref="H160:M160"/>
    <mergeCell ref="N155:S155"/>
    <mergeCell ref="B160:G160"/>
    <mergeCell ref="N156:S156"/>
    <mergeCell ref="T151:Y151"/>
    <mergeCell ref="T152:Y152"/>
    <mergeCell ref="N154:S154"/>
    <mergeCell ref="T160:Y160"/>
    <mergeCell ref="Z157:AE157"/>
    <mergeCell ref="N116:S116"/>
    <mergeCell ref="N152:S152"/>
    <mergeCell ref="B155:G155"/>
    <mergeCell ref="C128:L128"/>
    <mergeCell ref="B125:G125"/>
    <mergeCell ref="T120:Y120"/>
    <mergeCell ref="N121:S121"/>
    <mergeCell ref="T124:Y124"/>
    <mergeCell ref="N119:S119"/>
    <mergeCell ref="B119:G119"/>
    <mergeCell ref="H119:M119"/>
    <mergeCell ref="Z117:AE117"/>
    <mergeCell ref="B118:G118"/>
    <mergeCell ref="B117:G117"/>
    <mergeCell ref="N117:S117"/>
    <mergeCell ref="T117:Y117"/>
    <mergeCell ref="T156:Y156"/>
    <mergeCell ref="H158:M158"/>
    <mergeCell ref="B121:G121"/>
    <mergeCell ref="T125:Y125"/>
    <mergeCell ref="N160:S160"/>
    <mergeCell ref="N151:S151"/>
    <mergeCell ref="Z154:AE154"/>
    <mergeCell ref="Z155:AE155"/>
    <mergeCell ref="Z156:AE156"/>
    <mergeCell ref="B157:G157"/>
    <mergeCell ref="T153:Y153"/>
    <mergeCell ref="T154:Y154"/>
    <mergeCell ref="Z153:AE153"/>
    <mergeCell ref="B124:G124"/>
    <mergeCell ref="Z123:AE123"/>
    <mergeCell ref="H124:M124"/>
    <mergeCell ref="T116:Y116"/>
    <mergeCell ref="A120:A121"/>
    <mergeCell ref="B116:G116"/>
    <mergeCell ref="Z125:AE125"/>
    <mergeCell ref="H122:M122"/>
    <mergeCell ref="T148:Y148"/>
    <mergeCell ref="Z148:AE148"/>
    <mergeCell ref="Z116:AE116"/>
    <mergeCell ref="Z124:AE124"/>
    <mergeCell ref="N125:S125"/>
    <mergeCell ref="H117:M117"/>
    <mergeCell ref="Q129:AE129"/>
    <mergeCell ref="M127:N127"/>
    <mergeCell ref="O127:P127"/>
    <mergeCell ref="B122:G122"/>
    <mergeCell ref="Z122:AE122"/>
    <mergeCell ref="B123:G123"/>
    <mergeCell ref="Z145:AE146"/>
    <mergeCell ref="A116:A117"/>
    <mergeCell ref="A149:A150"/>
    <mergeCell ref="B152:G152"/>
    <mergeCell ref="Z151:AE151"/>
    <mergeCell ref="Z152:AE152"/>
    <mergeCell ref="N153:S153"/>
    <mergeCell ref="A151:A152"/>
    <mergeCell ref="A153:A154"/>
    <mergeCell ref="H150:M150"/>
    <mergeCell ref="Q130:AE130"/>
    <mergeCell ref="Q127:AE127"/>
    <mergeCell ref="B148:G148"/>
    <mergeCell ref="H148:M148"/>
    <mergeCell ref="N148:S148"/>
    <mergeCell ref="C131:L131"/>
    <mergeCell ref="M131:N131"/>
    <mergeCell ref="O131:P131"/>
    <mergeCell ref="Q131:AE131"/>
    <mergeCell ref="C132:L132"/>
    <mergeCell ref="M132:N132"/>
    <mergeCell ref="O132:P132"/>
    <mergeCell ref="Q132:AE132"/>
    <mergeCell ref="Z144:AE144"/>
    <mergeCell ref="O129:P129"/>
    <mergeCell ref="B149:G149"/>
    <mergeCell ref="B150:G150"/>
    <mergeCell ref="H149:M149"/>
    <mergeCell ref="O130:P130"/>
    <mergeCell ref="N149:S149"/>
    <mergeCell ref="N150:S150"/>
    <mergeCell ref="Z149:AE149"/>
    <mergeCell ref="Z150:AE150"/>
    <mergeCell ref="Q133:AE133"/>
    <mergeCell ref="C130:L130"/>
    <mergeCell ref="M130:N130"/>
    <mergeCell ref="A144:Y144"/>
    <mergeCell ref="A145:Y145"/>
    <mergeCell ref="A146:Y146"/>
    <mergeCell ref="M128:N128"/>
    <mergeCell ref="O128:P128"/>
    <mergeCell ref="M129:N129"/>
    <mergeCell ref="C127:K127"/>
    <mergeCell ref="N118:S118"/>
    <mergeCell ref="A122:A123"/>
    <mergeCell ref="A118:A119"/>
    <mergeCell ref="B73:G73"/>
    <mergeCell ref="H77:M77"/>
    <mergeCell ref="C95:L95"/>
    <mergeCell ref="N44:S44"/>
    <mergeCell ref="A77:A78"/>
    <mergeCell ref="H123:M123"/>
    <mergeCell ref="T118:Y118"/>
    <mergeCell ref="Z115:AE115"/>
    <mergeCell ref="H114:M114"/>
    <mergeCell ref="Z114:AE114"/>
    <mergeCell ref="H125:M125"/>
    <mergeCell ref="H118:M118"/>
    <mergeCell ref="T121:Y121"/>
    <mergeCell ref="Z110:AE111"/>
    <mergeCell ref="H116:M116"/>
    <mergeCell ref="A124:A125"/>
    <mergeCell ref="B77:G77"/>
    <mergeCell ref="A114:A115"/>
    <mergeCell ref="N120:S120"/>
    <mergeCell ref="N122:S122"/>
    <mergeCell ref="H120:M120"/>
    <mergeCell ref="H121:M121"/>
    <mergeCell ref="T119:Y119"/>
    <mergeCell ref="B120:G120"/>
    <mergeCell ref="O91:P91"/>
    <mergeCell ref="Z84:AE84"/>
    <mergeCell ref="T83:Y83"/>
    <mergeCell ref="H113:M113"/>
    <mergeCell ref="A12:A13"/>
    <mergeCell ref="T13:Y13"/>
    <mergeCell ref="N15:S15"/>
    <mergeCell ref="H15:M15"/>
    <mergeCell ref="Z34:AE34"/>
    <mergeCell ref="Z35:AE36"/>
    <mergeCell ref="C25:L25"/>
    <mergeCell ref="T123:Y123"/>
    <mergeCell ref="N113:S113"/>
    <mergeCell ref="T122:Y122"/>
    <mergeCell ref="B115:G115"/>
    <mergeCell ref="M133:N133"/>
    <mergeCell ref="O133:P133"/>
    <mergeCell ref="C133:L133"/>
    <mergeCell ref="N124:S124"/>
    <mergeCell ref="A43:A44"/>
    <mergeCell ref="C56:L56"/>
    <mergeCell ref="O55:P55"/>
    <mergeCell ref="Q55:AE55"/>
    <mergeCell ref="C55:L55"/>
    <mergeCell ref="C58:L58"/>
    <mergeCell ref="Q56:AE56"/>
    <mergeCell ref="M53:N53"/>
    <mergeCell ref="O53:P53"/>
    <mergeCell ref="B43:G43"/>
    <mergeCell ref="B44:G44"/>
    <mergeCell ref="M58:N58"/>
    <mergeCell ref="N43:S43"/>
    <mergeCell ref="H43:M43"/>
    <mergeCell ref="M21:N21"/>
    <mergeCell ref="Q128:AE128"/>
    <mergeCell ref="C129:L129"/>
    <mergeCell ref="O21:P21"/>
    <mergeCell ref="T12:Y12"/>
    <mergeCell ref="T10:Y10"/>
    <mergeCell ref="A16:A17"/>
    <mergeCell ref="B16:G16"/>
    <mergeCell ref="H16:M16"/>
    <mergeCell ref="N16:S16"/>
    <mergeCell ref="H45:M45"/>
    <mergeCell ref="B45:G45"/>
    <mergeCell ref="O58:P58"/>
    <mergeCell ref="T45:Y45"/>
    <mergeCell ref="H12:M12"/>
    <mergeCell ref="C20:K20"/>
    <mergeCell ref="O22:P22"/>
    <mergeCell ref="Z41:AE41"/>
    <mergeCell ref="T43:Y43"/>
    <mergeCell ref="Z45:AE45"/>
    <mergeCell ref="A41:A42"/>
    <mergeCell ref="T46:Y46"/>
    <mergeCell ref="T38:Y38"/>
    <mergeCell ref="Q25:AE25"/>
    <mergeCell ref="T44:Y44"/>
    <mergeCell ref="O23:P23"/>
    <mergeCell ref="Q23:AE23"/>
    <mergeCell ref="Z12:AE12"/>
    <mergeCell ref="N40:S40"/>
    <mergeCell ref="M25:N25"/>
    <mergeCell ref="O25:P25"/>
    <mergeCell ref="T14:Y14"/>
    <mergeCell ref="T15:Y15"/>
    <mergeCell ref="N42:S42"/>
    <mergeCell ref="T42:Y42"/>
    <mergeCell ref="Z2:AE3"/>
    <mergeCell ref="A3:Y3"/>
    <mergeCell ref="B5:G5"/>
    <mergeCell ref="H5:M5"/>
    <mergeCell ref="N5:S5"/>
    <mergeCell ref="T5:Y5"/>
    <mergeCell ref="Z5:AE5"/>
    <mergeCell ref="T9:Y9"/>
    <mergeCell ref="Z13:AE13"/>
    <mergeCell ref="N14:S14"/>
    <mergeCell ref="C21:L21"/>
    <mergeCell ref="O20:P20"/>
    <mergeCell ref="M20:N20"/>
    <mergeCell ref="N38:S38"/>
    <mergeCell ref="Q22:AE22"/>
    <mergeCell ref="Q21:AE21"/>
    <mergeCell ref="H40:M40"/>
    <mergeCell ref="A39:A40"/>
    <mergeCell ref="B39:G39"/>
    <mergeCell ref="B38:G38"/>
    <mergeCell ref="H38:M38"/>
    <mergeCell ref="M22:N22"/>
    <mergeCell ref="H14:M14"/>
    <mergeCell ref="O24:P24"/>
    <mergeCell ref="Z9:AE9"/>
    <mergeCell ref="N10:S10"/>
    <mergeCell ref="Z10:AE10"/>
    <mergeCell ref="C24:L24"/>
    <mergeCell ref="M24:N24"/>
    <mergeCell ref="A14:A15"/>
    <mergeCell ref="B14:G14"/>
    <mergeCell ref="N11:S11"/>
    <mergeCell ref="Z6:AE6"/>
    <mergeCell ref="B7:G7"/>
    <mergeCell ref="H7:M7"/>
    <mergeCell ref="N7:S7"/>
    <mergeCell ref="T7:Y7"/>
    <mergeCell ref="Z7:AE7"/>
    <mergeCell ref="Z8:AE8"/>
    <mergeCell ref="Z40:AE40"/>
    <mergeCell ref="T40:Y40"/>
    <mergeCell ref="T39:Y39"/>
    <mergeCell ref="Z39:AE39"/>
    <mergeCell ref="Z14:AE14"/>
    <mergeCell ref="H9:M9"/>
    <mergeCell ref="B13:G13"/>
    <mergeCell ref="H13:M13"/>
    <mergeCell ref="Z38:AE38"/>
    <mergeCell ref="A34:Y34"/>
    <mergeCell ref="A35:Y35"/>
    <mergeCell ref="A36:Y36"/>
    <mergeCell ref="T16:Y16"/>
    <mergeCell ref="Z16:AE16"/>
    <mergeCell ref="B17:G17"/>
    <mergeCell ref="H17:M17"/>
    <mergeCell ref="N17:S17"/>
    <mergeCell ref="B12:G12"/>
    <mergeCell ref="N12:S12"/>
    <mergeCell ref="Q20:AE20"/>
    <mergeCell ref="Z15:AE15"/>
    <mergeCell ref="Z11:AE11"/>
    <mergeCell ref="Q24:AE24"/>
    <mergeCell ref="N39:S39"/>
    <mergeCell ref="B40:G40"/>
    <mergeCell ref="A1:Y1"/>
    <mergeCell ref="A6:A7"/>
    <mergeCell ref="B6:G6"/>
    <mergeCell ref="H6:M6"/>
    <mergeCell ref="N6:S6"/>
    <mergeCell ref="T6:Y6"/>
    <mergeCell ref="A10:A11"/>
    <mergeCell ref="A8:A9"/>
    <mergeCell ref="B9:G9"/>
    <mergeCell ref="H11:M11"/>
    <mergeCell ref="T11:Y11"/>
    <mergeCell ref="N13:S13"/>
    <mergeCell ref="N8:S8"/>
    <mergeCell ref="N9:S9"/>
    <mergeCell ref="B8:G8"/>
    <mergeCell ref="H8:M8"/>
    <mergeCell ref="M56:N56"/>
    <mergeCell ref="O56:P56"/>
    <mergeCell ref="T8:Y8"/>
    <mergeCell ref="H10:M10"/>
    <mergeCell ref="C23:L23"/>
    <mergeCell ref="M23:N23"/>
    <mergeCell ref="B15:G15"/>
    <mergeCell ref="C22:L22"/>
    <mergeCell ref="B10:G10"/>
    <mergeCell ref="B11:G11"/>
    <mergeCell ref="N45:S45"/>
    <mergeCell ref="M54:N54"/>
    <mergeCell ref="O54:P54"/>
    <mergeCell ref="Q54:AE54"/>
    <mergeCell ref="Z1:AE1"/>
    <mergeCell ref="A2:Y2"/>
    <mergeCell ref="H115:M115"/>
    <mergeCell ref="B113:G113"/>
    <mergeCell ref="B114:G114"/>
    <mergeCell ref="N114:S114"/>
    <mergeCell ref="Q94:AE94"/>
    <mergeCell ref="Q95:AE95"/>
    <mergeCell ref="N115:S115"/>
    <mergeCell ref="T115:Y115"/>
    <mergeCell ref="T114:Y114"/>
    <mergeCell ref="C94:L94"/>
    <mergeCell ref="M94:N94"/>
    <mergeCell ref="O96:P96"/>
    <mergeCell ref="Q96:AE96"/>
    <mergeCell ref="B82:G82"/>
    <mergeCell ref="H81:M81"/>
    <mergeCell ref="N82:S82"/>
    <mergeCell ref="B85:G85"/>
    <mergeCell ref="H85:M85"/>
    <mergeCell ref="N85:S85"/>
    <mergeCell ref="T85:Y85"/>
    <mergeCell ref="Z85:AE85"/>
    <mergeCell ref="Z88:AE88"/>
    <mergeCell ref="B89:G89"/>
    <mergeCell ref="H89:M89"/>
    <mergeCell ref="N89:S89"/>
    <mergeCell ref="T89:Y89"/>
    <mergeCell ref="Z89:AE89"/>
    <mergeCell ref="N123:S123"/>
    <mergeCell ref="M95:N95"/>
    <mergeCell ref="O95:P95"/>
    <mergeCell ref="C96:L96"/>
    <mergeCell ref="M97:N97"/>
    <mergeCell ref="O97:P97"/>
    <mergeCell ref="Q97:AE97"/>
    <mergeCell ref="O94:P94"/>
    <mergeCell ref="Z109:AE109"/>
    <mergeCell ref="T113:Y113"/>
    <mergeCell ref="Z113:AE113"/>
    <mergeCell ref="N81:S81"/>
    <mergeCell ref="T84:Y84"/>
    <mergeCell ref="C93:L93"/>
    <mergeCell ref="M93:N93"/>
    <mergeCell ref="O93:P93"/>
    <mergeCell ref="C92:L92"/>
    <mergeCell ref="M92:N92"/>
    <mergeCell ref="C91:K91"/>
    <mergeCell ref="M91:N91"/>
    <mergeCell ref="Q92:AE92"/>
    <mergeCell ref="Q93:AE93"/>
    <mergeCell ref="O92:P92"/>
    <mergeCell ref="A109:Y109"/>
    <mergeCell ref="A110:Y110"/>
    <mergeCell ref="A111:Y111"/>
    <mergeCell ref="C97:L97"/>
    <mergeCell ref="M96:N96"/>
    <mergeCell ref="Z81:AE81"/>
    <mergeCell ref="Z82:AE82"/>
    <mergeCell ref="Q91:AE91"/>
    <mergeCell ref="Z83:AE83"/>
    <mergeCell ref="T73:Y73"/>
    <mergeCell ref="Z75:AE75"/>
    <mergeCell ref="N73:S73"/>
    <mergeCell ref="Z68:AE68"/>
    <mergeCell ref="H74:M74"/>
    <mergeCell ref="T74:Y74"/>
    <mergeCell ref="T75:Y75"/>
    <mergeCell ref="N80:S80"/>
    <mergeCell ref="H79:M79"/>
    <mergeCell ref="N41:S41"/>
    <mergeCell ref="T41:Y41"/>
    <mergeCell ref="Z46:AE46"/>
    <mergeCell ref="C54:L54"/>
    <mergeCell ref="N46:S46"/>
    <mergeCell ref="Q53:AE53"/>
    <mergeCell ref="N78:S78"/>
    <mergeCell ref="Z74:AE74"/>
    <mergeCell ref="N75:S75"/>
    <mergeCell ref="Q58:AE58"/>
    <mergeCell ref="T78:Y78"/>
    <mergeCell ref="B79:G79"/>
    <mergeCell ref="T77:Y77"/>
    <mergeCell ref="H80:M80"/>
    <mergeCell ref="N77:S77"/>
    <mergeCell ref="B75:G75"/>
    <mergeCell ref="B74:G74"/>
    <mergeCell ref="H76:M76"/>
    <mergeCell ref="H73:M73"/>
    <mergeCell ref="N74:S74"/>
    <mergeCell ref="T80:Y80"/>
    <mergeCell ref="Z77:AE77"/>
    <mergeCell ref="M57:N57"/>
    <mergeCell ref="H39:M39"/>
    <mergeCell ref="Z79:AE79"/>
    <mergeCell ref="A68:Y68"/>
    <mergeCell ref="T76:Y76"/>
    <mergeCell ref="A83:A84"/>
    <mergeCell ref="B83:G83"/>
    <mergeCell ref="H83:M83"/>
    <mergeCell ref="N83:S83"/>
    <mergeCell ref="B84:G84"/>
    <mergeCell ref="H84:M84"/>
    <mergeCell ref="N84:S84"/>
    <mergeCell ref="O57:P57"/>
    <mergeCell ref="Q57:AE57"/>
    <mergeCell ref="C57:L57"/>
    <mergeCell ref="Z69:AE70"/>
    <mergeCell ref="H72:M72"/>
    <mergeCell ref="B72:G72"/>
    <mergeCell ref="Z76:AE76"/>
    <mergeCell ref="A73:A74"/>
    <mergeCell ref="N72:S72"/>
    <mergeCell ref="N79:S79"/>
    <mergeCell ref="Z80:AE80"/>
    <mergeCell ref="H82:M82"/>
    <mergeCell ref="T72:Y72"/>
    <mergeCell ref="Z72:AE72"/>
    <mergeCell ref="A81:A82"/>
    <mergeCell ref="A79:A80"/>
    <mergeCell ref="A75:A76"/>
    <mergeCell ref="Z73:AE73"/>
    <mergeCell ref="T81:Y81"/>
    <mergeCell ref="T82:Y82"/>
    <mergeCell ref="T79:Y79"/>
    <mergeCell ref="H75:M75"/>
    <mergeCell ref="H78:M78"/>
    <mergeCell ref="N76:S76"/>
    <mergeCell ref="H47:M47"/>
    <mergeCell ref="N47:S47"/>
    <mergeCell ref="T47:Y47"/>
    <mergeCell ref="Z47:AE47"/>
    <mergeCell ref="B48:G48"/>
    <mergeCell ref="H48:M48"/>
    <mergeCell ref="N48:S48"/>
    <mergeCell ref="T48:Y48"/>
    <mergeCell ref="Z48:AE48"/>
    <mergeCell ref="M55:N55"/>
    <mergeCell ref="A49:A50"/>
    <mergeCell ref="B49:G49"/>
    <mergeCell ref="C52:K52"/>
    <mergeCell ref="Z118:AE118"/>
    <mergeCell ref="B86:G86"/>
    <mergeCell ref="H86:M86"/>
    <mergeCell ref="N86:S86"/>
    <mergeCell ref="T86:Y86"/>
    <mergeCell ref="Z86:AE86"/>
    <mergeCell ref="B87:G87"/>
    <mergeCell ref="H87:M87"/>
    <mergeCell ref="N87:S87"/>
    <mergeCell ref="T87:Y87"/>
    <mergeCell ref="Z87:AE87"/>
    <mergeCell ref="A88:A89"/>
    <mergeCell ref="B88:G88"/>
    <mergeCell ref="H88:M88"/>
    <mergeCell ref="N88:S88"/>
    <mergeCell ref="T88:Y88"/>
    <mergeCell ref="Z119:AE119"/>
    <mergeCell ref="Z120:AE120"/>
    <mergeCell ref="Z121:AE121"/>
    <mergeCell ref="A45:A46"/>
    <mergeCell ref="H46:M46"/>
    <mergeCell ref="B46:G46"/>
    <mergeCell ref="H49:M49"/>
    <mergeCell ref="N49:S49"/>
    <mergeCell ref="Z49:AE49"/>
    <mergeCell ref="B50:G50"/>
    <mergeCell ref="H50:M50"/>
    <mergeCell ref="N50:S50"/>
    <mergeCell ref="Z50:AE50"/>
    <mergeCell ref="C53:L53"/>
    <mergeCell ref="H42:M42"/>
    <mergeCell ref="H41:M41"/>
    <mergeCell ref="B42:G42"/>
    <mergeCell ref="M52:N52"/>
    <mergeCell ref="O52:P52"/>
    <mergeCell ref="Q52:AE52"/>
    <mergeCell ref="Z42:AE42"/>
    <mergeCell ref="B41:G41"/>
    <mergeCell ref="Z43:AE43"/>
    <mergeCell ref="Z44:AE44"/>
    <mergeCell ref="H44:M44"/>
    <mergeCell ref="A47:A48"/>
    <mergeCell ref="B47:G47"/>
    <mergeCell ref="B78:G78"/>
    <mergeCell ref="Z78:AE78"/>
    <mergeCell ref="A69:Y69"/>
    <mergeCell ref="A70:Y70"/>
    <mergeCell ref="A86:A87"/>
  </mergeCells>
  <dataValidations count="13">
    <dataValidation type="list" allowBlank="1" showInputMessage="1" showErrorMessage="1" sqref="M20:N20 M52:N52 M127:N127 M91:N91 M167:N167 M201:N201 M235:N235 M269:N269 M336:N336 M302:N302" xr:uid="{00000000-0002-0000-0300-000000000000}">
      <formula1>Asignaturas2</formula1>
    </dataValidation>
    <dataValidation type="list" allowBlank="1" showInputMessage="1" showErrorMessage="1" sqref="A3:Y3 A320:Y320 A286:Y286 A253:Y253 A219:Y219 A185:Y185 A146:Y146 A111:Y111 A70:Y70 A36:Y36" xr:uid="{00000000-0002-0000-0300-000001000000}">
      <formula1>GRUPO</formula1>
    </dataValidation>
    <dataValidation type="list" allowBlank="1" showInputMessage="1" showErrorMessage="1" sqref="A4 A147 A37 A71 A112 A186 A220 A254 A287 A321" xr:uid="{00000000-0002-0000-0300-000002000000}">
      <formula1>GIM</formula1>
    </dataValidation>
    <dataValidation type="list" allowBlank="1" showInputMessage="1" showErrorMessage="1" sqref="A21:A25" xr:uid="{00000000-0002-0000-0300-000003000000}">
      <formula1>INDIRECT($A$4)</formula1>
    </dataValidation>
    <dataValidation type="list" allowBlank="1" showInputMessage="1" showErrorMessage="1" sqref="Z2:AE3 Z35:AE36 Z69:AE70 Z110:AE111 B156:AE156 B334:AE334 Z145:AE146 Z184:AE185 B154:AE154 B121:AE121 B195:AE195 B74:AE74 B40:AE40 B267:AE267 B189:AE189 Z218:AE219 Z252:AE253 B197:AE197 B158:AE158 B199:AE199 B115:AE115 B11:AE11 B229:AE229 B42:AE42 B17:AE17 B152:AE152 Z319:AE320 B46:AE46 B193:AE193 B265:AE265 B223:AE223 B76:AE76 B292:AE292 B191:AE191 Z285:AE286 B225:AE225 B290:Y290 AG300:BJ300 B326:AE326 B324:AE324 AG298:BJ298 AG296:BJ296 AG292:BJ292 AG294:BJ294 AG290:BJ290 B150:S150 B13:AE13 H300:AE300 B9:AE9 AK262:AP262 AK260:AP260 B296:AE296 B231:AE231 B298:AE298 B233:AE233 B227:AE227 B294:AE294 B117:AE117 Z150:AE150 B328:AE328 B261:AE261 B263:AE263 B257:AE257 B78:AE78 B50:S50 Z50:AE50 B15:AE15 B80:AE80 B48:AE48 B44:AE44 B7:AE7 B89:AE89 B82:AE82 B123:AE123 B119:AE119 B125:AE125 B332:AE332 B259:AE259 B165:AE165 B87:AE87 B160:AE160 B163:S163 Z163:AE163 B84:AE84 B330:AE330" xr:uid="{00000000-0002-0000-0300-000004000000}">
      <formula1>AULAS</formula1>
    </dataValidation>
    <dataValidation type="list" allowBlank="1" showInputMessage="1" showErrorMessage="1" sqref="A188:A199 A222:A233 A39:A50 A114:A125 A86:A89 A323:A334 A256:A267 A289:A300 A6:A17 A73:A84 A149:A160 A162:A165" xr:uid="{00000000-0002-0000-0300-000005000000}">
      <formula1>HORARIO</formula1>
    </dataValidation>
    <dataValidation type="list" allowBlank="1" showInputMessage="1" showErrorMessage="1" sqref="A31 A63:A67 A179 A212 A103:A108 A138:A141 A247 A280 A314 A347" xr:uid="{00000000-0002-0000-0300-000006000000}">
      <formula1>notas</formula1>
    </dataValidation>
    <dataValidation type="list" allowBlank="1" showInputMessage="1" showErrorMessage="1" sqref="H122:M122 Z14:AE14 Z120:AE120 Z124:AE124 H49:M49 Z116:AE116 Z8:AE8 H124:M124 Z6:AE6 Z118:AE118 Z114:AE114 Z10:AE10 Z12:AE12 Z16:AE16 Z122:AE122" xr:uid="{00000000-0002-0000-0300-000007000000}">
      <formula1>DGME_1</formula1>
    </dataValidation>
    <dataValidation type="list" allowBlank="1" showInputMessage="1" showErrorMessage="1" sqref="N124:S124" xr:uid="{00000000-0002-0000-0300-000009000000}">
      <formula1>$J$277:$J$282</formula1>
    </dataValidation>
    <dataValidation type="list" allowBlank="1" showInputMessage="1" showErrorMessage="1" sqref="T83:Y83 T81:Y81" xr:uid="{00000000-0002-0000-0300-00000A000000}">
      <formula1>$I$277:$I$283</formula1>
    </dataValidation>
    <dataValidation type="list" allowBlank="1" showInputMessage="1" showErrorMessage="1" sqref="N122:S122" xr:uid="{00000000-0002-0000-0300-00000B000000}">
      <formula1>$J$278:$J$283</formula1>
    </dataValidation>
    <dataValidation type="list" allowBlank="1" showInputMessage="1" showErrorMessage="1" sqref="M207:N207" xr:uid="{00000000-0002-0000-0300-00000D000000}">
      <formula1>$F$269:$F$273</formula1>
    </dataValidation>
    <dataValidation type="list" allowBlank="1" showInputMessage="1" showErrorMessage="1" sqref="M241:N241 M308:N308" xr:uid="{00000000-0002-0000-0300-000011000000}">
      <formula1>$F$281:$F$286</formula1>
    </dataValidation>
  </dataValidations>
  <pageMargins left="0.45" right="0.24" top="0.94" bottom="0.86614173228346458" header="0.27559055118110237" footer="0"/>
  <pageSetup paperSize="9" scale="64" orientation="portrait" r:id="rId1"/>
  <headerFooter alignWithMargins="0">
    <oddHeader>&amp;C&amp;"Arial Narrow,Negrita"&amp;18ESCUELA POLITECNICA SUPERIOR&amp;"Arial,Normal"&amp;10
&amp;"Arial Narrow,Negrita"&amp;16Campus Vena&amp;R&amp;"Chiller,Normal"&amp;24&amp;K05-044&amp;A</oddHeader>
    <oddFooter>&amp;L&amp;12ESCUELA POLITECNICA SUPERIOR - Campus Vena&amp;11
&amp;9SUBDIRECCION  DE  ORDENACION  ACADEMICA Y PROFESORADO&amp;R&amp;12&amp;D</oddFooter>
  </headerFooter>
  <rowBreaks count="9" manualBreakCount="9">
    <brk id="33" max="16383" man="1"/>
    <brk id="67" max="16383" man="1"/>
    <brk id="108" max="30" man="1"/>
    <brk id="143" max="16383" man="1"/>
    <brk id="182" max="16383" man="1"/>
    <brk id="216" max="30" man="1"/>
    <brk id="250" max="30" man="1"/>
    <brk id="283" max="30" man="1"/>
    <brk id="317" max="30" man="1"/>
  </rowBreaks>
  <extLst>
    <ext xmlns:x14="http://schemas.microsoft.com/office/spreadsheetml/2009/9/main" uri="{CCE6A557-97BC-4b89-ADB6-D9C93CAAB3DF}">
      <x14:dataValidations xmlns:xm="http://schemas.microsoft.com/office/excel/2006/main" count="21">
        <x14:dataValidation type="list" allowBlank="1" showInputMessage="1" showErrorMessage="1" xr:uid="{00000000-0002-0000-0300-000008000000}">
          <x14:formula1>
            <xm:f>ASIGNATURAS!$H$264:$H$269</xm:f>
          </x14:formula1>
          <xm:sqref>A133 A207 B41:AE41 Z49:AE49 B39:AE39 B49:G49 B45:AE45 B47:AE47 B43:AE43 N49:S49 A53:A58</xm:sqref>
        </x14:dataValidation>
        <x14:dataValidation type="list" allowBlank="1" showInputMessage="1" showErrorMessage="1" xr:uid="{00000000-0002-0000-0300-00000C000000}">
          <x14:formula1>
            <xm:f>ASIGNATURAS!$H$270:$H$275</xm:f>
          </x14:formula1>
          <xm:sqref>Z81:AE81 A92:A97 B81:S81 B77:AE77 B88:AE88 B86:AE86 B79:AE79 B83:S83 B75:AE75 Z83:AE83 B73:AE73</xm:sqref>
        </x14:dataValidation>
        <x14:dataValidation type="list" allowBlank="1" showInputMessage="1" showErrorMessage="1" xr:uid="{00000000-0002-0000-0300-00000F000000}">
          <x14:formula1>
            <xm:f>ASIGNATURAS!$H$281:$H$286</xm:f>
          </x14:formula1>
          <xm:sqref>Z149:AE149 B157:AE157 A241 B162:S162 B155:AE155 B159:AE159 A308 B153:AE153 A168:A173 Z162:AE162 B151:AE151 B164:AE164 B149:S149</xm:sqref>
        </x14:dataValidation>
        <x14:dataValidation type="list" allowBlank="1" showInputMessage="1" showErrorMessage="1" xr:uid="{00000000-0002-0000-0300-000010000000}">
          <x14:formula1>
            <xm:f>ASIGNATURAS!$H$287:$H$291</xm:f>
          </x14:formula1>
          <xm:sqref>B198:AE198 B192:AE192 B194:AE194 B190:AE190 B188:AE188 A202:A206 B196:AE196</xm:sqref>
        </x14:dataValidation>
        <x14:dataValidation type="list" allowBlank="1" showInputMessage="1" showErrorMessage="1" xr:uid="{00000000-0002-0000-0300-000012000000}">
          <x14:formula1>
            <xm:f>ASIGNATURAS!$H$259:$H$263</xm:f>
          </x14:formula1>
          <xm:sqref>B12:Y12 B10:Y10 B8:Y8 B14:Y14 B16:Y16 B6:Y6</xm:sqref>
        </x14:dataValidation>
        <x14:dataValidation type="list" allowBlank="1" showInputMessage="1" showErrorMessage="1" xr:uid="{00000000-0002-0000-0300-000013000000}">
          <x14:formula1>
            <xm:f>ASIGNATURAS!$H$292:$H$296</xm:f>
          </x14:formula1>
          <xm:sqref>B224:AE224 B222:AE222 B230 B232:AE232 H230:AE230 N228:AE228 B228:H228 A236:A240 B226:AE226</xm:sqref>
        </x14:dataValidation>
        <x14:dataValidation type="list" allowBlank="1" showInputMessage="1" showErrorMessage="1" xr:uid="{00000000-0002-0000-0300-000014000000}">
          <x14:formula1>
            <xm:f>ASIGNATURAS!$H$297:$H$302</xm:f>
          </x14:formula1>
          <xm:sqref>AJ264:AO264 B264:T264 A270:A275 B258:AE258 B262:AE262 B260:AE260 B256:AE256 AK261:AP261 B266:AE266 A338:A342 Z264</xm:sqref>
        </x14:dataValidation>
        <x14:dataValidation type="list" allowBlank="1" showInputMessage="1" showErrorMessage="1" xr:uid="{00000000-0002-0000-0300-000015000000}">
          <x14:formula1>
            <xm:f>ASIGNATURAS!$H$303:$H$307</xm:f>
          </x14:formula1>
          <xm:sqref>AG297:BJ297 AG295:BJ295 B295:AE295 B293:AE293 B289:Y289 B291:AE291 B297:AE297 H299:AE299 AG291:BJ291 AG293:BJ293 AG299:BJ299 A303:A307 AG289:BJ289</xm:sqref>
        </x14:dataValidation>
        <x14:dataValidation type="list" allowBlank="1" showInputMessage="1" showErrorMessage="1" xr:uid="{00000000-0002-0000-0300-000016000000}">
          <x14:formula1>
            <xm:f>ASIGNATURAS!$H$308:$H$311</xm:f>
          </x14:formula1>
          <xm:sqref>B327:AE327 B333:AE333 B329:AE329 B325:AE325 B323:AE323 A337 B331:AE331</xm:sqref>
        </x14:dataValidation>
        <x14:dataValidation type="list" allowBlank="1" showInputMessage="1" showErrorMessage="1" xr:uid="{00000000-0002-0000-0300-000018000000}">
          <x14:formula1>
            <xm:f>ASIGNATURAS!$H$276:$H$280</xm:f>
          </x14:formula1>
          <xm:sqref>B124:G124 B122:G122 B116:Y116 B114:Y114 T124:Y124 B120:Y120 T122:Y122 B118:Y118</xm:sqref>
        </x14:dataValidation>
        <x14:dataValidation type="list" allowBlank="1" showInputMessage="1" showErrorMessage="1" xr:uid="{00000000-0002-0000-0300-00001A000000}">
          <x14:formula1>
            <xm:f>ASIGNATURAS!$F$259:$F$263</xm:f>
          </x14:formula1>
          <xm:sqref>M21:N25</xm:sqref>
        </x14:dataValidation>
        <x14:dataValidation type="list" allowBlank="1" showInputMessage="1" showErrorMessage="1" xr:uid="{00000000-0002-0000-0300-00001B000000}">
          <x14:formula1>
            <xm:f>ASIGNATURAS!$F$264:$F$269</xm:f>
          </x14:formula1>
          <xm:sqref>M53:N58</xm:sqref>
        </x14:dataValidation>
        <x14:dataValidation type="list" allowBlank="1" showInputMessage="1" showErrorMessage="1" xr:uid="{00000000-0002-0000-0300-00001C000000}">
          <x14:formula1>
            <xm:f>ASIGNATURAS!$F$276:$F$280</xm:f>
          </x14:formula1>
          <xm:sqref>M128:N133</xm:sqref>
        </x14:dataValidation>
        <x14:dataValidation type="list" allowBlank="1" showInputMessage="1" showErrorMessage="1" xr:uid="{00000000-0002-0000-0300-00001D000000}">
          <x14:formula1>
            <xm:f>ASIGNATURAS!$F$270:$F$275</xm:f>
          </x14:formula1>
          <xm:sqref>M92:N97</xm:sqref>
        </x14:dataValidation>
        <x14:dataValidation type="list" allowBlank="1" showInputMessage="1" showErrorMessage="1" xr:uid="{00000000-0002-0000-0300-000020000000}">
          <x14:formula1>
            <xm:f>ASIGNATURAS!$F$281:$F$286</xm:f>
          </x14:formula1>
          <xm:sqref>M168:N173</xm:sqref>
        </x14:dataValidation>
        <x14:dataValidation type="list" allowBlank="1" showInputMessage="1" showErrorMessage="1" xr:uid="{00000000-0002-0000-0300-000021000000}">
          <x14:formula1>
            <xm:f>ASIGNATURAS!$F$287:$F$291</xm:f>
          </x14:formula1>
          <xm:sqref>M202:N206</xm:sqref>
        </x14:dataValidation>
        <x14:dataValidation type="list" allowBlank="1" showInputMessage="1" showErrorMessage="1" xr:uid="{00000000-0002-0000-0300-000024000000}">
          <x14:formula1>
            <xm:f>ASIGNATURAS!$F$292:$F$296</xm:f>
          </x14:formula1>
          <xm:sqref>M236:N240</xm:sqref>
        </x14:dataValidation>
        <x14:dataValidation type="list" allowBlank="1" showInputMessage="1" showErrorMessage="1" xr:uid="{00000000-0002-0000-0300-000026000000}">
          <x14:formula1>
            <xm:f>ASIGNATURAS!$F$297:$F$302</xm:f>
          </x14:formula1>
          <xm:sqref>M270:N275</xm:sqref>
        </x14:dataValidation>
        <x14:dataValidation type="list" allowBlank="1" showInputMessage="1" showErrorMessage="1" xr:uid="{00000000-0002-0000-0300-000029000000}">
          <x14:formula1>
            <xm:f>ASIGNATURAS!$F$308:$F$311</xm:f>
          </x14:formula1>
          <xm:sqref>M337:N342</xm:sqref>
        </x14:dataValidation>
        <x14:dataValidation type="list" allowBlank="1" showInputMessage="1" showErrorMessage="1" xr:uid="{00000000-0002-0000-0300-00002B000000}">
          <x14:formula1>
            <xm:f>ASIGNATURAS!$F$303:$F$308</xm:f>
          </x14:formula1>
          <xm:sqref>M303:N307</xm:sqref>
        </x14:dataValidation>
        <x14:dataValidation type="list" allowBlank="1" showInputMessage="1" showErrorMessage="1" xr:uid="{00000000-0002-0000-0300-00002C000000}">
          <x14:formula1>
            <xm:f>ASIGNATURAS!$J$314:$J$321</xm:f>
          </x14:formula1>
          <xm:sqref>A128:A132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D60"/>
  <sheetViews>
    <sheetView view="pageBreakPreview" topLeftCell="A35" zoomScale="70" zoomScaleNormal="80" zoomScaleSheetLayoutView="70" zoomScalePageLayoutView="70" workbookViewId="0">
      <selection activeCell="BB48" sqref="BB48:BB50"/>
    </sheetView>
  </sheetViews>
  <sheetFormatPr baseColWidth="10" defaultRowHeight="13.2" x14ac:dyDescent="0.25"/>
  <cols>
    <col min="1" max="1" width="15.6640625" customWidth="1"/>
    <col min="2" max="21" width="3.6640625" customWidth="1"/>
    <col min="22" max="22" width="3.88671875" customWidth="1"/>
    <col min="23" max="55" width="3.6640625" customWidth="1"/>
    <col min="56" max="244" width="9.109375" customWidth="1"/>
  </cols>
  <sheetData>
    <row r="1" spans="1:55" s="1" customFormat="1" ht="31.5" customHeight="1" thickBot="1" x14ac:dyDescent="0.45">
      <c r="A1" s="1094" t="str">
        <f>VLOOKUP(A4,ASIGNATURAS!$A$2:$D$151, 3, FALSE)</f>
        <v>1º Grado en Ingeniería Informática</v>
      </c>
      <c r="B1" s="1095"/>
      <c r="C1" s="1095"/>
      <c r="D1" s="1095"/>
      <c r="E1" s="1095"/>
      <c r="F1" s="1095"/>
      <c r="G1" s="1095"/>
      <c r="H1" s="1095"/>
      <c r="I1" s="1095"/>
      <c r="J1" s="1095"/>
      <c r="K1" s="1095"/>
      <c r="L1" s="1095"/>
      <c r="M1" s="1095"/>
      <c r="N1" s="1095"/>
      <c r="O1" s="1095"/>
      <c r="P1" s="1095"/>
      <c r="Q1" s="1095"/>
      <c r="R1" s="1095"/>
      <c r="S1" s="1095"/>
      <c r="T1" s="1095"/>
      <c r="U1" s="1095"/>
      <c r="V1" s="1095"/>
      <c r="W1" s="1095"/>
      <c r="X1" s="1095"/>
      <c r="Y1" s="1095"/>
      <c r="Z1" s="1095"/>
      <c r="AA1" s="1095"/>
      <c r="AB1" s="1095"/>
      <c r="AC1" s="1095"/>
      <c r="AD1" s="1095"/>
      <c r="AE1" s="1095"/>
      <c r="AF1" s="1095"/>
      <c r="AG1" s="1095"/>
      <c r="AH1" s="1095"/>
      <c r="AI1" s="1095"/>
      <c r="AJ1" s="1095"/>
      <c r="AK1" s="1095"/>
      <c r="AL1" s="1095"/>
      <c r="AM1" s="1095"/>
      <c r="AN1" s="1095"/>
      <c r="AO1" s="1095"/>
      <c r="AP1" s="1095"/>
      <c r="AQ1" s="1095"/>
      <c r="AR1" s="1095"/>
      <c r="AS1" s="1096"/>
      <c r="AT1" s="1076" t="str">
        <f>Aulas!G5</f>
        <v>Curso 2024-2025</v>
      </c>
      <c r="AU1" s="1077"/>
      <c r="AV1" s="1077"/>
      <c r="AW1" s="1077"/>
      <c r="AX1" s="1077"/>
      <c r="AY1" s="1077"/>
      <c r="AZ1" s="1077"/>
      <c r="BA1" s="1077"/>
      <c r="BB1" s="1077"/>
      <c r="BC1" s="1078"/>
    </row>
    <row r="2" spans="1:55" s="8" customFormat="1" ht="23.25" customHeight="1" thickBot="1" x14ac:dyDescent="0.45">
      <c r="A2" s="1083" t="str">
        <f>VLOOKUP(A4,ASIGNATURAS!$A$2:$D$151, 2, FALSE)</f>
        <v>Semestre temporal: 1º        (1º Semestre Académico)</v>
      </c>
      <c r="B2" s="1084"/>
      <c r="C2" s="1084"/>
      <c r="D2" s="1084"/>
      <c r="E2" s="1084"/>
      <c r="F2" s="1084"/>
      <c r="G2" s="1084"/>
      <c r="H2" s="1084"/>
      <c r="I2" s="1084"/>
      <c r="J2" s="1084"/>
      <c r="K2" s="1084"/>
      <c r="L2" s="1084"/>
      <c r="M2" s="1084"/>
      <c r="N2" s="1084"/>
      <c r="O2" s="1084"/>
      <c r="P2" s="1084"/>
      <c r="Q2" s="1084"/>
      <c r="R2" s="1084"/>
      <c r="S2" s="1084"/>
      <c r="T2" s="1084"/>
      <c r="U2" s="1084"/>
      <c r="V2" s="1084"/>
      <c r="W2" s="1084"/>
      <c r="X2" s="1084"/>
      <c r="Y2" s="1084"/>
      <c r="Z2" s="1084"/>
      <c r="AA2" s="1084"/>
      <c r="AB2" s="1084"/>
      <c r="AC2" s="1084"/>
      <c r="AD2" s="1084"/>
      <c r="AE2" s="1084"/>
      <c r="AF2" s="1084"/>
      <c r="AG2" s="1084"/>
      <c r="AH2" s="1084"/>
      <c r="AI2" s="1084"/>
      <c r="AJ2" s="1084"/>
      <c r="AK2" s="1084"/>
      <c r="AL2" s="1084"/>
      <c r="AM2" s="1084"/>
      <c r="AN2" s="1084"/>
      <c r="AO2" s="1084"/>
      <c r="AP2" s="1084"/>
      <c r="AQ2" s="1084"/>
      <c r="AR2" s="1084"/>
      <c r="AS2" s="1085"/>
      <c r="AT2" s="2383" t="s">
        <v>1257</v>
      </c>
      <c r="AU2" s="2383"/>
      <c r="AV2" s="2383"/>
      <c r="AW2" s="2383"/>
      <c r="AX2" s="2383"/>
      <c r="AY2" s="2383"/>
      <c r="AZ2" s="2383"/>
      <c r="BA2" s="2383"/>
      <c r="BB2" s="2383"/>
      <c r="BC2" s="2384"/>
    </row>
    <row r="3" spans="1:55" s="8" customFormat="1" ht="23.25" customHeight="1" thickBot="1" x14ac:dyDescent="0.45">
      <c r="A3" s="1083" t="s">
        <v>142</v>
      </c>
      <c r="B3" s="1084"/>
      <c r="C3" s="1084"/>
      <c r="D3" s="1084"/>
      <c r="E3" s="1084"/>
      <c r="F3" s="1084"/>
      <c r="G3" s="1084"/>
      <c r="H3" s="1084"/>
      <c r="I3" s="1084"/>
      <c r="J3" s="1084"/>
      <c r="K3" s="1084"/>
      <c r="L3" s="1084"/>
      <c r="M3" s="1084"/>
      <c r="N3" s="1084"/>
      <c r="O3" s="1084"/>
      <c r="P3" s="1084"/>
      <c r="Q3" s="1084"/>
      <c r="R3" s="1084"/>
      <c r="S3" s="1084"/>
      <c r="T3" s="1084"/>
      <c r="U3" s="1084"/>
      <c r="V3" s="1084"/>
      <c r="W3" s="1084"/>
      <c r="X3" s="1084"/>
      <c r="Y3" s="1084"/>
      <c r="Z3" s="1084"/>
      <c r="AA3" s="1084"/>
      <c r="AB3" s="1084"/>
      <c r="AC3" s="1084"/>
      <c r="AD3" s="1084"/>
      <c r="AE3" s="1084"/>
      <c r="AF3" s="1084"/>
      <c r="AG3" s="1084"/>
      <c r="AH3" s="1084"/>
      <c r="AI3" s="1084"/>
      <c r="AJ3" s="1084"/>
      <c r="AK3" s="1084"/>
      <c r="AL3" s="1084"/>
      <c r="AM3" s="1084"/>
      <c r="AN3" s="1084"/>
      <c r="AO3" s="1084"/>
      <c r="AP3" s="1084"/>
      <c r="AQ3" s="1084"/>
      <c r="AR3" s="1084"/>
      <c r="AS3" s="1085"/>
      <c r="AT3" s="2385"/>
      <c r="AU3" s="2385"/>
      <c r="AV3" s="2385"/>
      <c r="AW3" s="2385"/>
      <c r="AX3" s="2385"/>
      <c r="AY3" s="2385"/>
      <c r="AZ3" s="2385"/>
      <c r="BA3" s="2385"/>
      <c r="BB3" s="2385"/>
      <c r="BC3" s="2386"/>
    </row>
    <row r="4" spans="1:55" ht="24" customHeight="1" thickBot="1" x14ac:dyDescent="0.3">
      <c r="A4" s="9" t="s">
        <v>67</v>
      </c>
    </row>
    <row r="5" spans="1:55" s="2" customFormat="1" ht="24" customHeight="1" thickBot="1" x14ac:dyDescent="0.3">
      <c r="A5" s="19" t="s">
        <v>1</v>
      </c>
      <c r="B5" s="1076" t="s">
        <v>2</v>
      </c>
      <c r="C5" s="1077"/>
      <c r="D5" s="1077"/>
      <c r="E5" s="1077"/>
      <c r="F5" s="1077"/>
      <c r="G5" s="1077"/>
      <c r="H5" s="1077"/>
      <c r="I5" s="1077"/>
      <c r="J5" s="1077"/>
      <c r="K5" s="1077"/>
      <c r="L5" s="1077"/>
      <c r="M5" s="1078"/>
      <c r="N5" s="1091" t="s">
        <v>3</v>
      </c>
      <c r="O5" s="1092"/>
      <c r="P5" s="1092"/>
      <c r="Q5" s="1092"/>
      <c r="R5" s="1092"/>
      <c r="S5" s="1092"/>
      <c r="T5" s="1092"/>
      <c r="U5" s="1092"/>
      <c r="V5" s="1092"/>
      <c r="W5" s="1092"/>
      <c r="X5" s="1092"/>
      <c r="Y5" s="1093"/>
      <c r="Z5" s="1076" t="s">
        <v>139</v>
      </c>
      <c r="AA5" s="1077"/>
      <c r="AB5" s="1077"/>
      <c r="AC5" s="1077"/>
      <c r="AD5" s="1077"/>
      <c r="AE5" s="1077"/>
      <c r="AF5" s="1077"/>
      <c r="AG5" s="1077"/>
      <c r="AH5" s="1077"/>
      <c r="AI5" s="1078"/>
      <c r="AJ5" s="1076" t="s">
        <v>4</v>
      </c>
      <c r="AK5" s="1077"/>
      <c r="AL5" s="1077"/>
      <c r="AM5" s="1077"/>
      <c r="AN5" s="1077"/>
      <c r="AO5" s="1077"/>
      <c r="AP5" s="1077"/>
      <c r="AQ5" s="1077"/>
      <c r="AR5" s="1077"/>
      <c r="AS5" s="1078"/>
      <c r="AT5" s="1076" t="s">
        <v>5</v>
      </c>
      <c r="AU5" s="1077"/>
      <c r="AV5" s="1077"/>
      <c r="AW5" s="1077"/>
      <c r="AX5" s="1077"/>
      <c r="AY5" s="1077"/>
      <c r="AZ5" s="1077"/>
      <c r="BA5" s="1077"/>
      <c r="BB5" s="1077"/>
      <c r="BC5" s="1078"/>
    </row>
    <row r="6" spans="1:55" ht="32.25" customHeight="1" x14ac:dyDescent="0.25">
      <c r="A6" s="966" t="s">
        <v>10</v>
      </c>
      <c r="B6" s="2367" t="s">
        <v>944</v>
      </c>
      <c r="C6" s="2368"/>
      <c r="D6" s="2368"/>
      <c r="E6" s="2368"/>
      <c r="F6" s="2368"/>
      <c r="G6" s="2368"/>
      <c r="H6" s="2368"/>
      <c r="I6" s="2368"/>
      <c r="J6" s="2365" t="s">
        <v>153</v>
      </c>
      <c r="K6" s="2365"/>
      <c r="L6" s="2366"/>
      <c r="M6" s="107">
        <v>1</v>
      </c>
      <c r="N6" s="2367" t="s">
        <v>1173</v>
      </c>
      <c r="O6" s="2368"/>
      <c r="P6" s="2368"/>
      <c r="Q6" s="2368"/>
      <c r="R6" s="2368"/>
      <c r="S6" s="2368"/>
      <c r="T6" s="2368"/>
      <c r="U6" s="2368"/>
      <c r="V6" s="2365" t="s">
        <v>153</v>
      </c>
      <c r="W6" s="2365"/>
      <c r="X6" s="2366"/>
      <c r="Y6" s="107">
        <v>1</v>
      </c>
      <c r="Z6" s="2367" t="s">
        <v>949</v>
      </c>
      <c r="AA6" s="2368"/>
      <c r="AB6" s="2368"/>
      <c r="AC6" s="2368"/>
      <c r="AD6" s="2368"/>
      <c r="AE6" s="2368"/>
      <c r="AF6" s="2365" t="s">
        <v>153</v>
      </c>
      <c r="AG6" s="2365"/>
      <c r="AH6" s="2366"/>
      <c r="AI6" s="107">
        <v>1</v>
      </c>
      <c r="AJ6" s="2367" t="s">
        <v>528</v>
      </c>
      <c r="AK6" s="2368"/>
      <c r="AL6" s="2368"/>
      <c r="AM6" s="2368"/>
      <c r="AN6" s="2368"/>
      <c r="AO6" s="2368"/>
      <c r="AP6" s="2365" t="s">
        <v>153</v>
      </c>
      <c r="AQ6" s="2365"/>
      <c r="AR6" s="2366"/>
      <c r="AS6" s="107">
        <v>1</v>
      </c>
      <c r="AT6" s="2367" t="s">
        <v>928</v>
      </c>
      <c r="AU6" s="2368"/>
      <c r="AV6" s="2368"/>
      <c r="AW6" s="2368"/>
      <c r="AX6" s="2368"/>
      <c r="AY6" s="2368"/>
      <c r="AZ6" s="2365" t="s">
        <v>153</v>
      </c>
      <c r="BA6" s="2365"/>
      <c r="BB6" s="2366"/>
      <c r="BC6" s="107">
        <v>1</v>
      </c>
    </row>
    <row r="7" spans="1:55" ht="32.25" customHeight="1" thickBot="1" x14ac:dyDescent="0.3">
      <c r="A7" s="935"/>
      <c r="B7" s="2372" t="s">
        <v>528</v>
      </c>
      <c r="C7" s="2373"/>
      <c r="D7" s="2373"/>
      <c r="E7" s="2373"/>
      <c r="F7" s="2373"/>
      <c r="G7" s="2373"/>
      <c r="H7" s="2373"/>
      <c r="I7" s="2373"/>
      <c r="J7" s="2374" t="s">
        <v>563</v>
      </c>
      <c r="K7" s="2374"/>
      <c r="L7" s="2375"/>
      <c r="M7" s="906">
        <v>2</v>
      </c>
      <c r="N7" s="2372" t="s">
        <v>949</v>
      </c>
      <c r="O7" s="2373"/>
      <c r="P7" s="2373"/>
      <c r="Q7" s="2373"/>
      <c r="R7" s="2373"/>
      <c r="S7" s="2373"/>
      <c r="T7" s="2373"/>
      <c r="U7" s="2373"/>
      <c r="V7" s="2374" t="s">
        <v>563</v>
      </c>
      <c r="W7" s="2374"/>
      <c r="X7" s="2375"/>
      <c r="Y7" s="906">
        <v>2</v>
      </c>
      <c r="Z7" s="2372" t="s">
        <v>1173</v>
      </c>
      <c r="AA7" s="2373"/>
      <c r="AB7" s="2373"/>
      <c r="AC7" s="2373"/>
      <c r="AD7" s="2373"/>
      <c r="AE7" s="2373"/>
      <c r="AF7" s="2374" t="s">
        <v>563</v>
      </c>
      <c r="AG7" s="2374"/>
      <c r="AH7" s="2375"/>
      <c r="AI7" s="906">
        <v>2</v>
      </c>
      <c r="AJ7" s="2372" t="s">
        <v>944</v>
      </c>
      <c r="AK7" s="2373"/>
      <c r="AL7" s="2373"/>
      <c r="AM7" s="2373"/>
      <c r="AN7" s="2373"/>
      <c r="AO7" s="2373"/>
      <c r="AP7" s="2374" t="s">
        <v>563</v>
      </c>
      <c r="AQ7" s="2374"/>
      <c r="AR7" s="2375"/>
      <c r="AS7" s="906">
        <v>2</v>
      </c>
      <c r="AT7" s="2372" t="s">
        <v>928</v>
      </c>
      <c r="AU7" s="2373"/>
      <c r="AV7" s="2373"/>
      <c r="AW7" s="2373"/>
      <c r="AX7" s="2373"/>
      <c r="AY7" s="2373"/>
      <c r="AZ7" s="2374" t="s">
        <v>563</v>
      </c>
      <c r="BA7" s="2374"/>
      <c r="BB7" s="2375"/>
      <c r="BC7" s="906">
        <v>2</v>
      </c>
    </row>
    <row r="8" spans="1:55" ht="32.25" customHeight="1" x14ac:dyDescent="0.25">
      <c r="A8" s="934" t="s">
        <v>11</v>
      </c>
      <c r="B8" s="2367" t="s">
        <v>949</v>
      </c>
      <c r="C8" s="2368"/>
      <c r="D8" s="2368"/>
      <c r="E8" s="2368"/>
      <c r="F8" s="2368"/>
      <c r="G8" s="2368"/>
      <c r="H8" s="2368"/>
      <c r="I8" s="2368"/>
      <c r="J8" s="2365" t="s">
        <v>153</v>
      </c>
      <c r="K8" s="2365"/>
      <c r="L8" s="2366"/>
      <c r="M8" s="107">
        <v>1</v>
      </c>
      <c r="N8" s="2367" t="s">
        <v>528</v>
      </c>
      <c r="O8" s="2368"/>
      <c r="P8" s="2368"/>
      <c r="Q8" s="2368"/>
      <c r="R8" s="2368"/>
      <c r="S8" s="2368"/>
      <c r="T8" s="2368"/>
      <c r="U8" s="2368"/>
      <c r="V8" s="2365" t="s">
        <v>153</v>
      </c>
      <c r="W8" s="2365"/>
      <c r="X8" s="2366"/>
      <c r="Y8" s="107">
        <v>1</v>
      </c>
      <c r="Z8" s="2367" t="s">
        <v>928</v>
      </c>
      <c r="AA8" s="2368"/>
      <c r="AB8" s="2368"/>
      <c r="AC8" s="2368"/>
      <c r="AD8" s="2368"/>
      <c r="AE8" s="2368"/>
      <c r="AF8" s="2365" t="s">
        <v>153</v>
      </c>
      <c r="AG8" s="2365"/>
      <c r="AH8" s="2366"/>
      <c r="AI8" s="107">
        <v>1</v>
      </c>
      <c r="AJ8" s="2367" t="s">
        <v>1173</v>
      </c>
      <c r="AK8" s="2368"/>
      <c r="AL8" s="2368"/>
      <c r="AM8" s="2368"/>
      <c r="AN8" s="2368"/>
      <c r="AO8" s="2368"/>
      <c r="AP8" s="2365" t="s">
        <v>153</v>
      </c>
      <c r="AQ8" s="2365"/>
      <c r="AR8" s="2366"/>
      <c r="AS8" s="107">
        <v>1</v>
      </c>
      <c r="AT8" s="2367" t="s">
        <v>944</v>
      </c>
      <c r="AU8" s="2368"/>
      <c r="AV8" s="2368"/>
      <c r="AW8" s="2368"/>
      <c r="AX8" s="2368"/>
      <c r="AY8" s="2368"/>
      <c r="AZ8" s="2365" t="s">
        <v>153</v>
      </c>
      <c r="BA8" s="2365"/>
      <c r="BB8" s="2366"/>
      <c r="BC8" s="107">
        <v>1</v>
      </c>
    </row>
    <row r="9" spans="1:55" ht="32.25" customHeight="1" thickBot="1" x14ac:dyDescent="0.3">
      <c r="A9" s="935"/>
      <c r="B9" s="2372" t="s">
        <v>1173</v>
      </c>
      <c r="C9" s="2373"/>
      <c r="D9" s="2373"/>
      <c r="E9" s="2373"/>
      <c r="F9" s="2373"/>
      <c r="G9" s="2373"/>
      <c r="H9" s="2373"/>
      <c r="I9" s="2373"/>
      <c r="J9" s="2374" t="s">
        <v>563</v>
      </c>
      <c r="K9" s="2374"/>
      <c r="L9" s="2375"/>
      <c r="M9" s="906">
        <v>2</v>
      </c>
      <c r="N9" s="2372" t="s">
        <v>944</v>
      </c>
      <c r="O9" s="2373"/>
      <c r="P9" s="2373"/>
      <c r="Q9" s="2373"/>
      <c r="R9" s="2373"/>
      <c r="S9" s="2373"/>
      <c r="T9" s="2373"/>
      <c r="U9" s="2373"/>
      <c r="V9" s="2374" t="s">
        <v>563</v>
      </c>
      <c r="W9" s="2374"/>
      <c r="X9" s="2375"/>
      <c r="Y9" s="906">
        <v>2</v>
      </c>
      <c r="Z9" s="2372" t="s">
        <v>928</v>
      </c>
      <c r="AA9" s="2373"/>
      <c r="AB9" s="2373"/>
      <c r="AC9" s="2373"/>
      <c r="AD9" s="2373"/>
      <c r="AE9" s="2373"/>
      <c r="AF9" s="2374" t="s">
        <v>563</v>
      </c>
      <c r="AG9" s="2374"/>
      <c r="AH9" s="2375"/>
      <c r="AI9" s="906">
        <v>2</v>
      </c>
      <c r="AJ9" s="2372" t="s">
        <v>949</v>
      </c>
      <c r="AK9" s="2373"/>
      <c r="AL9" s="2373"/>
      <c r="AM9" s="2373"/>
      <c r="AN9" s="2373"/>
      <c r="AO9" s="2373"/>
      <c r="AP9" s="2374" t="s">
        <v>563</v>
      </c>
      <c r="AQ9" s="2374"/>
      <c r="AR9" s="2375"/>
      <c r="AS9" s="906">
        <v>2</v>
      </c>
      <c r="AT9" s="2372" t="s">
        <v>528</v>
      </c>
      <c r="AU9" s="2373"/>
      <c r="AV9" s="2373"/>
      <c r="AW9" s="2373"/>
      <c r="AX9" s="2373"/>
      <c r="AY9" s="2373"/>
      <c r="AZ9" s="2374" t="s">
        <v>563</v>
      </c>
      <c r="BA9" s="2374"/>
      <c r="BB9" s="2375"/>
      <c r="BC9" s="906">
        <v>2</v>
      </c>
    </row>
    <row r="10" spans="1:55" ht="40.5" customHeight="1" x14ac:dyDescent="0.25">
      <c r="A10" s="934" t="s">
        <v>6</v>
      </c>
      <c r="B10" s="162" t="s">
        <v>579</v>
      </c>
      <c r="C10" s="2433" t="s">
        <v>564</v>
      </c>
      <c r="D10" s="651"/>
      <c r="E10" s="651"/>
      <c r="F10" s="388" t="s">
        <v>581</v>
      </c>
      <c r="G10" s="2433" t="s">
        <v>750</v>
      </c>
      <c r="H10" s="218" t="s">
        <v>583</v>
      </c>
      <c r="I10" s="2362" t="s">
        <v>562</v>
      </c>
      <c r="J10" s="78"/>
      <c r="K10" s="2376"/>
      <c r="L10" s="389"/>
      <c r="M10" s="2477"/>
      <c r="P10" s="388" t="s">
        <v>580</v>
      </c>
      <c r="Q10" s="2361" t="s">
        <v>564</v>
      </c>
      <c r="R10" s="383" t="s">
        <v>581</v>
      </c>
      <c r="S10" s="2361" t="s">
        <v>567</v>
      </c>
      <c r="T10" s="218" t="s">
        <v>583</v>
      </c>
      <c r="U10" s="2439" t="s">
        <v>750</v>
      </c>
      <c r="V10" s="266"/>
      <c r="W10" s="2376"/>
      <c r="X10" s="715"/>
      <c r="Y10" s="2472"/>
      <c r="Z10" s="552" t="s">
        <v>579</v>
      </c>
      <c r="AA10" s="2360" t="s">
        <v>750</v>
      </c>
      <c r="AB10" s="388" t="s">
        <v>580</v>
      </c>
      <c r="AC10" s="2433" t="s">
        <v>562</v>
      </c>
      <c r="AD10" s="388" t="s">
        <v>581</v>
      </c>
      <c r="AE10" s="2433" t="s">
        <v>148</v>
      </c>
      <c r="AF10" s="218" t="s">
        <v>583</v>
      </c>
      <c r="AG10" s="2439" t="s">
        <v>567</v>
      </c>
      <c r="AH10" s="129" t="s">
        <v>584</v>
      </c>
      <c r="AI10" s="2427" t="s">
        <v>149</v>
      </c>
      <c r="AJ10" s="162" t="s">
        <v>579</v>
      </c>
      <c r="AK10" s="2433" t="s">
        <v>1307</v>
      </c>
      <c r="AL10" s="388" t="s">
        <v>580</v>
      </c>
      <c r="AM10" s="2361" t="s">
        <v>567</v>
      </c>
      <c r="AN10" s="163" t="s">
        <v>581</v>
      </c>
      <c r="AO10" s="2360" t="s">
        <v>562</v>
      </c>
      <c r="AP10" s="218" t="s">
        <v>583</v>
      </c>
      <c r="AQ10" s="2362" t="s">
        <v>564</v>
      </c>
      <c r="AR10" s="269" t="s">
        <v>584</v>
      </c>
      <c r="AS10" s="2362" t="s">
        <v>750</v>
      </c>
      <c r="AT10" s="552" t="s">
        <v>579</v>
      </c>
      <c r="AU10" s="2361" t="s">
        <v>562</v>
      </c>
      <c r="AV10" s="388" t="s">
        <v>580</v>
      </c>
      <c r="AW10" s="2361" t="s">
        <v>750</v>
      </c>
      <c r="AZ10" s="78"/>
      <c r="BA10" s="2376"/>
      <c r="BB10" s="269" t="s">
        <v>584</v>
      </c>
      <c r="BC10" s="2426" t="s">
        <v>564</v>
      </c>
    </row>
    <row r="11" spans="1:55" ht="35.25" customHeight="1" x14ac:dyDescent="0.25">
      <c r="A11" s="935"/>
      <c r="B11" s="2455" t="s">
        <v>528</v>
      </c>
      <c r="C11" s="2361"/>
      <c r="D11" s="651"/>
      <c r="E11" s="651"/>
      <c r="F11" s="2370" t="s">
        <v>949</v>
      </c>
      <c r="G11" s="2361"/>
      <c r="H11" s="2422" t="s">
        <v>944</v>
      </c>
      <c r="I11" s="2362"/>
      <c r="J11" s="2379"/>
      <c r="K11" s="2377"/>
      <c r="L11" s="2393"/>
      <c r="M11" s="2478"/>
      <c r="P11" s="2370" t="s">
        <v>528</v>
      </c>
      <c r="Q11" s="2361"/>
      <c r="R11" s="1221" t="s">
        <v>1173</v>
      </c>
      <c r="S11" s="2361"/>
      <c r="T11" s="2381" t="s">
        <v>949</v>
      </c>
      <c r="U11" s="2362"/>
      <c r="V11" s="2379"/>
      <c r="W11" s="2377"/>
      <c r="X11" s="2475"/>
      <c r="Y11" s="2473"/>
      <c r="Z11" s="2455" t="s">
        <v>949</v>
      </c>
      <c r="AA11" s="2361"/>
      <c r="AB11" s="1221" t="s">
        <v>944</v>
      </c>
      <c r="AC11" s="2361"/>
      <c r="AD11" s="2370" t="s">
        <v>13</v>
      </c>
      <c r="AE11" s="2361"/>
      <c r="AF11" s="2422" t="s">
        <v>1173</v>
      </c>
      <c r="AG11" s="2362"/>
      <c r="AH11" s="2381" t="s">
        <v>13</v>
      </c>
      <c r="AI11" s="2427"/>
      <c r="AJ11" s="2455" t="s">
        <v>13</v>
      </c>
      <c r="AK11" s="2361"/>
      <c r="AL11" s="1221" t="s">
        <v>1173</v>
      </c>
      <c r="AM11" s="2361"/>
      <c r="AN11" s="1109" t="s">
        <v>100</v>
      </c>
      <c r="AO11" s="2361"/>
      <c r="AP11" s="2381" t="s">
        <v>528</v>
      </c>
      <c r="AQ11" s="2362"/>
      <c r="AR11" s="2364" t="s">
        <v>949</v>
      </c>
      <c r="AS11" s="2362"/>
      <c r="AT11" s="1191" t="s">
        <v>944</v>
      </c>
      <c r="AU11" s="2361"/>
      <c r="AV11" s="2370" t="s">
        <v>949</v>
      </c>
      <c r="AW11" s="2361"/>
      <c r="AZ11" s="2379"/>
      <c r="BA11" s="2377"/>
      <c r="BB11" s="2381" t="s">
        <v>528</v>
      </c>
      <c r="BC11" s="2427"/>
    </row>
    <row r="12" spans="1:55" ht="37.5" customHeight="1" x14ac:dyDescent="0.25">
      <c r="A12" s="934" t="s">
        <v>7</v>
      </c>
      <c r="B12" s="2455"/>
      <c r="C12" s="2361"/>
      <c r="D12" s="651"/>
      <c r="E12" s="651"/>
      <c r="F12" s="2370"/>
      <c r="G12" s="2361"/>
      <c r="H12" s="2422"/>
      <c r="I12" s="2362"/>
      <c r="J12" s="2379"/>
      <c r="K12" s="2377"/>
      <c r="L12" s="2393"/>
      <c r="M12" s="2478"/>
      <c r="P12" s="2370"/>
      <c r="Q12" s="2361"/>
      <c r="R12" s="1221"/>
      <c r="S12" s="2361"/>
      <c r="T12" s="2381"/>
      <c r="U12" s="2362"/>
      <c r="V12" s="2379"/>
      <c r="W12" s="2377"/>
      <c r="X12" s="2475"/>
      <c r="Y12" s="2473"/>
      <c r="Z12" s="2455"/>
      <c r="AA12" s="2361"/>
      <c r="AB12" s="1221"/>
      <c r="AC12" s="2361"/>
      <c r="AD12" s="2370"/>
      <c r="AE12" s="2361"/>
      <c r="AF12" s="2422"/>
      <c r="AG12" s="2362"/>
      <c r="AH12" s="2381"/>
      <c r="AI12" s="2427"/>
      <c r="AJ12" s="2455"/>
      <c r="AK12" s="2361"/>
      <c r="AL12" s="1221"/>
      <c r="AM12" s="2361"/>
      <c r="AN12" s="1109"/>
      <c r="AO12" s="2361"/>
      <c r="AP12" s="2381"/>
      <c r="AQ12" s="2362"/>
      <c r="AR12" s="2364"/>
      <c r="AS12" s="2362"/>
      <c r="AT12" s="1191"/>
      <c r="AU12" s="2361"/>
      <c r="AV12" s="2370"/>
      <c r="AW12" s="2361"/>
      <c r="AZ12" s="2379"/>
      <c r="BA12" s="2377"/>
      <c r="BB12" s="2381"/>
      <c r="BC12" s="2427"/>
    </row>
    <row r="13" spans="1:55" ht="35.25" customHeight="1" x14ac:dyDescent="0.25">
      <c r="A13" s="935"/>
      <c r="B13" s="2456"/>
      <c r="C13" s="2369"/>
      <c r="D13" s="652"/>
      <c r="E13" s="652"/>
      <c r="F13" s="2371"/>
      <c r="G13" s="2369"/>
      <c r="H13" s="2429"/>
      <c r="I13" s="2362"/>
      <c r="J13" s="2380"/>
      <c r="K13" s="2378"/>
      <c r="L13" s="2394"/>
      <c r="M13" s="2479"/>
      <c r="N13" s="101"/>
      <c r="P13" s="2371"/>
      <c r="Q13" s="2369"/>
      <c r="R13" s="1222"/>
      <c r="S13" s="2361"/>
      <c r="T13" s="2382"/>
      <c r="U13" s="2363"/>
      <c r="V13" s="2380"/>
      <c r="W13" s="2378"/>
      <c r="X13" s="2476"/>
      <c r="Y13" s="2474"/>
      <c r="Z13" s="2456"/>
      <c r="AA13" s="2361"/>
      <c r="AB13" s="1222"/>
      <c r="AC13" s="2369"/>
      <c r="AD13" s="2371"/>
      <c r="AE13" s="2369"/>
      <c r="AF13" s="2429"/>
      <c r="AG13" s="2363"/>
      <c r="AH13" s="2382"/>
      <c r="AI13" s="2428"/>
      <c r="AJ13" s="2456"/>
      <c r="AK13" s="2369"/>
      <c r="AL13" s="1222"/>
      <c r="AM13" s="2369"/>
      <c r="AN13" s="1184"/>
      <c r="AO13" s="2361"/>
      <c r="AP13" s="2381"/>
      <c r="AQ13" s="2363"/>
      <c r="AR13" s="2364"/>
      <c r="AS13" s="2363"/>
      <c r="AT13" s="1192"/>
      <c r="AU13" s="2369"/>
      <c r="AV13" s="2371"/>
      <c r="AW13" s="2361"/>
      <c r="AZ13" s="2380"/>
      <c r="BA13" s="2378"/>
      <c r="BB13" s="2382"/>
      <c r="BC13" s="2428"/>
    </row>
    <row r="14" spans="1:55" ht="43.5" customHeight="1" x14ac:dyDescent="0.25">
      <c r="A14" s="934" t="s">
        <v>8</v>
      </c>
      <c r="B14" s="138"/>
      <c r="C14" s="2357"/>
      <c r="D14" s="208"/>
      <c r="E14" s="208"/>
      <c r="F14" s="196"/>
      <c r="G14" s="2387"/>
      <c r="H14" s="266"/>
      <c r="I14" s="2387"/>
      <c r="J14" s="196"/>
      <c r="K14" s="2377"/>
      <c r="L14" s="264"/>
      <c r="M14" s="2357"/>
      <c r="N14" s="476"/>
      <c r="O14" s="2387"/>
      <c r="P14" s="139"/>
      <c r="Q14" s="2357"/>
      <c r="R14" s="388" t="s">
        <v>581</v>
      </c>
      <c r="S14" s="2360" t="s">
        <v>564</v>
      </c>
      <c r="T14" s="137"/>
      <c r="U14" s="2358"/>
      <c r="V14" s="139"/>
      <c r="W14" s="2357"/>
      <c r="X14" s="716"/>
      <c r="Y14" s="2480"/>
      <c r="Z14" s="69"/>
      <c r="AA14" s="2387"/>
      <c r="AB14" s="266"/>
      <c r="AC14" s="2377"/>
      <c r="AF14" s="218" t="s">
        <v>583</v>
      </c>
      <c r="AG14" s="2437" t="s">
        <v>148</v>
      </c>
      <c r="AH14" s="218" t="s">
        <v>584</v>
      </c>
      <c r="AI14" s="2484" t="s">
        <v>562</v>
      </c>
      <c r="AJ14" s="476"/>
      <c r="AK14" s="2387"/>
      <c r="AL14" s="388" t="s">
        <v>580</v>
      </c>
      <c r="AM14" s="2360" t="s">
        <v>148</v>
      </c>
      <c r="AN14" s="266"/>
      <c r="AO14" s="2387"/>
      <c r="AP14" s="264"/>
      <c r="AQ14" s="2357"/>
      <c r="AR14" s="199"/>
      <c r="AT14" s="138"/>
      <c r="AU14" s="2357"/>
      <c r="AV14" s="139"/>
      <c r="AW14" s="2357"/>
      <c r="AX14" s="159"/>
      <c r="AY14" s="2357"/>
      <c r="AZ14" s="264"/>
      <c r="BA14" s="2357"/>
      <c r="BB14" s="69"/>
      <c r="BC14" s="2467"/>
    </row>
    <row r="15" spans="1:55" ht="36" customHeight="1" x14ac:dyDescent="0.25">
      <c r="A15" s="935"/>
      <c r="B15" s="2465"/>
      <c r="C15" s="2358"/>
      <c r="D15" s="208"/>
      <c r="E15" s="208"/>
      <c r="F15" s="1492"/>
      <c r="G15" s="2377"/>
      <c r="H15" s="2379"/>
      <c r="I15" s="2377"/>
      <c r="J15" s="2389"/>
      <c r="K15" s="2377"/>
      <c r="L15" s="2355"/>
      <c r="M15" s="2358"/>
      <c r="N15" s="2391"/>
      <c r="O15" s="2377"/>
      <c r="P15" s="2355"/>
      <c r="Q15" s="2358"/>
      <c r="R15" s="2370" t="s">
        <v>528</v>
      </c>
      <c r="S15" s="2361"/>
      <c r="T15" s="2355"/>
      <c r="U15" s="2358"/>
      <c r="V15" s="2355"/>
      <c r="W15" s="2358"/>
      <c r="X15" s="2475"/>
      <c r="Y15" s="2481"/>
      <c r="Z15" s="2389"/>
      <c r="AA15" s="2377"/>
      <c r="AB15" s="2379"/>
      <c r="AC15" s="2377"/>
      <c r="AF15" s="2381" t="s">
        <v>13</v>
      </c>
      <c r="AG15" s="2362"/>
      <c r="AH15" s="2422" t="s">
        <v>944</v>
      </c>
      <c r="AI15" s="2427"/>
      <c r="AJ15" s="2391"/>
      <c r="AK15" s="2377"/>
      <c r="AL15" s="2370" t="s">
        <v>13</v>
      </c>
      <c r="AM15" s="2361"/>
      <c r="AN15" s="2379"/>
      <c r="AO15" s="2377"/>
      <c r="AP15" s="2355"/>
      <c r="AQ15" s="2358"/>
      <c r="AT15" s="2465"/>
      <c r="AU15" s="2358"/>
      <c r="AV15" s="2487"/>
      <c r="AW15" s="2358"/>
      <c r="AX15" s="2487"/>
      <c r="AY15" s="2358"/>
      <c r="AZ15" s="2355"/>
      <c r="BA15" s="2358"/>
      <c r="BB15" s="2379"/>
      <c r="BC15" s="2467"/>
    </row>
    <row r="16" spans="1:55" ht="35.25" customHeight="1" x14ac:dyDescent="0.25">
      <c r="A16" s="1455" t="s">
        <v>9</v>
      </c>
      <c r="B16" s="2465"/>
      <c r="C16" s="2358"/>
      <c r="D16" s="208"/>
      <c r="E16" s="208"/>
      <c r="F16" s="1492"/>
      <c r="G16" s="2377"/>
      <c r="H16" s="2379"/>
      <c r="I16" s="2377"/>
      <c r="J16" s="2389"/>
      <c r="K16" s="2377"/>
      <c r="L16" s="2355"/>
      <c r="M16" s="2358"/>
      <c r="N16" s="2391"/>
      <c r="O16" s="2377"/>
      <c r="P16" s="2355"/>
      <c r="Q16" s="2358"/>
      <c r="R16" s="2370"/>
      <c r="S16" s="2361"/>
      <c r="T16" s="2355"/>
      <c r="U16" s="2358"/>
      <c r="V16" s="2355"/>
      <c r="W16" s="2358"/>
      <c r="X16" s="2475"/>
      <c r="Y16" s="2481"/>
      <c r="Z16" s="2389"/>
      <c r="AA16" s="2377"/>
      <c r="AB16" s="2379"/>
      <c r="AC16" s="2377"/>
      <c r="AF16" s="2381"/>
      <c r="AG16" s="2362"/>
      <c r="AH16" s="2422"/>
      <c r="AI16" s="2427"/>
      <c r="AJ16" s="2391"/>
      <c r="AK16" s="2377"/>
      <c r="AL16" s="2370"/>
      <c r="AM16" s="2361"/>
      <c r="AN16" s="2379"/>
      <c r="AO16" s="2377"/>
      <c r="AP16" s="2355"/>
      <c r="AQ16" s="2358"/>
      <c r="AT16" s="2465"/>
      <c r="AU16" s="2358"/>
      <c r="AV16" s="2487"/>
      <c r="AW16" s="2358"/>
      <c r="AX16" s="2487"/>
      <c r="AY16" s="2358"/>
      <c r="AZ16" s="2355"/>
      <c r="BA16" s="2358"/>
      <c r="BB16" s="2379"/>
      <c r="BC16" s="2467"/>
    </row>
    <row r="17" spans="1:56" ht="35.25" customHeight="1" thickBot="1" x14ac:dyDescent="0.3">
      <c r="A17" s="1456"/>
      <c r="B17" s="2466"/>
      <c r="C17" s="2359"/>
      <c r="D17" s="653"/>
      <c r="E17" s="653"/>
      <c r="F17" s="1493"/>
      <c r="G17" s="2388"/>
      <c r="H17" s="2380"/>
      <c r="I17" s="2388"/>
      <c r="J17" s="2390"/>
      <c r="K17" s="2378"/>
      <c r="L17" s="2356"/>
      <c r="M17" s="2359"/>
      <c r="N17" s="2392"/>
      <c r="O17" s="2388"/>
      <c r="P17" s="2356"/>
      <c r="Q17" s="2359"/>
      <c r="R17" s="2454"/>
      <c r="S17" s="2421"/>
      <c r="T17" s="2356"/>
      <c r="U17" s="2359"/>
      <c r="V17" s="2356"/>
      <c r="W17" s="2359"/>
      <c r="X17" s="2483"/>
      <c r="Y17" s="2482"/>
      <c r="Z17" s="2390"/>
      <c r="AA17" s="2388"/>
      <c r="AB17" s="2379"/>
      <c r="AC17" s="2377"/>
      <c r="AD17" s="412"/>
      <c r="AF17" s="2457"/>
      <c r="AG17" s="2438"/>
      <c r="AH17" s="2486"/>
      <c r="AI17" s="2485"/>
      <c r="AJ17" s="2392"/>
      <c r="AK17" s="2388"/>
      <c r="AL17" s="2454"/>
      <c r="AM17" s="2421"/>
      <c r="AN17" s="2469"/>
      <c r="AO17" s="2388"/>
      <c r="AP17" s="2356"/>
      <c r="AQ17" s="2359"/>
      <c r="AS17" s="36"/>
      <c r="AT17" s="2466"/>
      <c r="AU17" s="2359"/>
      <c r="AV17" s="2488"/>
      <c r="AW17" s="2359"/>
      <c r="AX17" s="2488"/>
      <c r="AY17" s="2359"/>
      <c r="AZ17" s="2356"/>
      <c r="BA17" s="2359"/>
      <c r="BB17" s="2469"/>
      <c r="BC17" s="2468"/>
    </row>
    <row r="18" spans="1:56" s="2" customFormat="1" ht="24" customHeight="1" thickBot="1" x14ac:dyDescent="0.3">
      <c r="A18" s="19" t="s">
        <v>1</v>
      </c>
      <c r="B18" s="1091" t="s">
        <v>2</v>
      </c>
      <c r="C18" s="1092"/>
      <c r="D18" s="1092"/>
      <c r="E18" s="1092"/>
      <c r="F18" s="1092"/>
      <c r="G18" s="1092"/>
      <c r="H18" s="1092"/>
      <c r="I18" s="1092"/>
      <c r="J18" s="1092"/>
      <c r="K18" s="1092"/>
      <c r="L18" s="1092"/>
      <c r="M18" s="1093"/>
      <c r="N18" s="1091" t="s">
        <v>3</v>
      </c>
      <c r="O18" s="1092"/>
      <c r="P18" s="1092"/>
      <c r="Q18" s="1092"/>
      <c r="R18" s="1092"/>
      <c r="S18" s="1092"/>
      <c r="T18" s="1092"/>
      <c r="U18" s="1092"/>
      <c r="V18" s="1092"/>
      <c r="W18" s="1092"/>
      <c r="X18" s="1092"/>
      <c r="Y18" s="1093"/>
      <c r="Z18" s="1091" t="s">
        <v>139</v>
      </c>
      <c r="AA18" s="1092"/>
      <c r="AB18" s="1092"/>
      <c r="AC18" s="1092"/>
      <c r="AD18" s="1092"/>
      <c r="AE18" s="1092"/>
      <c r="AF18" s="1092"/>
      <c r="AG18" s="1092"/>
      <c r="AH18" s="1092"/>
      <c r="AI18" s="1093"/>
      <c r="AJ18" s="1091" t="s">
        <v>4</v>
      </c>
      <c r="AK18" s="1092"/>
      <c r="AL18" s="1092"/>
      <c r="AM18" s="1092"/>
      <c r="AN18" s="1092"/>
      <c r="AO18" s="1092"/>
      <c r="AP18" s="1092"/>
      <c r="AQ18" s="1092"/>
      <c r="AR18" s="1092"/>
      <c r="AS18" s="1093"/>
      <c r="AT18" s="1091" t="s">
        <v>5</v>
      </c>
      <c r="AU18" s="1092"/>
      <c r="AV18" s="1092"/>
      <c r="AW18" s="1092"/>
      <c r="AX18" s="1092"/>
      <c r="AY18" s="1092"/>
      <c r="AZ18" s="1092"/>
      <c r="BA18" s="1092"/>
      <c r="BB18" s="1092"/>
      <c r="BC18" s="1093"/>
    </row>
    <row r="19" spans="1:56" ht="35.25" customHeight="1" x14ac:dyDescent="0.25">
      <c r="A19" s="934" t="s">
        <v>186</v>
      </c>
      <c r="B19" s="138"/>
      <c r="C19" s="2358"/>
      <c r="D19" s="208"/>
      <c r="E19" s="208"/>
      <c r="F19" s="266"/>
      <c r="G19" s="2377"/>
      <c r="H19" s="266"/>
      <c r="I19" s="2377"/>
      <c r="J19" s="266"/>
      <c r="K19" s="2377"/>
      <c r="L19" s="137"/>
      <c r="M19" s="2358"/>
      <c r="N19" s="476"/>
      <c r="O19" s="2387"/>
      <c r="P19" s="139"/>
      <c r="Q19" s="2357"/>
      <c r="R19" s="266"/>
      <c r="S19" s="2387"/>
      <c r="T19" s="137"/>
      <c r="U19" s="2358"/>
      <c r="V19" s="844" t="s">
        <v>584</v>
      </c>
      <c r="W19" s="2423" t="s">
        <v>567</v>
      </c>
      <c r="X19" s="716"/>
      <c r="Y19" s="2480"/>
      <c r="Z19" s="528" t="s">
        <v>579</v>
      </c>
      <c r="AA19" s="2511" t="s">
        <v>749</v>
      </c>
      <c r="AB19" s="266"/>
      <c r="AC19" s="2377"/>
      <c r="AD19" s="10"/>
      <c r="AE19" s="10"/>
      <c r="AF19" s="266"/>
      <c r="AG19" s="2377"/>
      <c r="AH19" s="266"/>
      <c r="AI19" s="2467"/>
      <c r="AJ19" s="139"/>
      <c r="AK19" s="2358"/>
      <c r="AL19" s="266"/>
      <c r="AM19" s="2377"/>
      <c r="AN19" s="266"/>
      <c r="AO19" s="2377"/>
      <c r="AP19" s="137"/>
      <c r="AQ19" s="2358"/>
      <c r="AR19" s="284"/>
      <c r="AT19" s="138"/>
      <c r="AU19" s="2358"/>
      <c r="AV19" s="139"/>
      <c r="AW19" s="2358"/>
      <c r="AX19" s="139"/>
      <c r="AY19" s="2358"/>
      <c r="AZ19" s="137"/>
      <c r="BA19" s="2358"/>
      <c r="BB19" s="69"/>
      <c r="BC19" s="2467"/>
    </row>
    <row r="20" spans="1:56" ht="30.75" customHeight="1" x14ac:dyDescent="0.25">
      <c r="A20" s="935"/>
      <c r="B20" s="2465"/>
      <c r="C20" s="2358"/>
      <c r="D20" s="208"/>
      <c r="E20" s="208"/>
      <c r="F20" s="1492"/>
      <c r="G20" s="2377"/>
      <c r="H20" s="2379"/>
      <c r="I20" s="2377"/>
      <c r="J20" s="2389"/>
      <c r="K20" s="2377"/>
      <c r="L20" s="2355"/>
      <c r="M20" s="2358"/>
      <c r="N20" s="2391"/>
      <c r="O20" s="2377"/>
      <c r="P20" s="2355"/>
      <c r="Q20" s="2358"/>
      <c r="R20" s="2379"/>
      <c r="S20" s="2377"/>
      <c r="T20" s="2355"/>
      <c r="U20" s="2358"/>
      <c r="V20" s="2444" t="s">
        <v>1173</v>
      </c>
      <c r="W20" s="2424"/>
      <c r="X20" s="2475"/>
      <c r="Y20" s="2481"/>
      <c r="Z20" s="2513" t="s">
        <v>1173</v>
      </c>
      <c r="AA20" s="2511"/>
      <c r="AB20" s="2379"/>
      <c r="AC20" s="2377"/>
      <c r="AD20" s="10"/>
      <c r="AE20" s="10"/>
      <c r="AF20" s="2379"/>
      <c r="AG20" s="2377"/>
      <c r="AH20" s="2379"/>
      <c r="AI20" s="2467"/>
      <c r="AJ20" s="2515"/>
      <c r="AK20" s="2358"/>
      <c r="AL20" s="2379"/>
      <c r="AM20" s="2377"/>
      <c r="AN20" s="2379"/>
      <c r="AO20" s="2377"/>
      <c r="AP20" s="2355"/>
      <c r="AQ20" s="2358"/>
      <c r="AT20" s="2465"/>
      <c r="AU20" s="2358"/>
      <c r="AV20" s="2487"/>
      <c r="AW20" s="2358"/>
      <c r="AX20" s="2487"/>
      <c r="AY20" s="2358"/>
      <c r="AZ20" s="2355"/>
      <c r="BA20" s="2358"/>
      <c r="BB20" s="2379"/>
      <c r="BC20" s="2467"/>
    </row>
    <row r="21" spans="1:56" ht="34.5" customHeight="1" x14ac:dyDescent="0.25">
      <c r="A21" s="1455" t="s">
        <v>188</v>
      </c>
      <c r="B21" s="2465"/>
      <c r="C21" s="2358"/>
      <c r="D21" s="208"/>
      <c r="E21" s="208"/>
      <c r="F21" s="1492"/>
      <c r="G21" s="2377"/>
      <c r="H21" s="2379"/>
      <c r="I21" s="2377"/>
      <c r="J21" s="2389"/>
      <c r="K21" s="2377"/>
      <c r="L21" s="2355"/>
      <c r="M21" s="2358"/>
      <c r="N21" s="2391"/>
      <c r="O21" s="2377"/>
      <c r="P21" s="2355"/>
      <c r="Q21" s="2358"/>
      <c r="R21" s="2379"/>
      <c r="S21" s="2377"/>
      <c r="T21" s="2355"/>
      <c r="U21" s="2358"/>
      <c r="V21" s="2444"/>
      <c r="W21" s="2424"/>
      <c r="X21" s="2475"/>
      <c r="Y21" s="2481"/>
      <c r="Z21" s="2513"/>
      <c r="AA21" s="2511"/>
      <c r="AB21" s="2379"/>
      <c r="AC21" s="2377"/>
      <c r="AD21" s="10"/>
      <c r="AE21" s="10"/>
      <c r="AF21" s="2379"/>
      <c r="AG21" s="2377"/>
      <c r="AH21" s="2379"/>
      <c r="AI21" s="2467"/>
      <c r="AJ21" s="2515"/>
      <c r="AK21" s="2358"/>
      <c r="AL21" s="2379"/>
      <c r="AM21" s="2377"/>
      <c r="AN21" s="2379"/>
      <c r="AO21" s="2377"/>
      <c r="AP21" s="2355"/>
      <c r="AQ21" s="2358"/>
      <c r="AT21" s="2465"/>
      <c r="AU21" s="2358"/>
      <c r="AV21" s="2487"/>
      <c r="AW21" s="2358"/>
      <c r="AX21" s="2487"/>
      <c r="AY21" s="2358"/>
      <c r="AZ21" s="2355"/>
      <c r="BA21" s="2358"/>
      <c r="BB21" s="2379"/>
      <c r="BC21" s="2467"/>
    </row>
    <row r="22" spans="1:56" ht="34.5" customHeight="1" thickBot="1" x14ac:dyDescent="0.3">
      <c r="A22" s="1456"/>
      <c r="B22" s="2466"/>
      <c r="C22" s="2359"/>
      <c r="D22" s="653"/>
      <c r="E22" s="653"/>
      <c r="F22" s="1493"/>
      <c r="G22" s="2388"/>
      <c r="H22" s="2380"/>
      <c r="I22" s="2388"/>
      <c r="J22" s="2390"/>
      <c r="K22" s="2378"/>
      <c r="L22" s="2356"/>
      <c r="M22" s="2359"/>
      <c r="N22" s="2392"/>
      <c r="O22" s="2388"/>
      <c r="P22" s="2356"/>
      <c r="Q22" s="2359"/>
      <c r="R22" s="2469"/>
      <c r="S22" s="2388"/>
      <c r="T22" s="2356"/>
      <c r="U22" s="2359"/>
      <c r="V22" s="2444"/>
      <c r="W22" s="2503"/>
      <c r="X22" s="2483"/>
      <c r="Y22" s="2482"/>
      <c r="Z22" s="2514"/>
      <c r="AA22" s="2512"/>
      <c r="AB22" s="2379"/>
      <c r="AC22" s="2377"/>
      <c r="AD22" s="662"/>
      <c r="AE22" s="10"/>
      <c r="AF22" s="2469"/>
      <c r="AG22" s="2388"/>
      <c r="AH22" s="2469"/>
      <c r="AI22" s="2468"/>
      <c r="AJ22" s="2516"/>
      <c r="AK22" s="2359"/>
      <c r="AL22" s="2469"/>
      <c r="AM22" s="2388"/>
      <c r="AN22" s="2469"/>
      <c r="AO22" s="2388"/>
      <c r="AP22" s="2356"/>
      <c r="AQ22" s="2359"/>
      <c r="AS22" s="36"/>
      <c r="AT22" s="2466"/>
      <c r="AU22" s="2359"/>
      <c r="AV22" s="2488"/>
      <c r="AW22" s="2359"/>
      <c r="AX22" s="2488"/>
      <c r="AY22" s="2359"/>
      <c r="AZ22" s="2356"/>
      <c r="BA22" s="2359"/>
      <c r="BB22" s="2469"/>
      <c r="BC22" s="2468"/>
    </row>
    <row r="23" spans="1:56" ht="7.5" customHeight="1" thickBot="1" x14ac:dyDescent="0.3">
      <c r="G23" s="231"/>
      <c r="H23" s="231"/>
      <c r="I23" s="231"/>
      <c r="K23" s="231"/>
      <c r="P23" s="231"/>
      <c r="Q23" s="231"/>
      <c r="U23" s="231"/>
      <c r="V23" s="231"/>
      <c r="X23" s="231"/>
      <c r="Y23" s="231"/>
      <c r="AB23" s="231"/>
      <c r="AC23" s="231"/>
      <c r="AE23" s="231"/>
      <c r="AR23" s="231"/>
      <c r="AW23" s="231"/>
    </row>
    <row r="24" spans="1:56" s="106" customFormat="1" ht="21" customHeight="1" x14ac:dyDescent="0.3">
      <c r="A24" s="2462" t="s">
        <v>218</v>
      </c>
      <c r="B24" s="2463"/>
      <c r="C24" s="2463"/>
      <c r="D24" s="2463"/>
      <c r="E24" s="2464"/>
      <c r="F24" s="2414" t="s">
        <v>219</v>
      </c>
      <c r="G24" s="2415"/>
      <c r="H24" s="2415"/>
      <c r="I24" s="2415"/>
      <c r="J24" s="2415"/>
      <c r="K24" s="2415"/>
      <c r="L24" s="2415"/>
      <c r="M24" s="2415"/>
      <c r="N24" s="2415"/>
      <c r="O24" s="2415"/>
      <c r="P24" s="2415"/>
      <c r="Q24" s="2415"/>
      <c r="R24" s="2415"/>
      <c r="S24" s="2415"/>
      <c r="T24" s="2415"/>
      <c r="U24" s="2415"/>
      <c r="V24" s="2415"/>
      <c r="W24" s="2415"/>
      <c r="X24" s="2415"/>
      <c r="Y24" s="2416"/>
      <c r="Z24" s="2470" t="s">
        <v>326</v>
      </c>
      <c r="AA24" s="2470"/>
      <c r="AB24" s="2470"/>
      <c r="AC24" s="2470"/>
      <c r="AD24" s="2470" t="s">
        <v>143</v>
      </c>
      <c r="AE24" s="2470"/>
      <c r="AF24" s="2470"/>
      <c r="AG24" s="2470"/>
      <c r="AH24" s="2470" t="s">
        <v>167</v>
      </c>
      <c r="AI24" s="2470"/>
      <c r="AJ24" s="2470"/>
      <c r="AK24" s="2470"/>
      <c r="AL24" s="2470"/>
      <c r="AM24" s="2470"/>
      <c r="AN24" s="2470"/>
      <c r="AO24" s="2470"/>
      <c r="AP24" s="2470"/>
      <c r="AQ24" s="2470"/>
      <c r="AR24" s="2470"/>
      <c r="AS24" s="2470"/>
      <c r="AT24" s="2470"/>
      <c r="AU24" s="2470"/>
      <c r="AV24" s="2470"/>
      <c r="AW24" s="2470"/>
      <c r="AX24" s="2470"/>
      <c r="AY24" s="2470"/>
      <c r="AZ24" s="2470"/>
      <c r="BA24" s="2470"/>
      <c r="BB24" s="2470"/>
      <c r="BC24" s="2471"/>
    </row>
    <row r="25" spans="1:56" s="106" customFormat="1" ht="21" customHeight="1" x14ac:dyDescent="0.3">
      <c r="A25" s="2451" t="s">
        <v>928</v>
      </c>
      <c r="B25" s="2452"/>
      <c r="C25" s="2452"/>
      <c r="D25" s="2452"/>
      <c r="E25" s="2453"/>
      <c r="F25" s="2449" t="str">
        <f>VLOOKUP(Z25,ASIGNATURAS!$F$1:$L$1022, 4, FALSE)</f>
        <v xml:space="preserve">Álgebra Lineal </v>
      </c>
      <c r="G25" s="2449"/>
      <c r="H25" s="2449"/>
      <c r="I25" s="2449"/>
      <c r="J25" s="2449"/>
      <c r="K25" s="2449"/>
      <c r="L25" s="2449"/>
      <c r="M25" s="2449"/>
      <c r="N25" s="2449"/>
      <c r="O25" s="2449"/>
      <c r="P25" s="2449"/>
      <c r="Q25" s="2449"/>
      <c r="R25" s="2449"/>
      <c r="S25" s="2449"/>
      <c r="T25" s="2449"/>
      <c r="U25" s="2449"/>
      <c r="V25" s="2449"/>
      <c r="W25" s="2449"/>
      <c r="X25" s="2449"/>
      <c r="Y25" s="2449"/>
      <c r="Z25" s="2446">
        <v>8797</v>
      </c>
      <c r="AA25" s="2446"/>
      <c r="AB25" s="2446"/>
      <c r="AC25" s="2446"/>
      <c r="AD25" s="2446">
        <f>VLOOKUP(Z25,ASIGNATURAS!$F$1:$L$1022, 5, FALSE)</f>
        <v>6</v>
      </c>
      <c r="AE25" s="2446"/>
      <c r="AF25" s="2446"/>
      <c r="AG25" s="2446"/>
      <c r="AH25" s="2449" t="str">
        <f>VLOOKUP(Z25,ASIGNATURAS!$F$1:$L$1022, 6, FALSE)</f>
        <v>Mª Begoña Torres, Zaíra Pérez</v>
      </c>
      <c r="AI25" s="2449"/>
      <c r="AJ25" s="2449"/>
      <c r="AK25" s="2449"/>
      <c r="AL25" s="2449"/>
      <c r="AM25" s="2449"/>
      <c r="AN25" s="2449"/>
      <c r="AO25" s="2449"/>
      <c r="AP25" s="2449"/>
      <c r="AQ25" s="2449"/>
      <c r="AR25" s="2449"/>
      <c r="AS25" s="2449"/>
      <c r="AT25" s="2449"/>
      <c r="AU25" s="2449"/>
      <c r="AV25" s="2449"/>
      <c r="AW25" s="2449"/>
      <c r="AX25" s="2449"/>
      <c r="AY25" s="2449"/>
      <c r="AZ25" s="2449"/>
      <c r="BA25" s="2449"/>
      <c r="BB25" s="2449"/>
      <c r="BC25" s="2450"/>
    </row>
    <row r="26" spans="1:56" s="106" customFormat="1" ht="21" customHeight="1" x14ac:dyDescent="0.3">
      <c r="A26" s="2451" t="s">
        <v>949</v>
      </c>
      <c r="B26" s="2452"/>
      <c r="C26" s="2452"/>
      <c r="D26" s="2452"/>
      <c r="E26" s="2453"/>
      <c r="F26" s="2449" t="str">
        <f>VLOOKUP(Z26,ASIGNATURAS!$F$1:$L$1022, 4, FALSE)</f>
        <v xml:space="preserve">Informática Básica </v>
      </c>
      <c r="G26" s="2449"/>
      <c r="H26" s="2449"/>
      <c r="I26" s="2449"/>
      <c r="J26" s="2449"/>
      <c r="K26" s="2449"/>
      <c r="L26" s="2449"/>
      <c r="M26" s="2449"/>
      <c r="N26" s="2449"/>
      <c r="O26" s="2449"/>
      <c r="P26" s="2449"/>
      <c r="Q26" s="2449"/>
      <c r="R26" s="2449"/>
      <c r="S26" s="2449"/>
      <c r="T26" s="2449"/>
      <c r="U26" s="2449"/>
      <c r="V26" s="2449"/>
      <c r="W26" s="2449"/>
      <c r="X26" s="2449"/>
      <c r="Y26" s="2449"/>
      <c r="Z26" s="2446">
        <v>8798</v>
      </c>
      <c r="AA26" s="2446"/>
      <c r="AB26" s="2446"/>
      <c r="AC26" s="2446"/>
      <c r="AD26" s="2446">
        <f>VLOOKUP(Z26,ASIGNATURAS!$F$1:$L$1022, 5, FALSE)</f>
        <v>6</v>
      </c>
      <c r="AE26" s="2446"/>
      <c r="AF26" s="2446"/>
      <c r="AG26" s="2446"/>
      <c r="AH26" s="2449" t="str">
        <f>VLOOKUP(Z26,ASIGNATURAS!$F$1:$L$1022, 6, FALSE)</f>
        <v>Virginia Martínez, Mario Martínez</v>
      </c>
      <c r="AI26" s="2449"/>
      <c r="AJ26" s="2449"/>
      <c r="AK26" s="2449"/>
      <c r="AL26" s="2449"/>
      <c r="AM26" s="2449"/>
      <c r="AN26" s="2449"/>
      <c r="AO26" s="2449"/>
      <c r="AP26" s="2449"/>
      <c r="AQ26" s="2449"/>
      <c r="AR26" s="2449"/>
      <c r="AS26" s="2449"/>
      <c r="AT26" s="2449"/>
      <c r="AU26" s="2449"/>
      <c r="AV26" s="2449"/>
      <c r="AW26" s="2449"/>
      <c r="AX26" s="2449"/>
      <c r="AY26" s="2449"/>
      <c r="AZ26" s="2449"/>
      <c r="BA26" s="2449"/>
      <c r="BB26" s="2449"/>
      <c r="BC26" s="2450"/>
    </row>
    <row r="27" spans="1:56" s="106" customFormat="1" ht="21" customHeight="1" x14ac:dyDescent="0.3">
      <c r="A27" s="2451" t="s">
        <v>944</v>
      </c>
      <c r="B27" s="2452"/>
      <c r="C27" s="2452"/>
      <c r="D27" s="2452"/>
      <c r="E27" s="2453"/>
      <c r="F27" s="2449" t="str">
        <f>VLOOKUP(Z27,ASIGNATURAS!$F$1:$L$1022, 4, FALSE)</f>
        <v xml:space="preserve">Fundamentos Físicos de la Informática </v>
      </c>
      <c r="G27" s="2449"/>
      <c r="H27" s="2449"/>
      <c r="I27" s="2449"/>
      <c r="J27" s="2449"/>
      <c r="K27" s="2449"/>
      <c r="L27" s="2449"/>
      <c r="M27" s="2449"/>
      <c r="N27" s="2449"/>
      <c r="O27" s="2449"/>
      <c r="P27" s="2449"/>
      <c r="Q27" s="2449"/>
      <c r="R27" s="2449"/>
      <c r="S27" s="2449"/>
      <c r="T27" s="2449"/>
      <c r="U27" s="2449"/>
      <c r="V27" s="2449"/>
      <c r="W27" s="2449"/>
      <c r="X27" s="2449"/>
      <c r="Y27" s="2449"/>
      <c r="Z27" s="2446">
        <v>8799</v>
      </c>
      <c r="AA27" s="2446"/>
      <c r="AB27" s="2446"/>
      <c r="AC27" s="2446"/>
      <c r="AD27" s="2446">
        <f>VLOOKUP(Z27,ASIGNATURAS!$F$1:$L$1022, 5, FALSE)</f>
        <v>6</v>
      </c>
      <c r="AE27" s="2446"/>
      <c r="AF27" s="2446"/>
      <c r="AG27" s="2446"/>
      <c r="AH27" s="2449" t="str">
        <f>VLOOKUP(Z27,ASIGNATURAS!$F$1:$L$1022, 6, FALSE)</f>
        <v>Fernando Manuel García, Alfredo Bol</v>
      </c>
      <c r="AI27" s="2449"/>
      <c r="AJ27" s="2449"/>
      <c r="AK27" s="2449"/>
      <c r="AL27" s="2449"/>
      <c r="AM27" s="2449"/>
      <c r="AN27" s="2449"/>
      <c r="AO27" s="2449"/>
      <c r="AP27" s="2449"/>
      <c r="AQ27" s="2449"/>
      <c r="AR27" s="2449"/>
      <c r="AS27" s="2449"/>
      <c r="AT27" s="2449"/>
      <c r="AU27" s="2449"/>
      <c r="AV27" s="2449"/>
      <c r="AW27" s="2449"/>
      <c r="AX27" s="2449"/>
      <c r="AY27" s="2449"/>
      <c r="AZ27" s="2449"/>
      <c r="BA27" s="2449"/>
      <c r="BB27" s="2449"/>
      <c r="BC27" s="2450"/>
    </row>
    <row r="28" spans="1:56" s="106" customFormat="1" ht="21" customHeight="1" x14ac:dyDescent="0.3">
      <c r="A28" s="2451" t="s">
        <v>1173</v>
      </c>
      <c r="B28" s="2452"/>
      <c r="C28" s="2452"/>
      <c r="D28" s="2452"/>
      <c r="E28" s="2453"/>
      <c r="F28" s="2449" t="str">
        <f>VLOOKUP(Z28,ASIGNATURAS!$F$1:$L$1022, 4, FALSE)</f>
        <v xml:space="preserve">Matemática Discreta </v>
      </c>
      <c r="G28" s="2449"/>
      <c r="H28" s="2449"/>
      <c r="I28" s="2449"/>
      <c r="J28" s="2449"/>
      <c r="K28" s="2449"/>
      <c r="L28" s="2449"/>
      <c r="M28" s="2449"/>
      <c r="N28" s="2449"/>
      <c r="O28" s="2449"/>
      <c r="P28" s="2449"/>
      <c r="Q28" s="2449"/>
      <c r="R28" s="2449"/>
      <c r="S28" s="2449"/>
      <c r="T28" s="2449"/>
      <c r="U28" s="2449"/>
      <c r="V28" s="2449"/>
      <c r="W28" s="2449"/>
      <c r="X28" s="2449"/>
      <c r="Y28" s="2449"/>
      <c r="Z28" s="2446">
        <v>8800</v>
      </c>
      <c r="AA28" s="2446"/>
      <c r="AB28" s="2446"/>
      <c r="AC28" s="2446"/>
      <c r="AD28" s="2446">
        <f>VLOOKUP(Z28,ASIGNATURAS!$F$1:$L$1022, 5, FALSE)</f>
        <v>6</v>
      </c>
      <c r="AE28" s="2446"/>
      <c r="AF28" s="2446"/>
      <c r="AG28" s="2446"/>
      <c r="AH28" s="2449" t="str">
        <f>VLOOKUP(Z28,ASIGNATURAS!$F$1:$L$1022, 6, FALSE)</f>
        <v>Mª Pilar de las Heras, Alfredo Gordillo</v>
      </c>
      <c r="AI28" s="2449"/>
      <c r="AJ28" s="2449"/>
      <c r="AK28" s="2449"/>
      <c r="AL28" s="2449"/>
      <c r="AM28" s="2449"/>
      <c r="AN28" s="2449"/>
      <c r="AO28" s="2449"/>
      <c r="AP28" s="2449"/>
      <c r="AQ28" s="2449"/>
      <c r="AR28" s="2449"/>
      <c r="AS28" s="2449"/>
      <c r="AT28" s="2449"/>
      <c r="AU28" s="2449"/>
      <c r="AV28" s="2449"/>
      <c r="AW28" s="2449"/>
      <c r="AX28" s="2449"/>
      <c r="AY28" s="2449"/>
      <c r="AZ28" s="2449"/>
      <c r="BA28" s="2449"/>
      <c r="BB28" s="2449"/>
      <c r="BC28" s="2450"/>
    </row>
    <row r="29" spans="1:56" s="106" customFormat="1" ht="18" customHeight="1" thickBot="1" x14ac:dyDescent="0.35">
      <c r="A29" s="2499" t="s">
        <v>528</v>
      </c>
      <c r="B29" s="2500"/>
      <c r="C29" s="2500"/>
      <c r="D29" s="2500"/>
      <c r="E29" s="2501"/>
      <c r="F29" s="2434" t="str">
        <f>VLOOKUP(Z29,ASIGNATURAS!$F$1:$L$1022, 4, FALSE)</f>
        <v xml:space="preserve">Fund. Deont. y Jurídicos de las TICs </v>
      </c>
      <c r="G29" s="2434"/>
      <c r="H29" s="2434"/>
      <c r="I29" s="2434"/>
      <c r="J29" s="2434"/>
      <c r="K29" s="2434"/>
      <c r="L29" s="2434"/>
      <c r="M29" s="2434"/>
      <c r="N29" s="2434"/>
      <c r="O29" s="2434"/>
      <c r="P29" s="2434"/>
      <c r="Q29" s="2434"/>
      <c r="R29" s="2434"/>
      <c r="S29" s="2434"/>
      <c r="T29" s="2434"/>
      <c r="U29" s="2434"/>
      <c r="V29" s="2434"/>
      <c r="W29" s="2434"/>
      <c r="X29" s="2434"/>
      <c r="Y29" s="2434"/>
      <c r="Z29" s="2436">
        <v>8796</v>
      </c>
      <c r="AA29" s="2436"/>
      <c r="AB29" s="2436"/>
      <c r="AC29" s="2436"/>
      <c r="AD29" s="2436">
        <f>VLOOKUP(Z29,ASIGNATURAS!$F$1:$L$1022, 5, FALSE)</f>
        <v>6</v>
      </c>
      <c r="AE29" s="2436"/>
      <c r="AF29" s="2436"/>
      <c r="AG29" s="2436"/>
      <c r="AH29" s="2434" t="str">
        <f>VLOOKUP(Z29,ASIGNATURAS!$F$1:$L$1022, 6, FALSE)</f>
        <v>Mª del Rosario González, Rosa Sánchez</v>
      </c>
      <c r="AI29" s="2434"/>
      <c r="AJ29" s="2434"/>
      <c r="AK29" s="2434"/>
      <c r="AL29" s="2434"/>
      <c r="AM29" s="2434"/>
      <c r="AN29" s="2434"/>
      <c r="AO29" s="2434"/>
      <c r="AP29" s="2434"/>
      <c r="AQ29" s="2434"/>
      <c r="AR29" s="2434"/>
      <c r="AS29" s="2434"/>
      <c r="AT29" s="2434"/>
      <c r="AU29" s="2434"/>
      <c r="AV29" s="2434"/>
      <c r="AW29" s="2434"/>
      <c r="AX29" s="2434"/>
      <c r="AY29" s="2434"/>
      <c r="AZ29" s="2434"/>
      <c r="BA29" s="2434"/>
      <c r="BB29" s="2434"/>
      <c r="BC29" s="2435"/>
    </row>
    <row r="30" spans="1:56" ht="17.399999999999999" x14ac:dyDescent="0.3">
      <c r="A30" s="93" t="s">
        <v>217</v>
      </c>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6"/>
    </row>
    <row r="31" spans="1:56" ht="13.8" thickBot="1" x14ac:dyDescent="0.3">
      <c r="A31" s="255"/>
      <c r="B31" s="10"/>
      <c r="C31" s="10"/>
      <c r="D31" s="10"/>
      <c r="E31" s="10"/>
      <c r="F31" s="10"/>
      <c r="G31" s="10"/>
      <c r="H31" s="10"/>
      <c r="I31" s="10"/>
      <c r="J31" s="10"/>
      <c r="K31" s="10"/>
      <c r="L31" s="10"/>
      <c r="M31" s="10"/>
      <c r="N31" s="10"/>
      <c r="O31" s="10"/>
      <c r="P31" s="10"/>
      <c r="Q31" s="10"/>
      <c r="R31" s="10"/>
      <c r="S31" s="10"/>
      <c r="T31" s="10"/>
      <c r="U31" s="10"/>
      <c r="V31" s="10"/>
      <c r="W31" s="10"/>
      <c r="X31" s="10"/>
    </row>
    <row r="32" spans="1:56" ht="24.75" hidden="1" customHeight="1" thickBot="1" x14ac:dyDescent="0.3"/>
    <row r="33" spans="1:56" ht="13.8" hidden="1" thickBot="1" x14ac:dyDescent="0.3"/>
    <row r="34" spans="1:56" s="1" customFormat="1" ht="31.5" customHeight="1" thickBot="1" x14ac:dyDescent="0.45">
      <c r="A34" s="1094" t="str">
        <f>VLOOKUP(A37,ASIGNATURAS!$A$2:$D$151, 3, FALSE)</f>
        <v>1º Grado en Ingeniería Informática</v>
      </c>
      <c r="B34" s="1095"/>
      <c r="C34" s="1095"/>
      <c r="D34" s="1095"/>
      <c r="E34" s="1095"/>
      <c r="F34" s="1095"/>
      <c r="G34" s="1095"/>
      <c r="H34" s="1095"/>
      <c r="I34" s="1095"/>
      <c r="J34" s="1095"/>
      <c r="K34" s="1095"/>
      <c r="L34" s="1095"/>
      <c r="M34" s="1095"/>
      <c r="N34" s="1095"/>
      <c r="O34" s="1095"/>
      <c r="P34" s="1095"/>
      <c r="Q34" s="1095"/>
      <c r="R34" s="1095"/>
      <c r="S34" s="1095"/>
      <c r="T34" s="1095"/>
      <c r="U34" s="1095"/>
      <c r="V34" s="1095"/>
      <c r="W34" s="1095"/>
      <c r="X34" s="1095"/>
      <c r="Y34" s="1095"/>
      <c r="Z34" s="1095"/>
      <c r="AA34" s="1095"/>
      <c r="AB34" s="1095"/>
      <c r="AC34" s="1095"/>
      <c r="AD34" s="1095"/>
      <c r="AE34" s="1095"/>
      <c r="AF34" s="1095"/>
      <c r="AG34" s="1095"/>
      <c r="AH34" s="1095"/>
      <c r="AI34" s="1095"/>
      <c r="AJ34" s="1095"/>
      <c r="AK34" s="1095"/>
      <c r="AL34" s="1095"/>
      <c r="AM34" s="1095"/>
      <c r="AN34" s="1095"/>
      <c r="AO34" s="1095"/>
      <c r="AP34" s="1095"/>
      <c r="AQ34" s="1095"/>
      <c r="AR34" s="1095"/>
      <c r="AS34" s="1096"/>
      <c r="AT34" s="1076" t="str">
        <f>AT1</f>
        <v>Curso 2024-2025</v>
      </c>
      <c r="AU34" s="1077"/>
      <c r="AV34" s="1077"/>
      <c r="AW34" s="1077"/>
      <c r="AX34" s="1077"/>
      <c r="AY34" s="1077"/>
      <c r="AZ34" s="1077"/>
      <c r="BA34" s="1077"/>
      <c r="BB34" s="1077"/>
      <c r="BC34" s="1078"/>
    </row>
    <row r="35" spans="1:56" s="8" customFormat="1" ht="23.25" customHeight="1" thickBot="1" x14ac:dyDescent="0.45">
      <c r="A35" s="1083" t="str">
        <f>VLOOKUP(A37,ASIGNATURAS!$A$2:$D$151, 2, FALSE)</f>
        <v>Semestre temporal: 2º        (2º Semestre Académico)</v>
      </c>
      <c r="B35" s="1084"/>
      <c r="C35" s="1084"/>
      <c r="D35" s="1084"/>
      <c r="E35" s="1084"/>
      <c r="F35" s="1084"/>
      <c r="G35" s="1084"/>
      <c r="H35" s="1084"/>
      <c r="I35" s="1084"/>
      <c r="J35" s="1084"/>
      <c r="K35" s="1084"/>
      <c r="L35" s="1084"/>
      <c r="M35" s="1084"/>
      <c r="N35" s="1084"/>
      <c r="O35" s="1084"/>
      <c r="P35" s="1084"/>
      <c r="Q35" s="1084"/>
      <c r="R35" s="1084"/>
      <c r="S35" s="1084"/>
      <c r="T35" s="1084"/>
      <c r="U35" s="1084"/>
      <c r="V35" s="1084"/>
      <c r="W35" s="1084"/>
      <c r="X35" s="1084"/>
      <c r="Y35" s="1084"/>
      <c r="Z35" s="1084"/>
      <c r="AA35" s="1084"/>
      <c r="AB35" s="1084"/>
      <c r="AC35" s="1084"/>
      <c r="AD35" s="1084"/>
      <c r="AE35" s="1084"/>
      <c r="AF35" s="1084"/>
      <c r="AG35" s="1084"/>
      <c r="AH35" s="1084"/>
      <c r="AI35" s="1084"/>
      <c r="AJ35" s="1084"/>
      <c r="AK35" s="1084"/>
      <c r="AL35" s="1084"/>
      <c r="AM35" s="1084"/>
      <c r="AN35" s="1084"/>
      <c r="AO35" s="1084"/>
      <c r="AP35" s="1084"/>
      <c r="AQ35" s="1084"/>
      <c r="AR35" s="1084"/>
      <c r="AS35" s="1085"/>
      <c r="AT35" s="2458" t="s">
        <v>1121</v>
      </c>
      <c r="AU35" s="2458"/>
      <c r="AV35" s="2458"/>
      <c r="AW35" s="2458"/>
      <c r="AX35" s="2458"/>
      <c r="AY35" s="2458"/>
      <c r="AZ35" s="2458"/>
      <c r="BA35" s="2458"/>
      <c r="BB35" s="2458"/>
      <c r="BC35" s="2459"/>
    </row>
    <row r="36" spans="1:56" s="8" customFormat="1" ht="23.25" customHeight="1" thickBot="1" x14ac:dyDescent="0.45">
      <c r="A36" s="1083" t="s">
        <v>142</v>
      </c>
      <c r="B36" s="1084"/>
      <c r="C36" s="1084"/>
      <c r="D36" s="1084"/>
      <c r="E36" s="1084"/>
      <c r="F36" s="1084"/>
      <c r="G36" s="1084"/>
      <c r="H36" s="1084"/>
      <c r="I36" s="1084"/>
      <c r="J36" s="1084"/>
      <c r="K36" s="1084"/>
      <c r="L36" s="1084"/>
      <c r="M36" s="1084"/>
      <c r="N36" s="1084"/>
      <c r="O36" s="1084"/>
      <c r="P36" s="1084"/>
      <c r="Q36" s="1084"/>
      <c r="R36" s="1084"/>
      <c r="S36" s="1084"/>
      <c r="T36" s="1084"/>
      <c r="U36" s="1084"/>
      <c r="V36" s="1084"/>
      <c r="W36" s="1084"/>
      <c r="X36" s="1084"/>
      <c r="Y36" s="1084"/>
      <c r="Z36" s="1084"/>
      <c r="AA36" s="1084"/>
      <c r="AB36" s="1084"/>
      <c r="AC36" s="1084"/>
      <c r="AD36" s="1084"/>
      <c r="AE36" s="1084"/>
      <c r="AF36" s="1084"/>
      <c r="AG36" s="1084"/>
      <c r="AH36" s="1084"/>
      <c r="AI36" s="1084"/>
      <c r="AJ36" s="1084"/>
      <c r="AK36" s="1084"/>
      <c r="AL36" s="1084"/>
      <c r="AM36" s="1084"/>
      <c r="AN36" s="1084"/>
      <c r="AO36" s="1084"/>
      <c r="AP36" s="1084"/>
      <c r="AQ36" s="1084"/>
      <c r="AR36" s="1084"/>
      <c r="AS36" s="1085"/>
      <c r="AT36" s="2460"/>
      <c r="AU36" s="2460"/>
      <c r="AV36" s="2460"/>
      <c r="AW36" s="2460"/>
      <c r="AX36" s="2460"/>
      <c r="AY36" s="2460"/>
      <c r="AZ36" s="2460"/>
      <c r="BA36" s="2460"/>
      <c r="BB36" s="2460"/>
      <c r="BC36" s="2461"/>
    </row>
    <row r="37" spans="1:56" ht="27.75" customHeight="1" thickBot="1" x14ac:dyDescent="0.3">
      <c r="A37" s="9" t="s">
        <v>68</v>
      </c>
    </row>
    <row r="38" spans="1:56" s="2" customFormat="1" ht="24" customHeight="1" thickBot="1" x14ac:dyDescent="0.3">
      <c r="A38" s="19" t="s">
        <v>1</v>
      </c>
      <c r="B38" s="1076" t="s">
        <v>2</v>
      </c>
      <c r="C38" s="1077"/>
      <c r="D38" s="1077"/>
      <c r="E38" s="1077"/>
      <c r="F38" s="1077"/>
      <c r="G38" s="1077"/>
      <c r="H38" s="1077"/>
      <c r="I38" s="1077"/>
      <c r="J38" s="1077"/>
      <c r="K38" s="1077"/>
      <c r="L38" s="1077"/>
      <c r="M38" s="1078"/>
      <c r="N38" s="1091" t="s">
        <v>3</v>
      </c>
      <c r="O38" s="1092"/>
      <c r="P38" s="1092"/>
      <c r="Q38" s="1092"/>
      <c r="R38" s="1092"/>
      <c r="S38" s="1092"/>
      <c r="T38" s="1092"/>
      <c r="U38" s="1092"/>
      <c r="V38" s="1092"/>
      <c r="W38" s="1092"/>
      <c r="X38" s="1092"/>
      <c r="Y38" s="1093"/>
      <c r="Z38" s="1076" t="s">
        <v>139</v>
      </c>
      <c r="AA38" s="1077"/>
      <c r="AB38" s="1077"/>
      <c r="AC38" s="1077"/>
      <c r="AD38" s="1077"/>
      <c r="AE38" s="1077"/>
      <c r="AF38" s="1077"/>
      <c r="AG38" s="1077"/>
      <c r="AH38" s="1077"/>
      <c r="AI38" s="1078"/>
      <c r="AJ38" s="1076" t="s">
        <v>4</v>
      </c>
      <c r="AK38" s="1077"/>
      <c r="AL38" s="1077"/>
      <c r="AM38" s="1077"/>
      <c r="AN38" s="1077"/>
      <c r="AO38" s="1077"/>
      <c r="AP38" s="1077"/>
      <c r="AQ38" s="1077"/>
      <c r="AR38" s="1077"/>
      <c r="AS38" s="1078"/>
      <c r="AT38" s="1076" t="s">
        <v>5</v>
      </c>
      <c r="AU38" s="1077"/>
      <c r="AV38" s="1077"/>
      <c r="AW38" s="1077"/>
      <c r="AX38" s="1077"/>
      <c r="AY38" s="1077"/>
      <c r="AZ38" s="1077"/>
      <c r="BA38" s="1077"/>
      <c r="BB38" s="1077"/>
      <c r="BC38" s="1078"/>
    </row>
    <row r="39" spans="1:56" ht="36.75" customHeight="1" x14ac:dyDescent="0.25">
      <c r="A39" s="1086" t="s">
        <v>10</v>
      </c>
      <c r="B39" s="2447" t="s">
        <v>952</v>
      </c>
      <c r="C39" s="2448"/>
      <c r="D39" s="2448"/>
      <c r="E39" s="2448"/>
      <c r="F39" s="2448"/>
      <c r="G39" s="2448"/>
      <c r="H39" s="2448"/>
      <c r="I39" s="2448"/>
      <c r="J39" s="2365" t="s">
        <v>151</v>
      </c>
      <c r="K39" s="2365"/>
      <c r="L39" s="2366"/>
      <c r="M39" s="107">
        <v>1</v>
      </c>
      <c r="N39" s="2447" t="s">
        <v>101</v>
      </c>
      <c r="O39" s="2448"/>
      <c r="P39" s="2448"/>
      <c r="Q39" s="2448"/>
      <c r="R39" s="2448"/>
      <c r="S39" s="2448"/>
      <c r="T39" s="2448"/>
      <c r="U39" s="2448"/>
      <c r="V39" s="2365" t="s">
        <v>151</v>
      </c>
      <c r="W39" s="2365"/>
      <c r="X39" s="2366"/>
      <c r="Y39" s="107">
        <v>1</v>
      </c>
      <c r="Z39" s="2447" t="s">
        <v>952</v>
      </c>
      <c r="AA39" s="2448"/>
      <c r="AB39" s="2448"/>
      <c r="AC39" s="2448"/>
      <c r="AD39" s="2448"/>
      <c r="AE39" s="2448"/>
      <c r="AF39" s="2365" t="s">
        <v>151</v>
      </c>
      <c r="AG39" s="2365"/>
      <c r="AH39" s="2366"/>
      <c r="AI39" s="107">
        <v>1</v>
      </c>
      <c r="AJ39" s="2447" t="s">
        <v>525</v>
      </c>
      <c r="AK39" s="2448"/>
      <c r="AL39" s="2448"/>
      <c r="AM39" s="2448"/>
      <c r="AN39" s="2448"/>
      <c r="AO39" s="2448"/>
      <c r="AP39" s="2365" t="s">
        <v>153</v>
      </c>
      <c r="AQ39" s="2365"/>
      <c r="AR39" s="2366"/>
      <c r="AS39" s="107">
        <v>1</v>
      </c>
      <c r="AT39" s="2447" t="s">
        <v>934</v>
      </c>
      <c r="AU39" s="2448"/>
      <c r="AV39" s="2448"/>
      <c r="AW39" s="2448"/>
      <c r="AX39" s="2448"/>
      <c r="AY39" s="2448"/>
      <c r="AZ39" s="2365" t="s">
        <v>153</v>
      </c>
      <c r="BA39" s="2365"/>
      <c r="BB39" s="2366"/>
      <c r="BC39" s="107">
        <v>1</v>
      </c>
    </row>
    <row r="40" spans="1:56" ht="36.75" customHeight="1" thickBot="1" x14ac:dyDescent="0.3">
      <c r="A40" s="1087"/>
      <c r="B40" s="2441" t="s">
        <v>952</v>
      </c>
      <c r="C40" s="2442"/>
      <c r="D40" s="2442"/>
      <c r="E40" s="2442"/>
      <c r="F40" s="2442"/>
      <c r="G40" s="2442"/>
      <c r="H40" s="2442"/>
      <c r="I40" s="2442"/>
      <c r="J40" s="2374" t="s">
        <v>151</v>
      </c>
      <c r="K40" s="2374"/>
      <c r="L40" s="2375"/>
      <c r="M40" s="906">
        <v>2</v>
      </c>
      <c r="N40" s="2504" t="s">
        <v>101</v>
      </c>
      <c r="O40" s="2505"/>
      <c r="P40" s="2505"/>
      <c r="Q40" s="2505"/>
      <c r="R40" s="2505"/>
      <c r="S40" s="2505"/>
      <c r="T40" s="2505"/>
      <c r="U40" s="2505"/>
      <c r="V40" s="2374" t="s">
        <v>151</v>
      </c>
      <c r="W40" s="2374"/>
      <c r="X40" s="2375"/>
      <c r="Y40" s="906">
        <v>2</v>
      </c>
      <c r="Z40" s="2441" t="s">
        <v>952</v>
      </c>
      <c r="AA40" s="2442"/>
      <c r="AB40" s="2442"/>
      <c r="AC40" s="2442"/>
      <c r="AD40" s="2442"/>
      <c r="AE40" s="2442"/>
      <c r="AF40" s="2374" t="s">
        <v>151</v>
      </c>
      <c r="AG40" s="2374"/>
      <c r="AH40" s="2375"/>
      <c r="AI40" s="906">
        <v>2</v>
      </c>
      <c r="AJ40" s="2441" t="s">
        <v>934</v>
      </c>
      <c r="AK40" s="2442"/>
      <c r="AL40" s="2442"/>
      <c r="AM40" s="2442"/>
      <c r="AN40" s="2442"/>
      <c r="AO40" s="2442"/>
      <c r="AP40" s="2374" t="s">
        <v>151</v>
      </c>
      <c r="AQ40" s="2374"/>
      <c r="AR40" s="2375"/>
      <c r="AS40" s="906">
        <v>2</v>
      </c>
      <c r="AT40" s="2441" t="s">
        <v>963</v>
      </c>
      <c r="AU40" s="2442"/>
      <c r="AV40" s="2442"/>
      <c r="AW40" s="2442"/>
      <c r="AX40" s="2442"/>
      <c r="AY40" s="2442"/>
      <c r="AZ40" s="2374" t="s">
        <v>151</v>
      </c>
      <c r="BA40" s="2374"/>
      <c r="BB40" s="2375"/>
      <c r="BC40" s="906">
        <v>2</v>
      </c>
    </row>
    <row r="41" spans="1:56" ht="36.75" customHeight="1" x14ac:dyDescent="0.25">
      <c r="A41" s="1087" t="s">
        <v>11</v>
      </c>
      <c r="B41" s="2447" t="s">
        <v>595</v>
      </c>
      <c r="C41" s="2448"/>
      <c r="D41" s="2448"/>
      <c r="E41" s="2448"/>
      <c r="F41" s="2448"/>
      <c r="G41" s="2448"/>
      <c r="H41" s="2448"/>
      <c r="I41" s="2448"/>
      <c r="J41" s="2365" t="s">
        <v>153</v>
      </c>
      <c r="K41" s="2365"/>
      <c r="L41" s="2366"/>
      <c r="M41" s="107">
        <v>1</v>
      </c>
      <c r="N41" s="2447" t="s">
        <v>934</v>
      </c>
      <c r="O41" s="2448"/>
      <c r="P41" s="2448"/>
      <c r="Q41" s="2448"/>
      <c r="R41" s="2448"/>
      <c r="S41" s="2448"/>
      <c r="T41" s="2448"/>
      <c r="U41" s="2448"/>
      <c r="V41" s="2365" t="s">
        <v>153</v>
      </c>
      <c r="W41" s="2365"/>
      <c r="X41" s="2366"/>
      <c r="Y41" s="107">
        <v>1</v>
      </c>
      <c r="Z41" s="2447" t="s">
        <v>963</v>
      </c>
      <c r="AA41" s="2448"/>
      <c r="AB41" s="2448"/>
      <c r="AC41" s="2448"/>
      <c r="AD41" s="2448"/>
      <c r="AE41" s="2448"/>
      <c r="AF41" s="2365" t="s">
        <v>153</v>
      </c>
      <c r="AG41" s="2365"/>
      <c r="AH41" s="2366"/>
      <c r="AI41" s="107">
        <v>1</v>
      </c>
      <c r="AJ41" s="2447" t="s">
        <v>101</v>
      </c>
      <c r="AK41" s="2448"/>
      <c r="AL41" s="2448"/>
      <c r="AM41" s="2448"/>
      <c r="AN41" s="2448"/>
      <c r="AO41" s="2448"/>
      <c r="AP41" s="2365" t="s">
        <v>151</v>
      </c>
      <c r="AQ41" s="2365"/>
      <c r="AR41" s="2366"/>
      <c r="AS41" s="107">
        <v>1</v>
      </c>
      <c r="AT41" s="2447" t="s">
        <v>525</v>
      </c>
      <c r="AU41" s="2448"/>
      <c r="AV41" s="2448"/>
      <c r="AW41" s="2448"/>
      <c r="AX41" s="2448"/>
      <c r="AY41" s="2448"/>
      <c r="AZ41" s="2365" t="s">
        <v>153</v>
      </c>
      <c r="BA41" s="2365"/>
      <c r="BB41" s="2366"/>
      <c r="BC41" s="107">
        <v>1</v>
      </c>
    </row>
    <row r="42" spans="1:56" ht="36.75" customHeight="1" thickBot="1" x14ac:dyDescent="0.3">
      <c r="A42" s="1087"/>
      <c r="B42" s="2441" t="s">
        <v>525</v>
      </c>
      <c r="C42" s="2442"/>
      <c r="D42" s="2442"/>
      <c r="E42" s="2442"/>
      <c r="F42" s="2442"/>
      <c r="G42" s="2442"/>
      <c r="H42" s="2442"/>
      <c r="I42" s="2442"/>
      <c r="J42" s="2374" t="s">
        <v>151</v>
      </c>
      <c r="K42" s="2374"/>
      <c r="L42" s="2375"/>
      <c r="M42" s="906">
        <v>2</v>
      </c>
      <c r="N42" s="2441" t="s">
        <v>963</v>
      </c>
      <c r="O42" s="2442"/>
      <c r="P42" s="2442"/>
      <c r="Q42" s="2442"/>
      <c r="R42" s="2442"/>
      <c r="S42" s="2442"/>
      <c r="T42" s="2442"/>
      <c r="U42" s="2442"/>
      <c r="V42" s="2374" t="s">
        <v>151</v>
      </c>
      <c r="W42" s="2374"/>
      <c r="X42" s="2375"/>
      <c r="Y42" s="906">
        <v>2</v>
      </c>
      <c r="Z42" s="2441" t="s">
        <v>525</v>
      </c>
      <c r="AA42" s="2442"/>
      <c r="AB42" s="2442"/>
      <c r="AC42" s="2442"/>
      <c r="AD42" s="2442"/>
      <c r="AE42" s="2442"/>
      <c r="AF42" s="2374" t="s">
        <v>151</v>
      </c>
      <c r="AG42" s="2374"/>
      <c r="AH42" s="2375"/>
      <c r="AI42" s="906">
        <v>2</v>
      </c>
      <c r="AJ42" s="2441" t="s">
        <v>101</v>
      </c>
      <c r="AK42" s="2442"/>
      <c r="AL42" s="2442"/>
      <c r="AM42" s="2442"/>
      <c r="AN42" s="2442"/>
      <c r="AO42" s="2442"/>
      <c r="AP42" s="2374" t="s">
        <v>151</v>
      </c>
      <c r="AQ42" s="2374"/>
      <c r="AR42" s="2375"/>
      <c r="AS42" s="906">
        <v>2</v>
      </c>
      <c r="AT42" s="2441" t="s">
        <v>934</v>
      </c>
      <c r="AU42" s="2442"/>
      <c r="AV42" s="2442"/>
      <c r="AW42" s="2442"/>
      <c r="AX42" s="2442"/>
      <c r="AY42" s="2442"/>
      <c r="AZ42" s="2374" t="s">
        <v>151</v>
      </c>
      <c r="BA42" s="2374"/>
      <c r="BB42" s="2375"/>
      <c r="BC42" s="906">
        <v>2</v>
      </c>
    </row>
    <row r="43" spans="1:56" s="93" customFormat="1" ht="45.75" customHeight="1" x14ac:dyDescent="0.25">
      <c r="A43" s="1087" t="s">
        <v>6</v>
      </c>
      <c r="B43" s="552" t="s">
        <v>579</v>
      </c>
      <c r="C43" s="2443" t="s">
        <v>149</v>
      </c>
      <c r="D43" s="388" t="s">
        <v>580</v>
      </c>
      <c r="E43" s="2361" t="s">
        <v>154</v>
      </c>
      <c r="F43" s="388" t="s">
        <v>581</v>
      </c>
      <c r="G43" s="2433" t="s">
        <v>751</v>
      </c>
      <c r="H43" s="266"/>
      <c r="I43" s="2376"/>
      <c r="J43" s="844" t="s">
        <v>665</v>
      </c>
      <c r="K43" s="2423" t="s">
        <v>750</v>
      </c>
      <c r="L43" s="218" t="s">
        <v>584</v>
      </c>
      <c r="M43" s="2426" t="s">
        <v>161</v>
      </c>
      <c r="N43" s="94" t="s">
        <v>579</v>
      </c>
      <c r="O43" s="2433" t="s">
        <v>750</v>
      </c>
      <c r="P43" s="196"/>
      <c r="Q43" s="2387"/>
      <c r="R43" s="600"/>
      <c r="S43" s="2430"/>
      <c r="T43" s="129" t="s">
        <v>583</v>
      </c>
      <c r="U43" s="2439" t="s">
        <v>161</v>
      </c>
      <c r="V43" s="129" t="s">
        <v>584</v>
      </c>
      <c r="W43" s="2439" t="s">
        <v>685</v>
      </c>
      <c r="X43" s="717"/>
      <c r="Y43" s="2506"/>
      <c r="Z43" s="904" t="s">
        <v>579</v>
      </c>
      <c r="AA43" s="2433" t="s">
        <v>161</v>
      </c>
      <c r="AD43" s="218" t="s">
        <v>583</v>
      </c>
      <c r="AE43" s="2362" t="s">
        <v>685</v>
      </c>
      <c r="AF43" s="719"/>
      <c r="AG43" s="2376"/>
      <c r="AH43" s="129" t="s">
        <v>584</v>
      </c>
      <c r="AI43" s="2439" t="s">
        <v>750</v>
      </c>
      <c r="AJ43" s="82"/>
      <c r="AK43" s="2376"/>
      <c r="AL43" s="904" t="s">
        <v>580</v>
      </c>
      <c r="AM43" s="2433" t="s">
        <v>685</v>
      </c>
      <c r="AN43" s="388" t="s">
        <v>581</v>
      </c>
      <c r="AO43" s="2360" t="s">
        <v>750</v>
      </c>
      <c r="AP43" s="129" t="s">
        <v>583</v>
      </c>
      <c r="AQ43" s="2439" t="s">
        <v>148</v>
      </c>
      <c r="AR43" s="715"/>
      <c r="AS43" s="2472"/>
      <c r="AT43" s="385"/>
      <c r="AU43" s="2387"/>
      <c r="AV43" s="904" t="s">
        <v>580</v>
      </c>
      <c r="AW43" s="2433" t="s">
        <v>750</v>
      </c>
      <c r="AX43" s="78"/>
      <c r="AY43" s="2376"/>
      <c r="BB43" s="129" t="s">
        <v>584</v>
      </c>
      <c r="BC43" s="2426" t="s">
        <v>751</v>
      </c>
      <c r="BD43" s="265"/>
    </row>
    <row r="44" spans="1:56" s="93" customFormat="1" ht="33" customHeight="1" x14ac:dyDescent="0.25">
      <c r="A44" s="1087"/>
      <c r="B44" s="1191" t="s">
        <v>934</v>
      </c>
      <c r="C44" s="2443"/>
      <c r="D44" s="1221" t="s">
        <v>952</v>
      </c>
      <c r="E44" s="2361"/>
      <c r="F44" s="1221" t="s">
        <v>525</v>
      </c>
      <c r="G44" s="2361"/>
      <c r="H44" s="1224"/>
      <c r="I44" s="2377"/>
      <c r="J44" s="2444" t="s">
        <v>963</v>
      </c>
      <c r="K44" s="2424"/>
      <c r="L44" s="2422" t="s">
        <v>952</v>
      </c>
      <c r="M44" s="2427"/>
      <c r="N44" s="1191" t="s">
        <v>963</v>
      </c>
      <c r="O44" s="2361"/>
      <c r="P44" s="1113"/>
      <c r="Q44" s="2377"/>
      <c r="R44" s="1894"/>
      <c r="S44" s="2431"/>
      <c r="T44" s="2509" t="s">
        <v>952</v>
      </c>
      <c r="U44" s="2362"/>
      <c r="V44" s="2422" t="s">
        <v>101</v>
      </c>
      <c r="W44" s="2362"/>
      <c r="X44" s="2440"/>
      <c r="Y44" s="2507"/>
      <c r="Z44" s="1219" t="s">
        <v>952</v>
      </c>
      <c r="AA44" s="2361"/>
      <c r="AD44" s="2422" t="s">
        <v>101</v>
      </c>
      <c r="AE44" s="2362"/>
      <c r="AF44" s="2239"/>
      <c r="AG44" s="2377"/>
      <c r="AH44" s="2422" t="s">
        <v>963</v>
      </c>
      <c r="AI44" s="2362"/>
      <c r="AJ44" s="2209"/>
      <c r="AK44" s="2377"/>
      <c r="AL44" s="1221" t="s">
        <v>101</v>
      </c>
      <c r="AM44" s="2361"/>
      <c r="AN44" s="1221" t="s">
        <v>963</v>
      </c>
      <c r="AO44" s="2361"/>
      <c r="AP44" s="2422" t="s">
        <v>934</v>
      </c>
      <c r="AQ44" s="2362"/>
      <c r="AR44" s="2239"/>
      <c r="AS44" s="2473"/>
      <c r="AT44" s="2209"/>
      <c r="AU44" s="2377"/>
      <c r="AV44" s="1219" t="s">
        <v>963</v>
      </c>
      <c r="AW44" s="2361"/>
      <c r="AX44" s="1224"/>
      <c r="AY44" s="2377"/>
      <c r="BB44" s="2422" t="s">
        <v>525</v>
      </c>
      <c r="BC44" s="2427"/>
      <c r="BD44" s="265"/>
    </row>
    <row r="45" spans="1:56" s="93" customFormat="1" ht="33" customHeight="1" x14ac:dyDescent="0.25">
      <c r="A45" s="1087" t="s">
        <v>7</v>
      </c>
      <c r="B45" s="1191"/>
      <c r="C45" s="2443"/>
      <c r="D45" s="1221"/>
      <c r="E45" s="2361"/>
      <c r="F45" s="1221"/>
      <c r="G45" s="2361"/>
      <c r="H45" s="1224"/>
      <c r="I45" s="2377"/>
      <c r="J45" s="2444"/>
      <c r="K45" s="2424"/>
      <c r="L45" s="2422"/>
      <c r="M45" s="2427"/>
      <c r="N45" s="1191"/>
      <c r="O45" s="2361"/>
      <c r="P45" s="1113"/>
      <c r="Q45" s="2377"/>
      <c r="R45" s="1894"/>
      <c r="S45" s="2431"/>
      <c r="T45" s="2509"/>
      <c r="U45" s="2362"/>
      <c r="V45" s="2422"/>
      <c r="W45" s="2362"/>
      <c r="X45" s="2440"/>
      <c r="Y45" s="2507"/>
      <c r="Z45" s="1219"/>
      <c r="AA45" s="2361"/>
      <c r="AD45" s="2422"/>
      <c r="AE45" s="2362"/>
      <c r="AF45" s="2239"/>
      <c r="AG45" s="2377"/>
      <c r="AH45" s="2422"/>
      <c r="AI45" s="2362"/>
      <c r="AJ45" s="2209"/>
      <c r="AK45" s="2377"/>
      <c r="AL45" s="1221"/>
      <c r="AM45" s="2361"/>
      <c r="AN45" s="1221"/>
      <c r="AO45" s="2361"/>
      <c r="AP45" s="2422"/>
      <c r="AQ45" s="2362"/>
      <c r="AR45" s="2239"/>
      <c r="AS45" s="2473"/>
      <c r="AT45" s="2209"/>
      <c r="AU45" s="2377"/>
      <c r="AV45" s="1219"/>
      <c r="AW45" s="2361"/>
      <c r="AX45" s="1224"/>
      <c r="AY45" s="2377"/>
      <c r="BB45" s="2422"/>
      <c r="BC45" s="2427"/>
      <c r="BD45" s="265"/>
    </row>
    <row r="46" spans="1:56" s="93" customFormat="1" ht="33" customHeight="1" x14ac:dyDescent="0.25">
      <c r="A46" s="1087"/>
      <c r="B46" s="1191"/>
      <c r="C46" s="2443"/>
      <c r="D46" s="1221"/>
      <c r="E46" s="2361"/>
      <c r="F46" s="1222"/>
      <c r="G46" s="2369"/>
      <c r="H46" s="1240"/>
      <c r="I46" s="2377"/>
      <c r="J46" s="2445"/>
      <c r="K46" s="2425"/>
      <c r="L46" s="2429"/>
      <c r="M46" s="2428"/>
      <c r="N46" s="1192"/>
      <c r="O46" s="2369"/>
      <c r="P46" s="1114"/>
      <c r="Q46" s="2377"/>
      <c r="R46" s="1929"/>
      <c r="S46" s="2432"/>
      <c r="T46" s="2510"/>
      <c r="U46" s="2363"/>
      <c r="V46" s="2429"/>
      <c r="W46" s="2362"/>
      <c r="X46" s="2440"/>
      <c r="Y46" s="2507"/>
      <c r="Z46" s="1220"/>
      <c r="AA46" s="2369"/>
      <c r="AD46" s="2429"/>
      <c r="AE46" s="2362"/>
      <c r="AF46" s="2239"/>
      <c r="AG46" s="2378"/>
      <c r="AH46" s="2422"/>
      <c r="AI46" s="2363"/>
      <c r="AJ46" s="2209"/>
      <c r="AK46" s="2377"/>
      <c r="AL46" s="1222"/>
      <c r="AM46" s="2369"/>
      <c r="AN46" s="1221"/>
      <c r="AO46" s="2361"/>
      <c r="AP46" s="2422"/>
      <c r="AQ46" s="2362"/>
      <c r="AR46" s="2239"/>
      <c r="AS46" s="2474"/>
      <c r="AT46" s="2209"/>
      <c r="AU46" s="2377"/>
      <c r="AV46" s="1220"/>
      <c r="AW46" s="2369"/>
      <c r="AX46" s="1240"/>
      <c r="AY46" s="2377"/>
      <c r="BB46" s="2429"/>
      <c r="BC46" s="2428"/>
      <c r="BD46" s="265"/>
    </row>
    <row r="47" spans="1:56" s="93" customFormat="1" ht="45.75" customHeight="1" x14ac:dyDescent="0.25">
      <c r="A47" s="1087" t="s">
        <v>8</v>
      </c>
      <c r="B47" s="162" t="s">
        <v>579</v>
      </c>
      <c r="C47" s="2360" t="s">
        <v>751</v>
      </c>
      <c r="D47" s="163" t="s">
        <v>580</v>
      </c>
      <c r="E47" s="2360" t="s">
        <v>149</v>
      </c>
      <c r="F47" s="266"/>
      <c r="G47" s="2387"/>
      <c r="H47" s="266"/>
      <c r="I47" s="2387"/>
      <c r="J47" s="266"/>
      <c r="K47" s="2387"/>
      <c r="L47" s="218" t="s">
        <v>584</v>
      </c>
      <c r="M47" s="2484" t="s">
        <v>149</v>
      </c>
      <c r="N47" s="125"/>
      <c r="O47" s="2387"/>
      <c r="P47" s="266"/>
      <c r="Q47" s="2387"/>
      <c r="R47" s="196"/>
      <c r="S47" s="2387"/>
      <c r="T47" s="269" t="s">
        <v>583</v>
      </c>
      <c r="U47" s="2437" t="s">
        <v>751</v>
      </c>
      <c r="V47" s="137"/>
      <c r="W47" s="2387"/>
      <c r="X47" s="264"/>
      <c r="Y47" s="2490"/>
      <c r="Z47" s="162" t="s">
        <v>579</v>
      </c>
      <c r="AA47" s="2360" t="s">
        <v>685</v>
      </c>
      <c r="AB47" s="196"/>
      <c r="AC47" s="2387"/>
      <c r="AD47" s="266"/>
      <c r="AE47" s="2387"/>
      <c r="AF47" s="719"/>
      <c r="AG47" s="2377"/>
      <c r="AH47" s="718"/>
      <c r="AJ47" s="720"/>
      <c r="AK47" s="2417"/>
      <c r="AL47" s="383" t="s">
        <v>580</v>
      </c>
      <c r="AM47" s="2361" t="s">
        <v>751</v>
      </c>
      <c r="AN47" s="163" t="s">
        <v>581</v>
      </c>
      <c r="AO47" s="2360" t="s">
        <v>148</v>
      </c>
      <c r="AP47" s="870" t="s">
        <v>583</v>
      </c>
      <c r="AQ47" s="2502" t="s">
        <v>750</v>
      </c>
      <c r="AR47" s="349"/>
      <c r="AS47" s="267"/>
      <c r="AT47" s="229"/>
      <c r="AU47" s="2357"/>
      <c r="AV47" s="266"/>
      <c r="AW47" s="2387"/>
      <c r="AX47" s="208"/>
      <c r="AY47" s="302"/>
      <c r="AZ47" s="264"/>
      <c r="BA47" s="2357"/>
      <c r="BB47" s="517"/>
      <c r="BC47" s="2398"/>
      <c r="BD47" s="265"/>
    </row>
    <row r="48" spans="1:56" s="93" customFormat="1" ht="33" customHeight="1" x14ac:dyDescent="0.25">
      <c r="A48" s="1087"/>
      <c r="B48" s="1191" t="s">
        <v>525</v>
      </c>
      <c r="C48" s="2361"/>
      <c r="D48" s="1109" t="s">
        <v>934</v>
      </c>
      <c r="E48" s="2361"/>
      <c r="F48" s="1224"/>
      <c r="G48" s="2377"/>
      <c r="H48" s="1224"/>
      <c r="I48" s="2377"/>
      <c r="J48" s="1224"/>
      <c r="K48" s="2377"/>
      <c r="L48" s="2422" t="s">
        <v>934</v>
      </c>
      <c r="M48" s="2427"/>
      <c r="N48" s="1241"/>
      <c r="O48" s="2377"/>
      <c r="P48" s="1224"/>
      <c r="Q48" s="2377"/>
      <c r="R48" s="1224"/>
      <c r="S48" s="2377"/>
      <c r="T48" s="2422" t="s">
        <v>525</v>
      </c>
      <c r="U48" s="2362"/>
      <c r="V48" s="1224"/>
      <c r="W48" s="2377"/>
      <c r="X48" s="2355"/>
      <c r="Y48" s="2491"/>
      <c r="Z48" s="1191" t="s">
        <v>101</v>
      </c>
      <c r="AA48" s="2361"/>
      <c r="AB48" s="1224"/>
      <c r="AC48" s="2377"/>
      <c r="AD48" s="1224"/>
      <c r="AE48" s="2377"/>
      <c r="AF48" s="2239"/>
      <c r="AG48" s="2377"/>
      <c r="AJ48" s="2419"/>
      <c r="AK48" s="2418"/>
      <c r="AL48" s="1219" t="s">
        <v>525</v>
      </c>
      <c r="AM48" s="2361"/>
      <c r="AN48" s="1221" t="s">
        <v>934</v>
      </c>
      <c r="AO48" s="2361"/>
      <c r="AP48" s="2444" t="s">
        <v>963</v>
      </c>
      <c r="AQ48" s="2424"/>
      <c r="AR48" s="219"/>
      <c r="AS48" s="267"/>
      <c r="AT48" s="2202"/>
      <c r="AU48" s="2358"/>
      <c r="AV48" s="1224"/>
      <c r="AW48" s="2377"/>
      <c r="AX48" s="208"/>
      <c r="AY48" s="208"/>
      <c r="AZ48" s="2408"/>
      <c r="BA48" s="2358"/>
      <c r="BB48" s="2213"/>
      <c r="BC48" s="2398"/>
    </row>
    <row r="49" spans="1:56" s="93" customFormat="1" ht="33" customHeight="1" x14ac:dyDescent="0.25">
      <c r="A49" s="1087" t="s">
        <v>9</v>
      </c>
      <c r="B49" s="1191"/>
      <c r="C49" s="2361"/>
      <c r="D49" s="1109"/>
      <c r="E49" s="2361"/>
      <c r="F49" s="1224"/>
      <c r="G49" s="2377"/>
      <c r="H49" s="1224"/>
      <c r="I49" s="2377"/>
      <c r="J49" s="1224"/>
      <c r="K49" s="2377"/>
      <c r="L49" s="2422"/>
      <c r="M49" s="2427"/>
      <c r="N49" s="1241"/>
      <c r="O49" s="2377"/>
      <c r="P49" s="1224"/>
      <c r="Q49" s="2377"/>
      <c r="R49" s="1224"/>
      <c r="S49" s="2377"/>
      <c r="T49" s="2422"/>
      <c r="U49" s="2362"/>
      <c r="V49" s="1224"/>
      <c r="W49" s="2377"/>
      <c r="X49" s="2355"/>
      <c r="Y49" s="2491"/>
      <c r="Z49" s="1191"/>
      <c r="AA49" s="2361"/>
      <c r="AB49" s="1224"/>
      <c r="AC49" s="2377"/>
      <c r="AD49" s="1224"/>
      <c r="AE49" s="2377"/>
      <c r="AF49" s="2239"/>
      <c r="AG49" s="2377"/>
      <c r="AJ49" s="2419"/>
      <c r="AK49" s="2418"/>
      <c r="AL49" s="1219"/>
      <c r="AM49" s="2361"/>
      <c r="AN49" s="1221"/>
      <c r="AO49" s="2361"/>
      <c r="AP49" s="2444"/>
      <c r="AQ49" s="2424"/>
      <c r="AR49" s="219"/>
      <c r="AS49" s="267"/>
      <c r="AT49" s="2202"/>
      <c r="AU49" s="2358"/>
      <c r="AV49" s="1224"/>
      <c r="AW49" s="2377"/>
      <c r="AX49" s="208"/>
      <c r="AY49" s="208"/>
      <c r="AZ49" s="2408"/>
      <c r="BA49" s="2358"/>
      <c r="BB49" s="2213"/>
      <c r="BC49" s="2398"/>
      <c r="BD49" s="265"/>
    </row>
    <row r="50" spans="1:56" s="93" customFormat="1" ht="33" customHeight="1" thickBot="1" x14ac:dyDescent="0.3">
      <c r="A50" s="1171"/>
      <c r="B50" s="2221"/>
      <c r="C50" s="2421"/>
      <c r="D50" s="1109"/>
      <c r="E50" s="2361"/>
      <c r="F50" s="1225"/>
      <c r="G50" s="2388"/>
      <c r="H50" s="1225"/>
      <c r="I50" s="2388"/>
      <c r="J50" s="1225"/>
      <c r="K50" s="2388"/>
      <c r="L50" s="2422"/>
      <c r="M50" s="2485"/>
      <c r="N50" s="2207"/>
      <c r="O50" s="2388"/>
      <c r="P50" s="1225"/>
      <c r="Q50" s="2388"/>
      <c r="R50" s="1225"/>
      <c r="S50" s="2388"/>
      <c r="T50" s="2422"/>
      <c r="U50" s="2438"/>
      <c r="V50" s="1225"/>
      <c r="W50" s="2388"/>
      <c r="X50" s="2355"/>
      <c r="Y50" s="2492"/>
      <c r="Z50" s="2221"/>
      <c r="AA50" s="2421"/>
      <c r="AB50" s="1225"/>
      <c r="AC50" s="2388"/>
      <c r="AD50" s="1225"/>
      <c r="AE50" s="2388"/>
      <c r="AF50" s="2239"/>
      <c r="AG50" s="2388"/>
      <c r="AH50" s="702"/>
      <c r="AI50" s="702"/>
      <c r="AJ50" s="2420"/>
      <c r="AK50" s="2418"/>
      <c r="AL50" s="2410"/>
      <c r="AM50" s="2361"/>
      <c r="AN50" s="1255"/>
      <c r="AO50" s="2421"/>
      <c r="AP50" s="2445"/>
      <c r="AQ50" s="2503"/>
      <c r="AR50" s="220"/>
      <c r="AS50" s="268"/>
      <c r="AT50" s="2203"/>
      <c r="AU50" s="2359"/>
      <c r="AV50" s="1225"/>
      <c r="AW50" s="2388"/>
      <c r="AX50" s="209"/>
      <c r="AY50" s="209"/>
      <c r="AZ50" s="2409"/>
      <c r="BA50" s="2359"/>
      <c r="BB50" s="2214"/>
      <c r="BC50" s="2399"/>
    </row>
    <row r="51" spans="1:56" ht="21.75" customHeight="1" thickBot="1" x14ac:dyDescent="0.3">
      <c r="C51" s="231"/>
      <c r="D51" s="231"/>
      <c r="E51" s="231"/>
      <c r="L51" s="231"/>
      <c r="T51" s="231"/>
      <c r="X51" s="231"/>
      <c r="AB51" s="231"/>
      <c r="AF51" s="231"/>
      <c r="AK51" s="231"/>
      <c r="AM51" s="231"/>
      <c r="AP51" s="231"/>
      <c r="AQ51" s="231"/>
      <c r="AU51" s="231"/>
      <c r="AV51" s="231"/>
      <c r="AW51" s="231"/>
      <c r="AX51" s="231"/>
      <c r="AY51" s="231"/>
      <c r="AZ51" s="231"/>
    </row>
    <row r="52" spans="1:56" ht="19.5" customHeight="1" x14ac:dyDescent="0.25">
      <c r="A52" s="2493" t="s">
        <v>218</v>
      </c>
      <c r="B52" s="2494"/>
      <c r="C52" s="2494"/>
      <c r="D52" s="2494"/>
      <c r="E52" s="2495"/>
      <c r="F52" s="2414" t="s">
        <v>219</v>
      </c>
      <c r="G52" s="2415"/>
      <c r="H52" s="2415"/>
      <c r="I52" s="2415"/>
      <c r="J52" s="2415"/>
      <c r="K52" s="2415"/>
      <c r="L52" s="2415"/>
      <c r="M52" s="2415"/>
      <c r="N52" s="2415"/>
      <c r="O52" s="2415"/>
      <c r="P52" s="2415"/>
      <c r="Q52" s="2415"/>
      <c r="R52" s="2415"/>
      <c r="S52" s="2415"/>
      <c r="T52" s="2415"/>
      <c r="U52" s="2415"/>
      <c r="V52" s="2415"/>
      <c r="W52" s="2415"/>
      <c r="X52" s="2415"/>
      <c r="Y52" s="2416"/>
      <c r="Z52" s="2414" t="s">
        <v>327</v>
      </c>
      <c r="AA52" s="2415"/>
      <c r="AB52" s="2415"/>
      <c r="AC52" s="2416"/>
      <c r="AD52" s="2414" t="s">
        <v>143</v>
      </c>
      <c r="AE52" s="2415"/>
      <c r="AF52" s="2415"/>
      <c r="AG52" s="2416"/>
      <c r="AH52" s="2403" t="s">
        <v>167</v>
      </c>
      <c r="AI52" s="2403"/>
      <c r="AJ52" s="2403"/>
      <c r="AK52" s="2403"/>
      <c r="AL52" s="2403"/>
      <c r="AM52" s="2403"/>
      <c r="AN52" s="2403"/>
      <c r="AO52" s="2403"/>
      <c r="AP52" s="2403"/>
      <c r="AQ52" s="2403"/>
      <c r="AR52" s="2403"/>
      <c r="AS52" s="2403"/>
      <c r="AT52" s="2403"/>
      <c r="AU52" s="2403"/>
      <c r="AV52" s="2403"/>
      <c r="AW52" s="2403"/>
      <c r="AX52" s="2403"/>
      <c r="AY52" s="2403"/>
      <c r="AZ52" s="2403"/>
      <c r="BA52" s="2403"/>
      <c r="BB52" s="2403"/>
      <c r="BC52" s="2404"/>
    </row>
    <row r="53" spans="1:56" ht="19.5" customHeight="1" x14ac:dyDescent="0.25">
      <c r="A53" s="2451" t="str">
        <f>VLOOKUP(Z53,ASIGNATURAS!$F$1:$L$1022, 3, FALSE)</f>
        <v>INGLÉS</v>
      </c>
      <c r="B53" s="2452"/>
      <c r="C53" s="2452"/>
      <c r="D53" s="2452"/>
      <c r="E53" s="2453"/>
      <c r="F53" s="2411" t="str">
        <f>VLOOKUP(Z53,ASIGNATURAS!$F$1:$L$1022, 4, FALSE)</f>
        <v xml:space="preserve">Inglés Aplicado a la Informática </v>
      </c>
      <c r="G53" s="2412"/>
      <c r="H53" s="2412"/>
      <c r="I53" s="2412"/>
      <c r="J53" s="2412"/>
      <c r="K53" s="2412"/>
      <c r="L53" s="2412"/>
      <c r="M53" s="2412"/>
      <c r="N53" s="2412"/>
      <c r="O53" s="2412"/>
      <c r="P53" s="2412"/>
      <c r="Q53" s="2412"/>
      <c r="R53" s="2412"/>
      <c r="S53" s="2412"/>
      <c r="T53" s="2412"/>
      <c r="U53" s="2412"/>
      <c r="V53" s="2412"/>
      <c r="W53" s="2412"/>
      <c r="X53" s="2412"/>
      <c r="Y53" s="2489"/>
      <c r="Z53" s="2405">
        <v>8801</v>
      </c>
      <c r="AA53" s="2406"/>
      <c r="AB53" s="2406"/>
      <c r="AC53" s="2407"/>
      <c r="AD53" s="2405">
        <f>VLOOKUP(Z53,ASIGNATURAS!$F$1:$L$1022, 5, FALSE)</f>
        <v>6</v>
      </c>
      <c r="AE53" s="2406"/>
      <c r="AF53" s="2406"/>
      <c r="AG53" s="2407"/>
      <c r="AH53" s="2411" t="str">
        <f>VLOOKUP(Z53,ASIGNATURAS!$F$1:$L$1022, 6, FALSE)</f>
        <v xml:space="preserve">Parisa del Shad </v>
      </c>
      <c r="AI53" s="2412"/>
      <c r="AJ53" s="2412"/>
      <c r="AK53" s="2412"/>
      <c r="AL53" s="2412"/>
      <c r="AM53" s="2412"/>
      <c r="AN53" s="2412"/>
      <c r="AO53" s="2412"/>
      <c r="AP53" s="2412"/>
      <c r="AQ53" s="2412"/>
      <c r="AR53" s="2412"/>
      <c r="AS53" s="2412"/>
      <c r="AT53" s="2412"/>
      <c r="AU53" s="2412"/>
      <c r="AV53" s="2412"/>
      <c r="AW53" s="2412"/>
      <c r="AX53" s="2412"/>
      <c r="AY53" s="2412"/>
      <c r="AZ53" s="2412"/>
      <c r="BA53" s="2412"/>
      <c r="BB53" s="2412"/>
      <c r="BC53" s="2413"/>
    </row>
    <row r="54" spans="1:56" ht="19.5" customHeight="1" x14ac:dyDescent="0.25">
      <c r="A54" s="2451" t="str">
        <f>VLOOKUP(Z54,ASIGNATURAS!$F$1:$L$1022, 3, FALSE)</f>
        <v>CÁLCULO</v>
      </c>
      <c r="B54" s="2452"/>
      <c r="C54" s="2452"/>
      <c r="D54" s="2452"/>
      <c r="E54" s="2453"/>
      <c r="F54" s="2411" t="str">
        <f>VLOOKUP(Z54,ASIGNATURAS!$F$1:$L$1022, 4, FALSE)</f>
        <v>Cálculo</v>
      </c>
      <c r="G54" s="2412"/>
      <c r="H54" s="2412"/>
      <c r="I54" s="2412"/>
      <c r="J54" s="2412"/>
      <c r="K54" s="2412"/>
      <c r="L54" s="2412"/>
      <c r="M54" s="2412"/>
      <c r="N54" s="2412"/>
      <c r="O54" s="2412"/>
      <c r="P54" s="2412"/>
      <c r="Q54" s="2412"/>
      <c r="R54" s="2412"/>
      <c r="S54" s="2412"/>
      <c r="T54" s="2412"/>
      <c r="U54" s="2412"/>
      <c r="V54" s="2412"/>
      <c r="W54" s="2412"/>
      <c r="X54" s="2412"/>
      <c r="Y54" s="2489"/>
      <c r="Z54" s="2405">
        <v>8802</v>
      </c>
      <c r="AA54" s="2406"/>
      <c r="AB54" s="2406"/>
      <c r="AC54" s="2407"/>
      <c r="AD54" s="2405">
        <f>VLOOKUP(Z54,ASIGNATURAS!$F$1:$L$1022, 5, FALSE)</f>
        <v>6</v>
      </c>
      <c r="AE54" s="2406"/>
      <c r="AF54" s="2406"/>
      <c r="AG54" s="2407"/>
      <c r="AH54" s="2411" t="str">
        <f>VLOOKUP(Z54,ASIGNATURAS!$F$1:$L$1022, 6, FALSE)</f>
        <v>Sol García, María Saez-Royuela</v>
      </c>
      <c r="AI54" s="2412"/>
      <c r="AJ54" s="2412"/>
      <c r="AK54" s="2412"/>
      <c r="AL54" s="2412"/>
      <c r="AM54" s="2412"/>
      <c r="AN54" s="2412"/>
      <c r="AO54" s="2412"/>
      <c r="AP54" s="2412"/>
      <c r="AQ54" s="2412"/>
      <c r="AR54" s="2412"/>
      <c r="AS54" s="2412"/>
      <c r="AT54" s="2412"/>
      <c r="AU54" s="2412"/>
      <c r="AV54" s="2412"/>
      <c r="AW54" s="2412"/>
      <c r="AX54" s="2412"/>
      <c r="AY54" s="2412"/>
      <c r="AZ54" s="2412"/>
      <c r="BA54" s="2412"/>
      <c r="BB54" s="2412"/>
      <c r="BC54" s="2413"/>
    </row>
    <row r="55" spans="1:56" ht="19.5" customHeight="1" x14ac:dyDescent="0.25">
      <c r="A55" s="2496" t="str">
        <f>VLOOKUP(Z55,ASIGNATURAS!$F$1:$L$1022, 3, FALSE)</f>
        <v>PROGRAMACIÓN</v>
      </c>
      <c r="B55" s="2497"/>
      <c r="C55" s="2497"/>
      <c r="D55" s="2497"/>
      <c r="E55" s="2498"/>
      <c r="F55" s="2411" t="str">
        <f>VLOOKUP(Z55,ASIGNATURAS!$F$1:$L$1022, 4, FALSE)</f>
        <v xml:space="preserve">Programación </v>
      </c>
      <c r="G55" s="2412"/>
      <c r="H55" s="2412"/>
      <c r="I55" s="2412"/>
      <c r="J55" s="2412"/>
      <c r="K55" s="2412"/>
      <c r="L55" s="2412"/>
      <c r="M55" s="2412"/>
      <c r="N55" s="2412"/>
      <c r="O55" s="2412"/>
      <c r="P55" s="2412"/>
      <c r="Q55" s="2412"/>
      <c r="R55" s="2412"/>
      <c r="S55" s="2412"/>
      <c r="T55" s="2412"/>
      <c r="U55" s="2412"/>
      <c r="V55" s="2412"/>
      <c r="W55" s="2412"/>
      <c r="X55" s="2412"/>
      <c r="Y55" s="2489"/>
      <c r="Z55" s="2405">
        <v>8803</v>
      </c>
      <c r="AA55" s="2406"/>
      <c r="AB55" s="2406"/>
      <c r="AC55" s="2407"/>
      <c r="AD55" s="2405">
        <f>VLOOKUP(Z55,ASIGNATURAS!$F$1:$L$1022, 5, FALSE)</f>
        <v>6</v>
      </c>
      <c r="AE55" s="2406"/>
      <c r="AF55" s="2406"/>
      <c r="AG55" s="2407"/>
      <c r="AH55" s="2411" t="str">
        <f>VLOOKUP(Z55,ASIGNATURAS!$F$1:$L$1022, 6, FALSE)</f>
        <v>Virginia Martínez, Carlos Pardo</v>
      </c>
      <c r="AI55" s="2412"/>
      <c r="AJ55" s="2412"/>
      <c r="AK55" s="2412"/>
      <c r="AL55" s="2412"/>
      <c r="AM55" s="2412"/>
      <c r="AN55" s="2412"/>
      <c r="AO55" s="2412"/>
      <c r="AP55" s="2412"/>
      <c r="AQ55" s="2412"/>
      <c r="AR55" s="2412"/>
      <c r="AS55" s="2412"/>
      <c r="AT55" s="2412"/>
      <c r="AU55" s="2412"/>
      <c r="AV55" s="2412"/>
      <c r="AW55" s="2412"/>
      <c r="AX55" s="2412"/>
      <c r="AY55" s="2412"/>
      <c r="AZ55" s="2412"/>
      <c r="BA55" s="2412"/>
      <c r="BB55" s="2412"/>
      <c r="BC55" s="2413"/>
    </row>
    <row r="56" spans="1:56" ht="19.5" customHeight="1" x14ac:dyDescent="0.25">
      <c r="A56" s="2496" t="str">
        <f>VLOOKUP(Z56,ASIGNATURAS!$F$1:$L$1022, 3, FALSE)</f>
        <v>COMPUTADORES</v>
      </c>
      <c r="B56" s="2497"/>
      <c r="C56" s="2497"/>
      <c r="D56" s="2497"/>
      <c r="E56" s="2498"/>
      <c r="F56" s="2411" t="str">
        <f>VLOOKUP(Z56,ASIGNATURAS!$F$1:$L$1022, 4, FALSE)</f>
        <v xml:space="preserve">Fundamentos de Computadores </v>
      </c>
      <c r="G56" s="2412"/>
      <c r="H56" s="2412"/>
      <c r="I56" s="2412"/>
      <c r="J56" s="2412"/>
      <c r="K56" s="2412"/>
      <c r="L56" s="2412"/>
      <c r="M56" s="2412"/>
      <c r="N56" s="2412"/>
      <c r="O56" s="2412"/>
      <c r="P56" s="2412"/>
      <c r="Q56" s="2412"/>
      <c r="R56" s="2412"/>
      <c r="S56" s="2412"/>
      <c r="T56" s="2412"/>
      <c r="U56" s="2412"/>
      <c r="V56" s="2412"/>
      <c r="W56" s="2412"/>
      <c r="X56" s="2412"/>
      <c r="Y56" s="2489"/>
      <c r="Z56" s="2405">
        <v>8804</v>
      </c>
      <c r="AA56" s="2406"/>
      <c r="AB56" s="2406"/>
      <c r="AC56" s="2407"/>
      <c r="AD56" s="2405">
        <f>VLOOKUP(Z56,ASIGNATURAS!$F$1:$L$1022, 5, FALSE)</f>
        <v>6</v>
      </c>
      <c r="AE56" s="2406"/>
      <c r="AF56" s="2406"/>
      <c r="AG56" s="2407"/>
      <c r="AH56" s="2411" t="str">
        <f>VLOOKUP(Z56,ASIGNATURAS!$F$1:$L$1022, 6, FALSE)</f>
        <v>Pedro Luis Sánchez</v>
      </c>
      <c r="AI56" s="2412"/>
      <c r="AJ56" s="2412"/>
      <c r="AK56" s="2412"/>
      <c r="AL56" s="2412"/>
      <c r="AM56" s="2412"/>
      <c r="AN56" s="2412"/>
      <c r="AO56" s="2412"/>
      <c r="AP56" s="2412"/>
      <c r="AQ56" s="2412"/>
      <c r="AR56" s="2412"/>
      <c r="AS56" s="2412"/>
      <c r="AT56" s="2412"/>
      <c r="AU56" s="2412"/>
      <c r="AV56" s="2412"/>
      <c r="AW56" s="2412"/>
      <c r="AX56" s="2412"/>
      <c r="AY56" s="2412"/>
      <c r="AZ56" s="2412"/>
      <c r="BA56" s="2412"/>
      <c r="BB56" s="2412"/>
      <c r="BC56" s="2413"/>
    </row>
    <row r="57" spans="1:56" ht="19.5" customHeight="1" thickBot="1" x14ac:dyDescent="0.3">
      <c r="A57" s="2499" t="str">
        <f>VLOOKUP(Z57,ASIGNATURAS!$F$1:$L$1022, 3, FALSE)</f>
        <v>SIST. OPERATIV.</v>
      </c>
      <c r="B57" s="2500"/>
      <c r="C57" s="2500"/>
      <c r="D57" s="2500"/>
      <c r="E57" s="2501"/>
      <c r="F57" s="2395" t="str">
        <f>VLOOKUP(Z57,ASIGNATURAS!$F$1:$L$1022, 4, FALSE)</f>
        <v xml:space="preserve">Sistemas Operativos </v>
      </c>
      <c r="G57" s="2396"/>
      <c r="H57" s="2396"/>
      <c r="I57" s="2396"/>
      <c r="J57" s="2396"/>
      <c r="K57" s="2396"/>
      <c r="L57" s="2396"/>
      <c r="M57" s="2396"/>
      <c r="N57" s="2396"/>
      <c r="O57" s="2396"/>
      <c r="P57" s="2396"/>
      <c r="Q57" s="2396"/>
      <c r="R57" s="2396"/>
      <c r="S57" s="2396"/>
      <c r="T57" s="2396"/>
      <c r="U57" s="2396"/>
      <c r="V57" s="2396"/>
      <c r="W57" s="2396"/>
      <c r="X57" s="2396"/>
      <c r="Y57" s="2508"/>
      <c r="Z57" s="2400">
        <v>8805</v>
      </c>
      <c r="AA57" s="2401"/>
      <c r="AB57" s="2401"/>
      <c r="AC57" s="2402"/>
      <c r="AD57" s="2400">
        <f>VLOOKUP(Z57,ASIGNATURAS!$F$1:$L$1022, 5, FALSE)</f>
        <v>6</v>
      </c>
      <c r="AE57" s="2401"/>
      <c r="AF57" s="2401"/>
      <c r="AG57" s="2402"/>
      <c r="AH57" s="2395" t="str">
        <f>VLOOKUP(Z57,ASIGNATURAS!$F$1:$L$1022, 6, FALSE)</f>
        <v>José Manuel Sáiz Díez, Ana Searrano</v>
      </c>
      <c r="AI57" s="2396"/>
      <c r="AJ57" s="2396"/>
      <c r="AK57" s="2396"/>
      <c r="AL57" s="2396"/>
      <c r="AM57" s="2396"/>
      <c r="AN57" s="2396"/>
      <c r="AO57" s="2396"/>
      <c r="AP57" s="2396"/>
      <c r="AQ57" s="2396"/>
      <c r="AR57" s="2396"/>
      <c r="AS57" s="2396"/>
      <c r="AT57" s="2396"/>
      <c r="AU57" s="2396"/>
      <c r="AV57" s="2396"/>
      <c r="AW57" s="2396"/>
      <c r="AX57" s="2396"/>
      <c r="AY57" s="2396"/>
      <c r="AZ57" s="2396"/>
      <c r="BA57" s="2396"/>
      <c r="BB57" s="2396"/>
      <c r="BC57" s="2397"/>
    </row>
    <row r="58" spans="1:56" ht="23.25" customHeight="1" x14ac:dyDescent="0.25">
      <c r="A58" s="714" t="s">
        <v>217</v>
      </c>
      <c r="B58" s="10"/>
      <c r="C58" s="10"/>
      <c r="D58" s="10"/>
      <c r="E58" s="10"/>
      <c r="F58" s="10"/>
      <c r="G58" s="10"/>
      <c r="H58" s="10"/>
      <c r="I58" s="10"/>
      <c r="J58" s="10"/>
      <c r="K58" s="10"/>
      <c r="L58" s="10"/>
      <c r="M58" s="10"/>
      <c r="N58" s="10"/>
      <c r="O58" s="10"/>
    </row>
    <row r="59" spans="1:56" ht="15" x14ac:dyDescent="0.25">
      <c r="A59" s="714"/>
      <c r="B59" s="10"/>
      <c r="C59" s="10"/>
      <c r="D59" s="10"/>
      <c r="E59" s="10"/>
      <c r="F59" s="10"/>
      <c r="G59" s="10"/>
      <c r="H59" s="10"/>
      <c r="I59" s="10"/>
      <c r="J59" s="10"/>
      <c r="K59" s="10"/>
      <c r="L59" s="10"/>
      <c r="M59" s="10"/>
      <c r="N59" s="10"/>
      <c r="O59" s="10"/>
      <c r="P59" s="10"/>
      <c r="Q59" s="10"/>
      <c r="R59" s="10"/>
      <c r="S59" s="10"/>
      <c r="T59" s="10"/>
    </row>
    <row r="60" spans="1:56" x14ac:dyDescent="0.25">
      <c r="A60" s="411"/>
      <c r="B60" s="10"/>
      <c r="C60" s="10"/>
      <c r="D60" s="10"/>
      <c r="E60" s="10"/>
      <c r="F60" s="10"/>
      <c r="G60" s="10"/>
      <c r="H60" s="10"/>
      <c r="I60" s="10"/>
      <c r="J60" s="10"/>
      <c r="K60" s="10"/>
      <c r="L60" s="10"/>
      <c r="M60" s="10"/>
      <c r="N60" s="10"/>
      <c r="O60" s="10"/>
    </row>
  </sheetData>
  <mergeCells count="421">
    <mergeCell ref="A21:A22"/>
    <mergeCell ref="AY19:AY22"/>
    <mergeCell ref="BA19:BA22"/>
    <mergeCell ref="BC19:BC22"/>
    <mergeCell ref="B20:B22"/>
    <mergeCell ref="F20:F22"/>
    <mergeCell ref="H20:H22"/>
    <mergeCell ref="J20:J22"/>
    <mergeCell ref="L20:L22"/>
    <mergeCell ref="N20:N22"/>
    <mergeCell ref="P20:P22"/>
    <mergeCell ref="R20:R22"/>
    <mergeCell ref="T20:T22"/>
    <mergeCell ref="V20:V22"/>
    <mergeCell ref="X20:X22"/>
    <mergeCell ref="Z20:Z22"/>
    <mergeCell ref="AB20:AB22"/>
    <mergeCell ref="AF20:AF22"/>
    <mergeCell ref="AH20:AH22"/>
    <mergeCell ref="AJ20:AJ22"/>
    <mergeCell ref="AL20:AL22"/>
    <mergeCell ref="AV20:AV22"/>
    <mergeCell ref="AN20:AN22"/>
    <mergeCell ref="AP20:AP22"/>
    <mergeCell ref="AJ18:AS18"/>
    <mergeCell ref="AT18:BC18"/>
    <mergeCell ref="A19:A20"/>
    <mergeCell ref="C19:C22"/>
    <mergeCell ref="G19:G22"/>
    <mergeCell ref="I19:I22"/>
    <mergeCell ref="K19:K22"/>
    <mergeCell ref="M19:M22"/>
    <mergeCell ref="O19:O22"/>
    <mergeCell ref="Q19:Q22"/>
    <mergeCell ref="S19:S22"/>
    <mergeCell ref="U19:U22"/>
    <mergeCell ref="W19:W22"/>
    <mergeCell ref="Y19:Y22"/>
    <mergeCell ref="AA19:AA22"/>
    <mergeCell ref="AC19:AC22"/>
    <mergeCell ref="AG19:AG22"/>
    <mergeCell ref="AI19:AI22"/>
    <mergeCell ref="AK19:AK22"/>
    <mergeCell ref="AM19:AM22"/>
    <mergeCell ref="AX20:AX22"/>
    <mergeCell ref="AZ20:AZ22"/>
    <mergeCell ref="BB20:BB22"/>
    <mergeCell ref="AW19:AW22"/>
    <mergeCell ref="F57:Y57"/>
    <mergeCell ref="AW43:AW46"/>
    <mergeCell ref="AH26:BC26"/>
    <mergeCell ref="AV44:AV46"/>
    <mergeCell ref="AQ43:AQ46"/>
    <mergeCell ref="AS43:AS46"/>
    <mergeCell ref="AR44:AR46"/>
    <mergeCell ref="A36:AS36"/>
    <mergeCell ref="AT38:BC38"/>
    <mergeCell ref="AT41:AY41"/>
    <mergeCell ref="AX44:AX46"/>
    <mergeCell ref="BB44:BB46"/>
    <mergeCell ref="A41:A42"/>
    <mergeCell ref="J42:L42"/>
    <mergeCell ref="AL44:AL46"/>
    <mergeCell ref="AJ42:AO42"/>
    <mergeCell ref="AZ42:BB42"/>
    <mergeCell ref="A47:A48"/>
    <mergeCell ref="AY43:AY46"/>
    <mergeCell ref="AD44:AD46"/>
    <mergeCell ref="T44:T46"/>
    <mergeCell ref="Q43:Q46"/>
    <mergeCell ref="AI43:AI46"/>
    <mergeCell ref="A34:AS34"/>
    <mergeCell ref="AT20:AT22"/>
    <mergeCell ref="F54:Y54"/>
    <mergeCell ref="F55:Y55"/>
    <mergeCell ref="Y43:Y46"/>
    <mergeCell ref="H44:H46"/>
    <mergeCell ref="P48:P50"/>
    <mergeCell ref="O47:O50"/>
    <mergeCell ref="AO19:AO22"/>
    <mergeCell ref="AQ19:AQ22"/>
    <mergeCell ref="Z44:Z46"/>
    <mergeCell ref="AT44:AT46"/>
    <mergeCell ref="B41:I41"/>
    <mergeCell ref="J41:L41"/>
    <mergeCell ref="N38:Y38"/>
    <mergeCell ref="Z28:AC28"/>
    <mergeCell ref="AD28:AG28"/>
    <mergeCell ref="A29:E29"/>
    <mergeCell ref="AH44:AH46"/>
    <mergeCell ref="N42:U42"/>
    <mergeCell ref="V41:X41"/>
    <mergeCell ref="AF42:AH42"/>
    <mergeCell ref="V42:X42"/>
    <mergeCell ref="AJ41:AO41"/>
    <mergeCell ref="AE43:AE46"/>
    <mergeCell ref="AU19:AU22"/>
    <mergeCell ref="A52:E52"/>
    <mergeCell ref="A53:E53"/>
    <mergeCell ref="A54:E54"/>
    <mergeCell ref="A55:E55"/>
    <mergeCell ref="A56:E56"/>
    <mergeCell ref="A57:E57"/>
    <mergeCell ref="A45:A46"/>
    <mergeCell ref="B44:B46"/>
    <mergeCell ref="A49:A50"/>
    <mergeCell ref="E43:E46"/>
    <mergeCell ref="D44:D46"/>
    <mergeCell ref="AQ47:AQ50"/>
    <mergeCell ref="AP48:AP50"/>
    <mergeCell ref="F28:Y28"/>
    <mergeCell ref="AJ40:AO40"/>
    <mergeCell ref="N40:U40"/>
    <mergeCell ref="V40:X40"/>
    <mergeCell ref="N41:U41"/>
    <mergeCell ref="AP42:AR42"/>
    <mergeCell ref="AT42:AY42"/>
    <mergeCell ref="AK43:AK46"/>
    <mergeCell ref="AA43:AA46"/>
    <mergeCell ref="AU43:AU46"/>
    <mergeCell ref="AL11:AL13"/>
    <mergeCell ref="AZ15:AZ17"/>
    <mergeCell ref="AQ14:AQ17"/>
    <mergeCell ref="BB15:BB17"/>
    <mergeCell ref="AT15:AT17"/>
    <mergeCell ref="AV15:AV17"/>
    <mergeCell ref="AU14:AU17"/>
    <mergeCell ref="F56:Y56"/>
    <mergeCell ref="AZ41:BB41"/>
    <mergeCell ref="F53:Y53"/>
    <mergeCell ref="Z53:AC53"/>
    <mergeCell ref="AD53:AG53"/>
    <mergeCell ref="K47:K50"/>
    <mergeCell ref="M47:M50"/>
    <mergeCell ref="AD48:AD50"/>
    <mergeCell ref="AB48:AB50"/>
    <mergeCell ref="V48:V50"/>
    <mergeCell ref="Z48:Z50"/>
    <mergeCell ref="AG47:AG50"/>
    <mergeCell ref="Y47:Y50"/>
    <mergeCell ref="AA47:AA50"/>
    <mergeCell ref="AE47:AE50"/>
    <mergeCell ref="R48:R50"/>
    <mergeCell ref="AH28:BC28"/>
    <mergeCell ref="AE10:AE13"/>
    <mergeCell ref="N8:U8"/>
    <mergeCell ref="N9:U9"/>
    <mergeCell ref="S10:S13"/>
    <mergeCell ref="R11:R13"/>
    <mergeCell ref="AI10:AI13"/>
    <mergeCell ref="AH15:AH17"/>
    <mergeCell ref="BC10:BC13"/>
    <mergeCell ref="AJ9:AO9"/>
    <mergeCell ref="AL15:AL17"/>
    <mergeCell ref="AT9:AY9"/>
    <mergeCell ref="AZ9:BB9"/>
    <mergeCell ref="AP8:AR8"/>
    <mergeCell ref="AY14:AY17"/>
    <mergeCell ref="AX15:AX17"/>
    <mergeCell ref="BA14:BA17"/>
    <mergeCell ref="AK14:AK17"/>
    <mergeCell ref="AO14:AO17"/>
    <mergeCell ref="AJ8:AO8"/>
    <mergeCell ref="AM14:AM17"/>
    <mergeCell ref="AJ15:AJ17"/>
    <mergeCell ref="AM10:AM13"/>
    <mergeCell ref="AK10:AK13"/>
    <mergeCell ref="AJ11:AJ13"/>
    <mergeCell ref="BC14:BC17"/>
    <mergeCell ref="AN15:AN17"/>
    <mergeCell ref="AH24:BC24"/>
    <mergeCell ref="AH25:BC25"/>
    <mergeCell ref="Z24:AC24"/>
    <mergeCell ref="F25:Y25"/>
    <mergeCell ref="Z25:AC25"/>
    <mergeCell ref="V9:X9"/>
    <mergeCell ref="S14:S17"/>
    <mergeCell ref="Y10:Y13"/>
    <mergeCell ref="X11:X13"/>
    <mergeCell ref="J9:L9"/>
    <mergeCell ref="AC10:AC13"/>
    <mergeCell ref="Z9:AE9"/>
    <mergeCell ref="M10:M13"/>
    <mergeCell ref="Y14:Y17"/>
    <mergeCell ref="X15:X17"/>
    <mergeCell ref="F24:Y24"/>
    <mergeCell ref="AD24:AG24"/>
    <mergeCell ref="AF9:AH9"/>
    <mergeCell ref="AH11:AH13"/>
    <mergeCell ref="AI14:AI17"/>
    <mergeCell ref="W14:W17"/>
    <mergeCell ref="B18:M18"/>
    <mergeCell ref="N18:Y18"/>
    <mergeCell ref="Z18:AI18"/>
    <mergeCell ref="V15:V17"/>
    <mergeCell ref="A8:A9"/>
    <mergeCell ref="A10:A11"/>
    <mergeCell ref="F11:F13"/>
    <mergeCell ref="I10:I13"/>
    <mergeCell ref="A24:E24"/>
    <mergeCell ref="C10:C13"/>
    <mergeCell ref="B11:B13"/>
    <mergeCell ref="B15:B17"/>
    <mergeCell ref="G14:G17"/>
    <mergeCell ref="F15:F17"/>
    <mergeCell ref="B9:I9"/>
    <mergeCell ref="B8:I8"/>
    <mergeCell ref="A12:A13"/>
    <mergeCell ref="V8:X8"/>
    <mergeCell ref="Z8:AE8"/>
    <mergeCell ref="AF8:AH8"/>
    <mergeCell ref="J8:L8"/>
    <mergeCell ref="T15:T17"/>
    <mergeCell ref="U14:U17"/>
    <mergeCell ref="T11:T13"/>
    <mergeCell ref="AB15:AB17"/>
    <mergeCell ref="U43:U46"/>
    <mergeCell ref="AT34:BC34"/>
    <mergeCell ref="A35:AS35"/>
    <mergeCell ref="AT35:BC36"/>
    <mergeCell ref="AJ38:AS38"/>
    <mergeCell ref="AJ39:AO39"/>
    <mergeCell ref="B39:I39"/>
    <mergeCell ref="J39:L39"/>
    <mergeCell ref="AZ40:BB40"/>
    <mergeCell ref="B40:I40"/>
    <mergeCell ref="AT40:AY40"/>
    <mergeCell ref="AP40:AR40"/>
    <mergeCell ref="J40:L40"/>
    <mergeCell ref="AT39:AY39"/>
    <mergeCell ref="AZ39:BB39"/>
    <mergeCell ref="AP39:AR39"/>
    <mergeCell ref="B38:M38"/>
    <mergeCell ref="A39:A40"/>
    <mergeCell ref="B42:I42"/>
    <mergeCell ref="N39:U39"/>
    <mergeCell ref="AD26:AG26"/>
    <mergeCell ref="AD25:AG25"/>
    <mergeCell ref="Z26:AC26"/>
    <mergeCell ref="W10:W13"/>
    <mergeCell ref="A25:E25"/>
    <mergeCell ref="A26:E26"/>
    <mergeCell ref="A27:E27"/>
    <mergeCell ref="A28:E28"/>
    <mergeCell ref="AC14:AC17"/>
    <mergeCell ref="Q10:Q13"/>
    <mergeCell ref="V11:V13"/>
    <mergeCell ref="R15:R17"/>
    <mergeCell ref="Z11:Z13"/>
    <mergeCell ref="AF15:AF17"/>
    <mergeCell ref="Z15:Z17"/>
    <mergeCell ref="AB11:AB13"/>
    <mergeCell ref="AA10:AA13"/>
    <mergeCell ref="AF11:AF13"/>
    <mergeCell ref="AD11:AD13"/>
    <mergeCell ref="AG10:AG13"/>
    <mergeCell ref="AA14:AA17"/>
    <mergeCell ref="AG14:AG17"/>
    <mergeCell ref="F27:Y27"/>
    <mergeCell ref="F26:Y26"/>
    <mergeCell ref="F29:Y29"/>
    <mergeCell ref="Z40:AE40"/>
    <mergeCell ref="V39:X39"/>
    <mergeCell ref="U10:U13"/>
    <mergeCell ref="H11:H13"/>
    <mergeCell ref="G10:G13"/>
    <mergeCell ref="K10:K13"/>
    <mergeCell ref="C43:C46"/>
    <mergeCell ref="J44:J46"/>
    <mergeCell ref="Z27:AC27"/>
    <mergeCell ref="AD27:AG27"/>
    <mergeCell ref="AF41:AH41"/>
    <mergeCell ref="AF44:AF46"/>
    <mergeCell ref="AF39:AH39"/>
    <mergeCell ref="Z41:AE41"/>
    <mergeCell ref="Z42:AE42"/>
    <mergeCell ref="Z39:AE39"/>
    <mergeCell ref="AF40:AH40"/>
    <mergeCell ref="Z29:AC29"/>
    <mergeCell ref="Z38:AI38"/>
    <mergeCell ref="AG43:AG46"/>
    <mergeCell ref="AH27:BC27"/>
    <mergeCell ref="BC43:BC46"/>
    <mergeCell ref="AM43:AM46"/>
    <mergeCell ref="AH29:BC29"/>
    <mergeCell ref="AP41:AR41"/>
    <mergeCell ref="F52:Y52"/>
    <mergeCell ref="Z52:AC52"/>
    <mergeCell ref="N44:N46"/>
    <mergeCell ref="P44:P46"/>
    <mergeCell ref="H48:H50"/>
    <mergeCell ref="J48:J50"/>
    <mergeCell ref="F44:F46"/>
    <mergeCell ref="L48:L50"/>
    <mergeCell ref="AD29:AG29"/>
    <mergeCell ref="N48:N50"/>
    <mergeCell ref="S47:S50"/>
    <mergeCell ref="U47:U50"/>
    <mergeCell ref="W47:W50"/>
    <mergeCell ref="X48:X50"/>
    <mergeCell ref="W43:W46"/>
    <mergeCell ref="X44:X46"/>
    <mergeCell ref="AJ44:AJ46"/>
    <mergeCell ref="AF48:AF50"/>
    <mergeCell ref="AN48:AN50"/>
    <mergeCell ref="AV48:AV50"/>
    <mergeCell ref="AO43:AO46"/>
    <mergeCell ref="AM47:AM50"/>
    <mergeCell ref="AK47:AK50"/>
    <mergeCell ref="AJ48:AJ50"/>
    <mergeCell ref="AO47:AO50"/>
    <mergeCell ref="AN44:AN46"/>
    <mergeCell ref="AP44:AP46"/>
    <mergeCell ref="A43:A44"/>
    <mergeCell ref="I43:I46"/>
    <mergeCell ref="K43:K46"/>
    <mergeCell ref="M43:M46"/>
    <mergeCell ref="V44:V46"/>
    <mergeCell ref="L44:L46"/>
    <mergeCell ref="S43:S46"/>
    <mergeCell ref="R44:R46"/>
    <mergeCell ref="Q47:Q50"/>
    <mergeCell ref="C47:C50"/>
    <mergeCell ref="I47:I50"/>
    <mergeCell ref="G47:G50"/>
    <mergeCell ref="F48:F50"/>
    <mergeCell ref="B48:B50"/>
    <mergeCell ref="E47:E50"/>
    <mergeCell ref="D48:D50"/>
    <mergeCell ref="G43:G46"/>
    <mergeCell ref="T48:T50"/>
    <mergeCell ref="O43:O46"/>
    <mergeCell ref="AH57:BC57"/>
    <mergeCell ref="AU47:AU50"/>
    <mergeCell ref="BC47:BC50"/>
    <mergeCell ref="Z57:AC57"/>
    <mergeCell ref="AD57:AG57"/>
    <mergeCell ref="AH52:BC52"/>
    <mergeCell ref="BB48:BB50"/>
    <mergeCell ref="Z54:AC54"/>
    <mergeCell ref="AD54:AG54"/>
    <mergeCell ref="Z55:AC55"/>
    <mergeCell ref="AD55:AG55"/>
    <mergeCell ref="AZ48:AZ50"/>
    <mergeCell ref="AL48:AL50"/>
    <mergeCell ref="AW47:AW50"/>
    <mergeCell ref="AH54:BC54"/>
    <mergeCell ref="AH53:BC53"/>
    <mergeCell ref="AT48:AT50"/>
    <mergeCell ref="Z56:AC56"/>
    <mergeCell ref="AD56:AG56"/>
    <mergeCell ref="AC47:AC50"/>
    <mergeCell ref="AH55:BC55"/>
    <mergeCell ref="AH56:BC56"/>
    <mergeCell ref="AD52:AG52"/>
    <mergeCell ref="BA47:BA50"/>
    <mergeCell ref="B6:I6"/>
    <mergeCell ref="J6:L6"/>
    <mergeCell ref="A14:A15"/>
    <mergeCell ref="H15:H17"/>
    <mergeCell ref="Q14:Q17"/>
    <mergeCell ref="I14:I17"/>
    <mergeCell ref="A16:A17"/>
    <mergeCell ref="J15:J17"/>
    <mergeCell ref="M14:M17"/>
    <mergeCell ref="O14:O17"/>
    <mergeCell ref="N15:N17"/>
    <mergeCell ref="P15:P17"/>
    <mergeCell ref="C14:C17"/>
    <mergeCell ref="L15:L17"/>
    <mergeCell ref="B7:I7"/>
    <mergeCell ref="N6:U6"/>
    <mergeCell ref="A6:A7"/>
    <mergeCell ref="J7:L7"/>
    <mergeCell ref="J11:J13"/>
    <mergeCell ref="P11:P13"/>
    <mergeCell ref="L11:L13"/>
    <mergeCell ref="K14:K17"/>
    <mergeCell ref="V6:X6"/>
    <mergeCell ref="V7:X7"/>
    <mergeCell ref="Z6:AE6"/>
    <mergeCell ref="AF6:AH6"/>
    <mergeCell ref="AJ6:AO6"/>
    <mergeCell ref="Z7:AE7"/>
    <mergeCell ref="AF7:AH7"/>
    <mergeCell ref="AJ7:AO7"/>
    <mergeCell ref="N7:U7"/>
    <mergeCell ref="A1:AS1"/>
    <mergeCell ref="AT1:BC1"/>
    <mergeCell ref="A2:AS2"/>
    <mergeCell ref="AT2:BC3"/>
    <mergeCell ref="A3:AS3"/>
    <mergeCell ref="B5:M5"/>
    <mergeCell ref="Z5:AI5"/>
    <mergeCell ref="AJ5:AS5"/>
    <mergeCell ref="AT5:BC5"/>
    <mergeCell ref="N5:Y5"/>
    <mergeCell ref="AZ6:BB6"/>
    <mergeCell ref="AT7:AY7"/>
    <mergeCell ref="AZ7:BB7"/>
    <mergeCell ref="BA10:BA13"/>
    <mergeCell ref="AZ11:AZ13"/>
    <mergeCell ref="BB11:BB13"/>
    <mergeCell ref="AZ8:BB8"/>
    <mergeCell ref="AT6:AY6"/>
    <mergeCell ref="AP7:AR7"/>
    <mergeCell ref="AT11:AT13"/>
    <mergeCell ref="AP9:AR9"/>
    <mergeCell ref="AQ10:AQ13"/>
    <mergeCell ref="AP11:AP13"/>
    <mergeCell ref="AP15:AP17"/>
    <mergeCell ref="AW14:AW17"/>
    <mergeCell ref="AO10:AO13"/>
    <mergeCell ref="AS10:AS13"/>
    <mergeCell ref="AN11:AN13"/>
    <mergeCell ref="AR11:AR13"/>
    <mergeCell ref="AP6:AR6"/>
    <mergeCell ref="AT8:AY8"/>
    <mergeCell ref="AU10:AU13"/>
    <mergeCell ref="AW10:AW13"/>
    <mergeCell ref="AV11:AV13"/>
  </mergeCells>
  <dataValidations count="11">
    <dataValidation type="list" allowBlank="1" showInputMessage="1" showErrorMessage="1" sqref="Z53:AC57" xr:uid="{00000000-0002-0000-0400-000000000000}">
      <formula1>INDIRECT($Z$52)</formula1>
    </dataValidation>
    <dataValidation type="list" allowBlank="1" showInputMessage="1" showErrorMessage="1" sqref="Z25:Z29" xr:uid="{00000000-0002-0000-0400-000001000000}">
      <formula1>INDIRECT($Z$24)</formula1>
    </dataValidation>
    <dataValidation type="list" allowBlank="1" showInputMessage="1" showErrorMessage="1" sqref="A30 A58" xr:uid="{00000000-0002-0000-0400-000002000000}">
      <formula1>e</formula1>
    </dataValidation>
    <dataValidation type="list" allowBlank="1" showInputMessage="1" showErrorMessage="1" sqref="A3:AS3 A36:AS36" xr:uid="{00000000-0002-0000-0400-000003000000}">
      <formula1>GRUPO</formula1>
    </dataValidation>
    <dataValidation type="list" allowBlank="1" showInputMessage="1" showErrorMessage="1" sqref="A4 A37" xr:uid="{00000000-0002-0000-0400-000004000000}">
      <formula1>GIM</formula1>
    </dataValidation>
    <dataValidation type="list" allowBlank="1" showInputMessage="1" showErrorMessage="1" sqref="A53:A57 AB11 AN11 AP15 AV11 AZ15 AJ11 AN15 AL15 Z15 R15 AD11 P11 AZ11 N6:N9 AJ20 J15 AT6:AT9 B11 AV15 AB15 H11 B15 V11 BB11 J11 N15 F15 X15 AX15 H15 T11 X11 V15 AT15 AR11 BB15 L15 T15 R11 F11 Z6:Z9 Z11 AL11 AF11 AH11 AH15 AP11 B6:B9 AJ6:AJ9 AF15 L11 AT11 AJ15 P15 AP20 AZ20 AN20 AL20 X48 R20 J20 AV20 AB20 B20 N20 F20 X20 AX20 H20 P20 AT20 BB20 L20 T20 AH20 AF20 V20 A25:A29 Z20" xr:uid="{00000000-0002-0000-0400-000005000000}">
      <formula1>INDIRECT($A$4)</formula1>
    </dataValidation>
    <dataValidation type="list" allowBlank="1" showInputMessage="1" showErrorMessage="1" sqref="AB14 AT10 AF47 AD10 P10 R10 B43 AD43 AJ10 AN14 AL10 H43 AB10 M6:M9 AJ43 BC39:BC42 M39:M42 T47 AL43 Z47 AT43 T10 H14 J43 BC6:BC9 BB10 B10 R43 J14 D43 AJ14 AP10 H10 AH10 AP14 Z43 AF43 V43 F14 J10 AZ14 AL14 X43 AV10 X14 B14 AN43 V14 F47 AR10 T43 BB14 AT14 AH14 F10 F43 AR43 AF14 Z14 AF10 AH43 AX14 AB47 Y6:Y9 AI6:AI9 AS6:AS9 AZ10 R14 AD47 Y39:Y42 AI39:AI42 AS39:AS42 AP43 T14 N47 BB43 AP47 V10 X10 L43 B47 L10 AV47 AV14 N14 J47 AN10 BB47 AL47 H47 AT47 L47 AJ47 V47 P47 R47 AV43 AZ47 AJ19 N43 AX43 AN47 Z10 L14 P43 P14 AB19 AN19 H19 J19 V19 AP19 F19 AZ19 AL19 X19 B19 P19 BB19 AT19 AH19 AF19 X47 AX19 R19 T19 AV19 N19 L19 Z19 D47" xr:uid="{00000000-0002-0000-0400-000006000000}">
      <formula1>grupos</formula1>
    </dataValidation>
    <dataValidation type="list" allowBlank="1" showInputMessage="1" showErrorMessage="1" sqref="Y43:Y50 C43:C50 V6:V9 AT2:BC3 J39:J42 AF39:AF42 AQ10:AQ17 AU10:AU17 K10:K17 BA10:BA17 AW10:AW17 AF6:AF9 AX47:AY50 AQ47:AS50 AC10:AC17 AM10:AM17 AG43:AG50 AP39:AP42 C10:E17 V39:V42 W43:W50 AP6:AP9 W10:W17 M10:M17 I10:I17 AZ6:AZ9 AG10:AG17 AY14:AY17 O43:O50 S43:S50 G43:G50 Y10:Y17 AQ43:AQ46 AK19:AK22 K43:K50 AA19:AA22 AY43:AY46 AM43:AM50 AZ39:AZ42 AE10:AE13 AC47:AC50 AK43:AK50 U10:U17 Q43:Q50 AU43:AU50 AK10:AK17 AA43:AA50 AT35:BC36 I43:I50 AW43:AW50 M43:M50 AI10:AI17 BA47:BA50 AO43:AO50 O14:O17 AO10:AO17 AS43:AS46 BC10:BC17 BC43:BC50 AI43:AI46 U43:U50 AE43:AE50 AS10:AS13 S10:S17 AA10:AA17 Q10:Q17 G10:G17 AQ19:AQ22 AU19:AU22 K19:K22 BA19:BA22 AW19:AW22 AC19:AC22 AM19:AM22 C19:E22 G19:G22 M19:M22 I19:I22 AG19:AG22 AY19:AY22 Y19:Y22 U19:U22 W19:W22 AI19:AI22 O19:O22 AO19:AO22 BC19:BC22 S19:S22 J6:J9 Q19:Q22 E43:E50" xr:uid="{00000000-0002-0000-0400-000007000000}">
      <formula1>AULAS</formula1>
    </dataValidation>
    <dataValidation type="list" allowBlank="1" showInputMessage="1" showErrorMessage="1" sqref="A39:A50 A6:A17 A19:A22" xr:uid="{00000000-0002-0000-0400-000008000000}">
      <formula1>HORARIO</formula1>
    </dataValidation>
    <dataValidation type="list" allowBlank="1" showInputMessage="1" showErrorMessage="1" sqref="N39:N42 AN44:AN46 P44 AR44:AR46 AD44:AD46 AX44:AX46 R44 AP48:AP50 V44:V46 X44 AT39:AT42 H44:H46 AP44:AP46 J44:J46 Z44:Z46 AJ44:AJ46 AN48:AN50 AT44:AT46 AD48:AD50 AL44:AL46 N44:N46 B44:B46 BB44:BB46 B39:B42 Z39:Z42 AJ39:AJ42 N48:N50 AH44:AH46 AV48:AV50 L44:L46 B48:B50 D44:D46 H48:H50 AL48:AL50 T48:T50 AF48:AF50 J48:J50 AJ48:AJ50 V48:V50 T44 AV44:AV46 AT48:AT50 P48:P50 R48:R50 AZ48:AZ50 F44:F46 BB48:BB50 L48:L50 F48:F50 Z48:Z50 AB48:AB50 AF44:AF46 D48" xr:uid="{00000000-0002-0000-0400-000009000000}">
      <formula1>INDIRECT($A$37)</formula1>
    </dataValidation>
    <dataValidation type="list" allowBlank="1" showInputMessage="1" showErrorMessage="1" sqref="Z52 Z24" xr:uid="{00000000-0002-0000-0400-00000A000000}">
      <formula1>Asignaturas2</formula1>
    </dataValidation>
  </dataValidations>
  <pageMargins left="1.1023622047244095" right="0.23622047244094491" top="0.82677165354330717" bottom="0.35433070866141736" header="0.27559055118110237" footer="0"/>
  <pageSetup paperSize="9" scale="59" fitToHeight="0" orientation="landscape" r:id="rId1"/>
  <headerFooter alignWithMargins="0">
    <oddHeader>&amp;C&amp;"Arial Narrow,Negrita"&amp;18ESCUELA POLITECNICA SUPERIOR&amp;"Arial,Normal"&amp;10
&amp;"Arial Narrow,Negrita"&amp;16Campus Vena&amp;R&amp;"Chiller,Normal"&amp;24&amp;K05-044&amp;A</oddHeader>
    <oddFooter>&amp;L&amp;12ESCUELA POLITECNICA SUPERIOR - Campus Vena&amp;11
&amp;9SUBDIRECCION  DE  ORDENACION  ACADEMICA Y PROFESORADO&amp;R&amp;12&amp;D</oddFooter>
  </headerFooter>
  <rowBreaks count="1" manualBreakCount="1">
    <brk id="33"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B215"/>
  <sheetViews>
    <sheetView zoomScale="66" zoomScaleNormal="66" zoomScaleSheetLayoutView="70" zoomScalePageLayoutView="70" workbookViewId="0">
      <selection activeCell="BC148" sqref="BC148"/>
    </sheetView>
  </sheetViews>
  <sheetFormatPr baseColWidth="10" defaultRowHeight="13.2" x14ac:dyDescent="0.25"/>
  <cols>
    <col min="1" max="1" width="15.6640625" customWidth="1"/>
    <col min="2" max="51" width="3.6640625" customWidth="1"/>
    <col min="52" max="54" width="9.109375" customWidth="1"/>
    <col min="55" max="104" width="3.6640625" customWidth="1"/>
    <col min="105" max="240" width="9.109375" customWidth="1"/>
  </cols>
  <sheetData>
    <row r="1" spans="1:52" s="1" customFormat="1" ht="31.5" customHeight="1" thickBot="1" x14ac:dyDescent="0.45">
      <c r="A1" s="1094" t="str">
        <f>VLOOKUP(A4,ASIGNATURAS!$A$2:$D$151, 3, FALSE)</f>
        <v>2º Grado en Ingeniería Informática</v>
      </c>
      <c r="B1" s="1095"/>
      <c r="C1" s="1095"/>
      <c r="D1" s="1095"/>
      <c r="E1" s="1095"/>
      <c r="F1" s="1095"/>
      <c r="G1" s="1095"/>
      <c r="H1" s="1095"/>
      <c r="I1" s="1095"/>
      <c r="J1" s="1095"/>
      <c r="K1" s="1095"/>
      <c r="L1" s="1095"/>
      <c r="M1" s="1095"/>
      <c r="N1" s="1095"/>
      <c r="O1" s="1095"/>
      <c r="P1" s="1095"/>
      <c r="Q1" s="1095"/>
      <c r="R1" s="1095"/>
      <c r="S1" s="1095"/>
      <c r="T1" s="1095"/>
      <c r="U1" s="1095"/>
      <c r="V1" s="1095"/>
      <c r="W1" s="1095"/>
      <c r="X1" s="1095"/>
      <c r="Y1" s="1095"/>
      <c r="Z1" s="1095"/>
      <c r="AA1" s="1095"/>
      <c r="AB1" s="1095"/>
      <c r="AC1" s="1095"/>
      <c r="AD1" s="1095"/>
      <c r="AE1" s="1095"/>
      <c r="AF1" s="1095"/>
      <c r="AG1" s="1095"/>
      <c r="AH1" s="1095"/>
      <c r="AI1" s="1095"/>
      <c r="AJ1" s="1095"/>
      <c r="AK1" s="1095"/>
      <c r="AL1" s="1095"/>
      <c r="AM1" s="1095"/>
      <c r="AN1" s="1095"/>
      <c r="AO1" s="1096"/>
      <c r="AP1" s="1076" t="str">
        <f>'GII (primero)'!AT34</f>
        <v>Curso 2024-2025</v>
      </c>
      <c r="AQ1" s="1077"/>
      <c r="AR1" s="1077"/>
      <c r="AS1" s="1077"/>
      <c r="AT1" s="1077"/>
      <c r="AU1" s="1077"/>
      <c r="AV1" s="1077"/>
      <c r="AW1" s="1077"/>
      <c r="AX1" s="1077"/>
      <c r="AY1" s="1078"/>
    </row>
    <row r="2" spans="1:52" s="8" customFormat="1" ht="23.25" customHeight="1" thickBot="1" x14ac:dyDescent="0.45">
      <c r="A2" s="1083" t="str">
        <f>VLOOKUP(A4,ASIGNATURAS!$A$2:$D$151, 2, FALSE)</f>
        <v>Semestre temporal: 1º        (3º Semestre Académico)</v>
      </c>
      <c r="B2" s="1084"/>
      <c r="C2" s="1084"/>
      <c r="D2" s="1084"/>
      <c r="E2" s="1084"/>
      <c r="F2" s="1084"/>
      <c r="G2" s="1084"/>
      <c r="H2" s="1084"/>
      <c r="I2" s="1084"/>
      <c r="J2" s="1084"/>
      <c r="K2" s="1084"/>
      <c r="L2" s="1084"/>
      <c r="M2" s="1084"/>
      <c r="N2" s="1084"/>
      <c r="O2" s="1084"/>
      <c r="P2" s="1084"/>
      <c r="Q2" s="1084"/>
      <c r="R2" s="1084"/>
      <c r="S2" s="1084"/>
      <c r="T2" s="1084"/>
      <c r="U2" s="1084"/>
      <c r="V2" s="1084"/>
      <c r="W2" s="1084"/>
      <c r="X2" s="1084"/>
      <c r="Y2" s="1084"/>
      <c r="Z2" s="1084"/>
      <c r="AA2" s="1084"/>
      <c r="AB2" s="1084"/>
      <c r="AC2" s="1084"/>
      <c r="AD2" s="1084"/>
      <c r="AE2" s="1084"/>
      <c r="AF2" s="1084"/>
      <c r="AG2" s="1084"/>
      <c r="AH2" s="1084"/>
      <c r="AI2" s="1084"/>
      <c r="AJ2" s="1084"/>
      <c r="AK2" s="1084"/>
      <c r="AL2" s="1084"/>
      <c r="AM2" s="1084"/>
      <c r="AN2" s="1084"/>
      <c r="AO2" s="1085"/>
      <c r="AP2" s="2736" t="s">
        <v>1133</v>
      </c>
      <c r="AQ2" s="2736"/>
      <c r="AR2" s="2736"/>
      <c r="AS2" s="2736"/>
      <c r="AT2" s="2736"/>
      <c r="AU2" s="2736"/>
      <c r="AV2" s="2736"/>
      <c r="AW2" s="2736"/>
      <c r="AX2" s="2736"/>
      <c r="AY2" s="2737"/>
    </row>
    <row r="3" spans="1:52" s="8" customFormat="1" ht="23.25" customHeight="1" thickBot="1" x14ac:dyDescent="0.45">
      <c r="A3" s="1083" t="s">
        <v>181</v>
      </c>
      <c r="B3" s="1084"/>
      <c r="C3" s="1084"/>
      <c r="D3" s="1084"/>
      <c r="E3" s="1084"/>
      <c r="F3" s="1084"/>
      <c r="G3" s="1084"/>
      <c r="H3" s="1084"/>
      <c r="I3" s="1084"/>
      <c r="J3" s="1084"/>
      <c r="K3" s="1084"/>
      <c r="L3" s="1084"/>
      <c r="M3" s="1084"/>
      <c r="N3" s="1084"/>
      <c r="O3" s="1084"/>
      <c r="P3" s="1084"/>
      <c r="Q3" s="1084"/>
      <c r="R3" s="1084"/>
      <c r="S3" s="1084"/>
      <c r="T3" s="1084"/>
      <c r="U3" s="1084"/>
      <c r="V3" s="1084"/>
      <c r="W3" s="1084"/>
      <c r="X3" s="1084"/>
      <c r="Y3" s="1084"/>
      <c r="Z3" s="1084"/>
      <c r="AA3" s="1084"/>
      <c r="AB3" s="1084"/>
      <c r="AC3" s="1084"/>
      <c r="AD3" s="1084"/>
      <c r="AE3" s="1084"/>
      <c r="AF3" s="1084"/>
      <c r="AG3" s="1084"/>
      <c r="AH3" s="1084"/>
      <c r="AI3" s="1084"/>
      <c r="AJ3" s="1084"/>
      <c r="AK3" s="1084"/>
      <c r="AL3" s="1084"/>
      <c r="AM3" s="1084"/>
      <c r="AN3" s="1084"/>
      <c r="AO3" s="1085"/>
      <c r="AP3" s="2738"/>
      <c r="AQ3" s="2738"/>
      <c r="AR3" s="2738"/>
      <c r="AS3" s="2738"/>
      <c r="AT3" s="2738"/>
      <c r="AU3" s="2738"/>
      <c r="AV3" s="2738"/>
      <c r="AW3" s="2738"/>
      <c r="AX3" s="2738"/>
      <c r="AY3" s="2739"/>
    </row>
    <row r="4" spans="1:52" ht="38.25" customHeight="1" thickBot="1" x14ac:dyDescent="0.3">
      <c r="A4" s="9" t="s">
        <v>69</v>
      </c>
    </row>
    <row r="5" spans="1:52" s="2" customFormat="1" ht="24" customHeight="1" thickBot="1" x14ac:dyDescent="0.3">
      <c r="A5" s="19" t="s">
        <v>1</v>
      </c>
      <c r="B5" s="1091" t="s">
        <v>2</v>
      </c>
      <c r="C5" s="1092"/>
      <c r="D5" s="1092"/>
      <c r="E5" s="1092"/>
      <c r="F5" s="1092"/>
      <c r="G5" s="1092"/>
      <c r="H5" s="1092"/>
      <c r="I5" s="1092"/>
      <c r="J5" s="1092"/>
      <c r="K5" s="1093"/>
      <c r="L5" s="1091" t="s">
        <v>3</v>
      </c>
      <c r="M5" s="1092"/>
      <c r="N5" s="1092"/>
      <c r="O5" s="1092"/>
      <c r="P5" s="1092"/>
      <c r="Q5" s="1092"/>
      <c r="R5" s="1092"/>
      <c r="S5" s="1092"/>
      <c r="T5" s="1092"/>
      <c r="U5" s="1093"/>
      <c r="V5" s="1091" t="s">
        <v>139</v>
      </c>
      <c r="W5" s="1092"/>
      <c r="X5" s="1092"/>
      <c r="Y5" s="1092"/>
      <c r="Z5" s="1092"/>
      <c r="AA5" s="1092"/>
      <c r="AB5" s="1092"/>
      <c r="AC5" s="1092"/>
      <c r="AD5" s="1092"/>
      <c r="AE5" s="1093"/>
      <c r="AF5" s="1091" t="s">
        <v>4</v>
      </c>
      <c r="AG5" s="1092"/>
      <c r="AH5" s="1092"/>
      <c r="AI5" s="1092"/>
      <c r="AJ5" s="1092"/>
      <c r="AK5" s="1092"/>
      <c r="AL5" s="1092"/>
      <c r="AM5" s="1092"/>
      <c r="AN5" s="1092"/>
      <c r="AO5" s="1093"/>
      <c r="AP5" s="1091" t="s">
        <v>5</v>
      </c>
      <c r="AQ5" s="1092"/>
      <c r="AR5" s="1092"/>
      <c r="AS5" s="1092"/>
      <c r="AT5" s="1092"/>
      <c r="AU5" s="1092"/>
      <c r="AV5" s="1092"/>
      <c r="AW5" s="1092"/>
      <c r="AX5" s="1092"/>
      <c r="AY5" s="1093"/>
    </row>
    <row r="6" spans="1:52" ht="40.5" customHeight="1" x14ac:dyDescent="0.25">
      <c r="A6" s="966" t="s">
        <v>1131</v>
      </c>
      <c r="B6" s="552" t="s">
        <v>579</v>
      </c>
      <c r="C6" s="1217" t="s">
        <v>750</v>
      </c>
      <c r="D6" s="266"/>
      <c r="E6" s="1243"/>
      <c r="F6" s="95" t="s">
        <v>581</v>
      </c>
      <c r="G6" s="2016" t="s">
        <v>752</v>
      </c>
      <c r="H6" s="270"/>
      <c r="I6" s="2112"/>
      <c r="J6" s="266"/>
      <c r="K6" s="1243"/>
      <c r="L6" s="915" t="s">
        <v>583</v>
      </c>
      <c r="M6" s="2439" t="s">
        <v>1286</v>
      </c>
      <c r="N6" s="916" t="s">
        <v>580</v>
      </c>
      <c r="O6" s="2598" t="s">
        <v>567</v>
      </c>
      <c r="P6" s="528" t="s">
        <v>581</v>
      </c>
      <c r="Q6" s="2734" t="s">
        <v>149</v>
      </c>
      <c r="T6" s="78"/>
      <c r="U6" s="1350"/>
      <c r="V6" s="552" t="s">
        <v>579</v>
      </c>
      <c r="W6" s="1217" t="s">
        <v>567</v>
      </c>
      <c r="X6" s="388" t="s">
        <v>580</v>
      </c>
      <c r="Y6" s="2433" t="s">
        <v>1286</v>
      </c>
      <c r="Z6" s="95" t="s">
        <v>581</v>
      </c>
      <c r="AA6" s="1217" t="s">
        <v>750</v>
      </c>
      <c r="AB6" s="78"/>
      <c r="AC6" s="1243"/>
      <c r="AD6" s="20"/>
      <c r="AE6" s="20"/>
      <c r="AF6" s="774"/>
      <c r="AG6" s="2185"/>
      <c r="AH6" s="137"/>
      <c r="AI6" s="2196"/>
      <c r="AK6" s="31"/>
      <c r="AL6" s="915" t="s">
        <v>584</v>
      </c>
      <c r="AM6" s="2603" t="s">
        <v>752</v>
      </c>
      <c r="AN6" s="139"/>
      <c r="AO6" s="2197"/>
      <c r="AP6" s="476"/>
      <c r="AQ6" s="1243"/>
      <c r="AR6" s="78"/>
      <c r="AS6" s="2112"/>
      <c r="AT6" s="69"/>
      <c r="AU6" s="2112"/>
      <c r="AV6" s="776"/>
      <c r="AW6" s="2185"/>
      <c r="AX6" s="266"/>
      <c r="AY6" s="1252"/>
    </row>
    <row r="7" spans="1:52" ht="40.5" customHeight="1" x14ac:dyDescent="0.25">
      <c r="A7" s="935"/>
      <c r="B7" s="1191" t="s">
        <v>103</v>
      </c>
      <c r="C7" s="1217"/>
      <c r="D7" s="1224"/>
      <c r="E7" s="1243"/>
      <c r="F7" s="1221" t="s">
        <v>413</v>
      </c>
      <c r="G7" s="1217"/>
      <c r="H7" s="1224"/>
      <c r="I7" s="1243"/>
      <c r="J7" s="1224"/>
      <c r="K7" s="1243"/>
      <c r="L7" s="2735" t="s">
        <v>104</v>
      </c>
      <c r="M7" s="2362"/>
      <c r="N7" s="2422" t="s">
        <v>939</v>
      </c>
      <c r="O7" s="2598"/>
      <c r="P7" s="2267" t="s">
        <v>939</v>
      </c>
      <c r="Q7" s="2734"/>
      <c r="T7" s="1224"/>
      <c r="U7" s="1350"/>
      <c r="V7" s="1191" t="s">
        <v>939</v>
      </c>
      <c r="W7" s="1217"/>
      <c r="X7" s="1221" t="s">
        <v>104</v>
      </c>
      <c r="Y7" s="2361"/>
      <c r="Z7" s="1221" t="s">
        <v>103</v>
      </c>
      <c r="AA7" s="1217"/>
      <c r="AB7" s="1224"/>
      <c r="AC7" s="1243"/>
      <c r="AD7" s="20"/>
      <c r="AE7" s="20"/>
      <c r="AF7" s="2740"/>
      <c r="AG7" s="2185"/>
      <c r="AH7" s="2408"/>
      <c r="AI7" s="2197"/>
      <c r="AL7" s="2422" t="s">
        <v>413</v>
      </c>
      <c r="AM7" s="2598"/>
      <c r="AN7" s="2515"/>
      <c r="AO7" s="2197"/>
      <c r="AP7" s="2209"/>
      <c r="AQ7" s="1243"/>
      <c r="AR7" s="1224"/>
      <c r="AS7" s="1243"/>
      <c r="AT7" s="1224"/>
      <c r="AU7" s="1243"/>
      <c r="AV7" s="2239"/>
      <c r="AW7" s="2185"/>
      <c r="AX7" s="1224"/>
      <c r="AY7" s="1252"/>
    </row>
    <row r="8" spans="1:52" ht="40.5" customHeight="1" x14ac:dyDescent="0.25">
      <c r="A8" s="934" t="s">
        <v>187</v>
      </c>
      <c r="B8" s="1191"/>
      <c r="C8" s="1217"/>
      <c r="D8" s="1224"/>
      <c r="E8" s="1243"/>
      <c r="F8" s="1221"/>
      <c r="G8" s="1217"/>
      <c r="H8" s="1224"/>
      <c r="I8" s="1243"/>
      <c r="J8" s="1224"/>
      <c r="K8" s="1243"/>
      <c r="L8" s="2735"/>
      <c r="M8" s="2362"/>
      <c r="N8" s="2422"/>
      <c r="O8" s="2598"/>
      <c r="P8" s="2267"/>
      <c r="Q8" s="2734"/>
      <c r="T8" s="1224"/>
      <c r="U8" s="1350"/>
      <c r="V8" s="1191"/>
      <c r="W8" s="1217"/>
      <c r="X8" s="1221"/>
      <c r="Y8" s="2361"/>
      <c r="Z8" s="1221"/>
      <c r="AA8" s="1217"/>
      <c r="AB8" s="1224"/>
      <c r="AC8" s="1243"/>
      <c r="AD8" s="20"/>
      <c r="AE8" s="20"/>
      <c r="AF8" s="2740"/>
      <c r="AG8" s="2185"/>
      <c r="AH8" s="2408"/>
      <c r="AI8" s="2197"/>
      <c r="AL8" s="2422"/>
      <c r="AM8" s="2598"/>
      <c r="AN8" s="2515"/>
      <c r="AO8" s="2197"/>
      <c r="AP8" s="2209"/>
      <c r="AQ8" s="1243"/>
      <c r="AR8" s="1224"/>
      <c r="AS8" s="1243"/>
      <c r="AT8" s="1224"/>
      <c r="AU8" s="1243"/>
      <c r="AV8" s="2239"/>
      <c r="AW8" s="2185"/>
      <c r="AX8" s="1224"/>
      <c r="AY8" s="1252"/>
    </row>
    <row r="9" spans="1:52" ht="40.5" customHeight="1" thickBot="1" x14ac:dyDescent="0.3">
      <c r="A9" s="935"/>
      <c r="B9" s="1191"/>
      <c r="C9" s="1217"/>
      <c r="D9" s="1224"/>
      <c r="E9" s="1243"/>
      <c r="F9" s="1255"/>
      <c r="G9" s="1254"/>
      <c r="H9" s="1240"/>
      <c r="I9" s="1244"/>
      <c r="J9" s="1224"/>
      <c r="K9" s="1243"/>
      <c r="L9" s="2735"/>
      <c r="M9" s="2362"/>
      <c r="N9" s="2422"/>
      <c r="O9" s="2598"/>
      <c r="P9" s="2267"/>
      <c r="Q9" s="2734"/>
      <c r="S9" s="35"/>
      <c r="T9" s="1225"/>
      <c r="U9" s="1350"/>
      <c r="V9" s="1192"/>
      <c r="W9" s="1217"/>
      <c r="X9" s="1221"/>
      <c r="Y9" s="2369"/>
      <c r="Z9" s="1255"/>
      <c r="AA9" s="1217"/>
      <c r="AB9" s="1224"/>
      <c r="AC9" s="1243"/>
      <c r="AD9" s="20"/>
      <c r="AE9" s="20"/>
      <c r="AF9" s="2740"/>
      <c r="AG9" s="2185"/>
      <c r="AH9" s="2408"/>
      <c r="AI9" s="2197"/>
      <c r="AL9" s="2486"/>
      <c r="AM9" s="2604"/>
      <c r="AN9" s="2515"/>
      <c r="AO9" s="2197"/>
      <c r="AP9" s="2209"/>
      <c r="AQ9" s="1243"/>
      <c r="AR9" s="1225"/>
      <c r="AS9" s="1257"/>
      <c r="AT9" s="1224"/>
      <c r="AU9" s="1243"/>
      <c r="AV9" s="2239"/>
      <c r="AW9" s="2185"/>
      <c r="AX9" s="1224"/>
      <c r="AY9" s="1252"/>
    </row>
    <row r="10" spans="1:52" ht="40.5" customHeight="1" x14ac:dyDescent="0.25">
      <c r="A10" s="997" t="s">
        <v>186</v>
      </c>
      <c r="B10" s="2447" t="s">
        <v>413</v>
      </c>
      <c r="C10" s="2448"/>
      <c r="D10" s="2448"/>
      <c r="E10" s="2448"/>
      <c r="F10" s="2448"/>
      <c r="G10" s="2448"/>
      <c r="H10" s="2365" t="s">
        <v>153</v>
      </c>
      <c r="I10" s="2365"/>
      <c r="J10" s="2366"/>
      <c r="K10" s="107">
        <v>1</v>
      </c>
      <c r="L10" s="2447" t="s">
        <v>526</v>
      </c>
      <c r="M10" s="2448"/>
      <c r="N10" s="2448"/>
      <c r="O10" s="2448"/>
      <c r="P10" s="2448"/>
      <c r="Q10" s="2448"/>
      <c r="R10" s="2365" t="s">
        <v>151</v>
      </c>
      <c r="S10" s="2365"/>
      <c r="T10" s="2366"/>
      <c r="U10" s="107">
        <v>1</v>
      </c>
      <c r="V10" s="2608" t="s">
        <v>939</v>
      </c>
      <c r="W10" s="2609"/>
      <c r="X10" s="2609"/>
      <c r="Y10" s="2609"/>
      <c r="Z10" s="2609"/>
      <c r="AA10" s="2609"/>
      <c r="AB10" s="2365" t="s">
        <v>153</v>
      </c>
      <c r="AC10" s="2365"/>
      <c r="AD10" s="2366"/>
      <c r="AE10" s="107">
        <v>1</v>
      </c>
      <c r="AF10" s="2447" t="s">
        <v>526</v>
      </c>
      <c r="AG10" s="2448"/>
      <c r="AH10" s="2448"/>
      <c r="AI10" s="2448"/>
      <c r="AJ10" s="2448"/>
      <c r="AK10" s="2448"/>
      <c r="AL10" s="2365" t="s">
        <v>151</v>
      </c>
      <c r="AM10" s="2365"/>
      <c r="AN10" s="2366"/>
      <c r="AO10" s="107">
        <v>1</v>
      </c>
      <c r="AP10" s="2608" t="s">
        <v>939</v>
      </c>
      <c r="AQ10" s="2609"/>
      <c r="AR10" s="2609"/>
      <c r="AS10" s="2609"/>
      <c r="AT10" s="2609"/>
      <c r="AU10" s="2609"/>
      <c r="AV10" s="2365" t="s">
        <v>153</v>
      </c>
      <c r="AW10" s="2365"/>
      <c r="AX10" s="2366"/>
      <c r="AY10" s="107">
        <v>1</v>
      </c>
    </row>
    <row r="11" spans="1:52" ht="40.5" customHeight="1" thickBot="1" x14ac:dyDescent="0.3">
      <c r="A11" s="998"/>
      <c r="B11" s="2441" t="s">
        <v>103</v>
      </c>
      <c r="C11" s="2442"/>
      <c r="D11" s="2442"/>
      <c r="E11" s="2442"/>
      <c r="F11" s="2442"/>
      <c r="G11" s="2442"/>
      <c r="H11" s="2374" t="s">
        <v>151</v>
      </c>
      <c r="I11" s="2374"/>
      <c r="J11" s="2375"/>
      <c r="K11" s="906">
        <v>2</v>
      </c>
      <c r="L11" s="2605" t="s">
        <v>526</v>
      </c>
      <c r="M11" s="2505"/>
      <c r="N11" s="2505"/>
      <c r="O11" s="2505"/>
      <c r="P11" s="2505"/>
      <c r="Q11" s="2505"/>
      <c r="R11" s="2374" t="s">
        <v>151</v>
      </c>
      <c r="S11" s="2374"/>
      <c r="T11" s="2375"/>
      <c r="U11" s="906">
        <v>2</v>
      </c>
      <c r="V11" s="2441" t="s">
        <v>939</v>
      </c>
      <c r="W11" s="2442"/>
      <c r="X11" s="2442"/>
      <c r="Y11" s="2442"/>
      <c r="Z11" s="2442"/>
      <c r="AA11" s="2442"/>
      <c r="AB11" s="2374" t="s">
        <v>151</v>
      </c>
      <c r="AC11" s="2374"/>
      <c r="AD11" s="2375"/>
      <c r="AE11" s="906">
        <v>2</v>
      </c>
      <c r="AF11" s="2605" t="s">
        <v>526</v>
      </c>
      <c r="AG11" s="2733"/>
      <c r="AH11" s="2733"/>
      <c r="AI11" s="2733"/>
      <c r="AJ11" s="2733"/>
      <c r="AK11" s="2733"/>
      <c r="AL11" s="2374" t="s">
        <v>151</v>
      </c>
      <c r="AM11" s="2374"/>
      <c r="AN11" s="2375"/>
      <c r="AO11" s="906">
        <v>2</v>
      </c>
      <c r="AP11" s="2441" t="s">
        <v>939</v>
      </c>
      <c r="AQ11" s="2442"/>
      <c r="AR11" s="2442"/>
      <c r="AS11" s="2442"/>
      <c r="AT11" s="2442"/>
      <c r="AU11" s="2442"/>
      <c r="AV11" s="2374" t="s">
        <v>151</v>
      </c>
      <c r="AW11" s="2374"/>
      <c r="AX11" s="2375"/>
      <c r="AY11" s="906">
        <v>2</v>
      </c>
    </row>
    <row r="12" spans="1:52" ht="40.5" customHeight="1" x14ac:dyDescent="0.25">
      <c r="A12" s="934" t="s">
        <v>188</v>
      </c>
      <c r="B12" s="2606" t="s">
        <v>103</v>
      </c>
      <c r="C12" s="2607"/>
      <c r="D12" s="2607"/>
      <c r="E12" s="2607"/>
      <c r="F12" s="2607"/>
      <c r="G12" s="2607"/>
      <c r="H12" s="2365" t="s">
        <v>153</v>
      </c>
      <c r="I12" s="2365"/>
      <c r="J12" s="2366"/>
      <c r="K12" s="107">
        <v>1</v>
      </c>
      <c r="L12" s="2608" t="s">
        <v>102</v>
      </c>
      <c r="M12" s="2609"/>
      <c r="N12" s="2609"/>
      <c r="O12" s="2609"/>
      <c r="P12" s="2609"/>
      <c r="Q12" s="2609"/>
      <c r="R12" s="2365" t="s">
        <v>151</v>
      </c>
      <c r="S12" s="2365"/>
      <c r="T12" s="2366"/>
      <c r="U12" s="107">
        <v>1</v>
      </c>
      <c r="V12" s="2447" t="s">
        <v>103</v>
      </c>
      <c r="W12" s="2448"/>
      <c r="X12" s="2448"/>
      <c r="Y12" s="2448"/>
      <c r="Z12" s="2448"/>
      <c r="AA12" s="2448"/>
      <c r="AB12" s="2365" t="s">
        <v>153</v>
      </c>
      <c r="AC12" s="2365"/>
      <c r="AD12" s="2366"/>
      <c r="AE12" s="107">
        <v>1</v>
      </c>
      <c r="AF12" s="2608" t="s">
        <v>102</v>
      </c>
      <c r="AG12" s="2609"/>
      <c r="AH12" s="2609"/>
      <c r="AI12" s="2609"/>
      <c r="AJ12" s="2609"/>
      <c r="AK12" s="2609"/>
      <c r="AL12" s="2365" t="s">
        <v>151</v>
      </c>
      <c r="AM12" s="2365"/>
      <c r="AN12" s="2366"/>
      <c r="AO12" s="107">
        <v>1</v>
      </c>
      <c r="AP12" s="2608" t="s">
        <v>413</v>
      </c>
      <c r="AQ12" s="2609"/>
      <c r="AR12" s="2609"/>
      <c r="AS12" s="2609"/>
      <c r="AT12" s="2609"/>
      <c r="AU12" s="2609"/>
      <c r="AV12" s="2365" t="s">
        <v>153</v>
      </c>
      <c r="AW12" s="2365"/>
      <c r="AX12" s="2366"/>
      <c r="AY12" s="107">
        <v>1</v>
      </c>
    </row>
    <row r="13" spans="1:52" ht="40.5" customHeight="1" thickBot="1" x14ac:dyDescent="0.3">
      <c r="A13" s="935"/>
      <c r="B13" s="2441" t="s">
        <v>413</v>
      </c>
      <c r="C13" s="2442"/>
      <c r="D13" s="2442"/>
      <c r="E13" s="2442"/>
      <c r="F13" s="2442"/>
      <c r="G13" s="2442"/>
      <c r="H13" s="2610" t="s">
        <v>151</v>
      </c>
      <c r="I13" s="2610"/>
      <c r="J13" s="2611"/>
      <c r="K13" s="907">
        <v>2</v>
      </c>
      <c r="L13" s="2441" t="s">
        <v>102</v>
      </c>
      <c r="M13" s="2442"/>
      <c r="N13" s="2442"/>
      <c r="O13" s="2442"/>
      <c r="P13" s="2442"/>
      <c r="Q13" s="2442"/>
      <c r="R13" s="2374" t="s">
        <v>151</v>
      </c>
      <c r="S13" s="2374"/>
      <c r="T13" s="2375"/>
      <c r="U13" s="906">
        <v>2</v>
      </c>
      <c r="V13" s="2441" t="s">
        <v>413</v>
      </c>
      <c r="W13" s="2442"/>
      <c r="X13" s="2442"/>
      <c r="Y13" s="2442"/>
      <c r="Z13" s="2442"/>
      <c r="AA13" s="2442"/>
      <c r="AB13" s="2374" t="s">
        <v>151</v>
      </c>
      <c r="AC13" s="2374"/>
      <c r="AD13" s="2375"/>
      <c r="AE13" s="906">
        <v>2</v>
      </c>
      <c r="AF13" s="2441" t="s">
        <v>102</v>
      </c>
      <c r="AG13" s="2442"/>
      <c r="AH13" s="2442"/>
      <c r="AI13" s="2442"/>
      <c r="AJ13" s="2442"/>
      <c r="AK13" s="2442"/>
      <c r="AL13" s="2374" t="s">
        <v>151</v>
      </c>
      <c r="AM13" s="2374"/>
      <c r="AN13" s="2375"/>
      <c r="AO13" s="906">
        <v>2</v>
      </c>
      <c r="AP13" s="2441" t="s">
        <v>103</v>
      </c>
      <c r="AQ13" s="2442"/>
      <c r="AR13" s="2442"/>
      <c r="AS13" s="2442"/>
      <c r="AT13" s="2442"/>
      <c r="AU13" s="2442"/>
      <c r="AV13" s="2374" t="s">
        <v>151</v>
      </c>
      <c r="AW13" s="2374"/>
      <c r="AX13" s="2375"/>
      <c r="AY13" s="906">
        <v>2</v>
      </c>
      <c r="AZ13" s="10"/>
    </row>
    <row r="14" spans="1:52" ht="45" customHeight="1" x14ac:dyDescent="0.25">
      <c r="A14" s="934" t="s">
        <v>189</v>
      </c>
      <c r="B14" s="388" t="s">
        <v>579</v>
      </c>
      <c r="C14" s="1217" t="s">
        <v>1305</v>
      </c>
      <c r="D14" s="383" t="s">
        <v>580</v>
      </c>
      <c r="E14" s="1217" t="s">
        <v>750</v>
      </c>
      <c r="G14" s="245"/>
      <c r="H14" s="218" t="s">
        <v>583</v>
      </c>
      <c r="I14" s="2598" t="s">
        <v>752</v>
      </c>
      <c r="J14" s="916" t="s">
        <v>584</v>
      </c>
      <c r="K14" s="2592" t="s">
        <v>567</v>
      </c>
      <c r="L14" s="383" t="s">
        <v>579</v>
      </c>
      <c r="M14" s="1217" t="s">
        <v>752</v>
      </c>
      <c r="N14" s="388" t="s">
        <v>580</v>
      </c>
      <c r="O14" s="1217" t="s">
        <v>565</v>
      </c>
      <c r="P14" s="139"/>
      <c r="Q14" s="1243"/>
      <c r="R14" s="218" t="s">
        <v>583</v>
      </c>
      <c r="S14" s="2598" t="s">
        <v>750</v>
      </c>
      <c r="T14" s="218" t="s">
        <v>584</v>
      </c>
      <c r="U14" s="2437" t="s">
        <v>1286</v>
      </c>
      <c r="V14" s="476"/>
      <c r="W14" s="1243"/>
      <c r="X14" s="20"/>
      <c r="Y14" s="503"/>
      <c r="Z14" s="129" t="s">
        <v>584</v>
      </c>
      <c r="AA14" s="2598" t="s">
        <v>565</v>
      </c>
      <c r="AB14" s="388" t="s">
        <v>579</v>
      </c>
      <c r="AC14" s="2361" t="s">
        <v>1286</v>
      </c>
      <c r="AD14" s="218" t="s">
        <v>583</v>
      </c>
      <c r="AE14" s="2603" t="s">
        <v>752</v>
      </c>
      <c r="AF14" s="476"/>
      <c r="AG14" s="1243"/>
      <c r="AH14" s="388" t="s">
        <v>580</v>
      </c>
      <c r="AI14" s="1217" t="s">
        <v>750</v>
      </c>
      <c r="AJ14" s="95" t="s">
        <v>581</v>
      </c>
      <c r="AK14" s="2433" t="s">
        <v>1286</v>
      </c>
      <c r="AL14" s="218" t="s">
        <v>583</v>
      </c>
      <c r="AM14" s="2598" t="s">
        <v>567</v>
      </c>
      <c r="AN14" s="218" t="s">
        <v>584</v>
      </c>
      <c r="AO14" s="2589" t="s">
        <v>752</v>
      </c>
      <c r="AP14" s="777"/>
      <c r="AQ14" s="20"/>
      <c r="AR14" s="78"/>
      <c r="AS14" s="2376"/>
      <c r="AT14" s="69"/>
      <c r="AU14" s="1243"/>
      <c r="AW14" s="79"/>
      <c r="AX14" s="125"/>
      <c r="AY14" s="1251"/>
      <c r="AZ14" s="10"/>
    </row>
    <row r="15" spans="1:52" ht="45" customHeight="1" x14ac:dyDescent="0.25">
      <c r="A15" s="935"/>
      <c r="B15" s="1191" t="s">
        <v>413</v>
      </c>
      <c r="C15" s="1217"/>
      <c r="D15" s="1221" t="s">
        <v>103</v>
      </c>
      <c r="E15" s="1217"/>
      <c r="H15" s="2422" t="s">
        <v>102</v>
      </c>
      <c r="I15" s="2598"/>
      <c r="J15" s="2422" t="s">
        <v>939</v>
      </c>
      <c r="K15" s="2593"/>
      <c r="L15" s="1219" t="s">
        <v>102</v>
      </c>
      <c r="M15" s="1217"/>
      <c r="N15" s="1221" t="s">
        <v>102</v>
      </c>
      <c r="O15" s="1217"/>
      <c r="P15" s="1224"/>
      <c r="Q15" s="1243"/>
      <c r="R15" s="2422" t="s">
        <v>103</v>
      </c>
      <c r="S15" s="2598"/>
      <c r="T15" s="2422" t="s">
        <v>104</v>
      </c>
      <c r="U15" s="2362"/>
      <c r="V15" s="2209"/>
      <c r="W15" s="1243"/>
      <c r="X15" s="20"/>
      <c r="Y15" s="20"/>
      <c r="Z15" s="2422" t="s">
        <v>102</v>
      </c>
      <c r="AA15" s="2598"/>
      <c r="AB15" s="1221" t="s">
        <v>104</v>
      </c>
      <c r="AC15" s="2361"/>
      <c r="AD15" s="2422" t="s">
        <v>413</v>
      </c>
      <c r="AE15" s="2598"/>
      <c r="AF15" s="2209"/>
      <c r="AG15" s="1243"/>
      <c r="AH15" s="1221" t="s">
        <v>413</v>
      </c>
      <c r="AI15" s="1217"/>
      <c r="AJ15" s="1221" t="s">
        <v>526</v>
      </c>
      <c r="AK15" s="2361"/>
      <c r="AL15" s="2422" t="s">
        <v>939</v>
      </c>
      <c r="AM15" s="2598"/>
      <c r="AN15" s="2509" t="s">
        <v>103</v>
      </c>
      <c r="AO15" s="2590"/>
      <c r="AP15" s="20"/>
      <c r="AQ15" s="20"/>
      <c r="AR15" s="1224"/>
      <c r="AS15" s="2377"/>
      <c r="AT15" s="1224"/>
      <c r="AU15" s="1243"/>
      <c r="AW15" s="79"/>
      <c r="AX15" s="1241"/>
      <c r="AY15" s="1252"/>
    </row>
    <row r="16" spans="1:52" ht="45" customHeight="1" x14ac:dyDescent="0.25">
      <c r="A16" s="934" t="s">
        <v>190</v>
      </c>
      <c r="B16" s="1191"/>
      <c r="C16" s="1217"/>
      <c r="D16" s="1221"/>
      <c r="E16" s="1217"/>
      <c r="H16" s="2422"/>
      <c r="I16" s="2598"/>
      <c r="J16" s="2422"/>
      <c r="K16" s="2593"/>
      <c r="L16" s="1219"/>
      <c r="M16" s="1217"/>
      <c r="N16" s="1221"/>
      <c r="O16" s="1217"/>
      <c r="P16" s="1224"/>
      <c r="Q16" s="1243"/>
      <c r="R16" s="2422"/>
      <c r="S16" s="2598"/>
      <c r="T16" s="2422"/>
      <c r="U16" s="2362"/>
      <c r="V16" s="2209"/>
      <c r="W16" s="1243"/>
      <c r="X16" s="20"/>
      <c r="Y16" s="20"/>
      <c r="Z16" s="2422"/>
      <c r="AA16" s="2598"/>
      <c r="AB16" s="1221"/>
      <c r="AC16" s="2361"/>
      <c r="AD16" s="2422"/>
      <c r="AE16" s="2598"/>
      <c r="AF16" s="2209"/>
      <c r="AG16" s="1243"/>
      <c r="AH16" s="1221"/>
      <c r="AI16" s="1217"/>
      <c r="AJ16" s="1221"/>
      <c r="AK16" s="2361"/>
      <c r="AL16" s="2422"/>
      <c r="AM16" s="2598"/>
      <c r="AN16" s="2509"/>
      <c r="AO16" s="2590"/>
      <c r="AP16" s="499"/>
      <c r="AQ16" s="20"/>
      <c r="AR16" s="1224"/>
      <c r="AS16" s="2377"/>
      <c r="AT16" s="1224"/>
      <c r="AU16" s="1243"/>
      <c r="AW16" s="79"/>
      <c r="AX16" s="1241"/>
      <c r="AY16" s="1252"/>
    </row>
    <row r="17" spans="1:51" ht="45" customHeight="1" thickBot="1" x14ac:dyDescent="0.3">
      <c r="A17" s="1798"/>
      <c r="B17" s="2221"/>
      <c r="C17" s="1254"/>
      <c r="D17" s="1255"/>
      <c r="E17" s="1254"/>
      <c r="F17" s="412"/>
      <c r="G17" s="225"/>
      <c r="H17" s="2486"/>
      <c r="I17" s="2604"/>
      <c r="J17" s="2486"/>
      <c r="K17" s="2594"/>
      <c r="L17" s="2410"/>
      <c r="M17" s="1254"/>
      <c r="N17" s="1255"/>
      <c r="O17" s="1217"/>
      <c r="P17" s="1224"/>
      <c r="Q17" s="1243"/>
      <c r="R17" s="2486"/>
      <c r="S17" s="2604"/>
      <c r="T17" s="2486"/>
      <c r="U17" s="2438"/>
      <c r="V17" s="2602"/>
      <c r="W17" s="1243"/>
      <c r="X17" s="419"/>
      <c r="Y17" s="20"/>
      <c r="Z17" s="2486"/>
      <c r="AA17" s="2598"/>
      <c r="AB17" s="1255"/>
      <c r="AC17" s="2421"/>
      <c r="AD17" s="2486"/>
      <c r="AE17" s="2604"/>
      <c r="AF17" s="2602"/>
      <c r="AG17" s="1257"/>
      <c r="AH17" s="1255"/>
      <c r="AI17" s="1254"/>
      <c r="AJ17" s="1255"/>
      <c r="AK17" s="2369"/>
      <c r="AL17" s="2422"/>
      <c r="AM17" s="2604"/>
      <c r="AN17" s="2588"/>
      <c r="AO17" s="2591"/>
      <c r="AP17" s="419"/>
      <c r="AQ17" s="419"/>
      <c r="AR17" s="1225"/>
      <c r="AS17" s="2377"/>
      <c r="AT17" s="1225"/>
      <c r="AU17" s="1257"/>
      <c r="AV17" s="35"/>
      <c r="AW17" s="80"/>
      <c r="AX17" s="2207"/>
      <c r="AY17" s="1344"/>
    </row>
    <row r="18" spans="1:51" ht="69.75" customHeight="1" thickBot="1" x14ac:dyDescent="0.3">
      <c r="I18" s="231"/>
      <c r="O18" s="231"/>
      <c r="P18" s="231"/>
      <c r="Q18" s="231"/>
      <c r="T18" s="231"/>
      <c r="U18" s="231"/>
      <c r="W18" s="231"/>
      <c r="Y18" s="231"/>
      <c r="Z18" s="231"/>
      <c r="AA18" s="231"/>
      <c r="AB18" s="231"/>
      <c r="AC18" s="231"/>
      <c r="AD18" s="231"/>
      <c r="AE18" s="231"/>
      <c r="AH18" s="231"/>
      <c r="AI18" s="231"/>
      <c r="AJ18" s="231"/>
      <c r="AK18" s="231"/>
      <c r="AL18" s="231"/>
      <c r="AN18" s="231"/>
      <c r="AO18" s="231"/>
      <c r="AR18" s="231"/>
      <c r="AS18" s="231"/>
      <c r="AX18" s="231"/>
      <c r="AY18" s="231"/>
    </row>
    <row r="19" spans="1:51" s="106" customFormat="1" ht="18" customHeight="1" thickBot="1" x14ac:dyDescent="0.35">
      <c r="A19" s="2698" t="s">
        <v>218</v>
      </c>
      <c r="B19" s="2699"/>
      <c r="C19" s="1508" t="s">
        <v>219</v>
      </c>
      <c r="D19" s="1508"/>
      <c r="E19" s="1508"/>
      <c r="F19" s="1508"/>
      <c r="G19" s="1508"/>
      <c r="H19" s="1508"/>
      <c r="I19" s="1508"/>
      <c r="J19" s="1508"/>
      <c r="K19" s="1508"/>
      <c r="L19" s="1508"/>
      <c r="M19" s="1508"/>
      <c r="N19" s="1508"/>
      <c r="O19" s="1508"/>
      <c r="P19" s="1508"/>
      <c r="Q19" s="1508"/>
      <c r="R19" s="1508"/>
      <c r="S19" s="1508"/>
      <c r="T19" s="1509"/>
      <c r="U19" s="2700" t="s">
        <v>328</v>
      </c>
      <c r="V19" s="2701"/>
      <c r="W19" s="2702" t="s">
        <v>143</v>
      </c>
      <c r="X19" s="2703"/>
      <c r="Y19" s="2703"/>
      <c r="Z19" s="2699"/>
      <c r="AA19" s="2704" t="s">
        <v>167</v>
      </c>
      <c r="AB19" s="2704"/>
      <c r="AC19" s="2704"/>
      <c r="AD19" s="2705"/>
      <c r="AE19" s="2705"/>
      <c r="AF19" s="2705"/>
      <c r="AG19" s="2705"/>
      <c r="AH19" s="2705"/>
      <c r="AI19" s="2705"/>
      <c r="AJ19" s="2705"/>
      <c r="AK19" s="2705"/>
      <c r="AL19" s="2705"/>
      <c r="AM19" s="2705"/>
      <c r="AN19" s="2705"/>
      <c r="AO19" s="2705"/>
      <c r="AP19" s="2705"/>
      <c r="AQ19" s="2705"/>
      <c r="AR19" s="2705"/>
      <c r="AS19" s="2705"/>
      <c r="AT19" s="2705"/>
      <c r="AU19" s="2705"/>
      <c r="AV19" s="2705"/>
      <c r="AW19" s="2705"/>
      <c r="AX19" s="2705"/>
      <c r="AY19" s="2706"/>
    </row>
    <row r="20" spans="1:51" s="106" customFormat="1" ht="18" customHeight="1" x14ac:dyDescent="0.3">
      <c r="A20" s="2694" t="str">
        <f>VLOOKUP(U20,ASIGNATURAS!$F$1:$L$1022, 3, FALSE)</f>
        <v>MET. PROG.</v>
      </c>
      <c r="B20" s="2695"/>
      <c r="C20" s="947" t="str">
        <f>VLOOKUP(U20,ASIGNATURAS!$F$1:$L$1022, 4, FALSE)</f>
        <v xml:space="preserve">Metodología de la Programación </v>
      </c>
      <c r="D20" s="948"/>
      <c r="E20" s="948"/>
      <c r="F20" s="948"/>
      <c r="G20" s="948"/>
      <c r="H20" s="948"/>
      <c r="I20" s="948"/>
      <c r="J20" s="948"/>
      <c r="K20" s="948"/>
      <c r="L20" s="948"/>
      <c r="M20" s="948"/>
      <c r="N20" s="948"/>
      <c r="O20" s="948"/>
      <c r="P20" s="948"/>
      <c r="Q20" s="948"/>
      <c r="R20" s="2696"/>
      <c r="S20" s="2696"/>
      <c r="T20" s="2587"/>
      <c r="U20" s="1013">
        <v>8806</v>
      </c>
      <c r="V20" s="2697"/>
      <c r="W20" s="1013">
        <f>VLOOKUP(U20,ASIGNATURAS!$F$1:$L$1022, 5, FALSE)</f>
        <v>6</v>
      </c>
      <c r="X20" s="1014"/>
      <c r="Y20" s="1014"/>
      <c r="Z20" s="2697"/>
      <c r="AA20" s="947" t="str">
        <f>VLOOKUP(U20,ASIGNATURAS!$F$1:$L$1022, 6, FALSE)</f>
        <v>Raúl Marticorena Sánchez</v>
      </c>
      <c r="AB20" s="947"/>
      <c r="AC20" s="947"/>
      <c r="AD20" s="948"/>
      <c r="AE20" s="948"/>
      <c r="AF20" s="948"/>
      <c r="AG20" s="948"/>
      <c r="AH20" s="948"/>
      <c r="AI20" s="948"/>
      <c r="AJ20" s="948"/>
      <c r="AK20" s="948"/>
      <c r="AL20" s="948"/>
      <c r="AM20" s="948"/>
      <c r="AN20" s="948"/>
      <c r="AO20" s="948"/>
      <c r="AP20" s="948"/>
      <c r="AQ20" s="948"/>
      <c r="AR20" s="948"/>
      <c r="AS20" s="948"/>
      <c r="AT20" s="948"/>
      <c r="AU20" s="948"/>
      <c r="AV20" s="948"/>
      <c r="AW20" s="948"/>
      <c r="AX20" s="948"/>
      <c r="AY20" s="2587"/>
    </row>
    <row r="21" spans="1:51" s="106" customFormat="1" ht="18" customHeight="1" x14ac:dyDescent="0.3">
      <c r="A21" s="1065" t="str">
        <f>VLOOKUP(U21,ASIGNATURAS!$F$1:$L$1022, 3, FALSE)</f>
        <v>ESTADISTÍCA</v>
      </c>
      <c r="B21" s="1066"/>
      <c r="C21" s="982" t="str">
        <f>VLOOKUP(U21,ASIGNATURAS!$F$1:$L$1022, 4, FALSE)</f>
        <v>Estadística</v>
      </c>
      <c r="D21" s="983"/>
      <c r="E21" s="983"/>
      <c r="F21" s="983"/>
      <c r="G21" s="983"/>
      <c r="H21" s="983"/>
      <c r="I21" s="983"/>
      <c r="J21" s="983"/>
      <c r="K21" s="983"/>
      <c r="L21" s="983"/>
      <c r="M21" s="983"/>
      <c r="N21" s="983"/>
      <c r="O21" s="983"/>
      <c r="P21" s="983"/>
      <c r="Q21" s="983"/>
      <c r="R21" s="992"/>
      <c r="S21" s="992"/>
      <c r="T21" s="1018"/>
      <c r="U21" s="981">
        <v>8807</v>
      </c>
      <c r="V21" s="1071"/>
      <c r="W21" s="981">
        <f>VLOOKUP(U21,ASIGNATURAS!$F$1:$L$1022, 5, FALSE)</f>
        <v>6</v>
      </c>
      <c r="X21" s="972"/>
      <c r="Y21" s="972"/>
      <c r="Z21" s="1071"/>
      <c r="AA21" s="982" t="str">
        <f>VLOOKUP(U21,ASIGNATURAS!$F$1:$L$1022, 6, FALSE)</f>
        <v xml:space="preserve">Diego Sedano, Alvaro Díez </v>
      </c>
      <c r="AB21" s="982"/>
      <c r="AC21" s="982"/>
      <c r="AD21" s="983"/>
      <c r="AE21" s="983"/>
      <c r="AF21" s="983"/>
      <c r="AG21" s="983"/>
      <c r="AH21" s="983"/>
      <c r="AI21" s="983"/>
      <c r="AJ21" s="983"/>
      <c r="AK21" s="983"/>
      <c r="AL21" s="983"/>
      <c r="AM21" s="983"/>
      <c r="AN21" s="983"/>
      <c r="AO21" s="983"/>
      <c r="AP21" s="983"/>
      <c r="AQ21" s="983"/>
      <c r="AR21" s="983"/>
      <c r="AS21" s="983"/>
      <c r="AT21" s="983"/>
      <c r="AU21" s="983"/>
      <c r="AV21" s="983"/>
      <c r="AW21" s="983"/>
      <c r="AX21" s="983"/>
      <c r="AY21" s="1018"/>
    </row>
    <row r="22" spans="1:51" s="106" customFormat="1" ht="18" customHeight="1" x14ac:dyDescent="0.3">
      <c r="A22" s="1065" t="str">
        <f>VLOOKUP(U22,ASIGNATURAS!$F$1:$L$1022, 3, FALSE)</f>
        <v>SOFTWARE</v>
      </c>
      <c r="B22" s="1066"/>
      <c r="C22" s="982" t="str">
        <f>VLOOKUP(U22,ASIGNATURAS!$F$1:$L$1022, 4, FALSE)</f>
        <v>Ingeniería del Software</v>
      </c>
      <c r="D22" s="983"/>
      <c r="E22" s="983"/>
      <c r="F22" s="983"/>
      <c r="G22" s="983"/>
      <c r="H22" s="983"/>
      <c r="I22" s="983"/>
      <c r="J22" s="983"/>
      <c r="K22" s="983"/>
      <c r="L22" s="983"/>
      <c r="M22" s="983"/>
      <c r="N22" s="983"/>
      <c r="O22" s="983"/>
      <c r="P22" s="983"/>
      <c r="Q22" s="983"/>
      <c r="R22" s="992"/>
      <c r="S22" s="992"/>
      <c r="T22" s="1018"/>
      <c r="U22" s="981">
        <v>8808</v>
      </c>
      <c r="V22" s="1071"/>
      <c r="W22" s="981">
        <f>VLOOKUP(U22,ASIGNATURAS!$F$1:$L$1022, 5, FALSE)</f>
        <v>6</v>
      </c>
      <c r="X22" s="972"/>
      <c r="Y22" s="972"/>
      <c r="Z22" s="1071"/>
      <c r="AA22" s="982" t="str">
        <f>VLOOKUP(U22,ASIGNATURAS!$F$1:$L$1022, 6, FALSE)</f>
        <v>Jorge San Miguel Navazo, Belén Vaquerizo</v>
      </c>
      <c r="AB22" s="982"/>
      <c r="AC22" s="982"/>
      <c r="AD22" s="983"/>
      <c r="AE22" s="983"/>
      <c r="AF22" s="983"/>
      <c r="AG22" s="983"/>
      <c r="AH22" s="983"/>
      <c r="AI22" s="983"/>
      <c r="AJ22" s="983"/>
      <c r="AK22" s="983"/>
      <c r="AL22" s="983"/>
      <c r="AM22" s="983"/>
      <c r="AN22" s="983"/>
      <c r="AO22" s="983"/>
      <c r="AP22" s="983"/>
      <c r="AQ22" s="983"/>
      <c r="AR22" s="983"/>
      <c r="AS22" s="983"/>
      <c r="AT22" s="983"/>
      <c r="AU22" s="983"/>
      <c r="AV22" s="983"/>
      <c r="AW22" s="983"/>
      <c r="AX22" s="983"/>
      <c r="AY22" s="1018"/>
    </row>
    <row r="23" spans="1:51" s="106" customFormat="1" ht="18" customHeight="1" x14ac:dyDescent="0.3">
      <c r="A23" s="1065" t="str">
        <f>VLOOKUP(U23,ASIGNATURAS!$F$1:$L$1022, 3, FALSE)</f>
        <v>BASES DATOS</v>
      </c>
      <c r="B23" s="1066"/>
      <c r="C23" s="982" t="str">
        <f>VLOOKUP(U23,ASIGNATURAS!$F$1:$L$1022, 4, FALSE)</f>
        <v>Bases de Datos</v>
      </c>
      <c r="D23" s="983"/>
      <c r="E23" s="983"/>
      <c r="F23" s="983"/>
      <c r="G23" s="983"/>
      <c r="H23" s="983"/>
      <c r="I23" s="983"/>
      <c r="J23" s="983"/>
      <c r="K23" s="983"/>
      <c r="L23" s="983"/>
      <c r="M23" s="983"/>
      <c r="N23" s="983"/>
      <c r="O23" s="983"/>
      <c r="P23" s="983"/>
      <c r="Q23" s="983"/>
      <c r="R23" s="992"/>
      <c r="S23" s="992"/>
      <c r="T23" s="1018"/>
      <c r="U23" s="981">
        <v>8809</v>
      </c>
      <c r="V23" s="1071"/>
      <c r="W23" s="981">
        <f>VLOOKUP(U23,ASIGNATURAS!$F$1:$L$1022, 5, FALSE)</f>
        <v>6</v>
      </c>
      <c r="X23" s="972"/>
      <c r="Y23" s="972"/>
      <c r="Z23" s="1071"/>
      <c r="AA23" s="982" t="str">
        <f>VLOOKUP(U23,ASIGNATURAS!$F$1:$L$1022, 6, FALSE)</f>
        <v>Jesús Manuel Maudes Raedo</v>
      </c>
      <c r="AB23" s="982"/>
      <c r="AC23" s="982"/>
      <c r="AD23" s="983"/>
      <c r="AE23" s="983"/>
      <c r="AF23" s="983"/>
      <c r="AG23" s="983"/>
      <c r="AH23" s="983"/>
      <c r="AI23" s="983"/>
      <c r="AJ23" s="983"/>
      <c r="AK23" s="983"/>
      <c r="AL23" s="983"/>
      <c r="AM23" s="983"/>
      <c r="AN23" s="983"/>
      <c r="AO23" s="983"/>
      <c r="AP23" s="983"/>
      <c r="AQ23" s="983"/>
      <c r="AR23" s="983"/>
      <c r="AS23" s="983"/>
      <c r="AT23" s="983"/>
      <c r="AU23" s="983"/>
      <c r="AV23" s="983"/>
      <c r="AW23" s="983"/>
      <c r="AX23" s="983"/>
      <c r="AY23" s="1018"/>
    </row>
    <row r="24" spans="1:51" s="106" customFormat="1" ht="18" customHeight="1" thickBot="1" x14ac:dyDescent="0.35">
      <c r="A24" s="1097" t="str">
        <f>VLOOKUP(U24,ASIGNATURAS!$F$1:$L$1022, 3, FALSE)</f>
        <v>ARQUIT. COMP.</v>
      </c>
      <c r="B24" s="1098"/>
      <c r="C24" s="1088" t="str">
        <f>VLOOKUP(U24,ASIGNATURAS!$F$1:$L$1022, 4, FALSE)</f>
        <v>Arquitectura de Computadores</v>
      </c>
      <c r="D24" s="1089"/>
      <c r="E24" s="1089"/>
      <c r="F24" s="1089"/>
      <c r="G24" s="1089"/>
      <c r="H24" s="1089"/>
      <c r="I24" s="1089"/>
      <c r="J24" s="1089"/>
      <c r="K24" s="1089"/>
      <c r="L24" s="1089"/>
      <c r="M24" s="1089"/>
      <c r="N24" s="1089"/>
      <c r="O24" s="1089"/>
      <c r="P24" s="1089"/>
      <c r="Q24" s="1089"/>
      <c r="R24" s="1788"/>
      <c r="S24" s="1788"/>
      <c r="T24" s="1090"/>
      <c r="U24" s="1099">
        <v>8810</v>
      </c>
      <c r="V24" s="1100"/>
      <c r="W24" s="1099">
        <f>VLOOKUP(U24,ASIGNATURAS!$F$1:$L$1022, 5, FALSE)</f>
        <v>6</v>
      </c>
      <c r="X24" s="1279"/>
      <c r="Y24" s="1279"/>
      <c r="Z24" s="1100"/>
      <c r="AA24" s="1088" t="str">
        <f>VLOOKUP(U24,ASIGNATURAS!$F$1:$L$1022, 6, FALSE)</f>
        <v>César Represa Pérez, Ana Serna</v>
      </c>
      <c r="AB24" s="1088"/>
      <c r="AC24" s="1088"/>
      <c r="AD24" s="1089"/>
      <c r="AE24" s="1089"/>
      <c r="AF24" s="1089"/>
      <c r="AG24" s="1089"/>
      <c r="AH24" s="1089"/>
      <c r="AI24" s="1089"/>
      <c r="AJ24" s="1089"/>
      <c r="AK24" s="1089"/>
      <c r="AL24" s="1089"/>
      <c r="AM24" s="1089"/>
      <c r="AN24" s="1089"/>
      <c r="AO24" s="1089"/>
      <c r="AP24" s="1089"/>
      <c r="AQ24" s="1089"/>
      <c r="AR24" s="1089"/>
      <c r="AS24" s="1089"/>
      <c r="AT24" s="1089"/>
      <c r="AU24" s="1089"/>
      <c r="AV24" s="1089"/>
      <c r="AW24" s="1089"/>
      <c r="AX24" s="1089"/>
      <c r="AY24" s="1090"/>
    </row>
    <row r="27" spans="1:51" ht="24" customHeight="1" x14ac:dyDescent="0.25">
      <c r="A27" s="1101" t="s">
        <v>1251</v>
      </c>
      <c r="B27" s="1101"/>
      <c r="C27" s="1101"/>
      <c r="D27" s="1101"/>
      <c r="E27" s="1101"/>
      <c r="F27" s="1101"/>
      <c r="G27" s="1101"/>
      <c r="H27" s="275"/>
      <c r="I27" s="275"/>
    </row>
    <row r="28" spans="1:51" ht="24" customHeight="1" x14ac:dyDescent="0.25">
      <c r="A28" s="1102" t="s">
        <v>1252</v>
      </c>
      <c r="B28" s="1102"/>
      <c r="C28" s="1102"/>
      <c r="D28" s="1102"/>
      <c r="E28" s="1102"/>
      <c r="F28" s="1102"/>
      <c r="G28" s="1102"/>
      <c r="H28" s="275"/>
      <c r="I28" s="275"/>
    </row>
    <row r="30" spans="1:51" x14ac:dyDescent="0.25">
      <c r="A30" s="815" t="s">
        <v>1255</v>
      </c>
      <c r="B30" s="816"/>
      <c r="C30" s="816"/>
      <c r="D30" s="816"/>
      <c r="E30" s="816"/>
      <c r="F30" s="816"/>
      <c r="G30" s="816"/>
      <c r="H30" s="816"/>
      <c r="I30" s="816"/>
      <c r="J30" s="816"/>
      <c r="K30" s="816"/>
      <c r="L30" s="816"/>
      <c r="M30" s="816"/>
      <c r="N30" s="816"/>
      <c r="O30" s="816"/>
      <c r="P30" s="816"/>
      <c r="Q30" s="816"/>
      <c r="R30" s="816"/>
      <c r="S30" s="816"/>
      <c r="T30" s="816"/>
      <c r="U30" s="816"/>
      <c r="V30" s="816"/>
      <c r="W30" s="816"/>
      <c r="X30" s="816"/>
      <c r="Y30" s="816"/>
      <c r="Z30" s="816"/>
      <c r="AA30" s="816"/>
      <c r="AB30" s="816"/>
      <c r="AC30" s="816"/>
      <c r="AD30" s="122"/>
      <c r="AE30" s="122"/>
      <c r="AF30" s="122"/>
      <c r="AG30" s="122"/>
      <c r="AH30" s="122"/>
    </row>
    <row r="31" spans="1:51" x14ac:dyDescent="0.25">
      <c r="A31" s="20" t="s">
        <v>217</v>
      </c>
    </row>
    <row r="32" spans="1:51" x14ac:dyDescent="0.25">
      <c r="A32" s="350"/>
      <c r="B32" s="350"/>
      <c r="C32" s="350"/>
      <c r="D32" s="350"/>
      <c r="E32" s="350"/>
      <c r="F32" s="350"/>
      <c r="G32" s="350"/>
      <c r="H32" s="350"/>
      <c r="I32" s="350"/>
      <c r="J32" s="350"/>
      <c r="K32" s="350"/>
      <c r="L32" s="350"/>
      <c r="M32" s="350"/>
      <c r="N32" s="350"/>
      <c r="O32" s="350"/>
      <c r="P32" s="350"/>
      <c r="Q32" s="350"/>
      <c r="R32" s="350"/>
      <c r="S32" s="350"/>
      <c r="T32" s="350"/>
      <c r="U32" s="350"/>
      <c r="V32" s="350"/>
      <c r="W32" s="350"/>
      <c r="X32" s="350"/>
      <c r="Y32" s="350"/>
      <c r="Z32" s="350"/>
    </row>
    <row r="33" spans="1:80" ht="13.8" thickBot="1" x14ac:dyDescent="0.3"/>
    <row r="34" spans="1:80" s="1" customFormat="1" ht="31.5" customHeight="1" thickBot="1" x14ac:dyDescent="0.45">
      <c r="A34" s="1094" t="str">
        <f>VLOOKUP(A37,ASIGNATURAS!$A$2:$D$151, 3, FALSE)</f>
        <v>2º Grado en Ingeniería Informática</v>
      </c>
      <c r="B34" s="1095"/>
      <c r="C34" s="1095"/>
      <c r="D34" s="1095"/>
      <c r="E34" s="1095"/>
      <c r="F34" s="1095"/>
      <c r="G34" s="1095"/>
      <c r="H34" s="1095"/>
      <c r="I34" s="1095"/>
      <c r="J34" s="1095"/>
      <c r="K34" s="1095"/>
      <c r="L34" s="1095"/>
      <c r="M34" s="1095"/>
      <c r="N34" s="1095"/>
      <c r="O34" s="1095"/>
      <c r="P34" s="1095"/>
      <c r="Q34" s="1095"/>
      <c r="R34" s="1095"/>
      <c r="S34" s="1095"/>
      <c r="T34" s="1095"/>
      <c r="U34" s="1095"/>
      <c r="V34" s="1095"/>
      <c r="W34" s="1095"/>
      <c r="X34" s="1095"/>
      <c r="Y34" s="1095"/>
      <c r="Z34" s="1095"/>
      <c r="AA34" s="1095"/>
      <c r="AB34" s="1095"/>
      <c r="AC34" s="1095"/>
      <c r="AD34" s="1095"/>
      <c r="AE34" s="1095"/>
      <c r="AF34" s="1095"/>
      <c r="AG34" s="1095"/>
      <c r="AH34" s="1095"/>
      <c r="AI34" s="1095"/>
      <c r="AJ34" s="1095"/>
      <c r="AK34" s="1095"/>
      <c r="AL34" s="1095"/>
      <c r="AM34" s="1095"/>
      <c r="AN34" s="1095"/>
      <c r="AO34" s="1096"/>
      <c r="AP34" s="1076" t="str">
        <f>AP1</f>
        <v>Curso 2024-2025</v>
      </c>
      <c r="AQ34" s="1077"/>
      <c r="AR34" s="1077"/>
      <c r="AS34" s="1077"/>
      <c r="AT34" s="1077"/>
      <c r="AU34" s="1077"/>
      <c r="AV34" s="1077"/>
      <c r="AW34" s="1077"/>
      <c r="AX34" s="1077"/>
      <c r="AY34" s="1078"/>
    </row>
    <row r="35" spans="1:80" s="8" customFormat="1" ht="23.25" customHeight="1" thickBot="1" x14ac:dyDescent="0.45">
      <c r="A35" s="1083" t="str">
        <f>VLOOKUP(A37,ASIGNATURAS!$A$2:$D$151, 2, FALSE)</f>
        <v>Semestre temporal: 2º        (4º Semestre Académico)</v>
      </c>
      <c r="B35" s="1084"/>
      <c r="C35" s="1084"/>
      <c r="D35" s="1084"/>
      <c r="E35" s="1084"/>
      <c r="F35" s="1084"/>
      <c r="G35" s="1084"/>
      <c r="H35" s="1084"/>
      <c r="I35" s="1084"/>
      <c r="J35" s="1084"/>
      <c r="K35" s="1084"/>
      <c r="L35" s="1084"/>
      <c r="M35" s="1084"/>
      <c r="N35" s="1084"/>
      <c r="O35" s="1084"/>
      <c r="P35" s="1084"/>
      <c r="Q35" s="1084"/>
      <c r="R35" s="1084"/>
      <c r="S35" s="1084"/>
      <c r="T35" s="1084"/>
      <c r="U35" s="1084"/>
      <c r="V35" s="1084"/>
      <c r="W35" s="1084"/>
      <c r="X35" s="1084"/>
      <c r="Y35" s="1084"/>
      <c r="Z35" s="1084"/>
      <c r="AA35" s="1084"/>
      <c r="AB35" s="1084"/>
      <c r="AC35" s="1084"/>
      <c r="AD35" s="1084"/>
      <c r="AE35" s="1084"/>
      <c r="AF35" s="1084"/>
      <c r="AG35" s="1084"/>
      <c r="AH35" s="1084"/>
      <c r="AI35" s="1084"/>
      <c r="AJ35" s="1084"/>
      <c r="AK35" s="1084"/>
      <c r="AL35" s="1084"/>
      <c r="AM35" s="1084"/>
      <c r="AN35" s="1084"/>
      <c r="AO35" s="1085"/>
      <c r="AP35" s="2736" t="s">
        <v>153</v>
      </c>
      <c r="AQ35" s="2736"/>
      <c r="AR35" s="2736"/>
      <c r="AS35" s="2736"/>
      <c r="AT35" s="2736"/>
      <c r="AU35" s="2736"/>
      <c r="AV35" s="2736"/>
      <c r="AW35" s="2736"/>
      <c r="AX35" s="2736"/>
      <c r="AY35" s="2737"/>
    </row>
    <row r="36" spans="1:80" s="8" customFormat="1" ht="23.25" customHeight="1" thickBot="1" x14ac:dyDescent="0.45">
      <c r="A36" s="1083" t="s">
        <v>181</v>
      </c>
      <c r="B36" s="1084"/>
      <c r="C36" s="1084"/>
      <c r="D36" s="1084"/>
      <c r="E36" s="1084"/>
      <c r="F36" s="1084"/>
      <c r="G36" s="1084"/>
      <c r="H36" s="1084"/>
      <c r="I36" s="1084"/>
      <c r="J36" s="1084"/>
      <c r="K36" s="1084"/>
      <c r="L36" s="1084"/>
      <c r="M36" s="1084"/>
      <c r="N36" s="1084"/>
      <c r="O36" s="1084"/>
      <c r="P36" s="1084"/>
      <c r="Q36" s="1084"/>
      <c r="R36" s="1084"/>
      <c r="S36" s="1084"/>
      <c r="T36" s="1084"/>
      <c r="U36" s="1084"/>
      <c r="V36" s="1084"/>
      <c r="W36" s="1084"/>
      <c r="X36" s="1084"/>
      <c r="Y36" s="1084"/>
      <c r="Z36" s="1084"/>
      <c r="AA36" s="1084"/>
      <c r="AB36" s="1084"/>
      <c r="AC36" s="1084"/>
      <c r="AD36" s="1084"/>
      <c r="AE36" s="1084"/>
      <c r="AF36" s="1084"/>
      <c r="AG36" s="1084"/>
      <c r="AH36" s="1084"/>
      <c r="AI36" s="1084"/>
      <c r="AJ36" s="1084"/>
      <c r="AK36" s="1084"/>
      <c r="AL36" s="1084"/>
      <c r="AM36" s="1084"/>
      <c r="AN36" s="1084"/>
      <c r="AO36" s="1085"/>
      <c r="AP36" s="2738"/>
      <c r="AQ36" s="2738"/>
      <c r="AR36" s="2738"/>
      <c r="AS36" s="2738"/>
      <c r="AT36" s="2738"/>
      <c r="AU36" s="2738"/>
      <c r="AV36" s="2738"/>
      <c r="AW36" s="2738"/>
      <c r="AX36" s="2738"/>
      <c r="AY36" s="2739"/>
    </row>
    <row r="37" spans="1:80" ht="38.25" customHeight="1" thickBot="1" x14ac:dyDescent="0.3">
      <c r="A37" s="9" t="s">
        <v>70</v>
      </c>
    </row>
    <row r="38" spans="1:80" s="2" customFormat="1" ht="24" customHeight="1" thickBot="1" x14ac:dyDescent="0.3">
      <c r="A38" s="19" t="s">
        <v>1</v>
      </c>
      <c r="B38" s="1091" t="s">
        <v>2</v>
      </c>
      <c r="C38" s="1092"/>
      <c r="D38" s="1092"/>
      <c r="E38" s="1092"/>
      <c r="F38" s="1092"/>
      <c r="G38" s="1092"/>
      <c r="H38" s="1092"/>
      <c r="I38" s="1092"/>
      <c r="J38" s="1092"/>
      <c r="K38" s="1093"/>
      <c r="L38" s="1091" t="s">
        <v>3</v>
      </c>
      <c r="M38" s="1092"/>
      <c r="N38" s="1092"/>
      <c r="O38" s="1092"/>
      <c r="P38" s="1092"/>
      <c r="Q38" s="1092"/>
      <c r="R38" s="1092"/>
      <c r="S38" s="1092"/>
      <c r="T38" s="1092"/>
      <c r="U38" s="1093"/>
      <c r="V38" s="1091" t="s">
        <v>139</v>
      </c>
      <c r="W38" s="1092"/>
      <c r="X38" s="1092"/>
      <c r="Y38" s="1092"/>
      <c r="Z38" s="1092"/>
      <c r="AA38" s="1092"/>
      <c r="AB38" s="1092"/>
      <c r="AC38" s="1092"/>
      <c r="AD38" s="1092"/>
      <c r="AE38" s="1093"/>
      <c r="AF38" s="1091" t="s">
        <v>4</v>
      </c>
      <c r="AG38" s="1092"/>
      <c r="AH38" s="1092"/>
      <c r="AI38" s="1092"/>
      <c r="AJ38" s="1092"/>
      <c r="AK38" s="1092"/>
      <c r="AL38" s="1092"/>
      <c r="AM38" s="1092"/>
      <c r="AN38" s="1092"/>
      <c r="AO38" s="1093"/>
      <c r="AP38" s="1091" t="s">
        <v>5</v>
      </c>
      <c r="AQ38" s="1092"/>
      <c r="AR38" s="1092"/>
      <c r="AS38" s="1092"/>
      <c r="AT38" s="1092"/>
      <c r="AU38" s="1092"/>
      <c r="AV38" s="1092"/>
      <c r="AW38" s="1092"/>
      <c r="AX38" s="1092"/>
      <c r="AY38" s="1093"/>
    </row>
    <row r="39" spans="1:80" ht="42.75" customHeight="1" x14ac:dyDescent="0.25">
      <c r="A39" s="2679" t="s">
        <v>1131</v>
      </c>
      <c r="B39" s="476"/>
      <c r="C39" s="2377"/>
      <c r="D39" s="95" t="s">
        <v>580</v>
      </c>
      <c r="E39" s="2361" t="s">
        <v>577</v>
      </c>
      <c r="F39" s="69"/>
      <c r="G39" s="2376"/>
      <c r="H39" s="218" t="s">
        <v>583</v>
      </c>
      <c r="I39" s="2362" t="s">
        <v>752</v>
      </c>
      <c r="J39" s="113"/>
      <c r="K39" s="2741"/>
      <c r="L39" s="552" t="s">
        <v>579</v>
      </c>
      <c r="M39" s="2361" t="s">
        <v>150</v>
      </c>
      <c r="N39" s="885"/>
      <c r="O39" s="2430"/>
      <c r="Q39" s="741"/>
      <c r="R39" s="916" t="s">
        <v>583</v>
      </c>
      <c r="S39" s="2439" t="s">
        <v>577</v>
      </c>
      <c r="T39" s="218" t="s">
        <v>584</v>
      </c>
      <c r="U39" s="2726" t="s">
        <v>751</v>
      </c>
      <c r="V39" s="94" t="s">
        <v>579</v>
      </c>
      <c r="W39" s="2433" t="s">
        <v>752</v>
      </c>
      <c r="X39" s="383" t="s">
        <v>580</v>
      </c>
      <c r="Y39" s="2361" t="s">
        <v>150</v>
      </c>
      <c r="AA39" s="741"/>
      <c r="AB39" s="139"/>
      <c r="AC39" s="2358"/>
      <c r="AD39" s="69"/>
      <c r="AE39" s="2595"/>
      <c r="AG39" s="741"/>
      <c r="AH39" s="905" t="s">
        <v>580</v>
      </c>
      <c r="AI39" s="2714" t="s">
        <v>752</v>
      </c>
      <c r="AL39" s="129" t="s">
        <v>583</v>
      </c>
      <c r="AM39" s="2362" t="s">
        <v>150</v>
      </c>
      <c r="AN39" s="916" t="s">
        <v>584</v>
      </c>
      <c r="AO39" s="2426" t="s">
        <v>577</v>
      </c>
      <c r="AP39" s="383" t="s">
        <v>579</v>
      </c>
      <c r="AQ39" s="2361" t="s">
        <v>577</v>
      </c>
      <c r="AR39" s="904" t="s">
        <v>580</v>
      </c>
      <c r="AS39" s="2433" t="s">
        <v>751</v>
      </c>
      <c r="AT39" s="69"/>
      <c r="AU39" s="2377"/>
      <c r="AV39" s="218" t="s">
        <v>583</v>
      </c>
      <c r="AW39" s="2362" t="s">
        <v>752</v>
      </c>
      <c r="AX39" s="78"/>
      <c r="AY39" s="2595"/>
      <c r="BA39" s="10"/>
      <c r="BB39" s="10"/>
      <c r="BC39" s="10"/>
      <c r="BD39" s="10"/>
      <c r="BE39" s="10"/>
      <c r="BF39" s="10"/>
      <c r="BG39" s="10"/>
      <c r="BH39" s="10"/>
      <c r="BI39" s="10"/>
      <c r="BJ39" s="10"/>
      <c r="BK39" s="10"/>
      <c r="BL39" s="10"/>
    </row>
    <row r="40" spans="1:80" ht="42.75" customHeight="1" x14ac:dyDescent="0.3">
      <c r="A40" s="1455"/>
      <c r="B40" s="2209"/>
      <c r="C40" s="2377"/>
      <c r="D40" s="1221" t="s">
        <v>106</v>
      </c>
      <c r="E40" s="2361"/>
      <c r="F40" s="1241"/>
      <c r="G40" s="2377"/>
      <c r="H40" s="2422" t="s">
        <v>107</v>
      </c>
      <c r="I40" s="2362"/>
      <c r="J40" s="2742"/>
      <c r="K40" s="2741"/>
      <c r="L40" s="1191" t="s">
        <v>33</v>
      </c>
      <c r="M40" s="2361"/>
      <c r="N40" s="2743"/>
      <c r="O40" s="2431"/>
      <c r="R40" s="2422" t="s">
        <v>106</v>
      </c>
      <c r="S40" s="2362"/>
      <c r="T40" s="2422" t="s">
        <v>107</v>
      </c>
      <c r="U40" s="2727"/>
      <c r="V40" s="1191" t="s">
        <v>107</v>
      </c>
      <c r="W40" s="2361"/>
      <c r="X40" s="1221" t="s">
        <v>33</v>
      </c>
      <c r="Y40" s="2361"/>
      <c r="AB40" s="2408"/>
      <c r="AC40" s="2358"/>
      <c r="AD40" s="1241"/>
      <c r="AE40" s="2467"/>
      <c r="AH40" s="2716" t="s">
        <v>585</v>
      </c>
      <c r="AI40" s="2715"/>
      <c r="AL40" s="2422" t="s">
        <v>33</v>
      </c>
      <c r="AM40" s="2362"/>
      <c r="AN40" s="2422" t="s">
        <v>106</v>
      </c>
      <c r="AO40" s="2427"/>
      <c r="AP40" s="1219" t="s">
        <v>106</v>
      </c>
      <c r="AQ40" s="2361"/>
      <c r="AR40" s="1221" t="s">
        <v>107</v>
      </c>
      <c r="AS40" s="2361"/>
      <c r="AT40" s="1241"/>
      <c r="AU40" s="2377"/>
      <c r="AV40" s="2422" t="s">
        <v>585</v>
      </c>
      <c r="AW40" s="2362"/>
      <c r="AX40" s="1224"/>
      <c r="AY40" s="2467"/>
      <c r="BA40" s="2582"/>
      <c r="BB40" s="2582"/>
      <c r="BC40" s="2582"/>
      <c r="BD40" s="2582"/>
      <c r="BE40" s="2582"/>
      <c r="BF40" s="2582"/>
      <c r="BG40" s="2582"/>
      <c r="BH40" s="2582"/>
      <c r="BI40" s="2582"/>
      <c r="BJ40" s="2582"/>
      <c r="BK40" s="10"/>
      <c r="BL40" s="10"/>
    </row>
    <row r="41" spans="1:80" ht="42.75" customHeight="1" x14ac:dyDescent="0.3">
      <c r="A41" s="934" t="s">
        <v>187</v>
      </c>
      <c r="B41" s="2209"/>
      <c r="C41" s="2377"/>
      <c r="D41" s="1221"/>
      <c r="E41" s="2361"/>
      <c r="F41" s="1241"/>
      <c r="G41" s="2377"/>
      <c r="H41" s="2422"/>
      <c r="I41" s="2362"/>
      <c r="J41" s="2742"/>
      <c r="K41" s="2741"/>
      <c r="L41" s="1191"/>
      <c r="M41" s="2361"/>
      <c r="N41" s="2743"/>
      <c r="O41" s="2431"/>
      <c r="R41" s="2422"/>
      <c r="S41" s="2362"/>
      <c r="T41" s="2422"/>
      <c r="U41" s="2727"/>
      <c r="V41" s="1191"/>
      <c r="W41" s="2361"/>
      <c r="X41" s="1221"/>
      <c r="Y41" s="2361"/>
      <c r="AB41" s="2408"/>
      <c r="AC41" s="2358"/>
      <c r="AD41" s="1241"/>
      <c r="AE41" s="2467"/>
      <c r="AH41" s="2716"/>
      <c r="AI41" s="2715"/>
      <c r="AL41" s="2422"/>
      <c r="AM41" s="2362"/>
      <c r="AN41" s="2422"/>
      <c r="AO41" s="2427"/>
      <c r="AP41" s="1219"/>
      <c r="AQ41" s="2361"/>
      <c r="AR41" s="1221"/>
      <c r="AS41" s="2361"/>
      <c r="AT41" s="1241"/>
      <c r="AU41" s="2377"/>
      <c r="AV41" s="2422"/>
      <c r="AW41" s="2362"/>
      <c r="AX41" s="1224"/>
      <c r="AY41" s="2467"/>
      <c r="BA41" s="2637"/>
      <c r="BB41" s="2637"/>
      <c r="BC41" s="2637"/>
      <c r="BD41" s="2637"/>
      <c r="BE41" s="2637"/>
      <c r="BF41" s="2637"/>
      <c r="BG41" s="2637"/>
      <c r="BH41" s="2637"/>
      <c r="BI41" s="2732"/>
      <c r="BJ41" s="2637"/>
      <c r="BK41" s="10"/>
      <c r="BL41" s="10"/>
    </row>
    <row r="42" spans="1:80" ht="42.75" customHeight="1" thickBot="1" x14ac:dyDescent="0.35">
      <c r="A42" s="935"/>
      <c r="B42" s="2602"/>
      <c r="C42" s="2388"/>
      <c r="D42" s="1221"/>
      <c r="E42" s="2361"/>
      <c r="F42" s="1241"/>
      <c r="G42" s="2377"/>
      <c r="H42" s="2486"/>
      <c r="I42" s="2438"/>
      <c r="J42" s="2742"/>
      <c r="K42" s="2741"/>
      <c r="L42" s="1191"/>
      <c r="M42" s="2361"/>
      <c r="N42" s="2743"/>
      <c r="O42" s="2431"/>
      <c r="R42" s="2422"/>
      <c r="S42" s="2362"/>
      <c r="T42" s="2422"/>
      <c r="U42" s="2727"/>
      <c r="V42" s="2221"/>
      <c r="W42" s="2361"/>
      <c r="X42" s="1221"/>
      <c r="Y42" s="2361"/>
      <c r="AB42" s="2408"/>
      <c r="AC42" s="2358"/>
      <c r="AD42" s="1241"/>
      <c r="AE42" s="2467"/>
      <c r="AH42" s="2717"/>
      <c r="AI42" s="2715"/>
      <c r="AL42" s="2422"/>
      <c r="AM42" s="2362"/>
      <c r="AN42" s="2422"/>
      <c r="AO42" s="2485"/>
      <c r="AP42" s="2410"/>
      <c r="AQ42" s="2361"/>
      <c r="AR42" s="1221"/>
      <c r="AS42" s="2361"/>
      <c r="AT42" s="2207"/>
      <c r="AU42" s="2377"/>
      <c r="AV42" s="2486"/>
      <c r="AW42" s="2438"/>
      <c r="AX42" s="1225"/>
      <c r="AY42" s="2468"/>
      <c r="BA42" s="2637"/>
      <c r="BB42" s="2637"/>
      <c r="BC42" s="2637"/>
      <c r="BD42" s="2637"/>
      <c r="BE42" s="2637"/>
      <c r="BF42" s="2637"/>
      <c r="BG42" s="2637"/>
      <c r="BH42" s="2637"/>
      <c r="BI42" s="79"/>
      <c r="BJ42" s="79"/>
      <c r="BK42" s="10"/>
      <c r="BL42" s="10"/>
      <c r="BM42" s="10"/>
      <c r="BN42" s="10"/>
      <c r="BO42" s="10"/>
      <c r="BP42" s="10"/>
      <c r="BQ42" s="10"/>
      <c r="BR42" s="10"/>
      <c r="BS42" s="10"/>
      <c r="BT42" s="10"/>
      <c r="BU42" s="10"/>
      <c r="BV42" s="10"/>
      <c r="BW42" s="10"/>
      <c r="BX42" s="10"/>
      <c r="BY42" s="10"/>
      <c r="BZ42" s="10"/>
      <c r="CA42" s="10"/>
      <c r="CB42" s="10"/>
    </row>
    <row r="43" spans="1:80" ht="42.75" customHeight="1" x14ac:dyDescent="0.25">
      <c r="A43" s="997" t="s">
        <v>186</v>
      </c>
      <c r="B43" s="2608" t="s">
        <v>33</v>
      </c>
      <c r="C43" s="2609"/>
      <c r="D43" s="2609"/>
      <c r="E43" s="2609"/>
      <c r="F43" s="2609"/>
      <c r="G43" s="2609"/>
      <c r="H43" s="2365" t="s">
        <v>830</v>
      </c>
      <c r="I43" s="2365"/>
      <c r="J43" s="2366"/>
      <c r="K43" s="107">
        <v>1</v>
      </c>
      <c r="L43" s="2447" t="s">
        <v>585</v>
      </c>
      <c r="M43" s="2448"/>
      <c r="N43" s="2448"/>
      <c r="O43" s="2448"/>
      <c r="P43" s="2448"/>
      <c r="Q43" s="2448"/>
      <c r="R43" s="2365" t="s">
        <v>153</v>
      </c>
      <c r="S43" s="2365"/>
      <c r="T43" s="2366"/>
      <c r="U43" s="107">
        <v>1</v>
      </c>
      <c r="V43" s="2447" t="s">
        <v>107</v>
      </c>
      <c r="W43" s="2448"/>
      <c r="X43" s="2448"/>
      <c r="Y43" s="2448"/>
      <c r="Z43" s="2448"/>
      <c r="AA43" s="2448"/>
      <c r="AB43" s="2365" t="s">
        <v>153</v>
      </c>
      <c r="AC43" s="2365"/>
      <c r="AD43" s="2366"/>
      <c r="AE43" s="107">
        <v>1</v>
      </c>
      <c r="AF43" s="2728"/>
      <c r="AG43" s="2729"/>
      <c r="AH43" s="2729"/>
      <c r="AI43" s="2729"/>
      <c r="AJ43" s="2729"/>
      <c r="AK43" s="2729"/>
      <c r="AL43" s="2730"/>
      <c r="AM43" s="2730"/>
      <c r="AN43" s="2731"/>
      <c r="AO43" s="882"/>
      <c r="AP43" s="2447" t="s">
        <v>105</v>
      </c>
      <c r="AQ43" s="2448"/>
      <c r="AR43" s="2448"/>
      <c r="AS43" s="2448"/>
      <c r="AT43" s="2448"/>
      <c r="AU43" s="2448"/>
      <c r="AV43" s="2365" t="s">
        <v>153</v>
      </c>
      <c r="AW43" s="2365"/>
      <c r="AX43" s="2366"/>
      <c r="AY43" s="107">
        <v>1</v>
      </c>
      <c r="BA43" s="10"/>
      <c r="BB43" s="10"/>
      <c r="BC43" s="10"/>
      <c r="BD43" s="10"/>
      <c r="BE43" s="10"/>
      <c r="BF43" s="10"/>
      <c r="BG43" s="10"/>
      <c r="BH43" s="10"/>
      <c r="BI43" s="10"/>
      <c r="BJ43" s="10"/>
      <c r="BK43" s="10"/>
      <c r="BL43" s="10"/>
      <c r="BM43" s="10"/>
      <c r="BN43" s="1817"/>
      <c r="BO43" s="1817"/>
      <c r="BP43" s="1817"/>
      <c r="BQ43" s="1817"/>
      <c r="BR43" s="1817"/>
      <c r="BS43" s="810"/>
      <c r="BT43" s="2725"/>
      <c r="BU43" s="2725"/>
      <c r="BV43" s="2725"/>
      <c r="BW43" s="2725"/>
      <c r="BX43" s="10"/>
      <c r="BY43" s="10"/>
      <c r="BZ43" s="10"/>
      <c r="CA43" s="10"/>
      <c r="CB43" s="10"/>
    </row>
    <row r="44" spans="1:80" ht="42.75" customHeight="1" thickBot="1" x14ac:dyDescent="0.3">
      <c r="A44" s="998"/>
      <c r="B44" s="2441" t="s">
        <v>33</v>
      </c>
      <c r="C44" s="2442"/>
      <c r="D44" s="2442"/>
      <c r="E44" s="2442"/>
      <c r="F44" s="2442"/>
      <c r="G44" s="2442"/>
      <c r="H44" s="2374" t="s">
        <v>830</v>
      </c>
      <c r="I44" s="2374"/>
      <c r="J44" s="2375"/>
      <c r="K44" s="906">
        <v>2</v>
      </c>
      <c r="L44" s="2605" t="s">
        <v>585</v>
      </c>
      <c r="M44" s="2733"/>
      <c r="N44" s="2733"/>
      <c r="O44" s="2733"/>
      <c r="P44" s="2733"/>
      <c r="Q44" s="2733"/>
      <c r="R44" s="2374" t="s">
        <v>153</v>
      </c>
      <c r="S44" s="2374"/>
      <c r="T44" s="2375"/>
      <c r="U44" s="906">
        <v>2</v>
      </c>
      <c r="V44" s="2605" t="s">
        <v>107</v>
      </c>
      <c r="W44" s="2733"/>
      <c r="X44" s="2733"/>
      <c r="Y44" s="2733"/>
      <c r="Z44" s="2733"/>
      <c r="AA44" s="2733"/>
      <c r="AB44" s="2374" t="s">
        <v>153</v>
      </c>
      <c r="AC44" s="2374"/>
      <c r="AD44" s="2375"/>
      <c r="AE44" s="906">
        <v>2</v>
      </c>
      <c r="AF44" s="2441" t="s">
        <v>106</v>
      </c>
      <c r="AG44" s="2442"/>
      <c r="AH44" s="2442"/>
      <c r="AI44" s="2442"/>
      <c r="AJ44" s="2442"/>
      <c r="AK44" s="2442"/>
      <c r="AL44" s="2374" t="s">
        <v>151</v>
      </c>
      <c r="AM44" s="2374"/>
      <c r="AN44" s="2375"/>
      <c r="AO44" s="906">
        <v>2</v>
      </c>
      <c r="AP44" s="2605" t="s">
        <v>106</v>
      </c>
      <c r="AQ44" s="2733"/>
      <c r="AR44" s="2733"/>
      <c r="AS44" s="2733"/>
      <c r="AT44" s="2733"/>
      <c r="AU44" s="2733"/>
      <c r="AV44" s="2374" t="s">
        <v>151</v>
      </c>
      <c r="AW44" s="2374"/>
      <c r="AX44" s="2375"/>
      <c r="AY44" s="906">
        <v>2</v>
      </c>
      <c r="BA44" s="255"/>
      <c r="BB44" s="10"/>
      <c r="BC44" s="10"/>
      <c r="BD44" s="10"/>
      <c r="BE44" s="10"/>
      <c r="BF44" s="10"/>
      <c r="BG44" s="10"/>
      <c r="BH44" s="10"/>
      <c r="BI44" s="10"/>
      <c r="BJ44" s="10"/>
      <c r="BK44" s="10"/>
      <c r="BL44" s="10"/>
      <c r="BM44" s="10"/>
      <c r="BN44" s="1817"/>
      <c r="BO44" s="1817"/>
      <c r="BP44" s="1817"/>
      <c r="BQ44" s="1817"/>
      <c r="BR44" s="1817"/>
      <c r="BS44" s="810"/>
      <c r="BT44" s="2725"/>
      <c r="BU44" s="2725"/>
      <c r="BV44" s="2725"/>
      <c r="BW44" s="2725"/>
      <c r="BX44" s="10"/>
      <c r="BY44" s="10"/>
      <c r="BZ44" s="10"/>
      <c r="CA44" s="10"/>
      <c r="CB44" s="10"/>
    </row>
    <row r="45" spans="1:80" ht="42.75" customHeight="1" x14ac:dyDescent="0.3">
      <c r="A45" s="934" t="s">
        <v>188</v>
      </c>
      <c r="B45" s="2608" t="s">
        <v>33</v>
      </c>
      <c r="C45" s="2609"/>
      <c r="D45" s="2609"/>
      <c r="E45" s="2609"/>
      <c r="F45" s="2609"/>
      <c r="G45" s="2609"/>
      <c r="H45" s="2365" t="s">
        <v>830</v>
      </c>
      <c r="I45" s="2365"/>
      <c r="J45" s="2366"/>
      <c r="K45" s="107">
        <v>1</v>
      </c>
      <c r="L45" s="2447" t="s">
        <v>107</v>
      </c>
      <c r="M45" s="2448"/>
      <c r="N45" s="2448"/>
      <c r="O45" s="2448"/>
      <c r="P45" s="2448"/>
      <c r="Q45" s="2448"/>
      <c r="R45" s="2365" t="s">
        <v>153</v>
      </c>
      <c r="S45" s="2365"/>
      <c r="T45" s="2366"/>
      <c r="U45" s="107">
        <v>1</v>
      </c>
      <c r="V45" s="2608" t="s">
        <v>585</v>
      </c>
      <c r="W45" s="2609"/>
      <c r="X45" s="2609"/>
      <c r="Y45" s="2609"/>
      <c r="Z45" s="2609"/>
      <c r="AA45" s="2609"/>
      <c r="AB45" s="2365" t="s">
        <v>153</v>
      </c>
      <c r="AC45" s="2365"/>
      <c r="AD45" s="2366"/>
      <c r="AE45" s="107">
        <v>1</v>
      </c>
      <c r="AF45" s="2447" t="s">
        <v>106</v>
      </c>
      <c r="AG45" s="2448"/>
      <c r="AH45" s="2448"/>
      <c r="AI45" s="2448"/>
      <c r="AJ45" s="2448"/>
      <c r="AK45" s="2448"/>
      <c r="AL45" s="2365" t="s">
        <v>153</v>
      </c>
      <c r="AM45" s="2365"/>
      <c r="AN45" s="2366"/>
      <c r="AO45" s="107">
        <v>1</v>
      </c>
      <c r="AP45" s="2447" t="s">
        <v>106</v>
      </c>
      <c r="AQ45" s="2448"/>
      <c r="AR45" s="2448"/>
      <c r="AS45" s="2448"/>
      <c r="AT45" s="2448"/>
      <c r="AU45" s="2448"/>
      <c r="AV45" s="2365" t="s">
        <v>153</v>
      </c>
      <c r="AW45" s="2365"/>
      <c r="AX45" s="2366"/>
      <c r="AY45" s="107">
        <v>1</v>
      </c>
      <c r="BA45" s="255"/>
      <c r="BB45" s="10"/>
      <c r="BC45" s="10"/>
      <c r="BD45" s="430"/>
      <c r="BE45" s="430"/>
      <c r="BF45" s="430"/>
      <c r="BG45" s="430"/>
      <c r="BH45" s="430"/>
      <c r="BI45" s="430"/>
      <c r="BJ45" s="430"/>
      <c r="BK45" s="430"/>
      <c r="BL45" s="430"/>
      <c r="BM45" s="10"/>
      <c r="BN45" s="10"/>
      <c r="BO45" s="10"/>
      <c r="BP45" s="10"/>
      <c r="BQ45" s="10"/>
      <c r="BR45" s="10"/>
      <c r="BS45" s="10"/>
      <c r="BT45" s="10"/>
      <c r="BU45" s="10"/>
      <c r="BV45" s="10"/>
      <c r="BW45" s="10"/>
      <c r="BX45" s="10"/>
      <c r="BY45" s="10"/>
      <c r="BZ45" s="10"/>
      <c r="CA45" s="10"/>
      <c r="CB45" s="10"/>
    </row>
    <row r="46" spans="1:80" ht="42.75" customHeight="1" thickBot="1" x14ac:dyDescent="0.3">
      <c r="A46" s="935"/>
      <c r="B46" s="2441" t="s">
        <v>33</v>
      </c>
      <c r="C46" s="2442"/>
      <c r="D46" s="2442"/>
      <c r="E46" s="2442"/>
      <c r="F46" s="2442"/>
      <c r="G46" s="2442"/>
      <c r="H46" s="2374" t="s">
        <v>830</v>
      </c>
      <c r="I46" s="2374"/>
      <c r="J46" s="2375"/>
      <c r="K46" s="906">
        <v>2</v>
      </c>
      <c r="L46" s="2441" t="s">
        <v>107</v>
      </c>
      <c r="M46" s="2442"/>
      <c r="N46" s="2442"/>
      <c r="O46" s="2442"/>
      <c r="P46" s="2442"/>
      <c r="Q46" s="2442"/>
      <c r="R46" s="2374" t="s">
        <v>153</v>
      </c>
      <c r="S46" s="2374"/>
      <c r="T46" s="2375"/>
      <c r="U46" s="906">
        <v>2</v>
      </c>
      <c r="V46" s="2441" t="s">
        <v>585</v>
      </c>
      <c r="W46" s="2442"/>
      <c r="X46" s="2442"/>
      <c r="Y46" s="2442"/>
      <c r="Z46" s="2442"/>
      <c r="AA46" s="2442"/>
      <c r="AB46" s="2374" t="s">
        <v>153</v>
      </c>
      <c r="AC46" s="2374"/>
      <c r="AD46" s="2375"/>
      <c r="AE46" s="906">
        <v>2</v>
      </c>
      <c r="AF46" s="2441" t="s">
        <v>105</v>
      </c>
      <c r="AG46" s="2442"/>
      <c r="AH46" s="2442"/>
      <c r="AI46" s="2442"/>
      <c r="AJ46" s="2442"/>
      <c r="AK46" s="2442"/>
      <c r="AL46" s="2374" t="s">
        <v>151</v>
      </c>
      <c r="AM46" s="2374"/>
      <c r="AN46" s="2375"/>
      <c r="AO46" s="906">
        <v>2</v>
      </c>
      <c r="AP46" s="2441" t="s">
        <v>105</v>
      </c>
      <c r="AQ46" s="2442"/>
      <c r="AR46" s="2442"/>
      <c r="AS46" s="2442"/>
      <c r="AT46" s="2442"/>
      <c r="AU46" s="2442"/>
      <c r="AV46" s="2374" t="s">
        <v>151</v>
      </c>
      <c r="AW46" s="2374"/>
      <c r="AX46" s="2375"/>
      <c r="AY46" s="906">
        <v>2</v>
      </c>
      <c r="BB46" s="10"/>
      <c r="BC46" s="2276"/>
      <c r="BD46" s="2276"/>
      <c r="BE46" s="2276"/>
      <c r="BF46" s="2276"/>
      <c r="BG46" s="2276"/>
      <c r="BH46" s="2276"/>
      <c r="BI46" s="2276"/>
      <c r="BJ46" s="2276"/>
      <c r="BK46" s="2276"/>
      <c r="BL46" s="2276"/>
    </row>
    <row r="47" spans="1:80" ht="42.75" customHeight="1" x14ac:dyDescent="0.3">
      <c r="A47" s="934" t="s">
        <v>189</v>
      </c>
      <c r="B47" s="552" t="s">
        <v>579</v>
      </c>
      <c r="C47" s="2361" t="s">
        <v>752</v>
      </c>
      <c r="D47" s="775"/>
      <c r="E47" s="703"/>
      <c r="F47" s="703"/>
      <c r="G47" s="703"/>
      <c r="H47" s="703"/>
      <c r="I47" s="703"/>
      <c r="J47" s="703"/>
      <c r="K47" s="704"/>
      <c r="L47" s="671"/>
      <c r="M47" s="430"/>
      <c r="N47" s="31"/>
      <c r="R47" s="218" t="s">
        <v>583</v>
      </c>
      <c r="S47" s="2362" t="s">
        <v>752</v>
      </c>
      <c r="T47" s="716"/>
      <c r="U47" s="2473"/>
      <c r="V47" s="476"/>
      <c r="W47" s="668"/>
      <c r="X47" s="388" t="s">
        <v>580</v>
      </c>
      <c r="Y47" s="2361" t="s">
        <v>752</v>
      </c>
      <c r="AB47" s="266"/>
      <c r="AC47" s="2377"/>
      <c r="AD47" s="69"/>
      <c r="AE47" s="669"/>
      <c r="AF47" s="552" t="s">
        <v>579</v>
      </c>
      <c r="AG47" s="2361" t="s">
        <v>752</v>
      </c>
      <c r="AH47" s="2718"/>
      <c r="AI47" s="2719"/>
      <c r="AJ47" s="69"/>
      <c r="AK47" s="2377"/>
      <c r="AN47" s="218" t="s">
        <v>584</v>
      </c>
      <c r="AO47" s="2362" t="s">
        <v>750</v>
      </c>
      <c r="AP47" s="2721" t="s">
        <v>105</v>
      </c>
      <c r="AQ47" s="2722"/>
      <c r="AR47" s="2722"/>
      <c r="AS47" s="2722"/>
      <c r="AT47" s="2723" t="s">
        <v>153</v>
      </c>
      <c r="AU47" s="2723"/>
      <c r="AV47" s="2724"/>
      <c r="AW47" s="883">
        <v>1</v>
      </c>
      <c r="AX47" s="844" t="s">
        <v>584</v>
      </c>
      <c r="AY47" s="2424" t="s">
        <v>752</v>
      </c>
      <c r="BL47" s="10"/>
    </row>
    <row r="48" spans="1:80" ht="42.75" customHeight="1" x14ac:dyDescent="0.3">
      <c r="A48" s="935"/>
      <c r="B48" s="1191" t="s">
        <v>105</v>
      </c>
      <c r="C48" s="2361"/>
      <c r="D48" s="703"/>
      <c r="E48" s="703"/>
      <c r="F48" s="703"/>
      <c r="G48" s="703"/>
      <c r="H48" s="703"/>
      <c r="I48" s="703"/>
      <c r="J48" s="703"/>
      <c r="K48" s="704"/>
      <c r="L48" s="413"/>
      <c r="M48" s="79"/>
      <c r="R48" s="2422" t="s">
        <v>105</v>
      </c>
      <c r="S48" s="2362"/>
      <c r="T48" s="2239"/>
      <c r="U48" s="2473"/>
      <c r="V48" s="476"/>
      <c r="W48" s="668"/>
      <c r="X48" s="1221" t="s">
        <v>105</v>
      </c>
      <c r="Y48" s="2361"/>
      <c r="AB48" s="1224"/>
      <c r="AC48" s="2377"/>
      <c r="AD48" s="69"/>
      <c r="AE48" s="669"/>
      <c r="AF48" s="1191" t="s">
        <v>585</v>
      </c>
      <c r="AG48" s="2361"/>
      <c r="AH48" s="1461"/>
      <c r="AI48" s="1739"/>
      <c r="AJ48" s="1241"/>
      <c r="AK48" s="2377"/>
      <c r="AN48" s="2422" t="s">
        <v>105</v>
      </c>
      <c r="AO48" s="2362"/>
      <c r="AP48" s="476"/>
      <c r="AQ48" s="69"/>
      <c r="AR48" s="69"/>
      <c r="AS48" s="69"/>
      <c r="AT48" s="69"/>
      <c r="AU48" s="69"/>
      <c r="AV48" s="69"/>
      <c r="AW48" s="69"/>
      <c r="AX48" s="2444" t="s">
        <v>585</v>
      </c>
      <c r="AY48" s="2424"/>
      <c r="BL48" s="10"/>
    </row>
    <row r="49" spans="1:64" ht="42.75" customHeight="1" x14ac:dyDescent="0.3">
      <c r="A49" s="997" t="s">
        <v>190</v>
      </c>
      <c r="B49" s="1191"/>
      <c r="C49" s="2361"/>
      <c r="D49" s="703"/>
      <c r="E49" s="703"/>
      <c r="F49" s="703"/>
      <c r="G49" s="703"/>
      <c r="H49" s="703"/>
      <c r="I49" s="703"/>
      <c r="J49" s="703"/>
      <c r="K49" s="704"/>
      <c r="L49" s="499"/>
      <c r="M49" s="20"/>
      <c r="R49" s="2422"/>
      <c r="S49" s="2362"/>
      <c r="T49" s="2239"/>
      <c r="U49" s="2473"/>
      <c r="V49" s="499"/>
      <c r="W49" s="20"/>
      <c r="X49" s="1221"/>
      <c r="Y49" s="2361"/>
      <c r="AB49" s="1224"/>
      <c r="AC49" s="2377"/>
      <c r="AD49" s="255"/>
      <c r="AE49" s="205"/>
      <c r="AF49" s="1191"/>
      <c r="AG49" s="2361"/>
      <c r="AH49" s="1461"/>
      <c r="AI49" s="1739"/>
      <c r="AJ49" s="1241"/>
      <c r="AK49" s="2377"/>
      <c r="AN49" s="2422"/>
      <c r="AO49" s="2362"/>
      <c r="AP49" s="476"/>
      <c r="AQ49" s="69"/>
      <c r="AR49" s="69"/>
      <c r="AS49" s="69"/>
      <c r="AT49" s="69"/>
      <c r="AU49" s="69"/>
      <c r="AV49" s="69"/>
      <c r="AW49" s="69"/>
      <c r="AX49" s="2444"/>
      <c r="AY49" s="2424"/>
      <c r="BB49" s="2336"/>
      <c r="BC49" s="2336"/>
      <c r="BD49" s="2336"/>
      <c r="BE49" s="2336"/>
      <c r="BF49" s="2336"/>
      <c r="BG49" s="2336"/>
      <c r="BH49" s="10"/>
      <c r="BI49" s="10"/>
      <c r="BJ49" s="10"/>
      <c r="BK49" s="10"/>
      <c r="BL49" s="10"/>
    </row>
    <row r="50" spans="1:64" ht="42.75" customHeight="1" thickBot="1" x14ac:dyDescent="0.35">
      <c r="A50" s="1455"/>
      <c r="B50" s="2221"/>
      <c r="C50" s="2421"/>
      <c r="D50" s="705"/>
      <c r="E50" s="705"/>
      <c r="F50" s="705"/>
      <c r="G50" s="705"/>
      <c r="H50" s="705"/>
      <c r="I50" s="705"/>
      <c r="J50" s="705"/>
      <c r="K50" s="706"/>
      <c r="L50" s="670"/>
      <c r="M50" s="419"/>
      <c r="N50" s="35"/>
      <c r="O50" s="35"/>
      <c r="P50" s="35"/>
      <c r="R50" s="2486"/>
      <c r="S50" s="2438"/>
      <c r="T50" s="2713"/>
      <c r="U50" s="2712"/>
      <c r="V50" s="670"/>
      <c r="W50" s="419"/>
      <c r="X50" s="1255"/>
      <c r="Y50" s="2361"/>
      <c r="Z50" s="412"/>
      <c r="AA50" s="225"/>
      <c r="AB50" s="1225"/>
      <c r="AC50" s="2388"/>
      <c r="AD50" s="884"/>
      <c r="AE50" s="500"/>
      <c r="AF50" s="2221"/>
      <c r="AG50" s="2421"/>
      <c r="AH50" s="1462"/>
      <c r="AI50" s="1740"/>
      <c r="AJ50" s="2207"/>
      <c r="AK50" s="2377"/>
      <c r="AN50" s="2486"/>
      <c r="AO50" s="2362"/>
      <c r="AP50" s="869"/>
      <c r="AQ50" s="224"/>
      <c r="AR50" s="224"/>
      <c r="AS50" s="224"/>
      <c r="AT50" s="224"/>
      <c r="AU50" s="224"/>
      <c r="AV50" s="224"/>
      <c r="AW50" s="224"/>
      <c r="AX50" s="2720"/>
      <c r="AY50" s="2503"/>
      <c r="BA50" s="10"/>
      <c r="BB50" s="10"/>
      <c r="BC50" s="10"/>
      <c r="BD50" s="10"/>
      <c r="BE50" s="10"/>
      <c r="BF50" s="10"/>
      <c r="BG50" s="10"/>
      <c r="BH50" s="10"/>
      <c r="BI50" s="10"/>
      <c r="BJ50" s="10"/>
      <c r="BK50" s="10"/>
      <c r="BL50" s="10"/>
    </row>
    <row r="51" spans="1:64" ht="69.75" customHeight="1" thickBot="1" x14ac:dyDescent="0.5">
      <c r="A51" s="231"/>
      <c r="D51" s="92"/>
      <c r="L51" s="35"/>
      <c r="P51" s="35"/>
      <c r="Q51" s="231"/>
      <c r="R51" s="231"/>
      <c r="S51" s="231"/>
      <c r="Y51" s="231"/>
      <c r="AA51" s="35"/>
      <c r="AC51" s="231"/>
      <c r="AF51" s="35"/>
      <c r="AG51" s="231"/>
      <c r="AI51" s="35"/>
      <c r="AJ51" s="231"/>
      <c r="AK51" s="231"/>
      <c r="AL51" s="231"/>
      <c r="AM51" s="231"/>
      <c r="AN51" s="231"/>
      <c r="AO51" s="231"/>
      <c r="AR51" s="35"/>
      <c r="AY51" s="35"/>
    </row>
    <row r="52" spans="1:64" ht="18.75" customHeight="1" thickBot="1" x14ac:dyDescent="0.3">
      <c r="A52" s="2698" t="s">
        <v>218</v>
      </c>
      <c r="B52" s="2699"/>
      <c r="C52" s="1508" t="s">
        <v>219</v>
      </c>
      <c r="D52" s="1508"/>
      <c r="E52" s="1508"/>
      <c r="F52" s="1508"/>
      <c r="G52" s="1508"/>
      <c r="H52" s="1508"/>
      <c r="I52" s="1508"/>
      <c r="J52" s="1508"/>
      <c r="K52" s="1508"/>
      <c r="L52" s="1508"/>
      <c r="M52" s="1508"/>
      <c r="N52" s="1508"/>
      <c r="O52" s="1508"/>
      <c r="P52" s="1508"/>
      <c r="Q52" s="1508"/>
      <c r="R52" s="1508"/>
      <c r="S52" s="1508"/>
      <c r="T52" s="1509"/>
      <c r="U52" s="2700" t="s">
        <v>329</v>
      </c>
      <c r="V52" s="2701"/>
      <c r="W52" s="2702" t="s">
        <v>143</v>
      </c>
      <c r="X52" s="2703"/>
      <c r="Y52" s="2703"/>
      <c r="Z52" s="2699"/>
      <c r="AA52" s="2704" t="s">
        <v>167</v>
      </c>
      <c r="AB52" s="2704"/>
      <c r="AC52" s="2704"/>
      <c r="AD52" s="2705"/>
      <c r="AE52" s="2705"/>
      <c r="AF52" s="2705"/>
      <c r="AG52" s="2705"/>
      <c r="AH52" s="2705"/>
      <c r="AI52" s="2705"/>
      <c r="AJ52" s="2705"/>
      <c r="AK52" s="2705"/>
      <c r="AL52" s="2705"/>
      <c r="AM52" s="2705"/>
      <c r="AN52" s="2705"/>
      <c r="AO52" s="2705"/>
      <c r="AP52" s="2705"/>
      <c r="AQ52" s="2705"/>
      <c r="AR52" s="2705"/>
      <c r="AS52" s="2705"/>
      <c r="AT52" s="2705"/>
      <c r="AU52" s="2705"/>
      <c r="AV52" s="2705"/>
      <c r="AW52" s="2705"/>
      <c r="AX52" s="2705"/>
      <c r="AY52" s="2706"/>
    </row>
    <row r="53" spans="1:64" ht="13.8" x14ac:dyDescent="0.25">
      <c r="A53" s="2694" t="str">
        <f>VLOOKUP(U53,ASIGNATURAS!$F$1:$L$1022, 3, FALSE)</f>
        <v>EST. DATOS</v>
      </c>
      <c r="B53" s="2695"/>
      <c r="C53" s="947" t="str">
        <f>VLOOKUP(U53,ASIGNATURAS!$F$1:$L$1022, 4, FALSE)</f>
        <v>Estructuras de Datos</v>
      </c>
      <c r="D53" s="948"/>
      <c r="E53" s="948"/>
      <c r="F53" s="948"/>
      <c r="G53" s="948"/>
      <c r="H53" s="948"/>
      <c r="I53" s="948"/>
      <c r="J53" s="948"/>
      <c r="K53" s="948"/>
      <c r="L53" s="948"/>
      <c r="M53" s="948"/>
      <c r="N53" s="948"/>
      <c r="O53" s="948"/>
      <c r="P53" s="948"/>
      <c r="Q53" s="948"/>
      <c r="R53" s="2696"/>
      <c r="S53" s="2696"/>
      <c r="T53" s="2587"/>
      <c r="U53" s="1013">
        <v>8811</v>
      </c>
      <c r="V53" s="2697"/>
      <c r="W53" s="1013">
        <f>VLOOKUP(U53,ASIGNATURAS!$F$1:$L$1022, 5, FALSE)</f>
        <v>6</v>
      </c>
      <c r="X53" s="1014"/>
      <c r="Y53" s="1014"/>
      <c r="Z53" s="2697"/>
      <c r="AA53" s="947" t="str">
        <f>VLOOKUP(U53,ASIGNATURAS!$F$1:$L$1022, 6, FALSE)</f>
        <v>Bruno Baruque Zanón, Ramón Moreno, Francisco Godoy</v>
      </c>
      <c r="AB53" s="947"/>
      <c r="AC53" s="947"/>
      <c r="AD53" s="948"/>
      <c r="AE53" s="948"/>
      <c r="AF53" s="948"/>
      <c r="AG53" s="948"/>
      <c r="AH53" s="948"/>
      <c r="AI53" s="948"/>
      <c r="AJ53" s="948"/>
      <c r="AK53" s="948"/>
      <c r="AL53" s="948"/>
      <c r="AM53" s="948"/>
      <c r="AN53" s="948"/>
      <c r="AO53" s="948"/>
      <c r="AP53" s="948"/>
      <c r="AQ53" s="948"/>
      <c r="AR53" s="948"/>
      <c r="AS53" s="948"/>
      <c r="AT53" s="948"/>
      <c r="AU53" s="948"/>
      <c r="AV53" s="948"/>
      <c r="AW53" s="948"/>
      <c r="AX53" s="948"/>
      <c r="AY53" s="2587"/>
    </row>
    <row r="54" spans="1:64" ht="13.8" x14ac:dyDescent="0.25">
      <c r="A54" s="1065" t="str">
        <f>VLOOKUP(U54,ASIGNATURAS!$F$1:$L$1022, 3, FALSE)</f>
        <v>REDES</v>
      </c>
      <c r="B54" s="1066"/>
      <c r="C54" s="982" t="str">
        <f>VLOOKUP(U54,ASIGNATURAS!$F$1:$L$1022, 4, FALSE)</f>
        <v>Redes</v>
      </c>
      <c r="D54" s="983"/>
      <c r="E54" s="983"/>
      <c r="F54" s="983"/>
      <c r="G54" s="983"/>
      <c r="H54" s="983"/>
      <c r="I54" s="983"/>
      <c r="J54" s="983"/>
      <c r="K54" s="983"/>
      <c r="L54" s="983"/>
      <c r="M54" s="983"/>
      <c r="N54" s="983"/>
      <c r="O54" s="983"/>
      <c r="P54" s="983"/>
      <c r="Q54" s="983"/>
      <c r="R54" s="992"/>
      <c r="S54" s="992"/>
      <c r="T54" s="1018"/>
      <c r="U54" s="981">
        <v>8812</v>
      </c>
      <c r="V54" s="1071"/>
      <c r="W54" s="981">
        <f>VLOOKUP(U54,ASIGNATURAS!$F$1:$L$1022, 5, FALSE)</f>
        <v>6</v>
      </c>
      <c r="X54" s="972"/>
      <c r="Y54" s="972"/>
      <c r="Z54" s="1071"/>
      <c r="AA54" s="982" t="str">
        <f>VLOOKUP(U54,ASIGNATURAS!$F$1:$L$1022, 6, FALSE)</f>
        <v>Rubén Ruiz, Alejandro Merino</v>
      </c>
      <c r="AB54" s="982"/>
      <c r="AC54" s="982"/>
      <c r="AD54" s="983"/>
      <c r="AE54" s="983"/>
      <c r="AF54" s="983"/>
      <c r="AG54" s="983"/>
      <c r="AH54" s="983"/>
      <c r="AI54" s="983"/>
      <c r="AJ54" s="983"/>
      <c r="AK54" s="983"/>
      <c r="AL54" s="983"/>
      <c r="AM54" s="983"/>
      <c r="AN54" s="983"/>
      <c r="AO54" s="983"/>
      <c r="AP54" s="983"/>
      <c r="AQ54" s="983"/>
      <c r="AR54" s="983"/>
      <c r="AS54" s="983"/>
      <c r="AT54" s="983"/>
      <c r="AU54" s="983"/>
      <c r="AV54" s="983"/>
      <c r="AW54" s="983"/>
      <c r="AX54" s="983"/>
      <c r="AY54" s="1018"/>
    </row>
    <row r="55" spans="1:64" ht="14.25" customHeight="1" x14ac:dyDescent="0.25">
      <c r="A55" s="1065" t="str">
        <f>VLOOKUP(U55,ASIGNATURAS!$F$1:$L$1022, 3, FALSE)</f>
        <v>HOMBRE-MAQ.</v>
      </c>
      <c r="B55" s="1066"/>
      <c r="C55" s="982" t="str">
        <f>VLOOKUP(U55,ASIGNATURAS!$F$1:$L$1022, 4, FALSE)</f>
        <v>Interacción Hombre-Máquina</v>
      </c>
      <c r="D55" s="983"/>
      <c r="E55" s="983"/>
      <c r="F55" s="983"/>
      <c r="G55" s="983"/>
      <c r="H55" s="983"/>
      <c r="I55" s="983"/>
      <c r="J55" s="983"/>
      <c r="K55" s="983"/>
      <c r="L55" s="983"/>
      <c r="M55" s="983"/>
      <c r="N55" s="983"/>
      <c r="O55" s="983"/>
      <c r="P55" s="983"/>
      <c r="Q55" s="983"/>
      <c r="R55" s="992"/>
      <c r="S55" s="992"/>
      <c r="T55" s="1018"/>
      <c r="U55" s="981">
        <v>8813</v>
      </c>
      <c r="V55" s="1071"/>
      <c r="W55" s="981">
        <f>VLOOKUP(U55,ASIGNATURAS!$F$1:$L$1022, 5, FALSE)</f>
        <v>6</v>
      </c>
      <c r="X55" s="972"/>
      <c r="Y55" s="972"/>
      <c r="Z55" s="1071"/>
      <c r="AA55" s="982" t="str">
        <f>VLOOKUP(U55,ASIGNATURAS!$F$1:$L$1022, 6, FALSE)</f>
        <v>Diego Granados</v>
      </c>
      <c r="AB55" s="982"/>
      <c r="AC55" s="982"/>
      <c r="AD55" s="983"/>
      <c r="AE55" s="983"/>
      <c r="AF55" s="983"/>
      <c r="AG55" s="983"/>
      <c r="AH55" s="983"/>
      <c r="AI55" s="983"/>
      <c r="AJ55" s="983"/>
      <c r="AK55" s="983"/>
      <c r="AL55" s="983"/>
      <c r="AM55" s="983"/>
      <c r="AN55" s="983"/>
      <c r="AO55" s="983"/>
      <c r="AP55" s="983"/>
      <c r="AQ55" s="983"/>
      <c r="AR55" s="983"/>
      <c r="AS55" s="983"/>
      <c r="AT55" s="983"/>
      <c r="AU55" s="983"/>
      <c r="AV55" s="983"/>
      <c r="AW55" s="983"/>
      <c r="AX55" s="983"/>
      <c r="AY55" s="1018"/>
    </row>
    <row r="56" spans="1:64" ht="14.25" customHeight="1" x14ac:dyDescent="0.25">
      <c r="A56" s="1065" t="str">
        <f>VLOOKUP(U56,ASIGNATURAS!$F$1:$L$1022, 3, FALSE)</f>
        <v>ORGANIZACIÓN</v>
      </c>
      <c r="B56" s="1066"/>
      <c r="C56" s="982" t="str">
        <f>VLOOKUP(U56,ASIGNATURAS!$F$1:$L$1022, 4, FALSE)</f>
        <v>Fundamentos de Organización y Gestión de Empresas</v>
      </c>
      <c r="D56" s="983"/>
      <c r="E56" s="983"/>
      <c r="F56" s="983"/>
      <c r="G56" s="983"/>
      <c r="H56" s="983"/>
      <c r="I56" s="983"/>
      <c r="J56" s="983"/>
      <c r="K56" s="983"/>
      <c r="L56" s="983"/>
      <c r="M56" s="983"/>
      <c r="N56" s="983"/>
      <c r="O56" s="983"/>
      <c r="P56" s="983"/>
      <c r="Q56" s="983"/>
      <c r="R56" s="992"/>
      <c r="S56" s="992"/>
      <c r="T56" s="1018"/>
      <c r="U56" s="981">
        <v>8814</v>
      </c>
      <c r="V56" s="1071"/>
      <c r="W56" s="981">
        <f>VLOOKUP(U56,ASIGNATURAS!$F$1:$L$1022, 5, FALSE)</f>
        <v>6</v>
      </c>
      <c r="X56" s="972"/>
      <c r="Y56" s="972"/>
      <c r="Z56" s="1071"/>
      <c r="AA56" s="982" t="str">
        <f>VLOOKUP(U56,ASIGNATURAS!$F$1:$L$1022, 6, FALSE)</f>
        <v>Mª Teresa Peña Pérez, Santiago Arcos Arcos</v>
      </c>
      <c r="AB56" s="982"/>
      <c r="AC56" s="982"/>
      <c r="AD56" s="983"/>
      <c r="AE56" s="983"/>
      <c r="AF56" s="983"/>
      <c r="AG56" s="983"/>
      <c r="AH56" s="983"/>
      <c r="AI56" s="983"/>
      <c r="AJ56" s="983"/>
      <c r="AK56" s="983"/>
      <c r="AL56" s="983"/>
      <c r="AM56" s="983"/>
      <c r="AN56" s="983"/>
      <c r="AO56" s="983"/>
      <c r="AP56" s="983"/>
      <c r="AQ56" s="983"/>
      <c r="AR56" s="983"/>
      <c r="AS56" s="983"/>
      <c r="AT56" s="983"/>
      <c r="AU56" s="983"/>
      <c r="AV56" s="983"/>
      <c r="AW56" s="983"/>
      <c r="AX56" s="983"/>
      <c r="AY56" s="1018"/>
    </row>
    <row r="57" spans="1:64" ht="14.4" thickBot="1" x14ac:dyDescent="0.3">
      <c r="A57" s="1097" t="str">
        <f>VLOOKUP(U57,ASIGNATURAS!$F$1:$L$1022, 3, FALSE)</f>
        <v>SISTEMAS</v>
      </c>
      <c r="B57" s="1098"/>
      <c r="C57" s="1088" t="str">
        <f>VLOOKUP(U57,ASIGNATURAS!$F$1:$L$1022, 4, FALSE)</f>
        <v>Análisis y Diseño de Sistemas</v>
      </c>
      <c r="D57" s="1089"/>
      <c r="E57" s="1089"/>
      <c r="F57" s="1089"/>
      <c r="G57" s="1089"/>
      <c r="H57" s="1089"/>
      <c r="I57" s="1089"/>
      <c r="J57" s="1089"/>
      <c r="K57" s="1089"/>
      <c r="L57" s="1089"/>
      <c r="M57" s="1089"/>
      <c r="N57" s="1089"/>
      <c r="O57" s="1089"/>
      <c r="P57" s="1089"/>
      <c r="Q57" s="1089"/>
      <c r="R57" s="1788"/>
      <c r="S57" s="1788"/>
      <c r="T57" s="1090"/>
      <c r="U57" s="1099">
        <v>8815</v>
      </c>
      <c r="V57" s="1100"/>
      <c r="W57" s="1099">
        <f>VLOOKUP(U57,ASIGNATURAS!$F$1:$L$1022, 5, FALSE)</f>
        <v>6</v>
      </c>
      <c r="X57" s="1279"/>
      <c r="Y57" s="1279"/>
      <c r="Z57" s="1100"/>
      <c r="AA57" s="1088" t="str">
        <f>VLOOKUP(U57,ASIGNATURAS!$F$1:$L$1022, 6, FALSE)</f>
        <v>Carlos Cambra, Mª Teresa Vicente, Rubén Lesmes</v>
      </c>
      <c r="AB57" s="1088"/>
      <c r="AC57" s="1088"/>
      <c r="AD57" s="1089"/>
      <c r="AE57" s="1089"/>
      <c r="AF57" s="1089"/>
      <c r="AG57" s="1089"/>
      <c r="AH57" s="1089"/>
      <c r="AI57" s="1089"/>
      <c r="AJ57" s="1089"/>
      <c r="AK57" s="1089"/>
      <c r="AL57" s="1089"/>
      <c r="AM57" s="1089"/>
      <c r="AN57" s="1089"/>
      <c r="AO57" s="1089"/>
      <c r="AP57" s="1089"/>
      <c r="AQ57" s="1089"/>
      <c r="AR57" s="1089"/>
      <c r="AS57" s="1089"/>
      <c r="AT57" s="1089"/>
      <c r="AU57" s="1089"/>
      <c r="AV57" s="1089"/>
      <c r="AW57" s="1089"/>
      <c r="AX57" s="1089"/>
      <c r="AY57" s="1090"/>
    </row>
    <row r="60" spans="1:64" ht="24" customHeight="1" x14ac:dyDescent="0.25">
      <c r="A60" s="1101" t="s">
        <v>1251</v>
      </c>
      <c r="B60" s="1101"/>
      <c r="C60" s="1101"/>
      <c r="D60" s="1101"/>
      <c r="E60" s="1101"/>
      <c r="F60" s="1101"/>
      <c r="G60" s="1101"/>
      <c r="H60" s="275"/>
      <c r="I60" s="275"/>
    </row>
    <row r="61" spans="1:64" ht="24" customHeight="1" x14ac:dyDescent="0.25">
      <c r="A61" s="1102" t="s">
        <v>1253</v>
      </c>
      <c r="B61" s="1102"/>
      <c r="C61" s="1102"/>
      <c r="D61" s="1102"/>
      <c r="E61" s="1102"/>
      <c r="F61" s="1102"/>
      <c r="G61" s="1102"/>
      <c r="H61" s="275"/>
      <c r="I61" s="275"/>
    </row>
    <row r="63" spans="1:64" x14ac:dyDescent="0.25">
      <c r="A63" s="20" t="s">
        <v>217</v>
      </c>
    </row>
    <row r="64" spans="1:64" x14ac:dyDescent="0.25">
      <c r="A64" s="815" t="s">
        <v>1270</v>
      </c>
      <c r="B64" s="816"/>
      <c r="C64" s="816"/>
      <c r="D64" s="816"/>
      <c r="E64" s="816"/>
      <c r="F64" s="816"/>
      <c r="G64" s="816"/>
      <c r="H64" s="816"/>
      <c r="I64" s="816"/>
      <c r="J64" s="816"/>
      <c r="K64" s="816"/>
      <c r="L64" s="816"/>
      <c r="M64" s="816"/>
      <c r="N64" s="816"/>
      <c r="O64" s="816"/>
      <c r="P64" s="816"/>
      <c r="Q64" s="816"/>
      <c r="R64" s="816"/>
      <c r="S64" s="816"/>
      <c r="T64" s="816"/>
      <c r="U64" s="816"/>
      <c r="V64" s="816"/>
      <c r="W64" s="816"/>
      <c r="X64" s="816"/>
      <c r="Y64" s="816"/>
      <c r="Z64" s="816"/>
      <c r="AA64" s="816"/>
      <c r="AB64" s="816"/>
      <c r="AC64" s="816"/>
      <c r="AD64" s="122"/>
      <c r="AE64" s="122"/>
      <c r="AF64" s="122"/>
      <c r="AG64" s="122"/>
      <c r="AH64" s="122"/>
    </row>
    <row r="65" spans="1:51" ht="13.8" thickBot="1" x14ac:dyDescent="0.3"/>
    <row r="66" spans="1:51" s="1" customFormat="1" ht="31.5" customHeight="1" thickBot="1" x14ac:dyDescent="0.45">
      <c r="A66" s="1094" t="str">
        <f>VLOOKUP(A69,ASIGNATURAS!$A$2:$D$151, 3, FALSE)</f>
        <v>3º Grado en Ingeniería Informática</v>
      </c>
      <c r="B66" s="1095"/>
      <c r="C66" s="1095"/>
      <c r="D66" s="1095"/>
      <c r="E66" s="1095"/>
      <c r="F66" s="1095"/>
      <c r="G66" s="1095"/>
      <c r="H66" s="1095"/>
      <c r="I66" s="1095"/>
      <c r="J66" s="1095"/>
      <c r="K66" s="1095"/>
      <c r="L66" s="1095"/>
      <c r="M66" s="1095"/>
      <c r="N66" s="1095"/>
      <c r="O66" s="1095"/>
      <c r="P66" s="1095"/>
      <c r="Q66" s="1095"/>
      <c r="R66" s="1095"/>
      <c r="S66" s="1095"/>
      <c r="T66" s="1095"/>
      <c r="U66" s="1095"/>
      <c r="V66" s="1095"/>
      <c r="W66" s="1095"/>
      <c r="X66" s="1095"/>
      <c r="Y66" s="1095"/>
      <c r="Z66" s="1095"/>
      <c r="AA66" s="1095"/>
      <c r="AB66" s="1095"/>
      <c r="AC66" s="1095"/>
      <c r="AD66" s="1095"/>
      <c r="AE66" s="1095"/>
      <c r="AF66" s="1095"/>
      <c r="AG66" s="1095"/>
      <c r="AH66" s="1095"/>
      <c r="AI66" s="1095"/>
      <c r="AJ66" s="1095"/>
      <c r="AK66" s="1095"/>
      <c r="AL66" s="1095"/>
      <c r="AM66" s="1095"/>
      <c r="AN66" s="1095"/>
      <c r="AO66" s="1096"/>
      <c r="AP66" s="1076" t="str">
        <f>AP1</f>
        <v>Curso 2024-2025</v>
      </c>
      <c r="AQ66" s="1077"/>
      <c r="AR66" s="1077"/>
      <c r="AS66" s="1077"/>
      <c r="AT66" s="1077"/>
      <c r="AU66" s="1077"/>
      <c r="AV66" s="1077"/>
      <c r="AW66" s="1077"/>
      <c r="AX66" s="1077"/>
      <c r="AY66" s="1078"/>
    </row>
    <row r="67" spans="1:51" s="8" customFormat="1" ht="23.25" customHeight="1" thickBot="1" x14ac:dyDescent="0.45">
      <c r="A67" s="1083" t="str">
        <f>VLOOKUP(A69,ASIGNATURAS!$A$2:$D$151, 2, FALSE)</f>
        <v>Semestre temporal: 1º        (5º Semestre Académico)</v>
      </c>
      <c r="B67" s="1084"/>
      <c r="C67" s="1084"/>
      <c r="D67" s="1084"/>
      <c r="E67" s="1084"/>
      <c r="F67" s="1084"/>
      <c r="G67" s="1084"/>
      <c r="H67" s="1084"/>
      <c r="I67" s="1084"/>
      <c r="J67" s="1084"/>
      <c r="K67" s="1084"/>
      <c r="L67" s="1084"/>
      <c r="M67" s="1084"/>
      <c r="N67" s="1084"/>
      <c r="O67" s="1084"/>
      <c r="P67" s="1084"/>
      <c r="Q67" s="1084"/>
      <c r="R67" s="1084"/>
      <c r="S67" s="1084"/>
      <c r="T67" s="1084"/>
      <c r="U67" s="1084"/>
      <c r="V67" s="1084"/>
      <c r="W67" s="1084"/>
      <c r="X67" s="1084"/>
      <c r="Y67" s="1084"/>
      <c r="Z67" s="1084"/>
      <c r="AA67" s="1084"/>
      <c r="AB67" s="1084"/>
      <c r="AC67" s="1084"/>
      <c r="AD67" s="1084"/>
      <c r="AE67" s="1084"/>
      <c r="AF67" s="1084"/>
      <c r="AG67" s="1084"/>
      <c r="AH67" s="1084"/>
      <c r="AI67" s="1084"/>
      <c r="AJ67" s="1084"/>
      <c r="AK67" s="1084"/>
      <c r="AL67" s="1084"/>
      <c r="AM67" s="1084"/>
      <c r="AN67" s="1084"/>
      <c r="AO67" s="1085"/>
      <c r="AP67" s="1072" t="s">
        <v>1093</v>
      </c>
      <c r="AQ67" s="1072"/>
      <c r="AR67" s="1072"/>
      <c r="AS67" s="1072"/>
      <c r="AT67" s="1072"/>
      <c r="AU67" s="1072"/>
      <c r="AV67" s="1072"/>
      <c r="AW67" s="1072"/>
      <c r="AX67" s="1072"/>
      <c r="AY67" s="1073"/>
    </row>
    <row r="68" spans="1:51" s="8" customFormat="1" ht="23.25" customHeight="1" thickBot="1" x14ac:dyDescent="0.45">
      <c r="A68" s="1083" t="s">
        <v>142</v>
      </c>
      <c r="B68" s="1084"/>
      <c r="C68" s="1084"/>
      <c r="D68" s="1084"/>
      <c r="E68" s="1084"/>
      <c r="F68" s="1084"/>
      <c r="G68" s="1084"/>
      <c r="H68" s="1084"/>
      <c r="I68" s="1084"/>
      <c r="J68" s="1084"/>
      <c r="K68" s="1084"/>
      <c r="L68" s="1084"/>
      <c r="M68" s="1084"/>
      <c r="N68" s="1084"/>
      <c r="O68" s="1084"/>
      <c r="P68" s="1084"/>
      <c r="Q68" s="1084"/>
      <c r="R68" s="1084"/>
      <c r="S68" s="1084"/>
      <c r="T68" s="1084"/>
      <c r="U68" s="1084"/>
      <c r="V68" s="1084"/>
      <c r="W68" s="1084"/>
      <c r="X68" s="1084"/>
      <c r="Y68" s="1084"/>
      <c r="Z68" s="1084"/>
      <c r="AA68" s="1084"/>
      <c r="AB68" s="1084"/>
      <c r="AC68" s="1084"/>
      <c r="AD68" s="1084"/>
      <c r="AE68" s="1084"/>
      <c r="AF68" s="1084"/>
      <c r="AG68" s="1084"/>
      <c r="AH68" s="1084"/>
      <c r="AI68" s="1084"/>
      <c r="AJ68" s="1084"/>
      <c r="AK68" s="1084"/>
      <c r="AL68" s="1084"/>
      <c r="AM68" s="1084"/>
      <c r="AN68" s="1084"/>
      <c r="AO68" s="1085"/>
      <c r="AP68" s="1074"/>
      <c r="AQ68" s="1074"/>
      <c r="AR68" s="1074"/>
      <c r="AS68" s="1074"/>
      <c r="AT68" s="1074"/>
      <c r="AU68" s="1074"/>
      <c r="AV68" s="1074"/>
      <c r="AW68" s="1074"/>
      <c r="AX68" s="1074"/>
      <c r="AY68" s="1075"/>
    </row>
    <row r="69" spans="1:51" ht="38.25" customHeight="1" thickBot="1" x14ac:dyDescent="0.3">
      <c r="A69" s="9" t="s">
        <v>71</v>
      </c>
    </row>
    <row r="70" spans="1:51" s="2" customFormat="1" ht="24" customHeight="1" thickBot="1" x14ac:dyDescent="0.3">
      <c r="A70" s="19" t="s">
        <v>1</v>
      </c>
      <c r="B70" s="1091" t="s">
        <v>2</v>
      </c>
      <c r="C70" s="1092"/>
      <c r="D70" s="1092"/>
      <c r="E70" s="1092"/>
      <c r="F70" s="1092"/>
      <c r="G70" s="1092"/>
      <c r="H70" s="1092"/>
      <c r="I70" s="1092"/>
      <c r="J70" s="1092"/>
      <c r="K70" s="1093"/>
      <c r="L70" s="1091" t="s">
        <v>3</v>
      </c>
      <c r="M70" s="1092"/>
      <c r="N70" s="1092"/>
      <c r="O70" s="1092"/>
      <c r="P70" s="1092"/>
      <c r="Q70" s="1092"/>
      <c r="R70" s="1092"/>
      <c r="S70" s="1092"/>
      <c r="T70" s="1092"/>
      <c r="U70" s="1093"/>
      <c r="V70" s="1091" t="s">
        <v>139</v>
      </c>
      <c r="W70" s="1092"/>
      <c r="X70" s="1092"/>
      <c r="Y70" s="1092"/>
      <c r="Z70" s="1092"/>
      <c r="AA70" s="1092"/>
      <c r="AB70" s="1092"/>
      <c r="AC70" s="1092"/>
      <c r="AD70" s="1092"/>
      <c r="AE70" s="1093"/>
      <c r="AF70" s="1091" t="s">
        <v>4</v>
      </c>
      <c r="AG70" s="1092"/>
      <c r="AH70" s="1092"/>
      <c r="AI70" s="1092"/>
      <c r="AJ70" s="1092"/>
      <c r="AK70" s="1092"/>
      <c r="AL70" s="1092"/>
      <c r="AM70" s="1092"/>
      <c r="AN70" s="1092"/>
      <c r="AO70" s="1093"/>
      <c r="AP70" s="1091" t="s">
        <v>5</v>
      </c>
      <c r="AQ70" s="1092"/>
      <c r="AR70" s="1092"/>
      <c r="AS70" s="1092"/>
      <c r="AT70" s="1092"/>
      <c r="AU70" s="1092"/>
      <c r="AV70" s="1092"/>
      <c r="AW70" s="1092"/>
      <c r="AX70" s="1092"/>
      <c r="AY70" s="1093"/>
    </row>
    <row r="71" spans="1:51" ht="39.75" customHeight="1" x14ac:dyDescent="0.25">
      <c r="A71" s="1526" t="s">
        <v>10</v>
      </c>
      <c r="B71" s="383" t="s">
        <v>579</v>
      </c>
      <c r="C71" s="2361" t="s">
        <v>1354</v>
      </c>
      <c r="D71" s="383" t="s">
        <v>580</v>
      </c>
      <c r="E71" s="2433" t="s">
        <v>1286</v>
      </c>
      <c r="F71" s="383" t="s">
        <v>581</v>
      </c>
      <c r="G71" s="2361" t="s">
        <v>752</v>
      </c>
      <c r="H71" s="139"/>
      <c r="I71" s="2358"/>
      <c r="J71" s="69"/>
      <c r="K71" s="2573"/>
      <c r="L71" s="552" t="s">
        <v>579</v>
      </c>
      <c r="M71" s="2361" t="s">
        <v>750</v>
      </c>
      <c r="N71" s="383" t="s">
        <v>580</v>
      </c>
      <c r="O71" s="2361" t="s">
        <v>1354</v>
      </c>
      <c r="P71" s="383" t="s">
        <v>581</v>
      </c>
      <c r="Q71" s="2433" t="s">
        <v>1286</v>
      </c>
      <c r="R71" s="139"/>
      <c r="S71" s="2358"/>
      <c r="T71" s="69"/>
      <c r="U71" s="2573"/>
      <c r="V71" s="552" t="s">
        <v>579</v>
      </c>
      <c r="W71" s="2433" t="s">
        <v>1286</v>
      </c>
      <c r="X71" s="383" t="s">
        <v>580</v>
      </c>
      <c r="Y71" s="2361" t="s">
        <v>752</v>
      </c>
      <c r="Z71" s="383" t="s">
        <v>581</v>
      </c>
      <c r="AA71" s="2361" t="s">
        <v>750</v>
      </c>
      <c r="AB71" s="139"/>
      <c r="AC71" s="2358"/>
      <c r="AD71" s="69"/>
      <c r="AE71" s="2467"/>
      <c r="AF71" s="383" t="s">
        <v>579</v>
      </c>
      <c r="AG71" s="2361" t="s">
        <v>751</v>
      </c>
      <c r="AH71" s="383" t="s">
        <v>580</v>
      </c>
      <c r="AI71" s="2361" t="s">
        <v>750</v>
      </c>
      <c r="AJ71" s="388" t="s">
        <v>581</v>
      </c>
      <c r="AK71" s="2361" t="s">
        <v>752</v>
      </c>
      <c r="AL71" s="383" t="s">
        <v>582</v>
      </c>
      <c r="AM71" s="2433" t="s">
        <v>1286</v>
      </c>
      <c r="AN71" s="69"/>
      <c r="AO71" s="2467"/>
      <c r="AP71" s="383" t="s">
        <v>579</v>
      </c>
      <c r="AQ71" s="2361" t="s">
        <v>750</v>
      </c>
      <c r="AR71" s="383" t="s">
        <v>580</v>
      </c>
      <c r="AS71" s="2361" t="s">
        <v>752</v>
      </c>
      <c r="AT71" s="383" t="s">
        <v>581</v>
      </c>
      <c r="AU71" s="2361" t="s">
        <v>1354</v>
      </c>
      <c r="AV71" s="403"/>
      <c r="AW71" s="403"/>
      <c r="AX71" s="83"/>
      <c r="AY71" s="2595"/>
    </row>
    <row r="72" spans="1:51" ht="39.75" customHeight="1" x14ac:dyDescent="0.25">
      <c r="A72" s="1087"/>
      <c r="B72" s="1191" t="s">
        <v>414</v>
      </c>
      <c r="C72" s="2361"/>
      <c r="D72" s="1221" t="s">
        <v>1258</v>
      </c>
      <c r="E72" s="2361"/>
      <c r="F72" s="1221" t="s">
        <v>110</v>
      </c>
      <c r="G72" s="2361"/>
      <c r="H72" s="2515"/>
      <c r="I72" s="2358"/>
      <c r="J72" s="1241"/>
      <c r="K72" s="2573"/>
      <c r="L72" s="1191" t="s">
        <v>109</v>
      </c>
      <c r="M72" s="2361"/>
      <c r="N72" s="1221" t="s">
        <v>414</v>
      </c>
      <c r="O72" s="2361"/>
      <c r="P72" s="1221" t="s">
        <v>1258</v>
      </c>
      <c r="Q72" s="2361"/>
      <c r="R72" s="2515"/>
      <c r="S72" s="2358"/>
      <c r="T72" s="1241"/>
      <c r="U72" s="2573"/>
      <c r="V72" s="1191" t="s">
        <v>1258</v>
      </c>
      <c r="W72" s="2361"/>
      <c r="X72" s="1221" t="s">
        <v>111</v>
      </c>
      <c r="Y72" s="2361"/>
      <c r="Z72" s="1221" t="s">
        <v>109</v>
      </c>
      <c r="AA72" s="2443"/>
      <c r="AB72" s="2408"/>
      <c r="AC72" s="2358"/>
      <c r="AD72" s="1241"/>
      <c r="AE72" s="2467"/>
      <c r="AF72" s="1219" t="s">
        <v>110</v>
      </c>
      <c r="AG72" s="2361"/>
      <c r="AH72" s="1221" t="s">
        <v>109</v>
      </c>
      <c r="AI72" s="2361"/>
      <c r="AJ72" s="1221" t="s">
        <v>111</v>
      </c>
      <c r="AK72" s="2361"/>
      <c r="AL72" s="1221" t="s">
        <v>1258</v>
      </c>
      <c r="AM72" s="2361"/>
      <c r="AN72" s="1241"/>
      <c r="AO72" s="2467"/>
      <c r="AP72" s="1219" t="s">
        <v>111</v>
      </c>
      <c r="AQ72" s="2361"/>
      <c r="AR72" s="1221" t="s">
        <v>110</v>
      </c>
      <c r="AS72" s="2361"/>
      <c r="AT72" s="1221" t="s">
        <v>414</v>
      </c>
      <c r="AU72" s="2361"/>
      <c r="AV72" s="403"/>
      <c r="AW72" s="403"/>
      <c r="AX72" s="1241"/>
      <c r="AY72" s="2467"/>
    </row>
    <row r="73" spans="1:51" ht="39.75" customHeight="1" x14ac:dyDescent="0.25">
      <c r="A73" s="1087" t="s">
        <v>11</v>
      </c>
      <c r="B73" s="1191"/>
      <c r="C73" s="2361"/>
      <c r="D73" s="1221"/>
      <c r="E73" s="2361"/>
      <c r="F73" s="1221"/>
      <c r="G73" s="2361"/>
      <c r="H73" s="2515"/>
      <c r="I73" s="2358"/>
      <c r="J73" s="1241"/>
      <c r="K73" s="2573"/>
      <c r="L73" s="1191"/>
      <c r="M73" s="2361"/>
      <c r="N73" s="1221"/>
      <c r="O73" s="2361"/>
      <c r="P73" s="1221"/>
      <c r="Q73" s="2361"/>
      <c r="R73" s="2515"/>
      <c r="S73" s="2358"/>
      <c r="T73" s="1241"/>
      <c r="U73" s="2573"/>
      <c r="V73" s="1191"/>
      <c r="W73" s="2361"/>
      <c r="X73" s="1221"/>
      <c r="Y73" s="2361"/>
      <c r="Z73" s="1221"/>
      <c r="AA73" s="2443"/>
      <c r="AB73" s="2408"/>
      <c r="AC73" s="2358"/>
      <c r="AD73" s="1241"/>
      <c r="AE73" s="2467"/>
      <c r="AF73" s="1219"/>
      <c r="AG73" s="2361"/>
      <c r="AH73" s="1221"/>
      <c r="AI73" s="2361"/>
      <c r="AJ73" s="1221"/>
      <c r="AK73" s="2361"/>
      <c r="AL73" s="1221"/>
      <c r="AM73" s="2361"/>
      <c r="AN73" s="1241"/>
      <c r="AO73" s="2467"/>
      <c r="AP73" s="1219"/>
      <c r="AQ73" s="2361"/>
      <c r="AR73" s="1221"/>
      <c r="AS73" s="2361"/>
      <c r="AT73" s="1221"/>
      <c r="AU73" s="2361"/>
      <c r="AV73" s="403"/>
      <c r="AW73" s="403"/>
      <c r="AX73" s="1241"/>
      <c r="AY73" s="2467"/>
    </row>
    <row r="74" spans="1:51" ht="39.75" customHeight="1" thickBot="1" x14ac:dyDescent="0.3">
      <c r="A74" s="1087"/>
      <c r="B74" s="1191"/>
      <c r="C74" s="2361"/>
      <c r="D74" s="1255"/>
      <c r="E74" s="2369"/>
      <c r="F74" s="1221"/>
      <c r="G74" s="2361"/>
      <c r="H74" s="2515"/>
      <c r="I74" s="2358"/>
      <c r="J74" s="1241"/>
      <c r="K74" s="2573"/>
      <c r="L74" s="1191"/>
      <c r="M74" s="2361"/>
      <c r="N74" s="1221"/>
      <c r="O74" s="2361"/>
      <c r="P74" s="1221"/>
      <c r="Q74" s="2369"/>
      <c r="R74" s="2515"/>
      <c r="S74" s="2358"/>
      <c r="T74" s="1241"/>
      <c r="U74" s="2573"/>
      <c r="V74" s="1191"/>
      <c r="W74" s="2369"/>
      <c r="X74" s="1221"/>
      <c r="Y74" s="2361"/>
      <c r="Z74" s="1221"/>
      <c r="AA74" s="2443"/>
      <c r="AB74" s="2409"/>
      <c r="AC74" s="2358"/>
      <c r="AD74" s="1241"/>
      <c r="AE74" s="2467"/>
      <c r="AF74" s="1219"/>
      <c r="AG74" s="2361"/>
      <c r="AH74" s="1221"/>
      <c r="AI74" s="2361"/>
      <c r="AJ74" s="1255"/>
      <c r="AK74" s="2421"/>
      <c r="AL74" s="1255"/>
      <c r="AM74" s="2369"/>
      <c r="AN74" s="1241"/>
      <c r="AO74" s="2467"/>
      <c r="AP74" s="1219"/>
      <c r="AQ74" s="2361"/>
      <c r="AR74" s="1221"/>
      <c r="AS74" s="2361"/>
      <c r="AT74" s="1221"/>
      <c r="AU74" s="2361"/>
      <c r="AV74" s="403"/>
      <c r="AW74" s="679"/>
      <c r="AX74" s="1241"/>
      <c r="AY74" s="2468"/>
    </row>
    <row r="75" spans="1:51" ht="39.75" customHeight="1" x14ac:dyDescent="0.3">
      <c r="A75" s="1087" t="s">
        <v>6</v>
      </c>
      <c r="B75" s="2541" t="s">
        <v>108</v>
      </c>
      <c r="C75" s="2542"/>
      <c r="D75" s="2542"/>
      <c r="E75" s="2542"/>
      <c r="F75" s="2542"/>
      <c r="G75" s="2542"/>
      <c r="H75" s="2542"/>
      <c r="I75" s="2542"/>
      <c r="J75" s="2542"/>
      <c r="K75" s="2543"/>
      <c r="L75" s="2541" t="s">
        <v>111</v>
      </c>
      <c r="M75" s="2542"/>
      <c r="N75" s="2542"/>
      <c r="O75" s="2542"/>
      <c r="P75" s="2542"/>
      <c r="Q75" s="2542"/>
      <c r="R75" s="2542"/>
      <c r="S75" s="2542"/>
      <c r="T75" s="2542"/>
      <c r="U75" s="2543"/>
      <c r="V75" s="2541" t="s">
        <v>108</v>
      </c>
      <c r="W75" s="2542"/>
      <c r="X75" s="2542"/>
      <c r="Y75" s="2542"/>
      <c r="Z75" s="2542"/>
      <c r="AA75" s="2542"/>
      <c r="AB75" s="2542"/>
      <c r="AC75" s="2542"/>
      <c r="AD75" s="2542"/>
      <c r="AE75" s="2543"/>
      <c r="AF75" s="2541" t="s">
        <v>110</v>
      </c>
      <c r="AG75" s="2542"/>
      <c r="AH75" s="2542"/>
      <c r="AI75" s="2542"/>
      <c r="AJ75" s="2542"/>
      <c r="AK75" s="2542"/>
      <c r="AL75" s="2542"/>
      <c r="AM75" s="2542"/>
      <c r="AN75" s="2542"/>
      <c r="AO75" s="2543"/>
      <c r="AP75" s="2541" t="s">
        <v>110</v>
      </c>
      <c r="AQ75" s="2542"/>
      <c r="AR75" s="2542"/>
      <c r="AS75" s="2542"/>
      <c r="AT75" s="2542"/>
      <c r="AU75" s="2542"/>
      <c r="AV75" s="2542"/>
      <c r="AW75" s="2542"/>
      <c r="AX75" s="2542"/>
      <c r="AY75" s="2543"/>
    </row>
    <row r="76" spans="1:51" ht="39.75" customHeight="1" thickBot="1" x14ac:dyDescent="0.3">
      <c r="A76" s="1087"/>
      <c r="B76" s="1979" t="s">
        <v>153</v>
      </c>
      <c r="C76" s="1980"/>
      <c r="D76" s="1980"/>
      <c r="E76" s="1980"/>
      <c r="F76" s="1980"/>
      <c r="G76" s="1980"/>
      <c r="H76" s="1980"/>
      <c r="I76" s="1980"/>
      <c r="J76" s="1980"/>
      <c r="K76" s="1981"/>
      <c r="L76" s="1979" t="s">
        <v>153</v>
      </c>
      <c r="M76" s="1980"/>
      <c r="N76" s="1980"/>
      <c r="O76" s="1980"/>
      <c r="P76" s="1980"/>
      <c r="Q76" s="1980"/>
      <c r="R76" s="1980"/>
      <c r="S76" s="1980"/>
      <c r="T76" s="1980"/>
      <c r="U76" s="1981"/>
      <c r="V76" s="1979" t="s">
        <v>153</v>
      </c>
      <c r="W76" s="1980"/>
      <c r="X76" s="1980"/>
      <c r="Y76" s="1980"/>
      <c r="Z76" s="1980"/>
      <c r="AA76" s="1980"/>
      <c r="AB76" s="1980"/>
      <c r="AC76" s="1980"/>
      <c r="AD76" s="1980"/>
      <c r="AE76" s="1981"/>
      <c r="AF76" s="1979" t="s">
        <v>153</v>
      </c>
      <c r="AG76" s="1980"/>
      <c r="AH76" s="1980"/>
      <c r="AI76" s="1980"/>
      <c r="AJ76" s="1980"/>
      <c r="AK76" s="1980"/>
      <c r="AL76" s="1980"/>
      <c r="AM76" s="1980"/>
      <c r="AN76" s="1980"/>
      <c r="AO76" s="1981"/>
      <c r="AP76" s="1979" t="s">
        <v>153</v>
      </c>
      <c r="AQ76" s="1980"/>
      <c r="AR76" s="1980"/>
      <c r="AS76" s="1980"/>
      <c r="AT76" s="1980"/>
      <c r="AU76" s="1980"/>
      <c r="AV76" s="1980"/>
      <c r="AW76" s="1980"/>
      <c r="AX76" s="1980"/>
      <c r="AY76" s="1981"/>
    </row>
    <row r="77" spans="1:51" ht="39.75" customHeight="1" x14ac:dyDescent="0.3">
      <c r="A77" s="1087" t="s">
        <v>7</v>
      </c>
      <c r="B77" s="2541" t="s">
        <v>414</v>
      </c>
      <c r="C77" s="2542"/>
      <c r="D77" s="2542"/>
      <c r="E77" s="2542"/>
      <c r="F77" s="2542"/>
      <c r="G77" s="2542"/>
      <c r="H77" s="2542"/>
      <c r="I77" s="2542"/>
      <c r="J77" s="2542"/>
      <c r="K77" s="2543"/>
      <c r="L77" s="2541" t="s">
        <v>414</v>
      </c>
      <c r="M77" s="2542"/>
      <c r="N77" s="2542"/>
      <c r="O77" s="2542"/>
      <c r="P77" s="2542"/>
      <c r="Q77" s="2542"/>
      <c r="R77" s="2542"/>
      <c r="S77" s="2542"/>
      <c r="T77" s="2542"/>
      <c r="U77" s="2543"/>
      <c r="V77" s="2541" t="s">
        <v>109</v>
      </c>
      <c r="W77" s="2542"/>
      <c r="X77" s="2542"/>
      <c r="Y77" s="2542"/>
      <c r="Z77" s="2542"/>
      <c r="AA77" s="2542"/>
      <c r="AB77" s="2542"/>
      <c r="AC77" s="2542"/>
      <c r="AD77" s="2542"/>
      <c r="AE77" s="2543"/>
      <c r="AF77" s="2541" t="s">
        <v>109</v>
      </c>
      <c r="AG77" s="2542"/>
      <c r="AH77" s="2542"/>
      <c r="AI77" s="2542"/>
      <c r="AJ77" s="2542"/>
      <c r="AK77" s="2542"/>
      <c r="AL77" s="2542"/>
      <c r="AM77" s="2542"/>
      <c r="AN77" s="2542"/>
      <c r="AO77" s="2543"/>
      <c r="AP77" s="2541" t="s">
        <v>111</v>
      </c>
      <c r="AQ77" s="2542"/>
      <c r="AR77" s="2542"/>
      <c r="AS77" s="2542"/>
      <c r="AT77" s="2542"/>
      <c r="AU77" s="2542"/>
      <c r="AV77" s="2542"/>
      <c r="AW77" s="2542"/>
      <c r="AX77" s="2542"/>
      <c r="AY77" s="2543"/>
    </row>
    <row r="78" spans="1:51" ht="39.75" customHeight="1" thickBot="1" x14ac:dyDescent="0.3">
      <c r="A78" s="1087"/>
      <c r="B78" s="1605" t="s">
        <v>153</v>
      </c>
      <c r="C78" s="1606"/>
      <c r="D78" s="1606"/>
      <c r="E78" s="1606"/>
      <c r="F78" s="1606"/>
      <c r="G78" s="1606"/>
      <c r="H78" s="1606"/>
      <c r="I78" s="1606"/>
      <c r="J78" s="1606"/>
      <c r="K78" s="1607"/>
      <c r="L78" s="1605" t="s">
        <v>153</v>
      </c>
      <c r="M78" s="1606"/>
      <c r="N78" s="1606"/>
      <c r="O78" s="1606"/>
      <c r="P78" s="1606"/>
      <c r="Q78" s="1606"/>
      <c r="R78" s="1606"/>
      <c r="S78" s="1606"/>
      <c r="T78" s="1606"/>
      <c r="U78" s="1607"/>
      <c r="V78" s="1605" t="s">
        <v>153</v>
      </c>
      <c r="W78" s="1606"/>
      <c r="X78" s="1606"/>
      <c r="Y78" s="1606"/>
      <c r="Z78" s="1606"/>
      <c r="AA78" s="1606"/>
      <c r="AB78" s="1606"/>
      <c r="AC78" s="1606"/>
      <c r="AD78" s="1606"/>
      <c r="AE78" s="1607"/>
      <c r="AF78" s="1605" t="s">
        <v>153</v>
      </c>
      <c r="AG78" s="1606"/>
      <c r="AH78" s="1606"/>
      <c r="AI78" s="1606"/>
      <c r="AJ78" s="1606"/>
      <c r="AK78" s="1606"/>
      <c r="AL78" s="1606"/>
      <c r="AM78" s="1606"/>
      <c r="AN78" s="1606"/>
      <c r="AO78" s="1607"/>
      <c r="AP78" s="1605" t="s">
        <v>153</v>
      </c>
      <c r="AQ78" s="1606"/>
      <c r="AR78" s="1606"/>
      <c r="AS78" s="1606"/>
      <c r="AT78" s="1606"/>
      <c r="AU78" s="1606"/>
      <c r="AV78" s="1606"/>
      <c r="AW78" s="1606"/>
      <c r="AX78" s="1606"/>
      <c r="AY78" s="1607"/>
    </row>
    <row r="79" spans="1:51" ht="39.75" customHeight="1" x14ac:dyDescent="0.3">
      <c r="A79" s="1143" t="s">
        <v>8</v>
      </c>
      <c r="B79" s="69"/>
      <c r="C79" s="2572"/>
      <c r="D79" s="211"/>
      <c r="E79" s="69"/>
      <c r="F79" s="2573"/>
      <c r="G79" s="211"/>
      <c r="H79" s="211"/>
      <c r="I79" s="211"/>
      <c r="J79" s="211"/>
      <c r="K79" s="212"/>
      <c r="L79" s="210"/>
      <c r="M79" s="211"/>
      <c r="N79" s="211"/>
      <c r="O79" s="211"/>
      <c r="P79" s="211"/>
      <c r="Q79" s="211"/>
      <c r="R79" s="211"/>
      <c r="S79" s="211"/>
      <c r="T79" s="211"/>
      <c r="U79" s="212"/>
      <c r="V79" s="210"/>
      <c r="W79" s="211"/>
      <c r="X79" s="211"/>
      <c r="Y79" s="211"/>
      <c r="Z79" s="211"/>
      <c r="AA79" s="211"/>
      <c r="AB79" s="69"/>
      <c r="AC79" s="2573"/>
      <c r="AD79" s="365"/>
      <c r="AE79" s="366"/>
      <c r="AF79" s="364"/>
      <c r="AG79" s="365"/>
      <c r="AH79" s="365"/>
      <c r="AI79" s="365"/>
      <c r="AJ79" s="678"/>
      <c r="AK79" s="2709"/>
      <c r="AL79" s="677"/>
      <c r="AM79" s="211"/>
      <c r="AN79" s="211"/>
      <c r="AO79" s="212"/>
      <c r="AP79" s="210"/>
      <c r="AQ79" s="211"/>
      <c r="AR79" s="211"/>
      <c r="AS79" s="211"/>
      <c r="AT79" s="211"/>
      <c r="AU79" s="211"/>
      <c r="AV79" s="211"/>
      <c r="AW79" s="211"/>
      <c r="AX79" s="211"/>
      <c r="AY79" s="212"/>
    </row>
    <row r="80" spans="1:51" ht="39.75" customHeight="1" x14ac:dyDescent="0.3">
      <c r="A80" s="1087"/>
      <c r="B80" s="2209"/>
      <c r="C80" s="2573"/>
      <c r="D80" s="211"/>
      <c r="E80" s="1241"/>
      <c r="F80" s="2573"/>
      <c r="G80" s="211"/>
      <c r="H80" s="211"/>
      <c r="I80" s="211"/>
      <c r="J80" s="211"/>
      <c r="K80" s="212"/>
      <c r="L80" s="210"/>
      <c r="M80" s="211"/>
      <c r="N80" s="211"/>
      <c r="O80" s="211"/>
      <c r="P80" s="211"/>
      <c r="Q80" s="211"/>
      <c r="R80" s="211"/>
      <c r="S80" s="211"/>
      <c r="T80" s="211"/>
      <c r="U80" s="212"/>
      <c r="V80" s="210"/>
      <c r="W80" s="211"/>
      <c r="X80" s="211"/>
      <c r="Y80" s="211"/>
      <c r="Z80" s="211"/>
      <c r="AA80" s="211"/>
      <c r="AB80" s="1241"/>
      <c r="AC80" s="2573"/>
      <c r="AD80" s="365"/>
      <c r="AE80" s="366"/>
      <c r="AF80" s="364"/>
      <c r="AG80" s="365"/>
      <c r="AH80" s="365"/>
      <c r="AI80" s="365"/>
      <c r="AJ80" s="2707"/>
      <c r="AK80" s="2710"/>
      <c r="AL80" s="211"/>
      <c r="AM80" s="211"/>
      <c r="AN80" s="211"/>
      <c r="AO80" s="212"/>
      <c r="AP80" s="210"/>
      <c r="AQ80" s="211"/>
      <c r="AR80" s="211"/>
      <c r="AS80" s="211"/>
      <c r="AT80" s="211"/>
      <c r="AU80" s="211"/>
      <c r="AV80" s="211"/>
      <c r="AW80" s="211"/>
      <c r="AX80" s="211"/>
      <c r="AY80" s="212"/>
    </row>
    <row r="81" spans="1:51" ht="39.75" customHeight="1" x14ac:dyDescent="0.3">
      <c r="A81" s="1087" t="s">
        <v>9</v>
      </c>
      <c r="B81" s="2209"/>
      <c r="C81" s="2573"/>
      <c r="D81" s="211"/>
      <c r="E81" s="1241"/>
      <c r="F81" s="2573"/>
      <c r="G81" s="211"/>
      <c r="H81" s="211"/>
      <c r="I81" s="211"/>
      <c r="J81" s="211"/>
      <c r="K81" s="212"/>
      <c r="L81" s="210"/>
      <c r="M81" s="211"/>
      <c r="N81" s="211"/>
      <c r="O81" s="211"/>
      <c r="P81" s="211"/>
      <c r="Q81" s="211"/>
      <c r="R81" s="211"/>
      <c r="S81" s="211"/>
      <c r="T81" s="211"/>
      <c r="U81" s="212"/>
      <c r="V81" s="210"/>
      <c r="W81" s="211"/>
      <c r="X81" s="211"/>
      <c r="Y81" s="211"/>
      <c r="Z81" s="211"/>
      <c r="AA81" s="211"/>
      <c r="AB81" s="1241"/>
      <c r="AC81" s="2573"/>
      <c r="AD81" s="365"/>
      <c r="AE81" s="366"/>
      <c r="AF81" s="364"/>
      <c r="AG81" s="365"/>
      <c r="AH81" s="365"/>
      <c r="AI81" s="365"/>
      <c r="AJ81" s="2707"/>
      <c r="AK81" s="2710"/>
      <c r="AL81" s="211"/>
      <c r="AM81" s="211"/>
      <c r="AN81" s="211"/>
      <c r="AO81" s="212"/>
      <c r="AP81" s="210"/>
      <c r="AQ81" s="211"/>
      <c r="AR81" s="211"/>
      <c r="AS81" s="211"/>
      <c r="AT81" s="211"/>
      <c r="AU81" s="211"/>
      <c r="AV81" s="211"/>
      <c r="AW81" s="211"/>
      <c r="AX81" s="211"/>
      <c r="AY81" s="212"/>
    </row>
    <row r="82" spans="1:51" ht="39.75" customHeight="1" thickBot="1" x14ac:dyDescent="0.35">
      <c r="A82" s="1171"/>
      <c r="B82" s="2209"/>
      <c r="C82" s="2574"/>
      <c r="D82" s="214"/>
      <c r="E82" s="2207"/>
      <c r="F82" s="2574"/>
      <c r="G82" s="214"/>
      <c r="H82" s="214"/>
      <c r="I82" s="214"/>
      <c r="J82" s="214"/>
      <c r="K82" s="215"/>
      <c r="L82" s="213"/>
      <c r="M82" s="214"/>
      <c r="N82" s="214"/>
      <c r="O82" s="214"/>
      <c r="P82" s="214"/>
      <c r="Q82" s="214"/>
      <c r="R82" s="214"/>
      <c r="S82" s="214"/>
      <c r="T82" s="214"/>
      <c r="U82" s="215"/>
      <c r="V82" s="213"/>
      <c r="W82" s="214"/>
      <c r="X82" s="214"/>
      <c r="Y82" s="214"/>
      <c r="Z82" s="214"/>
      <c r="AA82" s="211"/>
      <c r="AB82" s="2207"/>
      <c r="AC82" s="2574"/>
      <c r="AD82" s="416"/>
      <c r="AE82" s="417"/>
      <c r="AF82" s="418"/>
      <c r="AG82" s="416"/>
      <c r="AH82" s="416"/>
      <c r="AI82" s="416"/>
      <c r="AJ82" s="2708"/>
      <c r="AK82" s="2711"/>
      <c r="AL82" s="214"/>
      <c r="AM82" s="214"/>
      <c r="AN82" s="214"/>
      <c r="AO82" s="215"/>
      <c r="AP82" s="213"/>
      <c r="AQ82" s="214"/>
      <c r="AR82" s="214"/>
      <c r="AS82" s="214"/>
      <c r="AT82" s="214"/>
      <c r="AU82" s="214"/>
      <c r="AV82" s="214"/>
      <c r="AW82" s="214"/>
      <c r="AX82" s="214"/>
      <c r="AY82" s="215"/>
    </row>
    <row r="83" spans="1:51" ht="69.75" customHeight="1" thickBot="1" x14ac:dyDescent="0.3">
      <c r="B83" s="231"/>
      <c r="C83" s="231"/>
      <c r="D83" s="231"/>
      <c r="E83" s="231"/>
      <c r="F83" s="231"/>
      <c r="G83" s="231"/>
      <c r="K83" s="231"/>
      <c r="AA83" s="231"/>
    </row>
    <row r="84" spans="1:51" ht="18.75" customHeight="1" thickBot="1" x14ac:dyDescent="0.3">
      <c r="A84" s="2698" t="s">
        <v>218</v>
      </c>
      <c r="B84" s="2699"/>
      <c r="C84" s="1508" t="s">
        <v>219</v>
      </c>
      <c r="D84" s="1508"/>
      <c r="E84" s="1508"/>
      <c r="F84" s="1508"/>
      <c r="G84" s="1508"/>
      <c r="H84" s="1508"/>
      <c r="I84" s="1508"/>
      <c r="J84" s="1508"/>
      <c r="K84" s="1508"/>
      <c r="L84" s="1508"/>
      <c r="M84" s="1508"/>
      <c r="N84" s="1508"/>
      <c r="O84" s="1508"/>
      <c r="P84" s="1508"/>
      <c r="Q84" s="1508"/>
      <c r="R84" s="1508"/>
      <c r="S84" s="1508"/>
      <c r="T84" s="1509"/>
      <c r="U84" s="2700" t="s">
        <v>330</v>
      </c>
      <c r="V84" s="2701"/>
      <c r="W84" s="2702" t="s">
        <v>143</v>
      </c>
      <c r="X84" s="2703"/>
      <c r="Y84" s="2703"/>
      <c r="Z84" s="2699"/>
      <c r="AA84" s="2704" t="s">
        <v>167</v>
      </c>
      <c r="AB84" s="2704"/>
      <c r="AC84" s="2704"/>
      <c r="AD84" s="2705"/>
      <c r="AE84" s="2705"/>
      <c r="AF84" s="2705"/>
      <c r="AG84" s="2705"/>
      <c r="AH84" s="2705"/>
      <c r="AI84" s="2705"/>
      <c r="AJ84" s="2705"/>
      <c r="AK84" s="2705"/>
      <c r="AL84" s="2705"/>
      <c r="AM84" s="2705"/>
      <c r="AN84" s="2705"/>
      <c r="AO84" s="2705"/>
      <c r="AP84" s="2705"/>
      <c r="AQ84" s="2705"/>
      <c r="AR84" s="2705"/>
      <c r="AS84" s="2705"/>
      <c r="AT84" s="2705"/>
      <c r="AU84" s="2705"/>
      <c r="AV84" s="2705"/>
      <c r="AW84" s="2705"/>
      <c r="AX84" s="2705"/>
      <c r="AY84" s="2706"/>
    </row>
    <row r="85" spans="1:51" ht="14.25" customHeight="1" x14ac:dyDescent="0.25">
      <c r="A85" s="2694" t="str">
        <f>VLOOKUP(U85,ASIGNATURAS!$F$1:$L$1022, 3, FALSE)</f>
        <v>AR PARALELAS</v>
      </c>
      <c r="B85" s="2695"/>
      <c r="C85" s="947" t="str">
        <f>VLOOKUP(U85,ASIGNATURAS!$F$1:$L$1022, 4, FALSE)</f>
        <v>Arquitecturas Paralelas</v>
      </c>
      <c r="D85" s="948"/>
      <c r="E85" s="948"/>
      <c r="F85" s="948"/>
      <c r="G85" s="948"/>
      <c r="H85" s="948"/>
      <c r="I85" s="948"/>
      <c r="J85" s="948"/>
      <c r="K85" s="948"/>
      <c r="L85" s="948"/>
      <c r="M85" s="948"/>
      <c r="N85" s="948"/>
      <c r="O85" s="948"/>
      <c r="P85" s="948"/>
      <c r="Q85" s="948"/>
      <c r="R85" s="2696"/>
      <c r="S85" s="2696"/>
      <c r="T85" s="2587"/>
      <c r="U85" s="1013">
        <v>8816</v>
      </c>
      <c r="V85" s="2697"/>
      <c r="W85" s="1013">
        <f>VLOOKUP(U85,ASIGNATURAS!$F$1:$L$1022, 5, FALSE)</f>
        <v>6</v>
      </c>
      <c r="X85" s="1014"/>
      <c r="Y85" s="1014"/>
      <c r="Z85" s="2697"/>
      <c r="AA85" s="947" t="str">
        <f>VLOOKUP(U85,ASIGNATURAS!$F$1:$L$1022, 6, FALSE)</f>
        <v>José Cámara Nebreda, Fernando Rivas</v>
      </c>
      <c r="AB85" s="947"/>
      <c r="AC85" s="947"/>
      <c r="AD85" s="948"/>
      <c r="AE85" s="948"/>
      <c r="AF85" s="948"/>
      <c r="AG85" s="948"/>
      <c r="AH85" s="948"/>
      <c r="AI85" s="948"/>
      <c r="AJ85" s="948"/>
      <c r="AK85" s="948"/>
      <c r="AL85" s="948"/>
      <c r="AM85" s="948"/>
      <c r="AN85" s="948"/>
      <c r="AO85" s="948"/>
      <c r="AP85" s="948"/>
      <c r="AQ85" s="948"/>
      <c r="AR85" s="948"/>
      <c r="AS85" s="948"/>
      <c r="AT85" s="948"/>
      <c r="AU85" s="948"/>
      <c r="AV85" s="948"/>
      <c r="AW85" s="948"/>
      <c r="AX85" s="948"/>
      <c r="AY85" s="2587"/>
    </row>
    <row r="86" spans="1:51" ht="13.8" x14ac:dyDescent="0.25">
      <c r="A86" s="1065" t="str">
        <f>VLOOKUP(U86,ASIGNATURAS!$F$1:$L$1022, 3, FALSE)</f>
        <v>SIST. INTELIG.</v>
      </c>
      <c r="B86" s="1066"/>
      <c r="C86" s="982" t="str">
        <f>VLOOKUP(U86,ASIGNATURAS!$F$1:$L$1022, 4, FALSE)</f>
        <v>Sistemas Inteligentes</v>
      </c>
      <c r="D86" s="983"/>
      <c r="E86" s="983"/>
      <c r="F86" s="983"/>
      <c r="G86" s="983"/>
      <c r="H86" s="983"/>
      <c r="I86" s="983"/>
      <c r="J86" s="983"/>
      <c r="K86" s="983"/>
      <c r="L86" s="983"/>
      <c r="M86" s="983"/>
      <c r="N86" s="983"/>
      <c r="O86" s="983"/>
      <c r="P86" s="983"/>
      <c r="Q86" s="983"/>
      <c r="R86" s="992"/>
      <c r="S86" s="992"/>
      <c r="T86" s="1018"/>
      <c r="U86" s="1329">
        <v>8817</v>
      </c>
      <c r="V86" s="1330"/>
      <c r="W86" s="981">
        <f>VLOOKUP(U86,ASIGNATURAS!$F$1:$L$1022, 5, FALSE)</f>
        <v>6</v>
      </c>
      <c r="X86" s="972"/>
      <c r="Y86" s="972"/>
      <c r="Z86" s="1071"/>
      <c r="AA86" s="982" t="str">
        <f>VLOOKUP(U86,ASIGNATURAS!$F$1:$L$1022, 6, FALSE)</f>
        <v>César García Osorio, Pedro Latorre Carmona</v>
      </c>
      <c r="AB86" s="982"/>
      <c r="AC86" s="982"/>
      <c r="AD86" s="983"/>
      <c r="AE86" s="983"/>
      <c r="AF86" s="983"/>
      <c r="AG86" s="983"/>
      <c r="AH86" s="983"/>
      <c r="AI86" s="983"/>
      <c r="AJ86" s="983"/>
      <c r="AK86" s="983"/>
      <c r="AL86" s="983"/>
      <c r="AM86" s="983"/>
      <c r="AN86" s="983"/>
      <c r="AO86" s="983"/>
      <c r="AP86" s="983"/>
      <c r="AQ86" s="983"/>
      <c r="AR86" s="983"/>
      <c r="AS86" s="983"/>
      <c r="AT86" s="983"/>
      <c r="AU86" s="983"/>
      <c r="AV86" s="983"/>
      <c r="AW86" s="983"/>
      <c r="AX86" s="983"/>
      <c r="AY86" s="1018"/>
    </row>
    <row r="87" spans="1:51" ht="14.25" customHeight="1" x14ac:dyDescent="0.25">
      <c r="A87" s="1065" t="str">
        <f>VLOOKUP(U87,ASIGNATURAS!$F$1:$L$1022, 3, FALSE)</f>
        <v>GEST. PROYECTOS</v>
      </c>
      <c r="B87" s="1066"/>
      <c r="C87" s="982" t="str">
        <f>VLOOKUP(U87,ASIGNATURAS!$F$1:$L$1022, 4, FALSE)</f>
        <v>Gestión de Proyectos</v>
      </c>
      <c r="D87" s="983"/>
      <c r="E87" s="983"/>
      <c r="F87" s="983"/>
      <c r="G87" s="983"/>
      <c r="H87" s="983"/>
      <c r="I87" s="983"/>
      <c r="J87" s="983"/>
      <c r="K87" s="983"/>
      <c r="L87" s="983"/>
      <c r="M87" s="983"/>
      <c r="N87" s="983"/>
      <c r="O87" s="983"/>
      <c r="P87" s="983"/>
      <c r="Q87" s="983"/>
      <c r="R87" s="992"/>
      <c r="S87" s="992"/>
      <c r="T87" s="1018"/>
      <c r="U87" s="981">
        <v>8818</v>
      </c>
      <c r="V87" s="1071"/>
      <c r="W87" s="981">
        <f>VLOOKUP(U87,ASIGNATURAS!$F$1:$L$1022, 5, FALSE)</f>
        <v>6</v>
      </c>
      <c r="X87" s="972"/>
      <c r="Y87" s="972"/>
      <c r="Z87" s="1071"/>
      <c r="AA87" s="982" t="str">
        <f>VLOOKUP(U87,ASIGNATURAS!$F$1:$L$1022, 6, FALSE)</f>
        <v>Jose Manuel Galán, Daniel Urda, Carlos López, Virginia Ahedo</v>
      </c>
      <c r="AB87" s="982"/>
      <c r="AC87" s="982"/>
      <c r="AD87" s="983"/>
      <c r="AE87" s="983"/>
      <c r="AF87" s="983"/>
      <c r="AG87" s="983"/>
      <c r="AH87" s="983"/>
      <c r="AI87" s="983"/>
      <c r="AJ87" s="983"/>
      <c r="AK87" s="983"/>
      <c r="AL87" s="983"/>
      <c r="AM87" s="983"/>
      <c r="AN87" s="983"/>
      <c r="AO87" s="983"/>
      <c r="AP87" s="983"/>
      <c r="AQ87" s="983"/>
      <c r="AR87" s="983"/>
      <c r="AS87" s="983"/>
      <c r="AT87" s="983"/>
      <c r="AU87" s="983"/>
      <c r="AV87" s="983"/>
      <c r="AW87" s="983"/>
      <c r="AX87" s="983"/>
      <c r="AY87" s="1018"/>
    </row>
    <row r="88" spans="1:51" ht="14.25" customHeight="1" x14ac:dyDescent="0.25">
      <c r="A88" s="1065" t="str">
        <f>VLOOKUP(U88,ASIGNATURAS!$F$1:$L$1022, 3, FALSE)</f>
        <v>SIST. Y REDES</v>
      </c>
      <c r="B88" s="1066"/>
      <c r="C88" s="982" t="str">
        <f>VLOOKUP(U88,ASIGNATURAS!$F$1:$L$1022, 4, FALSE)</f>
        <v>Diseño y Admin. de Sistemas y Redes</v>
      </c>
      <c r="D88" s="983"/>
      <c r="E88" s="983"/>
      <c r="F88" s="983"/>
      <c r="G88" s="983"/>
      <c r="H88" s="983"/>
      <c r="I88" s="983"/>
      <c r="J88" s="983"/>
      <c r="K88" s="983"/>
      <c r="L88" s="983"/>
      <c r="M88" s="983"/>
      <c r="N88" s="983"/>
      <c r="O88" s="983"/>
      <c r="P88" s="983"/>
      <c r="Q88" s="983"/>
      <c r="R88" s="992"/>
      <c r="S88" s="992"/>
      <c r="T88" s="1018"/>
      <c r="U88" s="981">
        <v>8819</v>
      </c>
      <c r="V88" s="1071"/>
      <c r="W88" s="981">
        <f>VLOOKUP(U88,ASIGNATURAS!$F$1:$L$1022, 5, FALSE)</f>
        <v>6</v>
      </c>
      <c r="X88" s="972"/>
      <c r="Y88" s="972"/>
      <c r="Z88" s="1071"/>
      <c r="AA88" s="982" t="str">
        <f>VLOOKUP(U88,ASIGNATURAS!$F$1:$L$1022, 6, FALSE)</f>
        <v>Jose Manuel Saiz Diez, Ignacio Pardo Aguilar</v>
      </c>
      <c r="AB88" s="982"/>
      <c r="AC88" s="982"/>
      <c r="AD88" s="983"/>
      <c r="AE88" s="983"/>
      <c r="AF88" s="983"/>
      <c r="AG88" s="983"/>
      <c r="AH88" s="983"/>
      <c r="AI88" s="983"/>
      <c r="AJ88" s="983"/>
      <c r="AK88" s="983"/>
      <c r="AL88" s="983"/>
      <c r="AM88" s="983"/>
      <c r="AN88" s="983"/>
      <c r="AO88" s="983"/>
      <c r="AP88" s="983"/>
      <c r="AQ88" s="983"/>
      <c r="AR88" s="983"/>
      <c r="AS88" s="983"/>
      <c r="AT88" s="983"/>
      <c r="AU88" s="983"/>
      <c r="AV88" s="983"/>
      <c r="AW88" s="983"/>
      <c r="AX88" s="983"/>
      <c r="AY88" s="1018"/>
    </row>
    <row r="89" spans="1:51" ht="15" customHeight="1" thickBot="1" x14ac:dyDescent="0.3">
      <c r="A89" s="1097" t="str">
        <f>VLOOKUP(U89,ASIGNATURAS!$F$1:$L$1022, 3, FALSE)</f>
        <v>PROC. LENGUAJE</v>
      </c>
      <c r="B89" s="1098"/>
      <c r="C89" s="1088" t="str">
        <f>VLOOKUP(U89,ASIGNATURAS!$F$1:$L$1022, 4, FALSE)</f>
        <v>Procesadores del Lenguaje</v>
      </c>
      <c r="D89" s="1089"/>
      <c r="E89" s="1089"/>
      <c r="F89" s="1089"/>
      <c r="G89" s="1089"/>
      <c r="H89" s="1089"/>
      <c r="I89" s="1089"/>
      <c r="J89" s="1089"/>
      <c r="K89" s="1089"/>
      <c r="L89" s="1089"/>
      <c r="M89" s="1089"/>
      <c r="N89" s="1089"/>
      <c r="O89" s="1089"/>
      <c r="P89" s="1089"/>
      <c r="Q89" s="1089"/>
      <c r="R89" s="1788"/>
      <c r="S89" s="1788"/>
      <c r="T89" s="1090"/>
      <c r="U89" s="1099">
        <v>8820</v>
      </c>
      <c r="V89" s="1100"/>
      <c r="W89" s="1099">
        <f>VLOOKUP(U89,ASIGNATURAS!$F$1:$L$1022, 5, FALSE)</f>
        <v>6</v>
      </c>
      <c r="X89" s="1279"/>
      <c r="Y89" s="1279"/>
      <c r="Z89" s="1100"/>
      <c r="AA89" s="1088" t="str">
        <f>VLOOKUP(U89,ASIGNATURAS!$F$1:$L$1022, 6, FALSE)</f>
        <v>César Ignacio García, Álvar Arnaiz González</v>
      </c>
      <c r="AB89" s="1088"/>
      <c r="AC89" s="1088"/>
      <c r="AD89" s="1089"/>
      <c r="AE89" s="1089"/>
      <c r="AF89" s="1089"/>
      <c r="AG89" s="1089"/>
      <c r="AH89" s="1089"/>
      <c r="AI89" s="1089"/>
      <c r="AJ89" s="1089"/>
      <c r="AK89" s="1089"/>
      <c r="AL89" s="1089"/>
      <c r="AM89" s="1089"/>
      <c r="AN89" s="1089"/>
      <c r="AO89" s="1089"/>
      <c r="AP89" s="1089"/>
      <c r="AQ89" s="1089"/>
      <c r="AR89" s="1089"/>
      <c r="AS89" s="1089"/>
      <c r="AT89" s="1089"/>
      <c r="AU89" s="1089"/>
      <c r="AV89" s="1089"/>
      <c r="AW89" s="1089"/>
      <c r="AX89" s="1089"/>
      <c r="AY89" s="1090"/>
    </row>
    <row r="92" spans="1:51" ht="24" customHeight="1" x14ac:dyDescent="0.25">
      <c r="A92" s="1101" t="s">
        <v>169</v>
      </c>
      <c r="B92" s="1101"/>
      <c r="C92" s="1101"/>
      <c r="D92" s="1101"/>
      <c r="E92" s="1101"/>
      <c r="F92" s="1101"/>
      <c r="G92" s="1101"/>
      <c r="H92" s="275"/>
      <c r="I92" s="275"/>
    </row>
    <row r="93" spans="1:51" ht="24" customHeight="1" x14ac:dyDescent="0.25">
      <c r="A93" s="1102" t="s">
        <v>1049</v>
      </c>
      <c r="B93" s="1102"/>
      <c r="C93" s="1102"/>
      <c r="D93" s="1102"/>
      <c r="E93" s="1102"/>
      <c r="F93" s="1102"/>
      <c r="G93" s="1102"/>
      <c r="H93" s="275"/>
      <c r="I93" s="275"/>
    </row>
    <row r="94" spans="1:51" s="10" customFormat="1" ht="12.75" customHeight="1" x14ac:dyDescent="0.25">
      <c r="A94" s="275"/>
      <c r="B94" s="275"/>
      <c r="C94" s="275"/>
      <c r="D94" s="275"/>
      <c r="E94" s="275"/>
      <c r="F94" s="275"/>
      <c r="G94" s="275"/>
      <c r="H94" s="275"/>
      <c r="I94" s="275"/>
    </row>
    <row r="95" spans="1:51" ht="12.75" customHeight="1" x14ac:dyDescent="0.25">
      <c r="A95" s="350" t="s">
        <v>1166</v>
      </c>
    </row>
    <row r="96" spans="1:51" x14ac:dyDescent="0.25">
      <c r="A96" s="20" t="s">
        <v>217</v>
      </c>
    </row>
    <row r="97" spans="1:58" ht="13.8" thickBot="1" x14ac:dyDescent="0.3"/>
    <row r="98" spans="1:58" s="1" customFormat="1" ht="31.5" customHeight="1" thickBot="1" x14ac:dyDescent="0.45">
      <c r="A98" s="1094" t="str">
        <f>VLOOKUP(A101,ASIGNATURAS!$A$2:$D$151, 3, FALSE)</f>
        <v>3º Grado en Ingeniería Informática</v>
      </c>
      <c r="B98" s="1095"/>
      <c r="C98" s="1095"/>
      <c r="D98" s="1095"/>
      <c r="E98" s="1095"/>
      <c r="F98" s="1095"/>
      <c r="G98" s="1095"/>
      <c r="H98" s="1095"/>
      <c r="I98" s="1095"/>
      <c r="J98" s="1095"/>
      <c r="K98" s="1095"/>
      <c r="L98" s="1095"/>
      <c r="M98" s="1095"/>
      <c r="N98" s="1095"/>
      <c r="O98" s="1095"/>
      <c r="P98" s="1095"/>
      <c r="Q98" s="1095"/>
      <c r="R98" s="1095"/>
      <c r="S98" s="1095"/>
      <c r="T98" s="1095"/>
      <c r="U98" s="1095"/>
      <c r="V98" s="1095"/>
      <c r="W98" s="1095"/>
      <c r="X98" s="1095"/>
      <c r="Y98" s="1095"/>
      <c r="Z98" s="1095"/>
      <c r="AA98" s="1095"/>
      <c r="AB98" s="1095"/>
      <c r="AC98" s="1095"/>
      <c r="AD98" s="1095"/>
      <c r="AE98" s="1095"/>
      <c r="AF98" s="1095"/>
      <c r="AG98" s="1095"/>
      <c r="AH98" s="1095"/>
      <c r="AI98" s="1095"/>
      <c r="AJ98" s="1095"/>
      <c r="AK98" s="1095"/>
      <c r="AL98" s="1095"/>
      <c r="AM98" s="1095"/>
      <c r="AN98" s="1095"/>
      <c r="AO98" s="1096"/>
      <c r="AP98" s="1076" t="str">
        <f>AP1</f>
        <v>Curso 2024-2025</v>
      </c>
      <c r="AQ98" s="1077"/>
      <c r="AR98" s="1077"/>
      <c r="AS98" s="1077"/>
      <c r="AT98" s="1077"/>
      <c r="AU98" s="1077"/>
      <c r="AV98" s="1077"/>
      <c r="AW98" s="1077"/>
      <c r="AX98" s="1077"/>
      <c r="AY98" s="1078"/>
    </row>
    <row r="99" spans="1:58" s="8" customFormat="1" ht="23.25" customHeight="1" thickBot="1" x14ac:dyDescent="0.45">
      <c r="A99" s="1083" t="str">
        <f>VLOOKUP(A101,ASIGNATURAS!$A$2:$D$151, 2, FALSE)</f>
        <v>Semestre temporal: 2º        (6º Semestre Académico)</v>
      </c>
      <c r="B99" s="1084"/>
      <c r="C99" s="1084"/>
      <c r="D99" s="1084"/>
      <c r="E99" s="1084"/>
      <c r="F99" s="1084"/>
      <c r="G99" s="1084"/>
      <c r="H99" s="1084"/>
      <c r="I99" s="1084"/>
      <c r="J99" s="1084"/>
      <c r="K99" s="1084"/>
      <c r="L99" s="1084"/>
      <c r="M99" s="1084"/>
      <c r="N99" s="1084"/>
      <c r="O99" s="1084"/>
      <c r="P99" s="1084"/>
      <c r="Q99" s="1084"/>
      <c r="R99" s="1084"/>
      <c r="S99" s="1084"/>
      <c r="T99" s="1084"/>
      <c r="U99" s="1084"/>
      <c r="V99" s="1084"/>
      <c r="W99" s="1084"/>
      <c r="X99" s="1084"/>
      <c r="Y99" s="1084"/>
      <c r="Z99" s="1084"/>
      <c r="AA99" s="1084"/>
      <c r="AB99" s="1084"/>
      <c r="AC99" s="1084"/>
      <c r="AD99" s="1084"/>
      <c r="AE99" s="1084"/>
      <c r="AF99" s="1084"/>
      <c r="AG99" s="1084"/>
      <c r="AH99" s="1084"/>
      <c r="AI99" s="1084"/>
      <c r="AJ99" s="1084"/>
      <c r="AK99" s="1084"/>
      <c r="AL99" s="1084"/>
      <c r="AM99" s="1084"/>
      <c r="AN99" s="1084"/>
      <c r="AO99" s="1085"/>
      <c r="AP99" s="2690" t="s">
        <v>153</v>
      </c>
      <c r="AQ99" s="2690"/>
      <c r="AR99" s="2690"/>
      <c r="AS99" s="2690"/>
      <c r="AT99" s="2690"/>
      <c r="AU99" s="2690"/>
      <c r="AV99" s="2690"/>
      <c r="AW99" s="2690"/>
      <c r="AX99" s="2690"/>
      <c r="AY99" s="2691"/>
    </row>
    <row r="100" spans="1:58" s="8" customFormat="1" ht="23.25" customHeight="1" thickBot="1" x14ac:dyDescent="0.45">
      <c r="A100" s="1083" t="s">
        <v>142</v>
      </c>
      <c r="B100" s="1084"/>
      <c r="C100" s="1084"/>
      <c r="D100" s="1084"/>
      <c r="E100" s="1084"/>
      <c r="F100" s="1084"/>
      <c r="G100" s="1084"/>
      <c r="H100" s="1084"/>
      <c r="I100" s="1084"/>
      <c r="J100" s="1084"/>
      <c r="K100" s="1084"/>
      <c r="L100" s="1084"/>
      <c r="M100" s="1084"/>
      <c r="N100" s="1084"/>
      <c r="O100" s="1084"/>
      <c r="P100" s="1084"/>
      <c r="Q100" s="1084"/>
      <c r="R100" s="1084"/>
      <c r="S100" s="1084"/>
      <c r="T100" s="1084"/>
      <c r="U100" s="1084"/>
      <c r="V100" s="1084"/>
      <c r="W100" s="1084"/>
      <c r="X100" s="1084"/>
      <c r="Y100" s="1084"/>
      <c r="Z100" s="1084"/>
      <c r="AA100" s="1084"/>
      <c r="AB100" s="1084"/>
      <c r="AC100" s="1084"/>
      <c r="AD100" s="1084"/>
      <c r="AE100" s="1084"/>
      <c r="AF100" s="1084"/>
      <c r="AG100" s="1084"/>
      <c r="AH100" s="1084"/>
      <c r="AI100" s="1084"/>
      <c r="AJ100" s="1084"/>
      <c r="AK100" s="1084"/>
      <c r="AL100" s="1084"/>
      <c r="AM100" s="1084"/>
      <c r="AN100" s="1084"/>
      <c r="AO100" s="1085"/>
      <c r="AP100" s="2692"/>
      <c r="AQ100" s="2692"/>
      <c r="AR100" s="2692"/>
      <c r="AS100" s="2692"/>
      <c r="AT100" s="2692"/>
      <c r="AU100" s="2692"/>
      <c r="AV100" s="2692"/>
      <c r="AW100" s="2692"/>
      <c r="AX100" s="2692"/>
      <c r="AY100" s="2693"/>
    </row>
    <row r="101" spans="1:58" ht="38.25" customHeight="1" thickBot="1" x14ac:dyDescent="0.3">
      <c r="A101" s="9" t="s">
        <v>72</v>
      </c>
    </row>
    <row r="102" spans="1:58" s="2" customFormat="1" ht="24" customHeight="1" thickBot="1" x14ac:dyDescent="0.3">
      <c r="A102" s="19" t="s">
        <v>1</v>
      </c>
      <c r="B102" s="1091" t="s">
        <v>2</v>
      </c>
      <c r="C102" s="1092"/>
      <c r="D102" s="1092"/>
      <c r="E102" s="1092"/>
      <c r="F102" s="1092"/>
      <c r="G102" s="1092"/>
      <c r="H102" s="1092"/>
      <c r="I102" s="1092"/>
      <c r="J102" s="1092"/>
      <c r="K102" s="1093"/>
      <c r="L102" s="1091" t="s">
        <v>3</v>
      </c>
      <c r="M102" s="1092"/>
      <c r="N102" s="1092"/>
      <c r="O102" s="1092"/>
      <c r="P102" s="1092"/>
      <c r="Q102" s="1092"/>
      <c r="R102" s="1092"/>
      <c r="S102" s="1092"/>
      <c r="T102" s="1092"/>
      <c r="U102" s="1093"/>
      <c r="V102" s="1091" t="s">
        <v>139</v>
      </c>
      <c r="W102" s="1092"/>
      <c r="X102" s="1092"/>
      <c r="Y102" s="1092"/>
      <c r="Z102" s="1092"/>
      <c r="AA102" s="1092"/>
      <c r="AB102" s="1092"/>
      <c r="AC102" s="1092"/>
      <c r="AD102" s="1092"/>
      <c r="AE102" s="1093"/>
      <c r="AF102" s="1091" t="s">
        <v>4</v>
      </c>
      <c r="AG102" s="1092"/>
      <c r="AH102" s="1092"/>
      <c r="AI102" s="1092"/>
      <c r="AJ102" s="1092"/>
      <c r="AK102" s="1092"/>
      <c r="AL102" s="1092"/>
      <c r="AM102" s="1092"/>
      <c r="AN102" s="1092"/>
      <c r="AO102" s="1093"/>
      <c r="AP102" s="1091" t="s">
        <v>5</v>
      </c>
      <c r="AQ102" s="1092"/>
      <c r="AR102" s="1092"/>
      <c r="AS102" s="1092"/>
      <c r="AT102" s="1092"/>
      <c r="AU102" s="1092"/>
      <c r="AV102" s="1092"/>
      <c r="AW102" s="1092"/>
      <c r="AX102" s="1092"/>
      <c r="AY102" s="1093"/>
    </row>
    <row r="103" spans="1:58" ht="38.25" customHeight="1" x14ac:dyDescent="0.25">
      <c r="A103" s="1526" t="s">
        <v>10</v>
      </c>
      <c r="B103" s="383" t="s">
        <v>579</v>
      </c>
      <c r="C103" s="2361" t="s">
        <v>750</v>
      </c>
      <c r="D103" s="383" t="s">
        <v>580</v>
      </c>
      <c r="E103" s="2433" t="s">
        <v>645</v>
      </c>
      <c r="F103" s="383" t="s">
        <v>581</v>
      </c>
      <c r="G103" s="2361" t="s">
        <v>751</v>
      </c>
      <c r="H103" s="658"/>
      <c r="I103" s="658"/>
      <c r="J103" s="659"/>
      <c r="K103" s="32"/>
      <c r="L103" s="383" t="s">
        <v>579</v>
      </c>
      <c r="M103" s="2433" t="s">
        <v>645</v>
      </c>
      <c r="N103" s="78"/>
      <c r="O103" s="2376"/>
      <c r="P103" s="383" t="s">
        <v>581</v>
      </c>
      <c r="Q103" s="1559" t="s">
        <v>750</v>
      </c>
      <c r="R103" s="663"/>
      <c r="S103" s="650"/>
      <c r="T103" s="69"/>
      <c r="U103" s="2595"/>
      <c r="V103" s="383" t="s">
        <v>579</v>
      </c>
      <c r="W103" s="2361" t="s">
        <v>751</v>
      </c>
      <c r="X103" s="383" t="s">
        <v>580</v>
      </c>
      <c r="Y103" s="2361" t="s">
        <v>750</v>
      </c>
      <c r="Z103" s="383" t="s">
        <v>581</v>
      </c>
      <c r="AA103" s="2433" t="s">
        <v>645</v>
      </c>
      <c r="AB103" s="658"/>
      <c r="AC103" s="665"/>
      <c r="AE103" s="37"/>
      <c r="AF103" s="383" t="s">
        <v>579</v>
      </c>
      <c r="AG103" s="1559" t="s">
        <v>750</v>
      </c>
      <c r="AI103" s="741"/>
      <c r="AJ103" s="69"/>
      <c r="AK103" s="2377"/>
      <c r="AL103" s="403"/>
      <c r="AM103" s="666"/>
      <c r="AP103" s="82"/>
      <c r="AQ103" s="2377"/>
      <c r="AR103" s="383" t="s">
        <v>580</v>
      </c>
      <c r="AS103" s="1559" t="s">
        <v>751</v>
      </c>
      <c r="AT103" s="383" t="s">
        <v>581</v>
      </c>
      <c r="AU103" s="2361" t="s">
        <v>750</v>
      </c>
      <c r="AV103" s="658"/>
      <c r="AW103" s="658"/>
      <c r="AX103" s="78"/>
      <c r="AY103" s="2467"/>
    </row>
    <row r="104" spans="1:58" ht="38.25" customHeight="1" x14ac:dyDescent="0.25">
      <c r="A104" s="1143"/>
      <c r="B104" s="1219" t="s">
        <v>115</v>
      </c>
      <c r="C104" s="2361"/>
      <c r="D104" s="1221" t="s">
        <v>114</v>
      </c>
      <c r="E104" s="2361"/>
      <c r="F104" s="1219" t="s">
        <v>112</v>
      </c>
      <c r="G104" s="2361"/>
      <c r="H104" s="658"/>
      <c r="I104" s="660"/>
      <c r="J104" s="10"/>
      <c r="L104" s="1191" t="s">
        <v>114</v>
      </c>
      <c r="M104" s="2361"/>
      <c r="N104" s="1224"/>
      <c r="O104" s="2377"/>
      <c r="P104" s="1109" t="s">
        <v>113</v>
      </c>
      <c r="Q104" s="1560"/>
      <c r="R104" s="663"/>
      <c r="S104" s="663"/>
      <c r="T104" s="1224"/>
      <c r="U104" s="2467"/>
      <c r="V104" s="1221" t="s">
        <v>112</v>
      </c>
      <c r="W104" s="2361"/>
      <c r="X104" s="1221" t="s">
        <v>115</v>
      </c>
      <c r="Y104" s="2361"/>
      <c r="Z104" s="1219" t="s">
        <v>114</v>
      </c>
      <c r="AA104" s="2361"/>
      <c r="AB104" s="658"/>
      <c r="AC104" s="660"/>
      <c r="AF104" s="1191" t="s">
        <v>113</v>
      </c>
      <c r="AG104" s="1560"/>
      <c r="AJ104" s="1224"/>
      <c r="AK104" s="2377"/>
      <c r="AL104" s="403"/>
      <c r="AM104" s="654"/>
      <c r="AP104" s="2209"/>
      <c r="AQ104" s="2377"/>
      <c r="AR104" s="1219" t="s">
        <v>113</v>
      </c>
      <c r="AS104" s="1560"/>
      <c r="AT104" s="1221" t="s">
        <v>115</v>
      </c>
      <c r="AU104" s="2361"/>
      <c r="AV104" s="658"/>
      <c r="AW104" s="658"/>
      <c r="AX104" s="1224"/>
      <c r="AY104" s="2467"/>
      <c r="BA104" s="10"/>
      <c r="BB104" s="10"/>
      <c r="BC104" s="10"/>
      <c r="BD104" s="10"/>
      <c r="BE104" s="10"/>
      <c r="BF104" s="10"/>
    </row>
    <row r="105" spans="1:58" ht="38.25" customHeight="1" x14ac:dyDescent="0.25">
      <c r="A105" s="1143" t="s">
        <v>11</v>
      </c>
      <c r="B105" s="1219"/>
      <c r="C105" s="2361"/>
      <c r="D105" s="1221"/>
      <c r="E105" s="2361"/>
      <c r="F105" s="1219"/>
      <c r="G105" s="2361"/>
      <c r="H105" s="658"/>
      <c r="I105" s="658"/>
      <c r="J105" s="661"/>
      <c r="L105" s="1191"/>
      <c r="M105" s="2361"/>
      <c r="N105" s="1224"/>
      <c r="O105" s="2377"/>
      <c r="P105" s="1109"/>
      <c r="Q105" s="1560"/>
      <c r="R105" s="663"/>
      <c r="S105" s="663"/>
      <c r="T105" s="1224"/>
      <c r="U105" s="2467"/>
      <c r="V105" s="1221"/>
      <c r="W105" s="2361"/>
      <c r="X105" s="1221"/>
      <c r="Y105" s="2361"/>
      <c r="Z105" s="1219"/>
      <c r="AA105" s="2361"/>
      <c r="AB105" s="658"/>
      <c r="AC105" s="660"/>
      <c r="AF105" s="1191"/>
      <c r="AG105" s="1560"/>
      <c r="AJ105" s="1224"/>
      <c r="AK105" s="2377"/>
      <c r="AL105" s="403"/>
      <c r="AM105" s="403"/>
      <c r="AN105" s="284"/>
      <c r="AP105" s="2209"/>
      <c r="AQ105" s="2377"/>
      <c r="AR105" s="1219"/>
      <c r="AS105" s="1560"/>
      <c r="AT105" s="1221"/>
      <c r="AU105" s="2361"/>
      <c r="AV105" s="658"/>
      <c r="AW105" s="658"/>
      <c r="AX105" s="1224"/>
      <c r="AY105" s="2467"/>
      <c r="BA105" s="10"/>
      <c r="BB105" s="69"/>
      <c r="BC105" s="2573"/>
      <c r="BD105" s="10"/>
      <c r="BE105" s="10"/>
      <c r="BF105" s="10"/>
    </row>
    <row r="106" spans="1:58" ht="38.25" customHeight="1" thickBot="1" x14ac:dyDescent="0.3">
      <c r="A106" s="1143"/>
      <c r="B106" s="1219"/>
      <c r="C106" s="2361"/>
      <c r="D106" s="1221"/>
      <c r="E106" s="2421"/>
      <c r="F106" s="1219"/>
      <c r="G106" s="2361"/>
      <c r="H106" s="658"/>
      <c r="I106" s="658"/>
      <c r="J106" s="662"/>
      <c r="L106" s="2221"/>
      <c r="M106" s="2361"/>
      <c r="N106" s="1224"/>
      <c r="O106" s="2377"/>
      <c r="P106" s="1110"/>
      <c r="Q106" s="1561"/>
      <c r="R106" s="664"/>
      <c r="S106" s="664"/>
      <c r="T106" s="1225"/>
      <c r="U106" s="2468"/>
      <c r="V106" s="1221"/>
      <c r="W106" s="2361"/>
      <c r="X106" s="1221"/>
      <c r="Y106" s="2361"/>
      <c r="Z106" s="2410"/>
      <c r="AA106" s="2361"/>
      <c r="AB106" s="658"/>
      <c r="AC106" s="658"/>
      <c r="AD106" s="412"/>
      <c r="AF106" s="2221"/>
      <c r="AG106" s="1561"/>
      <c r="AJ106" s="1225"/>
      <c r="AK106" s="2377"/>
      <c r="AL106" s="403"/>
      <c r="AM106" s="655"/>
      <c r="AP106" s="2602"/>
      <c r="AQ106" s="2377"/>
      <c r="AR106" s="1219"/>
      <c r="AS106" s="1561"/>
      <c r="AT106" s="1221"/>
      <c r="AU106" s="2361"/>
      <c r="AV106" s="658"/>
      <c r="AW106" s="658"/>
      <c r="AX106" s="1225"/>
      <c r="AY106" s="2467"/>
      <c r="BA106" s="10"/>
      <c r="BB106" s="1241"/>
      <c r="BC106" s="2573"/>
      <c r="BD106" s="10"/>
      <c r="BE106" s="10"/>
      <c r="BF106" s="10"/>
    </row>
    <row r="107" spans="1:58" ht="38.25" customHeight="1" x14ac:dyDescent="0.3">
      <c r="A107" s="1087" t="s">
        <v>6</v>
      </c>
      <c r="B107" s="2541" t="s">
        <v>114</v>
      </c>
      <c r="C107" s="2542"/>
      <c r="D107" s="2542"/>
      <c r="E107" s="2542"/>
      <c r="F107" s="2542"/>
      <c r="G107" s="2542"/>
      <c r="H107" s="2542"/>
      <c r="I107" s="2542"/>
      <c r="J107" s="2542"/>
      <c r="K107" s="2543"/>
      <c r="L107" s="2541" t="s">
        <v>114</v>
      </c>
      <c r="M107" s="2542"/>
      <c r="N107" s="2542"/>
      <c r="O107" s="2542"/>
      <c r="P107" s="2542"/>
      <c r="Q107" s="2542"/>
      <c r="R107" s="2542"/>
      <c r="S107" s="2542"/>
      <c r="T107" s="2542"/>
      <c r="U107" s="2543"/>
      <c r="V107" s="2541" t="s">
        <v>115</v>
      </c>
      <c r="W107" s="2542"/>
      <c r="X107" s="2542"/>
      <c r="Y107" s="2542"/>
      <c r="Z107" s="2542"/>
      <c r="AA107" s="2542"/>
      <c r="AB107" s="2542"/>
      <c r="AC107" s="2542"/>
      <c r="AD107" s="2542"/>
      <c r="AE107" s="2543"/>
      <c r="AF107" s="2541" t="s">
        <v>113</v>
      </c>
      <c r="AG107" s="2542"/>
      <c r="AH107" s="2542"/>
      <c r="AI107" s="2542"/>
      <c r="AJ107" s="2542"/>
      <c r="AK107" s="2542"/>
      <c r="AL107" s="2542"/>
      <c r="AM107" s="2542"/>
      <c r="AN107" s="2542"/>
      <c r="AO107" s="2543"/>
      <c r="AP107" s="2541" t="s">
        <v>113</v>
      </c>
      <c r="AQ107" s="2542"/>
      <c r="AR107" s="2542"/>
      <c r="AS107" s="2542"/>
      <c r="AT107" s="2542"/>
      <c r="AU107" s="2542"/>
      <c r="AV107" s="2542"/>
      <c r="AW107" s="2542"/>
      <c r="AX107" s="2542"/>
      <c r="AY107" s="2543"/>
      <c r="BA107" s="10"/>
      <c r="BB107" s="1241"/>
      <c r="BC107" s="2573"/>
      <c r="BD107" s="10"/>
      <c r="BE107" s="10"/>
      <c r="BF107" s="10"/>
    </row>
    <row r="108" spans="1:58" ht="38.25" customHeight="1" thickBot="1" x14ac:dyDescent="0.3">
      <c r="A108" s="1087"/>
      <c r="B108" s="1979" t="s">
        <v>153</v>
      </c>
      <c r="C108" s="1980"/>
      <c r="D108" s="1980"/>
      <c r="E108" s="1980"/>
      <c r="F108" s="1980"/>
      <c r="G108" s="1980"/>
      <c r="H108" s="1980"/>
      <c r="I108" s="1980"/>
      <c r="J108" s="1980"/>
      <c r="K108" s="1981"/>
      <c r="L108" s="1979" t="s">
        <v>153</v>
      </c>
      <c r="M108" s="1980"/>
      <c r="N108" s="1980"/>
      <c r="O108" s="1980"/>
      <c r="P108" s="1980"/>
      <c r="Q108" s="1980"/>
      <c r="R108" s="1980"/>
      <c r="S108" s="1980"/>
      <c r="T108" s="1980"/>
      <c r="U108" s="1981"/>
      <c r="V108" s="1979" t="s">
        <v>153</v>
      </c>
      <c r="W108" s="1980"/>
      <c r="X108" s="1980"/>
      <c r="Y108" s="1980"/>
      <c r="Z108" s="1980"/>
      <c r="AA108" s="1980"/>
      <c r="AB108" s="1980"/>
      <c r="AC108" s="1980"/>
      <c r="AD108" s="1980"/>
      <c r="AE108" s="1981"/>
      <c r="AF108" s="1979" t="s">
        <v>153</v>
      </c>
      <c r="AG108" s="1980"/>
      <c r="AH108" s="1980"/>
      <c r="AI108" s="1980"/>
      <c r="AJ108" s="1980"/>
      <c r="AK108" s="1980"/>
      <c r="AL108" s="1980"/>
      <c r="AM108" s="1980"/>
      <c r="AN108" s="1980"/>
      <c r="AO108" s="1981"/>
      <c r="AP108" s="1979" t="s">
        <v>153</v>
      </c>
      <c r="AQ108" s="1980"/>
      <c r="AR108" s="1980"/>
      <c r="AS108" s="1980"/>
      <c r="AT108" s="1980"/>
      <c r="AU108" s="1980"/>
      <c r="AV108" s="1980"/>
      <c r="AW108" s="1980"/>
      <c r="AX108" s="1980"/>
      <c r="AY108" s="1981"/>
      <c r="BA108" s="10"/>
      <c r="BB108" s="1241"/>
      <c r="BC108" s="2573"/>
      <c r="BD108" s="10"/>
      <c r="BE108" s="10"/>
      <c r="BF108" s="10"/>
    </row>
    <row r="109" spans="1:58" ht="38.25" customHeight="1" x14ac:dyDescent="0.3">
      <c r="A109" s="1087" t="s">
        <v>7</v>
      </c>
      <c r="B109" s="2541" t="s">
        <v>112</v>
      </c>
      <c r="C109" s="2542"/>
      <c r="D109" s="2542"/>
      <c r="E109" s="2542"/>
      <c r="F109" s="2542"/>
      <c r="G109" s="2542"/>
      <c r="H109" s="2542"/>
      <c r="I109" s="2542"/>
      <c r="J109" s="2542"/>
      <c r="K109" s="2543"/>
      <c r="L109" s="2526"/>
      <c r="M109" s="2527"/>
      <c r="N109" s="2527"/>
      <c r="O109" s="2527"/>
      <c r="P109" s="2527"/>
      <c r="Q109" s="2527"/>
      <c r="R109" s="2527"/>
      <c r="S109" s="2527"/>
      <c r="T109" s="2527"/>
      <c r="U109" s="2528"/>
      <c r="V109" s="2541" t="s">
        <v>112</v>
      </c>
      <c r="W109" s="2542"/>
      <c r="X109" s="2542"/>
      <c r="Y109" s="2542"/>
      <c r="Z109" s="2542"/>
      <c r="AA109" s="2542"/>
      <c r="AB109" s="2542"/>
      <c r="AC109" s="2542"/>
      <c r="AD109" s="2542"/>
      <c r="AE109" s="2543"/>
      <c r="AF109" s="2526"/>
      <c r="AG109" s="2527"/>
      <c r="AH109" s="2527"/>
      <c r="AI109" s="2527"/>
      <c r="AJ109" s="2527"/>
      <c r="AK109" s="2527"/>
      <c r="AL109" s="2527"/>
      <c r="AM109" s="2527"/>
      <c r="AN109" s="2527"/>
      <c r="AO109" s="2528"/>
      <c r="AP109" s="2541" t="s">
        <v>115</v>
      </c>
      <c r="AQ109" s="2542"/>
      <c r="AR109" s="2542"/>
      <c r="AS109" s="2542"/>
      <c r="AT109" s="2542"/>
      <c r="AU109" s="2542"/>
      <c r="AV109" s="2542"/>
      <c r="AW109" s="2542"/>
      <c r="AX109" s="2542"/>
      <c r="AY109" s="2543"/>
      <c r="BA109" s="10"/>
      <c r="BB109" s="1241"/>
      <c r="BC109" s="2573"/>
      <c r="BD109" s="10"/>
      <c r="BE109" s="10"/>
      <c r="BF109" s="10"/>
    </row>
    <row r="110" spans="1:58" ht="38.25" customHeight="1" thickBot="1" x14ac:dyDescent="0.3">
      <c r="A110" s="1087"/>
      <c r="B110" s="1605" t="s">
        <v>153</v>
      </c>
      <c r="C110" s="1606"/>
      <c r="D110" s="1606"/>
      <c r="E110" s="1606"/>
      <c r="F110" s="1606"/>
      <c r="G110" s="1606"/>
      <c r="H110" s="1606"/>
      <c r="I110" s="1606"/>
      <c r="J110" s="1606"/>
      <c r="K110" s="1607"/>
      <c r="L110" s="1930"/>
      <c r="M110" s="1931"/>
      <c r="N110" s="1931"/>
      <c r="O110" s="1931"/>
      <c r="P110" s="1931"/>
      <c r="Q110" s="1931"/>
      <c r="R110" s="1931"/>
      <c r="S110" s="1931"/>
      <c r="T110" s="1931"/>
      <c r="U110" s="1932"/>
      <c r="V110" s="1605" t="s">
        <v>153</v>
      </c>
      <c r="W110" s="1606"/>
      <c r="X110" s="1606"/>
      <c r="Y110" s="1606"/>
      <c r="Z110" s="1606"/>
      <c r="AA110" s="1606"/>
      <c r="AB110" s="1606"/>
      <c r="AC110" s="1606"/>
      <c r="AD110" s="1606"/>
      <c r="AE110" s="1607"/>
      <c r="AF110" s="2599"/>
      <c r="AG110" s="2600"/>
      <c r="AH110" s="2600"/>
      <c r="AI110" s="2600"/>
      <c r="AJ110" s="2600"/>
      <c r="AK110" s="2600"/>
      <c r="AL110" s="2600"/>
      <c r="AM110" s="2600"/>
      <c r="AN110" s="2600"/>
      <c r="AO110" s="2601"/>
      <c r="AP110" s="1605" t="s">
        <v>153</v>
      </c>
      <c r="AQ110" s="1606"/>
      <c r="AR110" s="1606"/>
      <c r="AS110" s="1606"/>
      <c r="AT110" s="1606"/>
      <c r="AU110" s="1606"/>
      <c r="AV110" s="1606"/>
      <c r="AW110" s="1606"/>
      <c r="AX110" s="1606"/>
      <c r="AY110" s="1607"/>
      <c r="BA110" s="10"/>
      <c r="BB110" s="1241"/>
      <c r="BC110" s="2573"/>
      <c r="BD110" s="10"/>
      <c r="BE110" s="10"/>
      <c r="BF110" s="10"/>
    </row>
    <row r="111" spans="1:58" ht="38.25" customHeight="1" x14ac:dyDescent="0.3">
      <c r="A111" s="1087" t="s">
        <v>8</v>
      </c>
      <c r="B111" s="2526"/>
      <c r="C111" s="2527"/>
      <c r="D111" s="2527"/>
      <c r="E111" s="2527"/>
      <c r="F111" s="2527"/>
      <c r="G111" s="2527"/>
      <c r="H111" s="2527"/>
      <c r="I111" s="2527"/>
      <c r="J111" s="2527"/>
      <c r="K111" s="2528"/>
      <c r="L111" s="2526"/>
      <c r="M111" s="2527"/>
      <c r="N111" s="2527"/>
      <c r="O111" s="2527"/>
      <c r="P111" s="2527"/>
      <c r="Q111" s="2527"/>
      <c r="R111" s="2527"/>
      <c r="S111" s="2527"/>
      <c r="T111" s="2527"/>
      <c r="U111" s="2528"/>
      <c r="V111" s="888"/>
      <c r="W111" s="898"/>
      <c r="X111" s="383" t="s">
        <v>580</v>
      </c>
      <c r="Y111" s="2361" t="s">
        <v>751</v>
      </c>
      <c r="Z111" s="2518"/>
      <c r="AA111" s="2519"/>
      <c r="AB111" s="2519"/>
      <c r="AC111" s="889"/>
      <c r="AD111" s="889"/>
      <c r="AE111" s="890"/>
      <c r="AF111" s="2526"/>
      <c r="AG111" s="2527"/>
      <c r="AH111" s="2527"/>
      <c r="AI111" s="2527"/>
      <c r="AJ111" s="2527"/>
      <c r="AK111" s="2527"/>
      <c r="AL111" s="2527"/>
      <c r="AM111" s="2527"/>
      <c r="AN111" s="2527"/>
      <c r="AO111" s="2528"/>
      <c r="AP111" s="2526"/>
      <c r="AQ111" s="2527"/>
      <c r="AR111" s="2527"/>
      <c r="AS111" s="2527"/>
      <c r="AT111" s="2527"/>
      <c r="AU111" s="2527"/>
      <c r="AV111" s="2527"/>
      <c r="AW111" s="2527"/>
      <c r="AX111" s="2527"/>
      <c r="AY111" s="2528"/>
      <c r="BA111" s="10"/>
      <c r="BB111" s="1241"/>
      <c r="BC111" s="2573"/>
      <c r="BD111" s="10"/>
      <c r="BE111" s="10"/>
      <c r="BF111" s="10"/>
    </row>
    <row r="112" spans="1:58" ht="38.25" customHeight="1" thickBot="1" x14ac:dyDescent="0.35">
      <c r="A112" s="1087"/>
      <c r="B112" s="2599"/>
      <c r="C112" s="2600"/>
      <c r="D112" s="2600"/>
      <c r="E112" s="2600"/>
      <c r="F112" s="2600"/>
      <c r="G112" s="2600"/>
      <c r="H112" s="2600"/>
      <c r="I112" s="2600"/>
      <c r="J112" s="2600"/>
      <c r="K112" s="2601"/>
      <c r="L112" s="2599"/>
      <c r="M112" s="2600"/>
      <c r="N112" s="2600"/>
      <c r="O112" s="2600"/>
      <c r="P112" s="2600"/>
      <c r="Q112" s="2600"/>
      <c r="R112" s="2600"/>
      <c r="S112" s="2600"/>
      <c r="T112" s="2600"/>
      <c r="U112" s="2601"/>
      <c r="V112" s="671"/>
      <c r="W112" s="430"/>
      <c r="X112" s="1221" t="s">
        <v>112</v>
      </c>
      <c r="Y112" s="2361"/>
      <c r="Z112" s="1113"/>
      <c r="AA112" s="1126"/>
      <c r="AB112" s="1126"/>
      <c r="AC112" s="430"/>
      <c r="AD112" s="430"/>
      <c r="AE112" s="894"/>
      <c r="AF112" s="2599"/>
      <c r="AG112" s="2600"/>
      <c r="AH112" s="2600"/>
      <c r="AI112" s="2600"/>
      <c r="AJ112" s="2600"/>
      <c r="AK112" s="2600"/>
      <c r="AL112" s="2600"/>
      <c r="AM112" s="2600"/>
      <c r="AN112" s="2600"/>
      <c r="AO112" s="2601"/>
      <c r="AP112" s="2599"/>
      <c r="AQ112" s="2600"/>
      <c r="AR112" s="2600"/>
      <c r="AS112" s="2600"/>
      <c r="AT112" s="2600"/>
      <c r="AU112" s="2600"/>
      <c r="AV112" s="2600"/>
      <c r="AW112" s="2600"/>
      <c r="AX112" s="2600"/>
      <c r="AY112" s="2601"/>
      <c r="BA112" s="10"/>
      <c r="BB112" s="1241"/>
      <c r="BC112" s="2573"/>
      <c r="BD112" s="10"/>
      <c r="BE112" s="10"/>
      <c r="BF112" s="10"/>
    </row>
    <row r="113" spans="1:58" ht="38.25" customHeight="1" x14ac:dyDescent="0.3">
      <c r="A113" s="1087" t="s">
        <v>9</v>
      </c>
      <c r="B113" s="2526"/>
      <c r="C113" s="2527"/>
      <c r="D113" s="2527"/>
      <c r="E113" s="2527"/>
      <c r="F113" s="2527"/>
      <c r="G113" s="2527"/>
      <c r="H113" s="2527"/>
      <c r="I113" s="2527"/>
      <c r="J113" s="2527"/>
      <c r="K113" s="2528"/>
      <c r="L113" s="2526"/>
      <c r="M113" s="2527"/>
      <c r="N113" s="2527"/>
      <c r="O113" s="2527"/>
      <c r="P113" s="2527"/>
      <c r="Q113" s="2527"/>
      <c r="R113" s="2527"/>
      <c r="S113" s="2527"/>
      <c r="T113" s="2527"/>
      <c r="U113" s="2528"/>
      <c r="V113" s="671"/>
      <c r="W113" s="430"/>
      <c r="X113" s="1221"/>
      <c r="Y113" s="2361"/>
      <c r="Z113" s="1113"/>
      <c r="AA113" s="1126"/>
      <c r="AB113" s="1126"/>
      <c r="AC113" s="430"/>
      <c r="AD113" s="430"/>
      <c r="AE113" s="894"/>
      <c r="AF113" s="2526"/>
      <c r="AG113" s="2527"/>
      <c r="AH113" s="2527"/>
      <c r="AI113" s="2527"/>
      <c r="AJ113" s="2527"/>
      <c r="AK113" s="2527"/>
      <c r="AL113" s="2527"/>
      <c r="AM113" s="2527"/>
      <c r="AN113" s="2527"/>
      <c r="AO113" s="2528"/>
      <c r="AP113" s="2526"/>
      <c r="AQ113" s="2527"/>
      <c r="AR113" s="2527"/>
      <c r="AS113" s="2527"/>
      <c r="AT113" s="2527"/>
      <c r="AU113" s="2527"/>
      <c r="AV113" s="2527"/>
      <c r="AW113" s="2527"/>
      <c r="AX113" s="2527"/>
      <c r="AY113" s="2528"/>
      <c r="BA113" s="10"/>
      <c r="BB113" s="10"/>
      <c r="BC113" s="10"/>
      <c r="BD113" s="10"/>
      <c r="BE113" s="10"/>
      <c r="BF113" s="10"/>
    </row>
    <row r="114" spans="1:58" ht="38.25" customHeight="1" thickBot="1" x14ac:dyDescent="0.35">
      <c r="A114" s="1087"/>
      <c r="B114" s="1930"/>
      <c r="C114" s="1931"/>
      <c r="D114" s="1931"/>
      <c r="E114" s="1931"/>
      <c r="F114" s="1931"/>
      <c r="G114" s="1931"/>
      <c r="H114" s="1931"/>
      <c r="I114" s="1931"/>
      <c r="J114" s="1931"/>
      <c r="K114" s="1932"/>
      <c r="L114" s="1930"/>
      <c r="M114" s="1931"/>
      <c r="N114" s="1931"/>
      <c r="O114" s="1931"/>
      <c r="P114" s="1931"/>
      <c r="Q114" s="1931"/>
      <c r="R114" s="1931"/>
      <c r="S114" s="1931"/>
      <c r="T114" s="1931"/>
      <c r="U114" s="1932"/>
      <c r="V114" s="895"/>
      <c r="W114" s="896"/>
      <c r="X114" s="1221"/>
      <c r="Y114" s="2361"/>
      <c r="Z114" s="1131"/>
      <c r="AA114" s="1127"/>
      <c r="AB114" s="1127"/>
      <c r="AC114" s="896"/>
      <c r="AD114" s="896"/>
      <c r="AE114" s="897"/>
      <c r="AF114" s="1930"/>
      <c r="AG114" s="1931"/>
      <c r="AH114" s="1931"/>
      <c r="AI114" s="1931"/>
      <c r="AJ114" s="1931"/>
      <c r="AK114" s="1931"/>
      <c r="AL114" s="1931"/>
      <c r="AM114" s="1931"/>
      <c r="AN114" s="1931"/>
      <c r="AO114" s="1932"/>
      <c r="AP114" s="1930"/>
      <c r="AQ114" s="1931"/>
      <c r="AR114" s="1931"/>
      <c r="AS114" s="1931"/>
      <c r="AT114" s="1931"/>
      <c r="AU114" s="1931"/>
      <c r="AV114" s="1931"/>
      <c r="AW114" s="1931"/>
      <c r="AX114" s="1931"/>
      <c r="AY114" s="1932"/>
    </row>
    <row r="115" spans="1:58" s="2" customFormat="1" ht="24" customHeight="1" thickBot="1" x14ac:dyDescent="0.3">
      <c r="A115" s="19" t="s">
        <v>1</v>
      </c>
      <c r="B115" s="1091" t="s">
        <v>2</v>
      </c>
      <c r="C115" s="1092"/>
      <c r="D115" s="1092"/>
      <c r="E115" s="1092"/>
      <c r="F115" s="1092"/>
      <c r="G115" s="1092"/>
      <c r="H115" s="1092"/>
      <c r="I115" s="1092"/>
      <c r="J115" s="1092"/>
      <c r="K115" s="1093"/>
      <c r="L115" s="1091" t="s">
        <v>3</v>
      </c>
      <c r="M115" s="1092"/>
      <c r="N115" s="1092"/>
      <c r="O115" s="1092"/>
      <c r="P115" s="1092"/>
      <c r="Q115" s="1092"/>
      <c r="R115" s="1092"/>
      <c r="S115" s="1092"/>
      <c r="T115" s="1092"/>
      <c r="U115" s="1093"/>
      <c r="V115" s="1091" t="s">
        <v>139</v>
      </c>
      <c r="W115" s="1092"/>
      <c r="X115" s="1092"/>
      <c r="Y115" s="1092"/>
      <c r="Z115" s="1092"/>
      <c r="AA115" s="1092"/>
      <c r="AB115" s="1092"/>
      <c r="AC115" s="1092"/>
      <c r="AD115" s="1092"/>
      <c r="AE115" s="1093"/>
      <c r="AF115" s="1091" t="s">
        <v>4</v>
      </c>
      <c r="AG115" s="1092"/>
      <c r="AH115" s="1092"/>
      <c r="AI115" s="1092"/>
      <c r="AJ115" s="1092"/>
      <c r="AK115" s="1092"/>
      <c r="AL115" s="1092"/>
      <c r="AM115" s="1092"/>
      <c r="AN115" s="1092"/>
      <c r="AO115" s="1093"/>
      <c r="AP115" s="1091" t="s">
        <v>5</v>
      </c>
      <c r="AQ115" s="1092"/>
      <c r="AR115" s="1092"/>
      <c r="AS115" s="1092"/>
      <c r="AT115" s="1092"/>
      <c r="AU115" s="1092"/>
      <c r="AV115" s="1092"/>
      <c r="AW115" s="1092"/>
      <c r="AX115" s="1092"/>
      <c r="AY115" s="1093"/>
    </row>
    <row r="116" spans="1:58" ht="38.25" customHeight="1" x14ac:dyDescent="0.3">
      <c r="A116" s="934" t="s">
        <v>1131</v>
      </c>
      <c r="B116" s="2532"/>
      <c r="C116" s="2533"/>
      <c r="D116" s="2533"/>
      <c r="E116" s="2533"/>
      <c r="F116" s="2533"/>
      <c r="G116" s="2533"/>
      <c r="H116" s="2533"/>
      <c r="I116" s="2533"/>
      <c r="J116" s="2533"/>
      <c r="K116" s="2534"/>
      <c r="L116" s="2532"/>
      <c r="M116" s="2533"/>
      <c r="N116" s="2533"/>
      <c r="O116" s="2533"/>
      <c r="P116" s="2533"/>
      <c r="Q116" s="2533"/>
      <c r="R116" s="2533"/>
      <c r="S116" s="2533"/>
      <c r="T116" s="2533"/>
      <c r="U116" s="2534"/>
      <c r="V116" s="2532"/>
      <c r="W116" s="2533"/>
      <c r="X116" s="2533"/>
      <c r="Y116" s="2533"/>
      <c r="Z116" s="2533"/>
      <c r="AA116" s="2533"/>
      <c r="AB116" s="2533"/>
      <c r="AC116" s="2533"/>
      <c r="AD116" s="2533"/>
      <c r="AE116" s="2534"/>
      <c r="AF116" s="2532"/>
      <c r="AG116" s="2533"/>
      <c r="AH116" s="2533"/>
      <c r="AI116" s="2533"/>
      <c r="AJ116" s="2533"/>
      <c r="AK116" s="2533"/>
      <c r="AL116" s="2533"/>
      <c r="AM116" s="2533"/>
      <c r="AN116" s="2533"/>
      <c r="AO116" s="2534"/>
      <c r="AP116" s="2532"/>
      <c r="AQ116" s="2533"/>
      <c r="AR116" s="2533"/>
      <c r="AS116" s="2533"/>
      <c r="AT116" s="2533"/>
      <c r="AU116" s="2533"/>
      <c r="AV116" s="2533"/>
      <c r="AW116" s="2533"/>
      <c r="AX116" s="2533"/>
      <c r="AY116" s="2534"/>
    </row>
    <row r="117" spans="1:58" ht="38.25" customHeight="1" thickBot="1" x14ac:dyDescent="0.3">
      <c r="A117" s="935"/>
      <c r="B117" s="2535"/>
      <c r="C117" s="2536"/>
      <c r="D117" s="2536"/>
      <c r="E117" s="2536"/>
      <c r="F117" s="2536"/>
      <c r="G117" s="2536"/>
      <c r="H117" s="2536"/>
      <c r="I117" s="2536"/>
      <c r="J117" s="2536"/>
      <c r="K117" s="2537"/>
      <c r="L117" s="2535"/>
      <c r="M117" s="2536"/>
      <c r="N117" s="2536"/>
      <c r="O117" s="2536"/>
      <c r="P117" s="2536"/>
      <c r="Q117" s="2536"/>
      <c r="R117" s="2536"/>
      <c r="S117" s="2536"/>
      <c r="T117" s="2536"/>
      <c r="U117" s="2537"/>
      <c r="V117" s="2535"/>
      <c r="W117" s="2536"/>
      <c r="X117" s="2536"/>
      <c r="Y117" s="2536"/>
      <c r="Z117" s="2536"/>
      <c r="AA117" s="2536"/>
      <c r="AB117" s="2536"/>
      <c r="AC117" s="2536"/>
      <c r="AD117" s="2536"/>
      <c r="AE117" s="2537"/>
      <c r="AF117" s="2538"/>
      <c r="AG117" s="2539"/>
      <c r="AH117" s="2539"/>
      <c r="AI117" s="2539"/>
      <c r="AJ117" s="2539"/>
      <c r="AK117" s="2539"/>
      <c r="AL117" s="2539"/>
      <c r="AM117" s="2539"/>
      <c r="AN117" s="2539"/>
      <c r="AO117" s="2540"/>
      <c r="AP117" s="2535"/>
      <c r="AQ117" s="2536"/>
      <c r="AR117" s="2536"/>
      <c r="AS117" s="2536"/>
      <c r="AT117" s="2536"/>
      <c r="AU117" s="2536"/>
      <c r="AV117" s="2536"/>
      <c r="AW117" s="2536"/>
      <c r="AX117" s="2536"/>
      <c r="AY117" s="2537"/>
    </row>
    <row r="118" spans="1:58" ht="38.25" customHeight="1" x14ac:dyDescent="0.3">
      <c r="A118" s="1087" t="s">
        <v>187</v>
      </c>
      <c r="B118" s="480"/>
      <c r="C118" s="481"/>
      <c r="D118" s="481"/>
      <c r="E118" s="481"/>
      <c r="F118" s="481"/>
      <c r="G118" s="481"/>
      <c r="H118" s="481"/>
      <c r="I118" s="481"/>
      <c r="J118" s="481"/>
      <c r="K118" s="900"/>
      <c r="L118" s="480"/>
      <c r="M118" s="481"/>
      <c r="N118" s="481"/>
      <c r="O118" s="481"/>
      <c r="P118" s="481"/>
      <c r="Q118" s="481"/>
      <c r="R118" s="481"/>
      <c r="S118" s="481"/>
      <c r="T118" s="481"/>
      <c r="U118" s="900"/>
      <c r="V118" s="480"/>
      <c r="W118" s="481"/>
      <c r="X118" s="481"/>
      <c r="Y118" s="481"/>
      <c r="Z118" s="481"/>
      <c r="AA118" s="481"/>
      <c r="AB118" s="481"/>
      <c r="AC118" s="481"/>
      <c r="AD118" s="481"/>
      <c r="AE118" s="900"/>
      <c r="AF118" s="2520" t="s">
        <v>1034</v>
      </c>
      <c r="AG118" s="2521"/>
      <c r="AH118" s="2521"/>
      <c r="AI118" s="2521"/>
      <c r="AJ118" s="2521"/>
      <c r="AK118" s="2521"/>
      <c r="AL118" s="2521"/>
      <c r="AM118" s="2521"/>
      <c r="AN118" s="2521"/>
      <c r="AO118" s="2522"/>
      <c r="AP118" s="480"/>
      <c r="AQ118" s="481"/>
      <c r="AR118" s="481"/>
      <c r="AS118" s="481"/>
      <c r="AT118" s="481"/>
      <c r="AU118" s="481"/>
      <c r="AV118" s="481"/>
      <c r="AW118" s="481"/>
      <c r="AX118" s="481"/>
      <c r="AY118" s="900"/>
    </row>
    <row r="119" spans="1:58" ht="38.25" customHeight="1" thickBot="1" x14ac:dyDescent="0.3">
      <c r="A119" s="1087"/>
      <c r="B119" s="480"/>
      <c r="C119" s="481"/>
      <c r="D119" s="481"/>
      <c r="E119" s="481"/>
      <c r="F119" s="481"/>
      <c r="G119" s="481"/>
      <c r="H119" s="481"/>
      <c r="I119" s="481"/>
      <c r="J119" s="481"/>
      <c r="K119" s="900"/>
      <c r="L119" s="480"/>
      <c r="M119" s="481"/>
      <c r="N119" s="481"/>
      <c r="O119" s="481"/>
      <c r="P119" s="481"/>
      <c r="Q119" s="481"/>
      <c r="R119" s="481"/>
      <c r="S119" s="481"/>
      <c r="T119" s="481"/>
      <c r="U119" s="900"/>
      <c r="V119" s="480"/>
      <c r="W119" s="481"/>
      <c r="X119" s="481"/>
      <c r="Y119" s="481"/>
      <c r="Z119" s="481"/>
      <c r="AA119" s="481"/>
      <c r="AB119" s="481"/>
      <c r="AC119" s="481"/>
      <c r="AD119" s="481"/>
      <c r="AE119" s="900"/>
      <c r="AF119" s="2529" t="s">
        <v>153</v>
      </c>
      <c r="AG119" s="2530"/>
      <c r="AH119" s="2530"/>
      <c r="AI119" s="2530"/>
      <c r="AJ119" s="2530"/>
      <c r="AK119" s="2530"/>
      <c r="AL119" s="2530"/>
      <c r="AM119" s="2530"/>
      <c r="AN119" s="2530"/>
      <c r="AO119" s="2531"/>
      <c r="AP119" s="480"/>
      <c r="AQ119" s="481"/>
      <c r="AR119" s="481"/>
      <c r="AS119" s="481"/>
      <c r="AT119" s="481"/>
      <c r="AU119" s="481"/>
      <c r="AV119" s="481"/>
      <c r="AW119" s="481"/>
      <c r="AX119" s="481"/>
      <c r="AY119" s="900"/>
    </row>
    <row r="120" spans="1:58" ht="38.25" customHeight="1" x14ac:dyDescent="0.3">
      <c r="A120" s="1087" t="s">
        <v>186</v>
      </c>
      <c r="B120" s="480"/>
      <c r="C120" s="481"/>
      <c r="D120" s="481"/>
      <c r="E120" s="481"/>
      <c r="F120" s="481"/>
      <c r="G120" s="481"/>
      <c r="H120" s="481"/>
      <c r="I120" s="481"/>
      <c r="J120" s="481"/>
      <c r="K120" s="900"/>
      <c r="L120" s="480"/>
      <c r="M120" s="481"/>
      <c r="N120" s="481"/>
      <c r="O120" s="481"/>
      <c r="P120" s="481"/>
      <c r="Q120" s="481"/>
      <c r="R120" s="481"/>
      <c r="S120" s="481"/>
      <c r="T120" s="481"/>
      <c r="U120" s="900"/>
      <c r="V120" s="480"/>
      <c r="W120" s="481"/>
      <c r="X120" s="481"/>
      <c r="Y120" s="481"/>
      <c r="Z120" s="481"/>
      <c r="AA120" s="481"/>
      <c r="AB120" s="481"/>
      <c r="AC120" s="481"/>
      <c r="AD120" s="481"/>
      <c r="AE120" s="900"/>
      <c r="AF120" s="2520" t="s">
        <v>1034</v>
      </c>
      <c r="AG120" s="2521"/>
      <c r="AH120" s="2521"/>
      <c r="AI120" s="2521"/>
      <c r="AJ120" s="2521"/>
      <c r="AK120" s="2521"/>
      <c r="AL120" s="2521"/>
      <c r="AM120" s="2521"/>
      <c r="AN120" s="2521"/>
      <c r="AO120" s="2522"/>
      <c r="AP120" s="480"/>
      <c r="AQ120" s="481"/>
      <c r="AR120" s="481"/>
      <c r="AS120" s="481"/>
      <c r="AT120" s="481"/>
      <c r="AU120" s="481"/>
      <c r="AV120" s="481"/>
      <c r="AW120" s="481"/>
      <c r="AX120" s="481"/>
      <c r="AY120" s="900"/>
    </row>
    <row r="121" spans="1:58" ht="38.25" customHeight="1" thickBot="1" x14ac:dyDescent="0.3">
      <c r="A121" s="1087"/>
      <c r="B121" s="901"/>
      <c r="C121" s="902"/>
      <c r="D121" s="902"/>
      <c r="E121" s="902"/>
      <c r="F121" s="902"/>
      <c r="G121" s="902"/>
      <c r="H121" s="902"/>
      <c r="I121" s="902"/>
      <c r="J121" s="902"/>
      <c r="K121" s="903"/>
      <c r="L121" s="901"/>
      <c r="M121" s="902"/>
      <c r="N121" s="902"/>
      <c r="O121" s="902"/>
      <c r="P121" s="902"/>
      <c r="Q121" s="902"/>
      <c r="R121" s="902"/>
      <c r="S121" s="902"/>
      <c r="T121" s="902"/>
      <c r="U121" s="903"/>
      <c r="V121" s="901"/>
      <c r="W121" s="902"/>
      <c r="X121" s="902"/>
      <c r="Y121" s="902"/>
      <c r="Z121" s="902"/>
      <c r="AA121" s="902"/>
      <c r="AB121" s="902"/>
      <c r="AC121" s="902"/>
      <c r="AD121" s="902"/>
      <c r="AE121" s="903"/>
      <c r="AF121" s="2523" t="s">
        <v>153</v>
      </c>
      <c r="AG121" s="2524"/>
      <c r="AH121" s="2524"/>
      <c r="AI121" s="2524"/>
      <c r="AJ121" s="2524"/>
      <c r="AK121" s="2524"/>
      <c r="AL121" s="2524"/>
      <c r="AM121" s="2524"/>
      <c r="AN121" s="2524"/>
      <c r="AO121" s="2525"/>
      <c r="AP121" s="901"/>
      <c r="AQ121" s="902"/>
      <c r="AR121" s="902"/>
      <c r="AS121" s="902"/>
      <c r="AT121" s="902"/>
      <c r="AU121" s="902"/>
      <c r="AV121" s="902"/>
      <c r="AW121" s="902"/>
      <c r="AX121" s="902"/>
      <c r="AY121" s="903"/>
    </row>
    <row r="122" spans="1:58" ht="38.25" customHeight="1" x14ac:dyDescent="0.25">
      <c r="A122" s="1087" t="s">
        <v>188</v>
      </c>
      <c r="B122" s="835" t="s">
        <v>579</v>
      </c>
      <c r="C122" s="2517" t="s">
        <v>567</v>
      </c>
      <c r="D122" s="892"/>
      <c r="E122" s="892"/>
      <c r="F122" s="892"/>
      <c r="G122" s="892"/>
      <c r="H122" s="892"/>
      <c r="I122" s="892"/>
      <c r="J122" s="892"/>
      <c r="K122" s="893"/>
      <c r="L122" s="891"/>
      <c r="M122" s="892"/>
      <c r="N122" s="835" t="s">
        <v>580</v>
      </c>
      <c r="O122" s="2517" t="s">
        <v>567</v>
      </c>
      <c r="P122" s="892"/>
      <c r="Q122" s="892"/>
      <c r="R122" s="892"/>
      <c r="S122" s="892"/>
      <c r="T122" s="892"/>
      <c r="U122" s="892"/>
      <c r="V122" s="891"/>
      <c r="W122" s="892"/>
      <c r="X122" s="892"/>
      <c r="Y122" s="892"/>
      <c r="Z122" s="892"/>
      <c r="AA122" s="892"/>
      <c r="AB122" s="892"/>
      <c r="AC122" s="892"/>
      <c r="AD122" s="892"/>
      <c r="AE122" s="893"/>
      <c r="AF122" s="891"/>
      <c r="AG122" s="892"/>
      <c r="AH122" s="892"/>
      <c r="AI122" s="892"/>
      <c r="AJ122" s="842" t="s">
        <v>581</v>
      </c>
      <c r="AK122" s="2517" t="s">
        <v>567</v>
      </c>
      <c r="AL122" s="892"/>
      <c r="AM122" s="892"/>
      <c r="AN122" s="892"/>
      <c r="AO122" s="893"/>
      <c r="AP122" s="891"/>
      <c r="AQ122" s="892"/>
      <c r="AR122" s="892"/>
      <c r="AS122" s="892"/>
      <c r="AT122" s="892"/>
      <c r="AU122" s="892"/>
      <c r="AV122" s="892"/>
      <c r="AW122" s="892"/>
      <c r="AX122" s="892"/>
      <c r="AY122" s="893"/>
    </row>
    <row r="123" spans="1:58" ht="38.25" customHeight="1" x14ac:dyDescent="0.25">
      <c r="A123" s="1087"/>
      <c r="B123" s="2267" t="s">
        <v>1034</v>
      </c>
      <c r="C123" s="2511"/>
      <c r="D123" s="892"/>
      <c r="E123" s="892"/>
      <c r="F123" s="892"/>
      <c r="G123" s="892"/>
      <c r="H123" s="892"/>
      <c r="I123" s="892"/>
      <c r="J123" s="892"/>
      <c r="K123" s="893"/>
      <c r="L123" s="891"/>
      <c r="M123" s="892"/>
      <c r="N123" s="2267" t="s">
        <v>1034</v>
      </c>
      <c r="O123" s="2511"/>
      <c r="P123" s="892"/>
      <c r="Q123" s="892"/>
      <c r="R123" s="892"/>
      <c r="S123" s="892"/>
      <c r="T123" s="892"/>
      <c r="U123" s="892"/>
      <c r="V123" s="891"/>
      <c r="W123" s="892"/>
      <c r="X123" s="892"/>
      <c r="Y123" s="892"/>
      <c r="Z123" s="892"/>
      <c r="AA123" s="892"/>
      <c r="AB123" s="892"/>
      <c r="AC123" s="892"/>
      <c r="AD123" s="892"/>
      <c r="AE123" s="893"/>
      <c r="AF123" s="891"/>
      <c r="AG123" s="892"/>
      <c r="AH123" s="892"/>
      <c r="AI123" s="892"/>
      <c r="AJ123" s="2267" t="s">
        <v>1034</v>
      </c>
      <c r="AK123" s="2511"/>
      <c r="AL123" s="892"/>
      <c r="AM123" s="892"/>
      <c r="AN123" s="892"/>
      <c r="AO123" s="893"/>
      <c r="AP123" s="891"/>
      <c r="AQ123" s="892"/>
      <c r="AR123" s="892"/>
      <c r="AS123" s="892"/>
      <c r="AT123" s="892"/>
      <c r="AU123" s="892"/>
      <c r="AV123" s="892"/>
      <c r="AW123" s="892"/>
      <c r="AX123" s="892"/>
      <c r="AY123" s="893"/>
    </row>
    <row r="124" spans="1:58" ht="38.25" customHeight="1" x14ac:dyDescent="0.25">
      <c r="A124" s="1087" t="s">
        <v>189</v>
      </c>
      <c r="B124" s="2267"/>
      <c r="C124" s="2511"/>
      <c r="D124" s="892"/>
      <c r="E124" s="892"/>
      <c r="F124" s="892"/>
      <c r="G124" s="892"/>
      <c r="H124" s="892"/>
      <c r="I124" s="892"/>
      <c r="J124" s="892"/>
      <c r="K124" s="893"/>
      <c r="L124" s="891"/>
      <c r="M124" s="892"/>
      <c r="N124" s="2267"/>
      <c r="O124" s="2511"/>
      <c r="P124" s="892"/>
      <c r="Q124" s="892"/>
      <c r="R124" s="892"/>
      <c r="S124" s="892"/>
      <c r="T124" s="892"/>
      <c r="U124" s="892"/>
      <c r="V124" s="891"/>
      <c r="W124" s="892"/>
      <c r="X124" s="892"/>
      <c r="Y124" s="892"/>
      <c r="Z124" s="892"/>
      <c r="AA124" s="892"/>
      <c r="AB124" s="892"/>
      <c r="AC124" s="892"/>
      <c r="AD124" s="892"/>
      <c r="AE124" s="893"/>
      <c r="AF124" s="891"/>
      <c r="AG124" s="892"/>
      <c r="AH124" s="892"/>
      <c r="AI124" s="892"/>
      <c r="AJ124" s="2267"/>
      <c r="AK124" s="2511"/>
      <c r="AL124" s="892"/>
      <c r="AM124" s="892"/>
      <c r="AN124" s="892"/>
      <c r="AO124" s="893"/>
      <c r="AP124" s="891"/>
      <c r="AQ124" s="892"/>
      <c r="AR124" s="892"/>
      <c r="AS124" s="892"/>
      <c r="AT124" s="892"/>
      <c r="AU124" s="892"/>
      <c r="AV124" s="892"/>
      <c r="AW124" s="892"/>
      <c r="AX124" s="892"/>
      <c r="AY124" s="893"/>
    </row>
    <row r="125" spans="1:58" ht="38.25" customHeight="1" thickBot="1" x14ac:dyDescent="0.3">
      <c r="A125" s="1087"/>
      <c r="B125" s="2268"/>
      <c r="C125" s="2511"/>
      <c r="D125" s="899"/>
      <c r="E125" s="892"/>
      <c r="F125" s="892"/>
      <c r="G125" s="892"/>
      <c r="H125" s="892"/>
      <c r="I125" s="892"/>
      <c r="J125" s="892"/>
      <c r="K125" s="893"/>
      <c r="L125" s="891"/>
      <c r="M125" s="892"/>
      <c r="N125" s="2267"/>
      <c r="O125" s="2511"/>
      <c r="P125" s="892"/>
      <c r="Q125" s="892"/>
      <c r="R125" s="892"/>
      <c r="S125" s="892"/>
      <c r="T125" s="892"/>
      <c r="U125" s="892"/>
      <c r="V125" s="887"/>
      <c r="W125" s="625"/>
      <c r="X125" s="892"/>
      <c r="Y125" s="892"/>
      <c r="Z125" s="892"/>
      <c r="AA125" s="892"/>
      <c r="AB125" s="892"/>
      <c r="AC125" s="892"/>
      <c r="AD125" s="892"/>
      <c r="AE125" s="893"/>
      <c r="AF125" s="891"/>
      <c r="AG125" s="625"/>
      <c r="AH125" s="892"/>
      <c r="AI125" s="892"/>
      <c r="AJ125" s="2268"/>
      <c r="AK125" s="2511"/>
      <c r="AL125" s="892"/>
      <c r="AM125" s="892"/>
      <c r="AN125" s="892"/>
      <c r="AO125" s="626"/>
      <c r="AP125" s="891"/>
      <c r="AQ125" s="625"/>
      <c r="AR125" s="892"/>
      <c r="AS125" s="892"/>
      <c r="AT125" s="892"/>
      <c r="AU125" s="892"/>
      <c r="AV125" s="892"/>
      <c r="AW125" s="625"/>
      <c r="AX125" s="892"/>
      <c r="AY125" s="893"/>
    </row>
    <row r="126" spans="1:58" ht="69.75" customHeight="1" x14ac:dyDescent="0.25">
      <c r="C126" s="811"/>
      <c r="E126" s="811"/>
      <c r="F126" s="811"/>
      <c r="G126" s="811"/>
      <c r="H126" s="811"/>
      <c r="I126" s="811"/>
      <c r="J126" s="811"/>
      <c r="K126" s="811"/>
      <c r="L126" s="811"/>
      <c r="M126" s="811"/>
      <c r="N126" s="811"/>
      <c r="O126" s="811"/>
      <c r="P126" s="811"/>
      <c r="Q126" s="811"/>
      <c r="R126" s="811"/>
      <c r="S126" s="811"/>
      <c r="T126" s="811"/>
      <c r="U126" s="811"/>
      <c r="X126" s="811"/>
      <c r="Y126" s="811"/>
      <c r="Z126" s="811"/>
      <c r="AA126" s="811"/>
      <c r="AB126" s="811"/>
      <c r="AC126" s="811"/>
      <c r="AD126" s="811"/>
      <c r="AE126" s="811"/>
      <c r="AF126" s="811"/>
      <c r="AH126" s="811"/>
      <c r="AI126" s="811"/>
      <c r="AK126" s="811"/>
      <c r="AL126" s="811"/>
      <c r="AM126" s="811"/>
      <c r="AN126" s="811"/>
      <c r="AP126" s="811"/>
      <c r="AR126" s="811"/>
      <c r="AS126" s="811"/>
      <c r="AT126" s="811"/>
      <c r="AU126" s="811"/>
      <c r="AV126" s="811"/>
      <c r="AX126" s="811"/>
      <c r="AY126" s="811"/>
    </row>
    <row r="127" spans="1:58" ht="18.75" customHeight="1" x14ac:dyDescent="0.25">
      <c r="A127" s="2544" t="s">
        <v>218</v>
      </c>
      <c r="B127" s="2544"/>
      <c r="C127" s="2544" t="s">
        <v>219</v>
      </c>
      <c r="D127" s="2544"/>
      <c r="E127" s="2544"/>
      <c r="F127" s="2544"/>
      <c r="G127" s="2544"/>
      <c r="H127" s="2544"/>
      <c r="I127" s="2544"/>
      <c r="J127" s="2544"/>
      <c r="K127" s="2544"/>
      <c r="L127" s="2544"/>
      <c r="M127" s="2544"/>
      <c r="N127" s="2544"/>
      <c r="O127" s="2544"/>
      <c r="P127" s="2544"/>
      <c r="Q127" s="2544"/>
      <c r="R127" s="2544"/>
      <c r="S127" s="2544"/>
      <c r="T127" s="2544"/>
      <c r="U127" s="2545" t="s">
        <v>331</v>
      </c>
      <c r="V127" s="2545"/>
      <c r="W127" s="2544" t="s">
        <v>143</v>
      </c>
      <c r="X127" s="2544"/>
      <c r="Y127" s="2544"/>
      <c r="Z127" s="2544"/>
      <c r="AA127" s="2597" t="s">
        <v>167</v>
      </c>
      <c r="AB127" s="2597"/>
      <c r="AC127" s="2597"/>
      <c r="AD127" s="2597"/>
      <c r="AE127" s="2597"/>
      <c r="AF127" s="2597"/>
      <c r="AG127" s="2597"/>
      <c r="AH127" s="2597"/>
      <c r="AI127" s="2597"/>
      <c r="AJ127" s="2597"/>
      <c r="AK127" s="2597"/>
      <c r="AL127" s="2597"/>
      <c r="AM127" s="2597"/>
      <c r="AN127" s="2597"/>
      <c r="AO127" s="2597"/>
      <c r="AP127" s="2597"/>
      <c r="AQ127" s="2597"/>
      <c r="AR127" s="2597"/>
      <c r="AS127" s="2597"/>
      <c r="AT127" s="2597"/>
      <c r="AU127" s="2597"/>
      <c r="AV127" s="2597"/>
      <c r="AW127" s="2597"/>
      <c r="AX127" s="2597"/>
      <c r="AY127" s="2597"/>
    </row>
    <row r="128" spans="1:58" ht="14.25" customHeight="1" x14ac:dyDescent="0.25">
      <c r="A128" s="1245" t="str">
        <f>VLOOKUP(U128,ASIGNATURAS!$F$1:$L$1022, 3, FALSE)</f>
        <v>ALGORITMIA</v>
      </c>
      <c r="B128" s="1245"/>
      <c r="C128" s="983" t="str">
        <f>VLOOKUP(U128,ASIGNATURAS!$F$1:$L$1022, 4, FALSE)</f>
        <v>Algorítmia</v>
      </c>
      <c r="D128" s="983"/>
      <c r="E128" s="983"/>
      <c r="F128" s="983"/>
      <c r="G128" s="983"/>
      <c r="H128" s="983"/>
      <c r="I128" s="983"/>
      <c r="J128" s="983"/>
      <c r="K128" s="983"/>
      <c r="L128" s="983"/>
      <c r="M128" s="983"/>
      <c r="N128" s="983"/>
      <c r="O128" s="983"/>
      <c r="P128" s="983"/>
      <c r="Q128" s="983"/>
      <c r="R128" s="983"/>
      <c r="S128" s="983"/>
      <c r="T128" s="983"/>
      <c r="U128" s="972">
        <v>8824</v>
      </c>
      <c r="V128" s="972"/>
      <c r="W128" s="972">
        <f>VLOOKUP(U128,ASIGNATURAS!$F$1:$L$1022, 5, FALSE)</f>
        <v>6</v>
      </c>
      <c r="X128" s="972"/>
      <c r="Y128" s="972"/>
      <c r="Z128" s="972"/>
      <c r="AA128" s="983" t="str">
        <f>VLOOKUP(U128,ASIGNATURAS!$F$1:$L$1022, 6, FALSE)</f>
        <v>Juan José Rodríguez Diez</v>
      </c>
      <c r="AB128" s="983"/>
      <c r="AC128" s="983"/>
      <c r="AD128" s="983"/>
      <c r="AE128" s="983"/>
      <c r="AF128" s="983"/>
      <c r="AG128" s="983"/>
      <c r="AH128" s="983"/>
      <c r="AI128" s="983"/>
      <c r="AJ128" s="983"/>
      <c r="AK128" s="983"/>
      <c r="AL128" s="983"/>
      <c r="AM128" s="983"/>
      <c r="AN128" s="983"/>
      <c r="AO128" s="983"/>
      <c r="AP128" s="983"/>
      <c r="AQ128" s="983"/>
      <c r="AR128" s="983"/>
      <c r="AS128" s="983"/>
      <c r="AT128" s="983"/>
      <c r="AU128" s="983"/>
      <c r="AV128" s="983"/>
      <c r="AW128" s="983"/>
      <c r="AX128" s="983"/>
      <c r="AY128" s="983"/>
    </row>
    <row r="129" spans="1:65" ht="13.8" x14ac:dyDescent="0.25">
      <c r="A129" s="1245" t="str">
        <f>VLOOKUP(U129,ASIGNATURAS!$F$1:$L$1022, 3, FALSE)</f>
        <v>APL. BASES DAT.</v>
      </c>
      <c r="B129" s="1245"/>
      <c r="C129" s="983" t="str">
        <f>VLOOKUP(U129,ASIGNATURAS!$F$1:$L$1022, 4, FALSE)</f>
        <v>Aplicaciones de Bases de Datos</v>
      </c>
      <c r="D129" s="983"/>
      <c r="E129" s="983"/>
      <c r="F129" s="983"/>
      <c r="G129" s="983"/>
      <c r="H129" s="983"/>
      <c r="I129" s="983"/>
      <c r="J129" s="983"/>
      <c r="K129" s="983"/>
      <c r="L129" s="983"/>
      <c r="M129" s="983"/>
      <c r="N129" s="983"/>
      <c r="O129" s="983"/>
      <c r="P129" s="983"/>
      <c r="Q129" s="983"/>
      <c r="R129" s="983"/>
      <c r="S129" s="983"/>
      <c r="T129" s="983"/>
      <c r="U129" s="972">
        <v>8823</v>
      </c>
      <c r="V129" s="972"/>
      <c r="W129" s="972">
        <f>VLOOKUP(U129,ASIGNATURAS!$F$1:$L$1022, 5, FALSE)</f>
        <v>6</v>
      </c>
      <c r="X129" s="972"/>
      <c r="Y129" s="972"/>
      <c r="Z129" s="972"/>
      <c r="AA129" s="983" t="str">
        <f>VLOOKUP(U129,ASIGNATURAS!$F$1:$L$1022, 6, FALSE)</f>
        <v>Jesús Manuel Maudes Raedo</v>
      </c>
      <c r="AB129" s="983"/>
      <c r="AC129" s="983"/>
      <c r="AD129" s="983"/>
      <c r="AE129" s="983"/>
      <c r="AF129" s="983"/>
      <c r="AG129" s="983"/>
      <c r="AH129" s="983"/>
      <c r="AI129" s="983"/>
      <c r="AJ129" s="983"/>
      <c r="AK129" s="983"/>
      <c r="AL129" s="983"/>
      <c r="AM129" s="983"/>
      <c r="AN129" s="983"/>
      <c r="AO129" s="983"/>
      <c r="AP129" s="983"/>
      <c r="AQ129" s="983"/>
      <c r="AR129" s="983"/>
      <c r="AS129" s="983"/>
      <c r="AT129" s="983"/>
      <c r="AU129" s="983"/>
      <c r="AV129" s="983"/>
      <c r="AW129" s="983"/>
      <c r="AX129" s="983"/>
      <c r="AY129" s="983"/>
    </row>
    <row r="130" spans="1:65" ht="14.25" customHeight="1" x14ac:dyDescent="0.25">
      <c r="A130" s="1245" t="str">
        <f>VLOOKUP(U130,ASIGNATURAS!$F$1:$L$1022, 3, FALSE)</f>
        <v>MÉTODOS NUM.</v>
      </c>
      <c r="B130" s="1245"/>
      <c r="C130" s="983" t="str">
        <f>VLOOKUP(U130,ASIGNATURAS!$F$1:$L$1022, 4, FALSE)</f>
        <v>Métodos Numéricos y Optimización</v>
      </c>
      <c r="D130" s="983"/>
      <c r="E130" s="983"/>
      <c r="F130" s="983"/>
      <c r="G130" s="983"/>
      <c r="H130" s="983"/>
      <c r="I130" s="983"/>
      <c r="J130" s="983"/>
      <c r="K130" s="983"/>
      <c r="L130" s="983"/>
      <c r="M130" s="983"/>
      <c r="N130" s="983"/>
      <c r="O130" s="983"/>
      <c r="P130" s="983"/>
      <c r="Q130" s="983"/>
      <c r="R130" s="983"/>
      <c r="S130" s="983"/>
      <c r="T130" s="983"/>
      <c r="U130" s="972">
        <v>8825</v>
      </c>
      <c r="V130" s="972"/>
      <c r="W130" s="972">
        <f>VLOOKUP(U130,ASIGNATURAS!$F$1:$L$1022, 5, FALSE)</f>
        <v>6</v>
      </c>
      <c r="X130" s="972"/>
      <c r="Y130" s="972"/>
      <c r="Z130" s="972"/>
      <c r="AA130" s="983" t="str">
        <f>VLOOKUP(U130,ASIGNATURAS!$F$1:$L$1022, 6, FALSE)</f>
        <v>Mª José Zapatero</v>
      </c>
      <c r="AB130" s="983"/>
      <c r="AC130" s="983"/>
      <c r="AD130" s="983"/>
      <c r="AE130" s="983"/>
      <c r="AF130" s="983"/>
      <c r="AG130" s="983"/>
      <c r="AH130" s="983"/>
      <c r="AI130" s="983"/>
      <c r="AJ130" s="983"/>
      <c r="AK130" s="983"/>
      <c r="AL130" s="983"/>
      <c r="AM130" s="983"/>
      <c r="AN130" s="983"/>
      <c r="AO130" s="983"/>
      <c r="AP130" s="983"/>
      <c r="AQ130" s="983"/>
      <c r="AR130" s="983"/>
      <c r="AS130" s="983"/>
      <c r="AT130" s="983"/>
      <c r="AU130" s="983"/>
      <c r="AV130" s="983"/>
      <c r="AW130" s="983"/>
      <c r="AX130" s="983"/>
      <c r="AY130" s="983"/>
    </row>
    <row r="131" spans="1:65" ht="13.8" x14ac:dyDescent="0.25">
      <c r="A131" s="1245" t="str">
        <f>VLOOKUP(U131,ASIGNATURAS!$F$1:$L$1022, 3, FALSE)</f>
        <v>PROG. CONCUR.</v>
      </c>
      <c r="B131" s="1245"/>
      <c r="C131" s="983" t="str">
        <f>VLOOKUP(U131,ASIGNATURAS!$F$1:$L$1022, 4, FALSE)</f>
        <v>Programación Concurrente y de Tiempo Real</v>
      </c>
      <c r="D131" s="983"/>
      <c r="E131" s="983"/>
      <c r="F131" s="983"/>
      <c r="G131" s="983"/>
      <c r="H131" s="983"/>
      <c r="I131" s="983"/>
      <c r="J131" s="983"/>
      <c r="K131" s="983"/>
      <c r="L131" s="983"/>
      <c r="M131" s="983"/>
      <c r="N131" s="983"/>
      <c r="O131" s="983"/>
      <c r="P131" s="983"/>
      <c r="Q131" s="983"/>
      <c r="R131" s="983"/>
      <c r="S131" s="983"/>
      <c r="T131" s="983"/>
      <c r="U131" s="972">
        <v>8821</v>
      </c>
      <c r="V131" s="972"/>
      <c r="W131" s="972">
        <f>VLOOKUP(U131,ASIGNATURAS!$F$1:$L$1022, 5, FALSE)</f>
        <v>6</v>
      </c>
      <c r="X131" s="972"/>
      <c r="Y131" s="972"/>
      <c r="Z131" s="972"/>
      <c r="AA131" s="983" t="str">
        <f>VLOOKUP(U131,ASIGNATURAS!$F$1:$L$1022, 6, FALSE)</f>
        <v>Carlos López Nozal, Rubén Ruiz</v>
      </c>
      <c r="AB131" s="983"/>
      <c r="AC131" s="983"/>
      <c r="AD131" s="983"/>
      <c r="AE131" s="983"/>
      <c r="AF131" s="983"/>
      <c r="AG131" s="983"/>
      <c r="AH131" s="983"/>
      <c r="AI131" s="983"/>
      <c r="AJ131" s="983"/>
      <c r="AK131" s="983"/>
      <c r="AL131" s="983"/>
      <c r="AM131" s="983"/>
      <c r="AN131" s="983"/>
      <c r="AO131" s="983"/>
      <c r="AP131" s="983"/>
      <c r="AQ131" s="983"/>
      <c r="AR131" s="983"/>
      <c r="AS131" s="983"/>
      <c r="AT131" s="983"/>
      <c r="AU131" s="983"/>
      <c r="AV131" s="983"/>
      <c r="AW131" s="983"/>
      <c r="AX131" s="983"/>
      <c r="AY131" s="983"/>
    </row>
    <row r="132" spans="1:65" ht="15" customHeight="1" x14ac:dyDescent="0.25">
      <c r="A132" s="1245" t="str">
        <f>VLOOKUP(U132,ASIGNATURAS!$F$1:$L$1022, 3, FALSE)</f>
        <v>SEGURIDAD</v>
      </c>
      <c r="B132" s="1245"/>
      <c r="C132" s="983" t="str">
        <f>VLOOKUP(U132,ASIGNATURAS!$F$1:$L$1022, 4, FALSE)</f>
        <v>Seguridad Informática</v>
      </c>
      <c r="D132" s="983"/>
      <c r="E132" s="983"/>
      <c r="F132" s="983"/>
      <c r="G132" s="983"/>
      <c r="H132" s="983"/>
      <c r="I132" s="983"/>
      <c r="J132" s="983"/>
      <c r="K132" s="983"/>
      <c r="L132" s="983"/>
      <c r="M132" s="983"/>
      <c r="N132" s="983"/>
      <c r="O132" s="983"/>
      <c r="P132" s="983"/>
      <c r="Q132" s="983"/>
      <c r="R132" s="983"/>
      <c r="S132" s="983"/>
      <c r="T132" s="983"/>
      <c r="U132" s="972">
        <v>8822</v>
      </c>
      <c r="V132" s="972"/>
      <c r="W132" s="972">
        <f>VLOOKUP(U132,ASIGNATURAS!$F$1:$L$1022, 5, FALSE)</f>
        <v>6</v>
      </c>
      <c r="X132" s="972"/>
      <c r="Y132" s="972"/>
      <c r="Z132" s="972"/>
      <c r="AA132" s="983" t="str">
        <f>VLOOKUP(U132,ASIGNATURAS!$F$1:$L$1022, 6, FALSE)</f>
        <v>Jose Manuel Saiz Díez</v>
      </c>
      <c r="AB132" s="983"/>
      <c r="AC132" s="983"/>
      <c r="AD132" s="983"/>
      <c r="AE132" s="983"/>
      <c r="AF132" s="983"/>
      <c r="AG132" s="983"/>
      <c r="AH132" s="983"/>
      <c r="AI132" s="983"/>
      <c r="AJ132" s="983"/>
      <c r="AK132" s="983"/>
      <c r="AL132" s="983"/>
      <c r="AM132" s="983"/>
      <c r="AN132" s="983"/>
      <c r="AO132" s="983"/>
      <c r="AP132" s="983"/>
      <c r="AQ132" s="983"/>
      <c r="AR132" s="983"/>
      <c r="AS132" s="983"/>
      <c r="AT132" s="983"/>
      <c r="AU132" s="983"/>
      <c r="AV132" s="983"/>
      <c r="AW132" s="983"/>
      <c r="AX132" s="983"/>
      <c r="AY132" s="983"/>
    </row>
    <row r="135" spans="1:65" ht="24" customHeight="1" x14ac:dyDescent="0.25">
      <c r="A135" s="1101" t="s">
        <v>169</v>
      </c>
      <c r="B135" s="1101"/>
      <c r="C135" s="1101"/>
      <c r="D135" s="1101"/>
      <c r="E135" s="1101"/>
      <c r="F135" s="1101"/>
      <c r="G135" s="1101"/>
      <c r="H135" s="275"/>
      <c r="I135" s="275"/>
      <c r="J135" s="10"/>
    </row>
    <row r="136" spans="1:65" ht="24" customHeight="1" x14ac:dyDescent="0.25">
      <c r="A136" s="1102" t="s">
        <v>1049</v>
      </c>
      <c r="B136" s="1102"/>
      <c r="C136" s="1102"/>
      <c r="D136" s="1102"/>
      <c r="E136" s="1102"/>
      <c r="F136" s="1102"/>
      <c r="G136" s="1102"/>
      <c r="H136" s="275"/>
      <c r="I136" s="275"/>
      <c r="J136" s="10"/>
    </row>
    <row r="137" spans="1:65" x14ac:dyDescent="0.25">
      <c r="H137" s="10"/>
      <c r="I137" s="10"/>
      <c r="J137" s="10"/>
    </row>
    <row r="138" spans="1:65" x14ac:dyDescent="0.25">
      <c r="A138" s="20" t="s">
        <v>217</v>
      </c>
    </row>
    <row r="139" spans="1:65" ht="13.8" thickBot="1" x14ac:dyDescent="0.3"/>
    <row r="140" spans="1:65" s="1" customFormat="1" ht="31.5" customHeight="1" thickBot="1" x14ac:dyDescent="0.45">
      <c r="A140" s="1094" t="str">
        <f>VLOOKUP(A143,ASIGNATURAS!$A$2:$D$151, 3, FALSE)</f>
        <v>4º Grado en Ingeniería Informática</v>
      </c>
      <c r="B140" s="1095"/>
      <c r="C140" s="1095"/>
      <c r="D140" s="1095"/>
      <c r="E140" s="1095"/>
      <c r="F140" s="1095"/>
      <c r="G140" s="1095"/>
      <c r="H140" s="1095"/>
      <c r="I140" s="1095"/>
      <c r="J140" s="1095"/>
      <c r="K140" s="1095"/>
      <c r="L140" s="1095"/>
      <c r="M140" s="1095"/>
      <c r="N140" s="1095"/>
      <c r="O140" s="1095"/>
      <c r="P140" s="1095"/>
      <c r="Q140" s="1095"/>
      <c r="R140" s="1095"/>
      <c r="S140" s="1095"/>
      <c r="T140" s="1095"/>
      <c r="U140" s="1095"/>
      <c r="V140" s="1095"/>
      <c r="W140" s="1095"/>
      <c r="X140" s="1095"/>
      <c r="Y140" s="1095"/>
      <c r="Z140" s="1095"/>
      <c r="AA140" s="1095"/>
      <c r="AB140" s="1095"/>
      <c r="AC140" s="1095"/>
      <c r="AD140" s="1095"/>
      <c r="AE140" s="1095"/>
      <c r="AF140" s="1095"/>
      <c r="AG140" s="1095"/>
      <c r="AH140" s="1095"/>
      <c r="AI140" s="1095"/>
      <c r="AJ140" s="1095"/>
      <c r="AK140" s="1095"/>
      <c r="AL140" s="1095"/>
      <c r="AM140" s="1095"/>
      <c r="AN140" s="1095"/>
      <c r="AO140" s="1096"/>
      <c r="AP140" s="1076" t="str">
        <f>AP1</f>
        <v>Curso 2024-2025</v>
      </c>
      <c r="AQ140" s="1077"/>
      <c r="AR140" s="1077"/>
      <c r="AS140" s="1077"/>
      <c r="AT140" s="1077"/>
      <c r="AU140" s="1077"/>
      <c r="AV140" s="1077"/>
      <c r="AW140" s="1077"/>
      <c r="AX140" s="1077"/>
      <c r="AY140" s="1078"/>
    </row>
    <row r="141" spans="1:65" s="8" customFormat="1" ht="23.25" customHeight="1" thickBot="1" x14ac:dyDescent="0.45">
      <c r="A141" s="1083" t="str">
        <f>VLOOKUP(A143,ASIGNATURAS!$A$2:$D$151, 2, FALSE)</f>
        <v>Semestre temporal: 1º        (7º Semestre Académico)</v>
      </c>
      <c r="B141" s="1084"/>
      <c r="C141" s="1084"/>
      <c r="D141" s="1084"/>
      <c r="E141" s="1084"/>
      <c r="F141" s="1084"/>
      <c r="G141" s="1084"/>
      <c r="H141" s="1084"/>
      <c r="I141" s="1084"/>
      <c r="J141" s="1084"/>
      <c r="K141" s="1084"/>
      <c r="L141" s="1084"/>
      <c r="M141" s="1084"/>
      <c r="N141" s="1084"/>
      <c r="O141" s="1084"/>
      <c r="P141" s="1084"/>
      <c r="Q141" s="1084"/>
      <c r="R141" s="1084"/>
      <c r="S141" s="1084"/>
      <c r="T141" s="1084"/>
      <c r="U141" s="1084"/>
      <c r="V141" s="1084"/>
      <c r="W141" s="1084"/>
      <c r="X141" s="1084"/>
      <c r="Y141" s="1084"/>
      <c r="Z141" s="1084"/>
      <c r="AA141" s="1084"/>
      <c r="AB141" s="1084"/>
      <c r="AC141" s="1084"/>
      <c r="AD141" s="1084"/>
      <c r="AE141" s="1084"/>
      <c r="AF141" s="1084"/>
      <c r="AG141" s="1084"/>
      <c r="AH141" s="1084"/>
      <c r="AI141" s="1084"/>
      <c r="AJ141" s="1084"/>
      <c r="AK141" s="1084"/>
      <c r="AL141" s="1084"/>
      <c r="AM141" s="1084"/>
      <c r="AN141" s="1084"/>
      <c r="AO141" s="1085"/>
      <c r="AP141" s="1072" t="s">
        <v>1243</v>
      </c>
      <c r="AQ141" s="1072"/>
      <c r="AR141" s="1072"/>
      <c r="AS141" s="1072"/>
      <c r="AT141" s="1072"/>
      <c r="AU141" s="1072"/>
      <c r="AV141" s="1072"/>
      <c r="AW141" s="1072"/>
      <c r="AX141" s="1072"/>
      <c r="AY141" s="1073"/>
    </row>
    <row r="142" spans="1:65" s="8" customFormat="1" ht="23.25" customHeight="1" thickBot="1" x14ac:dyDescent="0.45">
      <c r="A142" s="1083" t="s">
        <v>181</v>
      </c>
      <c r="B142" s="1084"/>
      <c r="C142" s="1084"/>
      <c r="D142" s="1084"/>
      <c r="E142" s="1084"/>
      <c r="F142" s="1084"/>
      <c r="G142" s="1084"/>
      <c r="H142" s="1084"/>
      <c r="I142" s="1084"/>
      <c r="J142" s="1084"/>
      <c r="K142" s="1084"/>
      <c r="L142" s="1084"/>
      <c r="M142" s="1084"/>
      <c r="N142" s="1084"/>
      <c r="O142" s="1084"/>
      <c r="P142" s="1084"/>
      <c r="Q142" s="1084"/>
      <c r="R142" s="1084"/>
      <c r="S142" s="1084"/>
      <c r="T142" s="1084"/>
      <c r="U142" s="1084"/>
      <c r="V142" s="1084"/>
      <c r="W142" s="1084"/>
      <c r="X142" s="1084"/>
      <c r="Y142" s="1084"/>
      <c r="Z142" s="1084"/>
      <c r="AA142" s="1084"/>
      <c r="AB142" s="1084"/>
      <c r="AC142" s="1084"/>
      <c r="AD142" s="1084"/>
      <c r="AE142" s="1084"/>
      <c r="AF142" s="1084"/>
      <c r="AG142" s="1084"/>
      <c r="AH142" s="1084"/>
      <c r="AI142" s="1084"/>
      <c r="AJ142" s="1084"/>
      <c r="AK142" s="1084"/>
      <c r="AL142" s="1084"/>
      <c r="AM142" s="1084"/>
      <c r="AN142" s="1084"/>
      <c r="AO142" s="1085"/>
      <c r="AP142" s="1074"/>
      <c r="AQ142" s="1074"/>
      <c r="AR142" s="1074"/>
      <c r="AS142" s="1074"/>
      <c r="AT142" s="1074"/>
      <c r="AU142" s="1074"/>
      <c r="AV142" s="1074"/>
      <c r="AW142" s="1074"/>
      <c r="AX142" s="1074"/>
      <c r="AY142" s="1075"/>
    </row>
    <row r="143" spans="1:65" ht="38.25" customHeight="1" thickBot="1" x14ac:dyDescent="0.3">
      <c r="A143" s="9" t="s">
        <v>73</v>
      </c>
      <c r="BB143" s="10"/>
      <c r="BC143" s="10"/>
      <c r="BD143" s="10"/>
      <c r="BE143" s="10"/>
      <c r="BF143" s="10"/>
      <c r="BG143" s="10"/>
      <c r="BH143" s="10"/>
      <c r="BI143" s="10"/>
      <c r="BJ143" s="10"/>
      <c r="BK143" s="10"/>
      <c r="BL143" s="10"/>
      <c r="BM143" s="10"/>
    </row>
    <row r="144" spans="1:65" s="2" customFormat="1" ht="17.25" customHeight="1" thickBot="1" x14ac:dyDescent="0.3">
      <c r="A144" s="19" t="s">
        <v>1</v>
      </c>
      <c r="B144" s="1076" t="s">
        <v>2</v>
      </c>
      <c r="C144" s="1077"/>
      <c r="D144" s="1077"/>
      <c r="E144" s="1077"/>
      <c r="F144" s="1077"/>
      <c r="G144" s="1077"/>
      <c r="H144" s="1077"/>
      <c r="I144" s="1077"/>
      <c r="J144" s="1077"/>
      <c r="K144" s="1078"/>
      <c r="L144" s="1076" t="s">
        <v>3</v>
      </c>
      <c r="M144" s="1077"/>
      <c r="N144" s="1077"/>
      <c r="O144" s="1077"/>
      <c r="P144" s="1077"/>
      <c r="Q144" s="1077"/>
      <c r="R144" s="1077"/>
      <c r="S144" s="1077"/>
      <c r="T144" s="1077"/>
      <c r="U144" s="1078"/>
      <c r="V144" s="1091" t="s">
        <v>139</v>
      </c>
      <c r="W144" s="1092"/>
      <c r="X144" s="1092"/>
      <c r="Y144" s="1092"/>
      <c r="Z144" s="1092"/>
      <c r="AA144" s="1092"/>
      <c r="AB144" s="1092"/>
      <c r="AC144" s="1092"/>
      <c r="AD144" s="1092"/>
      <c r="AE144" s="1093"/>
      <c r="AF144" s="1076" t="s">
        <v>4</v>
      </c>
      <c r="AG144" s="1077"/>
      <c r="AH144" s="1077"/>
      <c r="AI144" s="1077"/>
      <c r="AJ144" s="1077"/>
      <c r="AK144" s="1077"/>
      <c r="AL144" s="1077"/>
      <c r="AM144" s="1077"/>
      <c r="AN144" s="1077"/>
      <c r="AO144" s="1078"/>
      <c r="AP144" s="1076" t="s">
        <v>5</v>
      </c>
      <c r="AQ144" s="1077"/>
      <c r="AR144" s="1077"/>
      <c r="AS144" s="1077"/>
      <c r="AT144" s="1077"/>
      <c r="AU144" s="1077"/>
      <c r="AV144" s="1077"/>
      <c r="AW144" s="1077"/>
      <c r="AX144" s="1077"/>
      <c r="AY144" s="1078"/>
      <c r="BB144" s="282"/>
      <c r="BC144" s="282"/>
      <c r="BD144" s="1589"/>
      <c r="BE144" s="1589"/>
      <c r="BF144" s="1589"/>
      <c r="BG144" s="1589"/>
      <c r="BH144" s="1589"/>
      <c r="BI144" s="282"/>
      <c r="BJ144" s="282"/>
      <c r="BK144" s="282"/>
      <c r="BL144" s="282"/>
      <c r="BM144" s="282"/>
    </row>
    <row r="145" spans="1:65" ht="30" customHeight="1" x14ac:dyDescent="0.3">
      <c r="A145" s="966" t="s">
        <v>6</v>
      </c>
      <c r="B145" s="2526"/>
      <c r="C145" s="2527"/>
      <c r="D145" s="2527"/>
      <c r="E145" s="2527"/>
      <c r="F145" s="2527"/>
      <c r="G145" s="2527"/>
      <c r="H145" s="2527"/>
      <c r="I145" s="2527"/>
      <c r="J145" s="2527"/>
      <c r="K145" s="2528"/>
      <c r="L145" s="404"/>
      <c r="M145" s="405"/>
      <c r="N145" s="405"/>
      <c r="O145" s="405"/>
      <c r="P145" s="405"/>
      <c r="Q145" s="405"/>
      <c r="R145" s="405"/>
      <c r="S145" s="405"/>
      <c r="T145" s="405"/>
      <c r="U145" s="406"/>
      <c r="V145" s="2684" t="s">
        <v>439</v>
      </c>
      <c r="W145" s="2685"/>
      <c r="X145" s="2685"/>
      <c r="Y145" s="2685"/>
      <c r="Z145" s="2685"/>
      <c r="AA145" s="2685"/>
      <c r="AB145" s="2685"/>
      <c r="AC145" s="2685"/>
      <c r="AD145" s="2685" t="s">
        <v>579</v>
      </c>
      <c r="AE145" s="2686"/>
      <c r="AF145" s="2677" t="s">
        <v>118</v>
      </c>
      <c r="AG145" s="1819"/>
      <c r="AH145" s="1819"/>
      <c r="AI145" s="1819"/>
      <c r="AJ145" s="1819"/>
      <c r="AK145" s="1819"/>
      <c r="AL145" s="1819"/>
      <c r="AM145" s="1819"/>
      <c r="AN145" s="1819" t="s">
        <v>579</v>
      </c>
      <c r="AO145" s="1820"/>
      <c r="AP145" s="2670" t="s">
        <v>117</v>
      </c>
      <c r="AQ145" s="2671"/>
      <c r="AR145" s="2671"/>
      <c r="AS145" s="2671"/>
      <c r="AT145" s="2671"/>
      <c r="AU145" s="2671"/>
      <c r="AV145" s="2671"/>
      <c r="AW145" s="2671"/>
      <c r="AX145" s="2671"/>
      <c r="AY145" s="2672"/>
      <c r="BB145" s="10"/>
      <c r="BC145" s="10"/>
      <c r="BD145" s="1589"/>
      <c r="BE145" s="1589"/>
      <c r="BF145" s="1589"/>
      <c r="BG145" s="1589"/>
      <c r="BH145" s="1589"/>
      <c r="BI145" s="10"/>
      <c r="BJ145" s="10"/>
      <c r="BK145" s="10"/>
      <c r="BL145" s="10"/>
      <c r="BM145" s="10"/>
    </row>
    <row r="146" spans="1:65" ht="30" customHeight="1" x14ac:dyDescent="0.25">
      <c r="A146" s="935"/>
      <c r="B146" s="2653"/>
      <c r="C146" s="2643"/>
      <c r="D146" s="2643"/>
      <c r="E146" s="2643"/>
      <c r="F146" s="2643"/>
      <c r="G146" s="2643"/>
      <c r="H146" s="2643"/>
      <c r="I146" s="2643"/>
      <c r="J146" s="2643"/>
      <c r="K146" s="2644"/>
      <c r="L146" s="407"/>
      <c r="M146" s="408"/>
      <c r="N146" s="408"/>
      <c r="O146" s="408"/>
      <c r="P146" s="408"/>
      <c r="Q146" s="408"/>
      <c r="R146" s="408"/>
      <c r="S146" s="408"/>
      <c r="T146" s="408"/>
      <c r="U146" s="409"/>
      <c r="V146" s="2549" t="s">
        <v>1286</v>
      </c>
      <c r="W146" s="2550"/>
      <c r="X146" s="2550"/>
      <c r="Y146" s="2550"/>
      <c r="Z146" s="2550"/>
      <c r="AA146" s="2550"/>
      <c r="AB146" s="2550"/>
      <c r="AC146" s="2550"/>
      <c r="AD146" s="2550"/>
      <c r="AE146" s="2551"/>
      <c r="AF146" s="2687" t="s">
        <v>682</v>
      </c>
      <c r="AG146" s="2688"/>
      <c r="AH146" s="2688"/>
      <c r="AI146" s="2688"/>
      <c r="AJ146" s="2688"/>
      <c r="AK146" s="2688"/>
      <c r="AL146" s="2688"/>
      <c r="AM146" s="2688"/>
      <c r="AN146" s="2688"/>
      <c r="AO146" s="2689"/>
      <c r="AP146" s="1806" t="s">
        <v>156</v>
      </c>
      <c r="AQ146" s="1807"/>
      <c r="AR146" s="1807"/>
      <c r="AS146" s="1807"/>
      <c r="AT146" s="1807"/>
      <c r="AU146" s="1807"/>
      <c r="AV146" s="1807"/>
      <c r="AW146" s="1807"/>
      <c r="AX146" s="1807"/>
      <c r="AY146" s="1808"/>
      <c r="BB146" s="10"/>
      <c r="BC146" s="10"/>
      <c r="BD146" s="1589"/>
      <c r="BE146" s="1589"/>
      <c r="BF146" s="1589"/>
      <c r="BG146" s="1589"/>
      <c r="BH146" s="1589"/>
      <c r="BI146" s="10"/>
      <c r="BJ146" s="10"/>
      <c r="BK146" s="10"/>
      <c r="BL146" s="10"/>
      <c r="BM146" s="10"/>
    </row>
    <row r="147" spans="1:65" ht="30" customHeight="1" x14ac:dyDescent="0.3">
      <c r="A147" s="934" t="s">
        <v>7</v>
      </c>
      <c r="B147" s="2581"/>
      <c r="C147" s="2582"/>
      <c r="D147" s="2582"/>
      <c r="E147" s="2582"/>
      <c r="F147" s="2582"/>
      <c r="G147" s="2582"/>
      <c r="H147" s="2582"/>
      <c r="I147" s="2582"/>
      <c r="J147" s="1817"/>
      <c r="K147" s="1818"/>
      <c r="L147" s="221"/>
      <c r="M147" s="222"/>
      <c r="N147" s="222"/>
      <c r="O147" s="222"/>
      <c r="P147" s="222"/>
      <c r="Q147" s="222"/>
      <c r="R147" s="222"/>
      <c r="S147" s="222"/>
      <c r="T147" s="222"/>
      <c r="U147" s="223"/>
      <c r="V147" s="2676" t="s">
        <v>439</v>
      </c>
      <c r="W147" s="1839"/>
      <c r="X147" s="1839"/>
      <c r="Y147" s="1839"/>
      <c r="Z147" s="1839"/>
      <c r="AA147" s="1839"/>
      <c r="AB147" s="1839"/>
      <c r="AC147" s="1839"/>
      <c r="AD147" s="1839" t="s">
        <v>579</v>
      </c>
      <c r="AE147" s="1840"/>
      <c r="AF147" s="2677" t="s">
        <v>118</v>
      </c>
      <c r="AG147" s="1819"/>
      <c r="AH147" s="1819"/>
      <c r="AI147" s="1819"/>
      <c r="AJ147" s="1819"/>
      <c r="AK147" s="1819"/>
      <c r="AL147" s="1819"/>
      <c r="AM147" s="1819"/>
      <c r="AN147" s="1819" t="s">
        <v>579</v>
      </c>
      <c r="AO147" s="1820"/>
      <c r="AP147" s="2586" t="s">
        <v>117</v>
      </c>
      <c r="AQ147" s="2584"/>
      <c r="AR147" s="2584"/>
      <c r="AS147" s="2584"/>
      <c r="AT147" s="2584"/>
      <c r="AU147" s="2584"/>
      <c r="AV147" s="2584"/>
      <c r="AW147" s="2584"/>
      <c r="AX147" s="2584"/>
      <c r="AY147" s="2585"/>
      <c r="BB147" s="10"/>
      <c r="BC147" s="10"/>
      <c r="BD147" s="1589"/>
      <c r="BE147" s="1589"/>
      <c r="BF147" s="1589"/>
      <c r="BG147" s="1589"/>
      <c r="BH147" s="1589"/>
      <c r="BI147" s="10"/>
      <c r="BJ147" s="10"/>
      <c r="BK147" s="10"/>
      <c r="BL147" s="10"/>
      <c r="BM147" s="10"/>
    </row>
    <row r="148" spans="1:65" ht="30" customHeight="1" x14ac:dyDescent="0.25">
      <c r="A148" s="935"/>
      <c r="B148" s="2653"/>
      <c r="C148" s="2643"/>
      <c r="D148" s="2643"/>
      <c r="E148" s="2643"/>
      <c r="F148" s="2643"/>
      <c r="G148" s="2643"/>
      <c r="H148" s="2643"/>
      <c r="I148" s="2643"/>
      <c r="J148" s="2643"/>
      <c r="K148" s="2644"/>
      <c r="L148" s="407"/>
      <c r="M148" s="408"/>
      <c r="N148" s="408"/>
      <c r="O148" s="408"/>
      <c r="P148" s="408"/>
      <c r="Q148" s="408"/>
      <c r="R148" s="408"/>
      <c r="S148" s="408"/>
      <c r="T148" s="408"/>
      <c r="U148" s="409"/>
      <c r="V148" s="2549" t="s">
        <v>1286</v>
      </c>
      <c r="W148" s="2550"/>
      <c r="X148" s="2550"/>
      <c r="Y148" s="2550"/>
      <c r="Z148" s="2550"/>
      <c r="AA148" s="2550"/>
      <c r="AB148" s="2550"/>
      <c r="AC148" s="2550"/>
      <c r="AD148" s="2550"/>
      <c r="AE148" s="2551"/>
      <c r="AF148" s="2621" t="s">
        <v>682</v>
      </c>
      <c r="AG148" s="2622"/>
      <c r="AH148" s="2622"/>
      <c r="AI148" s="2622"/>
      <c r="AJ148" s="2622"/>
      <c r="AK148" s="2622"/>
      <c r="AL148" s="2622"/>
      <c r="AM148" s="2622"/>
      <c r="AN148" s="2622"/>
      <c r="AO148" s="2623"/>
      <c r="AP148" s="1806" t="s">
        <v>156</v>
      </c>
      <c r="AQ148" s="1807"/>
      <c r="AR148" s="1807"/>
      <c r="AS148" s="1807"/>
      <c r="AT148" s="1807"/>
      <c r="AU148" s="1807"/>
      <c r="AV148" s="1807"/>
      <c r="AW148" s="1807"/>
      <c r="AX148" s="1807"/>
      <c r="AY148" s="1808"/>
      <c r="BB148" s="10"/>
      <c r="BC148" s="10"/>
      <c r="BD148" s="1589"/>
      <c r="BE148" s="1589"/>
      <c r="BF148" s="1589"/>
      <c r="BG148" s="1589"/>
      <c r="BH148" s="1589"/>
      <c r="BI148" s="1589"/>
      <c r="BJ148" s="1589"/>
      <c r="BK148" s="1589"/>
      <c r="BL148" s="1589"/>
      <c r="BM148" s="1589"/>
    </row>
    <row r="149" spans="1:65" ht="30" customHeight="1" x14ac:dyDescent="0.3">
      <c r="A149" s="934" t="s">
        <v>8</v>
      </c>
      <c r="B149" s="2670" t="s">
        <v>440</v>
      </c>
      <c r="C149" s="2671"/>
      <c r="D149" s="2671"/>
      <c r="E149" s="2671"/>
      <c r="F149" s="2671"/>
      <c r="G149" s="2671"/>
      <c r="H149" s="2671"/>
      <c r="I149" s="2671"/>
      <c r="J149" s="2671"/>
      <c r="K149" s="2672"/>
      <c r="L149" s="2586" t="s">
        <v>439</v>
      </c>
      <c r="M149" s="2584"/>
      <c r="N149" s="2584"/>
      <c r="O149" s="2584"/>
      <c r="P149" s="2584"/>
      <c r="Q149" s="2584"/>
      <c r="R149" s="2584"/>
      <c r="S149" s="2584"/>
      <c r="T149" s="2584"/>
      <c r="U149" s="2585"/>
      <c r="V149" s="2670" t="s">
        <v>118</v>
      </c>
      <c r="W149" s="2671"/>
      <c r="X149" s="2671"/>
      <c r="Y149" s="2671"/>
      <c r="Z149" s="2671"/>
      <c r="AA149" s="2671"/>
      <c r="AB149" s="2671"/>
      <c r="AC149" s="2671"/>
      <c r="AD149" s="2671"/>
      <c r="AE149" s="2672"/>
      <c r="AF149" s="2673"/>
      <c r="AG149" s="2674"/>
      <c r="AH149" s="2674"/>
      <c r="AI149" s="2674"/>
      <c r="AJ149" s="2674"/>
      <c r="AK149" s="2674"/>
      <c r="AL149" s="2674"/>
      <c r="AM149" s="2674"/>
      <c r="AN149" s="2674"/>
      <c r="AO149" s="2675"/>
      <c r="AP149" s="2618" t="s">
        <v>440</v>
      </c>
      <c r="AQ149" s="2619"/>
      <c r="AR149" s="2619"/>
      <c r="AS149" s="2619"/>
      <c r="AT149" s="2619"/>
      <c r="AU149" s="2619"/>
      <c r="AV149" s="2619"/>
      <c r="AW149" s="2619"/>
      <c r="AX149" s="1819" t="s">
        <v>579</v>
      </c>
      <c r="AY149" s="1820"/>
      <c r="BB149" s="10"/>
      <c r="BC149" s="10"/>
      <c r="BD149" s="1589"/>
      <c r="BE149" s="1589"/>
      <c r="BF149" s="1589"/>
      <c r="BG149" s="1589"/>
      <c r="BH149" s="1589"/>
      <c r="BI149" s="1589"/>
      <c r="BJ149" s="1589"/>
      <c r="BK149" s="1589"/>
      <c r="BL149" s="1589"/>
      <c r="BM149" s="1589"/>
    </row>
    <row r="150" spans="1:65" ht="30" customHeight="1" x14ac:dyDescent="0.25">
      <c r="A150" s="935"/>
      <c r="B150" s="2681" t="s">
        <v>1286</v>
      </c>
      <c r="C150" s="2682"/>
      <c r="D150" s="2682"/>
      <c r="E150" s="2682"/>
      <c r="F150" s="2682"/>
      <c r="G150" s="2682"/>
      <c r="H150" s="2682"/>
      <c r="I150" s="2682"/>
      <c r="J150" s="2682"/>
      <c r="K150" s="2683"/>
      <c r="L150" s="1806" t="s">
        <v>156</v>
      </c>
      <c r="M150" s="1807"/>
      <c r="N150" s="1807"/>
      <c r="O150" s="1807"/>
      <c r="P150" s="1807"/>
      <c r="Q150" s="1807"/>
      <c r="R150" s="1807"/>
      <c r="S150" s="1807"/>
      <c r="T150" s="1807"/>
      <c r="U150" s="1808"/>
      <c r="V150" s="1806" t="s">
        <v>682</v>
      </c>
      <c r="W150" s="1807"/>
      <c r="X150" s="1807"/>
      <c r="Y150" s="1807"/>
      <c r="Z150" s="1807"/>
      <c r="AA150" s="1807"/>
      <c r="AB150" s="1807"/>
      <c r="AC150" s="1807"/>
      <c r="AD150" s="1807"/>
      <c r="AE150" s="1808"/>
      <c r="AF150" s="1666"/>
      <c r="AG150" s="1667"/>
      <c r="AH150" s="1667"/>
      <c r="AI150" s="1667"/>
      <c r="AJ150" s="1667"/>
      <c r="AK150" s="1667"/>
      <c r="AL150" s="1667"/>
      <c r="AM150" s="1667"/>
      <c r="AN150" s="1667"/>
      <c r="AO150" s="1668"/>
      <c r="AP150" s="2549" t="s">
        <v>1286</v>
      </c>
      <c r="AQ150" s="2550"/>
      <c r="AR150" s="2550"/>
      <c r="AS150" s="2550"/>
      <c r="AT150" s="2550"/>
      <c r="AU150" s="2550"/>
      <c r="AV150" s="2550"/>
      <c r="AW150" s="2550"/>
      <c r="AX150" s="2550"/>
      <c r="AY150" s="2551"/>
      <c r="BB150" s="10"/>
      <c r="BC150" s="10"/>
      <c r="BD150" s="1589"/>
      <c r="BE150" s="1589"/>
      <c r="BF150" s="1589"/>
      <c r="BG150" s="1589"/>
      <c r="BH150" s="1589"/>
      <c r="BI150" s="1589"/>
      <c r="BJ150" s="1589"/>
      <c r="BK150" s="1589"/>
      <c r="BL150" s="1589"/>
      <c r="BM150" s="1589"/>
    </row>
    <row r="151" spans="1:65" ht="30" customHeight="1" x14ac:dyDescent="0.3">
      <c r="A151" s="934" t="s">
        <v>9</v>
      </c>
      <c r="B151" s="2670" t="s">
        <v>440</v>
      </c>
      <c r="C151" s="2671"/>
      <c r="D151" s="2671"/>
      <c r="E151" s="2671"/>
      <c r="F151" s="2671"/>
      <c r="G151" s="2671"/>
      <c r="H151" s="2671"/>
      <c r="I151" s="2671"/>
      <c r="J151" s="2671"/>
      <c r="K151" s="2672"/>
      <c r="L151" s="2586" t="s">
        <v>439</v>
      </c>
      <c r="M151" s="2584"/>
      <c r="N151" s="2584"/>
      <c r="O151" s="2584"/>
      <c r="P151" s="2584"/>
      <c r="Q151" s="2584"/>
      <c r="R151" s="2584"/>
      <c r="S151" s="2584"/>
      <c r="T151" s="2584"/>
      <c r="U151" s="2585"/>
      <c r="V151" s="2586" t="s">
        <v>118</v>
      </c>
      <c r="W151" s="2584"/>
      <c r="X151" s="2584"/>
      <c r="Y151" s="2584"/>
      <c r="Z151" s="2584"/>
      <c r="AA151" s="2584"/>
      <c r="AB151" s="2584"/>
      <c r="AC151" s="2584"/>
      <c r="AD151" s="2584"/>
      <c r="AE151" s="2585"/>
      <c r="AF151" s="2581"/>
      <c r="AG151" s="2582"/>
      <c r="AH151" s="2582"/>
      <c r="AI151" s="2582"/>
      <c r="AJ151" s="2582"/>
      <c r="AK151" s="2582"/>
      <c r="AL151" s="2582"/>
      <c r="AM151" s="2582"/>
      <c r="AN151" s="2582"/>
      <c r="AO151" s="2583"/>
      <c r="AP151" s="2618" t="s">
        <v>440</v>
      </c>
      <c r="AQ151" s="2619"/>
      <c r="AR151" s="2619"/>
      <c r="AS151" s="2619"/>
      <c r="AT151" s="2619"/>
      <c r="AU151" s="2619"/>
      <c r="AV151" s="2619"/>
      <c r="AW151" s="2619"/>
      <c r="AX151" s="1819" t="s">
        <v>579</v>
      </c>
      <c r="AY151" s="1820"/>
      <c r="BB151" s="10"/>
      <c r="BC151" s="10"/>
      <c r="BD151" s="1589"/>
      <c r="BE151" s="1589"/>
      <c r="BF151" s="1589"/>
      <c r="BG151" s="1589"/>
      <c r="BH151" s="1589"/>
      <c r="BI151" s="1589"/>
      <c r="BJ151" s="1589"/>
      <c r="BK151" s="1589"/>
      <c r="BL151" s="1589"/>
      <c r="BM151" s="1589"/>
    </row>
    <row r="152" spans="1:65" ht="30" customHeight="1" thickBot="1" x14ac:dyDescent="0.3">
      <c r="A152" s="935"/>
      <c r="B152" s="2681" t="s">
        <v>1286</v>
      </c>
      <c r="C152" s="2682"/>
      <c r="D152" s="2682"/>
      <c r="E152" s="2682"/>
      <c r="F152" s="2682"/>
      <c r="G152" s="2682"/>
      <c r="H152" s="2682"/>
      <c r="I152" s="2682"/>
      <c r="J152" s="2682"/>
      <c r="K152" s="2683"/>
      <c r="L152" s="1806" t="s">
        <v>156</v>
      </c>
      <c r="M152" s="1807"/>
      <c r="N152" s="1807"/>
      <c r="O152" s="1807"/>
      <c r="P152" s="1807"/>
      <c r="Q152" s="1807"/>
      <c r="R152" s="1807"/>
      <c r="S152" s="1807"/>
      <c r="T152" s="1807"/>
      <c r="U152" s="1808"/>
      <c r="V152" s="2681" t="s">
        <v>682</v>
      </c>
      <c r="W152" s="2682"/>
      <c r="X152" s="2682"/>
      <c r="Y152" s="2682"/>
      <c r="Z152" s="2682"/>
      <c r="AA152" s="2682"/>
      <c r="AB152" s="2682"/>
      <c r="AC152" s="2682"/>
      <c r="AD152" s="2682"/>
      <c r="AE152" s="2683"/>
      <c r="AF152" s="2642"/>
      <c r="AG152" s="2596"/>
      <c r="AH152" s="2596"/>
      <c r="AI152" s="2596"/>
      <c r="AJ152" s="2596"/>
      <c r="AK152" s="2596"/>
      <c r="AL152" s="2596"/>
      <c r="AM152" s="2596"/>
      <c r="AN152" s="2596"/>
      <c r="AO152" s="2680"/>
      <c r="AP152" s="2549" t="s">
        <v>1286</v>
      </c>
      <c r="AQ152" s="2550"/>
      <c r="AR152" s="2550"/>
      <c r="AS152" s="2550"/>
      <c r="AT152" s="2550"/>
      <c r="AU152" s="2550"/>
      <c r="AV152" s="2550"/>
      <c r="AW152" s="2550"/>
      <c r="AX152" s="2550"/>
      <c r="AY152" s="2551"/>
      <c r="BB152" s="10"/>
      <c r="BC152" s="10"/>
      <c r="BD152" s="2596"/>
      <c r="BE152" s="2596"/>
      <c r="BF152" s="2596"/>
      <c r="BG152" s="2596"/>
      <c r="BH152" s="2596"/>
      <c r="BI152" s="2596"/>
      <c r="BJ152" s="2596"/>
      <c r="BK152" s="2596"/>
      <c r="BL152" s="2596"/>
      <c r="BM152" s="2596"/>
    </row>
    <row r="153" spans="1:65" s="2" customFormat="1" ht="17.25" customHeight="1" thickBot="1" x14ac:dyDescent="0.3">
      <c r="A153" s="19" t="s">
        <v>1</v>
      </c>
      <c r="B153" s="1076" t="s">
        <v>2</v>
      </c>
      <c r="C153" s="1077"/>
      <c r="D153" s="1077"/>
      <c r="E153" s="1077"/>
      <c r="F153" s="1077"/>
      <c r="G153" s="1077"/>
      <c r="H153" s="1077"/>
      <c r="I153" s="1077"/>
      <c r="J153" s="1077"/>
      <c r="K153" s="1078"/>
      <c r="L153" s="1091" t="s">
        <v>3</v>
      </c>
      <c r="M153" s="1092"/>
      <c r="N153" s="1092"/>
      <c r="O153" s="1092"/>
      <c r="P153" s="1092"/>
      <c r="Q153" s="1092"/>
      <c r="R153" s="1092"/>
      <c r="S153" s="1092"/>
      <c r="T153" s="1092"/>
      <c r="U153" s="1093"/>
      <c r="V153" s="1091" t="s">
        <v>139</v>
      </c>
      <c r="W153" s="1092"/>
      <c r="X153" s="1092"/>
      <c r="Y153" s="1092"/>
      <c r="Z153" s="1092"/>
      <c r="AA153" s="1092"/>
      <c r="AB153" s="1092"/>
      <c r="AC153" s="1092"/>
      <c r="AD153" s="1092"/>
      <c r="AE153" s="1093"/>
      <c r="AF153" s="1091" t="s">
        <v>4</v>
      </c>
      <c r="AG153" s="1092"/>
      <c r="AH153" s="1092"/>
      <c r="AI153" s="1092"/>
      <c r="AJ153" s="1092"/>
      <c r="AK153" s="1092"/>
      <c r="AL153" s="1092"/>
      <c r="AM153" s="1092"/>
      <c r="AN153" s="1092"/>
      <c r="AO153" s="1093"/>
      <c r="AP153" s="1076" t="s">
        <v>5</v>
      </c>
      <c r="AQ153" s="1077"/>
      <c r="AR153" s="1077"/>
      <c r="AS153" s="1077"/>
      <c r="AT153" s="1077"/>
      <c r="AU153" s="1077"/>
      <c r="AV153" s="1077"/>
      <c r="AW153" s="1077"/>
      <c r="AX153" s="1077"/>
      <c r="AY153" s="1078"/>
      <c r="BB153" s="282"/>
      <c r="BC153" s="2678"/>
      <c r="BD153" s="2678"/>
      <c r="BE153" s="1589"/>
      <c r="BF153" s="1589"/>
      <c r="BG153" s="282"/>
      <c r="BH153" s="282"/>
      <c r="BI153" s="282"/>
      <c r="BJ153" s="282"/>
      <c r="BK153" s="282"/>
      <c r="BL153" s="282"/>
      <c r="BM153" s="282"/>
    </row>
    <row r="154" spans="1:65" ht="30" customHeight="1" x14ac:dyDescent="0.3">
      <c r="A154" s="2679" t="s">
        <v>1131</v>
      </c>
      <c r="B154" s="2526"/>
      <c r="C154" s="2527"/>
      <c r="D154" s="2527"/>
      <c r="E154" s="2527"/>
      <c r="F154" s="2527"/>
      <c r="G154" s="2527"/>
      <c r="H154" s="2527"/>
      <c r="I154" s="2527"/>
      <c r="J154" s="2527"/>
      <c r="K154" s="2528"/>
      <c r="L154" s="2584" t="s">
        <v>436</v>
      </c>
      <c r="M154" s="2584"/>
      <c r="N154" s="2584"/>
      <c r="O154" s="2584"/>
      <c r="P154" s="2584"/>
      <c r="Q154" s="2584"/>
      <c r="R154" s="2584"/>
      <c r="S154" s="2584"/>
      <c r="T154" s="2584"/>
      <c r="U154" s="2585"/>
      <c r="V154" s="1862"/>
      <c r="W154" s="1681"/>
      <c r="X154" s="1681"/>
      <c r="Y154" s="1681"/>
      <c r="Z154" s="1681"/>
      <c r="AA154" s="1681"/>
      <c r="AB154" s="1681"/>
      <c r="AC154" s="1681"/>
      <c r="AD154" s="1817"/>
      <c r="AE154" s="1818"/>
      <c r="AF154" s="696"/>
      <c r="AG154" s="697"/>
      <c r="AH154" s="697"/>
      <c r="AI154" s="698"/>
      <c r="AJ154" s="698"/>
      <c r="AK154" s="697"/>
      <c r="AL154" s="697"/>
      <c r="AM154" s="697"/>
      <c r="AN154" s="698"/>
      <c r="AO154" s="698"/>
      <c r="AP154" s="2670" t="s">
        <v>438</v>
      </c>
      <c r="AQ154" s="2671"/>
      <c r="AR154" s="2671"/>
      <c r="AS154" s="2671"/>
      <c r="AT154" s="2671"/>
      <c r="AU154" s="2671"/>
      <c r="AV154" s="2671"/>
      <c r="AW154" s="2671"/>
      <c r="AX154" s="2671"/>
      <c r="AY154" s="2672"/>
      <c r="BB154" s="10"/>
      <c r="BC154" s="2678"/>
      <c r="BD154" s="2678"/>
      <c r="BE154" s="1589"/>
      <c r="BF154" s="1589"/>
      <c r="BG154" s="10"/>
      <c r="BH154" s="10"/>
      <c r="BI154" s="10"/>
      <c r="BJ154" s="10"/>
      <c r="BK154" s="10"/>
      <c r="BL154" s="10"/>
      <c r="BM154" s="10"/>
    </row>
    <row r="155" spans="1:65" ht="30" customHeight="1" x14ac:dyDescent="0.25">
      <c r="A155" s="1455"/>
      <c r="B155" s="1666"/>
      <c r="C155" s="1667"/>
      <c r="D155" s="1667"/>
      <c r="E155" s="1667"/>
      <c r="F155" s="1667"/>
      <c r="G155" s="1667"/>
      <c r="H155" s="1667"/>
      <c r="I155" s="1667"/>
      <c r="J155" s="1667"/>
      <c r="K155" s="1668"/>
      <c r="L155" s="1806" t="s">
        <v>155</v>
      </c>
      <c r="M155" s="1807"/>
      <c r="N155" s="1807"/>
      <c r="O155" s="1807"/>
      <c r="P155" s="1807"/>
      <c r="Q155" s="1807"/>
      <c r="R155" s="1807"/>
      <c r="S155" s="1807"/>
      <c r="T155" s="1807"/>
      <c r="U155" s="1808"/>
      <c r="V155" s="2653"/>
      <c r="W155" s="2643"/>
      <c r="X155" s="2643"/>
      <c r="Y155" s="2643"/>
      <c r="Z155" s="2643"/>
      <c r="AA155" s="2643"/>
      <c r="AB155" s="2643"/>
      <c r="AC155" s="2643"/>
      <c r="AD155" s="2643"/>
      <c r="AE155" s="2644"/>
      <c r="AF155" s="699"/>
      <c r="AG155" s="700"/>
      <c r="AH155" s="700"/>
      <c r="AI155" s="701"/>
      <c r="AJ155" s="701"/>
      <c r="AK155" s="700"/>
      <c r="AL155" s="700"/>
      <c r="AM155" s="700"/>
      <c r="AN155" s="701"/>
      <c r="AO155" s="701"/>
      <c r="AP155" s="1806" t="s">
        <v>156</v>
      </c>
      <c r="AQ155" s="1807"/>
      <c r="AR155" s="1807"/>
      <c r="AS155" s="1807"/>
      <c r="AT155" s="1807"/>
      <c r="AU155" s="1807"/>
      <c r="AV155" s="1807"/>
      <c r="AW155" s="1807"/>
      <c r="AX155" s="1807"/>
      <c r="AY155" s="1808"/>
      <c r="BB155" s="10"/>
      <c r="BC155" s="2678"/>
      <c r="BD155" s="2678"/>
      <c r="BE155" s="1589"/>
      <c r="BF155" s="1589"/>
      <c r="BG155" s="10"/>
      <c r="BH155" s="10"/>
      <c r="BI155" s="10"/>
      <c r="BJ155" s="10"/>
      <c r="BK155" s="10"/>
      <c r="BL155" s="10"/>
      <c r="BM155" s="10"/>
    </row>
    <row r="156" spans="1:65" ht="30" customHeight="1" x14ac:dyDescent="0.3">
      <c r="A156" s="934" t="s">
        <v>187</v>
      </c>
      <c r="B156" s="2581"/>
      <c r="C156" s="2582"/>
      <c r="D156" s="2582"/>
      <c r="E156" s="2582"/>
      <c r="F156" s="2582"/>
      <c r="G156" s="2582"/>
      <c r="H156" s="2582"/>
      <c r="I156" s="2582"/>
      <c r="J156" s="2582"/>
      <c r="K156" s="2583"/>
      <c r="L156" s="2584" t="s">
        <v>436</v>
      </c>
      <c r="M156" s="2584"/>
      <c r="N156" s="2584"/>
      <c r="O156" s="2584"/>
      <c r="P156" s="2584"/>
      <c r="Q156" s="2584"/>
      <c r="R156" s="2584"/>
      <c r="S156" s="2584"/>
      <c r="T156" s="2584"/>
      <c r="U156" s="2585"/>
      <c r="V156" s="1862"/>
      <c r="W156" s="1681"/>
      <c r="X156" s="1681"/>
      <c r="Y156" s="1681"/>
      <c r="Z156" s="1681"/>
      <c r="AA156" s="1681"/>
      <c r="AB156" s="1681"/>
      <c r="AC156" s="1681"/>
      <c r="AD156" s="1817"/>
      <c r="AE156" s="1818"/>
      <c r="AF156" s="1862"/>
      <c r="AG156" s="1681"/>
      <c r="AH156" s="1681"/>
      <c r="AI156" s="1681"/>
      <c r="AJ156" s="1681"/>
      <c r="AK156" s="1681"/>
      <c r="AL156" s="1681"/>
      <c r="AM156" s="1681"/>
      <c r="AN156" s="1681"/>
      <c r="AO156" s="1682"/>
      <c r="AP156" s="2586" t="s">
        <v>438</v>
      </c>
      <c r="AQ156" s="2584"/>
      <c r="AR156" s="2584"/>
      <c r="AS156" s="2584"/>
      <c r="AT156" s="2584"/>
      <c r="AU156" s="2584"/>
      <c r="AV156" s="2584"/>
      <c r="AW156" s="2584"/>
      <c r="AX156" s="2584"/>
      <c r="AY156" s="2585"/>
      <c r="BB156" s="10"/>
      <c r="BC156" s="2678"/>
      <c r="BD156" s="2678"/>
      <c r="BE156" s="1589"/>
      <c r="BF156" s="1589"/>
      <c r="BG156" s="10"/>
      <c r="BH156" s="10"/>
      <c r="BI156" s="10"/>
      <c r="BJ156" s="10"/>
      <c r="BK156" s="10"/>
      <c r="BL156" s="10"/>
      <c r="BM156" s="10"/>
    </row>
    <row r="157" spans="1:65" ht="30" customHeight="1" x14ac:dyDescent="0.25">
      <c r="A157" s="935"/>
      <c r="B157" s="1666"/>
      <c r="C157" s="1667"/>
      <c r="D157" s="1667"/>
      <c r="E157" s="1667"/>
      <c r="F157" s="1667"/>
      <c r="G157" s="1667"/>
      <c r="H157" s="1667"/>
      <c r="I157" s="1667"/>
      <c r="J157" s="1667"/>
      <c r="K157" s="1668"/>
      <c r="L157" s="1806" t="s">
        <v>155</v>
      </c>
      <c r="M157" s="1807"/>
      <c r="N157" s="1807"/>
      <c r="O157" s="1807"/>
      <c r="P157" s="1807"/>
      <c r="Q157" s="1807"/>
      <c r="R157" s="1807"/>
      <c r="S157" s="1807"/>
      <c r="T157" s="1807"/>
      <c r="U157" s="1808"/>
      <c r="V157" s="2653"/>
      <c r="W157" s="2643"/>
      <c r="X157" s="2643"/>
      <c r="Y157" s="2643"/>
      <c r="Z157" s="2643"/>
      <c r="AA157" s="2643"/>
      <c r="AB157" s="2643"/>
      <c r="AC157" s="2643"/>
      <c r="AD157" s="2643"/>
      <c r="AE157" s="2644"/>
      <c r="AF157" s="2653"/>
      <c r="AG157" s="2643"/>
      <c r="AH157" s="2643"/>
      <c r="AI157" s="2643"/>
      <c r="AJ157" s="2643"/>
      <c r="AK157" s="2643"/>
      <c r="AL157" s="2643"/>
      <c r="AM157" s="2643"/>
      <c r="AN157" s="2643"/>
      <c r="AO157" s="2644"/>
      <c r="AP157" s="1806" t="s">
        <v>156</v>
      </c>
      <c r="AQ157" s="1807"/>
      <c r="AR157" s="1807"/>
      <c r="AS157" s="1807"/>
      <c r="AT157" s="1807"/>
      <c r="AU157" s="1807"/>
      <c r="AV157" s="1807"/>
      <c r="AW157" s="1807"/>
      <c r="AX157" s="1807"/>
      <c r="AY157" s="1808"/>
      <c r="BB157" s="1817"/>
      <c r="BC157" s="1817"/>
      <c r="BD157" s="1817"/>
      <c r="BE157" s="1817"/>
      <c r="BF157" s="1817"/>
      <c r="BG157" s="1817"/>
      <c r="BH157" s="1817"/>
      <c r="BI157" s="1817"/>
      <c r="BJ157" s="1817"/>
      <c r="BK157" s="1817"/>
      <c r="BL157" s="10"/>
      <c r="BM157" s="10"/>
    </row>
    <row r="158" spans="1:65" ht="30" customHeight="1" x14ac:dyDescent="0.3">
      <c r="A158" s="997" t="s">
        <v>186</v>
      </c>
      <c r="B158" s="2586" t="s">
        <v>445</v>
      </c>
      <c r="C158" s="2584"/>
      <c r="D158" s="2584"/>
      <c r="E158" s="2584"/>
      <c r="F158" s="2584"/>
      <c r="G158" s="2584"/>
      <c r="H158" s="2584"/>
      <c r="I158" s="2584"/>
      <c r="J158" s="2584"/>
      <c r="K158" s="2585"/>
      <c r="L158" s="2677" t="s">
        <v>438</v>
      </c>
      <c r="M158" s="1819"/>
      <c r="N158" s="1819"/>
      <c r="O158" s="1819"/>
      <c r="P158" s="1819"/>
      <c r="Q158" s="1819"/>
      <c r="R158" s="1819"/>
      <c r="S158" s="1819"/>
      <c r="T158" s="1839" t="s">
        <v>579</v>
      </c>
      <c r="U158" s="1840"/>
      <c r="V158" s="2677" t="s">
        <v>117</v>
      </c>
      <c r="W158" s="1819"/>
      <c r="X158" s="1819"/>
      <c r="Y158" s="1819"/>
      <c r="Z158" s="1819"/>
      <c r="AA158" s="1819"/>
      <c r="AB158" s="1819"/>
      <c r="AC158" s="1819"/>
      <c r="AD158" s="1839" t="s">
        <v>579</v>
      </c>
      <c r="AE158" s="1840"/>
      <c r="AF158" s="2673"/>
      <c r="AG158" s="2674"/>
      <c r="AH158" s="2674"/>
      <c r="AI158" s="2674"/>
      <c r="AJ158" s="2674"/>
      <c r="AK158" s="2674"/>
      <c r="AL158" s="2674"/>
      <c r="AM158" s="2674"/>
      <c r="AN158" s="2674"/>
      <c r="AO158" s="2675"/>
      <c r="AP158" s="2676" t="s">
        <v>945</v>
      </c>
      <c r="AQ158" s="1839"/>
      <c r="AR158" s="1839"/>
      <c r="AS158" s="1839"/>
      <c r="AT158" s="1839"/>
      <c r="AU158" s="1839"/>
      <c r="AV158" s="1839"/>
      <c r="AW158" s="1839"/>
      <c r="AX158" s="1839" t="s">
        <v>579</v>
      </c>
      <c r="AY158" s="1840"/>
      <c r="BB158" s="2596"/>
      <c r="BC158" s="2596"/>
      <c r="BD158" s="2596"/>
      <c r="BE158" s="2596"/>
      <c r="BF158" s="2596"/>
      <c r="BG158" s="2596"/>
      <c r="BH158" s="2596"/>
      <c r="BI158" s="2596"/>
      <c r="BJ158" s="2596"/>
      <c r="BK158" s="2596"/>
      <c r="BL158" s="10"/>
      <c r="BM158" s="10"/>
    </row>
    <row r="159" spans="1:65" ht="30" customHeight="1" x14ac:dyDescent="0.25">
      <c r="A159" s="998"/>
      <c r="B159" s="1806" t="s">
        <v>155</v>
      </c>
      <c r="C159" s="1807"/>
      <c r="D159" s="1807"/>
      <c r="E159" s="1807"/>
      <c r="F159" s="1807"/>
      <c r="G159" s="1807"/>
      <c r="H159" s="1807"/>
      <c r="I159" s="1807"/>
      <c r="J159" s="1807"/>
      <c r="K159" s="1808"/>
      <c r="L159" s="2550" t="s">
        <v>155</v>
      </c>
      <c r="M159" s="2550"/>
      <c r="N159" s="2550"/>
      <c r="O159" s="2550"/>
      <c r="P159" s="2550"/>
      <c r="Q159" s="2550"/>
      <c r="R159" s="2550"/>
      <c r="S159" s="2550"/>
      <c r="T159" s="2550"/>
      <c r="U159" s="2551"/>
      <c r="V159" s="2549" t="s">
        <v>752</v>
      </c>
      <c r="W159" s="2550"/>
      <c r="X159" s="2550"/>
      <c r="Y159" s="2550"/>
      <c r="Z159" s="2550"/>
      <c r="AA159" s="2550"/>
      <c r="AB159" s="2550"/>
      <c r="AC159" s="2550"/>
      <c r="AD159" s="2550"/>
      <c r="AE159" s="2551"/>
      <c r="AF159" s="1666"/>
      <c r="AG159" s="1667"/>
      <c r="AH159" s="1667"/>
      <c r="AI159" s="1667"/>
      <c r="AJ159" s="1667"/>
      <c r="AK159" s="1667"/>
      <c r="AL159" s="1667"/>
      <c r="AM159" s="1667"/>
      <c r="AN159" s="1667"/>
      <c r="AO159" s="1668"/>
      <c r="AP159" s="2550" t="s">
        <v>156</v>
      </c>
      <c r="AQ159" s="2550"/>
      <c r="AR159" s="2550"/>
      <c r="AS159" s="2550"/>
      <c r="AT159" s="2550"/>
      <c r="AU159" s="2550"/>
      <c r="AV159" s="2550"/>
      <c r="AW159" s="2550"/>
      <c r="AX159" s="2550"/>
      <c r="AY159" s="2551"/>
      <c r="BB159" s="1817"/>
      <c r="BC159" s="1817"/>
      <c r="BD159" s="1817"/>
      <c r="BE159" s="1817"/>
      <c r="BF159" s="1817"/>
      <c r="BG159" s="1817"/>
      <c r="BH159" s="1817"/>
      <c r="BI159" s="1817"/>
      <c r="BJ159" s="1817"/>
      <c r="BK159" s="1817"/>
      <c r="BL159" s="10"/>
      <c r="BM159" s="10"/>
    </row>
    <row r="160" spans="1:65" ht="30" customHeight="1" x14ac:dyDescent="0.3">
      <c r="A160" s="934" t="s">
        <v>188</v>
      </c>
      <c r="B160" s="2670" t="s">
        <v>445</v>
      </c>
      <c r="C160" s="2671"/>
      <c r="D160" s="2671"/>
      <c r="E160" s="2671"/>
      <c r="F160" s="2671"/>
      <c r="G160" s="2671"/>
      <c r="H160" s="2671"/>
      <c r="I160" s="2671"/>
      <c r="J160" s="2671"/>
      <c r="K160" s="2672"/>
      <c r="L160" s="2677" t="s">
        <v>438</v>
      </c>
      <c r="M160" s="1819"/>
      <c r="N160" s="1819"/>
      <c r="O160" s="1819"/>
      <c r="P160" s="1819"/>
      <c r="Q160" s="1819"/>
      <c r="R160" s="1819"/>
      <c r="S160" s="1819"/>
      <c r="T160" s="1839" t="s">
        <v>579</v>
      </c>
      <c r="U160" s="1840"/>
      <c r="V160" s="2677" t="s">
        <v>117</v>
      </c>
      <c r="W160" s="1819"/>
      <c r="X160" s="1819"/>
      <c r="Y160" s="1819"/>
      <c r="Z160" s="1819"/>
      <c r="AA160" s="1819"/>
      <c r="AB160" s="1819"/>
      <c r="AC160" s="1819"/>
      <c r="AD160" s="1839" t="s">
        <v>579</v>
      </c>
      <c r="AE160" s="1840"/>
      <c r="AF160" s="2581"/>
      <c r="AG160" s="2582"/>
      <c r="AH160" s="2582"/>
      <c r="AI160" s="2582"/>
      <c r="AJ160" s="2582"/>
      <c r="AK160" s="2582"/>
      <c r="AL160" s="2582"/>
      <c r="AM160" s="2582"/>
      <c r="AN160" s="2582"/>
      <c r="AO160" s="2583"/>
      <c r="AP160" s="2676" t="s">
        <v>945</v>
      </c>
      <c r="AQ160" s="1839"/>
      <c r="AR160" s="1839"/>
      <c r="AS160" s="1839"/>
      <c r="AT160" s="1839"/>
      <c r="AU160" s="1839"/>
      <c r="AV160" s="1839"/>
      <c r="AW160" s="1839"/>
      <c r="AX160" s="1839" t="s">
        <v>579</v>
      </c>
      <c r="AY160" s="1840"/>
      <c r="BA160" s="20"/>
      <c r="BB160" s="2596"/>
      <c r="BC160" s="2596"/>
      <c r="BD160" s="2596"/>
      <c r="BE160" s="2596"/>
      <c r="BF160" s="2596"/>
      <c r="BG160" s="2596"/>
      <c r="BH160" s="2596"/>
      <c r="BI160" s="2596"/>
      <c r="BJ160" s="2596"/>
      <c r="BK160" s="2596"/>
      <c r="BL160" s="10"/>
      <c r="BM160" s="10"/>
    </row>
    <row r="161" spans="1:65" ht="30" customHeight="1" x14ac:dyDescent="0.3">
      <c r="A161" s="935"/>
      <c r="B161" s="1806" t="s">
        <v>155</v>
      </c>
      <c r="C161" s="1807"/>
      <c r="D161" s="1807"/>
      <c r="E161" s="1807"/>
      <c r="F161" s="1807"/>
      <c r="G161" s="1807"/>
      <c r="H161" s="1807"/>
      <c r="I161" s="1807"/>
      <c r="J161" s="1807"/>
      <c r="K161" s="1808"/>
      <c r="L161" s="2550" t="s">
        <v>155</v>
      </c>
      <c r="M161" s="2550"/>
      <c r="N161" s="2550"/>
      <c r="O161" s="2550"/>
      <c r="P161" s="2550"/>
      <c r="Q161" s="2550"/>
      <c r="R161" s="2550"/>
      <c r="S161" s="2550"/>
      <c r="T161" s="2550"/>
      <c r="U161" s="2551"/>
      <c r="V161" s="2549" t="s">
        <v>752</v>
      </c>
      <c r="W161" s="2550"/>
      <c r="X161" s="2550"/>
      <c r="Y161" s="2550"/>
      <c r="Z161" s="2550"/>
      <c r="AA161" s="2550"/>
      <c r="AB161" s="2550"/>
      <c r="AC161" s="2550"/>
      <c r="AD161" s="2550"/>
      <c r="AE161" s="2551"/>
      <c r="AF161" s="1666"/>
      <c r="AG161" s="1667"/>
      <c r="AH161" s="1667"/>
      <c r="AI161" s="1667"/>
      <c r="AJ161" s="1667"/>
      <c r="AK161" s="1667"/>
      <c r="AL161" s="1667"/>
      <c r="AM161" s="1667"/>
      <c r="AN161" s="1667"/>
      <c r="AO161" s="1668"/>
      <c r="AP161" s="2550" t="s">
        <v>156</v>
      </c>
      <c r="AQ161" s="2550"/>
      <c r="AR161" s="2550"/>
      <c r="AS161" s="2550"/>
      <c r="AT161" s="2550"/>
      <c r="AU161" s="2550"/>
      <c r="AV161" s="2550"/>
      <c r="AW161" s="2550"/>
      <c r="AX161" s="2550"/>
      <c r="AY161" s="2551"/>
      <c r="BB161" s="2582"/>
      <c r="BC161" s="2582"/>
      <c r="BD161" s="2582"/>
      <c r="BE161" s="2582"/>
      <c r="BF161" s="2582"/>
      <c r="BG161" s="2582"/>
      <c r="BH161" s="2582"/>
      <c r="BI161" s="2582"/>
      <c r="BJ161" s="2582"/>
      <c r="BK161" s="2582"/>
      <c r="BL161" s="10"/>
      <c r="BM161" s="10"/>
    </row>
    <row r="162" spans="1:65" ht="30" customHeight="1" x14ac:dyDescent="0.3">
      <c r="A162" s="934" t="s">
        <v>189</v>
      </c>
      <c r="B162" s="2586" t="s">
        <v>437</v>
      </c>
      <c r="C162" s="2584"/>
      <c r="D162" s="2584"/>
      <c r="E162" s="2584"/>
      <c r="F162" s="2584"/>
      <c r="G162" s="2584"/>
      <c r="H162" s="2584"/>
      <c r="I162" s="2584"/>
      <c r="J162" s="2584"/>
      <c r="K162" s="2584"/>
      <c r="L162" s="2677" t="s">
        <v>437</v>
      </c>
      <c r="M162" s="1819"/>
      <c r="N162" s="1819"/>
      <c r="O162" s="1819"/>
      <c r="P162" s="1819"/>
      <c r="Q162" s="1819"/>
      <c r="R162" s="1819"/>
      <c r="S162" s="1819"/>
      <c r="T162" s="1819" t="s">
        <v>579</v>
      </c>
      <c r="U162" s="1820"/>
      <c r="V162" s="2677" t="s">
        <v>445</v>
      </c>
      <c r="W162" s="1819"/>
      <c r="X162" s="1819"/>
      <c r="Y162" s="1819"/>
      <c r="Z162" s="1819"/>
      <c r="AA162" s="1819"/>
      <c r="AB162" s="1819"/>
      <c r="AC162" s="1819"/>
      <c r="AD162" s="1839" t="s">
        <v>579</v>
      </c>
      <c r="AE162" s="1840"/>
      <c r="AF162" s="2581"/>
      <c r="AG162" s="2582"/>
      <c r="AH162" s="2582"/>
      <c r="AI162" s="2582"/>
      <c r="AJ162" s="2582"/>
      <c r="AK162" s="2582"/>
      <c r="AL162" s="2582"/>
      <c r="AM162" s="2582"/>
      <c r="AN162" s="2582"/>
      <c r="AO162" s="2583"/>
      <c r="AP162" s="1862"/>
      <c r="AQ162" s="1681"/>
      <c r="AR162" s="1681"/>
      <c r="AS162" s="1681"/>
      <c r="AT162" s="1681"/>
      <c r="AU162" s="1681"/>
      <c r="AV162" s="1681"/>
      <c r="AW162" s="1681"/>
      <c r="AX162" s="1681"/>
      <c r="AY162" s="1682"/>
      <c r="BB162" s="2596"/>
      <c r="BC162" s="2596"/>
      <c r="BD162" s="2596"/>
      <c r="BE162" s="2596"/>
      <c r="BF162" s="2596"/>
      <c r="BG162" s="2596"/>
      <c r="BH162" s="2596"/>
      <c r="BI162" s="2596"/>
      <c r="BJ162" s="2596"/>
      <c r="BK162" s="2596"/>
      <c r="BL162" s="10"/>
      <c r="BM162" s="10"/>
    </row>
    <row r="163" spans="1:65" ht="30" customHeight="1" x14ac:dyDescent="0.25">
      <c r="A163" s="935"/>
      <c r="B163" s="2555" t="s">
        <v>751</v>
      </c>
      <c r="C163" s="2556"/>
      <c r="D163" s="2556"/>
      <c r="E163" s="2556"/>
      <c r="F163" s="2556"/>
      <c r="G163" s="2556"/>
      <c r="H163" s="2556"/>
      <c r="I163" s="2556"/>
      <c r="J163" s="2556"/>
      <c r="K163" s="2556"/>
      <c r="L163" s="2549" t="s">
        <v>751</v>
      </c>
      <c r="M163" s="2550"/>
      <c r="N163" s="2550"/>
      <c r="O163" s="2550"/>
      <c r="P163" s="2550"/>
      <c r="Q163" s="2550"/>
      <c r="R163" s="2550"/>
      <c r="S163" s="2550"/>
      <c r="T163" s="2550"/>
      <c r="U163" s="2550"/>
      <c r="V163" s="2549" t="s">
        <v>750</v>
      </c>
      <c r="W163" s="2550"/>
      <c r="X163" s="2550"/>
      <c r="Y163" s="2550"/>
      <c r="Z163" s="2550"/>
      <c r="AA163" s="2550"/>
      <c r="AB163" s="2550"/>
      <c r="AC163" s="2550"/>
      <c r="AD163" s="2550"/>
      <c r="AE163" s="2551"/>
      <c r="AF163" s="1666"/>
      <c r="AG163" s="1667"/>
      <c r="AH163" s="1667"/>
      <c r="AI163" s="1667"/>
      <c r="AJ163" s="1667"/>
      <c r="AK163" s="1667"/>
      <c r="AL163" s="1667"/>
      <c r="AM163" s="1667"/>
      <c r="AN163" s="1667"/>
      <c r="AO163" s="1668"/>
      <c r="AP163" s="2653"/>
      <c r="AQ163" s="2643"/>
      <c r="AR163" s="2643"/>
      <c r="AS163" s="2643"/>
      <c r="AT163" s="2643"/>
      <c r="AU163" s="2643"/>
      <c r="AV163" s="2643"/>
      <c r="AW163" s="2643"/>
      <c r="AX163" s="2643"/>
      <c r="AY163" s="2644"/>
      <c r="BA163" s="20"/>
    </row>
    <row r="164" spans="1:65" ht="30" customHeight="1" x14ac:dyDescent="0.3">
      <c r="A164" s="997" t="s">
        <v>190</v>
      </c>
      <c r="B164" s="2670" t="s">
        <v>437</v>
      </c>
      <c r="C164" s="2671"/>
      <c r="D164" s="2671"/>
      <c r="E164" s="2671"/>
      <c r="F164" s="2671"/>
      <c r="G164" s="2671"/>
      <c r="H164" s="2671"/>
      <c r="I164" s="2671"/>
      <c r="J164" s="2671"/>
      <c r="K164" s="2672"/>
      <c r="L164" s="2677" t="s">
        <v>437</v>
      </c>
      <c r="M164" s="1819"/>
      <c r="N164" s="1819"/>
      <c r="O164" s="1819"/>
      <c r="P164" s="1819"/>
      <c r="Q164" s="1819"/>
      <c r="R164" s="1819"/>
      <c r="S164" s="1819"/>
      <c r="T164" s="1819" t="s">
        <v>579</v>
      </c>
      <c r="U164" s="1820"/>
      <c r="V164" s="2677" t="s">
        <v>445</v>
      </c>
      <c r="W164" s="1819"/>
      <c r="X164" s="1819"/>
      <c r="Y164" s="1819"/>
      <c r="Z164" s="1819"/>
      <c r="AA164" s="1819"/>
      <c r="AB164" s="1819"/>
      <c r="AC164" s="1819"/>
      <c r="AD164" s="1839" t="s">
        <v>579</v>
      </c>
      <c r="AE164" s="1840"/>
      <c r="AF164" s="2673"/>
      <c r="AG164" s="2674"/>
      <c r="AH164" s="2674"/>
      <c r="AI164" s="2674"/>
      <c r="AJ164" s="2674"/>
      <c r="AK164" s="2674"/>
      <c r="AL164" s="2674"/>
      <c r="AM164" s="2674"/>
      <c r="AN164" s="2674"/>
      <c r="AO164" s="2675"/>
      <c r="AP164" s="1862"/>
      <c r="AQ164" s="1681"/>
      <c r="AR164" s="1681"/>
      <c r="AS164" s="1681"/>
      <c r="AT164" s="1681"/>
      <c r="AU164" s="1681"/>
      <c r="AV164" s="1681"/>
      <c r="AW164" s="1681"/>
      <c r="AX164" s="1817"/>
      <c r="AY164" s="1818"/>
    </row>
    <row r="165" spans="1:65" ht="30" customHeight="1" thickBot="1" x14ac:dyDescent="0.3">
      <c r="A165" s="1455"/>
      <c r="B165" s="2667" t="s">
        <v>751</v>
      </c>
      <c r="C165" s="2668"/>
      <c r="D165" s="2668"/>
      <c r="E165" s="2668"/>
      <c r="F165" s="2668"/>
      <c r="G165" s="2668"/>
      <c r="H165" s="2668"/>
      <c r="I165" s="2668"/>
      <c r="J165" s="2668"/>
      <c r="K165" s="2669"/>
      <c r="L165" s="2664" t="s">
        <v>1184</v>
      </c>
      <c r="M165" s="2665"/>
      <c r="N165" s="2665"/>
      <c r="O165" s="2665"/>
      <c r="P165" s="2665"/>
      <c r="Q165" s="2665"/>
      <c r="R165" s="2665"/>
      <c r="S165" s="2665"/>
      <c r="T165" s="2665"/>
      <c r="U165" s="2666"/>
      <c r="V165" s="2664" t="s">
        <v>750</v>
      </c>
      <c r="W165" s="2665"/>
      <c r="X165" s="2665"/>
      <c r="Y165" s="2665"/>
      <c r="Z165" s="2665"/>
      <c r="AA165" s="2665"/>
      <c r="AB165" s="2665"/>
      <c r="AC165" s="2665"/>
      <c r="AD165" s="2665"/>
      <c r="AE165" s="2666"/>
      <c r="AF165" s="1930"/>
      <c r="AG165" s="1931"/>
      <c r="AH165" s="1931"/>
      <c r="AI165" s="1931"/>
      <c r="AJ165" s="1931"/>
      <c r="AK165" s="1931"/>
      <c r="AL165" s="1931"/>
      <c r="AM165" s="1931"/>
      <c r="AN165" s="1931"/>
      <c r="AO165" s="1932"/>
      <c r="AP165" s="2645"/>
      <c r="AQ165" s="2646"/>
      <c r="AR165" s="2646"/>
      <c r="AS165" s="2646"/>
      <c r="AT165" s="2646"/>
      <c r="AU165" s="2646"/>
      <c r="AV165" s="2646"/>
      <c r="AW165" s="2646"/>
      <c r="AX165" s="2646"/>
      <c r="AY165" s="2647"/>
    </row>
    <row r="166" spans="1:65" ht="53.25" customHeight="1" thickBot="1" x14ac:dyDescent="0.3">
      <c r="A166" s="231"/>
    </row>
    <row r="167" spans="1:65" ht="18.75" customHeight="1" x14ac:dyDescent="0.25">
      <c r="A167" s="1246" t="s">
        <v>218</v>
      </c>
      <c r="B167" s="1428"/>
      <c r="C167" s="2130" t="s">
        <v>219</v>
      </c>
      <c r="D167" s="2130"/>
      <c r="E167" s="2130"/>
      <c r="F167" s="2130"/>
      <c r="G167" s="2130"/>
      <c r="H167" s="2130"/>
      <c r="I167" s="2130"/>
      <c r="J167" s="2130"/>
      <c r="K167" s="2130"/>
      <c r="L167" s="2130"/>
      <c r="M167" s="2130"/>
      <c r="N167" s="2130"/>
      <c r="O167" s="2130"/>
      <c r="P167" s="2130"/>
      <c r="Q167" s="2130"/>
      <c r="R167" s="2130"/>
      <c r="S167" s="2130"/>
      <c r="T167" s="1941"/>
      <c r="U167" s="2624" t="s">
        <v>332</v>
      </c>
      <c r="V167" s="2625"/>
      <c r="W167" s="2626" t="s">
        <v>143</v>
      </c>
      <c r="X167" s="1247"/>
      <c r="Y167" s="1247"/>
      <c r="Z167" s="1428"/>
      <c r="AA167" s="2627" t="s">
        <v>167</v>
      </c>
      <c r="AB167" s="2627"/>
      <c r="AC167" s="2627"/>
      <c r="AD167" s="2628"/>
      <c r="AE167" s="2628"/>
      <c r="AF167" s="2628"/>
      <c r="AG167" s="2628"/>
      <c r="AH167" s="2628"/>
      <c r="AI167" s="2628"/>
      <c r="AJ167" s="2628"/>
      <c r="AK167" s="2628"/>
      <c r="AL167" s="2628"/>
      <c r="AM167" s="2628"/>
      <c r="AN167" s="2628"/>
      <c r="AO167" s="2628"/>
      <c r="AP167" s="2628"/>
      <c r="AQ167" s="2628"/>
      <c r="AR167" s="2628"/>
      <c r="AS167" s="2628"/>
      <c r="AT167" s="2628"/>
      <c r="AU167" s="2628"/>
      <c r="AV167" s="2628"/>
      <c r="AW167" s="2628"/>
      <c r="AX167" s="2628"/>
      <c r="AY167" s="2629"/>
    </row>
    <row r="168" spans="1:65" ht="13.8" x14ac:dyDescent="0.25">
      <c r="A168" s="2575" t="str">
        <f>VLOOKUP(U168,ASIGNATURAS!$F$1:$L$1022, 3, FALSE)</f>
        <v>CONTROL</v>
      </c>
      <c r="B168" s="2576"/>
      <c r="C168" s="2577" t="str">
        <f>VLOOKUP(U168,ASIGNATURAS!$F$1:$L$1022, 4, FALSE)</f>
        <v>Control por Computador</v>
      </c>
      <c r="D168" s="2578"/>
      <c r="E168" s="2578"/>
      <c r="F168" s="2578"/>
      <c r="G168" s="2578"/>
      <c r="H168" s="2578"/>
      <c r="I168" s="2578"/>
      <c r="J168" s="2578"/>
      <c r="K168" s="2578"/>
      <c r="L168" s="2578"/>
      <c r="M168" s="2578"/>
      <c r="N168" s="2578"/>
      <c r="O168" s="2578"/>
      <c r="P168" s="2578"/>
      <c r="Q168" s="2578"/>
      <c r="R168" s="2579"/>
      <c r="S168" s="2579"/>
      <c r="T168" s="2580"/>
      <c r="U168" s="981">
        <v>8840</v>
      </c>
      <c r="V168" s="1071"/>
      <c r="W168" s="981" t="str">
        <f>VLOOKUP(U168,ASIGNATURAS!$F$1:$L$1022, 5, FALSE)</f>
        <v>6 (OP)</v>
      </c>
      <c r="X168" s="972"/>
      <c r="Y168" s="972"/>
      <c r="Z168" s="1071"/>
      <c r="AA168" s="2651" t="s">
        <v>1190</v>
      </c>
      <c r="AB168" s="982"/>
      <c r="AC168" s="982"/>
      <c r="AD168" s="983"/>
      <c r="AE168" s="983"/>
      <c r="AF168" s="983"/>
      <c r="AG168" s="983"/>
      <c r="AH168" s="983"/>
      <c r="AI168" s="983"/>
      <c r="AJ168" s="983"/>
      <c r="AK168" s="983"/>
      <c r="AL168" s="983"/>
      <c r="AM168" s="983"/>
      <c r="AN168" s="983"/>
      <c r="AO168" s="983"/>
      <c r="AP168" s="983"/>
      <c r="AQ168" s="983"/>
      <c r="AR168" s="983"/>
      <c r="AS168" s="983"/>
      <c r="AT168" s="983"/>
      <c r="AU168" s="983"/>
      <c r="AV168" s="983"/>
      <c r="AW168" s="983"/>
      <c r="AX168" s="983"/>
      <c r="AY168" s="1018"/>
    </row>
    <row r="169" spans="1:65" ht="14.25" customHeight="1" x14ac:dyDescent="0.25">
      <c r="A169" s="1065" t="str">
        <f>VLOOKUP(U169,ASIGNATURAS!$F$1:$L$1022, 3, FALSE)</f>
        <v>SIST. DIGITALES</v>
      </c>
      <c r="B169" s="1066"/>
      <c r="C169" s="982" t="str">
        <f>VLOOKUP(U169,ASIGNATURAS!$F$1:$L$1022, 4, FALSE)</f>
        <v>Diseño e Implementación de Sistemas Dig.</v>
      </c>
      <c r="D169" s="983"/>
      <c r="E169" s="983"/>
      <c r="F169" s="983"/>
      <c r="G169" s="983"/>
      <c r="H169" s="983"/>
      <c r="I169" s="983"/>
      <c r="J169" s="983"/>
      <c r="K169" s="983"/>
      <c r="L169" s="983"/>
      <c r="M169" s="983"/>
      <c r="N169" s="983"/>
      <c r="O169" s="983"/>
      <c r="P169" s="983"/>
      <c r="Q169" s="983"/>
      <c r="R169" s="992"/>
      <c r="S169" s="992"/>
      <c r="T169" s="1018"/>
      <c r="U169" s="981">
        <v>8827</v>
      </c>
      <c r="V169" s="1071"/>
      <c r="W169" s="981" t="str">
        <f>VLOOKUP(U169,ASIGNATURAS!$F$1:$L$1022, 5, FALSE)</f>
        <v>6 (OP)</v>
      </c>
      <c r="X169" s="972"/>
      <c r="Y169" s="972"/>
      <c r="Z169" s="1071"/>
      <c r="AA169" s="2652" t="str">
        <f>VLOOKUP(U169,ASIGNATURAS!$F$1:$L$1022, 6, FALSE)</f>
        <v>Miguel Ángel Lozano Pérez</v>
      </c>
      <c r="AB169" s="947"/>
      <c r="AC169" s="947"/>
      <c r="AD169" s="948"/>
      <c r="AE169" s="948"/>
      <c r="AF169" s="948"/>
      <c r="AG169" s="948"/>
      <c r="AH169" s="948"/>
      <c r="AI169" s="948"/>
      <c r="AJ169" s="948"/>
      <c r="AK169" s="948"/>
      <c r="AL169" s="948"/>
      <c r="AM169" s="948"/>
      <c r="AN169" s="948"/>
      <c r="AO169" s="948"/>
      <c r="AP169" s="948"/>
      <c r="AQ169" s="948"/>
      <c r="AR169" s="948"/>
      <c r="AS169" s="948"/>
      <c r="AT169" s="948"/>
      <c r="AU169" s="948"/>
      <c r="AV169" s="948"/>
      <c r="AW169" s="948"/>
      <c r="AX169" s="948"/>
      <c r="AY169" s="2587"/>
    </row>
    <row r="170" spans="1:65" ht="14.25" customHeight="1" x14ac:dyDescent="0.25">
      <c r="A170" s="1065" t="str">
        <f>VLOOKUP(U170,ASIGNATURAS!$F$1:$L$1022, 3, FALSE)</f>
        <v>VALID. Y PRUEB.</v>
      </c>
      <c r="B170" s="1066"/>
      <c r="C170" s="982" t="str">
        <f>VLOOKUP(U170,ASIGNATURAS!$F$1:$L$1022, 4, FALSE)</f>
        <v>Validación y Pruebas</v>
      </c>
      <c r="D170" s="983"/>
      <c r="E170" s="983"/>
      <c r="F170" s="983"/>
      <c r="G170" s="983"/>
      <c r="H170" s="983"/>
      <c r="I170" s="983"/>
      <c r="J170" s="983"/>
      <c r="K170" s="983"/>
      <c r="L170" s="983"/>
      <c r="M170" s="983"/>
      <c r="N170" s="983"/>
      <c r="O170" s="983"/>
      <c r="P170" s="983"/>
      <c r="Q170" s="983"/>
      <c r="R170" s="992"/>
      <c r="S170" s="992"/>
      <c r="T170" s="1018"/>
      <c r="U170" s="981">
        <v>8828</v>
      </c>
      <c r="V170" s="1071"/>
      <c r="W170" s="981" t="str">
        <f>VLOOKUP(U170,ASIGNATURAS!$F$1:$L$1022, 5, FALSE)</f>
        <v>6 (OP)</v>
      </c>
      <c r="X170" s="972"/>
      <c r="Y170" s="972"/>
      <c r="Z170" s="1071"/>
      <c r="AA170" s="982" t="str">
        <f>VLOOKUP(U170,ASIGNATURAS!$F$1:$L$1022, 6, FALSE)</f>
        <v>Pedro Renedo Fernandez</v>
      </c>
      <c r="AB170" s="982"/>
      <c r="AC170" s="982"/>
      <c r="AD170" s="983"/>
      <c r="AE170" s="983"/>
      <c r="AF170" s="983"/>
      <c r="AG170" s="983"/>
      <c r="AH170" s="983"/>
      <c r="AI170" s="983"/>
      <c r="AJ170" s="983"/>
      <c r="AK170" s="983"/>
      <c r="AL170" s="983"/>
      <c r="AM170" s="983"/>
      <c r="AN170" s="983"/>
      <c r="AO170" s="983"/>
      <c r="AP170" s="983"/>
      <c r="AQ170" s="983"/>
      <c r="AR170" s="983"/>
      <c r="AS170" s="983"/>
      <c r="AT170" s="983"/>
      <c r="AU170" s="983"/>
      <c r="AV170" s="983"/>
      <c r="AW170" s="983"/>
      <c r="AX170" s="983"/>
      <c r="AY170" s="1018"/>
    </row>
    <row r="171" spans="1:65" ht="14.25" customHeight="1" x14ac:dyDescent="0.25">
      <c r="A171" s="1065" t="str">
        <f>VLOOKUP(U171,ASIGNATURAS!$F$1:$L$1022, 3, FALSE)</f>
        <v>GESTIÓN INFO</v>
      </c>
      <c r="B171" s="1066"/>
      <c r="C171" s="982" t="str">
        <f>VLOOKUP(U171,ASIGNATURAS!$F$1:$L$1022, 4, FALSE)</f>
        <v>Gestión de la Información</v>
      </c>
      <c r="D171" s="983"/>
      <c r="E171" s="983"/>
      <c r="F171" s="983"/>
      <c r="G171" s="983"/>
      <c r="H171" s="983"/>
      <c r="I171" s="983"/>
      <c r="J171" s="983"/>
      <c r="K171" s="983"/>
      <c r="L171" s="983"/>
      <c r="M171" s="983"/>
      <c r="N171" s="983"/>
      <c r="O171" s="983"/>
      <c r="P171" s="983"/>
      <c r="Q171" s="983"/>
      <c r="R171" s="992"/>
      <c r="S171" s="992"/>
      <c r="T171" s="1018"/>
      <c r="U171" s="981">
        <v>8829</v>
      </c>
      <c r="V171" s="1071"/>
      <c r="W171" s="981" t="str">
        <f>VLOOKUP(U171,ASIGNATURAS!$F$1:$L$1022, 5, FALSE)</f>
        <v>6 (OP)</v>
      </c>
      <c r="X171" s="972"/>
      <c r="Y171" s="972"/>
      <c r="Z171" s="1071"/>
      <c r="AA171" s="982" t="str">
        <f>VLOOKUP(U171,ASIGNATURAS!$F$1:$L$1022, 6, FALSE)</f>
        <v>José Ignacio Santos, José M. Galan Ordax, Virginia Ahedo</v>
      </c>
      <c r="AB171" s="982"/>
      <c r="AC171" s="982"/>
      <c r="AD171" s="983"/>
      <c r="AE171" s="983"/>
      <c r="AF171" s="983"/>
      <c r="AG171" s="983"/>
      <c r="AH171" s="983"/>
      <c r="AI171" s="983"/>
      <c r="AJ171" s="983"/>
      <c r="AK171" s="983"/>
      <c r="AL171" s="983"/>
      <c r="AM171" s="983"/>
      <c r="AN171" s="983"/>
      <c r="AO171" s="983"/>
      <c r="AP171" s="983"/>
      <c r="AQ171" s="983"/>
      <c r="AR171" s="983"/>
      <c r="AS171" s="983"/>
      <c r="AT171" s="983"/>
      <c r="AU171" s="983"/>
      <c r="AV171" s="983"/>
      <c r="AW171" s="983"/>
      <c r="AX171" s="983"/>
      <c r="AY171" s="1018"/>
    </row>
    <row r="172" spans="1:65" ht="14.25" customHeight="1" x14ac:dyDescent="0.25">
      <c r="A172" s="1065" t="str">
        <f>VLOOKUP(U172,ASIGNATURAS!$F$1:$L$1022, 3, FALSE)</f>
        <v>DIS-MAN SOFT</v>
      </c>
      <c r="B172" s="1066"/>
      <c r="C172" s="982" t="str">
        <f>VLOOKUP(U172,ASIGNATURAS!$F$1:$L$1022, 4, FALSE)</f>
        <v>Diseño y Mantenimiento del Software</v>
      </c>
      <c r="D172" s="983"/>
      <c r="E172" s="983"/>
      <c r="F172" s="983"/>
      <c r="G172" s="983"/>
      <c r="H172" s="983"/>
      <c r="I172" s="983"/>
      <c r="J172" s="983"/>
      <c r="K172" s="983"/>
      <c r="L172" s="983"/>
      <c r="M172" s="983"/>
      <c r="N172" s="983"/>
      <c r="O172" s="983"/>
      <c r="P172" s="983"/>
      <c r="Q172" s="983"/>
      <c r="R172" s="992"/>
      <c r="S172" s="992"/>
      <c r="T172" s="1018"/>
      <c r="U172" s="981">
        <v>8830</v>
      </c>
      <c r="V172" s="1071"/>
      <c r="W172" s="981" t="str">
        <f>VLOOKUP(U172,ASIGNATURAS!$F$1:$L$1022, 5, FALSE)</f>
        <v>6 (OP)</v>
      </c>
      <c r="X172" s="972"/>
      <c r="Y172" s="972"/>
      <c r="Z172" s="1071"/>
      <c r="AA172" s="982" t="str">
        <f>VLOOKUP(U172,ASIGNATURAS!$F$1:$L$1022, 6, FALSE)</f>
        <v>Carlos López Nozal, Jesús Alonso Abad</v>
      </c>
      <c r="AB172" s="982"/>
      <c r="AC172" s="982"/>
      <c r="AD172" s="983"/>
      <c r="AE172" s="983"/>
      <c r="AF172" s="983"/>
      <c r="AG172" s="983"/>
      <c r="AH172" s="983"/>
      <c r="AI172" s="983"/>
      <c r="AJ172" s="983"/>
      <c r="AK172" s="983"/>
      <c r="AL172" s="983"/>
      <c r="AM172" s="983"/>
      <c r="AN172" s="983"/>
      <c r="AO172" s="983"/>
      <c r="AP172" s="983"/>
      <c r="AQ172" s="983"/>
      <c r="AR172" s="983"/>
      <c r="AS172" s="983"/>
      <c r="AT172" s="983"/>
      <c r="AU172" s="983"/>
      <c r="AV172" s="983"/>
      <c r="AW172" s="983"/>
      <c r="AX172" s="983"/>
      <c r="AY172" s="1018"/>
    </row>
    <row r="173" spans="1:65" ht="13.8" x14ac:dyDescent="0.25">
      <c r="A173" s="1065" t="str">
        <f>VLOOKUP(U173,ASIGNATURAS!$F$1:$L$1022, 3, FALSE)</f>
        <v>ORG. Y GEST.</v>
      </c>
      <c r="B173" s="1066"/>
      <c r="C173" s="982" t="str">
        <f>VLOOKUP(U173,ASIGNATURAS!$F$1:$L$1022, 4, FALSE)</f>
        <v>Organización y Gestión de Empresas</v>
      </c>
      <c r="D173" s="983"/>
      <c r="E173" s="983"/>
      <c r="F173" s="983"/>
      <c r="G173" s="983"/>
      <c r="H173" s="983"/>
      <c r="I173" s="983"/>
      <c r="J173" s="983"/>
      <c r="K173" s="983"/>
      <c r="L173" s="983"/>
      <c r="M173" s="983"/>
      <c r="N173" s="983"/>
      <c r="O173" s="983"/>
      <c r="P173" s="983"/>
      <c r="Q173" s="983"/>
      <c r="R173" s="992"/>
      <c r="S173" s="992"/>
      <c r="T173" s="1018"/>
      <c r="U173" s="981">
        <v>8831</v>
      </c>
      <c r="V173" s="1071"/>
      <c r="W173" s="981" t="str">
        <f>VLOOKUP(U173,ASIGNATURAS!$F$1:$L$1022, 5, FALSE)</f>
        <v>6 (OP)</v>
      </c>
      <c r="X173" s="972"/>
      <c r="Y173" s="972"/>
      <c r="Z173" s="1071"/>
      <c r="AA173" s="982" t="str">
        <f>VLOOKUP(U173,ASIGNATURAS!$F$1:$L$1022, 6, FALSE)</f>
        <v>J. Manuel Galan Ordax, José Ignacio Santos</v>
      </c>
      <c r="AB173" s="982"/>
      <c r="AC173" s="982"/>
      <c r="AD173" s="983"/>
      <c r="AE173" s="983"/>
      <c r="AF173" s="983"/>
      <c r="AG173" s="983"/>
      <c r="AH173" s="983"/>
      <c r="AI173" s="983"/>
      <c r="AJ173" s="983"/>
      <c r="AK173" s="983"/>
      <c r="AL173" s="983"/>
      <c r="AM173" s="983"/>
      <c r="AN173" s="983"/>
      <c r="AO173" s="983"/>
      <c r="AP173" s="983"/>
      <c r="AQ173" s="983"/>
      <c r="AR173" s="983"/>
      <c r="AS173" s="983"/>
      <c r="AT173" s="983"/>
      <c r="AU173" s="983"/>
      <c r="AV173" s="983"/>
      <c r="AW173" s="983"/>
      <c r="AX173" s="983"/>
      <c r="AY173" s="1018"/>
    </row>
    <row r="174" spans="1:65" ht="14.25" customHeight="1" x14ac:dyDescent="0.25">
      <c r="A174" s="1065" t="str">
        <f>VLOOKUP(U174,ASIGNATURAS!$F$1:$L$1022, 3, FALSE)</f>
        <v>MANT. EQUIPOS</v>
      </c>
      <c r="B174" s="1066"/>
      <c r="C174" s="982" t="str">
        <f>VLOOKUP(U174,ASIGNATURAS!$F$1:$L$1022, 4, FALSE)</f>
        <v>Mantenimiento de Equipos Informáticos</v>
      </c>
      <c r="D174" s="983"/>
      <c r="E174" s="983"/>
      <c r="F174" s="983"/>
      <c r="G174" s="983"/>
      <c r="H174" s="983"/>
      <c r="I174" s="983"/>
      <c r="J174" s="983"/>
      <c r="K174" s="983"/>
      <c r="L174" s="983"/>
      <c r="M174" s="983"/>
      <c r="N174" s="983"/>
      <c r="O174" s="983"/>
      <c r="P174" s="983"/>
      <c r="Q174" s="983"/>
      <c r="R174" s="992"/>
      <c r="S174" s="992"/>
      <c r="T174" s="1018"/>
      <c r="U174" s="981">
        <v>8832</v>
      </c>
      <c r="V174" s="1071"/>
      <c r="W174" s="981" t="str">
        <f>VLOOKUP(U174,ASIGNATURAS!$F$1:$L$1022, 5, FALSE)</f>
        <v>6 (OP)</v>
      </c>
      <c r="X174" s="972"/>
      <c r="Y174" s="972"/>
      <c r="Z174" s="1071"/>
      <c r="AA174" s="982" t="str">
        <f>VLOOKUP(U174,ASIGNATURAS!$F$1:$L$1022, 6, FALSE)</f>
        <v>Ignacio Moreno Velasco</v>
      </c>
      <c r="AB174" s="982"/>
      <c r="AC174" s="982"/>
      <c r="AD174" s="983"/>
      <c r="AE174" s="983"/>
      <c r="AF174" s="983"/>
      <c r="AG174" s="983"/>
      <c r="AH174" s="983"/>
      <c r="AI174" s="983"/>
      <c r="AJ174" s="983"/>
      <c r="AK174" s="983"/>
      <c r="AL174" s="983"/>
      <c r="AM174" s="983"/>
      <c r="AN174" s="983"/>
      <c r="AO174" s="983"/>
      <c r="AP174" s="983"/>
      <c r="AQ174" s="983"/>
      <c r="AR174" s="983"/>
      <c r="AS174" s="983"/>
      <c r="AT174" s="983"/>
      <c r="AU174" s="983"/>
      <c r="AV174" s="983"/>
      <c r="AW174" s="983"/>
      <c r="AX174" s="983"/>
      <c r="AY174" s="1018"/>
    </row>
    <row r="175" spans="1:65" ht="13.8" x14ac:dyDescent="0.25">
      <c r="A175" s="1065" t="str">
        <f>VLOOKUP(U175,ASIGNATURAS!$F$1:$L$1022, 3, FALSE)</f>
        <v>HARD ESP</v>
      </c>
      <c r="B175" s="1066"/>
      <c r="C175" s="982" t="str">
        <f>VLOOKUP(U175,ASIGNATURAS!$F$1:$L$1022, 4, FALSE)</f>
        <v>Hardware de Aplicación Específica</v>
      </c>
      <c r="D175" s="983"/>
      <c r="E175" s="983"/>
      <c r="F175" s="983"/>
      <c r="G175" s="983"/>
      <c r="H175" s="983"/>
      <c r="I175" s="983"/>
      <c r="J175" s="983"/>
      <c r="K175" s="983"/>
      <c r="L175" s="983"/>
      <c r="M175" s="983"/>
      <c r="N175" s="983"/>
      <c r="O175" s="983"/>
      <c r="P175" s="983"/>
      <c r="Q175" s="983"/>
      <c r="R175" s="992"/>
      <c r="S175" s="992"/>
      <c r="T175" s="1018"/>
      <c r="U175" s="981">
        <v>8833</v>
      </c>
      <c r="V175" s="1071"/>
      <c r="W175" s="981" t="str">
        <f>VLOOKUP(U175,ASIGNATURAS!$F$1:$L$1022, 5, FALSE)</f>
        <v>6 (OP)</v>
      </c>
      <c r="X175" s="972"/>
      <c r="Y175" s="972"/>
      <c r="Z175" s="1071"/>
      <c r="AA175" s="982" t="str">
        <f>VLOOKUP(U175,ASIGNATURAS!$F$1:$L$1022, 6, FALSE)</f>
        <v>César Represa Pérez</v>
      </c>
      <c r="AB175" s="982"/>
      <c r="AC175" s="982"/>
      <c r="AD175" s="983"/>
      <c r="AE175" s="983"/>
      <c r="AF175" s="983"/>
      <c r="AG175" s="983"/>
      <c r="AH175" s="983"/>
      <c r="AI175" s="983"/>
      <c r="AJ175" s="983"/>
      <c r="AK175" s="983"/>
      <c r="AL175" s="983"/>
      <c r="AM175" s="983"/>
      <c r="AN175" s="983"/>
      <c r="AO175" s="983"/>
      <c r="AP175" s="983"/>
      <c r="AQ175" s="983"/>
      <c r="AR175" s="983"/>
      <c r="AS175" s="983"/>
      <c r="AT175" s="983"/>
      <c r="AU175" s="983"/>
      <c r="AV175" s="983"/>
      <c r="AW175" s="983"/>
      <c r="AX175" s="983"/>
      <c r="AY175" s="1018"/>
    </row>
    <row r="176" spans="1:65" ht="14.25" customHeight="1" x14ac:dyDescent="0.25">
      <c r="A176" s="1065" t="str">
        <f>VLOOKUP(U176,ASIGNATURAS!$F$1:$L$1022, 3, FALSE)</f>
        <v>COMP. NEURONAL</v>
      </c>
      <c r="B176" s="1066"/>
      <c r="C176" s="982" t="str">
        <f>VLOOKUP(U176,ASIGNATURAS!$F$1:$L$1022, 4, FALSE)</f>
        <v>Computación Neuronal y Evolutiva</v>
      </c>
      <c r="D176" s="983"/>
      <c r="E176" s="983"/>
      <c r="F176" s="983"/>
      <c r="G176" s="983"/>
      <c r="H176" s="983"/>
      <c r="I176" s="983"/>
      <c r="J176" s="983"/>
      <c r="K176" s="983"/>
      <c r="L176" s="983"/>
      <c r="M176" s="983"/>
      <c r="N176" s="983"/>
      <c r="O176" s="983"/>
      <c r="P176" s="983"/>
      <c r="Q176" s="983"/>
      <c r="R176" s="992"/>
      <c r="S176" s="992"/>
      <c r="T176" s="1018"/>
      <c r="U176" s="981">
        <v>8834</v>
      </c>
      <c r="V176" s="1071"/>
      <c r="W176" s="981" t="str">
        <f>VLOOKUP(U176,ASIGNATURAS!$F$1:$L$1022, 5, FALSE)</f>
        <v>6 (OP)</v>
      </c>
      <c r="X176" s="972"/>
      <c r="Y176" s="972"/>
      <c r="Z176" s="1071"/>
      <c r="AA176" s="982" t="str">
        <f>VLOOKUP(U176,ASIGNATURAS!$F$1:$L$1022, 6, FALSE)</f>
        <v>Daniel Urda, Bruno Baruque Zanón</v>
      </c>
      <c r="AB176" s="982"/>
      <c r="AC176" s="982"/>
      <c r="AD176" s="983"/>
      <c r="AE176" s="983"/>
      <c r="AF176" s="983"/>
      <c r="AG176" s="983"/>
      <c r="AH176" s="983"/>
      <c r="AI176" s="983"/>
      <c r="AJ176" s="983"/>
      <c r="AK176" s="983"/>
      <c r="AL176" s="983"/>
      <c r="AM176" s="983"/>
      <c r="AN176" s="983"/>
      <c r="AO176" s="983"/>
      <c r="AP176" s="983"/>
      <c r="AQ176" s="983"/>
      <c r="AR176" s="983"/>
      <c r="AS176" s="983"/>
      <c r="AT176" s="983"/>
      <c r="AU176" s="983"/>
      <c r="AV176" s="983"/>
      <c r="AW176" s="983"/>
      <c r="AX176" s="983"/>
      <c r="AY176" s="1018"/>
    </row>
    <row r="177" spans="1:65" ht="14.4" thickBot="1" x14ac:dyDescent="0.3">
      <c r="A177" s="2658" t="str">
        <f>VLOOKUP(U177,ASIGNATURAS!$F$1:$L$1022, 3, FALSE)</f>
        <v>PROG. S.O.</v>
      </c>
      <c r="B177" s="2659"/>
      <c r="C177" s="2660" t="str">
        <f>VLOOKUP(U177,ASIGNATURAS!$F$1:$L$1022, 4, FALSE)</f>
        <v>Programación de Sistemas Operativos</v>
      </c>
      <c r="D177" s="2661"/>
      <c r="E177" s="2661"/>
      <c r="F177" s="2661"/>
      <c r="G177" s="2661"/>
      <c r="H177" s="2661"/>
      <c r="I177" s="2661"/>
      <c r="J177" s="2661"/>
      <c r="K177" s="2661"/>
      <c r="L177" s="2661"/>
      <c r="M177" s="2661"/>
      <c r="N177" s="2661"/>
      <c r="O177" s="2661"/>
      <c r="P177" s="2661"/>
      <c r="Q177" s="2661"/>
      <c r="R177" s="2662"/>
      <c r="S177" s="2662"/>
      <c r="T177" s="2663"/>
      <c r="U177" s="2654">
        <v>8841</v>
      </c>
      <c r="V177" s="1100"/>
      <c r="W177" s="2655" t="str">
        <f>VLOOKUP(U177,ASIGNATURAS!$F$1:$L$1022, 5, FALSE)</f>
        <v>6 (OP)</v>
      </c>
      <c r="X177" s="2656"/>
      <c r="Y177" s="2656"/>
      <c r="Z177" s="2657"/>
      <c r="AA177" s="2064" t="s">
        <v>1190</v>
      </c>
      <c r="AB177" s="1088"/>
      <c r="AC177" s="1088"/>
      <c r="AD177" s="1089"/>
      <c r="AE177" s="1089"/>
      <c r="AF177" s="1089"/>
      <c r="AG177" s="1089"/>
      <c r="AH177" s="1089"/>
      <c r="AI177" s="1089"/>
      <c r="AJ177" s="1089"/>
      <c r="AK177" s="1089"/>
      <c r="AL177" s="1089"/>
      <c r="AM177" s="1089"/>
      <c r="AN177" s="1089"/>
      <c r="AO177" s="1089"/>
      <c r="AP177" s="1089"/>
      <c r="AQ177" s="1089"/>
      <c r="AR177" s="1089"/>
      <c r="AS177" s="1089"/>
      <c r="AT177" s="1089"/>
      <c r="AU177" s="1089"/>
      <c r="AV177" s="1089"/>
      <c r="AW177" s="1089"/>
      <c r="AX177" s="1089"/>
      <c r="AY177" s="1090"/>
    </row>
    <row r="180" spans="1:65" ht="18.75" customHeight="1" x14ac:dyDescent="0.25">
      <c r="A180" s="1101" t="s">
        <v>169</v>
      </c>
      <c r="B180" s="1101"/>
      <c r="C180" s="1101"/>
      <c r="D180" s="1101"/>
      <c r="E180" s="1101"/>
      <c r="F180" s="1101"/>
      <c r="G180" s="1101"/>
      <c r="H180" s="275"/>
      <c r="I180" s="275"/>
    </row>
    <row r="181" spans="1:65" ht="18.75" customHeight="1" x14ac:dyDescent="0.25">
      <c r="A181" s="1102" t="s">
        <v>1045</v>
      </c>
      <c r="B181" s="1102"/>
      <c r="C181" s="1102"/>
      <c r="D181" s="1102"/>
      <c r="E181" s="1102"/>
      <c r="F181" s="1102"/>
      <c r="G181" s="1102"/>
      <c r="H181" s="275"/>
      <c r="I181" s="275"/>
    </row>
    <row r="183" spans="1:65" x14ac:dyDescent="0.25">
      <c r="A183" s="20" t="s">
        <v>217</v>
      </c>
    </row>
    <row r="184" spans="1:65" ht="13.8" thickBot="1" x14ac:dyDescent="0.3"/>
    <row r="185" spans="1:65" s="1" customFormat="1" ht="31.5" customHeight="1" thickBot="1" x14ac:dyDescent="0.45">
      <c r="A185" s="1094" t="str">
        <f>VLOOKUP(A188,ASIGNATURAS!$A$2:$D$151, 3, FALSE)</f>
        <v>4º Grado en Ingeniería Informática</v>
      </c>
      <c r="B185" s="1095"/>
      <c r="C185" s="1095"/>
      <c r="D185" s="1095"/>
      <c r="E185" s="1095"/>
      <c r="F185" s="1095"/>
      <c r="G185" s="1095"/>
      <c r="H185" s="1095"/>
      <c r="I185" s="1095"/>
      <c r="J185" s="1095"/>
      <c r="K185" s="1095"/>
      <c r="L185" s="1095"/>
      <c r="M185" s="1095"/>
      <c r="N185" s="1095"/>
      <c r="O185" s="1095"/>
      <c r="P185" s="1095"/>
      <c r="Q185" s="1095"/>
      <c r="R185" s="1095"/>
      <c r="S185" s="1095"/>
      <c r="T185" s="1095"/>
      <c r="U185" s="1095"/>
      <c r="V185" s="1095"/>
      <c r="W185" s="1095"/>
      <c r="X185" s="1095"/>
      <c r="Y185" s="1095"/>
      <c r="Z185" s="1095"/>
      <c r="AA185" s="1095"/>
      <c r="AB185" s="1095"/>
      <c r="AC185" s="1095"/>
      <c r="AD185" s="1095"/>
      <c r="AE185" s="1095"/>
      <c r="AF185" s="1095"/>
      <c r="AG185" s="1095"/>
      <c r="AH185" s="1095"/>
      <c r="AI185" s="1095"/>
      <c r="AJ185" s="1095"/>
      <c r="AK185" s="1095"/>
      <c r="AL185" s="1095"/>
      <c r="AM185" s="1095"/>
      <c r="AN185" s="1095"/>
      <c r="AO185" s="1096"/>
      <c r="AP185" s="1076" t="str">
        <f>AP1</f>
        <v>Curso 2024-2025</v>
      </c>
      <c r="AQ185" s="1077"/>
      <c r="AR185" s="1077"/>
      <c r="AS185" s="1077"/>
      <c r="AT185" s="1077"/>
      <c r="AU185" s="1077"/>
      <c r="AV185" s="1077"/>
      <c r="AW185" s="1077"/>
      <c r="AX185" s="1077"/>
      <c r="AY185" s="1078"/>
      <c r="BD185" s="787"/>
      <c r="BE185" s="787"/>
      <c r="BF185" s="787"/>
      <c r="BG185" s="787"/>
      <c r="BH185" s="787"/>
      <c r="BI185" s="787"/>
      <c r="BJ185" s="787"/>
      <c r="BK185" s="787"/>
      <c r="BL185" s="787"/>
      <c r="BM185" s="787"/>
    </row>
    <row r="186" spans="1:65" s="8" customFormat="1" ht="23.25" customHeight="1" thickBot="1" x14ac:dyDescent="0.45">
      <c r="A186" s="1083" t="str">
        <f>VLOOKUP(A188,ASIGNATURAS!$A$2:$D$151, 2, FALSE)</f>
        <v>Semestre temporal: 2º        (8º Semestre Académico)</v>
      </c>
      <c r="B186" s="1084"/>
      <c r="C186" s="1084"/>
      <c r="D186" s="1084"/>
      <c r="E186" s="1084"/>
      <c r="F186" s="1084"/>
      <c r="G186" s="1084"/>
      <c r="H186" s="1084"/>
      <c r="I186" s="1084"/>
      <c r="J186" s="1084"/>
      <c r="K186" s="1084"/>
      <c r="L186" s="1084"/>
      <c r="M186" s="1084"/>
      <c r="N186" s="1084"/>
      <c r="O186" s="1084"/>
      <c r="P186" s="1084"/>
      <c r="Q186" s="1084"/>
      <c r="R186" s="1084"/>
      <c r="S186" s="1084"/>
      <c r="T186" s="1084"/>
      <c r="U186" s="1084"/>
      <c r="V186" s="1084"/>
      <c r="W186" s="1084"/>
      <c r="X186" s="1084"/>
      <c r="Y186" s="1084"/>
      <c r="Z186" s="1084"/>
      <c r="AA186" s="1084"/>
      <c r="AB186" s="1084"/>
      <c r="AC186" s="1084"/>
      <c r="AD186" s="1084"/>
      <c r="AE186" s="1084"/>
      <c r="AF186" s="1084"/>
      <c r="AG186" s="1084"/>
      <c r="AH186" s="1084"/>
      <c r="AI186" s="1084"/>
      <c r="AJ186" s="1084"/>
      <c r="AK186" s="1084"/>
      <c r="AL186" s="1084"/>
      <c r="AM186" s="1084"/>
      <c r="AN186" s="1084"/>
      <c r="AO186" s="1085"/>
      <c r="AP186" s="1072" t="s">
        <v>1122</v>
      </c>
      <c r="AQ186" s="1072"/>
      <c r="AR186" s="1072"/>
      <c r="AS186" s="1072"/>
      <c r="AT186" s="1072"/>
      <c r="AU186" s="1072"/>
      <c r="AV186" s="1072"/>
      <c r="AW186" s="1072"/>
      <c r="AX186" s="1072"/>
      <c r="AY186" s="1073"/>
      <c r="BD186" s="788"/>
      <c r="BE186" s="788"/>
      <c r="BF186" s="2614"/>
      <c r="BG186" s="2614"/>
      <c r="BH186" s="2614"/>
      <c r="BI186" s="2620"/>
      <c r="BJ186" s="1657"/>
      <c r="BK186" s="788"/>
      <c r="BL186" s="788"/>
      <c r="BM186" s="788"/>
    </row>
    <row r="187" spans="1:65" s="8" customFormat="1" ht="23.25" customHeight="1" thickBot="1" x14ac:dyDescent="0.45">
      <c r="A187" s="1083" t="s">
        <v>536</v>
      </c>
      <c r="B187" s="1084"/>
      <c r="C187" s="1084"/>
      <c r="D187" s="1084"/>
      <c r="E187" s="1084"/>
      <c r="F187" s="1084"/>
      <c r="G187" s="1084"/>
      <c r="H187" s="1084"/>
      <c r="I187" s="1084"/>
      <c r="J187" s="1084"/>
      <c r="K187" s="1084"/>
      <c r="L187" s="1084"/>
      <c r="M187" s="1084"/>
      <c r="N187" s="1084"/>
      <c r="O187" s="1084"/>
      <c r="P187" s="1084"/>
      <c r="Q187" s="1084"/>
      <c r="R187" s="1084"/>
      <c r="S187" s="1084"/>
      <c r="T187" s="1084"/>
      <c r="U187" s="1084"/>
      <c r="V187" s="1084"/>
      <c r="W187" s="1084"/>
      <c r="X187" s="1084"/>
      <c r="Y187" s="1084"/>
      <c r="Z187" s="1084"/>
      <c r="AA187" s="1084"/>
      <c r="AB187" s="1084"/>
      <c r="AC187" s="1084"/>
      <c r="AD187" s="1084"/>
      <c r="AE187" s="1084"/>
      <c r="AF187" s="1084"/>
      <c r="AG187" s="1084"/>
      <c r="AH187" s="1084"/>
      <c r="AI187" s="1084"/>
      <c r="AJ187" s="1084"/>
      <c r="AK187" s="1084"/>
      <c r="AL187" s="1084"/>
      <c r="AM187" s="1084"/>
      <c r="AN187" s="1084"/>
      <c r="AO187" s="1085"/>
      <c r="AP187" s="1074"/>
      <c r="AQ187" s="1074"/>
      <c r="AR187" s="1074"/>
      <c r="AS187" s="1074"/>
      <c r="AT187" s="1074"/>
      <c r="AU187" s="1074"/>
      <c r="AV187" s="1074"/>
      <c r="AW187" s="1074"/>
      <c r="AX187" s="1074"/>
      <c r="AY187" s="1075"/>
      <c r="BD187" s="788"/>
      <c r="BE187" s="788"/>
      <c r="BF187" s="1589"/>
      <c r="BG187" s="1589"/>
      <c r="BH187" s="1589"/>
      <c r="BI187" s="1241"/>
      <c r="BJ187" s="1658"/>
      <c r="BK187" s="788"/>
      <c r="BL187" s="788"/>
      <c r="BM187" s="788"/>
    </row>
    <row r="188" spans="1:65" ht="38.25" customHeight="1" thickBot="1" x14ac:dyDescent="0.3">
      <c r="A188" s="90" t="s">
        <v>74</v>
      </c>
      <c r="AY188" s="32"/>
      <c r="BD188" s="10"/>
      <c r="BE188" s="10"/>
      <c r="BF188" s="1589"/>
      <c r="BG188" s="1589"/>
      <c r="BH188" s="1589"/>
      <c r="BI188" s="1241"/>
      <c r="BJ188" s="1658"/>
      <c r="BK188" s="10"/>
      <c r="BL188" s="10"/>
      <c r="BM188" s="10"/>
    </row>
    <row r="189" spans="1:65" s="2" customFormat="1" ht="18" customHeight="1" thickBot="1" x14ac:dyDescent="0.3">
      <c r="A189" s="19" t="s">
        <v>1</v>
      </c>
      <c r="B189" s="1091" t="s">
        <v>2</v>
      </c>
      <c r="C189" s="1092"/>
      <c r="D189" s="1092"/>
      <c r="E189" s="1092"/>
      <c r="F189" s="1092"/>
      <c r="G189" s="1092"/>
      <c r="H189" s="1092"/>
      <c r="I189" s="1092"/>
      <c r="J189" s="1092"/>
      <c r="K189" s="1093"/>
      <c r="L189" s="1091" t="s">
        <v>3</v>
      </c>
      <c r="M189" s="1092"/>
      <c r="N189" s="1092"/>
      <c r="O189" s="1092"/>
      <c r="P189" s="1092"/>
      <c r="Q189" s="1092"/>
      <c r="R189" s="1092"/>
      <c r="S189" s="1092"/>
      <c r="T189" s="1092"/>
      <c r="U189" s="1093"/>
      <c r="V189" s="1091" t="s">
        <v>139</v>
      </c>
      <c r="W189" s="1092"/>
      <c r="X189" s="1092"/>
      <c r="Y189" s="1092"/>
      <c r="Z189" s="1092"/>
      <c r="AA189" s="1092"/>
      <c r="AB189" s="1092"/>
      <c r="AC189" s="1092"/>
      <c r="AD189" s="1092"/>
      <c r="AE189" s="1093"/>
      <c r="AF189" s="1091" t="s">
        <v>4</v>
      </c>
      <c r="AG189" s="1092"/>
      <c r="AH189" s="1092"/>
      <c r="AI189" s="1092"/>
      <c r="AJ189" s="1092"/>
      <c r="AK189" s="1092"/>
      <c r="AL189" s="1092"/>
      <c r="AM189" s="1092"/>
      <c r="AN189" s="1092"/>
      <c r="AO189" s="1093"/>
      <c r="AP189" s="1091" t="s">
        <v>5</v>
      </c>
      <c r="AQ189" s="1092"/>
      <c r="AR189" s="1092"/>
      <c r="AS189" s="1092"/>
      <c r="AT189" s="1092"/>
      <c r="AU189" s="1092"/>
      <c r="AV189" s="1092"/>
      <c r="AW189" s="1092"/>
      <c r="AX189" s="1092"/>
      <c r="AY189" s="1093"/>
      <c r="AZ189"/>
      <c r="BA189"/>
      <c r="BB189"/>
      <c r="BC189"/>
      <c r="BD189" s="10"/>
      <c r="BE189" s="10"/>
      <c r="BF189" s="1778"/>
      <c r="BG189" s="1778"/>
      <c r="BH189" s="1778"/>
      <c r="BI189" s="1242"/>
      <c r="BJ189" s="1659"/>
      <c r="BK189" s="10"/>
      <c r="BL189" s="10"/>
      <c r="BM189" s="282"/>
    </row>
    <row r="190" spans="1:65" ht="30" customHeight="1" x14ac:dyDescent="0.3">
      <c r="A190" s="966" t="s">
        <v>1131</v>
      </c>
      <c r="B190" s="2618" t="s">
        <v>442</v>
      </c>
      <c r="C190" s="2619"/>
      <c r="D190" s="2619"/>
      <c r="E190" s="2619"/>
      <c r="F190" s="2619"/>
      <c r="G190" s="2619"/>
      <c r="H190" s="2619"/>
      <c r="I190" s="2619"/>
      <c r="J190" s="1819" t="s">
        <v>579</v>
      </c>
      <c r="K190" s="1820"/>
      <c r="L190" s="2558" t="s">
        <v>442</v>
      </c>
      <c r="M190" s="2559"/>
      <c r="N190" s="2559"/>
      <c r="O190" s="2559"/>
      <c r="P190" s="2559"/>
      <c r="Q190" s="2559"/>
      <c r="R190" s="2559"/>
      <c r="S190" s="2559"/>
      <c r="T190" s="2559"/>
      <c r="U190" s="2560"/>
      <c r="V190" s="2615" t="s">
        <v>443</v>
      </c>
      <c r="W190" s="2616"/>
      <c r="X190" s="2616"/>
      <c r="Y190" s="2616"/>
      <c r="Z190" s="2616"/>
      <c r="AA190" s="2616"/>
      <c r="AB190" s="2616"/>
      <c r="AC190" s="2616"/>
      <c r="AD190" s="2616" t="s">
        <v>579</v>
      </c>
      <c r="AE190" s="2617"/>
      <c r="AF190" s="2612"/>
      <c r="AG190" s="2613"/>
      <c r="AH190" s="2613"/>
      <c r="AI190" s="2613"/>
      <c r="AJ190" s="2613"/>
      <c r="AK190" s="2613"/>
      <c r="AL190" s="2613"/>
      <c r="AM190" s="2613"/>
      <c r="AN190" s="2567"/>
      <c r="AO190" s="2568"/>
      <c r="AP190" s="2561" t="s">
        <v>443</v>
      </c>
      <c r="AQ190" s="2562"/>
      <c r="AR190" s="2562"/>
      <c r="AS190" s="2562"/>
      <c r="AT190" s="2562"/>
      <c r="AU190" s="2562"/>
      <c r="AV190" s="2562"/>
      <c r="AW190" s="2562"/>
      <c r="AX190" s="2562"/>
      <c r="AY190" s="2563"/>
      <c r="BD190" s="10"/>
      <c r="BE190" s="10"/>
      <c r="BF190" s="2614"/>
      <c r="BG190" s="2614"/>
      <c r="BH190" s="2614"/>
      <c r="BI190" s="2620"/>
      <c r="BJ190" s="1669"/>
      <c r="BK190" s="10"/>
      <c r="BL190" s="10"/>
      <c r="BM190" s="10"/>
    </row>
    <row r="191" spans="1:65" ht="30" customHeight="1" x14ac:dyDescent="0.25">
      <c r="A191" s="935"/>
      <c r="B191" s="2549" t="s">
        <v>750</v>
      </c>
      <c r="C191" s="2550"/>
      <c r="D191" s="2550"/>
      <c r="E191" s="2550"/>
      <c r="F191" s="2550"/>
      <c r="G191" s="2550"/>
      <c r="H191" s="2550"/>
      <c r="I191" s="2550"/>
      <c r="J191" s="2550"/>
      <c r="K191" s="2551"/>
      <c r="L191" s="2555" t="s">
        <v>750</v>
      </c>
      <c r="M191" s="2556"/>
      <c r="N191" s="2556"/>
      <c r="O191" s="2556"/>
      <c r="P191" s="2556"/>
      <c r="Q191" s="2556"/>
      <c r="R191" s="2556"/>
      <c r="S191" s="2556"/>
      <c r="T191" s="2556"/>
      <c r="U191" s="2557"/>
      <c r="V191" s="2569" t="s">
        <v>159</v>
      </c>
      <c r="W191" s="2570"/>
      <c r="X191" s="2570"/>
      <c r="Y191" s="2570"/>
      <c r="Z191" s="2570"/>
      <c r="AA191" s="2570"/>
      <c r="AB191" s="2570"/>
      <c r="AC191" s="2570"/>
      <c r="AD191" s="2570"/>
      <c r="AE191" s="2571"/>
      <c r="AF191" s="2546"/>
      <c r="AG191" s="2547"/>
      <c r="AH191" s="2547"/>
      <c r="AI191" s="2547"/>
      <c r="AJ191" s="2547"/>
      <c r="AK191" s="2547"/>
      <c r="AL191" s="2547"/>
      <c r="AM191" s="2547"/>
      <c r="AN191" s="2547"/>
      <c r="AO191" s="2548"/>
      <c r="AP191" s="2552" t="s">
        <v>159</v>
      </c>
      <c r="AQ191" s="2553"/>
      <c r="AR191" s="2553"/>
      <c r="AS191" s="2553"/>
      <c r="AT191" s="2553"/>
      <c r="AU191" s="2553"/>
      <c r="AV191" s="2553"/>
      <c r="AW191" s="2553"/>
      <c r="AX191" s="2553"/>
      <c r="AY191" s="2554"/>
      <c r="BA191" s="20"/>
      <c r="BD191" s="10"/>
      <c r="BE191" s="10"/>
      <c r="BF191" s="1589"/>
      <c r="BG191" s="1589"/>
      <c r="BH191" s="1589"/>
      <c r="BI191" s="1241"/>
      <c r="BJ191" s="1658"/>
      <c r="BK191" s="10"/>
      <c r="BL191" s="10"/>
      <c r="BM191" s="10"/>
    </row>
    <row r="192" spans="1:65" ht="30" customHeight="1" x14ac:dyDescent="0.3">
      <c r="A192" s="934" t="s">
        <v>187</v>
      </c>
      <c r="B192" s="2618" t="s">
        <v>442</v>
      </c>
      <c r="C192" s="2619"/>
      <c r="D192" s="2619"/>
      <c r="E192" s="2619"/>
      <c r="F192" s="2619"/>
      <c r="G192" s="2619"/>
      <c r="H192" s="2619"/>
      <c r="I192" s="2619"/>
      <c r="J192" s="1819" t="s">
        <v>579</v>
      </c>
      <c r="K192" s="1820"/>
      <c r="L192" s="2586" t="s">
        <v>442</v>
      </c>
      <c r="M192" s="2584"/>
      <c r="N192" s="2584"/>
      <c r="O192" s="2584"/>
      <c r="P192" s="2584"/>
      <c r="Q192" s="2584"/>
      <c r="R192" s="2584"/>
      <c r="S192" s="2584"/>
      <c r="T192" s="2584"/>
      <c r="U192" s="2585"/>
      <c r="V192" s="2615" t="s">
        <v>443</v>
      </c>
      <c r="W192" s="2616"/>
      <c r="X192" s="2616"/>
      <c r="Y192" s="2616"/>
      <c r="Z192" s="2616"/>
      <c r="AA192" s="2616"/>
      <c r="AB192" s="2616"/>
      <c r="AC192" s="2616"/>
      <c r="AD192" s="2616" t="s">
        <v>579</v>
      </c>
      <c r="AE192" s="2617"/>
      <c r="AF192" s="2612"/>
      <c r="AG192" s="2613"/>
      <c r="AH192" s="2613"/>
      <c r="AI192" s="2613"/>
      <c r="AJ192" s="2613"/>
      <c r="AK192" s="2613"/>
      <c r="AL192" s="2613"/>
      <c r="AM192" s="2613"/>
      <c r="AN192" s="2567"/>
      <c r="AO192" s="2568"/>
      <c r="AP192" s="2564" t="s">
        <v>443</v>
      </c>
      <c r="AQ192" s="2565"/>
      <c r="AR192" s="2565"/>
      <c r="AS192" s="2565"/>
      <c r="AT192" s="2565"/>
      <c r="AU192" s="2565"/>
      <c r="AV192" s="2565"/>
      <c r="AW192" s="2565"/>
      <c r="AX192" s="2565"/>
      <c r="AY192" s="2566"/>
      <c r="BD192" s="10"/>
      <c r="BE192" s="10"/>
      <c r="BF192" s="1589"/>
      <c r="BG192" s="1589"/>
      <c r="BH192" s="1589"/>
      <c r="BI192" s="1241"/>
      <c r="BJ192" s="1658"/>
      <c r="BK192" s="10"/>
      <c r="BL192" s="10"/>
      <c r="BM192" s="10"/>
    </row>
    <row r="193" spans="1:71" ht="30" customHeight="1" x14ac:dyDescent="0.25">
      <c r="A193" s="935"/>
      <c r="B193" s="2549" t="s">
        <v>750</v>
      </c>
      <c r="C193" s="2550"/>
      <c r="D193" s="2550"/>
      <c r="E193" s="2550"/>
      <c r="F193" s="2550"/>
      <c r="G193" s="2550"/>
      <c r="H193" s="2550"/>
      <c r="I193" s="2550"/>
      <c r="J193" s="2550"/>
      <c r="K193" s="2551"/>
      <c r="L193" s="2555" t="s">
        <v>750</v>
      </c>
      <c r="M193" s="2556"/>
      <c r="N193" s="2556"/>
      <c r="O193" s="2556"/>
      <c r="P193" s="2556"/>
      <c r="Q193" s="2556"/>
      <c r="R193" s="2556"/>
      <c r="S193" s="2556"/>
      <c r="T193" s="2556"/>
      <c r="U193" s="2557"/>
      <c r="V193" s="2569" t="s">
        <v>159</v>
      </c>
      <c r="W193" s="2570"/>
      <c r="X193" s="2570"/>
      <c r="Y193" s="2570"/>
      <c r="Z193" s="2570"/>
      <c r="AA193" s="2570"/>
      <c r="AB193" s="2570"/>
      <c r="AC193" s="2570"/>
      <c r="AD193" s="2570"/>
      <c r="AE193" s="2571"/>
      <c r="AF193" s="2546"/>
      <c r="AG193" s="2547"/>
      <c r="AH193" s="2547"/>
      <c r="AI193" s="2547"/>
      <c r="AJ193" s="2547"/>
      <c r="AK193" s="2547"/>
      <c r="AL193" s="2547"/>
      <c r="AM193" s="2547"/>
      <c r="AN193" s="2547"/>
      <c r="AO193" s="2548"/>
      <c r="AP193" s="2552" t="s">
        <v>159</v>
      </c>
      <c r="AQ193" s="2553"/>
      <c r="AR193" s="2553"/>
      <c r="AS193" s="2553"/>
      <c r="AT193" s="2553"/>
      <c r="AU193" s="2553"/>
      <c r="AV193" s="2553"/>
      <c r="AW193" s="2553"/>
      <c r="AX193" s="2553"/>
      <c r="AY193" s="2554"/>
      <c r="BA193" s="10"/>
      <c r="BB193" s="10"/>
      <c r="BC193" s="10"/>
      <c r="BD193" s="10"/>
      <c r="BE193" s="10"/>
      <c r="BF193" s="1778"/>
      <c r="BG193" s="1778"/>
      <c r="BH193" s="1778"/>
      <c r="BI193" s="1242"/>
      <c r="BJ193" s="1659"/>
      <c r="BK193" s="10"/>
      <c r="BL193" s="10"/>
      <c r="BM193" s="10"/>
      <c r="BN193" s="10"/>
      <c r="BO193" s="10"/>
      <c r="BP193" s="10"/>
      <c r="BQ193" s="10"/>
      <c r="BR193" s="10"/>
      <c r="BS193" s="10"/>
    </row>
    <row r="194" spans="1:71" ht="30" customHeight="1" x14ac:dyDescent="0.3">
      <c r="A194" s="934" t="s">
        <v>186</v>
      </c>
      <c r="B194" s="2618" t="s">
        <v>958</v>
      </c>
      <c r="C194" s="2619"/>
      <c r="D194" s="2619"/>
      <c r="E194" s="2619"/>
      <c r="F194" s="2619"/>
      <c r="G194" s="2619"/>
      <c r="H194" s="2619"/>
      <c r="I194" s="2619"/>
      <c r="J194" s="1819" t="s">
        <v>579</v>
      </c>
      <c r="K194" s="1820"/>
      <c r="L194" s="2558" t="s">
        <v>444</v>
      </c>
      <c r="M194" s="2559"/>
      <c r="N194" s="2559"/>
      <c r="O194" s="2559"/>
      <c r="P194" s="2559"/>
      <c r="Q194" s="2559"/>
      <c r="R194" s="2559"/>
      <c r="S194" s="2559"/>
      <c r="T194" s="2559"/>
      <c r="U194" s="2560"/>
      <c r="V194" s="2618" t="s">
        <v>958</v>
      </c>
      <c r="W194" s="2619"/>
      <c r="X194" s="2619"/>
      <c r="Y194" s="2619"/>
      <c r="Z194" s="2619"/>
      <c r="AA194" s="2619"/>
      <c r="AB194" s="2619"/>
      <c r="AC194" s="2619"/>
      <c r="AD194" s="1819" t="s">
        <v>580</v>
      </c>
      <c r="AE194" s="1820"/>
      <c r="AF194" s="2618" t="s">
        <v>444</v>
      </c>
      <c r="AG194" s="2619"/>
      <c r="AH194" s="2619"/>
      <c r="AI194" s="2619"/>
      <c r="AJ194" s="2619"/>
      <c r="AK194" s="2619"/>
      <c r="AL194" s="2619"/>
      <c r="AM194" s="2619"/>
      <c r="AN194" s="1819" t="s">
        <v>579</v>
      </c>
      <c r="AO194" s="1820"/>
      <c r="AP194" s="2586" t="s">
        <v>958</v>
      </c>
      <c r="AQ194" s="2584"/>
      <c r="AR194" s="2584"/>
      <c r="AS194" s="2584"/>
      <c r="AT194" s="2584"/>
      <c r="AU194" s="2584"/>
      <c r="AV194" s="2584"/>
      <c r="AW194" s="2584"/>
      <c r="AX194" s="2584"/>
      <c r="AY194" s="2585"/>
      <c r="BA194" s="10"/>
      <c r="BB194" s="10"/>
      <c r="BC194" s="10"/>
      <c r="BD194" s="10"/>
      <c r="BE194" s="10"/>
      <c r="BF194" s="10"/>
      <c r="BG194" s="10"/>
      <c r="BH194" s="10"/>
      <c r="BI194" s="10"/>
      <c r="BJ194" s="10"/>
      <c r="BK194" s="10"/>
      <c r="BL194" s="10"/>
      <c r="BM194" s="10"/>
      <c r="BN194" s="10"/>
      <c r="BO194" s="10"/>
      <c r="BP194" s="10"/>
      <c r="BQ194" s="10"/>
      <c r="BR194" s="10"/>
      <c r="BS194" s="10"/>
    </row>
    <row r="195" spans="1:71" ht="30" customHeight="1" x14ac:dyDescent="0.3">
      <c r="A195" s="935"/>
      <c r="B195" s="2549" t="s">
        <v>750</v>
      </c>
      <c r="C195" s="2550"/>
      <c r="D195" s="2550"/>
      <c r="E195" s="2550"/>
      <c r="F195" s="2550"/>
      <c r="G195" s="2550"/>
      <c r="H195" s="2550"/>
      <c r="I195" s="2550"/>
      <c r="J195" s="2550"/>
      <c r="K195" s="2551"/>
      <c r="L195" s="2555" t="s">
        <v>159</v>
      </c>
      <c r="M195" s="2556"/>
      <c r="N195" s="2556"/>
      <c r="O195" s="2556"/>
      <c r="P195" s="2556"/>
      <c r="Q195" s="2556"/>
      <c r="R195" s="2556"/>
      <c r="S195" s="2556"/>
      <c r="T195" s="2556"/>
      <c r="U195" s="2557"/>
      <c r="V195" s="2549" t="s">
        <v>750</v>
      </c>
      <c r="W195" s="2550"/>
      <c r="X195" s="2550"/>
      <c r="Y195" s="2550"/>
      <c r="Z195" s="2550"/>
      <c r="AA195" s="2550"/>
      <c r="AB195" s="2550"/>
      <c r="AC195" s="2550"/>
      <c r="AD195" s="2550"/>
      <c r="AE195" s="2551"/>
      <c r="AF195" s="2549" t="s">
        <v>751</v>
      </c>
      <c r="AG195" s="2550"/>
      <c r="AH195" s="2550"/>
      <c r="AI195" s="2550"/>
      <c r="AJ195" s="2550"/>
      <c r="AK195" s="2550"/>
      <c r="AL195" s="2550"/>
      <c r="AM195" s="2550"/>
      <c r="AN195" s="2550"/>
      <c r="AO195" s="2551"/>
      <c r="AP195" s="2555" t="s">
        <v>159</v>
      </c>
      <c r="AQ195" s="2556"/>
      <c r="AR195" s="2556"/>
      <c r="AS195" s="2556"/>
      <c r="AT195" s="2556"/>
      <c r="AU195" s="2556"/>
      <c r="AV195" s="2556"/>
      <c r="AW195" s="2556"/>
      <c r="AX195" s="2556"/>
      <c r="AY195" s="2557"/>
      <c r="BA195" s="10"/>
      <c r="BB195" s="2582"/>
      <c r="BC195" s="2582"/>
      <c r="BD195" s="2582"/>
      <c r="BE195" s="2582"/>
      <c r="BF195" s="2582"/>
      <c r="BG195" s="2582"/>
      <c r="BH195" s="2582"/>
      <c r="BI195" s="2582"/>
      <c r="BJ195" s="1817"/>
      <c r="BK195" s="1817"/>
      <c r="BL195" s="10"/>
      <c r="BM195" s="10"/>
      <c r="BN195" s="10"/>
      <c r="BO195" s="10"/>
      <c r="BP195" s="10"/>
      <c r="BQ195" s="10"/>
      <c r="BR195" s="10"/>
      <c r="BS195" s="10"/>
    </row>
    <row r="196" spans="1:71" ht="30" customHeight="1" x14ac:dyDescent="0.3">
      <c r="A196" s="934" t="s">
        <v>188</v>
      </c>
      <c r="B196" s="2618" t="s">
        <v>958</v>
      </c>
      <c r="C196" s="2619"/>
      <c r="D196" s="2619"/>
      <c r="E196" s="2619"/>
      <c r="F196" s="2619"/>
      <c r="G196" s="2619"/>
      <c r="H196" s="2619"/>
      <c r="I196" s="2619"/>
      <c r="J196" s="1819" t="s">
        <v>579</v>
      </c>
      <c r="K196" s="1820"/>
      <c r="L196" s="2586" t="s">
        <v>444</v>
      </c>
      <c r="M196" s="2584"/>
      <c r="N196" s="2584"/>
      <c r="O196" s="2584"/>
      <c r="P196" s="2584"/>
      <c r="Q196" s="2584"/>
      <c r="R196" s="2584"/>
      <c r="S196" s="2584"/>
      <c r="T196" s="2584"/>
      <c r="U196" s="2585"/>
      <c r="V196" s="2618" t="s">
        <v>958</v>
      </c>
      <c r="W196" s="2619"/>
      <c r="X196" s="2619"/>
      <c r="Y196" s="2619"/>
      <c r="Z196" s="2619"/>
      <c r="AA196" s="2619"/>
      <c r="AB196" s="2619"/>
      <c r="AC196" s="2619"/>
      <c r="AD196" s="1819" t="s">
        <v>580</v>
      </c>
      <c r="AE196" s="1820"/>
      <c r="AF196" s="2618" t="s">
        <v>444</v>
      </c>
      <c r="AG196" s="2619"/>
      <c r="AH196" s="2619"/>
      <c r="AI196" s="2619"/>
      <c r="AJ196" s="2619"/>
      <c r="AK196" s="2619"/>
      <c r="AL196" s="2619"/>
      <c r="AM196" s="2619"/>
      <c r="AN196" s="1819" t="s">
        <v>579</v>
      </c>
      <c r="AO196" s="1820"/>
      <c r="AP196" s="2586" t="s">
        <v>958</v>
      </c>
      <c r="AQ196" s="2584"/>
      <c r="AR196" s="2584"/>
      <c r="AS196" s="2584"/>
      <c r="AT196" s="2584"/>
      <c r="AU196" s="2584"/>
      <c r="AV196" s="2584"/>
      <c r="AW196" s="2584"/>
      <c r="AX196" s="2584"/>
      <c r="AY196" s="2585"/>
      <c r="BA196" s="10"/>
      <c r="BB196" s="2596"/>
      <c r="BC196" s="2596"/>
      <c r="BD196" s="2596"/>
      <c r="BE196" s="2596"/>
      <c r="BF196" s="2596"/>
      <c r="BG196" s="2596"/>
      <c r="BH196" s="2596"/>
      <c r="BI196" s="2596"/>
      <c r="BJ196" s="2596"/>
      <c r="BK196" s="2596"/>
      <c r="BL196" s="10"/>
      <c r="BM196" s="10"/>
      <c r="BN196" s="10"/>
      <c r="BO196" s="10"/>
      <c r="BP196" s="10"/>
      <c r="BQ196" s="10"/>
      <c r="BR196" s="10"/>
      <c r="BS196" s="10"/>
    </row>
    <row r="197" spans="1:71" ht="30" customHeight="1" x14ac:dyDescent="0.3">
      <c r="A197" s="935"/>
      <c r="B197" s="2549" t="s">
        <v>750</v>
      </c>
      <c r="C197" s="2550"/>
      <c r="D197" s="2550"/>
      <c r="E197" s="2550"/>
      <c r="F197" s="2550"/>
      <c r="G197" s="2550"/>
      <c r="H197" s="2550"/>
      <c r="I197" s="2550"/>
      <c r="J197" s="2550"/>
      <c r="K197" s="2551"/>
      <c r="L197" s="2555" t="s">
        <v>159</v>
      </c>
      <c r="M197" s="2556"/>
      <c r="N197" s="2556"/>
      <c r="O197" s="2556"/>
      <c r="P197" s="2556"/>
      <c r="Q197" s="2556"/>
      <c r="R197" s="2556"/>
      <c r="S197" s="2556"/>
      <c r="T197" s="2556"/>
      <c r="U197" s="2557"/>
      <c r="V197" s="2549" t="s">
        <v>750</v>
      </c>
      <c r="W197" s="2550"/>
      <c r="X197" s="2550"/>
      <c r="Y197" s="2550"/>
      <c r="Z197" s="2550"/>
      <c r="AA197" s="2550"/>
      <c r="AB197" s="2550"/>
      <c r="AC197" s="2550"/>
      <c r="AD197" s="2550"/>
      <c r="AE197" s="2551"/>
      <c r="AF197" s="2549" t="s">
        <v>751</v>
      </c>
      <c r="AG197" s="2550"/>
      <c r="AH197" s="2550"/>
      <c r="AI197" s="2550"/>
      <c r="AJ197" s="2550"/>
      <c r="AK197" s="2550"/>
      <c r="AL197" s="2550"/>
      <c r="AM197" s="2550"/>
      <c r="AN197" s="2550"/>
      <c r="AO197" s="2551"/>
      <c r="AP197" s="2555" t="s">
        <v>159</v>
      </c>
      <c r="AQ197" s="2556"/>
      <c r="AR197" s="2556"/>
      <c r="AS197" s="2556"/>
      <c r="AT197" s="2556"/>
      <c r="AU197" s="2556"/>
      <c r="AV197" s="2556"/>
      <c r="AW197" s="2556"/>
      <c r="AX197" s="2556"/>
      <c r="AY197" s="2557"/>
      <c r="BA197" s="10"/>
      <c r="BB197" s="2582"/>
      <c r="BC197" s="2582"/>
      <c r="BD197" s="2582"/>
      <c r="BE197" s="2582"/>
      <c r="BF197" s="2582"/>
      <c r="BG197" s="2582"/>
      <c r="BH197" s="2582"/>
      <c r="BI197" s="2582"/>
      <c r="BJ197" s="1817"/>
      <c r="BK197" s="1817"/>
      <c r="BL197" s="10"/>
      <c r="BM197" s="10"/>
      <c r="BN197" s="10"/>
      <c r="BO197" s="10"/>
      <c r="BP197" s="10"/>
      <c r="BQ197" s="10"/>
      <c r="BR197" s="10"/>
      <c r="BS197" s="10"/>
    </row>
    <row r="198" spans="1:71" ht="30" customHeight="1" x14ac:dyDescent="0.3">
      <c r="A198" s="934" t="s">
        <v>189</v>
      </c>
      <c r="B198" s="2581"/>
      <c r="C198" s="2582"/>
      <c r="D198" s="2582"/>
      <c r="E198" s="2582"/>
      <c r="F198" s="2582"/>
      <c r="G198" s="2582"/>
      <c r="H198" s="2582"/>
      <c r="I198" s="2582"/>
      <c r="J198" s="2582"/>
      <c r="K198" s="2583"/>
      <c r="L198" s="1862"/>
      <c r="M198" s="1681"/>
      <c r="N198" s="1681"/>
      <c r="O198" s="1681"/>
      <c r="P198" s="1681"/>
      <c r="Q198" s="1681"/>
      <c r="R198" s="1681"/>
      <c r="S198" s="1681"/>
      <c r="T198" s="1681"/>
      <c r="U198" s="1682"/>
      <c r="V198" s="2633"/>
      <c r="W198" s="2634"/>
      <c r="X198" s="2634"/>
      <c r="Y198" s="2634"/>
      <c r="Z198" s="2634"/>
      <c r="AA198" s="2634"/>
      <c r="AB198" s="2634"/>
      <c r="AC198" s="2634"/>
      <c r="AD198" s="2634"/>
      <c r="AE198" s="2635"/>
      <c r="AF198" s="2636"/>
      <c r="AG198" s="2637"/>
      <c r="AH198" s="2637"/>
      <c r="AI198" s="2637"/>
      <c r="AJ198" s="2637"/>
      <c r="AK198" s="2637"/>
      <c r="AL198" s="2637"/>
      <c r="AM198" s="2637"/>
      <c r="AN198" s="2637"/>
      <c r="AO198" s="2638"/>
      <c r="AP198" s="2636"/>
      <c r="AQ198" s="2637"/>
      <c r="AR198" s="2637"/>
      <c r="AS198" s="2637"/>
      <c r="AT198" s="2637"/>
      <c r="AU198" s="2637"/>
      <c r="AV198" s="2637"/>
      <c r="AW198" s="2637"/>
      <c r="AX198" s="2637"/>
      <c r="AY198" s="2638"/>
      <c r="BA198" s="10"/>
      <c r="BB198" s="2596"/>
      <c r="BC198" s="2596"/>
      <c r="BD198" s="2596"/>
      <c r="BE198" s="2596"/>
      <c r="BF198" s="2596"/>
      <c r="BG198" s="2596"/>
      <c r="BH198" s="2596"/>
      <c r="BI198" s="2596"/>
      <c r="BJ198" s="2596"/>
      <c r="BK198" s="2596"/>
      <c r="BL198" s="10"/>
      <c r="BM198" s="10"/>
      <c r="BN198" s="10"/>
      <c r="BO198" s="10"/>
      <c r="BP198" s="10"/>
      <c r="BQ198" s="10"/>
      <c r="BR198" s="10"/>
      <c r="BS198" s="10"/>
    </row>
    <row r="199" spans="1:71" ht="30" customHeight="1" x14ac:dyDescent="0.25">
      <c r="A199" s="935"/>
      <c r="B199" s="2653"/>
      <c r="C199" s="2643"/>
      <c r="D199" s="2643"/>
      <c r="E199" s="2643"/>
      <c r="F199" s="2643"/>
      <c r="G199" s="2643"/>
      <c r="H199" s="2643"/>
      <c r="I199" s="2643"/>
      <c r="J199" s="2643"/>
      <c r="K199" s="2644"/>
      <c r="L199" s="2642"/>
      <c r="M199" s="2596"/>
      <c r="N199" s="2596"/>
      <c r="O199" s="2596"/>
      <c r="P199" s="2596"/>
      <c r="Q199" s="2596"/>
      <c r="R199" s="2596"/>
      <c r="S199" s="2596"/>
      <c r="T199" s="2643"/>
      <c r="U199" s="2644"/>
      <c r="V199" s="2639"/>
      <c r="W199" s="2640"/>
      <c r="X199" s="2640"/>
      <c r="Y199" s="2640"/>
      <c r="Z199" s="2640"/>
      <c r="AA199" s="2640"/>
      <c r="AB199" s="2640"/>
      <c r="AC199" s="2640"/>
      <c r="AD199" s="2640"/>
      <c r="AE199" s="2641"/>
      <c r="AF199" s="2546"/>
      <c r="AG199" s="2547"/>
      <c r="AH199" s="2547"/>
      <c r="AI199" s="2547"/>
      <c r="AJ199" s="2547"/>
      <c r="AK199" s="2547"/>
      <c r="AL199" s="2547"/>
      <c r="AM199" s="2547"/>
      <c r="AN199" s="2547"/>
      <c r="AO199" s="2548"/>
      <c r="AP199" s="2546"/>
      <c r="AQ199" s="2547"/>
      <c r="AR199" s="2547"/>
      <c r="AS199" s="2547"/>
      <c r="AT199" s="2547"/>
      <c r="AU199" s="2547"/>
      <c r="AV199" s="2547"/>
      <c r="AW199" s="2547"/>
      <c r="AX199" s="2547"/>
      <c r="AY199" s="2548"/>
      <c r="BA199" s="10"/>
      <c r="BB199" s="10"/>
      <c r="BC199" s="10"/>
      <c r="BD199" s="10"/>
      <c r="BE199" s="10"/>
      <c r="BF199" s="10"/>
      <c r="BG199" s="10"/>
      <c r="BH199" s="10"/>
      <c r="BI199" s="10"/>
      <c r="BJ199" s="10"/>
      <c r="BK199" s="10"/>
      <c r="BL199" s="10"/>
      <c r="BM199" s="10"/>
      <c r="BN199" s="10"/>
      <c r="BO199" s="10"/>
      <c r="BP199" s="10"/>
      <c r="BQ199" s="10"/>
      <c r="BR199" s="10"/>
      <c r="BS199" s="10"/>
    </row>
    <row r="200" spans="1:71" ht="30" customHeight="1" x14ac:dyDescent="0.3">
      <c r="A200" s="934" t="s">
        <v>190</v>
      </c>
      <c r="B200" s="2581"/>
      <c r="C200" s="2582"/>
      <c r="D200" s="2582"/>
      <c r="E200" s="2582"/>
      <c r="F200" s="2582"/>
      <c r="G200" s="2582"/>
      <c r="H200" s="2582"/>
      <c r="I200" s="2582"/>
      <c r="J200" s="2582"/>
      <c r="K200" s="2583"/>
      <c r="L200" s="1862"/>
      <c r="M200" s="1681"/>
      <c r="N200" s="1681"/>
      <c r="O200" s="1681"/>
      <c r="P200" s="1681"/>
      <c r="Q200" s="1681"/>
      <c r="R200" s="1681"/>
      <c r="S200" s="1681"/>
      <c r="T200" s="1681"/>
      <c r="U200" s="1682"/>
      <c r="V200" s="2633"/>
      <c r="W200" s="2634"/>
      <c r="X200" s="2634"/>
      <c r="Y200" s="2634"/>
      <c r="Z200" s="2634"/>
      <c r="AA200" s="2634"/>
      <c r="AB200" s="2634"/>
      <c r="AC200" s="2634"/>
      <c r="AD200" s="2634"/>
      <c r="AE200" s="2635"/>
      <c r="AF200" s="2636"/>
      <c r="AG200" s="2637"/>
      <c r="AH200" s="2637"/>
      <c r="AI200" s="2637"/>
      <c r="AJ200" s="2637"/>
      <c r="AK200" s="2637"/>
      <c r="AL200" s="2637"/>
      <c r="AM200" s="2637"/>
      <c r="AN200" s="2637"/>
      <c r="AO200" s="2638"/>
      <c r="AP200" s="2636"/>
      <c r="AQ200" s="2637"/>
      <c r="AR200" s="2637"/>
      <c r="AS200" s="2637"/>
      <c r="AT200" s="2637"/>
      <c r="AU200" s="2637"/>
      <c r="AV200" s="2637"/>
      <c r="AW200" s="2637"/>
      <c r="AX200" s="2637"/>
      <c r="AY200" s="2638"/>
      <c r="BA200" s="10"/>
      <c r="BB200" s="10"/>
      <c r="BC200" s="10"/>
      <c r="BD200" s="10"/>
      <c r="BE200" s="10"/>
      <c r="BF200" s="10"/>
      <c r="BG200" s="10"/>
      <c r="BH200" s="10"/>
      <c r="BI200" s="10"/>
      <c r="BJ200" s="10"/>
      <c r="BK200" s="10"/>
      <c r="BL200" s="10"/>
      <c r="BM200" s="10"/>
      <c r="BN200" s="10"/>
      <c r="BO200" s="10"/>
      <c r="BP200" s="10"/>
      <c r="BQ200" s="10"/>
      <c r="BR200" s="10"/>
      <c r="BS200" s="10"/>
    </row>
    <row r="201" spans="1:71" ht="30" customHeight="1" thickBot="1" x14ac:dyDescent="0.3">
      <c r="A201" s="1798"/>
      <c r="B201" s="2645"/>
      <c r="C201" s="2646"/>
      <c r="D201" s="2646"/>
      <c r="E201" s="2646"/>
      <c r="F201" s="2646"/>
      <c r="G201" s="2646"/>
      <c r="H201" s="2646"/>
      <c r="I201" s="2646"/>
      <c r="J201" s="2646"/>
      <c r="K201" s="2647"/>
      <c r="L201" s="2645"/>
      <c r="M201" s="2646"/>
      <c r="N201" s="2646"/>
      <c r="O201" s="2646"/>
      <c r="P201" s="2646"/>
      <c r="Q201" s="2646"/>
      <c r="R201" s="2646"/>
      <c r="S201" s="2646"/>
      <c r="T201" s="2646"/>
      <c r="U201" s="2647"/>
      <c r="V201" s="2630"/>
      <c r="W201" s="2631"/>
      <c r="X201" s="2631"/>
      <c r="Y201" s="2631"/>
      <c r="Z201" s="2631"/>
      <c r="AA201" s="2631"/>
      <c r="AB201" s="2631"/>
      <c r="AC201" s="2631"/>
      <c r="AD201" s="2631"/>
      <c r="AE201" s="2632"/>
      <c r="AF201" s="2648"/>
      <c r="AG201" s="2649"/>
      <c r="AH201" s="2649"/>
      <c r="AI201" s="2649"/>
      <c r="AJ201" s="2649"/>
      <c r="AK201" s="2649"/>
      <c r="AL201" s="2649"/>
      <c r="AM201" s="2649"/>
      <c r="AN201" s="2649"/>
      <c r="AO201" s="2650"/>
      <c r="AP201" s="2648"/>
      <c r="AQ201" s="2649"/>
      <c r="AR201" s="2649"/>
      <c r="AS201" s="2649"/>
      <c r="AT201" s="2649"/>
      <c r="AU201" s="2649"/>
      <c r="AV201" s="2649"/>
      <c r="AW201" s="2649"/>
      <c r="AX201" s="2649"/>
      <c r="AY201" s="2650"/>
      <c r="BA201" s="10"/>
      <c r="BB201" s="10"/>
      <c r="BC201" s="10"/>
      <c r="BD201" s="10"/>
      <c r="BE201" s="10"/>
      <c r="BF201" s="10"/>
      <c r="BG201" s="10"/>
      <c r="BH201" s="10"/>
      <c r="BI201" s="10"/>
      <c r="BJ201" s="10"/>
      <c r="BK201" s="10"/>
      <c r="BL201" s="10"/>
      <c r="BM201" s="10"/>
      <c r="BN201" s="10"/>
      <c r="BO201" s="10"/>
      <c r="BP201" s="10"/>
      <c r="BQ201" s="10"/>
      <c r="BR201" s="10"/>
      <c r="BS201" s="10"/>
    </row>
    <row r="202" spans="1:71" ht="69.75" customHeight="1" thickBot="1" x14ac:dyDescent="0.3">
      <c r="P202" s="35"/>
    </row>
    <row r="203" spans="1:71" ht="18.75" customHeight="1" x14ac:dyDescent="0.25">
      <c r="A203" s="1246" t="s">
        <v>218</v>
      </c>
      <c r="B203" s="1428"/>
      <c r="C203" s="2130" t="s">
        <v>219</v>
      </c>
      <c r="D203" s="2130"/>
      <c r="E203" s="2130"/>
      <c r="F203" s="2130"/>
      <c r="G203" s="2130"/>
      <c r="H203" s="2130"/>
      <c r="I203" s="2130"/>
      <c r="J203" s="2130"/>
      <c r="K203" s="2130"/>
      <c r="L203" s="2130"/>
      <c r="M203" s="2130"/>
      <c r="N203" s="2130"/>
      <c r="O203" s="2130"/>
      <c r="P203" s="2130"/>
      <c r="Q203" s="2130"/>
      <c r="R203" s="2130"/>
      <c r="S203" s="2130"/>
      <c r="T203" s="1941"/>
      <c r="U203" s="2624" t="s">
        <v>333</v>
      </c>
      <c r="V203" s="2625"/>
      <c r="W203" s="2626" t="s">
        <v>143</v>
      </c>
      <c r="X203" s="1247"/>
      <c r="Y203" s="1247"/>
      <c r="Z203" s="1428"/>
      <c r="AA203" s="2627" t="s">
        <v>167</v>
      </c>
      <c r="AB203" s="2627"/>
      <c r="AC203" s="2627"/>
      <c r="AD203" s="2628"/>
      <c r="AE203" s="2628"/>
      <c r="AF203" s="2628"/>
      <c r="AG203" s="2628"/>
      <c r="AH203" s="2628"/>
      <c r="AI203" s="2628"/>
      <c r="AJ203" s="2628"/>
      <c r="AK203" s="2628"/>
      <c r="AL203" s="2628"/>
      <c r="AM203" s="2628"/>
      <c r="AN203" s="2628"/>
      <c r="AO203" s="2628"/>
      <c r="AP203" s="2628"/>
      <c r="AQ203" s="2628"/>
      <c r="AR203" s="2628"/>
      <c r="AS203" s="2628"/>
      <c r="AT203" s="2628"/>
      <c r="AU203" s="2628"/>
      <c r="AV203" s="2628"/>
      <c r="AW203" s="2628"/>
      <c r="AX203" s="2628"/>
      <c r="AY203" s="2629"/>
    </row>
    <row r="204" spans="1:71" ht="13.8" x14ac:dyDescent="0.25">
      <c r="A204" s="1065" t="str">
        <f>VLOOKUP(U204,ASIGNATURAS!$F$1:$L$1022, 3, FALSE)</f>
        <v>SIST. DISTRIB.</v>
      </c>
      <c r="B204" s="1066"/>
      <c r="C204" s="982" t="str">
        <f>VLOOKUP(U204,ASIGNATURAS!$F$1:$L$1022, 4, FALSE)</f>
        <v>Sistemas Distribuidos</v>
      </c>
      <c r="D204" s="983"/>
      <c r="E204" s="983"/>
      <c r="F204" s="983"/>
      <c r="G204" s="983"/>
      <c r="H204" s="983"/>
      <c r="I204" s="983"/>
      <c r="J204" s="983"/>
      <c r="K204" s="983"/>
      <c r="L204" s="983"/>
      <c r="M204" s="983"/>
      <c r="N204" s="983"/>
      <c r="O204" s="983"/>
      <c r="P204" s="983"/>
      <c r="Q204" s="983"/>
      <c r="R204" s="992"/>
      <c r="S204" s="992"/>
      <c r="T204" s="1018"/>
      <c r="U204" s="981">
        <v>8835</v>
      </c>
      <c r="V204" s="1071"/>
      <c r="W204" s="981" t="str">
        <f>VLOOKUP(U204,ASIGNATURAS!$F$1:$L$1022, 5, FALSE)</f>
        <v>6 (OP)</v>
      </c>
      <c r="X204" s="972"/>
      <c r="Y204" s="972"/>
      <c r="Z204" s="1071"/>
      <c r="AA204" s="982" t="str">
        <f>VLOOKUP(U204,ASIGNATURAS!$F$1:$L$1022, 6, FALSE)</f>
        <v>José Manuel Aroca Fernández</v>
      </c>
      <c r="AB204" s="982"/>
      <c r="AC204" s="982"/>
      <c r="AD204" s="983"/>
      <c r="AE204" s="983"/>
      <c r="AF204" s="983"/>
      <c r="AG204" s="983"/>
      <c r="AH204" s="983"/>
      <c r="AI204" s="983"/>
      <c r="AJ204" s="983"/>
      <c r="AK204" s="983"/>
      <c r="AL204" s="983"/>
      <c r="AM204" s="983"/>
      <c r="AN204" s="983"/>
      <c r="AO204" s="983"/>
      <c r="AP204" s="983"/>
      <c r="AQ204" s="983"/>
      <c r="AR204" s="983"/>
      <c r="AS204" s="983"/>
      <c r="AT204" s="983"/>
      <c r="AU204" s="983"/>
      <c r="AV204" s="983"/>
      <c r="AW204" s="983"/>
      <c r="AX204" s="983"/>
      <c r="AY204" s="1018"/>
    </row>
    <row r="205" spans="1:71" ht="13.8" x14ac:dyDescent="0.25">
      <c r="A205" s="2575" t="str">
        <f>VLOOKUP(U205,ASIGNATURAS!$F$1:$L$1022, 3, FALSE)</f>
        <v>SIST. EMPOT.</v>
      </c>
      <c r="B205" s="2576"/>
      <c r="C205" s="2577" t="str">
        <f>VLOOKUP(U205,ASIGNATURAS!$F$1:$L$1022, 4, FALSE)</f>
        <v>Sistemas Empotrados y de Tiempo Real</v>
      </c>
      <c r="D205" s="2578"/>
      <c r="E205" s="2578"/>
      <c r="F205" s="2578"/>
      <c r="G205" s="2578"/>
      <c r="H205" s="2578"/>
      <c r="I205" s="2578"/>
      <c r="J205" s="2578"/>
      <c r="K205" s="2578"/>
      <c r="L205" s="2578"/>
      <c r="M205" s="2578"/>
      <c r="N205" s="2578"/>
      <c r="O205" s="2578"/>
      <c r="P205" s="2578"/>
      <c r="Q205" s="2578"/>
      <c r="R205" s="2579"/>
      <c r="S205" s="2579"/>
      <c r="T205" s="2580"/>
      <c r="U205" s="981">
        <v>8842</v>
      </c>
      <c r="V205" s="1071"/>
      <c r="W205" s="981" t="str">
        <f>VLOOKUP(U205,ASIGNATURAS!$F$1:$L$1022, 5, FALSE)</f>
        <v>6 (OP)</v>
      </c>
      <c r="X205" s="972"/>
      <c r="Y205" s="972"/>
      <c r="Z205" s="1071"/>
      <c r="AA205" s="2651" t="s">
        <v>1190</v>
      </c>
      <c r="AB205" s="982"/>
      <c r="AC205" s="982"/>
      <c r="AD205" s="983"/>
      <c r="AE205" s="983"/>
      <c r="AF205" s="983"/>
      <c r="AG205" s="983"/>
      <c r="AH205" s="983"/>
      <c r="AI205" s="983"/>
      <c r="AJ205" s="983"/>
      <c r="AK205" s="983"/>
      <c r="AL205" s="983"/>
      <c r="AM205" s="983"/>
      <c r="AN205" s="983"/>
      <c r="AO205" s="983"/>
      <c r="AP205" s="983"/>
      <c r="AQ205" s="983"/>
      <c r="AR205" s="983"/>
      <c r="AS205" s="983"/>
      <c r="AT205" s="983"/>
      <c r="AU205" s="983"/>
      <c r="AV205" s="983"/>
      <c r="AW205" s="983"/>
      <c r="AX205" s="983"/>
      <c r="AY205" s="1018"/>
    </row>
    <row r="206" spans="1:71" ht="14.25" customHeight="1" x14ac:dyDescent="0.25">
      <c r="A206" s="2575" t="str">
        <f>VLOOKUP(U206,ASIGNATURAS!$F$1:$L$1022, 3, FALSE)</f>
        <v>MET. FORMALES</v>
      </c>
      <c r="B206" s="2576"/>
      <c r="C206" s="2577" t="str">
        <f>VLOOKUP(U206,ASIGNATURAS!$F$1:$L$1022, 4, FALSE)</f>
        <v>Métodos Formales</v>
      </c>
      <c r="D206" s="2578"/>
      <c r="E206" s="2578"/>
      <c r="F206" s="2578"/>
      <c r="G206" s="2578"/>
      <c r="H206" s="2578"/>
      <c r="I206" s="2578"/>
      <c r="J206" s="2578"/>
      <c r="K206" s="2578"/>
      <c r="L206" s="2578"/>
      <c r="M206" s="2578"/>
      <c r="N206" s="2578"/>
      <c r="O206" s="2578"/>
      <c r="P206" s="2578"/>
      <c r="Q206" s="2578"/>
      <c r="R206" s="2579"/>
      <c r="S206" s="2579"/>
      <c r="T206" s="2580"/>
      <c r="U206" s="981">
        <v>8843</v>
      </c>
      <c r="V206" s="1071"/>
      <c r="W206" s="981" t="str">
        <f>VLOOKUP(U206,ASIGNATURAS!$F$1:$L$1022, 5, FALSE)</f>
        <v>6 (OP)</v>
      </c>
      <c r="X206" s="972"/>
      <c r="Y206" s="972"/>
      <c r="Z206" s="1071"/>
      <c r="AA206" s="2651" t="s">
        <v>1190</v>
      </c>
      <c r="AB206" s="982"/>
      <c r="AC206" s="982"/>
      <c r="AD206" s="983"/>
      <c r="AE206" s="983"/>
      <c r="AF206" s="983"/>
      <c r="AG206" s="983"/>
      <c r="AH206" s="983"/>
      <c r="AI206" s="983"/>
      <c r="AJ206" s="983"/>
      <c r="AK206" s="983"/>
      <c r="AL206" s="983"/>
      <c r="AM206" s="983"/>
      <c r="AN206" s="983"/>
      <c r="AO206" s="983"/>
      <c r="AP206" s="983"/>
      <c r="AQ206" s="983"/>
      <c r="AR206" s="983"/>
      <c r="AS206" s="983"/>
      <c r="AT206" s="983"/>
      <c r="AU206" s="983"/>
      <c r="AV206" s="983"/>
      <c r="AW206" s="983"/>
      <c r="AX206" s="983"/>
      <c r="AY206" s="1018"/>
    </row>
    <row r="207" spans="1:71" ht="14.25" customHeight="1" x14ac:dyDescent="0.25">
      <c r="A207" s="1065" t="str">
        <f>VLOOKUP(U207,ASIGNATURAS!$F$1:$L$1022, 3, FALSE)</f>
        <v>NUEVAS TECN.</v>
      </c>
      <c r="B207" s="1066"/>
      <c r="C207" s="982" t="str">
        <f>VLOOKUP(U207,ASIGNATURAS!$F$1:$L$1022, 4, FALSE)</f>
        <v>Nuevas Tecnologías y Empresa</v>
      </c>
      <c r="D207" s="983"/>
      <c r="E207" s="983"/>
      <c r="F207" s="983"/>
      <c r="G207" s="983"/>
      <c r="H207" s="983"/>
      <c r="I207" s="983"/>
      <c r="J207" s="983"/>
      <c r="K207" s="983"/>
      <c r="L207" s="983"/>
      <c r="M207" s="983"/>
      <c r="N207" s="983"/>
      <c r="O207" s="983"/>
      <c r="P207" s="983"/>
      <c r="Q207" s="983"/>
      <c r="R207" s="992"/>
      <c r="S207" s="992"/>
      <c r="T207" s="1018"/>
      <c r="U207" s="981">
        <v>8836</v>
      </c>
      <c r="V207" s="1071"/>
      <c r="W207" s="981" t="str">
        <f>VLOOKUP(U207,ASIGNATURAS!$F$1:$L$1022, 5, FALSE)</f>
        <v>6 (OP)</v>
      </c>
      <c r="X207" s="972"/>
      <c r="Y207" s="972"/>
      <c r="Z207" s="1071"/>
      <c r="AA207" s="2652" t="str">
        <f>VLOOKUP(U207,ASIGNATURAS!$F$1:$L$1022, 6, FALSE)</f>
        <v>Jose Ignacio Santos Martín, Virginia Ahedo</v>
      </c>
      <c r="AB207" s="947"/>
      <c r="AC207" s="947"/>
      <c r="AD207" s="948"/>
      <c r="AE207" s="948"/>
      <c r="AF207" s="948"/>
      <c r="AG207" s="948"/>
      <c r="AH207" s="948"/>
      <c r="AI207" s="948"/>
      <c r="AJ207" s="948"/>
      <c r="AK207" s="948"/>
      <c r="AL207" s="948"/>
      <c r="AM207" s="948"/>
      <c r="AN207" s="948"/>
      <c r="AO207" s="948"/>
      <c r="AP207" s="948"/>
      <c r="AQ207" s="948"/>
      <c r="AR207" s="948"/>
      <c r="AS207" s="948"/>
      <c r="AT207" s="948"/>
      <c r="AU207" s="948"/>
      <c r="AV207" s="948"/>
      <c r="AW207" s="948"/>
      <c r="AX207" s="948"/>
      <c r="AY207" s="2587"/>
    </row>
    <row r="208" spans="1:71" ht="13.8" x14ac:dyDescent="0.25">
      <c r="A208" s="1065" t="str">
        <f>VLOOKUP(U208,ASIGNATURAS!$F$1:$L$1022, 3, FALSE)</f>
        <v>MINERÍA</v>
      </c>
      <c r="B208" s="1066"/>
      <c r="C208" s="982" t="str">
        <f>VLOOKUP(U208,ASIGNATURAS!$F$1:$L$1022, 4, FALSE)</f>
        <v>Minería de Datos</v>
      </c>
      <c r="D208" s="983"/>
      <c r="E208" s="983"/>
      <c r="F208" s="983"/>
      <c r="G208" s="983"/>
      <c r="H208" s="983"/>
      <c r="I208" s="983"/>
      <c r="J208" s="983"/>
      <c r="K208" s="983"/>
      <c r="L208" s="983"/>
      <c r="M208" s="983"/>
      <c r="N208" s="983"/>
      <c r="O208" s="983"/>
      <c r="P208" s="983"/>
      <c r="Q208" s="983"/>
      <c r="R208" s="992"/>
      <c r="S208" s="992"/>
      <c r="T208" s="1018"/>
      <c r="U208" s="981">
        <v>8837</v>
      </c>
      <c r="V208" s="1071"/>
      <c r="W208" s="981" t="str">
        <f>VLOOKUP(U208,ASIGNATURAS!$F$1:$L$1022, 5, FALSE)</f>
        <v>6 (OP)</v>
      </c>
      <c r="X208" s="972"/>
      <c r="Y208" s="972"/>
      <c r="Z208" s="1071"/>
      <c r="AA208" s="982" t="str">
        <f>VLOOKUP(U208,ASIGNATURAS!$F$1:$L$1022, 6, FALSE)</f>
        <v>Juan José Rodríguez Díez</v>
      </c>
      <c r="AB208" s="982"/>
      <c r="AC208" s="982"/>
      <c r="AD208" s="983"/>
      <c r="AE208" s="983"/>
      <c r="AF208" s="983"/>
      <c r="AG208" s="983"/>
      <c r="AH208" s="983"/>
      <c r="AI208" s="983"/>
      <c r="AJ208" s="983"/>
      <c r="AK208" s="983"/>
      <c r="AL208" s="983"/>
      <c r="AM208" s="983"/>
      <c r="AN208" s="983"/>
      <c r="AO208" s="983"/>
      <c r="AP208" s="983"/>
      <c r="AQ208" s="983"/>
      <c r="AR208" s="983"/>
      <c r="AS208" s="983"/>
      <c r="AT208" s="983"/>
      <c r="AU208" s="983"/>
      <c r="AV208" s="983"/>
      <c r="AW208" s="983"/>
      <c r="AX208" s="983"/>
      <c r="AY208" s="1018"/>
    </row>
    <row r="209" spans="1:51" ht="14.4" thickBot="1" x14ac:dyDescent="0.3">
      <c r="A209" s="1097" t="str">
        <f>VLOOKUP(U209,ASIGNATURAS!$F$1:$L$1022, 3, FALSE)</f>
        <v>D.A.SISTEMAS</v>
      </c>
      <c r="B209" s="1098"/>
      <c r="C209" s="1088" t="str">
        <f>VLOOKUP(U209,ASIGNATURAS!$F$1:$L$1022, 4, FALSE)</f>
        <v>Desarrollo Avanzado de Sistemas Software</v>
      </c>
      <c r="D209" s="1089"/>
      <c r="E209" s="1089"/>
      <c r="F209" s="1089"/>
      <c r="G209" s="1089"/>
      <c r="H209" s="1089"/>
      <c r="I209" s="1089"/>
      <c r="J209" s="1089"/>
      <c r="K209" s="1089"/>
      <c r="L209" s="1089"/>
      <c r="M209" s="1089"/>
      <c r="N209" s="1089"/>
      <c r="O209" s="1089"/>
      <c r="P209" s="1089"/>
      <c r="Q209" s="1089"/>
      <c r="R209" s="1788"/>
      <c r="S209" s="1788"/>
      <c r="T209" s="1090"/>
      <c r="U209" s="1099">
        <v>8838</v>
      </c>
      <c r="V209" s="1100"/>
      <c r="W209" s="1099" t="str">
        <f>VLOOKUP(U209,ASIGNATURAS!$F$1:$L$1022, 5, FALSE)</f>
        <v>6 (OP)</v>
      </c>
      <c r="X209" s="1279"/>
      <c r="Y209" s="1279"/>
      <c r="Z209" s="1100"/>
      <c r="AA209" s="1088" t="str">
        <f>VLOOKUP(U209,ASIGNATURAS!$F$1:$L$1022, 6, FALSE)</f>
        <v>Carlos López Nozal</v>
      </c>
      <c r="AB209" s="1088"/>
      <c r="AC209" s="1088"/>
      <c r="AD209" s="1089"/>
      <c r="AE209" s="1089"/>
      <c r="AF209" s="1089"/>
      <c r="AG209" s="1089"/>
      <c r="AH209" s="1089"/>
      <c r="AI209" s="1089"/>
      <c r="AJ209" s="1089"/>
      <c r="AK209" s="1089"/>
      <c r="AL209" s="1089"/>
      <c r="AM209" s="1089"/>
      <c r="AN209" s="1089"/>
      <c r="AO209" s="1089"/>
      <c r="AP209" s="1089"/>
      <c r="AQ209" s="1089"/>
      <c r="AR209" s="1089"/>
      <c r="AS209" s="1089"/>
      <c r="AT209" s="1089"/>
      <c r="AU209" s="1089"/>
      <c r="AV209" s="1089"/>
      <c r="AW209" s="1089"/>
      <c r="AX209" s="1089"/>
      <c r="AY209" s="1090"/>
    </row>
    <row r="212" spans="1:51" ht="24" customHeight="1" x14ac:dyDescent="0.25">
      <c r="A212" s="1101" t="s">
        <v>169</v>
      </c>
      <c r="B212" s="1101"/>
      <c r="C212" s="1101"/>
      <c r="D212" s="1101"/>
      <c r="E212" s="1101"/>
      <c r="F212" s="1101"/>
      <c r="G212" s="1101"/>
      <c r="H212" s="275"/>
      <c r="I212" s="275"/>
    </row>
    <row r="213" spans="1:51" ht="24" customHeight="1" x14ac:dyDescent="0.25">
      <c r="A213" s="1102" t="s">
        <v>1045</v>
      </c>
      <c r="B213" s="1102"/>
      <c r="C213" s="1102"/>
      <c r="D213" s="1102"/>
      <c r="E213" s="1102"/>
      <c r="F213" s="1102"/>
      <c r="G213" s="1102"/>
      <c r="H213" s="275"/>
      <c r="I213" s="275"/>
    </row>
    <row r="215" spans="1:51" ht="17.399999999999999" x14ac:dyDescent="0.3">
      <c r="A215" s="106" t="s">
        <v>217</v>
      </c>
    </row>
  </sheetData>
  <mergeCells count="968">
    <mergeCell ref="AF13:AK13"/>
    <mergeCell ref="AL13:AN13"/>
    <mergeCell ref="V12:AA12"/>
    <mergeCell ref="AB12:AD12"/>
    <mergeCell ref="V13:AA13"/>
    <mergeCell ref="AB13:AD13"/>
    <mergeCell ref="A21:B21"/>
    <mergeCell ref="A27:G27"/>
    <mergeCell ref="A28:G28"/>
    <mergeCell ref="A19:B19"/>
    <mergeCell ref="C19:T19"/>
    <mergeCell ref="U19:V19"/>
    <mergeCell ref="W19:Z19"/>
    <mergeCell ref="AA19:AY19"/>
    <mergeCell ref="A20:B20"/>
    <mergeCell ref="C20:T20"/>
    <mergeCell ref="U20:V20"/>
    <mergeCell ref="W20:Z20"/>
    <mergeCell ref="D15:D17"/>
    <mergeCell ref="AP12:AU12"/>
    <mergeCell ref="AP13:AU13"/>
    <mergeCell ref="AF12:AK12"/>
    <mergeCell ref="AL12:AN12"/>
    <mergeCell ref="C23:T23"/>
    <mergeCell ref="A34:AO34"/>
    <mergeCell ref="A22:B22"/>
    <mergeCell ref="W23:Z23"/>
    <mergeCell ref="AA23:AY23"/>
    <mergeCell ref="A24:B24"/>
    <mergeCell ref="C24:T24"/>
    <mergeCell ref="U24:V24"/>
    <mergeCell ref="A12:A13"/>
    <mergeCell ref="R13:T13"/>
    <mergeCell ref="A16:A17"/>
    <mergeCell ref="A14:A15"/>
    <mergeCell ref="Q14:Q17"/>
    <mergeCell ref="P15:P17"/>
    <mergeCell ref="L15:L17"/>
    <mergeCell ref="I14:I17"/>
    <mergeCell ref="O14:O17"/>
    <mergeCell ref="N15:N17"/>
    <mergeCell ref="B15:B17"/>
    <mergeCell ref="R15:R17"/>
    <mergeCell ref="S14:S17"/>
    <mergeCell ref="E14:E17"/>
    <mergeCell ref="L12:Q12"/>
    <mergeCell ref="R12:T12"/>
    <mergeCell ref="L13:Q13"/>
    <mergeCell ref="A41:A42"/>
    <mergeCell ref="AA24:AY24"/>
    <mergeCell ref="L44:Q44"/>
    <mergeCell ref="R44:T44"/>
    <mergeCell ref="L45:Q45"/>
    <mergeCell ref="R45:T45"/>
    <mergeCell ref="L46:Q46"/>
    <mergeCell ref="R46:T46"/>
    <mergeCell ref="V43:AA43"/>
    <mergeCell ref="C39:C42"/>
    <mergeCell ref="E39:E42"/>
    <mergeCell ref="A35:AO35"/>
    <mergeCell ref="AP35:AY36"/>
    <mergeCell ref="B45:G45"/>
    <mergeCell ref="H45:J45"/>
    <mergeCell ref="B46:G46"/>
    <mergeCell ref="H46:J46"/>
    <mergeCell ref="AF45:AK45"/>
    <mergeCell ref="AL45:AN45"/>
    <mergeCell ref="L43:Q43"/>
    <mergeCell ref="R43:T43"/>
    <mergeCell ref="AQ39:AQ42"/>
    <mergeCell ref="AS39:AS42"/>
    <mergeCell ref="B40:B42"/>
    <mergeCell ref="J40:J42"/>
    <mergeCell ref="A23:B23"/>
    <mergeCell ref="AP43:AU43"/>
    <mergeCell ref="AV43:AX43"/>
    <mergeCell ref="AP44:AU44"/>
    <mergeCell ref="AV44:AX44"/>
    <mergeCell ref="V44:AA44"/>
    <mergeCell ref="AB44:AD44"/>
    <mergeCell ref="AB43:AD43"/>
    <mergeCell ref="AF44:AK44"/>
    <mergeCell ref="AL44:AN44"/>
    <mergeCell ref="B43:G43"/>
    <mergeCell ref="H43:J43"/>
    <mergeCell ref="B44:G44"/>
    <mergeCell ref="H44:J44"/>
    <mergeCell ref="U23:V23"/>
    <mergeCell ref="AF38:AO38"/>
    <mergeCell ref="A36:AO36"/>
    <mergeCell ref="L40:L42"/>
    <mergeCell ref="N40:N42"/>
    <mergeCell ref="D40:D42"/>
    <mergeCell ref="G39:G42"/>
    <mergeCell ref="F40:F42"/>
    <mergeCell ref="W39:W42"/>
    <mergeCell ref="I39:I42"/>
    <mergeCell ref="H40:H42"/>
    <mergeCell ref="K39:K42"/>
    <mergeCell ref="V40:V42"/>
    <mergeCell ref="B70:K70"/>
    <mergeCell ref="L70:U70"/>
    <mergeCell ref="V70:AE70"/>
    <mergeCell ref="A56:B56"/>
    <mergeCell ref="C56:T56"/>
    <mergeCell ref="U56:V56"/>
    <mergeCell ref="W56:Z56"/>
    <mergeCell ref="AA56:AY56"/>
    <mergeCell ref="AP66:AY66"/>
    <mergeCell ref="A67:AO67"/>
    <mergeCell ref="AP67:AY68"/>
    <mergeCell ref="A68:AO68"/>
    <mergeCell ref="A57:B57"/>
    <mergeCell ref="C57:T57"/>
    <mergeCell ref="U57:V57"/>
    <mergeCell ref="W57:Z57"/>
    <mergeCell ref="AA57:AY57"/>
    <mergeCell ref="AF70:AO70"/>
    <mergeCell ref="A39:A40"/>
    <mergeCell ref="AB40:AB42"/>
    <mergeCell ref="A75:A76"/>
    <mergeCell ref="B75:K75"/>
    <mergeCell ref="L75:U75"/>
    <mergeCell ref="V75:AE75"/>
    <mergeCell ref="AF75:AO75"/>
    <mergeCell ref="B72:B74"/>
    <mergeCell ref="D72:D74"/>
    <mergeCell ref="F72:F74"/>
    <mergeCell ref="J72:J74"/>
    <mergeCell ref="G71:G74"/>
    <mergeCell ref="K71:K74"/>
    <mergeCell ref="A73:A74"/>
    <mergeCell ref="Q71:Q74"/>
    <mergeCell ref="P72:P74"/>
    <mergeCell ref="L72:L74"/>
    <mergeCell ref="N72:N74"/>
    <mergeCell ref="A71:A72"/>
    <mergeCell ref="AA71:AA74"/>
    <mergeCell ref="AE71:AE74"/>
    <mergeCell ref="AG71:AG74"/>
    <mergeCell ref="M71:M74"/>
    <mergeCell ref="O71:O74"/>
    <mergeCell ref="AM71:AM74"/>
    <mergeCell ref="AF76:AO76"/>
    <mergeCell ref="AX7:AX9"/>
    <mergeCell ref="AF7:AF9"/>
    <mergeCell ref="AT7:AT9"/>
    <mergeCell ref="AL15:AL17"/>
    <mergeCell ref="AM14:AM17"/>
    <mergeCell ref="AK14:AK17"/>
    <mergeCell ref="AJ15:AJ17"/>
    <mergeCell ref="AI14:AI17"/>
    <mergeCell ref="AH15:AH17"/>
    <mergeCell ref="AG14:AG17"/>
    <mergeCell ref="AF15:AF17"/>
    <mergeCell ref="AQ6:AQ9"/>
    <mergeCell ref="AU6:AU9"/>
    <mergeCell ref="AS14:AS17"/>
    <mergeCell ref="AR15:AR17"/>
    <mergeCell ref="AV10:AX10"/>
    <mergeCell ref="AV11:AX11"/>
    <mergeCell ref="AV12:AX12"/>
    <mergeCell ref="AV13:AX13"/>
    <mergeCell ref="AF10:AK10"/>
    <mergeCell ref="AM6:AM9"/>
    <mergeCell ref="AL7:AL9"/>
    <mergeCell ref="AP10:AU10"/>
    <mergeCell ref="AP11:AU11"/>
    <mergeCell ref="A1:AO1"/>
    <mergeCell ref="AP1:AY1"/>
    <mergeCell ref="A2:AO2"/>
    <mergeCell ref="AP2:AY3"/>
    <mergeCell ref="A3:AO3"/>
    <mergeCell ref="L5:U5"/>
    <mergeCell ref="V5:AE5"/>
    <mergeCell ref="AF5:AO5"/>
    <mergeCell ref="AP5:AY5"/>
    <mergeCell ref="B5:K5"/>
    <mergeCell ref="A8:A9"/>
    <mergeCell ref="AB7:AB9"/>
    <mergeCell ref="B7:B9"/>
    <mergeCell ref="C6:C9"/>
    <mergeCell ref="A6:A7"/>
    <mergeCell ref="E6:E9"/>
    <mergeCell ref="AA6:AA9"/>
    <mergeCell ref="Z7:Z9"/>
    <mergeCell ref="O6:O9"/>
    <mergeCell ref="Q6:Q9"/>
    <mergeCell ref="P7:P9"/>
    <mergeCell ref="J7:J9"/>
    <mergeCell ref="H7:H9"/>
    <mergeCell ref="L7:L9"/>
    <mergeCell ref="N7:N9"/>
    <mergeCell ref="U6:U9"/>
    <mergeCell ref="Y6:Y9"/>
    <mergeCell ref="T7:T9"/>
    <mergeCell ref="I6:I9"/>
    <mergeCell ref="M6:M9"/>
    <mergeCell ref="K6:K9"/>
    <mergeCell ref="D7:D9"/>
    <mergeCell ref="X7:X9"/>
    <mergeCell ref="A10:A11"/>
    <mergeCell ref="W6:W9"/>
    <mergeCell ref="V7:V9"/>
    <mergeCell ref="AP38:AY38"/>
    <mergeCell ref="AY6:AY9"/>
    <mergeCell ref="AW6:AW9"/>
    <mergeCell ref="AV7:AV9"/>
    <mergeCell ref="AI6:AI9"/>
    <mergeCell ref="AH7:AH9"/>
    <mergeCell ref="F7:F9"/>
    <mergeCell ref="AP7:AP9"/>
    <mergeCell ref="AS6:AS9"/>
    <mergeCell ref="AO6:AO9"/>
    <mergeCell ref="G6:G9"/>
    <mergeCell ref="AR7:AR9"/>
    <mergeCell ref="AN7:AN9"/>
    <mergeCell ref="C21:T21"/>
    <mergeCell ref="U21:V21"/>
    <mergeCell ref="W21:Z21"/>
    <mergeCell ref="AL10:AN10"/>
    <mergeCell ref="AF11:AK11"/>
    <mergeCell ref="AL11:AN11"/>
    <mergeCell ref="B38:K38"/>
    <mergeCell ref="L38:U38"/>
    <mergeCell ref="BT44:BW44"/>
    <mergeCell ref="AO39:AO42"/>
    <mergeCell ref="M39:M42"/>
    <mergeCell ref="O39:O42"/>
    <mergeCell ref="S39:S42"/>
    <mergeCell ref="Y39:Y42"/>
    <mergeCell ref="R40:R42"/>
    <mergeCell ref="X40:X42"/>
    <mergeCell ref="BA40:BJ40"/>
    <mergeCell ref="U39:U42"/>
    <mergeCell ref="AE39:AE42"/>
    <mergeCell ref="AP40:AP42"/>
    <mergeCell ref="AR40:AR42"/>
    <mergeCell ref="AX40:AX42"/>
    <mergeCell ref="AN40:AN42"/>
    <mergeCell ref="AU39:AU42"/>
    <mergeCell ref="AT40:AT42"/>
    <mergeCell ref="BN43:BR43"/>
    <mergeCell ref="BN44:BR44"/>
    <mergeCell ref="BT43:BW43"/>
    <mergeCell ref="AC39:AC42"/>
    <mergeCell ref="AF43:AK43"/>
    <mergeCell ref="AL43:AN43"/>
    <mergeCell ref="BI41:BJ41"/>
    <mergeCell ref="BB49:BG49"/>
    <mergeCell ref="AP45:AU45"/>
    <mergeCell ref="AV45:AX45"/>
    <mergeCell ref="V45:AA45"/>
    <mergeCell ref="AB45:AD45"/>
    <mergeCell ref="BC46:BL46"/>
    <mergeCell ref="AJ48:AJ50"/>
    <mergeCell ref="AC47:AC50"/>
    <mergeCell ref="AG47:AG50"/>
    <mergeCell ref="AO47:AO50"/>
    <mergeCell ref="AP46:AU46"/>
    <mergeCell ref="AV46:AX46"/>
    <mergeCell ref="AF46:AK46"/>
    <mergeCell ref="AL46:AN46"/>
    <mergeCell ref="V46:AA46"/>
    <mergeCell ref="AB46:AD46"/>
    <mergeCell ref="AH47:AI50"/>
    <mergeCell ref="Y47:Y50"/>
    <mergeCell ref="AK47:AK50"/>
    <mergeCell ref="AY47:AY50"/>
    <mergeCell ref="AX48:AX50"/>
    <mergeCell ref="AP47:AS47"/>
    <mergeCell ref="AT47:AV47"/>
    <mergeCell ref="BA42:BH42"/>
    <mergeCell ref="AW39:AW42"/>
    <mergeCell ref="AV40:AV42"/>
    <mergeCell ref="AD40:AD42"/>
    <mergeCell ref="AM39:AM42"/>
    <mergeCell ref="AL40:AL42"/>
    <mergeCell ref="AI39:AI42"/>
    <mergeCell ref="AH40:AH42"/>
    <mergeCell ref="AY39:AY42"/>
    <mergeCell ref="BA41:BH41"/>
    <mergeCell ref="B48:B50"/>
    <mergeCell ref="S47:S50"/>
    <mergeCell ref="R48:R50"/>
    <mergeCell ref="X48:X50"/>
    <mergeCell ref="A43:A44"/>
    <mergeCell ref="A55:B55"/>
    <mergeCell ref="C55:T55"/>
    <mergeCell ref="U55:V55"/>
    <mergeCell ref="W55:Z55"/>
    <mergeCell ref="A45:A46"/>
    <mergeCell ref="A47:A48"/>
    <mergeCell ref="A49:A50"/>
    <mergeCell ref="U47:U50"/>
    <mergeCell ref="A54:B54"/>
    <mergeCell ref="C54:T54"/>
    <mergeCell ref="U54:V54"/>
    <mergeCell ref="W54:Z54"/>
    <mergeCell ref="A52:B52"/>
    <mergeCell ref="C52:T52"/>
    <mergeCell ref="U52:V52"/>
    <mergeCell ref="W52:Z52"/>
    <mergeCell ref="T48:T50"/>
    <mergeCell ref="C47:C50"/>
    <mergeCell ref="AA52:AY52"/>
    <mergeCell ref="A53:B53"/>
    <mergeCell ref="C53:T53"/>
    <mergeCell ref="U53:V53"/>
    <mergeCell ref="AA53:AY53"/>
    <mergeCell ref="W53:Z53"/>
    <mergeCell ref="B76:K76"/>
    <mergeCell ref="L76:U76"/>
    <mergeCell ref="V76:AE76"/>
    <mergeCell ref="U71:U74"/>
    <mergeCell ref="W71:W74"/>
    <mergeCell ref="Y71:Y74"/>
    <mergeCell ref="T72:T74"/>
    <mergeCell ref="V72:V74"/>
    <mergeCell ref="X72:X74"/>
    <mergeCell ref="Z72:Z74"/>
    <mergeCell ref="AD72:AD74"/>
    <mergeCell ref="C71:C74"/>
    <mergeCell ref="E71:E74"/>
    <mergeCell ref="AR72:AR74"/>
    <mergeCell ref="AT72:AT74"/>
    <mergeCell ref="AX72:AX74"/>
    <mergeCell ref="AQ71:AQ74"/>
    <mergeCell ref="AS71:AS74"/>
    <mergeCell ref="A79:A80"/>
    <mergeCell ref="A81:A82"/>
    <mergeCell ref="A84:B84"/>
    <mergeCell ref="C84:T84"/>
    <mergeCell ref="U84:V84"/>
    <mergeCell ref="W84:Z84"/>
    <mergeCell ref="AA84:AY84"/>
    <mergeCell ref="A77:A78"/>
    <mergeCell ref="B77:K77"/>
    <mergeCell ref="L77:U77"/>
    <mergeCell ref="V77:AE77"/>
    <mergeCell ref="AF77:AO77"/>
    <mergeCell ref="AP77:AY77"/>
    <mergeCell ref="B78:K78"/>
    <mergeCell ref="L78:U78"/>
    <mergeCell ref="V78:AE78"/>
    <mergeCell ref="AF78:AO78"/>
    <mergeCell ref="AC79:AC82"/>
    <mergeCell ref="AB80:AB82"/>
    <mergeCell ref="AJ80:AJ82"/>
    <mergeCell ref="AK79:AK82"/>
    <mergeCell ref="F79:F82"/>
    <mergeCell ref="E80:E82"/>
    <mergeCell ref="AP78:AY78"/>
    <mergeCell ref="A85:B85"/>
    <mergeCell ref="C85:T85"/>
    <mergeCell ref="U85:V85"/>
    <mergeCell ref="W85:Z85"/>
    <mergeCell ref="AA85:AY85"/>
    <mergeCell ref="A86:B86"/>
    <mergeCell ref="C86:T86"/>
    <mergeCell ref="U86:V86"/>
    <mergeCell ref="W86:Z86"/>
    <mergeCell ref="AA86:AY86"/>
    <mergeCell ref="A99:AO99"/>
    <mergeCell ref="A87:B87"/>
    <mergeCell ref="C87:T87"/>
    <mergeCell ref="U87:V87"/>
    <mergeCell ref="W87:Z87"/>
    <mergeCell ref="AA87:AY87"/>
    <mergeCell ref="A88:B88"/>
    <mergeCell ref="C88:T88"/>
    <mergeCell ref="U88:V88"/>
    <mergeCell ref="W88:Z88"/>
    <mergeCell ref="AA88:AY88"/>
    <mergeCell ref="AP99:AY100"/>
    <mergeCell ref="A100:AO100"/>
    <mergeCell ref="A89:B89"/>
    <mergeCell ref="C89:T89"/>
    <mergeCell ref="U89:V89"/>
    <mergeCell ref="W89:Z89"/>
    <mergeCell ref="AA89:AY89"/>
    <mergeCell ref="A92:G92"/>
    <mergeCell ref="A93:G93"/>
    <mergeCell ref="A98:AO98"/>
    <mergeCell ref="AP98:AY98"/>
    <mergeCell ref="A103:A104"/>
    <mergeCell ref="C103:C106"/>
    <mergeCell ref="E103:E106"/>
    <mergeCell ref="A105:A106"/>
    <mergeCell ref="G103:G106"/>
    <mergeCell ref="M103:M106"/>
    <mergeCell ref="V104:V106"/>
    <mergeCell ref="X104:X106"/>
    <mergeCell ref="AU103:AU106"/>
    <mergeCell ref="O103:O106"/>
    <mergeCell ref="Q103:Q106"/>
    <mergeCell ref="U103:U106"/>
    <mergeCell ref="W103:W106"/>
    <mergeCell ref="Y103:Y106"/>
    <mergeCell ref="AP104:AP106"/>
    <mergeCell ref="AR104:AR106"/>
    <mergeCell ref="AT104:AT106"/>
    <mergeCell ref="B104:B106"/>
    <mergeCell ref="AK103:AK106"/>
    <mergeCell ref="AF104:AF106"/>
    <mergeCell ref="A132:B132"/>
    <mergeCell ref="C132:T132"/>
    <mergeCell ref="U132:V132"/>
    <mergeCell ref="W132:Z132"/>
    <mergeCell ref="AA132:AY132"/>
    <mergeCell ref="B144:K144"/>
    <mergeCell ref="L144:U144"/>
    <mergeCell ref="V144:AE144"/>
    <mergeCell ref="AF144:AO144"/>
    <mergeCell ref="AP144:AY144"/>
    <mergeCell ref="A135:G135"/>
    <mergeCell ref="A136:G136"/>
    <mergeCell ref="A140:AO140"/>
    <mergeCell ref="AP140:AY140"/>
    <mergeCell ref="A141:AO141"/>
    <mergeCell ref="AP141:AY142"/>
    <mergeCell ref="A142:AO142"/>
    <mergeCell ref="B150:K150"/>
    <mergeCell ref="B151:K151"/>
    <mergeCell ref="B148:K148"/>
    <mergeCell ref="B145:K145"/>
    <mergeCell ref="B146:K146"/>
    <mergeCell ref="B149:K149"/>
    <mergeCell ref="AP145:AY145"/>
    <mergeCell ref="V149:AE149"/>
    <mergeCell ref="V151:AE151"/>
    <mergeCell ref="L150:U150"/>
    <mergeCell ref="AF150:AO150"/>
    <mergeCell ref="AP150:AY150"/>
    <mergeCell ref="AF149:AO149"/>
    <mergeCell ref="A145:A146"/>
    <mergeCell ref="V146:AE146"/>
    <mergeCell ref="V148:AE148"/>
    <mergeCell ref="V145:AC145"/>
    <mergeCell ref="AD145:AE145"/>
    <mergeCell ref="V147:AC147"/>
    <mergeCell ref="AD147:AE147"/>
    <mergeCell ref="AF145:AM145"/>
    <mergeCell ref="AN145:AO145"/>
    <mergeCell ref="AF146:AO146"/>
    <mergeCell ref="AF147:AM147"/>
    <mergeCell ref="B147:I147"/>
    <mergeCell ref="J147:K147"/>
    <mergeCell ref="A147:A148"/>
    <mergeCell ref="A151:A152"/>
    <mergeCell ref="L151:U151"/>
    <mergeCell ref="AF151:AO151"/>
    <mergeCell ref="L152:U152"/>
    <mergeCell ref="AF152:AO152"/>
    <mergeCell ref="V152:AE152"/>
    <mergeCell ref="B152:K152"/>
    <mergeCell ref="AP151:AW151"/>
    <mergeCell ref="AX151:AY151"/>
    <mergeCell ref="AP152:AY152"/>
    <mergeCell ref="L154:U154"/>
    <mergeCell ref="V154:AC154"/>
    <mergeCell ref="AD154:AE154"/>
    <mergeCell ref="V156:AC156"/>
    <mergeCell ref="AD156:AE156"/>
    <mergeCell ref="A154:A155"/>
    <mergeCell ref="B154:K154"/>
    <mergeCell ref="B155:K155"/>
    <mergeCell ref="L155:U155"/>
    <mergeCell ref="V155:AE155"/>
    <mergeCell ref="A160:A161"/>
    <mergeCell ref="V161:AE161"/>
    <mergeCell ref="V160:AC160"/>
    <mergeCell ref="AD160:AE160"/>
    <mergeCell ref="BF153:BF156"/>
    <mergeCell ref="BB158:BK158"/>
    <mergeCell ref="AF159:AO159"/>
    <mergeCell ref="BB157:BI157"/>
    <mergeCell ref="BJ157:BK157"/>
    <mergeCell ref="AP159:AY159"/>
    <mergeCell ref="BB159:BI159"/>
    <mergeCell ref="BJ159:BK159"/>
    <mergeCell ref="AP155:AY155"/>
    <mergeCell ref="AP158:AW158"/>
    <mergeCell ref="AX158:AY158"/>
    <mergeCell ref="AN156:AO156"/>
    <mergeCell ref="AF157:AO157"/>
    <mergeCell ref="AP156:AY156"/>
    <mergeCell ref="AF158:AO158"/>
    <mergeCell ref="AP154:AY154"/>
    <mergeCell ref="AF156:AM156"/>
    <mergeCell ref="BC153:BD156"/>
    <mergeCell ref="BE153:BE156"/>
    <mergeCell ref="V157:AE157"/>
    <mergeCell ref="BB160:BK160"/>
    <mergeCell ref="AP163:AY163"/>
    <mergeCell ref="V164:AC164"/>
    <mergeCell ref="AD164:AE164"/>
    <mergeCell ref="L164:S164"/>
    <mergeCell ref="T164:U164"/>
    <mergeCell ref="T158:U158"/>
    <mergeCell ref="L158:S158"/>
    <mergeCell ref="L160:S160"/>
    <mergeCell ref="T160:U160"/>
    <mergeCell ref="V158:AC158"/>
    <mergeCell ref="AD158:AE158"/>
    <mergeCell ref="V159:AE159"/>
    <mergeCell ref="AP164:AW164"/>
    <mergeCell ref="AX164:AY164"/>
    <mergeCell ref="BB161:BK161"/>
    <mergeCell ref="BB162:BK162"/>
    <mergeCell ref="B159:K159"/>
    <mergeCell ref="L159:U159"/>
    <mergeCell ref="B164:K164"/>
    <mergeCell ref="AF164:AO164"/>
    <mergeCell ref="AF161:AO161"/>
    <mergeCell ref="AP160:AW160"/>
    <mergeCell ref="AX160:AY160"/>
    <mergeCell ref="V162:AC162"/>
    <mergeCell ref="AD162:AE162"/>
    <mergeCell ref="B160:K160"/>
    <mergeCell ref="AP162:AW162"/>
    <mergeCell ref="AX162:AY162"/>
    <mergeCell ref="L162:S162"/>
    <mergeCell ref="T162:U162"/>
    <mergeCell ref="W169:Z169"/>
    <mergeCell ref="AA169:AY169"/>
    <mergeCell ref="AF160:AO160"/>
    <mergeCell ref="B161:K161"/>
    <mergeCell ref="L161:U161"/>
    <mergeCell ref="AP161:AY161"/>
    <mergeCell ref="A167:B167"/>
    <mergeCell ref="C167:T167"/>
    <mergeCell ref="U167:V167"/>
    <mergeCell ref="W167:Z167"/>
    <mergeCell ref="AA167:AY167"/>
    <mergeCell ref="A162:A163"/>
    <mergeCell ref="B162:K162"/>
    <mergeCell ref="A164:A165"/>
    <mergeCell ref="L163:U163"/>
    <mergeCell ref="L165:U165"/>
    <mergeCell ref="B165:K165"/>
    <mergeCell ref="V165:AE165"/>
    <mergeCell ref="AF165:AO165"/>
    <mergeCell ref="AF162:AO162"/>
    <mergeCell ref="B163:K163"/>
    <mergeCell ref="V163:AE163"/>
    <mergeCell ref="AF163:AO163"/>
    <mergeCell ref="AP165:AY165"/>
    <mergeCell ref="A173:B173"/>
    <mergeCell ref="C173:T173"/>
    <mergeCell ref="U173:V173"/>
    <mergeCell ref="W173:Z173"/>
    <mergeCell ref="AA173:AY173"/>
    <mergeCell ref="A170:B170"/>
    <mergeCell ref="C170:T170"/>
    <mergeCell ref="U170:V170"/>
    <mergeCell ref="W170:Z170"/>
    <mergeCell ref="AA170:AY170"/>
    <mergeCell ref="A171:B171"/>
    <mergeCell ref="C171:T171"/>
    <mergeCell ref="U171:V171"/>
    <mergeCell ref="W171:Z171"/>
    <mergeCell ref="AA171:AY171"/>
    <mergeCell ref="U172:V172"/>
    <mergeCell ref="W172:Z172"/>
    <mergeCell ref="AA172:AY172"/>
    <mergeCell ref="U175:V175"/>
    <mergeCell ref="W175:Z175"/>
    <mergeCell ref="AA175:AY175"/>
    <mergeCell ref="U177:V177"/>
    <mergeCell ref="W177:Z177"/>
    <mergeCell ref="AA177:AY177"/>
    <mergeCell ref="A176:B176"/>
    <mergeCell ref="C176:T176"/>
    <mergeCell ref="U176:V176"/>
    <mergeCell ref="W176:Z176"/>
    <mergeCell ref="AA176:AY176"/>
    <mergeCell ref="A177:B177"/>
    <mergeCell ref="C177:T177"/>
    <mergeCell ref="AP194:AY194"/>
    <mergeCell ref="V194:AC194"/>
    <mergeCell ref="AD194:AE194"/>
    <mergeCell ref="V196:AC196"/>
    <mergeCell ref="AD196:AE196"/>
    <mergeCell ref="BJ195:BK195"/>
    <mergeCell ref="BB195:BI195"/>
    <mergeCell ref="BB198:BK198"/>
    <mergeCell ref="L197:U197"/>
    <mergeCell ref="V197:AE197"/>
    <mergeCell ref="AF197:AO197"/>
    <mergeCell ref="AP197:AY197"/>
    <mergeCell ref="BB196:BK196"/>
    <mergeCell ref="L195:U195"/>
    <mergeCell ref="V195:AE195"/>
    <mergeCell ref="AF195:AO195"/>
    <mergeCell ref="AP195:AY195"/>
    <mergeCell ref="L196:U196"/>
    <mergeCell ref="BB197:BI197"/>
    <mergeCell ref="BJ197:BK197"/>
    <mergeCell ref="AF198:AO198"/>
    <mergeCell ref="AP196:AY196"/>
    <mergeCell ref="AP198:AY198"/>
    <mergeCell ref="AN196:AO196"/>
    <mergeCell ref="AF194:AM194"/>
    <mergeCell ref="AN194:AO194"/>
    <mergeCell ref="AF196:AM196"/>
    <mergeCell ref="B199:K199"/>
    <mergeCell ref="L194:U194"/>
    <mergeCell ref="B194:I194"/>
    <mergeCell ref="J194:K194"/>
    <mergeCell ref="B195:K195"/>
    <mergeCell ref="B196:I196"/>
    <mergeCell ref="J196:K196"/>
    <mergeCell ref="B197:K197"/>
    <mergeCell ref="A194:A195"/>
    <mergeCell ref="A196:A197"/>
    <mergeCell ref="AP200:AY200"/>
    <mergeCell ref="B201:K201"/>
    <mergeCell ref="AF201:AO201"/>
    <mergeCell ref="W168:Z168"/>
    <mergeCell ref="AA168:AY168"/>
    <mergeCell ref="AP201:AY201"/>
    <mergeCell ref="AA209:AY209"/>
    <mergeCell ref="A206:B206"/>
    <mergeCell ref="C206:T206"/>
    <mergeCell ref="AA204:AY204"/>
    <mergeCell ref="A205:B205"/>
    <mergeCell ref="C205:T205"/>
    <mergeCell ref="U205:V205"/>
    <mergeCell ref="W205:Z205"/>
    <mergeCell ref="AA205:AY205"/>
    <mergeCell ref="AA206:AY206"/>
    <mergeCell ref="AA207:AY207"/>
    <mergeCell ref="AA208:AY208"/>
    <mergeCell ref="A203:B203"/>
    <mergeCell ref="C203:T203"/>
    <mergeCell ref="L200:S200"/>
    <mergeCell ref="T200:U200"/>
    <mergeCell ref="U203:V203"/>
    <mergeCell ref="W203:Z203"/>
    <mergeCell ref="AA203:AY203"/>
    <mergeCell ref="A198:A199"/>
    <mergeCell ref="B198:K198"/>
    <mergeCell ref="V201:AE201"/>
    <mergeCell ref="L198:S198"/>
    <mergeCell ref="T198:U198"/>
    <mergeCell ref="V198:AE198"/>
    <mergeCell ref="AP199:AY199"/>
    <mergeCell ref="A200:A201"/>
    <mergeCell ref="B200:K200"/>
    <mergeCell ref="V200:AE200"/>
    <mergeCell ref="AF200:AO200"/>
    <mergeCell ref="V199:AE199"/>
    <mergeCell ref="AF199:AO199"/>
    <mergeCell ref="L199:U199"/>
    <mergeCell ref="L201:U201"/>
    <mergeCell ref="A212:G212"/>
    <mergeCell ref="A213:G213"/>
    <mergeCell ref="A208:B208"/>
    <mergeCell ref="C208:T208"/>
    <mergeCell ref="U208:V208"/>
    <mergeCell ref="W208:Z208"/>
    <mergeCell ref="A204:B204"/>
    <mergeCell ref="C204:T204"/>
    <mergeCell ref="U204:V204"/>
    <mergeCell ref="W204:Z204"/>
    <mergeCell ref="U206:V206"/>
    <mergeCell ref="W206:Z206"/>
    <mergeCell ref="A207:B207"/>
    <mergeCell ref="C207:T207"/>
    <mergeCell ref="U207:V207"/>
    <mergeCell ref="W207:Z207"/>
    <mergeCell ref="A209:B209"/>
    <mergeCell ref="C209:T209"/>
    <mergeCell ref="U209:V209"/>
    <mergeCell ref="W209:Z209"/>
    <mergeCell ref="B102:K102"/>
    <mergeCell ref="L102:U102"/>
    <mergeCell ref="V102:AE102"/>
    <mergeCell ref="AF102:AO102"/>
    <mergeCell ref="AP102:AY102"/>
    <mergeCell ref="AY103:AY106"/>
    <mergeCell ref="AJ104:AJ106"/>
    <mergeCell ref="AX104:AX106"/>
    <mergeCell ref="BC105:BC112"/>
    <mergeCell ref="BB106:BB112"/>
    <mergeCell ref="AP112:AY112"/>
    <mergeCell ref="AF112:AO112"/>
    <mergeCell ref="D104:D106"/>
    <mergeCell ref="F104:F106"/>
    <mergeCell ref="L104:L106"/>
    <mergeCell ref="N104:N106"/>
    <mergeCell ref="P104:P106"/>
    <mergeCell ref="T104:T106"/>
    <mergeCell ref="AG103:AG106"/>
    <mergeCell ref="AS103:AS106"/>
    <mergeCell ref="AA103:AA106"/>
    <mergeCell ref="Z104:Z106"/>
    <mergeCell ref="L112:U112"/>
    <mergeCell ref="B112:K112"/>
    <mergeCell ref="A131:B131"/>
    <mergeCell ref="U128:V128"/>
    <mergeCell ref="W128:Z128"/>
    <mergeCell ref="A129:B129"/>
    <mergeCell ref="C129:T129"/>
    <mergeCell ref="U129:V129"/>
    <mergeCell ref="W129:Z129"/>
    <mergeCell ref="AA129:AY129"/>
    <mergeCell ref="U130:V130"/>
    <mergeCell ref="AA130:AY130"/>
    <mergeCell ref="AA131:AY131"/>
    <mergeCell ref="W130:Z130"/>
    <mergeCell ref="W131:Z131"/>
    <mergeCell ref="C131:T131"/>
    <mergeCell ref="U131:V131"/>
    <mergeCell ref="BK148:BK151"/>
    <mergeCell ref="AN147:AO147"/>
    <mergeCell ref="AF148:AO148"/>
    <mergeCell ref="BD144:BE147"/>
    <mergeCell ref="BF144:BF147"/>
    <mergeCell ref="BG144:BH147"/>
    <mergeCell ref="AP148:AY148"/>
    <mergeCell ref="BF148:BF151"/>
    <mergeCell ref="BG148:BH151"/>
    <mergeCell ref="AP149:AW149"/>
    <mergeCell ref="AX149:AY149"/>
    <mergeCell ref="BI148:BJ151"/>
    <mergeCell ref="AP147:AY147"/>
    <mergeCell ref="AP146:AY146"/>
    <mergeCell ref="BD148:BE151"/>
    <mergeCell ref="BJ190:BJ193"/>
    <mergeCell ref="AF190:AM190"/>
    <mergeCell ref="AN190:AO190"/>
    <mergeCell ref="BF186:BH189"/>
    <mergeCell ref="B191:K191"/>
    <mergeCell ref="V190:AC190"/>
    <mergeCell ref="AD190:AE190"/>
    <mergeCell ref="A187:AO187"/>
    <mergeCell ref="B190:I190"/>
    <mergeCell ref="J190:K190"/>
    <mergeCell ref="B192:I192"/>
    <mergeCell ref="J192:K192"/>
    <mergeCell ref="V191:AE191"/>
    <mergeCell ref="V192:AC192"/>
    <mergeCell ref="AP186:AY187"/>
    <mergeCell ref="AF191:AO191"/>
    <mergeCell ref="AD192:AE192"/>
    <mergeCell ref="L192:U192"/>
    <mergeCell ref="AF192:AM192"/>
    <mergeCell ref="BJ186:BJ189"/>
    <mergeCell ref="BF190:BH193"/>
    <mergeCell ref="BI190:BI193"/>
    <mergeCell ref="BI186:BI189"/>
    <mergeCell ref="AP191:AY191"/>
    <mergeCell ref="V11:AA11"/>
    <mergeCell ref="AB11:AD11"/>
    <mergeCell ref="V15:V17"/>
    <mergeCell ref="AE14:AE17"/>
    <mergeCell ref="AD15:AD17"/>
    <mergeCell ref="L11:Q11"/>
    <mergeCell ref="R11:T11"/>
    <mergeCell ref="B10:G10"/>
    <mergeCell ref="H10:J10"/>
    <mergeCell ref="B11:G11"/>
    <mergeCell ref="H11:J11"/>
    <mergeCell ref="B12:G12"/>
    <mergeCell ref="H12:J12"/>
    <mergeCell ref="B13:G13"/>
    <mergeCell ref="V10:AA10"/>
    <mergeCell ref="AB10:AD10"/>
    <mergeCell ref="H13:J13"/>
    <mergeCell ref="AB15:AB17"/>
    <mergeCell ref="T15:T17"/>
    <mergeCell ref="Z15:Z17"/>
    <mergeCell ref="U14:U17"/>
    <mergeCell ref="M14:M17"/>
    <mergeCell ref="AC6:AC9"/>
    <mergeCell ref="AG6:AG9"/>
    <mergeCell ref="AU71:AU74"/>
    <mergeCell ref="AY71:AY74"/>
    <mergeCell ref="AP75:AY75"/>
    <mergeCell ref="BD152:BM152"/>
    <mergeCell ref="BL148:BM151"/>
    <mergeCell ref="AP70:AY70"/>
    <mergeCell ref="AN48:AN50"/>
    <mergeCell ref="AF114:AO114"/>
    <mergeCell ref="AP76:AY76"/>
    <mergeCell ref="AP72:AP74"/>
    <mergeCell ref="AA127:AY127"/>
    <mergeCell ref="AQ103:AQ106"/>
    <mergeCell ref="AA21:AY21"/>
    <mergeCell ref="AA14:AA17"/>
    <mergeCell ref="AP110:AY110"/>
    <mergeCell ref="AF109:AO109"/>
    <mergeCell ref="AF110:AO110"/>
    <mergeCell ref="AP115:AY115"/>
    <mergeCell ref="AF107:AO107"/>
    <mergeCell ref="AF111:AO111"/>
    <mergeCell ref="AP111:AY111"/>
    <mergeCell ref="AK122:AK125"/>
    <mergeCell ref="B158:K158"/>
    <mergeCell ref="L10:Q10"/>
    <mergeCell ref="R10:T10"/>
    <mergeCell ref="AY14:AY17"/>
    <mergeCell ref="AX15:AX17"/>
    <mergeCell ref="AU14:AU17"/>
    <mergeCell ref="AT15:AT17"/>
    <mergeCell ref="AA20:AY20"/>
    <mergeCell ref="C22:T22"/>
    <mergeCell ref="U22:V22"/>
    <mergeCell ref="W22:Z22"/>
    <mergeCell ref="AA22:AY22"/>
    <mergeCell ref="C14:C17"/>
    <mergeCell ref="AN15:AN17"/>
    <mergeCell ref="AO14:AO17"/>
    <mergeCell ref="H15:H17"/>
    <mergeCell ref="K14:K17"/>
    <mergeCell ref="J15:J17"/>
    <mergeCell ref="W14:W17"/>
    <mergeCell ref="AC14:AC17"/>
    <mergeCell ref="A61:G61"/>
    <mergeCell ref="AC71:AC74"/>
    <mergeCell ref="AB72:AB74"/>
    <mergeCell ref="S71:S74"/>
    <mergeCell ref="A169:B169"/>
    <mergeCell ref="C169:T169"/>
    <mergeCell ref="U169:V169"/>
    <mergeCell ref="A174:B174"/>
    <mergeCell ref="C175:T175"/>
    <mergeCell ref="C79:C82"/>
    <mergeCell ref="B80:B82"/>
    <mergeCell ref="A172:B172"/>
    <mergeCell ref="C172:T172"/>
    <mergeCell ref="A168:B168"/>
    <mergeCell ref="C168:T168"/>
    <mergeCell ref="A158:A159"/>
    <mergeCell ref="A156:A157"/>
    <mergeCell ref="B156:K156"/>
    <mergeCell ref="L156:U156"/>
    <mergeCell ref="B157:K157"/>
    <mergeCell ref="L157:U157"/>
    <mergeCell ref="B153:K153"/>
    <mergeCell ref="L153:U153"/>
    <mergeCell ref="A149:A150"/>
    <mergeCell ref="L149:U149"/>
    <mergeCell ref="A113:A114"/>
    <mergeCell ref="B113:K113"/>
    <mergeCell ref="L113:U113"/>
    <mergeCell ref="AF193:AO193"/>
    <mergeCell ref="B193:K193"/>
    <mergeCell ref="A185:AO185"/>
    <mergeCell ref="AP193:AY193"/>
    <mergeCell ref="L193:U193"/>
    <mergeCell ref="A192:A193"/>
    <mergeCell ref="A190:A191"/>
    <mergeCell ref="L190:U190"/>
    <mergeCell ref="AP190:AY190"/>
    <mergeCell ref="L191:U191"/>
    <mergeCell ref="AP192:AY192"/>
    <mergeCell ref="AN192:AO192"/>
    <mergeCell ref="V193:AE193"/>
    <mergeCell ref="AF189:AO189"/>
    <mergeCell ref="AP189:AY189"/>
    <mergeCell ref="B189:K189"/>
    <mergeCell ref="L189:U189"/>
    <mergeCell ref="V189:AE189"/>
    <mergeCell ref="A180:G180"/>
    <mergeCell ref="AP185:AY185"/>
    <mergeCell ref="A186:AO186"/>
    <mergeCell ref="A181:G181"/>
    <mergeCell ref="C127:T127"/>
    <mergeCell ref="U127:V127"/>
    <mergeCell ref="A128:B128"/>
    <mergeCell ref="C128:T128"/>
    <mergeCell ref="A127:B127"/>
    <mergeCell ref="V153:AE153"/>
    <mergeCell ref="AF153:AO153"/>
    <mergeCell ref="AP153:AY153"/>
    <mergeCell ref="V150:AE150"/>
    <mergeCell ref="AA128:AY128"/>
    <mergeCell ref="AP157:AY157"/>
    <mergeCell ref="U168:V168"/>
    <mergeCell ref="C174:T174"/>
    <mergeCell ref="U174:V174"/>
    <mergeCell ref="W174:Z174"/>
    <mergeCell ref="AA174:AY174"/>
    <mergeCell ref="A175:B175"/>
    <mergeCell ref="A130:B130"/>
    <mergeCell ref="C130:T130"/>
    <mergeCell ref="W127:Z127"/>
    <mergeCell ref="R72:R74"/>
    <mergeCell ref="I71:I74"/>
    <mergeCell ref="H72:H74"/>
    <mergeCell ref="AI71:AI74"/>
    <mergeCell ref="A66:AO66"/>
    <mergeCell ref="AO71:AO74"/>
    <mergeCell ref="AK71:AK74"/>
    <mergeCell ref="AJ72:AJ74"/>
    <mergeCell ref="AA54:AY54"/>
    <mergeCell ref="AF72:AF74"/>
    <mergeCell ref="AH72:AH74"/>
    <mergeCell ref="AN72:AN74"/>
    <mergeCell ref="AL72:AL74"/>
    <mergeCell ref="AA55:AY55"/>
    <mergeCell ref="T40:T42"/>
    <mergeCell ref="AB48:AB50"/>
    <mergeCell ref="AF48:AF50"/>
    <mergeCell ref="V38:AE38"/>
    <mergeCell ref="W24:Z24"/>
    <mergeCell ref="AP34:AY34"/>
    <mergeCell ref="A60:G60"/>
    <mergeCell ref="A120:A121"/>
    <mergeCell ref="A122:A123"/>
    <mergeCell ref="V115:AE115"/>
    <mergeCell ref="AF115:AO115"/>
    <mergeCell ref="AP107:AY107"/>
    <mergeCell ref="B108:K108"/>
    <mergeCell ref="L108:U108"/>
    <mergeCell ref="V108:AE108"/>
    <mergeCell ref="AF108:AO108"/>
    <mergeCell ref="AP108:AY108"/>
    <mergeCell ref="B109:K109"/>
    <mergeCell ref="L109:U109"/>
    <mergeCell ref="V109:AE109"/>
    <mergeCell ref="AP109:AY109"/>
    <mergeCell ref="B110:K110"/>
    <mergeCell ref="L110:U110"/>
    <mergeCell ref="V110:AE110"/>
    <mergeCell ref="A124:A125"/>
    <mergeCell ref="A107:A108"/>
    <mergeCell ref="B107:K107"/>
    <mergeCell ref="L107:U107"/>
    <mergeCell ref="V107:AE107"/>
    <mergeCell ref="Y111:Y114"/>
    <mergeCell ref="X112:X114"/>
    <mergeCell ref="L111:U111"/>
    <mergeCell ref="A111:A112"/>
    <mergeCell ref="B111:K111"/>
    <mergeCell ref="A109:A110"/>
    <mergeCell ref="C122:C125"/>
    <mergeCell ref="B123:B125"/>
    <mergeCell ref="B114:K114"/>
    <mergeCell ref="A118:A119"/>
    <mergeCell ref="V116:AE116"/>
    <mergeCell ref="V117:AE117"/>
    <mergeCell ref="L116:U116"/>
    <mergeCell ref="L117:U117"/>
    <mergeCell ref="B116:K116"/>
    <mergeCell ref="B117:K117"/>
    <mergeCell ref="A116:A117"/>
    <mergeCell ref="B115:K115"/>
    <mergeCell ref="L115:U115"/>
    <mergeCell ref="AJ123:AJ125"/>
    <mergeCell ref="O122:O125"/>
    <mergeCell ref="N123:N125"/>
    <mergeCell ref="Z111:AB114"/>
    <mergeCell ref="AF120:AO120"/>
    <mergeCell ref="AF121:AO121"/>
    <mergeCell ref="AP114:AY114"/>
    <mergeCell ref="L114:U114"/>
    <mergeCell ref="AP113:AY113"/>
    <mergeCell ref="AF113:AO113"/>
    <mergeCell ref="AF118:AO118"/>
    <mergeCell ref="AF119:AO119"/>
    <mergeCell ref="AP116:AY116"/>
    <mergeCell ref="AP117:AY117"/>
    <mergeCell ref="AF116:AO116"/>
    <mergeCell ref="AF117:AO117"/>
  </mergeCells>
  <dataValidations count="29">
    <dataValidation type="list" allowBlank="1" showInputMessage="1" showErrorMessage="1" sqref="D104:D106 N104:N106 F104:F106 AT104:AT106 AF104:AF106 Z104:Z106 X104:X106 V104:V106 AJ104:AJ106 L104:L106 AR104:AR106 AP104:AP106 BB106:BB112 P104 B104:B106 N123:N125 X112:X114 B123:B125 AJ123:AJ125" xr:uid="{00000000-0002-0000-0500-000000000000}">
      <formula1>GII_6</formula1>
    </dataValidation>
    <dataValidation type="list" allowBlank="1" showInputMessage="1" showErrorMessage="1" sqref="D72:D74 B72:B74 F72:F74 L72:L74 N72:N74 P72:P74 V72:V74 X72:X74 AX72:AX74 AF72:AF74 AH72:AH74 AJ80:AJ82 AP72:AP74 AR72:AR74 Z72:Z74 AT72:AT74 AB80:AB82 E80:E82 AJ72:AJ74 B80:B82 AB72:AB74 R72:R74 H72:H74 AL72:AL74" xr:uid="{00000000-0002-0000-0500-000001000000}">
      <formula1>GII_5</formula1>
    </dataValidation>
    <dataValidation type="list" allowBlank="1" showInputMessage="1" showErrorMessage="1" sqref="U128:V132" xr:uid="{00000000-0002-0000-0500-000002000000}">
      <formula1>GII__6</formula1>
    </dataValidation>
    <dataValidation type="list" allowBlank="1" showInputMessage="1" showErrorMessage="1" sqref="A31:A32 A63 A96 A138 A183 A215" xr:uid="{00000000-0002-0000-0500-000003000000}">
      <formula1>e</formula1>
    </dataValidation>
    <dataValidation type="list" allowBlank="1" showInputMessage="1" showErrorMessage="1" sqref="U204:V209" xr:uid="{00000000-0002-0000-0500-000004000000}">
      <formula1>INDIRECT($U$203)</formula1>
    </dataValidation>
    <dataValidation type="list" allowBlank="1" showInputMessage="1" showErrorMessage="1" sqref="A3:AO3 A36:AO36 A68:AO68 A100:AO100 A142:AO142" xr:uid="{00000000-0002-0000-0500-000005000000}">
      <formula1>GRUPO</formula1>
    </dataValidation>
    <dataValidation type="list" allowBlank="1" showInputMessage="1" showErrorMessage="1" sqref="A4 A37 A69 A101 A188 A143" xr:uid="{00000000-0002-0000-0500-000006000000}">
      <formula1>GIM</formula1>
    </dataValidation>
    <dataValidation type="list" allowBlank="1" showInputMessage="1" showErrorMessage="1" sqref="A204:A209 A128:A132 A168:A177 A53:A57 A20:A24 A85:A89" xr:uid="{00000000-0002-0000-0500-000007000000}">
      <formula1>INDIRECT(#REF!)</formula1>
    </dataValidation>
    <dataValidation type="list" allowBlank="1" showInputMessage="1" showErrorMessage="1" sqref="X6 F39 AF71 AB14 AP71 AF103 T71 B39 AL6 AR14 F6 T39 AN47 AD71 T47 F103 D6 D14 AT39 AY43:AY46 AN6 V39 N14 X47 D71 AT6 J39 AX14 B71 V14 AD14 AV6 L39 AB47 N6 B14 T14 AN71 AD39 AF14 P71 H6 AX71 P14 AJ79 Z71 AR6 J71 F71 AP6 AF47 AT14 AE43:AE46 L6 AJ14 AR39 K43:K46 X39 AB79 D39 B47 L14 T6 AX6 AB6 U10:U13 N71 X71 AH71 AR71 L71 V71 T103 AJ103 AR103 AX103 N103 Z103 V103 L103 AT103 D103 P103 X103 AP103 B103 AH14 AF6 AT71 H71 AL39 E79 H39 U43:U46 AH39 P6 R47 AL14 AN39 AH6 J6 AO10:AO13 J14 AJ71 R39 R71 K10:K13 AP39 AX39 AL71 B79 H14 V6 N39 AB39 B6 R14 AJ47 AY10:AY13 BL11:BL12 AE10:AE13 AN14 Z6 BJ14 Z14 BB105 AB71 AW47:AX47 AO43:AO46 AV39 Z111 X111 B122 AJ122 N122" xr:uid="{00000000-0002-0000-0500-000008000000}">
      <formula1>grupos</formula1>
    </dataValidation>
    <dataValidation type="list" allowBlank="1" showInputMessage="1" showErrorMessage="1" sqref="AO71:AO74 O14:O17 U14:U17 O71:O74 M6:M9 AW6:AW9 AU71:AW74 AL10:AL13 AC14:AC17 I71:I74 AC6:AC9 E14:E17 E6:E9 AK71:AK74 U39:U42 S71:S74 BI11:BI12 Q14:Q17 G71:G74 O6:O9 AY6:AY9 AS6:AS9 AI71:AI74 Y6:Y9 AQ71:AQ74 AP2:AY3 AP186:AY187 L48 AP141:AY142 B199 B146:AY146 AP67:AY68 AF114:AY114 R10:R13 AS103 AY47:AY50 Y47:Y50 K71:K74 R43:R46 W39:W42 AP155:AY155 AC71:AC74 B193:AY193 AU14:AU17 BT43:BT44 W71:W74 C47:C50 AP99:AY100 AO47:AO50 K6:K9 I39:I42 L199:AY199 S14:S17 C14:C17 C103:C106 AG6:AG9 B201 M71:M74 AA14:AA17 AU6:AU9 U103:U106 G103:I106 W103:W106 AG103 G39:G42 E103:E106 AQ103:AQ106 AA103:AC106 AG71:AG74 U6:U9 I14:I17 Y39:Y42 AE39:AE42 B195:AY195 M39:M42 K39:K42 K14:K17 W47:W48 W14:W17 AO14 BC105:BC112 AS71:AS74 AY103:AY106 F79:F82 AY71:AY74 C79:C82 Y71:Y74 U71:U74 AE71:AE74 M103:M106 AK103:AM106 AQ6:AQ9 AU103:AW106 Y103:Y106 B161:AY161 Y111:Y114 Q103:S103 M14:M17 AO6:AO9 AC79:AC82 AW39:AW42 B197:AY197 B78:AY78 H43:H46 AG47:AG50 AI39:AI42 B76:AY76 AS14:AS17 E71:E74 AK79:AK82 E39:E42 B163:AY163 AM39:AM42 AM6:AM9 AE14:AE17 I6:I9 AY14:AY17 AI14:AI17 AG14:AG17 L201:AY201 BC46:BL46 AK14:AK17 AP35:AY36 AC47:AC50 C39:C42 AY39:AY42 AU39:AU42 AQ39:AQ42 O39:O42 B150:AY150 AB10:AB13 AE47:AE48 S39:S42 B165:AY165 BB162:BK162 U47:U50 BD152:BM152 C71:C74 S47:S50 BB196:BK196 BB198:BK198 AB43:AB46 AO39:AO42 AM71:AM74 AI6:AI9 H10:H13 AK47:AK50 AC39:AC42 C6:C9 AV10:AV13 W6:W9 B155:AE155 AM14:AM17 B157:AY157 BB158:BK158 B159:AY159 BB160:BK160 B191:AY191 G6:G9 AA6:AA9 BG14 B148:AY148 B152:AY152 Q6:Q9 AA71:AA74 Q71:Q74 AS39:AS42 AL43:AL46 AT47 AV43:AV46 O103:O106 B108:AY108 B114:U114 B112:U112 AF112:AY112 B110:AY110 AF119:AO119 AK122:AK125 B118 AF121:AI125 AL121:AO125 AJ121:AK121 O122:AE125 L118 AP118 V118 AP122:AY125 B117:AY117 C122:M125" xr:uid="{00000000-0002-0000-0500-000009000000}">
      <formula1>AULAS</formula1>
    </dataValidation>
    <dataValidation type="list" allowBlank="1" showInputMessage="1" showErrorMessage="1" sqref="A145:A152 A71:A82 A190:A201 A6:A17 A39:A50 A154:A165 A103:A114 A116:A125" xr:uid="{00000000-0002-0000-0500-00000A000000}">
      <formula1>HORARIO</formula1>
    </dataValidation>
    <dataValidation type="list" allowBlank="1" showInputMessage="1" showErrorMessage="1" sqref="AR15:AR17 H7:H9 AB15:AB17 L15:L17 X7:X9 AV7:AV9 V7:V9 D15:D17 P15:P17 AR7:AR9 AT7:AT9 Z15:Z17 AL7:AL9 T7:T9 AX7:AX9 AB7:AB9 AJ15:AJ17 N15:N17 AX15:AX17 R15:R17 AP7:AP9 AN7:AN9 AH15:AH17 AF7:AF9 AD15:AD17 D7:D9 J15:J17 AH7:AH9 J7:J9 AN15 Z7:Z9 AL15:AL17 F7:F9 H15:H17 V15:V17 L7:L9 AF15:AF17 B7:B9 B15:B17 N7:N9 AT15:AT17 T15:T17 P7:P9" xr:uid="{00000000-0002-0000-0500-00000B000000}">
      <formula1>INDIRECT($A$4)</formula1>
    </dataValidation>
    <dataValidation type="list" allowBlank="1" showInputMessage="1" showErrorMessage="1" sqref="AJ48:AJ50 AX40:AX42 R40:R42 BN43:BN44 AD40:AD42 T40:T42 R48:R50 AN40:AN42 BA40:BJ40 AN72:AN74 J72:J74 AD47:AD48 F40:F42 BD45:BL45 BA41:BA42 H40:H42 AB40:AB42 T72:T74 AX48:AX50 AN48:AN50 AP40:AP42 T48:T50 B40:B42 V40:V42 L47:M47 L40:L42 AB48:AB50 N40:N42 AX104:AX106 AT40:AT42 X40:X42 AH40:AH42 D40:D42 B48:B50 AF48:AF50 V47:V48 AV40:AV42 X48:X50 J40:J42 AD72:AD74 AL40:AL42 AR40:AR42 T104:T106" xr:uid="{00000000-0002-0000-0500-00000C000000}">
      <formula1>INDIRECT($A$37)</formula1>
    </dataValidation>
    <dataValidation type="list" allowBlank="1" showInputMessage="1" showErrorMessage="1" sqref="B75:AY75 B77:AY77 V79 L79 AF79 AP79" xr:uid="{00000000-0002-0000-0500-00000D000000}">
      <formula1>INDIRECT($A$69)</formula1>
    </dataValidation>
    <dataValidation type="list" allowBlank="1" showInputMessage="1" showErrorMessage="1" sqref="AF111:AY111 B107:AY107 B111:V111 B113:U113 AF113:AY113 B116:AY116 AF120:AO120 B109:AY109 AF118:AO118" xr:uid="{00000000-0002-0000-0500-00000E000000}">
      <formula1>INDIRECT($A$101)</formula1>
    </dataValidation>
    <dataValidation type="list" allowBlank="1" showInputMessage="1" showErrorMessage="1" sqref="BI148 AF162:AP162 AP154:AY154 BD148 V158 BD144 AP145:AY145 AP156:AY156 L147:V147 BB157 B158:L158 B145:V145 BB161:BK161 B164:L164 B160:L160 AK154 V162 AF164:AP164 AF158:AP158 B156:V156 BC153 AF154 B147 AF156 AP147:AY147 V164 B154:V154 AF160:AP160 BB159 V160 B151:AP151 AF147 B162:L162 AF145 B149:AP149" xr:uid="{00000000-0002-0000-0500-00000F000000}">
      <formula1>INDIRECT($A$143)</formula1>
    </dataValidation>
    <dataValidation type="list" allowBlank="1" showInputMessage="1" showErrorMessage="1" sqref="B198 V200:AY200 AP192:AY192 V198:AY198 B200 L190:V190 AF192 BB195 L200 BB197 B190 L198 AF190 AP190:AY190 B192 AF196 B194 AP196:AY196 B196 L192:V192 AP194:AY194 L196:V196 L194:V194 AF194" xr:uid="{00000000-0002-0000-0500-000010000000}">
      <formula1>INDIRECT($A$188)</formula1>
    </dataValidation>
    <dataValidation type="list" allowBlank="1" showInputMessage="1" showErrorMessage="1" sqref="U167:V167 U19:V19 U52:V52 U84:V84 U127:V127 U203:V203" xr:uid="{00000000-0002-0000-0500-000011000000}">
      <formula1>Asignaturas2</formula1>
    </dataValidation>
    <dataValidation type="list" allowBlank="1" showInputMessage="1" showErrorMessage="1" sqref="U24:V24 U57:V57" xr:uid="{00000000-0002-0000-0500-000012000000}">
      <formula1>INDIRECT(U19)</formula1>
    </dataValidation>
    <dataValidation type="list" allowBlank="1" showInputMessage="1" showErrorMessage="1" sqref="U23:V23 U56:V56" xr:uid="{00000000-0002-0000-0500-000013000000}">
      <formula1>INDIRECT(U19)</formula1>
    </dataValidation>
    <dataValidation type="list" allowBlank="1" showInputMessage="1" showErrorMessage="1" sqref="U55:V55 U22:V22" xr:uid="{00000000-0002-0000-0500-000014000000}">
      <formula1>INDIRECT(U19)</formula1>
    </dataValidation>
    <dataValidation type="list" allowBlank="1" showInputMessage="1" showErrorMessage="1" sqref="U54:V54 U21:V21" xr:uid="{00000000-0002-0000-0500-000015000000}">
      <formula1>INDIRECT(U19)</formula1>
    </dataValidation>
    <dataValidation type="list" allowBlank="1" showInputMessage="1" showErrorMessage="1" sqref="U20:V20 U53:V53 U85:V85" xr:uid="{00000000-0002-0000-0500-000016000000}">
      <formula1>INDIRECT(U19)</formula1>
    </dataValidation>
    <dataValidation type="list" allowBlank="1" showInputMessage="1" showErrorMessage="1" sqref="BF186 BF190" xr:uid="{00000000-0002-0000-0500-000017000000}">
      <formula1>GII_8</formula1>
    </dataValidation>
    <dataValidation type="list" allowBlank="1" showInputMessage="1" showErrorMessage="1" sqref="U86:V89" xr:uid="{00000000-0002-0000-0500-000018000000}">
      <formula1>GII__5</formula1>
    </dataValidation>
    <dataValidation type="list" allowBlank="1" showInputMessage="1" showErrorMessage="1" sqref="U168:V177" xr:uid="{00000000-0002-0000-0500-000019000000}">
      <formula1>GII__7</formula1>
    </dataValidation>
    <dataValidation type="list" allowBlank="1" showInputMessage="1" showErrorMessage="1" sqref="BB49" xr:uid="{00000000-0002-0000-0500-00001A000000}">
      <formula1>INDIRECT($A$33)</formula1>
    </dataValidation>
    <dataValidation type="list" allowBlank="1" showInputMessage="1" showErrorMessage="1" sqref="V43:AA46 L43:Q46 B43:G46 AF43:AK46 AP43:AP47 AQ43:AU46" xr:uid="{00000000-0002-0000-0500-00001B000000}">
      <formula1>GII_4</formula1>
    </dataValidation>
    <dataValidation type="list" allowBlank="1" showInputMessage="1" showErrorMessage="1" sqref="AP10:AU13 BC11:BH12 V10:AA13 L10:Q13 AF10:AK13 BA14:BF14 B10:G13" xr:uid="{00000000-0002-0000-0500-00001C000000}">
      <formula1>GII_3</formula1>
    </dataValidation>
  </dataValidations>
  <pageMargins left="0.47244094488188981" right="0.23622047244094491" top="0.94488188976377963" bottom="0.86614173228346458" header="0.27559055118110237" footer="0"/>
  <pageSetup paperSize="9" scale="48" fitToHeight="0" orientation="portrait" r:id="rId1"/>
  <headerFooter alignWithMargins="0">
    <oddHeader>&amp;C&amp;"Arial Narrow,Negrita"&amp;18ESCUELA POLITECNICA SUPERIOR&amp;"Arial,Normal"&amp;10
&amp;"Arial Narrow,Negrita"&amp;16Campus Vena&amp;R&amp;"Chiller,Normal"&amp;24&amp;K05-044&amp;A</oddHeader>
    <oddFooter>&amp;L&amp;12ESCUELA POLITECNICA SUPERIOR - Campus Vena&amp;11
&amp;9SUBDIRECCION  DE  ORDENACION  ACADEMICA Y PROFESORADO&amp;R&amp;12&amp;D</oddFooter>
  </headerFooter>
  <rowBreaks count="5" manualBreakCount="5">
    <brk id="33" max="16383" man="1"/>
    <brk id="65" max="16383" man="1"/>
    <brk id="97" max="16383" man="1"/>
    <brk id="139" max="16383" man="1"/>
    <brk id="184" max="16383" man="1"/>
  </row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1D000000}">
          <x14:formula1>
            <xm:f>Aulas!$B$2:$B$33</xm:f>
          </x14:formula1>
          <xm:sqref>J194 AD145 AD162 BF144:BF151 J196 AD147 BK148:BK151 AD164 T200 AX151 AX158 T164 T158 AD160 BJ195 BJ197 J190 J192 T198 AN156 AX149 J147 AX164 AD154 AD156 BJ157 BJ159 AN190 AN192 AN194 AN196 AD158 T160 AN145 AN147 T162 AX160 AD190 AD192 AX162 AD194 AD196</xm:sqref>
        </x14:dataValidation>
        <x14:dataValidation type="list" allowBlank="1" showInputMessage="1" showErrorMessage="1" xr:uid="{00000000-0002-0000-0500-00001E000000}">
          <x14:formula1>
            <xm:f>Aulas!$A$1:$A$136</xm:f>
          </x14:formula1>
          <xm:sqref>BG144:BH151 BL148:BM151</xm:sqref>
        </x14:dataValidation>
        <x14:dataValidation type="list" allowBlank="1" showInputMessage="1" showErrorMessage="1" xr:uid="{00000000-0002-0000-0500-00001F000000}">
          <x14:formula1>
            <xm:f>Aulas!$B$2:$B$31</xm:f>
          </x14:formula1>
          <xm:sqref>BI186:BI193</xm:sqref>
        </x14:dataValidation>
        <x14:dataValidation type="list" allowBlank="1" showInputMessage="1" showErrorMessage="1" xr:uid="{00000000-0002-0000-0500-000020000000}">
          <x14:formula1>
            <xm:f>Aulas!$A$1:$A$131</xm:f>
          </x14:formula1>
          <xm:sqref>BJ186:BJ193</xm:sqref>
        </x14:dataValidation>
        <x14:dataValidation type="list" allowBlank="1" showInputMessage="1" showErrorMessage="1" xr:uid="{00000000-0002-0000-0500-000021000000}">
          <x14:formula1>
            <xm:f>Aulas!$A$1:$A$155</xm:f>
          </x14:formula1>
          <xm:sqref>BE153:BE156 AN154:AN155 AI154:AI155</xm:sqref>
        </x14:dataValidation>
        <x14:dataValidation type="list" allowBlank="1" showInputMessage="1" showErrorMessage="1" xr:uid="{00000000-0002-0000-0500-000022000000}">
          <x14:formula1>
            <xm:f>Aulas!$B$2:$B$34</xm:f>
          </x14:formula1>
          <xm:sqref>BF153:BF156 AO154:AO155 AJ154:AJ155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O270"/>
  <sheetViews>
    <sheetView topLeftCell="A60" zoomScale="90" zoomScaleNormal="90" zoomScaleSheetLayoutView="90" workbookViewId="0">
      <selection activeCell="C51" sqref="C51:L51"/>
    </sheetView>
  </sheetViews>
  <sheetFormatPr baseColWidth="10" defaultRowHeight="13.2" x14ac:dyDescent="0.25"/>
  <cols>
    <col min="1" max="1" width="15.6640625" customWidth="1"/>
    <col min="2" max="29" width="3.6640625" customWidth="1"/>
    <col min="30" max="30" width="1.88671875" customWidth="1"/>
    <col min="31" max="31" width="3.6640625" customWidth="1"/>
    <col min="32" max="220" width="9.109375" customWidth="1"/>
  </cols>
  <sheetData>
    <row r="1" spans="1:31" s="1" customFormat="1" ht="31.5" customHeight="1" thickBot="1" x14ac:dyDescent="0.45">
      <c r="A1" s="1094" t="str">
        <f>VLOOKUP(A4,ASIGNATURAS!$A$2:$D$151, 3, FALSE)</f>
        <v>1º Máster en Ingeniería Informática</v>
      </c>
      <c r="B1" s="1095"/>
      <c r="C1" s="1095"/>
      <c r="D1" s="1095"/>
      <c r="E1" s="1095"/>
      <c r="F1" s="1095"/>
      <c r="G1" s="1095"/>
      <c r="H1" s="1095"/>
      <c r="I1" s="1095"/>
      <c r="J1" s="1095"/>
      <c r="K1" s="1095"/>
      <c r="L1" s="1095"/>
      <c r="M1" s="1095"/>
      <c r="N1" s="1095"/>
      <c r="O1" s="1095"/>
      <c r="P1" s="1095"/>
      <c r="Q1" s="1095"/>
      <c r="R1" s="1095"/>
      <c r="S1" s="1095"/>
      <c r="T1" s="1095"/>
      <c r="U1" s="1095"/>
      <c r="V1" s="1095"/>
      <c r="W1" s="1095"/>
      <c r="X1" s="1095"/>
      <c r="Y1" s="1096"/>
      <c r="Z1" s="1076" t="str">
        <f>Aulas!G5</f>
        <v>Curso 2024-2025</v>
      </c>
      <c r="AA1" s="1077"/>
      <c r="AB1" s="1077"/>
      <c r="AC1" s="1077"/>
      <c r="AD1" s="1077"/>
      <c r="AE1" s="1078"/>
    </row>
    <row r="2" spans="1:31" s="8" customFormat="1" ht="23.25" customHeight="1" thickBot="1" x14ac:dyDescent="0.45">
      <c r="A2" s="1083" t="str">
        <f>VLOOKUP(A4,ASIGNATURAS!A2:D151, 2, FALSE)</f>
        <v>Semestre temporal: 1º        (1º Semestre Académico)</v>
      </c>
      <c r="B2" s="1084"/>
      <c r="C2" s="1084"/>
      <c r="D2" s="1084"/>
      <c r="E2" s="1084"/>
      <c r="F2" s="1084"/>
      <c r="G2" s="1084"/>
      <c r="H2" s="1084"/>
      <c r="I2" s="1084"/>
      <c r="J2" s="1084"/>
      <c r="K2" s="1084"/>
      <c r="L2" s="1084"/>
      <c r="M2" s="1084"/>
      <c r="N2" s="1084"/>
      <c r="O2" s="1084"/>
      <c r="P2" s="1084"/>
      <c r="Q2" s="1084"/>
      <c r="R2" s="1084"/>
      <c r="S2" s="1084"/>
      <c r="T2" s="1084"/>
      <c r="U2" s="1084"/>
      <c r="V2" s="1084"/>
      <c r="W2" s="1084"/>
      <c r="X2" s="1084"/>
      <c r="Y2" s="1085"/>
      <c r="Z2" s="1072" t="s">
        <v>157</v>
      </c>
      <c r="AA2" s="1072"/>
      <c r="AB2" s="1072"/>
      <c r="AC2" s="1072"/>
      <c r="AD2" s="1072"/>
      <c r="AE2" s="1073"/>
    </row>
    <row r="3" spans="1:31" s="8" customFormat="1" ht="23.25" customHeight="1" thickBot="1" x14ac:dyDescent="0.45">
      <c r="A3" s="1083" t="s">
        <v>181</v>
      </c>
      <c r="B3" s="1084"/>
      <c r="C3" s="1084"/>
      <c r="D3" s="1084"/>
      <c r="E3" s="1084"/>
      <c r="F3" s="1084"/>
      <c r="G3" s="1084"/>
      <c r="H3" s="1084"/>
      <c r="I3" s="1084"/>
      <c r="J3" s="1084"/>
      <c r="K3" s="1084"/>
      <c r="L3" s="1084"/>
      <c r="M3" s="1084"/>
      <c r="N3" s="1084"/>
      <c r="O3" s="1084"/>
      <c r="P3" s="1084"/>
      <c r="Q3" s="1084"/>
      <c r="R3" s="1084"/>
      <c r="S3" s="1084"/>
      <c r="T3" s="1084"/>
      <c r="U3" s="1084"/>
      <c r="V3" s="1084"/>
      <c r="W3" s="1084"/>
      <c r="X3" s="1084"/>
      <c r="Y3" s="1085"/>
      <c r="Z3" s="1074"/>
      <c r="AA3" s="1074"/>
      <c r="AB3" s="1074"/>
      <c r="AC3" s="1074"/>
      <c r="AD3" s="1074"/>
      <c r="AE3" s="1075"/>
    </row>
    <row r="4" spans="1:31" ht="38.25" customHeight="1" thickBot="1" x14ac:dyDescent="0.3">
      <c r="A4" s="23" t="s">
        <v>130</v>
      </c>
    </row>
    <row r="5" spans="1:31" s="2" customFormat="1" ht="24" customHeight="1" thickBot="1" x14ac:dyDescent="0.3">
      <c r="A5" s="24" t="s">
        <v>1</v>
      </c>
      <c r="B5" s="1077" t="s">
        <v>2</v>
      </c>
      <c r="C5" s="1077"/>
      <c r="D5" s="1077"/>
      <c r="E5" s="1077"/>
      <c r="F5" s="1077"/>
      <c r="G5" s="2821"/>
      <c r="H5" s="1077" t="s">
        <v>3</v>
      </c>
      <c r="I5" s="1077"/>
      <c r="J5" s="1077"/>
      <c r="K5" s="1077"/>
      <c r="L5" s="1077"/>
      <c r="M5" s="2821"/>
      <c r="N5" s="1077" t="s">
        <v>139</v>
      </c>
      <c r="O5" s="1077"/>
      <c r="P5" s="1077"/>
      <c r="Q5" s="1077"/>
      <c r="R5" s="1077"/>
      <c r="S5" s="2821"/>
      <c r="T5" s="1077" t="s">
        <v>4</v>
      </c>
      <c r="U5" s="1077"/>
      <c r="V5" s="1077"/>
      <c r="W5" s="1077"/>
      <c r="X5" s="1077"/>
      <c r="Y5" s="2821"/>
      <c r="Z5" s="1077" t="s">
        <v>5</v>
      </c>
      <c r="AA5" s="1077"/>
      <c r="AB5" s="1077"/>
      <c r="AC5" s="1077"/>
      <c r="AD5" s="1077"/>
      <c r="AE5" s="1078"/>
    </row>
    <row r="6" spans="1:31" ht="30" customHeight="1" x14ac:dyDescent="0.3">
      <c r="A6" s="998" t="s">
        <v>187</v>
      </c>
      <c r="B6" s="1079" t="s">
        <v>133</v>
      </c>
      <c r="C6" s="1039"/>
      <c r="D6" s="1039"/>
      <c r="E6" s="1039"/>
      <c r="F6" s="1039"/>
      <c r="G6" s="1080"/>
      <c r="H6" s="1039" t="s">
        <v>451</v>
      </c>
      <c r="I6" s="1039"/>
      <c r="J6" s="1039"/>
      <c r="K6" s="1039"/>
      <c r="L6" s="1039"/>
      <c r="M6" s="1080"/>
      <c r="N6" s="1039" t="s">
        <v>453</v>
      </c>
      <c r="O6" s="1039"/>
      <c r="P6" s="1039"/>
      <c r="Q6" s="1039"/>
      <c r="R6" s="1039"/>
      <c r="S6" s="1080"/>
      <c r="T6" s="1039" t="s">
        <v>539</v>
      </c>
      <c r="U6" s="1039"/>
      <c r="V6" s="1039"/>
      <c r="W6" s="1039"/>
      <c r="X6" s="1039"/>
      <c r="Y6" s="1080"/>
      <c r="Z6" s="939" t="s">
        <v>134</v>
      </c>
      <c r="AA6" s="939"/>
      <c r="AB6" s="939"/>
      <c r="AC6" s="939"/>
      <c r="AD6" s="939"/>
      <c r="AE6" s="1082"/>
    </row>
    <row r="7" spans="1:31" ht="30" customHeight="1" thickBot="1" x14ac:dyDescent="0.3">
      <c r="A7" s="1087"/>
      <c r="B7" s="2818" t="s">
        <v>157</v>
      </c>
      <c r="C7" s="2819"/>
      <c r="D7" s="2819"/>
      <c r="E7" s="2819"/>
      <c r="F7" s="2819"/>
      <c r="G7" s="2820"/>
      <c r="H7" s="2818" t="s">
        <v>157</v>
      </c>
      <c r="I7" s="2819"/>
      <c r="J7" s="2819"/>
      <c r="K7" s="2819"/>
      <c r="L7" s="2819"/>
      <c r="M7" s="2820"/>
      <c r="N7" s="2818" t="s">
        <v>157</v>
      </c>
      <c r="O7" s="2819"/>
      <c r="P7" s="2819"/>
      <c r="Q7" s="2819"/>
      <c r="R7" s="2819"/>
      <c r="S7" s="2820"/>
      <c r="T7" s="2818" t="s">
        <v>157</v>
      </c>
      <c r="U7" s="2819"/>
      <c r="V7" s="2819"/>
      <c r="W7" s="2819"/>
      <c r="X7" s="2819"/>
      <c r="Y7" s="2820"/>
      <c r="Z7" s="2818" t="s">
        <v>157</v>
      </c>
      <c r="AA7" s="2819"/>
      <c r="AB7" s="2819"/>
      <c r="AC7" s="2819"/>
      <c r="AD7" s="2819"/>
      <c r="AE7" s="2820"/>
    </row>
    <row r="8" spans="1:31" ht="30" customHeight="1" x14ac:dyDescent="0.3">
      <c r="A8" s="1087" t="s">
        <v>186</v>
      </c>
      <c r="B8" s="1081" t="s">
        <v>133</v>
      </c>
      <c r="C8" s="939"/>
      <c r="D8" s="939"/>
      <c r="E8" s="939"/>
      <c r="F8" s="939"/>
      <c r="G8" s="1082"/>
      <c r="H8" s="939" t="s">
        <v>539</v>
      </c>
      <c r="I8" s="939"/>
      <c r="J8" s="939"/>
      <c r="K8" s="939"/>
      <c r="L8" s="939"/>
      <c r="M8" s="1082"/>
      <c r="N8" s="939" t="s">
        <v>453</v>
      </c>
      <c r="O8" s="939"/>
      <c r="P8" s="939"/>
      <c r="Q8" s="939"/>
      <c r="R8" s="939"/>
      <c r="S8" s="1082"/>
      <c r="T8" s="939" t="s">
        <v>451</v>
      </c>
      <c r="U8" s="939"/>
      <c r="V8" s="939"/>
      <c r="W8" s="939"/>
      <c r="X8" s="939"/>
      <c r="Y8" s="1082"/>
      <c r="Z8" s="939" t="s">
        <v>134</v>
      </c>
      <c r="AA8" s="939"/>
      <c r="AB8" s="939"/>
      <c r="AC8" s="939"/>
      <c r="AD8" s="939"/>
      <c r="AE8" s="1082"/>
    </row>
    <row r="9" spans="1:31" ht="30" customHeight="1" thickBot="1" x14ac:dyDescent="0.3">
      <c r="A9" s="1087"/>
      <c r="B9" s="2818" t="s">
        <v>157</v>
      </c>
      <c r="C9" s="2819"/>
      <c r="D9" s="2819"/>
      <c r="E9" s="2819"/>
      <c r="F9" s="2819"/>
      <c r="G9" s="2820"/>
      <c r="H9" s="2818" t="s">
        <v>157</v>
      </c>
      <c r="I9" s="2819"/>
      <c r="J9" s="2819"/>
      <c r="K9" s="2819"/>
      <c r="L9" s="2819"/>
      <c r="M9" s="2820"/>
      <c r="N9" s="2818" t="s">
        <v>157</v>
      </c>
      <c r="O9" s="2819"/>
      <c r="P9" s="2819"/>
      <c r="Q9" s="2819"/>
      <c r="R9" s="2819"/>
      <c r="S9" s="2820"/>
      <c r="T9" s="2818" t="s">
        <v>157</v>
      </c>
      <c r="U9" s="2819"/>
      <c r="V9" s="2819"/>
      <c r="W9" s="2819"/>
      <c r="X9" s="2819"/>
      <c r="Y9" s="2820"/>
      <c r="Z9" s="2818" t="s">
        <v>157</v>
      </c>
      <c r="AA9" s="2819"/>
      <c r="AB9" s="2819"/>
      <c r="AC9" s="2819"/>
      <c r="AD9" s="2819"/>
      <c r="AE9" s="2820"/>
    </row>
    <row r="10" spans="1:31" ht="30" customHeight="1" x14ac:dyDescent="0.3">
      <c r="A10" s="998" t="s">
        <v>188</v>
      </c>
      <c r="B10" s="2814" t="s">
        <v>134</v>
      </c>
      <c r="C10" s="2812"/>
      <c r="D10" s="2812"/>
      <c r="E10" s="2812"/>
      <c r="F10" s="2812"/>
      <c r="G10" s="2813"/>
      <c r="H10" s="2812" t="s">
        <v>539</v>
      </c>
      <c r="I10" s="2812"/>
      <c r="J10" s="2812"/>
      <c r="K10" s="2812"/>
      <c r="L10" s="2812"/>
      <c r="M10" s="2813"/>
      <c r="N10" s="2812" t="s">
        <v>133</v>
      </c>
      <c r="O10" s="2812"/>
      <c r="P10" s="2812"/>
      <c r="Q10" s="2812"/>
      <c r="R10" s="2812"/>
      <c r="S10" s="2813"/>
      <c r="T10" s="2812" t="s">
        <v>451</v>
      </c>
      <c r="U10" s="2812"/>
      <c r="V10" s="2812"/>
      <c r="W10" s="2812"/>
      <c r="X10" s="2812"/>
      <c r="Y10" s="2813"/>
      <c r="Z10" s="1204"/>
      <c r="AA10" s="932"/>
      <c r="AB10" s="932"/>
      <c r="AC10" s="932"/>
      <c r="AD10" s="932"/>
      <c r="AE10" s="1205"/>
    </row>
    <row r="11" spans="1:31" ht="30" customHeight="1" thickBot="1" x14ac:dyDescent="0.3">
      <c r="A11" s="1087"/>
      <c r="B11" s="2805" t="s">
        <v>567</v>
      </c>
      <c r="C11" s="2798"/>
      <c r="D11" s="2798"/>
      <c r="E11" s="2798"/>
      <c r="F11" s="2798"/>
      <c r="G11" s="2799"/>
      <c r="H11" s="2798" t="s">
        <v>566</v>
      </c>
      <c r="I11" s="2798"/>
      <c r="J11" s="2798"/>
      <c r="K11" s="2798"/>
      <c r="L11" s="2798"/>
      <c r="M11" s="2799"/>
      <c r="N11" s="2798" t="s">
        <v>565</v>
      </c>
      <c r="O11" s="2798"/>
      <c r="P11" s="2798"/>
      <c r="Q11" s="2798"/>
      <c r="R11" s="2798"/>
      <c r="S11" s="2799"/>
      <c r="T11" s="2798" t="s">
        <v>568</v>
      </c>
      <c r="U11" s="2798"/>
      <c r="V11" s="2798"/>
      <c r="W11" s="2798"/>
      <c r="X11" s="2798"/>
      <c r="Y11" s="2799"/>
      <c r="Z11" s="1263"/>
      <c r="AA11" s="1264"/>
      <c r="AB11" s="1264"/>
      <c r="AC11" s="1264"/>
      <c r="AD11" s="1264"/>
      <c r="AE11" s="1265"/>
    </row>
    <row r="12" spans="1:31" ht="30" customHeight="1" x14ac:dyDescent="0.3">
      <c r="A12" s="998" t="s">
        <v>189</v>
      </c>
      <c r="B12" s="2815" t="s">
        <v>134</v>
      </c>
      <c r="C12" s="2816"/>
      <c r="D12" s="2816"/>
      <c r="E12" s="2816"/>
      <c r="F12" s="2816"/>
      <c r="G12" s="2817"/>
      <c r="H12" s="2816" t="s">
        <v>539</v>
      </c>
      <c r="I12" s="2816"/>
      <c r="J12" s="2816"/>
      <c r="K12" s="2816"/>
      <c r="L12" s="2816"/>
      <c r="M12" s="2817"/>
      <c r="N12" s="2816" t="s">
        <v>133</v>
      </c>
      <c r="O12" s="2816"/>
      <c r="P12" s="2816"/>
      <c r="Q12" s="2816"/>
      <c r="R12" s="2816"/>
      <c r="S12" s="2817"/>
      <c r="T12" s="2816" t="s">
        <v>451</v>
      </c>
      <c r="U12" s="2816"/>
      <c r="V12" s="2816"/>
      <c r="W12" s="2816"/>
      <c r="X12" s="2816"/>
      <c r="Y12" s="2817"/>
      <c r="Z12" s="1261"/>
      <c r="AA12" s="1050"/>
      <c r="AB12" s="1050"/>
      <c r="AC12" s="1050"/>
      <c r="AD12" s="1050"/>
      <c r="AE12" s="1262"/>
    </row>
    <row r="13" spans="1:31" ht="30" customHeight="1" thickBot="1" x14ac:dyDescent="0.3">
      <c r="A13" s="1087"/>
      <c r="B13" s="2805" t="s">
        <v>567</v>
      </c>
      <c r="C13" s="2798"/>
      <c r="D13" s="2798"/>
      <c r="E13" s="2798"/>
      <c r="F13" s="2798"/>
      <c r="G13" s="2799"/>
      <c r="H13" s="2798" t="s">
        <v>566</v>
      </c>
      <c r="I13" s="2798"/>
      <c r="J13" s="2798"/>
      <c r="K13" s="2798"/>
      <c r="L13" s="2798"/>
      <c r="M13" s="2799"/>
      <c r="N13" s="2798" t="s">
        <v>565</v>
      </c>
      <c r="O13" s="2798"/>
      <c r="P13" s="2798"/>
      <c r="Q13" s="2798"/>
      <c r="R13" s="2798"/>
      <c r="S13" s="2799"/>
      <c r="T13" s="2798" t="s">
        <v>568</v>
      </c>
      <c r="U13" s="2798"/>
      <c r="V13" s="2798"/>
      <c r="W13" s="2798"/>
      <c r="X13" s="2798"/>
      <c r="Y13" s="2799"/>
      <c r="Z13" s="1263"/>
      <c r="AA13" s="1264"/>
      <c r="AB13" s="1264"/>
      <c r="AC13" s="1264"/>
      <c r="AD13" s="1264"/>
      <c r="AE13" s="1265"/>
    </row>
    <row r="14" spans="1:31" ht="30" customHeight="1" x14ac:dyDescent="0.3">
      <c r="A14" s="998" t="s">
        <v>190</v>
      </c>
      <c r="B14" s="1204"/>
      <c r="C14" s="932"/>
      <c r="D14" s="932"/>
      <c r="E14" s="932"/>
      <c r="F14" s="932"/>
      <c r="G14" s="1205"/>
      <c r="H14" s="1204"/>
      <c r="I14" s="932"/>
      <c r="J14" s="932"/>
      <c r="K14" s="932"/>
      <c r="L14" s="932"/>
      <c r="M14" s="1205"/>
      <c r="N14" s="1204"/>
      <c r="O14" s="932"/>
      <c r="P14" s="932"/>
      <c r="Q14" s="932"/>
      <c r="R14" s="932"/>
      <c r="S14" s="1205"/>
      <c r="T14" s="2812" t="s">
        <v>453</v>
      </c>
      <c r="U14" s="2812"/>
      <c r="V14" s="2812"/>
      <c r="W14" s="2812"/>
      <c r="X14" s="2812"/>
      <c r="Y14" s="2813"/>
      <c r="Z14" s="1204"/>
      <c r="AA14" s="932"/>
      <c r="AB14" s="932"/>
      <c r="AC14" s="932"/>
      <c r="AD14" s="932"/>
      <c r="AE14" s="1205"/>
    </row>
    <row r="15" spans="1:31" ht="30" customHeight="1" thickBot="1" x14ac:dyDescent="0.3">
      <c r="A15" s="1087"/>
      <c r="B15" s="1263"/>
      <c r="C15" s="1264"/>
      <c r="D15" s="1264"/>
      <c r="E15" s="1264"/>
      <c r="F15" s="1264"/>
      <c r="G15" s="1265"/>
      <c r="H15" s="1263"/>
      <c r="I15" s="1264"/>
      <c r="J15" s="1264"/>
      <c r="K15" s="1264"/>
      <c r="L15" s="1264"/>
      <c r="M15" s="1265"/>
      <c r="N15" s="1263"/>
      <c r="O15" s="1264"/>
      <c r="P15" s="1264"/>
      <c r="Q15" s="1264"/>
      <c r="R15" s="1264"/>
      <c r="S15" s="1265"/>
      <c r="T15" s="2798" t="s">
        <v>568</v>
      </c>
      <c r="U15" s="2798"/>
      <c r="V15" s="2798"/>
      <c r="W15" s="2798"/>
      <c r="X15" s="2798"/>
      <c r="Y15" s="2799"/>
      <c r="Z15" s="1263"/>
      <c r="AA15" s="1264"/>
      <c r="AB15" s="1264"/>
      <c r="AC15" s="1264"/>
      <c r="AD15" s="1264"/>
      <c r="AE15" s="1265"/>
    </row>
    <row r="16" spans="1:31" ht="30" customHeight="1" x14ac:dyDescent="0.3">
      <c r="A16" s="998" t="s">
        <v>191</v>
      </c>
      <c r="B16" s="1204"/>
      <c r="C16" s="932"/>
      <c r="D16" s="932"/>
      <c r="E16" s="932"/>
      <c r="F16" s="932"/>
      <c r="G16" s="1205"/>
      <c r="H16" s="1204"/>
      <c r="I16" s="932"/>
      <c r="J16" s="932"/>
      <c r="K16" s="932"/>
      <c r="L16" s="932"/>
      <c r="M16" s="1205"/>
      <c r="N16" s="1204"/>
      <c r="O16" s="932"/>
      <c r="P16" s="932"/>
      <c r="Q16" s="932"/>
      <c r="R16" s="932"/>
      <c r="S16" s="1205"/>
      <c r="T16" s="2812" t="s">
        <v>453</v>
      </c>
      <c r="U16" s="2812"/>
      <c r="V16" s="2812"/>
      <c r="W16" s="2812"/>
      <c r="X16" s="2812"/>
      <c r="Y16" s="2813"/>
      <c r="Z16" s="1204"/>
      <c r="AA16" s="932"/>
      <c r="AB16" s="932"/>
      <c r="AC16" s="932"/>
      <c r="AD16" s="932"/>
      <c r="AE16" s="1205"/>
    </row>
    <row r="17" spans="1:31" ht="30" customHeight="1" thickBot="1" x14ac:dyDescent="0.3">
      <c r="A17" s="1171"/>
      <c r="B17" s="1263"/>
      <c r="C17" s="1264"/>
      <c r="D17" s="1264"/>
      <c r="E17" s="1264"/>
      <c r="F17" s="1264"/>
      <c r="G17" s="1265"/>
      <c r="H17" s="1263"/>
      <c r="I17" s="1264"/>
      <c r="J17" s="1264"/>
      <c r="K17" s="1264"/>
      <c r="L17" s="1264"/>
      <c r="M17" s="1265"/>
      <c r="N17" s="1263"/>
      <c r="O17" s="1264"/>
      <c r="P17" s="1264"/>
      <c r="Q17" s="1264"/>
      <c r="R17" s="1264"/>
      <c r="S17" s="1265"/>
      <c r="T17" s="2798" t="s">
        <v>568</v>
      </c>
      <c r="U17" s="2798"/>
      <c r="V17" s="2798"/>
      <c r="W17" s="2798"/>
      <c r="X17" s="2798"/>
      <c r="Y17" s="2799"/>
      <c r="Z17" s="1263"/>
      <c r="AA17" s="1264"/>
      <c r="AB17" s="1264"/>
      <c r="AC17" s="1264"/>
      <c r="AD17" s="1264"/>
      <c r="AE17" s="1265"/>
    </row>
    <row r="18" spans="1:31" ht="92.25" customHeight="1" thickBot="1" x14ac:dyDescent="0.3"/>
    <row r="19" spans="1:31" ht="18.75" customHeight="1" thickBot="1" x14ac:dyDescent="0.3">
      <c r="A19" s="1190" t="s">
        <v>218</v>
      </c>
      <c r="B19" s="1147"/>
      <c r="C19" s="1146" t="s">
        <v>219</v>
      </c>
      <c r="D19" s="1146"/>
      <c r="E19" s="1146"/>
      <c r="F19" s="1146"/>
      <c r="G19" s="1146"/>
      <c r="H19" s="1146"/>
      <c r="I19" s="1146"/>
      <c r="J19" s="1146"/>
      <c r="K19" s="1146"/>
      <c r="L19" s="58"/>
      <c r="M19" s="1144" t="s">
        <v>337</v>
      </c>
      <c r="N19" s="1145"/>
      <c r="O19" s="1146" t="s">
        <v>143</v>
      </c>
      <c r="P19" s="1147"/>
      <c r="Q19" s="1146" t="s">
        <v>167</v>
      </c>
      <c r="R19" s="1146"/>
      <c r="S19" s="1146"/>
      <c r="T19" s="1146"/>
      <c r="U19" s="1146"/>
      <c r="V19" s="1146"/>
      <c r="W19" s="1146"/>
      <c r="X19" s="1146"/>
      <c r="Y19" s="1146"/>
      <c r="Z19" s="1146"/>
      <c r="AA19" s="1146"/>
      <c r="AB19" s="1146"/>
      <c r="AC19" s="1146"/>
      <c r="AD19" s="1146"/>
      <c r="AE19" s="1147"/>
    </row>
    <row r="20" spans="1:31" ht="13.8" x14ac:dyDescent="0.25">
      <c r="A20" s="1400" t="e">
        <f>VLOOKUP(M20,ASIGNATURAS!$F$1:$L$1022, 3, FALSE)</f>
        <v>#N/A</v>
      </c>
      <c r="B20" s="1401"/>
      <c r="C20" s="1397" t="e">
        <f>VLOOKUP(M20,ASIGNATURAS!$F$1:$L$1022, 4, FALSE)</f>
        <v>#N/A</v>
      </c>
      <c r="D20" s="1398"/>
      <c r="E20" s="1398"/>
      <c r="F20" s="1398"/>
      <c r="G20" s="1398"/>
      <c r="H20" s="1398"/>
      <c r="I20" s="1398"/>
      <c r="J20" s="1398"/>
      <c r="K20" s="1398"/>
      <c r="L20" s="1399"/>
      <c r="M20" s="1402">
        <v>7059</v>
      </c>
      <c r="N20" s="1403"/>
      <c r="O20" s="1402" t="e">
        <f>VLOOKUP(M20,ASIGNATURAS!$F$1:$L$1022, 5, FALSE)</f>
        <v>#N/A</v>
      </c>
      <c r="P20" s="1403"/>
      <c r="Q20" s="1397" t="e">
        <f>VLOOKUP(M20,ASIGNATURAS!$F$1:$L$1022, 6, FALSE)</f>
        <v>#N/A</v>
      </c>
      <c r="R20" s="1398"/>
      <c r="S20" s="1398"/>
      <c r="T20" s="1398"/>
      <c r="U20" s="1398"/>
      <c r="V20" s="1398"/>
      <c r="W20" s="1398"/>
      <c r="X20" s="1398"/>
      <c r="Y20" s="1398"/>
      <c r="Z20" s="1398"/>
      <c r="AA20" s="1398"/>
      <c r="AB20" s="1398"/>
      <c r="AC20" s="1398"/>
      <c r="AD20" s="1398"/>
      <c r="AE20" s="1399"/>
    </row>
    <row r="21" spans="1:31" ht="13.8" x14ac:dyDescent="0.25">
      <c r="A21" s="1065" t="e">
        <f>VLOOKUP(M21,ASIGNATURAS!$F$1:$L$1022, 3, FALSE)</f>
        <v>#N/A</v>
      </c>
      <c r="B21" s="1066"/>
      <c r="C21" s="982" t="e">
        <f>VLOOKUP(M21,ASIGNATURAS!$F$1:$L$1022, 4, FALSE)</f>
        <v>#N/A</v>
      </c>
      <c r="D21" s="983"/>
      <c r="E21" s="983"/>
      <c r="F21" s="983"/>
      <c r="G21" s="983"/>
      <c r="H21" s="983"/>
      <c r="I21" s="983"/>
      <c r="J21" s="983"/>
      <c r="K21" s="983"/>
      <c r="L21" s="1018"/>
      <c r="M21" s="981">
        <v>7060</v>
      </c>
      <c r="N21" s="1071"/>
      <c r="O21" s="981" t="e">
        <f>VLOOKUP(M21,ASIGNATURAS!$F$1:$L$1022, 5, FALSE)</f>
        <v>#N/A</v>
      </c>
      <c r="P21" s="1071"/>
      <c r="Q21" s="982" t="e">
        <f>VLOOKUP(M21,ASIGNATURAS!$F$1:$L$1022, 6, FALSE)</f>
        <v>#N/A</v>
      </c>
      <c r="R21" s="983"/>
      <c r="S21" s="983"/>
      <c r="T21" s="983"/>
      <c r="U21" s="983"/>
      <c r="V21" s="983"/>
      <c r="W21" s="983"/>
      <c r="X21" s="983"/>
      <c r="Y21" s="983"/>
      <c r="Z21" s="983"/>
      <c r="AA21" s="983"/>
      <c r="AB21" s="983"/>
      <c r="AC21" s="983"/>
      <c r="AD21" s="983"/>
      <c r="AE21" s="1018"/>
    </row>
    <row r="22" spans="1:31" ht="13.8" x14ac:dyDescent="0.25">
      <c r="A22" s="1065" t="e">
        <f>VLOOKUP(M22,ASIGNATURAS!$F$1:$L$1022, 3, FALSE)</f>
        <v>#N/A</v>
      </c>
      <c r="B22" s="1066"/>
      <c r="C22" s="982" t="e">
        <f>VLOOKUP(M22,ASIGNATURAS!$F$1:$L$1022, 4, FALSE)</f>
        <v>#N/A</v>
      </c>
      <c r="D22" s="983"/>
      <c r="E22" s="983"/>
      <c r="F22" s="983"/>
      <c r="G22" s="983"/>
      <c r="H22" s="983"/>
      <c r="I22" s="983"/>
      <c r="J22" s="983"/>
      <c r="K22" s="983"/>
      <c r="L22" s="1018"/>
      <c r="M22" s="981">
        <v>7061</v>
      </c>
      <c r="N22" s="1071"/>
      <c r="O22" s="981" t="e">
        <f>VLOOKUP(M22,ASIGNATURAS!$F$1:$L$1022, 5, FALSE)</f>
        <v>#N/A</v>
      </c>
      <c r="P22" s="1071"/>
      <c r="Q22" s="982" t="e">
        <f>VLOOKUP(M22,ASIGNATURAS!$F$1:$L$1022, 6, FALSE)</f>
        <v>#N/A</v>
      </c>
      <c r="R22" s="983"/>
      <c r="S22" s="983"/>
      <c r="T22" s="983"/>
      <c r="U22" s="983"/>
      <c r="V22" s="983"/>
      <c r="W22" s="983"/>
      <c r="X22" s="983"/>
      <c r="Y22" s="983"/>
      <c r="Z22" s="983"/>
      <c r="AA22" s="983"/>
      <c r="AB22" s="983"/>
      <c r="AC22" s="983"/>
      <c r="AD22" s="983"/>
      <c r="AE22" s="1018"/>
    </row>
    <row r="23" spans="1:31" ht="13.8" x14ac:dyDescent="0.25">
      <c r="A23" s="1065" t="e">
        <f>VLOOKUP(M23,ASIGNATURAS!$F$1:$L$1022, 3, FALSE)</f>
        <v>#N/A</v>
      </c>
      <c r="B23" s="1066"/>
      <c r="C23" s="982" t="e">
        <f>VLOOKUP(M23,ASIGNATURAS!$F$1:$L$1022, 4, FALSE)</f>
        <v>#N/A</v>
      </c>
      <c r="D23" s="983"/>
      <c r="E23" s="983"/>
      <c r="F23" s="983"/>
      <c r="G23" s="983"/>
      <c r="H23" s="983"/>
      <c r="I23" s="983"/>
      <c r="J23" s="983"/>
      <c r="K23" s="983"/>
      <c r="L23" s="1018"/>
      <c r="M23" s="981">
        <v>7062</v>
      </c>
      <c r="N23" s="1071"/>
      <c r="O23" s="981" t="e">
        <f>VLOOKUP(M23,ASIGNATURAS!$F$1:$L$1022, 5, FALSE)</f>
        <v>#N/A</v>
      </c>
      <c r="P23" s="1071"/>
      <c r="Q23" s="982" t="e">
        <f>VLOOKUP(M23,ASIGNATURAS!$F$1:$L$1022, 6, FALSE)</f>
        <v>#N/A</v>
      </c>
      <c r="R23" s="983"/>
      <c r="S23" s="983"/>
      <c r="T23" s="983"/>
      <c r="U23" s="983"/>
      <c r="V23" s="983"/>
      <c r="W23" s="983"/>
      <c r="X23" s="983"/>
      <c r="Y23" s="983"/>
      <c r="Z23" s="983"/>
      <c r="AA23" s="983"/>
      <c r="AB23" s="983"/>
      <c r="AC23" s="983"/>
      <c r="AD23" s="983"/>
      <c r="AE23" s="1018"/>
    </row>
    <row r="24" spans="1:31" ht="13.8" x14ac:dyDescent="0.25">
      <c r="A24" s="1065" t="e">
        <f>VLOOKUP(M24,ASIGNATURAS!$F$1:$L$1022, 3, FALSE)</f>
        <v>#N/A</v>
      </c>
      <c r="B24" s="1066"/>
      <c r="C24" s="982" t="e">
        <f>VLOOKUP(M24,ASIGNATURAS!$F$1:$L$1022, 4, FALSE)</f>
        <v>#N/A</v>
      </c>
      <c r="D24" s="983"/>
      <c r="E24" s="983"/>
      <c r="F24" s="983"/>
      <c r="G24" s="983"/>
      <c r="H24" s="983"/>
      <c r="I24" s="983"/>
      <c r="J24" s="983"/>
      <c r="K24" s="983"/>
      <c r="L24" s="1018"/>
      <c r="M24" s="981">
        <v>7063</v>
      </c>
      <c r="N24" s="1071"/>
      <c r="O24" s="981" t="e">
        <f>VLOOKUP(M24,ASIGNATURAS!$F$1:$L$1022, 5, FALSE)</f>
        <v>#N/A</v>
      </c>
      <c r="P24" s="1071"/>
      <c r="Q24" s="982" t="e">
        <f>VLOOKUP(M24,ASIGNATURAS!$F$1:$L$1022, 6, FALSE)</f>
        <v>#N/A</v>
      </c>
      <c r="R24" s="983"/>
      <c r="S24" s="983"/>
      <c r="T24" s="983"/>
      <c r="U24" s="983"/>
      <c r="V24" s="983"/>
      <c r="W24" s="983"/>
      <c r="X24" s="983"/>
      <c r="Y24" s="983"/>
      <c r="Z24" s="983"/>
      <c r="AA24" s="983"/>
      <c r="AB24" s="983"/>
      <c r="AC24" s="983"/>
      <c r="AD24" s="983"/>
      <c r="AE24" s="1018"/>
    </row>
    <row r="26" spans="1:31" ht="13.8" thickBot="1" x14ac:dyDescent="0.3"/>
    <row r="27" spans="1:31" ht="24" customHeight="1" thickBot="1" x14ac:dyDescent="0.3">
      <c r="A27" s="2809" t="s">
        <v>169</v>
      </c>
      <c r="B27" s="2810"/>
      <c r="C27" s="2810"/>
      <c r="D27" s="2811"/>
    </row>
    <row r="28" spans="1:31" ht="24" customHeight="1" thickBot="1" x14ac:dyDescent="0.3">
      <c r="A28" s="2795" t="s">
        <v>170</v>
      </c>
      <c r="B28" s="2796"/>
      <c r="C28" s="2796"/>
      <c r="D28" s="2797"/>
    </row>
    <row r="30" spans="1:31" x14ac:dyDescent="0.25">
      <c r="A30" s="20" t="s">
        <v>217</v>
      </c>
    </row>
    <row r="31" spans="1:31" ht="13.8" thickBot="1" x14ac:dyDescent="0.3">
      <c r="A31" s="25"/>
    </row>
    <row r="32" spans="1:31" s="1" customFormat="1" ht="31.5" customHeight="1" thickBot="1" x14ac:dyDescent="0.45">
      <c r="A32" s="1094" t="str">
        <f>VLOOKUP(A35,ASIGNATURAS!$A$2:$D$151, 3, FALSE)</f>
        <v>1º Máster en Ingeniería Informática</v>
      </c>
      <c r="B32" s="1095"/>
      <c r="C32" s="1095"/>
      <c r="D32" s="1095"/>
      <c r="E32" s="1095"/>
      <c r="F32" s="1095"/>
      <c r="G32" s="1095"/>
      <c r="H32" s="1095"/>
      <c r="I32" s="1095"/>
      <c r="J32" s="1095"/>
      <c r="K32" s="1095"/>
      <c r="L32" s="1095"/>
      <c r="M32" s="1095"/>
      <c r="N32" s="1095"/>
      <c r="O32" s="1095"/>
      <c r="P32" s="1095"/>
      <c r="Q32" s="1095"/>
      <c r="R32" s="1095"/>
      <c r="S32" s="1095"/>
      <c r="T32" s="1095"/>
      <c r="U32" s="1095"/>
      <c r="V32" s="1095"/>
      <c r="W32" s="1095"/>
      <c r="X32" s="1095"/>
      <c r="Y32" s="1096"/>
      <c r="Z32" s="1076" t="str">
        <f>Z1</f>
        <v>Curso 2024-2025</v>
      </c>
      <c r="AA32" s="1077"/>
      <c r="AB32" s="1077"/>
      <c r="AC32" s="1077"/>
      <c r="AD32" s="1077"/>
      <c r="AE32" s="1078"/>
    </row>
    <row r="33" spans="1:31" s="8" customFormat="1" ht="23.25" customHeight="1" thickBot="1" x14ac:dyDescent="0.45">
      <c r="A33" s="1083" t="str">
        <f>VLOOKUP(A35,ASIGNATURAS!$A$2:$D$151, 2, FALSE)</f>
        <v>Semestre temporal: 2º        (2º Semestre Académico)</v>
      </c>
      <c r="B33" s="1084"/>
      <c r="C33" s="1084"/>
      <c r="D33" s="1084"/>
      <c r="E33" s="1084"/>
      <c r="F33" s="1084"/>
      <c r="G33" s="1084"/>
      <c r="H33" s="1084"/>
      <c r="I33" s="1084"/>
      <c r="J33" s="1084"/>
      <c r="K33" s="1084"/>
      <c r="L33" s="1084"/>
      <c r="M33" s="1084"/>
      <c r="N33" s="1084"/>
      <c r="O33" s="1084"/>
      <c r="P33" s="1084"/>
      <c r="Q33" s="1084"/>
      <c r="R33" s="1084"/>
      <c r="S33" s="1084"/>
      <c r="T33" s="1084"/>
      <c r="U33" s="1084"/>
      <c r="V33" s="1084"/>
      <c r="W33" s="1084"/>
      <c r="X33" s="1084"/>
      <c r="Y33" s="1085"/>
      <c r="Z33" s="1072" t="s">
        <v>157</v>
      </c>
      <c r="AA33" s="1072"/>
      <c r="AB33" s="1072"/>
      <c r="AC33" s="1072"/>
      <c r="AD33" s="1072"/>
      <c r="AE33" s="1073"/>
    </row>
    <row r="34" spans="1:31" s="8" customFormat="1" ht="23.25" customHeight="1" thickBot="1" x14ac:dyDescent="0.45">
      <c r="A34" s="1083" t="s">
        <v>181</v>
      </c>
      <c r="B34" s="1084"/>
      <c r="C34" s="1084"/>
      <c r="D34" s="1084"/>
      <c r="E34" s="1084"/>
      <c r="F34" s="1084"/>
      <c r="G34" s="1084"/>
      <c r="H34" s="1084"/>
      <c r="I34" s="1084"/>
      <c r="J34" s="1084"/>
      <c r="K34" s="1084"/>
      <c r="L34" s="1084"/>
      <c r="M34" s="1084"/>
      <c r="N34" s="1084"/>
      <c r="O34" s="1084"/>
      <c r="P34" s="1084"/>
      <c r="Q34" s="1084"/>
      <c r="R34" s="1084"/>
      <c r="S34" s="1084"/>
      <c r="T34" s="1084"/>
      <c r="U34" s="1084"/>
      <c r="V34" s="1084"/>
      <c r="W34" s="1084"/>
      <c r="X34" s="1084"/>
      <c r="Y34" s="1085"/>
      <c r="Z34" s="1074"/>
      <c r="AA34" s="1074"/>
      <c r="AB34" s="1074"/>
      <c r="AC34" s="1074"/>
      <c r="AD34" s="1074"/>
      <c r="AE34" s="1075"/>
    </row>
    <row r="35" spans="1:31" ht="38.25" customHeight="1" thickBot="1" x14ac:dyDescent="0.3">
      <c r="A35" s="23" t="s">
        <v>131</v>
      </c>
    </row>
    <row r="36" spans="1:31" s="2" customFormat="1" ht="24" customHeight="1" thickBot="1" x14ac:dyDescent="0.3">
      <c r="A36" s="24" t="s">
        <v>1</v>
      </c>
      <c r="B36" s="1092" t="s">
        <v>2</v>
      </c>
      <c r="C36" s="1092"/>
      <c r="D36" s="1092"/>
      <c r="E36" s="1092"/>
      <c r="F36" s="1092"/>
      <c r="G36" s="2748"/>
      <c r="H36" s="1092" t="s">
        <v>3</v>
      </c>
      <c r="I36" s="1092"/>
      <c r="J36" s="1092"/>
      <c r="K36" s="1092"/>
      <c r="L36" s="1092"/>
      <c r="M36" s="2748"/>
      <c r="N36" s="1092" t="s">
        <v>139</v>
      </c>
      <c r="O36" s="1092"/>
      <c r="P36" s="1092"/>
      <c r="Q36" s="1092"/>
      <c r="R36" s="1092"/>
      <c r="S36" s="2748"/>
      <c r="T36" s="1092" t="s">
        <v>4</v>
      </c>
      <c r="U36" s="1092"/>
      <c r="V36" s="1092"/>
      <c r="W36" s="1092"/>
      <c r="X36" s="1092"/>
      <c r="Y36" s="2748"/>
      <c r="Z36" s="1092" t="s">
        <v>5</v>
      </c>
      <c r="AA36" s="1092"/>
      <c r="AB36" s="1092"/>
      <c r="AC36" s="1092"/>
      <c r="AD36" s="1092"/>
      <c r="AE36" s="1093"/>
    </row>
    <row r="37" spans="1:31" ht="30" customHeight="1" x14ac:dyDescent="0.25">
      <c r="A37" s="1455" t="s">
        <v>187</v>
      </c>
      <c r="B37" s="1270" t="s">
        <v>490</v>
      </c>
      <c r="C37" s="1271"/>
      <c r="D37" s="1271"/>
      <c r="E37" s="1271"/>
      <c r="F37" s="1271"/>
      <c r="G37" s="1272"/>
      <c r="H37" s="1271" t="s">
        <v>458</v>
      </c>
      <c r="I37" s="1271"/>
      <c r="J37" s="1271"/>
      <c r="K37" s="1271"/>
      <c r="L37" s="1271"/>
      <c r="M37" s="1272"/>
      <c r="N37" s="1271" t="s">
        <v>524</v>
      </c>
      <c r="O37" s="1271"/>
      <c r="P37" s="1271"/>
      <c r="Q37" s="1271"/>
      <c r="R37" s="1271"/>
      <c r="S37" s="1272"/>
      <c r="T37" s="1271" t="s">
        <v>135</v>
      </c>
      <c r="U37" s="1271"/>
      <c r="V37" s="1271"/>
      <c r="W37" s="1271"/>
      <c r="X37" s="1271"/>
      <c r="Y37" s="1272"/>
      <c r="Z37" s="2806" t="s">
        <v>458</v>
      </c>
      <c r="AA37" s="2806"/>
      <c r="AB37" s="2806"/>
      <c r="AC37" s="2806"/>
      <c r="AD37" s="2806"/>
      <c r="AE37" s="2807"/>
    </row>
    <row r="38" spans="1:31" ht="30" customHeight="1" thickBot="1" x14ac:dyDescent="0.3">
      <c r="A38" s="998"/>
      <c r="B38" s="2802" t="s">
        <v>157</v>
      </c>
      <c r="C38" s="2803"/>
      <c r="D38" s="2803"/>
      <c r="E38" s="2803"/>
      <c r="F38" s="2803"/>
      <c r="G38" s="2804"/>
      <c r="H38" s="2802" t="s">
        <v>157</v>
      </c>
      <c r="I38" s="2803"/>
      <c r="J38" s="2803"/>
      <c r="K38" s="2803"/>
      <c r="L38" s="2803"/>
      <c r="M38" s="2804"/>
      <c r="N38" s="2802" t="s">
        <v>157</v>
      </c>
      <c r="O38" s="2803"/>
      <c r="P38" s="2803"/>
      <c r="Q38" s="2803"/>
      <c r="R38" s="2803"/>
      <c r="S38" s="2804"/>
      <c r="T38" s="2802" t="s">
        <v>157</v>
      </c>
      <c r="U38" s="2803"/>
      <c r="V38" s="2803"/>
      <c r="W38" s="2803"/>
      <c r="X38" s="2803"/>
      <c r="Y38" s="2804"/>
      <c r="Z38" s="2798" t="s">
        <v>568</v>
      </c>
      <c r="AA38" s="2798"/>
      <c r="AB38" s="2798"/>
      <c r="AC38" s="2798"/>
      <c r="AD38" s="2798"/>
      <c r="AE38" s="2799"/>
    </row>
    <row r="39" spans="1:31" ht="30" customHeight="1" x14ac:dyDescent="0.25">
      <c r="A39" s="1455" t="s">
        <v>186</v>
      </c>
      <c r="B39" s="1270" t="s">
        <v>490</v>
      </c>
      <c r="C39" s="1271"/>
      <c r="D39" s="1271"/>
      <c r="E39" s="1271"/>
      <c r="F39" s="1271"/>
      <c r="G39" s="1272"/>
      <c r="H39" s="1271" t="s">
        <v>458</v>
      </c>
      <c r="I39" s="1271"/>
      <c r="J39" s="1271"/>
      <c r="K39" s="1271"/>
      <c r="L39" s="1271"/>
      <c r="M39" s="1272"/>
      <c r="N39" s="1271" t="s">
        <v>524</v>
      </c>
      <c r="O39" s="1271"/>
      <c r="P39" s="1271"/>
      <c r="Q39" s="1271"/>
      <c r="R39" s="1271"/>
      <c r="S39" s="1272"/>
      <c r="T39" s="1271" t="s">
        <v>135</v>
      </c>
      <c r="U39" s="1271"/>
      <c r="V39" s="1271"/>
      <c r="W39" s="1271"/>
      <c r="X39" s="1271"/>
      <c r="Y39" s="1272"/>
      <c r="Z39" s="2806" t="s">
        <v>458</v>
      </c>
      <c r="AA39" s="2806"/>
      <c r="AB39" s="2806"/>
      <c r="AC39" s="2806"/>
      <c r="AD39" s="2806"/>
      <c r="AE39" s="2807"/>
    </row>
    <row r="40" spans="1:31" ht="30" customHeight="1" thickBot="1" x14ac:dyDescent="0.3">
      <c r="A40" s="998"/>
      <c r="B40" s="2802" t="s">
        <v>157</v>
      </c>
      <c r="C40" s="2803"/>
      <c r="D40" s="2803"/>
      <c r="E40" s="2803"/>
      <c r="F40" s="2803"/>
      <c r="G40" s="2804"/>
      <c r="H40" s="2802" t="s">
        <v>157</v>
      </c>
      <c r="I40" s="2803"/>
      <c r="J40" s="2803"/>
      <c r="K40" s="2803"/>
      <c r="L40" s="2803"/>
      <c r="M40" s="2804"/>
      <c r="N40" s="2802" t="s">
        <v>157</v>
      </c>
      <c r="O40" s="2803"/>
      <c r="P40" s="2803"/>
      <c r="Q40" s="2803"/>
      <c r="R40" s="2803"/>
      <c r="S40" s="2804"/>
      <c r="T40" s="2802" t="s">
        <v>157</v>
      </c>
      <c r="U40" s="2803"/>
      <c r="V40" s="2803"/>
      <c r="W40" s="2803"/>
      <c r="X40" s="2803"/>
      <c r="Y40" s="2804"/>
      <c r="Z40" s="2798" t="s">
        <v>568</v>
      </c>
      <c r="AA40" s="2798"/>
      <c r="AB40" s="2798"/>
      <c r="AC40" s="2798"/>
      <c r="AD40" s="2798"/>
      <c r="AE40" s="2799"/>
    </row>
    <row r="41" spans="1:31" ht="30" customHeight="1" x14ac:dyDescent="0.25">
      <c r="A41" s="1455" t="s">
        <v>188</v>
      </c>
      <c r="B41" s="2808" t="s">
        <v>524</v>
      </c>
      <c r="C41" s="2806"/>
      <c r="D41" s="2806"/>
      <c r="E41" s="2806"/>
      <c r="F41" s="2806"/>
      <c r="G41" s="2807"/>
      <c r="H41" s="2806" t="s">
        <v>490</v>
      </c>
      <c r="I41" s="2806"/>
      <c r="J41" s="2806"/>
      <c r="K41" s="2806"/>
      <c r="L41" s="2806"/>
      <c r="M41" s="2807"/>
      <c r="N41" s="2806" t="s">
        <v>135</v>
      </c>
      <c r="O41" s="2806"/>
      <c r="P41" s="2806"/>
      <c r="Q41" s="2806"/>
      <c r="R41" s="2806"/>
      <c r="S41" s="2807"/>
      <c r="T41" s="2806" t="s">
        <v>460</v>
      </c>
      <c r="U41" s="2806"/>
      <c r="V41" s="2806"/>
      <c r="W41" s="2806"/>
      <c r="X41" s="2806"/>
      <c r="Y41" s="2807"/>
      <c r="Z41" s="2800" t="s">
        <v>460</v>
      </c>
      <c r="AA41" s="2800"/>
      <c r="AB41" s="2800"/>
      <c r="AC41" s="2800"/>
      <c r="AD41" s="2800"/>
      <c r="AE41" s="2801"/>
    </row>
    <row r="42" spans="1:31" ht="30" customHeight="1" thickBot="1" x14ac:dyDescent="0.3">
      <c r="A42" s="998"/>
      <c r="B42" s="2805" t="s">
        <v>157</v>
      </c>
      <c r="C42" s="2798"/>
      <c r="D42" s="2798"/>
      <c r="E42" s="2798"/>
      <c r="F42" s="2798"/>
      <c r="G42" s="2799"/>
      <c r="H42" s="2798" t="s">
        <v>564</v>
      </c>
      <c r="I42" s="2798"/>
      <c r="J42" s="2798"/>
      <c r="K42" s="2798"/>
      <c r="L42" s="2798"/>
      <c r="M42" s="2799"/>
      <c r="N42" s="2798" t="s">
        <v>567</v>
      </c>
      <c r="O42" s="2798"/>
      <c r="P42" s="2798"/>
      <c r="Q42" s="2798"/>
      <c r="R42" s="2798"/>
      <c r="S42" s="2799"/>
      <c r="T42" s="2798" t="s">
        <v>633</v>
      </c>
      <c r="U42" s="2798"/>
      <c r="V42" s="2798"/>
      <c r="W42" s="2798"/>
      <c r="X42" s="2798"/>
      <c r="Y42" s="2799"/>
      <c r="Z42" s="2803" t="s">
        <v>157</v>
      </c>
      <c r="AA42" s="2803"/>
      <c r="AB42" s="2803"/>
      <c r="AC42" s="2803"/>
      <c r="AD42" s="2803"/>
      <c r="AE42" s="2804"/>
    </row>
    <row r="43" spans="1:31" ht="30" customHeight="1" x14ac:dyDescent="0.25">
      <c r="A43" s="1455" t="s">
        <v>189</v>
      </c>
      <c r="B43" s="2808" t="s">
        <v>524</v>
      </c>
      <c r="C43" s="2806"/>
      <c r="D43" s="2806"/>
      <c r="E43" s="2806"/>
      <c r="F43" s="2806"/>
      <c r="G43" s="2807"/>
      <c r="H43" s="2806" t="s">
        <v>490</v>
      </c>
      <c r="I43" s="2806"/>
      <c r="J43" s="2806"/>
      <c r="K43" s="2806"/>
      <c r="L43" s="2806"/>
      <c r="M43" s="2807"/>
      <c r="N43" s="2806" t="s">
        <v>135</v>
      </c>
      <c r="O43" s="2806"/>
      <c r="P43" s="2806"/>
      <c r="Q43" s="2806"/>
      <c r="R43" s="2806"/>
      <c r="S43" s="2807"/>
      <c r="T43" s="2806" t="s">
        <v>460</v>
      </c>
      <c r="U43" s="2806"/>
      <c r="V43" s="2806"/>
      <c r="W43" s="2806"/>
      <c r="X43" s="2806"/>
      <c r="Y43" s="2807"/>
      <c r="Z43" s="2800" t="s">
        <v>460</v>
      </c>
      <c r="AA43" s="2800"/>
      <c r="AB43" s="2800"/>
      <c r="AC43" s="2800"/>
      <c r="AD43" s="2800"/>
      <c r="AE43" s="2801"/>
    </row>
    <row r="44" spans="1:31" ht="30" customHeight="1" thickBot="1" x14ac:dyDescent="0.3">
      <c r="A44" s="998"/>
      <c r="B44" s="2805" t="s">
        <v>157</v>
      </c>
      <c r="C44" s="2798"/>
      <c r="D44" s="2798"/>
      <c r="E44" s="2798"/>
      <c r="F44" s="2798"/>
      <c r="G44" s="2799"/>
      <c r="H44" s="2798" t="s">
        <v>564</v>
      </c>
      <c r="I44" s="2798"/>
      <c r="J44" s="2798"/>
      <c r="K44" s="2798"/>
      <c r="L44" s="2798"/>
      <c r="M44" s="2799"/>
      <c r="N44" s="2798" t="s">
        <v>567</v>
      </c>
      <c r="O44" s="2798"/>
      <c r="P44" s="2798"/>
      <c r="Q44" s="2798"/>
      <c r="R44" s="2798"/>
      <c r="S44" s="2799"/>
      <c r="T44" s="2798" t="s">
        <v>634</v>
      </c>
      <c r="U44" s="2798"/>
      <c r="V44" s="2798"/>
      <c r="W44" s="2798"/>
      <c r="X44" s="2798"/>
      <c r="Y44" s="2799"/>
      <c r="Z44" s="2802" t="s">
        <v>157</v>
      </c>
      <c r="AA44" s="2803"/>
      <c r="AB44" s="2803"/>
      <c r="AC44" s="2803"/>
      <c r="AD44" s="2803"/>
      <c r="AE44" s="2804"/>
    </row>
    <row r="45" spans="1:31" ht="30" customHeight="1" x14ac:dyDescent="0.3">
      <c r="A45" s="1455" t="s">
        <v>190</v>
      </c>
      <c r="B45" s="1261"/>
      <c r="C45" s="1050"/>
      <c r="D45" s="1050"/>
      <c r="E45" s="1050"/>
      <c r="F45" s="1050"/>
      <c r="G45" s="1262"/>
      <c r="H45" s="1050"/>
      <c r="I45" s="1050"/>
      <c r="J45" s="1050"/>
      <c r="K45" s="1050"/>
      <c r="L45" s="1050"/>
      <c r="M45" s="1262"/>
      <c r="N45" s="1050"/>
      <c r="O45" s="1050"/>
      <c r="P45" s="1050"/>
      <c r="Q45" s="1050"/>
      <c r="R45" s="1050"/>
      <c r="S45" s="1262"/>
      <c r="T45" s="1050"/>
      <c r="U45" s="1050"/>
      <c r="V45" s="1050"/>
      <c r="W45" s="1050"/>
      <c r="X45" s="1050"/>
      <c r="Y45" s="1262"/>
      <c r="Z45" s="1050"/>
      <c r="AA45" s="1050"/>
      <c r="AB45" s="1050"/>
      <c r="AC45" s="1050"/>
      <c r="AD45" s="1050"/>
      <c r="AE45" s="1262"/>
    </row>
    <row r="46" spans="1:31" ht="30" customHeight="1" thickBot="1" x14ac:dyDescent="0.3">
      <c r="A46" s="998"/>
      <c r="B46" s="1263"/>
      <c r="C46" s="1264"/>
      <c r="D46" s="1264"/>
      <c r="E46" s="1264"/>
      <c r="F46" s="1264"/>
      <c r="G46" s="1265"/>
      <c r="H46" s="1264"/>
      <c r="I46" s="1264"/>
      <c r="J46" s="1264"/>
      <c r="K46" s="1264"/>
      <c r="L46" s="1264"/>
      <c r="M46" s="1265"/>
      <c r="N46" s="1264"/>
      <c r="O46" s="1264"/>
      <c r="P46" s="1264"/>
      <c r="Q46" s="1264"/>
      <c r="R46" s="1264"/>
      <c r="S46" s="1265"/>
      <c r="T46" s="1264"/>
      <c r="U46" s="1264"/>
      <c r="V46" s="1264"/>
      <c r="W46" s="1264"/>
      <c r="X46" s="1264"/>
      <c r="Y46" s="1265"/>
      <c r="Z46" s="1264"/>
      <c r="AA46" s="1264"/>
      <c r="AB46" s="1264"/>
      <c r="AC46" s="1264"/>
      <c r="AD46" s="1264"/>
      <c r="AE46" s="1265"/>
    </row>
    <row r="47" spans="1:31" ht="30" customHeight="1" x14ac:dyDescent="0.3">
      <c r="A47" s="1455" t="s">
        <v>191</v>
      </c>
      <c r="B47" s="1204"/>
      <c r="C47" s="932"/>
      <c r="D47" s="932"/>
      <c r="E47" s="932"/>
      <c r="F47" s="932"/>
      <c r="G47" s="1205"/>
      <c r="H47" s="932"/>
      <c r="I47" s="932"/>
      <c r="J47" s="932"/>
      <c r="K47" s="932"/>
      <c r="L47" s="932"/>
      <c r="M47" s="1205"/>
      <c r="N47" s="932"/>
      <c r="O47" s="932"/>
      <c r="P47" s="932"/>
      <c r="Q47" s="932"/>
      <c r="R47" s="932"/>
      <c r="S47" s="1205"/>
      <c r="T47" s="932"/>
      <c r="U47" s="932"/>
      <c r="V47" s="932"/>
      <c r="W47" s="932"/>
      <c r="X47" s="932"/>
      <c r="Y47" s="1205"/>
      <c r="Z47" s="932"/>
      <c r="AA47" s="932"/>
      <c r="AB47" s="932"/>
      <c r="AC47" s="932"/>
      <c r="AD47" s="932"/>
      <c r="AE47" s="1205"/>
    </row>
    <row r="48" spans="1:31" ht="30" customHeight="1" thickBot="1" x14ac:dyDescent="0.3">
      <c r="A48" s="1456"/>
      <c r="B48" s="1263"/>
      <c r="C48" s="1264"/>
      <c r="D48" s="1264"/>
      <c r="E48" s="1264"/>
      <c r="F48" s="1264"/>
      <c r="G48" s="1265"/>
      <c r="H48" s="1264"/>
      <c r="I48" s="1264"/>
      <c r="J48" s="1264"/>
      <c r="K48" s="1264"/>
      <c r="L48" s="1264"/>
      <c r="M48" s="1265"/>
      <c r="N48" s="1264"/>
      <c r="O48" s="1264"/>
      <c r="P48" s="1264"/>
      <c r="Q48" s="1264"/>
      <c r="R48" s="1264"/>
      <c r="S48" s="1265"/>
      <c r="T48" s="1264"/>
      <c r="U48" s="1264"/>
      <c r="V48" s="1264"/>
      <c r="W48" s="1264"/>
      <c r="X48" s="1264"/>
      <c r="Y48" s="1265"/>
      <c r="Z48" s="1264"/>
      <c r="AA48" s="1264"/>
      <c r="AB48" s="1264"/>
      <c r="AC48" s="1264"/>
      <c r="AD48" s="1264"/>
      <c r="AE48" s="1265"/>
    </row>
    <row r="49" spans="1:31" ht="89.25" customHeight="1" thickBot="1" x14ac:dyDescent="0.3"/>
    <row r="50" spans="1:31" ht="18.75" customHeight="1" thickBot="1" x14ac:dyDescent="0.3">
      <c r="A50" s="1190" t="s">
        <v>218</v>
      </c>
      <c r="B50" s="1147"/>
      <c r="C50" s="1146" t="s">
        <v>219</v>
      </c>
      <c r="D50" s="1146"/>
      <c r="E50" s="1146"/>
      <c r="F50" s="1146"/>
      <c r="G50" s="1146"/>
      <c r="H50" s="1146"/>
      <c r="I50" s="1146"/>
      <c r="J50" s="1146"/>
      <c r="K50" s="1146"/>
      <c r="L50" s="58"/>
      <c r="M50" s="1144" t="s">
        <v>338</v>
      </c>
      <c r="N50" s="1145"/>
      <c r="O50" s="1146" t="s">
        <v>143</v>
      </c>
      <c r="P50" s="1147"/>
      <c r="Q50" s="1146" t="s">
        <v>167</v>
      </c>
      <c r="R50" s="1146"/>
      <c r="S50" s="1146"/>
      <c r="T50" s="1146"/>
      <c r="U50" s="1146"/>
      <c r="V50" s="1146"/>
      <c r="W50" s="1146"/>
      <c r="X50" s="1146"/>
      <c r="Y50" s="1146"/>
      <c r="Z50" s="1146"/>
      <c r="AA50" s="1146"/>
      <c r="AB50" s="1146"/>
      <c r="AC50" s="1146"/>
      <c r="AD50" s="1146"/>
      <c r="AE50" s="1147"/>
    </row>
    <row r="51" spans="1:31" ht="13.8" x14ac:dyDescent="0.25">
      <c r="A51" s="1400" t="e">
        <f>VLOOKUP(M51,ASIGNATURAS!$F$1:$L$1022, 3, FALSE)</f>
        <v>#N/A</v>
      </c>
      <c r="B51" s="1401"/>
      <c r="C51" s="1397" t="e">
        <f>VLOOKUP(M51,ASIGNATURAS!$F$1:$L$1022, 4, FALSE)</f>
        <v>#N/A</v>
      </c>
      <c r="D51" s="1398"/>
      <c r="E51" s="1398"/>
      <c r="F51" s="1398"/>
      <c r="G51" s="1398"/>
      <c r="H51" s="1398"/>
      <c r="I51" s="1398"/>
      <c r="J51" s="1398"/>
      <c r="K51" s="1398"/>
      <c r="L51" s="1399"/>
      <c r="M51" s="1402">
        <v>7064</v>
      </c>
      <c r="N51" s="1403"/>
      <c r="O51" s="1402" t="e">
        <f>VLOOKUP(M51,ASIGNATURAS!$F$1:$L$1022, 5, FALSE)</f>
        <v>#N/A</v>
      </c>
      <c r="P51" s="1403"/>
      <c r="Q51" s="1397" t="e">
        <f>VLOOKUP(M51,ASIGNATURAS!$F$1:$L$1022, 6, FALSE)</f>
        <v>#N/A</v>
      </c>
      <c r="R51" s="1398"/>
      <c r="S51" s="1398"/>
      <c r="T51" s="1398"/>
      <c r="U51" s="1398"/>
      <c r="V51" s="1398"/>
      <c r="W51" s="1398"/>
      <c r="X51" s="1398"/>
      <c r="Y51" s="1398"/>
      <c r="Z51" s="1398"/>
      <c r="AA51" s="1398"/>
      <c r="AB51" s="1398"/>
      <c r="AC51" s="1398"/>
      <c r="AD51" s="1398"/>
      <c r="AE51" s="1399"/>
    </row>
    <row r="52" spans="1:31" ht="13.8" x14ac:dyDescent="0.25">
      <c r="A52" s="1065" t="e">
        <f>VLOOKUP(M52,ASIGNATURAS!$F$1:$L$1022, 3, FALSE)</f>
        <v>#N/A</v>
      </c>
      <c r="B52" s="1066"/>
      <c r="C52" s="982" t="e">
        <f>VLOOKUP(M52,ASIGNATURAS!$F$1:$L$1022, 4, FALSE)</f>
        <v>#N/A</v>
      </c>
      <c r="D52" s="983"/>
      <c r="E52" s="983"/>
      <c r="F52" s="983"/>
      <c r="G52" s="983"/>
      <c r="H52" s="983"/>
      <c r="I52" s="983"/>
      <c r="J52" s="983"/>
      <c r="K52" s="983"/>
      <c r="L52" s="1018"/>
      <c r="M52" s="981">
        <v>7065</v>
      </c>
      <c r="N52" s="1071"/>
      <c r="O52" s="981" t="e">
        <f>VLOOKUP(M52,ASIGNATURAS!$F$1:$L$1022, 5, FALSE)</f>
        <v>#N/A</v>
      </c>
      <c r="P52" s="1071"/>
      <c r="Q52" s="982" t="e">
        <f>VLOOKUP(M52,ASIGNATURAS!$F$1:$L$1022, 6, FALSE)</f>
        <v>#N/A</v>
      </c>
      <c r="R52" s="983"/>
      <c r="S52" s="983"/>
      <c r="T52" s="983"/>
      <c r="U52" s="983"/>
      <c r="V52" s="983"/>
      <c r="W52" s="983"/>
      <c r="X52" s="983"/>
      <c r="Y52" s="983"/>
      <c r="Z52" s="983"/>
      <c r="AA52" s="983"/>
      <c r="AB52" s="983"/>
      <c r="AC52" s="983"/>
      <c r="AD52" s="983"/>
      <c r="AE52" s="1018"/>
    </row>
    <row r="53" spans="1:31" ht="13.8" x14ac:dyDescent="0.25">
      <c r="A53" s="1065" t="e">
        <f>VLOOKUP(M53,ASIGNATURAS!$F$1:$L$1022, 3, FALSE)</f>
        <v>#N/A</v>
      </c>
      <c r="B53" s="1066"/>
      <c r="C53" s="982" t="e">
        <f>VLOOKUP(M53,ASIGNATURAS!$F$1:$L$1022, 4, FALSE)</f>
        <v>#N/A</v>
      </c>
      <c r="D53" s="983"/>
      <c r="E53" s="983"/>
      <c r="F53" s="983"/>
      <c r="G53" s="983"/>
      <c r="H53" s="983"/>
      <c r="I53" s="983"/>
      <c r="J53" s="983"/>
      <c r="K53" s="983"/>
      <c r="L53" s="1018"/>
      <c r="M53" s="981">
        <v>7066</v>
      </c>
      <c r="N53" s="1071"/>
      <c r="O53" s="981" t="e">
        <f>VLOOKUP(M53,ASIGNATURAS!$F$1:$L$1022, 5, FALSE)</f>
        <v>#N/A</v>
      </c>
      <c r="P53" s="1071"/>
      <c r="Q53" s="982" t="e">
        <f>VLOOKUP(M53,ASIGNATURAS!$F$1:$L$1022, 6, FALSE)</f>
        <v>#N/A</v>
      </c>
      <c r="R53" s="983"/>
      <c r="S53" s="983"/>
      <c r="T53" s="983"/>
      <c r="U53" s="983"/>
      <c r="V53" s="983"/>
      <c r="W53" s="983"/>
      <c r="X53" s="983"/>
      <c r="Y53" s="983"/>
      <c r="Z53" s="983"/>
      <c r="AA53" s="983"/>
      <c r="AB53" s="983"/>
      <c r="AC53" s="983"/>
      <c r="AD53" s="983"/>
      <c r="AE53" s="1018"/>
    </row>
    <row r="54" spans="1:31" ht="13.8" x14ac:dyDescent="0.25">
      <c r="A54" s="1065" t="e">
        <f>VLOOKUP(M54,ASIGNATURAS!$F$1:$L$1022, 3, FALSE)</f>
        <v>#N/A</v>
      </c>
      <c r="B54" s="1066"/>
      <c r="C54" s="982" t="e">
        <f>VLOOKUP(M54,ASIGNATURAS!$F$1:$L$1022, 4, FALSE)</f>
        <v>#N/A</v>
      </c>
      <c r="D54" s="983"/>
      <c r="E54" s="983"/>
      <c r="F54" s="983"/>
      <c r="G54" s="983"/>
      <c r="H54" s="983"/>
      <c r="I54" s="983"/>
      <c r="J54" s="983"/>
      <c r="K54" s="983"/>
      <c r="L54" s="1018"/>
      <c r="M54" s="981">
        <v>7067</v>
      </c>
      <c r="N54" s="1071"/>
      <c r="O54" s="981" t="e">
        <f>VLOOKUP(M54,ASIGNATURAS!$F$1:$L$1022, 5, FALSE)</f>
        <v>#N/A</v>
      </c>
      <c r="P54" s="1071"/>
      <c r="Q54" s="982" t="e">
        <f>VLOOKUP(M54,ASIGNATURAS!$F$1:$L$1022, 6, FALSE)</f>
        <v>#N/A</v>
      </c>
      <c r="R54" s="983"/>
      <c r="S54" s="983"/>
      <c r="T54" s="983"/>
      <c r="U54" s="983"/>
      <c r="V54" s="983"/>
      <c r="W54" s="983"/>
      <c r="X54" s="983"/>
      <c r="Y54" s="983"/>
      <c r="Z54" s="983"/>
      <c r="AA54" s="983"/>
      <c r="AB54" s="983"/>
      <c r="AC54" s="983"/>
      <c r="AD54" s="983"/>
      <c r="AE54" s="1018"/>
    </row>
    <row r="55" spans="1:31" ht="14.4" thickBot="1" x14ac:dyDescent="0.3">
      <c r="A55" s="1097" t="e">
        <f>VLOOKUP(M55,ASIGNATURAS!$F$1:$L$1022, 3, FALSE)</f>
        <v>#N/A</v>
      </c>
      <c r="B55" s="1098"/>
      <c r="C55" s="1088" t="e">
        <f>VLOOKUP(M55,ASIGNATURAS!$F$1:$L$1022, 4, FALSE)</f>
        <v>#N/A</v>
      </c>
      <c r="D55" s="1089"/>
      <c r="E55" s="1089"/>
      <c r="F55" s="1089"/>
      <c r="G55" s="1089"/>
      <c r="H55" s="1089"/>
      <c r="I55" s="1089"/>
      <c r="J55" s="1089"/>
      <c r="K55" s="1089"/>
      <c r="L55" s="1090"/>
      <c r="M55" s="1099">
        <v>7068</v>
      </c>
      <c r="N55" s="1100"/>
      <c r="O55" s="1099" t="e">
        <f>VLOOKUP(M55,ASIGNATURAS!$F$1:$L$1022, 5, FALSE)</f>
        <v>#N/A</v>
      </c>
      <c r="P55" s="1100"/>
      <c r="Q55" s="1088" t="e">
        <f>VLOOKUP(M55,ASIGNATURAS!$F$1:$L$1022, 6, FALSE)</f>
        <v>#N/A</v>
      </c>
      <c r="R55" s="1089"/>
      <c r="S55" s="1089"/>
      <c r="T55" s="1089"/>
      <c r="U55" s="1089"/>
      <c r="V55" s="1089"/>
      <c r="W55" s="1089"/>
      <c r="X55" s="1089"/>
      <c r="Y55" s="1089"/>
      <c r="Z55" s="1089"/>
      <c r="AA55" s="1089"/>
      <c r="AB55" s="1089"/>
      <c r="AC55" s="1089"/>
      <c r="AD55" s="1089"/>
      <c r="AE55" s="1090"/>
    </row>
    <row r="57" spans="1:31" ht="13.8" thickBot="1" x14ac:dyDescent="0.3"/>
    <row r="58" spans="1:31" ht="24" customHeight="1" thickBot="1" x14ac:dyDescent="0.3">
      <c r="A58" s="1273" t="s">
        <v>169</v>
      </c>
      <c r="B58" s="1274"/>
      <c r="C58" s="1274"/>
      <c r="D58" s="1275"/>
    </row>
    <row r="59" spans="1:31" ht="24" customHeight="1" thickBot="1" x14ac:dyDescent="0.3">
      <c r="A59" s="2795" t="s">
        <v>170</v>
      </c>
      <c r="B59" s="2796"/>
      <c r="C59" s="2796"/>
      <c r="D59" s="2797"/>
    </row>
    <row r="61" spans="1:31" x14ac:dyDescent="0.25">
      <c r="A61" s="20" t="s">
        <v>217</v>
      </c>
    </row>
    <row r="63" spans="1:31" ht="13.8" thickBot="1" x14ac:dyDescent="0.3">
      <c r="A63" s="25"/>
    </row>
    <row r="64" spans="1:31" s="1" customFormat="1" ht="31.5" customHeight="1" thickBot="1" x14ac:dyDescent="0.45">
      <c r="A64" s="1094" t="str">
        <f>VLOOKUP(A67,ASIGNATURAS!$A$2:$D$151, 3, FALSE)</f>
        <v>2º Máster en Ingeniería Informática</v>
      </c>
      <c r="B64" s="1095"/>
      <c r="C64" s="1095"/>
      <c r="D64" s="1095"/>
      <c r="E64" s="1095"/>
      <c r="F64" s="1095"/>
      <c r="G64" s="1095"/>
      <c r="H64" s="1095"/>
      <c r="I64" s="1095"/>
      <c r="J64" s="1095"/>
      <c r="K64" s="1095"/>
      <c r="L64" s="1095"/>
      <c r="M64" s="1095"/>
      <c r="N64" s="1095"/>
      <c r="O64" s="1095"/>
      <c r="P64" s="1095"/>
      <c r="Q64" s="1095"/>
      <c r="R64" s="1095"/>
      <c r="S64" s="1095"/>
      <c r="T64" s="1095"/>
      <c r="U64" s="1095"/>
      <c r="V64" s="1095"/>
      <c r="W64" s="1095"/>
      <c r="X64" s="1095"/>
      <c r="Y64" s="1096"/>
      <c r="Z64" s="1076" t="str">
        <f>Z1</f>
        <v>Curso 2024-2025</v>
      </c>
      <c r="AA64" s="1077"/>
      <c r="AB64" s="1077"/>
      <c r="AC64" s="1077"/>
      <c r="AD64" s="1077"/>
      <c r="AE64" s="1078"/>
    </row>
    <row r="65" spans="1:31" s="8" customFormat="1" ht="23.25" customHeight="1" thickBot="1" x14ac:dyDescent="0.45">
      <c r="A65" s="1083" t="str">
        <f>VLOOKUP(A67,ASIGNATURAS!$A$2:$D$151, 2, FALSE)</f>
        <v>Semestre temporal: 1º        (3º Semestre Académico)</v>
      </c>
      <c r="B65" s="1084"/>
      <c r="C65" s="1084"/>
      <c r="D65" s="1084"/>
      <c r="E65" s="1084"/>
      <c r="F65" s="1084"/>
      <c r="G65" s="1084"/>
      <c r="H65" s="1084"/>
      <c r="I65" s="1084"/>
      <c r="J65" s="1084"/>
      <c r="K65" s="1084"/>
      <c r="L65" s="1084"/>
      <c r="M65" s="1084"/>
      <c r="N65" s="1084"/>
      <c r="O65" s="1084"/>
      <c r="P65" s="1084"/>
      <c r="Q65" s="1084"/>
      <c r="R65" s="1084"/>
      <c r="S65" s="1084"/>
      <c r="T65" s="1084"/>
      <c r="U65" s="1084"/>
      <c r="V65" s="1084"/>
      <c r="W65" s="1084"/>
      <c r="X65" s="1084"/>
      <c r="Y65" s="1085"/>
      <c r="Z65" s="1072" t="s">
        <v>152</v>
      </c>
      <c r="AA65" s="1072"/>
      <c r="AB65" s="1072"/>
      <c r="AC65" s="1072"/>
      <c r="AD65" s="1072"/>
      <c r="AE65" s="1073"/>
    </row>
    <row r="66" spans="1:31" s="8" customFormat="1" ht="23.25" customHeight="1" thickBot="1" x14ac:dyDescent="0.45">
      <c r="A66" s="1083" t="s">
        <v>181</v>
      </c>
      <c r="B66" s="1084"/>
      <c r="C66" s="1084"/>
      <c r="D66" s="1084"/>
      <c r="E66" s="1084"/>
      <c r="F66" s="1084"/>
      <c r="G66" s="1084"/>
      <c r="H66" s="1084"/>
      <c r="I66" s="1084"/>
      <c r="J66" s="1084"/>
      <c r="K66" s="1084"/>
      <c r="L66" s="1084"/>
      <c r="M66" s="1084"/>
      <c r="N66" s="1084"/>
      <c r="O66" s="1084"/>
      <c r="P66" s="1084"/>
      <c r="Q66" s="1084"/>
      <c r="R66" s="1084"/>
      <c r="S66" s="1084"/>
      <c r="T66" s="1084"/>
      <c r="U66" s="1084"/>
      <c r="V66" s="1084"/>
      <c r="W66" s="1084"/>
      <c r="X66" s="1084"/>
      <c r="Y66" s="1085"/>
      <c r="Z66" s="1074"/>
      <c r="AA66" s="1074"/>
      <c r="AB66" s="1074"/>
      <c r="AC66" s="1074"/>
      <c r="AD66" s="1074"/>
      <c r="AE66" s="1075"/>
    </row>
    <row r="67" spans="1:31" ht="29.25" customHeight="1" thickBot="1" x14ac:dyDescent="0.3">
      <c r="A67" s="23" t="s">
        <v>132</v>
      </c>
    </row>
    <row r="68" spans="1:31" s="2" customFormat="1" ht="24" customHeight="1" thickBot="1" x14ac:dyDescent="0.3">
      <c r="A68" s="24" t="s">
        <v>1</v>
      </c>
      <c r="B68" s="1092" t="s">
        <v>2</v>
      </c>
      <c r="C68" s="1092"/>
      <c r="D68" s="1092"/>
      <c r="E68" s="1092"/>
      <c r="F68" s="1092"/>
      <c r="G68" s="2748"/>
      <c r="H68" s="1092" t="s">
        <v>3</v>
      </c>
      <c r="I68" s="1092"/>
      <c r="J68" s="1092"/>
      <c r="K68" s="1092"/>
      <c r="L68" s="1092"/>
      <c r="M68" s="2748"/>
      <c r="N68" s="1092" t="s">
        <v>139</v>
      </c>
      <c r="O68" s="1092"/>
      <c r="P68" s="1092"/>
      <c r="Q68" s="1092"/>
      <c r="R68" s="1092"/>
      <c r="S68" s="2748"/>
      <c r="T68" s="1092" t="s">
        <v>4</v>
      </c>
      <c r="U68" s="1092"/>
      <c r="V68" s="1092"/>
      <c r="W68" s="1092"/>
      <c r="X68" s="1092"/>
      <c r="Y68" s="2748"/>
      <c r="Z68" s="1092" t="s">
        <v>5</v>
      </c>
      <c r="AA68" s="1092"/>
      <c r="AB68" s="1092"/>
      <c r="AC68" s="1092"/>
      <c r="AD68" s="1092"/>
      <c r="AE68" s="1093"/>
    </row>
    <row r="69" spans="1:31" ht="22.5" customHeight="1" x14ac:dyDescent="0.3">
      <c r="A69" s="966" t="s">
        <v>10</v>
      </c>
      <c r="B69" s="2752"/>
      <c r="C69" s="2746"/>
      <c r="D69" s="2746"/>
      <c r="E69" s="2746"/>
      <c r="F69" s="2746"/>
      <c r="G69" s="2747"/>
      <c r="H69" s="2759"/>
      <c r="I69" s="2759"/>
      <c r="J69" s="2759"/>
      <c r="K69" s="2759"/>
      <c r="L69" s="2759"/>
      <c r="M69" s="2760"/>
      <c r="N69" s="2746"/>
      <c r="O69" s="2746"/>
      <c r="P69" s="2746"/>
      <c r="Q69" s="2746"/>
      <c r="R69" s="2746"/>
      <c r="S69" s="2747"/>
      <c r="T69" s="2746"/>
      <c r="U69" s="2746"/>
      <c r="V69" s="2746"/>
      <c r="W69" s="2746"/>
      <c r="X69" s="2746"/>
      <c r="Y69" s="2747"/>
      <c r="Z69" s="2746"/>
      <c r="AA69" s="2746"/>
      <c r="AB69" s="2746"/>
      <c r="AC69" s="2746"/>
      <c r="AD69" s="2746"/>
      <c r="AE69" s="2747"/>
    </row>
    <row r="70" spans="1:31" ht="22.5" customHeight="1" thickBot="1" x14ac:dyDescent="0.3">
      <c r="A70" s="935"/>
      <c r="B70" s="2749"/>
      <c r="C70" s="2750"/>
      <c r="D70" s="2750"/>
      <c r="E70" s="2750"/>
      <c r="F70" s="2750"/>
      <c r="G70" s="2751"/>
      <c r="H70" s="2762"/>
      <c r="I70" s="2762"/>
      <c r="J70" s="2762"/>
      <c r="K70" s="2762"/>
      <c r="L70" s="2762"/>
      <c r="M70" s="2763"/>
      <c r="N70" s="2750"/>
      <c r="O70" s="2750"/>
      <c r="P70" s="2750"/>
      <c r="Q70" s="2750"/>
      <c r="R70" s="2750"/>
      <c r="S70" s="2751"/>
      <c r="T70" s="2750"/>
      <c r="U70" s="2750"/>
      <c r="V70" s="2750"/>
      <c r="W70" s="2750"/>
      <c r="X70" s="2750"/>
      <c r="Y70" s="2751"/>
      <c r="Z70" s="2750"/>
      <c r="AA70" s="2750"/>
      <c r="AB70" s="2750"/>
      <c r="AC70" s="2750"/>
      <c r="AD70" s="2750"/>
      <c r="AE70" s="2751"/>
    </row>
    <row r="71" spans="1:31" ht="22.5" customHeight="1" x14ac:dyDescent="0.3">
      <c r="A71" s="997" t="s">
        <v>11</v>
      </c>
      <c r="B71" s="2752"/>
      <c r="C71" s="2746"/>
      <c r="D71" s="2746"/>
      <c r="E71" s="2746"/>
      <c r="F71" s="2746"/>
      <c r="G71" s="2747"/>
      <c r="H71" s="2759"/>
      <c r="I71" s="2759"/>
      <c r="J71" s="2759"/>
      <c r="K71" s="2759"/>
      <c r="L71" s="2759"/>
      <c r="M71" s="2760"/>
      <c r="N71" s="2746"/>
      <c r="O71" s="2746"/>
      <c r="P71" s="2746"/>
      <c r="Q71" s="2746"/>
      <c r="R71" s="2746"/>
      <c r="S71" s="2747"/>
      <c r="T71" s="2746"/>
      <c r="U71" s="2746"/>
      <c r="V71" s="2746"/>
      <c r="W71" s="2746"/>
      <c r="X71" s="2746"/>
      <c r="Y71" s="2747"/>
      <c r="Z71" s="2746"/>
      <c r="AA71" s="2746"/>
      <c r="AB71" s="2746"/>
      <c r="AC71" s="2746"/>
      <c r="AD71" s="2746"/>
      <c r="AE71" s="2747"/>
    </row>
    <row r="72" spans="1:31" ht="22.5" customHeight="1" thickBot="1" x14ac:dyDescent="0.3">
      <c r="A72" s="998"/>
      <c r="B72" s="2749"/>
      <c r="C72" s="2750"/>
      <c r="D72" s="2750"/>
      <c r="E72" s="2750"/>
      <c r="F72" s="2750"/>
      <c r="G72" s="2751"/>
      <c r="H72" s="2762"/>
      <c r="I72" s="2762"/>
      <c r="J72" s="2762"/>
      <c r="K72" s="2762"/>
      <c r="L72" s="2762"/>
      <c r="M72" s="2763"/>
      <c r="N72" s="2750"/>
      <c r="O72" s="2750"/>
      <c r="P72" s="2750"/>
      <c r="Q72" s="2750"/>
      <c r="R72" s="2750"/>
      <c r="S72" s="2751"/>
      <c r="T72" s="2750"/>
      <c r="U72" s="2750"/>
      <c r="V72" s="2750"/>
      <c r="W72" s="2750"/>
      <c r="X72" s="2750"/>
      <c r="Y72" s="2751"/>
      <c r="Z72" s="2750"/>
      <c r="AA72" s="2750"/>
      <c r="AB72" s="2750"/>
      <c r="AC72" s="2750"/>
      <c r="AD72" s="2750"/>
      <c r="AE72" s="2751"/>
    </row>
    <row r="73" spans="1:31" ht="22.5" customHeight="1" x14ac:dyDescent="0.3">
      <c r="A73" s="1455" t="s">
        <v>6</v>
      </c>
      <c r="B73" s="2794"/>
      <c r="C73" s="2744"/>
      <c r="D73" s="2744"/>
      <c r="E73" s="2744"/>
      <c r="F73" s="2744"/>
      <c r="G73" s="2745"/>
      <c r="H73" s="2765"/>
      <c r="I73" s="2765"/>
      <c r="J73" s="2765"/>
      <c r="K73" s="2765"/>
      <c r="L73" s="2765"/>
      <c r="M73" s="2766"/>
      <c r="N73" s="2744"/>
      <c r="O73" s="2744"/>
      <c r="P73" s="2744"/>
      <c r="Q73" s="2744"/>
      <c r="R73" s="2744"/>
      <c r="S73" s="2745"/>
      <c r="T73" s="2744"/>
      <c r="U73" s="2744"/>
      <c r="V73" s="2744"/>
      <c r="W73" s="2744"/>
      <c r="X73" s="2744"/>
      <c r="Y73" s="2745"/>
      <c r="Z73" s="2744"/>
      <c r="AA73" s="2744"/>
      <c r="AB73" s="2744"/>
      <c r="AC73" s="2744"/>
      <c r="AD73" s="2744"/>
      <c r="AE73" s="2745"/>
    </row>
    <row r="74" spans="1:31" ht="22.5" customHeight="1" thickBot="1" x14ac:dyDescent="0.3">
      <c r="A74" s="998"/>
      <c r="B74" s="2749"/>
      <c r="C74" s="2750"/>
      <c r="D74" s="2750"/>
      <c r="E74" s="2750"/>
      <c r="F74" s="2750"/>
      <c r="G74" s="2751"/>
      <c r="H74" s="2762"/>
      <c r="I74" s="2762"/>
      <c r="J74" s="2762"/>
      <c r="K74" s="2762"/>
      <c r="L74" s="2762"/>
      <c r="M74" s="2763"/>
      <c r="N74" s="2771"/>
      <c r="O74" s="2771"/>
      <c r="P74" s="2771"/>
      <c r="Q74" s="2771"/>
      <c r="R74" s="2771"/>
      <c r="S74" s="2772"/>
      <c r="T74" s="2750"/>
      <c r="U74" s="2750"/>
      <c r="V74" s="2750"/>
      <c r="W74" s="2750"/>
      <c r="X74" s="2750"/>
      <c r="Y74" s="2751"/>
      <c r="Z74" s="2750"/>
      <c r="AA74" s="2750"/>
      <c r="AB74" s="2750"/>
      <c r="AC74" s="2750"/>
      <c r="AD74" s="2750"/>
      <c r="AE74" s="2751"/>
    </row>
    <row r="75" spans="1:31" ht="22.5" customHeight="1" x14ac:dyDescent="0.3">
      <c r="A75" s="934" t="s">
        <v>7</v>
      </c>
      <c r="B75" s="2752"/>
      <c r="C75" s="2746"/>
      <c r="D75" s="2746"/>
      <c r="E75" s="2746"/>
      <c r="F75" s="2746"/>
      <c r="G75" s="2747"/>
      <c r="H75" s="2759"/>
      <c r="I75" s="2759"/>
      <c r="J75" s="2759"/>
      <c r="K75" s="2759"/>
      <c r="L75" s="2759"/>
      <c r="M75" s="2760"/>
      <c r="N75" s="2746"/>
      <c r="O75" s="2746"/>
      <c r="P75" s="2746"/>
      <c r="Q75" s="2746"/>
      <c r="R75" s="2746"/>
      <c r="S75" s="2747"/>
      <c r="T75" s="2746"/>
      <c r="U75" s="2746"/>
      <c r="V75" s="2746"/>
      <c r="W75" s="2746"/>
      <c r="X75" s="2746"/>
      <c r="Y75" s="2747"/>
      <c r="Z75" s="2746"/>
      <c r="AA75" s="2746"/>
      <c r="AB75" s="2746"/>
      <c r="AC75" s="2746"/>
      <c r="AD75" s="2746"/>
      <c r="AE75" s="2747"/>
    </row>
    <row r="76" spans="1:31" ht="22.5" customHeight="1" thickBot="1" x14ac:dyDescent="0.3">
      <c r="A76" s="935"/>
      <c r="B76" s="2749"/>
      <c r="C76" s="2750"/>
      <c r="D76" s="2750"/>
      <c r="E76" s="2750"/>
      <c r="F76" s="2750"/>
      <c r="G76" s="2751"/>
      <c r="H76" s="2762"/>
      <c r="I76" s="2762"/>
      <c r="J76" s="2762"/>
      <c r="K76" s="2762"/>
      <c r="L76" s="2762"/>
      <c r="M76" s="2763"/>
      <c r="N76" s="2750"/>
      <c r="O76" s="2750"/>
      <c r="P76" s="2750"/>
      <c r="Q76" s="2750"/>
      <c r="R76" s="2750"/>
      <c r="S76" s="2751"/>
      <c r="T76" s="2750"/>
      <c r="U76" s="2750"/>
      <c r="V76" s="2750"/>
      <c r="W76" s="2750"/>
      <c r="X76" s="2750"/>
      <c r="Y76" s="2751"/>
      <c r="Z76" s="2750"/>
      <c r="AA76" s="2750"/>
      <c r="AB76" s="2750"/>
      <c r="AC76" s="2750"/>
      <c r="AD76" s="2750"/>
      <c r="AE76" s="2751"/>
    </row>
    <row r="77" spans="1:31" ht="22.5" customHeight="1" x14ac:dyDescent="0.3">
      <c r="A77" s="935" t="s">
        <v>8</v>
      </c>
      <c r="B77" s="2744"/>
      <c r="C77" s="2744"/>
      <c r="D77" s="2744"/>
      <c r="E77" s="2744"/>
      <c r="F77" s="2744"/>
      <c r="G77" s="2745"/>
      <c r="H77" s="2744"/>
      <c r="I77" s="2744"/>
      <c r="J77" s="2744"/>
      <c r="K77" s="2744"/>
      <c r="L77" s="2744"/>
      <c r="M77" s="2745"/>
      <c r="N77" s="2744"/>
      <c r="O77" s="2744"/>
      <c r="P77" s="2744"/>
      <c r="Q77" s="2744"/>
      <c r="R77" s="2744"/>
      <c r="S77" s="2745"/>
      <c r="T77" s="2744"/>
      <c r="U77" s="2744"/>
      <c r="V77" s="2744"/>
      <c r="W77" s="2744"/>
      <c r="X77" s="2744"/>
      <c r="Y77" s="2745"/>
      <c r="Z77" s="2744"/>
      <c r="AA77" s="2744"/>
      <c r="AB77" s="2744"/>
      <c r="AC77" s="2744"/>
      <c r="AD77" s="2744"/>
      <c r="AE77" s="2745"/>
    </row>
    <row r="78" spans="1:31" ht="22.5" customHeight="1" thickBot="1" x14ac:dyDescent="0.3">
      <c r="A78" s="1143"/>
      <c r="B78" s="2750"/>
      <c r="C78" s="2750"/>
      <c r="D78" s="2750"/>
      <c r="E78" s="2750"/>
      <c r="F78" s="2750"/>
      <c r="G78" s="2751"/>
      <c r="H78" s="2750"/>
      <c r="I78" s="2750"/>
      <c r="J78" s="2750"/>
      <c r="K78" s="2750"/>
      <c r="L78" s="2750"/>
      <c r="M78" s="2751"/>
      <c r="N78" s="2771"/>
      <c r="O78" s="2771"/>
      <c r="P78" s="2771"/>
      <c r="Q78" s="2771"/>
      <c r="R78" s="2771"/>
      <c r="S78" s="2772"/>
      <c r="T78" s="2771"/>
      <c r="U78" s="2771"/>
      <c r="V78" s="2771"/>
      <c r="W78" s="2771"/>
      <c r="X78" s="2771"/>
      <c r="Y78" s="2772"/>
      <c r="Z78" s="2750"/>
      <c r="AA78" s="2750"/>
      <c r="AB78" s="2750"/>
      <c r="AC78" s="2750"/>
      <c r="AD78" s="2750"/>
      <c r="AE78" s="2751"/>
    </row>
    <row r="79" spans="1:31" ht="22.5" customHeight="1" x14ac:dyDescent="0.3">
      <c r="A79" s="1143" t="s">
        <v>9</v>
      </c>
      <c r="B79" s="2773"/>
      <c r="C79" s="2773"/>
      <c r="D79" s="2773"/>
      <c r="E79" s="2773"/>
      <c r="F79" s="2773"/>
      <c r="G79" s="2774"/>
      <c r="H79" s="2773"/>
      <c r="I79" s="2773"/>
      <c r="J79" s="2773"/>
      <c r="K79" s="2773"/>
      <c r="L79" s="2773"/>
      <c r="M79" s="2774"/>
      <c r="N79" s="2744"/>
      <c r="O79" s="2744"/>
      <c r="P79" s="2744"/>
      <c r="Q79" s="2744"/>
      <c r="R79" s="2744"/>
      <c r="S79" s="2745"/>
      <c r="T79" s="2744"/>
      <c r="U79" s="2744"/>
      <c r="V79" s="2744"/>
      <c r="W79" s="2744"/>
      <c r="X79" s="2744"/>
      <c r="Y79" s="2745"/>
      <c r="Z79" s="2744"/>
      <c r="AA79" s="2744"/>
      <c r="AB79" s="2744"/>
      <c r="AC79" s="2744"/>
      <c r="AD79" s="2744"/>
      <c r="AE79" s="2745"/>
    </row>
    <row r="80" spans="1:31" ht="22.5" customHeight="1" thickBot="1" x14ac:dyDescent="0.3">
      <c r="A80" s="1223"/>
      <c r="B80" s="2750"/>
      <c r="C80" s="2750"/>
      <c r="D80" s="2750"/>
      <c r="E80" s="2750"/>
      <c r="F80" s="2750"/>
      <c r="G80" s="2751"/>
      <c r="H80" s="2750"/>
      <c r="I80" s="2750"/>
      <c r="J80" s="2750"/>
      <c r="K80" s="2750"/>
      <c r="L80" s="2750"/>
      <c r="M80" s="2751"/>
      <c r="N80" s="2750"/>
      <c r="O80" s="2750"/>
      <c r="P80" s="2750"/>
      <c r="Q80" s="2750"/>
      <c r="R80" s="2750"/>
      <c r="S80" s="2751"/>
      <c r="T80" s="2750"/>
      <c r="U80" s="2750"/>
      <c r="V80" s="2750"/>
      <c r="W80" s="2750"/>
      <c r="X80" s="2750"/>
      <c r="Y80" s="2751"/>
      <c r="Z80" s="2750"/>
      <c r="AA80" s="2750"/>
      <c r="AB80" s="2750"/>
      <c r="AC80" s="2750"/>
      <c r="AD80" s="2750"/>
      <c r="AE80" s="2751"/>
    </row>
    <row r="81" spans="1:31" s="2" customFormat="1" ht="18.75" customHeight="1" thickBot="1" x14ac:dyDescent="0.3">
      <c r="A81" s="24" t="s">
        <v>1</v>
      </c>
      <c r="B81" s="1091" t="s">
        <v>2</v>
      </c>
      <c r="C81" s="1092"/>
      <c r="D81" s="1092"/>
      <c r="E81" s="1092"/>
      <c r="F81" s="1092"/>
      <c r="G81" s="1093"/>
      <c r="H81" s="1092" t="s">
        <v>3</v>
      </c>
      <c r="I81" s="1092"/>
      <c r="J81" s="1092"/>
      <c r="K81" s="1092"/>
      <c r="L81" s="1092"/>
      <c r="M81" s="1093"/>
      <c r="N81" s="1092" t="s">
        <v>139</v>
      </c>
      <c r="O81" s="1092"/>
      <c r="P81" s="1092"/>
      <c r="Q81" s="1092"/>
      <c r="R81" s="1092"/>
      <c r="S81" s="1093"/>
      <c r="T81" s="1092" t="s">
        <v>4</v>
      </c>
      <c r="U81" s="1092"/>
      <c r="V81" s="1092"/>
      <c r="W81" s="1092"/>
      <c r="X81" s="1092"/>
      <c r="Y81" s="1093"/>
      <c r="Z81" s="1092" t="s">
        <v>5</v>
      </c>
      <c r="AA81" s="1092"/>
      <c r="AB81" s="1092"/>
      <c r="AC81" s="1092"/>
      <c r="AD81" s="1092"/>
      <c r="AE81" s="1093"/>
    </row>
    <row r="82" spans="1:31" ht="22.5" customHeight="1" x14ac:dyDescent="0.3">
      <c r="A82" s="935" t="s">
        <v>187</v>
      </c>
      <c r="B82" s="2758"/>
      <c r="C82" s="2759"/>
      <c r="D82" s="2759"/>
      <c r="E82" s="2759"/>
      <c r="F82" s="2759"/>
      <c r="G82" s="2760"/>
      <c r="H82" s="2758"/>
      <c r="I82" s="2759"/>
      <c r="J82" s="2759"/>
      <c r="K82" s="2759"/>
      <c r="L82" s="2759"/>
      <c r="M82" s="2760"/>
      <c r="N82" s="2758"/>
      <c r="O82" s="2759"/>
      <c r="P82" s="2759"/>
      <c r="Q82" s="2759"/>
      <c r="R82" s="2759"/>
      <c r="S82" s="2760"/>
      <c r="T82" s="2758"/>
      <c r="U82" s="2759"/>
      <c r="V82" s="2759"/>
      <c r="W82" s="2759"/>
      <c r="X82" s="2759"/>
      <c r="Y82" s="2760"/>
      <c r="Z82" s="2759"/>
      <c r="AA82" s="2759"/>
      <c r="AB82" s="2759"/>
      <c r="AC82" s="2759"/>
      <c r="AD82" s="2759"/>
      <c r="AE82" s="2760"/>
    </row>
    <row r="83" spans="1:31" ht="22.5" customHeight="1" thickBot="1" x14ac:dyDescent="0.3">
      <c r="A83" s="1143"/>
      <c r="B83" s="2761"/>
      <c r="C83" s="2762"/>
      <c r="D83" s="2762"/>
      <c r="E83" s="2762"/>
      <c r="F83" s="2762"/>
      <c r="G83" s="2763"/>
      <c r="H83" s="2761"/>
      <c r="I83" s="2762"/>
      <c r="J83" s="2762"/>
      <c r="K83" s="2762"/>
      <c r="L83" s="2762"/>
      <c r="M83" s="2763"/>
      <c r="N83" s="2761"/>
      <c r="O83" s="2762"/>
      <c r="P83" s="2762"/>
      <c r="Q83" s="2762"/>
      <c r="R83" s="2762"/>
      <c r="S83" s="2763"/>
      <c r="T83" s="2761"/>
      <c r="U83" s="2762"/>
      <c r="V83" s="2762"/>
      <c r="W83" s="2762"/>
      <c r="X83" s="2762"/>
      <c r="Y83" s="2763"/>
      <c r="Z83" s="2762"/>
      <c r="AA83" s="2762"/>
      <c r="AB83" s="2762"/>
      <c r="AC83" s="2762"/>
      <c r="AD83" s="2762"/>
      <c r="AE83" s="2763"/>
    </row>
    <row r="84" spans="1:31" ht="22.5" customHeight="1" x14ac:dyDescent="0.3">
      <c r="A84" s="1143" t="s">
        <v>186</v>
      </c>
      <c r="B84" s="2758"/>
      <c r="C84" s="2759"/>
      <c r="D84" s="2759"/>
      <c r="E84" s="2759"/>
      <c r="F84" s="2759"/>
      <c r="G84" s="2760"/>
      <c r="H84" s="2764"/>
      <c r="I84" s="2765"/>
      <c r="J84" s="2765"/>
      <c r="K84" s="2765"/>
      <c r="L84" s="2765"/>
      <c r="M84" s="2766"/>
      <c r="N84" s="2764"/>
      <c r="O84" s="2765"/>
      <c r="P84" s="2765"/>
      <c r="Q84" s="2765"/>
      <c r="R84" s="2765"/>
      <c r="S84" s="2766"/>
      <c r="T84" s="2764"/>
      <c r="U84" s="2765"/>
      <c r="V84" s="2765"/>
      <c r="W84" s="2765"/>
      <c r="X84" s="2765"/>
      <c r="Y84" s="2766"/>
      <c r="Z84" s="2765"/>
      <c r="AA84" s="2765"/>
      <c r="AB84" s="2765"/>
      <c r="AC84" s="2765"/>
      <c r="AD84" s="2765"/>
      <c r="AE84" s="2766"/>
    </row>
    <row r="85" spans="1:31" ht="22.5" customHeight="1" thickBot="1" x14ac:dyDescent="0.3">
      <c r="A85" s="1143"/>
      <c r="B85" s="2767"/>
      <c r="C85" s="2768"/>
      <c r="D85" s="2768"/>
      <c r="E85" s="2768"/>
      <c r="F85" s="2768"/>
      <c r="G85" s="2769"/>
      <c r="H85" s="2767"/>
      <c r="I85" s="2768"/>
      <c r="J85" s="2768"/>
      <c r="K85" s="2768"/>
      <c r="L85" s="2768"/>
      <c r="M85" s="2769"/>
      <c r="N85" s="2767"/>
      <c r="O85" s="2768"/>
      <c r="P85" s="2768"/>
      <c r="Q85" s="2768"/>
      <c r="R85" s="2768"/>
      <c r="S85" s="2769"/>
      <c r="T85" s="2767"/>
      <c r="U85" s="2768"/>
      <c r="V85" s="2768"/>
      <c r="W85" s="2768"/>
      <c r="X85" s="2768"/>
      <c r="Y85" s="2769"/>
      <c r="Z85" s="2768"/>
      <c r="AA85" s="2768"/>
      <c r="AB85" s="2768"/>
      <c r="AC85" s="2768"/>
      <c r="AD85" s="2768"/>
      <c r="AE85" s="2769"/>
    </row>
    <row r="86" spans="1:31" ht="22.5" customHeight="1" x14ac:dyDescent="0.3">
      <c r="A86" s="934" t="s">
        <v>188</v>
      </c>
      <c r="B86" s="2790" t="s">
        <v>464</v>
      </c>
      <c r="C86" s="2788"/>
      <c r="D86" s="2788"/>
      <c r="E86" s="2788"/>
      <c r="F86" s="2788"/>
      <c r="G86" s="2789"/>
      <c r="H86" s="2770" t="s">
        <v>464</v>
      </c>
      <c r="I86" s="2753"/>
      <c r="J86" s="2753"/>
      <c r="K86" s="2753"/>
      <c r="L86" s="2753"/>
      <c r="M86" s="2754"/>
      <c r="N86" s="2759"/>
      <c r="O86" s="2759"/>
      <c r="P86" s="2759"/>
      <c r="Q86" s="2759"/>
      <c r="R86" s="2759"/>
      <c r="S86" s="2760"/>
      <c r="T86" s="2759"/>
      <c r="U86" s="2759"/>
      <c r="V86" s="2759"/>
      <c r="W86" s="2759"/>
      <c r="X86" s="2759"/>
      <c r="Y86" s="2760"/>
      <c r="Z86" s="2753" t="s">
        <v>463</v>
      </c>
      <c r="AA86" s="2753"/>
      <c r="AB86" s="2753"/>
      <c r="AC86" s="2753"/>
      <c r="AD86" s="2753"/>
      <c r="AE86" s="2754"/>
    </row>
    <row r="87" spans="1:31" ht="22.5" customHeight="1" thickBot="1" x14ac:dyDescent="0.3">
      <c r="A87" s="935"/>
      <c r="B87" s="2784" t="s">
        <v>637</v>
      </c>
      <c r="C87" s="2784"/>
      <c r="D87" s="2784"/>
      <c r="E87" s="2784"/>
      <c r="F87" s="2784"/>
      <c r="G87" s="2785"/>
      <c r="H87" s="2755" t="s">
        <v>637</v>
      </c>
      <c r="I87" s="2756"/>
      <c r="J87" s="2756"/>
      <c r="K87" s="2756"/>
      <c r="L87" s="2756"/>
      <c r="M87" s="2757"/>
      <c r="N87" s="2762"/>
      <c r="O87" s="2762"/>
      <c r="P87" s="2762"/>
      <c r="Q87" s="2762"/>
      <c r="R87" s="2762"/>
      <c r="S87" s="2763"/>
      <c r="T87" s="2762"/>
      <c r="U87" s="2762"/>
      <c r="V87" s="2762"/>
      <c r="W87" s="2762"/>
      <c r="X87" s="2762"/>
      <c r="Y87" s="2763"/>
      <c r="Z87" s="2755" t="s">
        <v>568</v>
      </c>
      <c r="AA87" s="2756"/>
      <c r="AB87" s="2756"/>
      <c r="AC87" s="2756"/>
      <c r="AD87" s="2756"/>
      <c r="AE87" s="2757"/>
    </row>
    <row r="88" spans="1:31" ht="22.5" customHeight="1" x14ac:dyDescent="0.3">
      <c r="A88" s="934" t="s">
        <v>189</v>
      </c>
      <c r="B88" s="2782" t="s">
        <v>464</v>
      </c>
      <c r="C88" s="2782"/>
      <c r="D88" s="2782"/>
      <c r="E88" s="2782"/>
      <c r="F88" s="2782"/>
      <c r="G88" s="2783"/>
      <c r="H88" s="2791" t="s">
        <v>464</v>
      </c>
      <c r="I88" s="2792"/>
      <c r="J88" s="2792"/>
      <c r="K88" s="2792"/>
      <c r="L88" s="2792"/>
      <c r="M88" s="2793"/>
      <c r="N88" s="2765"/>
      <c r="O88" s="2765"/>
      <c r="P88" s="2765"/>
      <c r="Q88" s="2765"/>
      <c r="R88" s="2765"/>
      <c r="S88" s="2766"/>
      <c r="T88" s="2765"/>
      <c r="U88" s="2765"/>
      <c r="V88" s="2765"/>
      <c r="W88" s="2765"/>
      <c r="X88" s="2765"/>
      <c r="Y88" s="2766"/>
      <c r="Z88" s="2792" t="s">
        <v>463</v>
      </c>
      <c r="AA88" s="2792"/>
      <c r="AB88" s="2792"/>
      <c r="AC88" s="2792"/>
      <c r="AD88" s="2792"/>
      <c r="AE88" s="2793"/>
    </row>
    <row r="89" spans="1:31" ht="22.5" customHeight="1" thickBot="1" x14ac:dyDescent="0.3">
      <c r="A89" s="935"/>
      <c r="B89" s="2784" t="s">
        <v>637</v>
      </c>
      <c r="C89" s="2784"/>
      <c r="D89" s="2784"/>
      <c r="E89" s="2784"/>
      <c r="F89" s="2784"/>
      <c r="G89" s="2785"/>
      <c r="H89" s="2755" t="s">
        <v>637</v>
      </c>
      <c r="I89" s="2756"/>
      <c r="J89" s="2756"/>
      <c r="K89" s="2756"/>
      <c r="L89" s="2756"/>
      <c r="M89" s="2757"/>
      <c r="N89" s="2768"/>
      <c r="O89" s="2768"/>
      <c r="P89" s="2768"/>
      <c r="Q89" s="2768"/>
      <c r="R89" s="2768"/>
      <c r="S89" s="2769"/>
      <c r="T89" s="2768"/>
      <c r="U89" s="2768"/>
      <c r="V89" s="2768"/>
      <c r="W89" s="2768"/>
      <c r="X89" s="2768"/>
      <c r="Y89" s="2769"/>
      <c r="Z89" s="2755" t="s">
        <v>568</v>
      </c>
      <c r="AA89" s="2756"/>
      <c r="AB89" s="2756"/>
      <c r="AC89" s="2756"/>
      <c r="AD89" s="2756"/>
      <c r="AE89" s="2757"/>
    </row>
    <row r="90" spans="1:31" ht="22.5" customHeight="1" x14ac:dyDescent="0.3">
      <c r="A90" s="935" t="s">
        <v>190</v>
      </c>
      <c r="B90" s="2770" t="s">
        <v>537</v>
      </c>
      <c r="C90" s="2753"/>
      <c r="D90" s="2753"/>
      <c r="E90" s="2753"/>
      <c r="F90" s="2753"/>
      <c r="G90" s="2754"/>
      <c r="H90" s="2790" t="s">
        <v>463</v>
      </c>
      <c r="I90" s="2788"/>
      <c r="J90" s="2788"/>
      <c r="K90" s="2788"/>
      <c r="L90" s="2788"/>
      <c r="M90" s="2789"/>
      <c r="N90" s="2778"/>
      <c r="O90" s="2778"/>
      <c r="P90" s="2778"/>
      <c r="Q90" s="2778"/>
      <c r="R90" s="2778"/>
      <c r="S90" s="2779"/>
      <c r="T90" s="2788" t="s">
        <v>537</v>
      </c>
      <c r="U90" s="2788"/>
      <c r="V90" s="2788"/>
      <c r="W90" s="2788"/>
      <c r="X90" s="2788"/>
      <c r="Y90" s="2789"/>
      <c r="Z90" s="2746"/>
      <c r="AA90" s="2746"/>
      <c r="AB90" s="2746"/>
      <c r="AC90" s="2746"/>
      <c r="AD90" s="2746"/>
      <c r="AE90" s="2747"/>
    </row>
    <row r="91" spans="1:31" ht="22.5" customHeight="1" thickBot="1" x14ac:dyDescent="0.3">
      <c r="A91" s="1143"/>
      <c r="B91" s="2755" t="s">
        <v>156</v>
      </c>
      <c r="C91" s="2756"/>
      <c r="D91" s="2756"/>
      <c r="E91" s="2756"/>
      <c r="F91" s="2756"/>
      <c r="G91" s="2757"/>
      <c r="H91" s="2787" t="s">
        <v>567</v>
      </c>
      <c r="I91" s="2784"/>
      <c r="J91" s="2784"/>
      <c r="K91" s="2784"/>
      <c r="L91" s="2784"/>
      <c r="M91" s="2785"/>
      <c r="N91" s="2762"/>
      <c r="O91" s="2762"/>
      <c r="P91" s="2762"/>
      <c r="Q91" s="2762"/>
      <c r="R91" s="2762"/>
      <c r="S91" s="2763"/>
      <c r="T91" s="2784" t="s">
        <v>568</v>
      </c>
      <c r="U91" s="2784"/>
      <c r="V91" s="2784"/>
      <c r="W91" s="2784"/>
      <c r="X91" s="2784"/>
      <c r="Y91" s="2785"/>
      <c r="Z91" s="2750"/>
      <c r="AA91" s="2750"/>
      <c r="AB91" s="2750"/>
      <c r="AC91" s="2750"/>
      <c r="AD91" s="2750"/>
      <c r="AE91" s="2751"/>
    </row>
    <row r="92" spans="1:31" ht="22.5" customHeight="1" x14ac:dyDescent="0.3">
      <c r="A92" s="935" t="s">
        <v>191</v>
      </c>
      <c r="B92" s="2791" t="s">
        <v>537</v>
      </c>
      <c r="C92" s="2792"/>
      <c r="D92" s="2792"/>
      <c r="E92" s="2792"/>
      <c r="F92" s="2792"/>
      <c r="G92" s="2793"/>
      <c r="H92" s="2786" t="s">
        <v>463</v>
      </c>
      <c r="I92" s="2782"/>
      <c r="J92" s="2782"/>
      <c r="K92" s="2782"/>
      <c r="L92" s="2782"/>
      <c r="M92" s="2783"/>
      <c r="N92" s="2780"/>
      <c r="O92" s="2780"/>
      <c r="P92" s="2780"/>
      <c r="Q92" s="2780"/>
      <c r="R92" s="2780"/>
      <c r="S92" s="2781"/>
      <c r="T92" s="2782" t="s">
        <v>537</v>
      </c>
      <c r="U92" s="2782"/>
      <c r="V92" s="2782"/>
      <c r="W92" s="2782"/>
      <c r="X92" s="2782"/>
      <c r="Y92" s="2783"/>
      <c r="Z92" s="2744"/>
      <c r="AA92" s="2744"/>
      <c r="AB92" s="2744"/>
      <c r="AC92" s="2744"/>
      <c r="AD92" s="2744"/>
      <c r="AE92" s="2745"/>
    </row>
    <row r="93" spans="1:31" ht="22.5" customHeight="1" thickBot="1" x14ac:dyDescent="0.3">
      <c r="A93" s="1223"/>
      <c r="B93" s="2755" t="s">
        <v>156</v>
      </c>
      <c r="C93" s="2756"/>
      <c r="D93" s="2756"/>
      <c r="E93" s="2756"/>
      <c r="F93" s="2756"/>
      <c r="G93" s="2757"/>
      <c r="H93" s="2787" t="s">
        <v>567</v>
      </c>
      <c r="I93" s="2784"/>
      <c r="J93" s="2784"/>
      <c r="K93" s="2784"/>
      <c r="L93" s="2784"/>
      <c r="M93" s="2785"/>
      <c r="N93" s="2762"/>
      <c r="O93" s="2762"/>
      <c r="P93" s="2762"/>
      <c r="Q93" s="2762"/>
      <c r="R93" s="2762"/>
      <c r="S93" s="2763"/>
      <c r="T93" s="2784" t="s">
        <v>568</v>
      </c>
      <c r="U93" s="2784"/>
      <c r="V93" s="2784"/>
      <c r="W93" s="2784"/>
      <c r="X93" s="2784"/>
      <c r="Y93" s="2785"/>
      <c r="Z93" s="2750"/>
      <c r="AA93" s="2750"/>
      <c r="AB93" s="2750"/>
      <c r="AC93" s="2750"/>
      <c r="AD93" s="2750"/>
      <c r="AE93" s="2751"/>
    </row>
    <row r="94" spans="1:31" ht="21" customHeight="1" x14ac:dyDescent="0.25"/>
    <row r="95" spans="1:31" ht="18.75" customHeight="1" thickBot="1" x14ac:dyDescent="0.3"/>
    <row r="96" spans="1:31" ht="18.75" customHeight="1" thickBot="1" x14ac:dyDescent="0.3">
      <c r="A96" s="1190" t="s">
        <v>218</v>
      </c>
      <c r="B96" s="1147"/>
      <c r="C96" s="1146" t="s">
        <v>219</v>
      </c>
      <c r="D96" s="1146"/>
      <c r="E96" s="1146"/>
      <c r="F96" s="1146"/>
      <c r="G96" s="1146"/>
      <c r="H96" s="1146"/>
      <c r="I96" s="1146"/>
      <c r="J96" s="1146"/>
      <c r="K96" s="1146"/>
      <c r="L96" s="58"/>
      <c r="M96" s="1144" t="s">
        <v>339</v>
      </c>
      <c r="N96" s="1145"/>
      <c r="O96" s="1146" t="s">
        <v>143</v>
      </c>
      <c r="P96" s="1147"/>
      <c r="Q96" s="1146" t="s">
        <v>167</v>
      </c>
      <c r="R96" s="1146"/>
      <c r="S96" s="1146"/>
      <c r="T96" s="1146"/>
      <c r="U96" s="1146"/>
      <c r="V96" s="1146"/>
      <c r="W96" s="1146"/>
      <c r="X96" s="1146"/>
      <c r="Y96" s="1146"/>
      <c r="Z96" s="1146"/>
      <c r="AA96" s="1146"/>
      <c r="AB96" s="1146"/>
      <c r="AC96" s="1146"/>
      <c r="AD96" s="1146"/>
      <c r="AE96" s="1147"/>
    </row>
    <row r="97" spans="1:31" ht="13.8" x14ac:dyDescent="0.25">
      <c r="A97" s="1400" t="e">
        <f>VLOOKUP(M97,ASIGNATURAS!$F$1:$L$1022, 3, FALSE)</f>
        <v>#N/A</v>
      </c>
      <c r="B97" s="1401"/>
      <c r="C97" s="1397" t="e">
        <f>VLOOKUP(M97,ASIGNATURAS!$F$1:$L$1022, 4, FALSE)</f>
        <v>#N/A</v>
      </c>
      <c r="D97" s="1398"/>
      <c r="E97" s="1398"/>
      <c r="F97" s="1398"/>
      <c r="G97" s="1398"/>
      <c r="H97" s="1398"/>
      <c r="I97" s="1398"/>
      <c r="J97" s="1398"/>
      <c r="K97" s="1398"/>
      <c r="L97" s="1399"/>
      <c r="M97" s="1402">
        <v>7069</v>
      </c>
      <c r="N97" s="1403"/>
      <c r="O97" s="1402" t="e">
        <f>VLOOKUP(M97,ASIGNATURAS!$F$1:$L$1022, 5, FALSE)</f>
        <v>#N/A</v>
      </c>
      <c r="P97" s="1403"/>
      <c r="Q97" s="1397" t="e">
        <f>VLOOKUP(M97,ASIGNATURAS!$F$1:$L$1022, 6, FALSE)</f>
        <v>#N/A</v>
      </c>
      <c r="R97" s="1398"/>
      <c r="S97" s="1398"/>
      <c r="T97" s="1398"/>
      <c r="U97" s="1398"/>
      <c r="V97" s="1398"/>
      <c r="W97" s="1398"/>
      <c r="X97" s="1398"/>
      <c r="Y97" s="1398"/>
      <c r="Z97" s="1398"/>
      <c r="AA97" s="1398"/>
      <c r="AB97" s="1398"/>
      <c r="AC97" s="1398"/>
      <c r="AD97" s="1398"/>
      <c r="AE97" s="1399"/>
    </row>
    <row r="98" spans="1:31" ht="13.8" x14ac:dyDescent="0.25">
      <c r="A98" s="1065" t="e">
        <f>VLOOKUP(M98,ASIGNATURAS!$F$1:$L$1022, 3, FALSE)</f>
        <v>#N/A</v>
      </c>
      <c r="B98" s="1066"/>
      <c r="C98" s="982" t="e">
        <f>VLOOKUP(M98,ASIGNATURAS!$F$1:$L$1022, 4, FALSE)</f>
        <v>#N/A</v>
      </c>
      <c r="D98" s="983"/>
      <c r="E98" s="983"/>
      <c r="F98" s="983"/>
      <c r="G98" s="983"/>
      <c r="H98" s="983"/>
      <c r="I98" s="983"/>
      <c r="J98" s="983"/>
      <c r="K98" s="983"/>
      <c r="L98" s="1018"/>
      <c r="M98" s="981">
        <v>7070</v>
      </c>
      <c r="N98" s="1071"/>
      <c r="O98" s="981" t="e">
        <f>VLOOKUP(M98,ASIGNATURAS!$F$1:$L$1022, 5, FALSE)</f>
        <v>#N/A</v>
      </c>
      <c r="P98" s="1071"/>
      <c r="Q98" s="982" t="e">
        <f>VLOOKUP(M98,ASIGNATURAS!$F$1:$L$1022, 6, FALSE)</f>
        <v>#N/A</v>
      </c>
      <c r="R98" s="983"/>
      <c r="S98" s="983"/>
      <c r="T98" s="983"/>
      <c r="U98" s="983"/>
      <c r="V98" s="983"/>
      <c r="W98" s="983"/>
      <c r="X98" s="983"/>
      <c r="Y98" s="983"/>
      <c r="Z98" s="983"/>
      <c r="AA98" s="983"/>
      <c r="AB98" s="983"/>
      <c r="AC98" s="983"/>
      <c r="AD98" s="983"/>
      <c r="AE98" s="1018"/>
    </row>
    <row r="99" spans="1:31" ht="13.8" x14ac:dyDescent="0.25">
      <c r="A99" s="1065" t="e">
        <f>VLOOKUP(M99,ASIGNATURAS!$F$1:$L$1022, 3, FALSE)</f>
        <v>#N/A</v>
      </c>
      <c r="B99" s="1066"/>
      <c r="C99" s="982" t="e">
        <f>VLOOKUP(M99,ASIGNATURAS!$F$1:$L$1022, 4, FALSE)</f>
        <v>#N/A</v>
      </c>
      <c r="D99" s="983"/>
      <c r="E99" s="983"/>
      <c r="F99" s="983"/>
      <c r="G99" s="983"/>
      <c r="H99" s="983"/>
      <c r="I99" s="983"/>
      <c r="J99" s="983"/>
      <c r="K99" s="983"/>
      <c r="L99" s="1018"/>
      <c r="M99" s="981">
        <v>7071</v>
      </c>
      <c r="N99" s="1071"/>
      <c r="O99" s="981" t="e">
        <f>VLOOKUP(M99,ASIGNATURAS!$F$1:$L$1022, 5, FALSE)</f>
        <v>#N/A</v>
      </c>
      <c r="P99" s="1071"/>
      <c r="Q99" s="982" t="e">
        <f>VLOOKUP(M99,ASIGNATURAS!$F$1:$L$1022, 6, FALSE)</f>
        <v>#N/A</v>
      </c>
      <c r="R99" s="983"/>
      <c r="S99" s="983"/>
      <c r="T99" s="983"/>
      <c r="U99" s="983"/>
      <c r="V99" s="983"/>
      <c r="W99" s="983"/>
      <c r="X99" s="983"/>
      <c r="Y99" s="983"/>
      <c r="Z99" s="983"/>
      <c r="AA99" s="983"/>
      <c r="AB99" s="983"/>
      <c r="AC99" s="983"/>
      <c r="AD99" s="983"/>
      <c r="AE99" s="1018"/>
    </row>
    <row r="100" spans="1:31" ht="13.8" x14ac:dyDescent="0.25">
      <c r="A100" s="1065" t="e">
        <f>VLOOKUP(M100,ASIGNATURAS!$F$1:$L$1022, 3, FALSE)</f>
        <v>#N/A</v>
      </c>
      <c r="B100" s="1066"/>
      <c r="C100" s="982" t="e">
        <f>VLOOKUP(M100,ASIGNATURAS!$F$1:$L$1022, 4, FALSE)</f>
        <v>#N/A</v>
      </c>
      <c r="D100" s="983"/>
      <c r="E100" s="983"/>
      <c r="F100" s="983"/>
      <c r="G100" s="983"/>
      <c r="H100" s="983"/>
      <c r="I100" s="983"/>
      <c r="J100" s="983"/>
      <c r="K100" s="983"/>
      <c r="L100" s="1018"/>
      <c r="M100" s="981">
        <v>7072</v>
      </c>
      <c r="N100" s="1071"/>
      <c r="O100" s="981" t="e">
        <f>VLOOKUP(M100,ASIGNATURAS!$F$1:$L$1022, 5, FALSE)</f>
        <v>#N/A</v>
      </c>
      <c r="P100" s="1071"/>
      <c r="Q100" s="982" t="e">
        <f>VLOOKUP(M100,ASIGNATURAS!$F$1:$L$1022, 6, FALSE)</f>
        <v>#N/A</v>
      </c>
      <c r="R100" s="983"/>
      <c r="S100" s="983"/>
      <c r="T100" s="983"/>
      <c r="U100" s="983"/>
      <c r="V100" s="983"/>
      <c r="W100" s="983"/>
      <c r="X100" s="983"/>
      <c r="Y100" s="983"/>
      <c r="Z100" s="983"/>
      <c r="AA100" s="983"/>
      <c r="AB100" s="983"/>
      <c r="AC100" s="983"/>
      <c r="AD100" s="983"/>
      <c r="AE100" s="1018"/>
    </row>
    <row r="101" spans="1:31" ht="14.25" customHeight="1" x14ac:dyDescent="0.25">
      <c r="A101" s="1065" t="e">
        <f>VLOOKUP(M101,ASIGNATURAS!$F$1:$L$1022, 3, FALSE)</f>
        <v>#N/A</v>
      </c>
      <c r="B101" s="1066"/>
      <c r="C101" s="982" t="e">
        <f>VLOOKUP(M101,ASIGNATURAS!$F$1:$L$1022, 4, FALSE)</f>
        <v>#N/A</v>
      </c>
      <c r="D101" s="983"/>
      <c r="E101" s="983"/>
      <c r="F101" s="983"/>
      <c r="G101" s="983"/>
      <c r="H101" s="983"/>
      <c r="I101" s="983"/>
      <c r="J101" s="983"/>
      <c r="K101" s="983"/>
      <c r="L101" s="1018"/>
      <c r="M101" s="981">
        <v>7073</v>
      </c>
      <c r="N101" s="1071"/>
      <c r="O101" s="981" t="e">
        <f>VLOOKUP(M101,ASIGNATURAS!$F$1:$L$1022, 5, FALSE)</f>
        <v>#N/A</v>
      </c>
      <c r="P101" s="1071"/>
      <c r="Q101" s="982" t="e">
        <f>VLOOKUP(M101,ASIGNATURAS!$F$1:$L$1022, 6, FALSE)</f>
        <v>#N/A</v>
      </c>
      <c r="R101" s="983"/>
      <c r="S101" s="983"/>
      <c r="T101" s="983"/>
      <c r="U101" s="983"/>
      <c r="V101" s="983"/>
      <c r="W101" s="983"/>
      <c r="X101" s="983"/>
      <c r="Y101" s="983"/>
      <c r="Z101" s="983"/>
      <c r="AA101" s="983"/>
      <c r="AB101" s="983"/>
      <c r="AC101" s="983"/>
      <c r="AD101" s="983"/>
      <c r="AE101" s="1018"/>
    </row>
    <row r="102" spans="1:31" ht="13.8" x14ac:dyDescent="0.25">
      <c r="A102" s="1065" t="e">
        <f>VLOOKUP(M102,ASIGNATURAS!$F$1:$L$1022, 3, FALSE)</f>
        <v>#N/A</v>
      </c>
      <c r="B102" s="1066"/>
      <c r="C102" s="982" t="e">
        <f>VLOOKUP(M102,ASIGNATURAS!$F$1:$L$1022, 4, FALSE)</f>
        <v>#N/A</v>
      </c>
      <c r="D102" s="983"/>
      <c r="E102" s="983"/>
      <c r="F102" s="983"/>
      <c r="G102" s="983"/>
      <c r="H102" s="983"/>
      <c r="I102" s="983"/>
      <c r="J102" s="983"/>
      <c r="K102" s="983"/>
      <c r="L102" s="1018"/>
      <c r="M102" s="981">
        <v>7074</v>
      </c>
      <c r="N102" s="1071"/>
      <c r="O102" s="981" t="e">
        <f>VLOOKUP(M102,ASIGNATURAS!$F$1:$L$1022, 5, FALSE)</f>
        <v>#N/A</v>
      </c>
      <c r="P102" s="1071"/>
      <c r="Q102" s="982" t="e">
        <f>VLOOKUP(M102,ASIGNATURAS!$F$1:$L$1022, 6, FALSE)</f>
        <v>#N/A</v>
      </c>
      <c r="R102" s="983"/>
      <c r="S102" s="983"/>
      <c r="T102" s="983"/>
      <c r="U102" s="983"/>
      <c r="V102" s="983"/>
      <c r="W102" s="983"/>
      <c r="X102" s="983"/>
      <c r="Y102" s="983"/>
      <c r="Z102" s="983"/>
      <c r="AA102" s="983"/>
      <c r="AB102" s="983"/>
      <c r="AC102" s="983"/>
      <c r="AD102" s="983"/>
      <c r="AE102" s="1018"/>
    </row>
    <row r="103" spans="1:31" ht="13.8" x14ac:dyDescent="0.25">
      <c r="A103" s="1065" t="e">
        <f>VLOOKUP(M103,ASIGNATURAS!$F$1:$L$1022, 3, FALSE)</f>
        <v>#N/A</v>
      </c>
      <c r="B103" s="1066"/>
      <c r="C103" s="982" t="e">
        <f>VLOOKUP(M103,ASIGNATURAS!$F$1:$L$1022, 4, FALSE)</f>
        <v>#N/A</v>
      </c>
      <c r="D103" s="983"/>
      <c r="E103" s="983"/>
      <c r="F103" s="983"/>
      <c r="G103" s="983"/>
      <c r="H103" s="983"/>
      <c r="I103" s="983"/>
      <c r="J103" s="983"/>
      <c r="K103" s="983"/>
      <c r="L103" s="1018"/>
      <c r="M103" s="981">
        <v>7075</v>
      </c>
      <c r="N103" s="1071"/>
      <c r="O103" s="981" t="e">
        <f>VLOOKUP(M103,ASIGNATURAS!$F$1:$L$1022, 5, FALSE)</f>
        <v>#N/A</v>
      </c>
      <c r="P103" s="1071"/>
      <c r="Q103" s="982" t="e">
        <f>VLOOKUP(M103,ASIGNATURAS!$F$1:$L$1022, 6, FALSE)</f>
        <v>#N/A</v>
      </c>
      <c r="R103" s="983"/>
      <c r="S103" s="983"/>
      <c r="T103" s="983"/>
      <c r="U103" s="983"/>
      <c r="V103" s="983"/>
      <c r="W103" s="983"/>
      <c r="X103" s="983"/>
      <c r="Y103" s="983"/>
      <c r="Z103" s="983"/>
      <c r="AA103" s="983"/>
      <c r="AB103" s="983"/>
      <c r="AC103" s="983"/>
      <c r="AD103" s="983"/>
      <c r="AE103" s="1018"/>
    </row>
    <row r="104" spans="1:31" ht="14.4" thickBot="1" x14ac:dyDescent="0.3">
      <c r="A104" s="1097" t="e">
        <f>VLOOKUP(M104,ASIGNATURAS!$F$1:$L$1022, 3, FALSE)</f>
        <v>#N/A</v>
      </c>
      <c r="B104" s="1098"/>
      <c r="C104" s="1088" t="e">
        <f>VLOOKUP(M104,ASIGNATURAS!$F$1:$L$1022, 4, FALSE)</f>
        <v>#N/A</v>
      </c>
      <c r="D104" s="1089"/>
      <c r="E104" s="1089"/>
      <c r="F104" s="1089"/>
      <c r="G104" s="1089"/>
      <c r="H104" s="1089"/>
      <c r="I104" s="1089"/>
      <c r="J104" s="1089"/>
      <c r="K104" s="1089"/>
      <c r="L104" s="1090"/>
      <c r="M104" s="1099">
        <v>7076</v>
      </c>
      <c r="N104" s="1100"/>
      <c r="O104" s="1099" t="e">
        <f>VLOOKUP(M104,ASIGNATURAS!$F$1:$L$1022, 5, FALSE)</f>
        <v>#N/A</v>
      </c>
      <c r="P104" s="1100"/>
      <c r="Q104" s="1088" t="e">
        <f>VLOOKUP(M104,ASIGNATURAS!$F$1:$L$1022, 6, FALSE)</f>
        <v>#N/A</v>
      </c>
      <c r="R104" s="1089"/>
      <c r="S104" s="1089"/>
      <c r="T104" s="1089"/>
      <c r="U104" s="1089"/>
      <c r="V104" s="1089"/>
      <c r="W104" s="1089"/>
      <c r="X104" s="1089"/>
      <c r="Y104" s="1089"/>
      <c r="Z104" s="1089"/>
      <c r="AA104" s="1089"/>
      <c r="AB104" s="1089"/>
      <c r="AC104" s="1089"/>
      <c r="AD104" s="1089"/>
      <c r="AE104" s="1090"/>
    </row>
    <row r="105" spans="1:31" ht="13.8" thickBot="1" x14ac:dyDescent="0.3">
      <c r="A105" s="67"/>
      <c r="B105" s="67"/>
    </row>
    <row r="106" spans="1:31" ht="22.5" customHeight="1" thickBot="1" x14ac:dyDescent="0.3">
      <c r="A106" s="1273" t="s">
        <v>169</v>
      </c>
      <c r="B106" s="1274"/>
      <c r="C106" s="1274"/>
      <c r="D106" s="1275"/>
      <c r="F106" s="2775" t="s">
        <v>170</v>
      </c>
      <c r="G106" s="2776"/>
      <c r="H106" s="2776"/>
      <c r="I106" s="2776"/>
      <c r="J106" s="2776"/>
      <c r="K106" s="2776"/>
      <c r="L106" s="2776"/>
      <c r="M106" s="2777"/>
    </row>
    <row r="108" spans="1:31" s="20" customFormat="1" x14ac:dyDescent="0.25">
      <c r="A108" s="20" t="s">
        <v>217</v>
      </c>
    </row>
    <row r="258" spans="2:41" ht="13.8" thickBot="1" x14ac:dyDescent="0.3"/>
    <row r="259" spans="2:41" x14ac:dyDescent="0.25">
      <c r="B259" s="68"/>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7"/>
    </row>
    <row r="260" spans="2:41" x14ac:dyDescent="0.25">
      <c r="B260" s="33"/>
      <c r="AO260" s="32"/>
    </row>
    <row r="261" spans="2:41" x14ac:dyDescent="0.25">
      <c r="B261" s="33"/>
      <c r="AO261" s="32"/>
    </row>
    <row r="262" spans="2:41" x14ac:dyDescent="0.25">
      <c r="B262" s="33"/>
      <c r="AO262" s="32"/>
    </row>
    <row r="263" spans="2:41" x14ac:dyDescent="0.25">
      <c r="B263" s="33"/>
      <c r="AO263" s="32"/>
    </row>
    <row r="264" spans="2:41" x14ac:dyDescent="0.25">
      <c r="B264" s="33"/>
      <c r="AO264" s="32"/>
    </row>
    <row r="265" spans="2:41" x14ac:dyDescent="0.25">
      <c r="B265" s="33"/>
      <c r="AO265" s="32"/>
    </row>
    <row r="266" spans="2:41" x14ac:dyDescent="0.25">
      <c r="B266" s="33"/>
      <c r="AO266" s="32"/>
    </row>
    <row r="267" spans="2:41" x14ac:dyDescent="0.25">
      <c r="B267" s="33"/>
      <c r="AO267" s="32"/>
    </row>
    <row r="268" spans="2:41" x14ac:dyDescent="0.25">
      <c r="B268" s="33"/>
      <c r="AO268" s="32"/>
    </row>
    <row r="269" spans="2:41" x14ac:dyDescent="0.25">
      <c r="B269" s="33"/>
      <c r="AO269" s="32"/>
    </row>
    <row r="270" spans="2:41" ht="13.8" thickBot="1" x14ac:dyDescent="0.3">
      <c r="B270" s="34"/>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35"/>
      <c r="AM270" s="35"/>
      <c r="AN270" s="35"/>
      <c r="AO270" s="36"/>
    </row>
  </sheetData>
  <mergeCells count="410">
    <mergeCell ref="A1:Y1"/>
    <mergeCell ref="Z1:AE1"/>
    <mergeCell ref="A2:Y2"/>
    <mergeCell ref="Z2:AE3"/>
    <mergeCell ref="A3:Y3"/>
    <mergeCell ref="B5:G5"/>
    <mergeCell ref="H5:M5"/>
    <mergeCell ref="N5:S5"/>
    <mergeCell ref="T5:Y5"/>
    <mergeCell ref="Z5:AE5"/>
    <mergeCell ref="A8:A9"/>
    <mergeCell ref="A6:A7"/>
    <mergeCell ref="B6:G6"/>
    <mergeCell ref="H6:M6"/>
    <mergeCell ref="N6:S6"/>
    <mergeCell ref="T6:Y6"/>
    <mergeCell ref="Z6:AE6"/>
    <mergeCell ref="B7:G7"/>
    <mergeCell ref="H7:M7"/>
    <mergeCell ref="N7:S7"/>
    <mergeCell ref="T7:Y7"/>
    <mergeCell ref="Z7:AE7"/>
    <mergeCell ref="Z8:AE8"/>
    <mergeCell ref="Z9:AE9"/>
    <mergeCell ref="B8:G8"/>
    <mergeCell ref="H8:M8"/>
    <mergeCell ref="N8:S8"/>
    <mergeCell ref="T8:Y8"/>
    <mergeCell ref="B9:G9"/>
    <mergeCell ref="H9:M9"/>
    <mergeCell ref="N9:S9"/>
    <mergeCell ref="T9:Y9"/>
    <mergeCell ref="B10:G10"/>
    <mergeCell ref="T10:Y10"/>
    <mergeCell ref="N10:S10"/>
    <mergeCell ref="H10:M10"/>
    <mergeCell ref="B11:G11"/>
    <mergeCell ref="A16:A17"/>
    <mergeCell ref="B16:G16"/>
    <mergeCell ref="T16:Y16"/>
    <mergeCell ref="T11:Y11"/>
    <mergeCell ref="N11:S11"/>
    <mergeCell ref="H11:M11"/>
    <mergeCell ref="H17:M17"/>
    <mergeCell ref="A14:A15"/>
    <mergeCell ref="B12:G12"/>
    <mergeCell ref="T12:Y12"/>
    <mergeCell ref="N12:S12"/>
    <mergeCell ref="N14:S14"/>
    <mergeCell ref="N15:S15"/>
    <mergeCell ref="N16:S16"/>
    <mergeCell ref="N17:S17"/>
    <mergeCell ref="A10:A11"/>
    <mergeCell ref="A12:A13"/>
    <mergeCell ref="H12:M12"/>
    <mergeCell ref="H14:M14"/>
    <mergeCell ref="Z16:AE16"/>
    <mergeCell ref="B17:G17"/>
    <mergeCell ref="T17:Y17"/>
    <mergeCell ref="Z17:AE17"/>
    <mergeCell ref="B13:G13"/>
    <mergeCell ref="T13:Y13"/>
    <mergeCell ref="N13:S13"/>
    <mergeCell ref="H13:M13"/>
    <mergeCell ref="H15:M15"/>
    <mergeCell ref="B14:G14"/>
    <mergeCell ref="T14:Y14"/>
    <mergeCell ref="Z14:AE14"/>
    <mergeCell ref="B15:G15"/>
    <mergeCell ref="T15:Y15"/>
    <mergeCell ref="Z15:AE15"/>
    <mergeCell ref="H16:M16"/>
    <mergeCell ref="A19:B19"/>
    <mergeCell ref="C19:K19"/>
    <mergeCell ref="M19:N19"/>
    <mergeCell ref="O19:P19"/>
    <mergeCell ref="Q19:AE19"/>
    <mergeCell ref="A20:B20"/>
    <mergeCell ref="C20:L20"/>
    <mergeCell ref="M20:N20"/>
    <mergeCell ref="O20:P20"/>
    <mergeCell ref="Q20:AE20"/>
    <mergeCell ref="A21:B21"/>
    <mergeCell ref="C21:L21"/>
    <mergeCell ref="M21:N21"/>
    <mergeCell ref="O21:P21"/>
    <mergeCell ref="Q21:AE21"/>
    <mergeCell ref="A22:B22"/>
    <mergeCell ref="C22:L22"/>
    <mergeCell ref="M22:N22"/>
    <mergeCell ref="O22:P22"/>
    <mergeCell ref="Q22:AE22"/>
    <mergeCell ref="A27:D27"/>
    <mergeCell ref="A23:B23"/>
    <mergeCell ref="C23:L23"/>
    <mergeCell ref="M23:N23"/>
    <mergeCell ref="O23:P23"/>
    <mergeCell ref="Q23:AE23"/>
    <mergeCell ref="A24:B24"/>
    <mergeCell ref="C24:L24"/>
    <mergeCell ref="M24:N24"/>
    <mergeCell ref="O24:P24"/>
    <mergeCell ref="Q24:AE24"/>
    <mergeCell ref="A28:D28"/>
    <mergeCell ref="A32:Y32"/>
    <mergeCell ref="Z32:AE32"/>
    <mergeCell ref="A33:Y33"/>
    <mergeCell ref="Z33:AE34"/>
    <mergeCell ref="A34:Y34"/>
    <mergeCell ref="B36:G36"/>
    <mergeCell ref="H36:M36"/>
    <mergeCell ref="N36:S36"/>
    <mergeCell ref="T36:Y36"/>
    <mergeCell ref="Z36:AE36"/>
    <mergeCell ref="B37:G37"/>
    <mergeCell ref="H37:M37"/>
    <mergeCell ref="N37:S37"/>
    <mergeCell ref="T37:Y37"/>
    <mergeCell ref="Z41:AE41"/>
    <mergeCell ref="B38:G38"/>
    <mergeCell ref="H38:M38"/>
    <mergeCell ref="N38:S38"/>
    <mergeCell ref="T38:Y38"/>
    <mergeCell ref="Z37:AE37"/>
    <mergeCell ref="Z42:AE42"/>
    <mergeCell ref="Z45:AE45"/>
    <mergeCell ref="Z46:AE46"/>
    <mergeCell ref="Z47:AE47"/>
    <mergeCell ref="Z48:AE48"/>
    <mergeCell ref="A41:A42"/>
    <mergeCell ref="B39:G39"/>
    <mergeCell ref="H39:M39"/>
    <mergeCell ref="N39:S39"/>
    <mergeCell ref="T39:Y39"/>
    <mergeCell ref="B42:G42"/>
    <mergeCell ref="T41:Y41"/>
    <mergeCell ref="N41:S41"/>
    <mergeCell ref="H41:M41"/>
    <mergeCell ref="B41:G41"/>
    <mergeCell ref="A45:A46"/>
    <mergeCell ref="B43:G43"/>
    <mergeCell ref="H43:M43"/>
    <mergeCell ref="N43:S43"/>
    <mergeCell ref="T43:Y43"/>
    <mergeCell ref="Z39:AE39"/>
    <mergeCell ref="B44:G44"/>
    <mergeCell ref="H44:M44"/>
    <mergeCell ref="A47:A48"/>
    <mergeCell ref="A37:A38"/>
    <mergeCell ref="N44:S44"/>
    <mergeCell ref="T44:Y44"/>
    <mergeCell ref="Z40:AE40"/>
    <mergeCell ref="B45:G45"/>
    <mergeCell ref="H45:M45"/>
    <mergeCell ref="N45:S45"/>
    <mergeCell ref="T45:Y45"/>
    <mergeCell ref="B46:G46"/>
    <mergeCell ref="H46:M46"/>
    <mergeCell ref="N46:S46"/>
    <mergeCell ref="T46:Y46"/>
    <mergeCell ref="A43:A44"/>
    <mergeCell ref="Z38:AE38"/>
    <mergeCell ref="Z43:AE43"/>
    <mergeCell ref="B40:G40"/>
    <mergeCell ref="H40:M40"/>
    <mergeCell ref="N40:S40"/>
    <mergeCell ref="A39:A40"/>
    <mergeCell ref="T40:Y40"/>
    <mergeCell ref="Z44:AE44"/>
    <mergeCell ref="T42:Y42"/>
    <mergeCell ref="N42:S42"/>
    <mergeCell ref="H42:M42"/>
    <mergeCell ref="O52:P52"/>
    <mergeCell ref="Q52:AE52"/>
    <mergeCell ref="A55:B55"/>
    <mergeCell ref="C55:L55"/>
    <mergeCell ref="M55:N55"/>
    <mergeCell ref="O55:P55"/>
    <mergeCell ref="Q55:AE55"/>
    <mergeCell ref="B47:G47"/>
    <mergeCell ref="H47:M47"/>
    <mergeCell ref="N47:S47"/>
    <mergeCell ref="T47:Y47"/>
    <mergeCell ref="B48:G48"/>
    <mergeCell ref="H48:M48"/>
    <mergeCell ref="N48:S48"/>
    <mergeCell ref="T48:Y48"/>
    <mergeCell ref="A50:B50"/>
    <mergeCell ref="C50:K50"/>
    <mergeCell ref="M50:N50"/>
    <mergeCell ref="O50:P50"/>
    <mergeCell ref="Q50:AE50"/>
    <mergeCell ref="B72:G72"/>
    <mergeCell ref="H72:M72"/>
    <mergeCell ref="N72:S72"/>
    <mergeCell ref="T72:Y72"/>
    <mergeCell ref="Z72:AE72"/>
    <mergeCell ref="H70:M70"/>
    <mergeCell ref="N70:S70"/>
    <mergeCell ref="A51:B51"/>
    <mergeCell ref="C51:L51"/>
    <mergeCell ref="M51:N51"/>
    <mergeCell ref="O51:P51"/>
    <mergeCell ref="Q51:AE51"/>
    <mergeCell ref="A58:D58"/>
    <mergeCell ref="A53:B53"/>
    <mergeCell ref="C53:L53"/>
    <mergeCell ref="M53:N53"/>
    <mergeCell ref="O53:P53"/>
    <mergeCell ref="Q53:AE53"/>
    <mergeCell ref="A54:B54"/>
    <mergeCell ref="C54:L54"/>
    <mergeCell ref="M54:N54"/>
    <mergeCell ref="A52:B52"/>
    <mergeCell ref="C52:L52"/>
    <mergeCell ref="M52:N52"/>
    <mergeCell ref="H71:M71"/>
    <mergeCell ref="N71:S71"/>
    <mergeCell ref="T71:Y71"/>
    <mergeCell ref="Z71:AE71"/>
    <mergeCell ref="A59:D59"/>
    <mergeCell ref="A64:Y64"/>
    <mergeCell ref="A69:A70"/>
    <mergeCell ref="B69:G69"/>
    <mergeCell ref="H69:M69"/>
    <mergeCell ref="N69:S69"/>
    <mergeCell ref="T68:Y68"/>
    <mergeCell ref="B74:G74"/>
    <mergeCell ref="N74:S74"/>
    <mergeCell ref="T74:Y74"/>
    <mergeCell ref="A88:A89"/>
    <mergeCell ref="A73:A74"/>
    <mergeCell ref="B73:G73"/>
    <mergeCell ref="H73:M73"/>
    <mergeCell ref="T86:Y86"/>
    <mergeCell ref="T87:Y87"/>
    <mergeCell ref="N86:S86"/>
    <mergeCell ref="N87:S87"/>
    <mergeCell ref="B84:G84"/>
    <mergeCell ref="B82:G82"/>
    <mergeCell ref="H80:M80"/>
    <mergeCell ref="N80:S80"/>
    <mergeCell ref="T89:Y89"/>
    <mergeCell ref="B83:G83"/>
    <mergeCell ref="H75:M75"/>
    <mergeCell ref="A75:A76"/>
    <mergeCell ref="A79:A80"/>
    <mergeCell ref="H79:M79"/>
    <mergeCell ref="N79:S79"/>
    <mergeCell ref="T79:Y79"/>
    <mergeCell ref="B75:G75"/>
    <mergeCell ref="Z88:AE88"/>
    <mergeCell ref="Z85:AE85"/>
    <mergeCell ref="B86:G86"/>
    <mergeCell ref="B87:G87"/>
    <mergeCell ref="B88:G88"/>
    <mergeCell ref="B89:G89"/>
    <mergeCell ref="N88:S88"/>
    <mergeCell ref="N89:S89"/>
    <mergeCell ref="T88:Y88"/>
    <mergeCell ref="H86:M86"/>
    <mergeCell ref="H87:M87"/>
    <mergeCell ref="H88:M88"/>
    <mergeCell ref="H89:M89"/>
    <mergeCell ref="H85:M85"/>
    <mergeCell ref="T85:Y85"/>
    <mergeCell ref="A96:B96"/>
    <mergeCell ref="C96:K96"/>
    <mergeCell ref="M96:N96"/>
    <mergeCell ref="O96:P96"/>
    <mergeCell ref="Q96:AE96"/>
    <mergeCell ref="Z91:AE91"/>
    <mergeCell ref="N90:S90"/>
    <mergeCell ref="Z90:AE90"/>
    <mergeCell ref="N91:S91"/>
    <mergeCell ref="N92:S92"/>
    <mergeCell ref="Z92:AE92"/>
    <mergeCell ref="N93:S93"/>
    <mergeCell ref="Z93:AE93"/>
    <mergeCell ref="A90:A91"/>
    <mergeCell ref="T92:Y92"/>
    <mergeCell ref="T93:Y93"/>
    <mergeCell ref="A92:A93"/>
    <mergeCell ref="T91:Y91"/>
    <mergeCell ref="H92:M92"/>
    <mergeCell ref="H93:M93"/>
    <mergeCell ref="H91:M91"/>
    <mergeCell ref="T90:Y90"/>
    <mergeCell ref="H90:M90"/>
    <mergeCell ref="B92:G92"/>
    <mergeCell ref="A97:B97"/>
    <mergeCell ref="C97:L97"/>
    <mergeCell ref="M97:N97"/>
    <mergeCell ref="O97:P97"/>
    <mergeCell ref="Q97:AE97"/>
    <mergeCell ref="A98:B98"/>
    <mergeCell ref="C98:L98"/>
    <mergeCell ref="M98:N98"/>
    <mergeCell ref="O98:P98"/>
    <mergeCell ref="Q98:AE98"/>
    <mergeCell ref="Q101:AE101"/>
    <mergeCell ref="A102:B102"/>
    <mergeCell ref="C102:L102"/>
    <mergeCell ref="M102:N102"/>
    <mergeCell ref="O102:P102"/>
    <mergeCell ref="Q102:AE102"/>
    <mergeCell ref="A99:B99"/>
    <mergeCell ref="C99:L99"/>
    <mergeCell ref="M99:N99"/>
    <mergeCell ref="O99:P99"/>
    <mergeCell ref="Q99:AE99"/>
    <mergeCell ref="A100:B100"/>
    <mergeCell ref="C100:L100"/>
    <mergeCell ref="M100:N100"/>
    <mergeCell ref="O100:P100"/>
    <mergeCell ref="Q100:AE100"/>
    <mergeCell ref="Z75:AE75"/>
    <mergeCell ref="B76:G76"/>
    <mergeCell ref="H76:M76"/>
    <mergeCell ref="N76:S76"/>
    <mergeCell ref="T76:Y76"/>
    <mergeCell ref="Z76:AE76"/>
    <mergeCell ref="H74:M74"/>
    <mergeCell ref="Z74:AE74"/>
    <mergeCell ref="A106:D106"/>
    <mergeCell ref="A103:B103"/>
    <mergeCell ref="C103:L103"/>
    <mergeCell ref="M103:N103"/>
    <mergeCell ref="O103:P103"/>
    <mergeCell ref="Q103:AE103"/>
    <mergeCell ref="A104:B104"/>
    <mergeCell ref="C104:L104"/>
    <mergeCell ref="M104:N104"/>
    <mergeCell ref="O104:P104"/>
    <mergeCell ref="Q104:AE104"/>
    <mergeCell ref="F106:M106"/>
    <mergeCell ref="A101:B101"/>
    <mergeCell ref="C101:L101"/>
    <mergeCell ref="M101:N101"/>
    <mergeCell ref="O101:P101"/>
    <mergeCell ref="Z79:AE79"/>
    <mergeCell ref="B93:G93"/>
    <mergeCell ref="A77:A78"/>
    <mergeCell ref="B90:G90"/>
    <mergeCell ref="H77:M77"/>
    <mergeCell ref="N77:S77"/>
    <mergeCell ref="T77:Y77"/>
    <mergeCell ref="Z77:AE77"/>
    <mergeCell ref="B91:G91"/>
    <mergeCell ref="H78:M78"/>
    <mergeCell ref="N78:S78"/>
    <mergeCell ref="T78:Y78"/>
    <mergeCell ref="Z78:AE78"/>
    <mergeCell ref="T80:Y80"/>
    <mergeCell ref="Z80:AE80"/>
    <mergeCell ref="B77:G77"/>
    <mergeCell ref="B78:G78"/>
    <mergeCell ref="B79:G79"/>
    <mergeCell ref="B80:G80"/>
    <mergeCell ref="Z82:AE82"/>
    <mergeCell ref="Z83:AE83"/>
    <mergeCell ref="B85:G85"/>
    <mergeCell ref="Z89:AE89"/>
    <mergeCell ref="Z84:AE84"/>
    <mergeCell ref="Z81:AE81"/>
    <mergeCell ref="Z86:AE86"/>
    <mergeCell ref="Z87:AE87"/>
    <mergeCell ref="N82:S82"/>
    <mergeCell ref="N83:S83"/>
    <mergeCell ref="N84:S84"/>
    <mergeCell ref="N85:S85"/>
    <mergeCell ref="H82:M82"/>
    <mergeCell ref="T82:Y82"/>
    <mergeCell ref="H83:M83"/>
    <mergeCell ref="T83:Y83"/>
    <mergeCell ref="H84:M84"/>
    <mergeCell ref="T84:Y84"/>
    <mergeCell ref="B81:G81"/>
    <mergeCell ref="H81:M81"/>
    <mergeCell ref="N81:S81"/>
    <mergeCell ref="T81:Y81"/>
    <mergeCell ref="N75:S75"/>
    <mergeCell ref="T75:Y75"/>
    <mergeCell ref="A82:A83"/>
    <mergeCell ref="A84:A85"/>
    <mergeCell ref="A86:A87"/>
    <mergeCell ref="Z10:AE10"/>
    <mergeCell ref="Z11:AE11"/>
    <mergeCell ref="Z12:AE12"/>
    <mergeCell ref="Z13:AE13"/>
    <mergeCell ref="N73:S73"/>
    <mergeCell ref="T73:Y73"/>
    <mergeCell ref="T69:Y69"/>
    <mergeCell ref="Z69:AE69"/>
    <mergeCell ref="Z73:AE73"/>
    <mergeCell ref="Z64:AE64"/>
    <mergeCell ref="A65:Y65"/>
    <mergeCell ref="Z65:AE66"/>
    <mergeCell ref="A66:Y66"/>
    <mergeCell ref="B68:G68"/>
    <mergeCell ref="H68:M68"/>
    <mergeCell ref="N68:S68"/>
    <mergeCell ref="Z68:AE68"/>
    <mergeCell ref="B70:G70"/>
    <mergeCell ref="T70:Y70"/>
    <mergeCell ref="Z70:AE70"/>
    <mergeCell ref="O54:P54"/>
    <mergeCell ref="Q54:AE54"/>
    <mergeCell ref="A71:A72"/>
    <mergeCell ref="B71:G71"/>
  </mergeCells>
  <dataValidations count="15">
    <dataValidation type="list" allowBlank="1" showInputMessage="1" showErrorMessage="1" sqref="M97:N104" xr:uid="{00000000-0002-0000-0600-000000000000}">
      <formula1>INDIRECT($M$96)</formula1>
    </dataValidation>
    <dataValidation type="list" allowBlank="1" showInputMessage="1" showErrorMessage="1" sqref="M19:N19 M50:N50 M96:N96" xr:uid="{00000000-0002-0000-0600-000001000000}">
      <formula1>Asignaturas2</formula1>
    </dataValidation>
    <dataValidation type="list" allowBlank="1" showInputMessage="1" showErrorMessage="1" sqref="M24:N24 M55:N55" xr:uid="{00000000-0002-0000-0600-000002000000}">
      <formula1>INDIRECT(M19)</formula1>
    </dataValidation>
    <dataValidation type="list" allowBlank="1" showInputMessage="1" showErrorMessage="1" sqref="M23:N23 M54:N54" xr:uid="{00000000-0002-0000-0600-000003000000}">
      <formula1>INDIRECT(M19)</formula1>
    </dataValidation>
    <dataValidation type="list" allowBlank="1" showInputMessage="1" showErrorMessage="1" sqref="M22:N22 M53:N53" xr:uid="{00000000-0002-0000-0600-000004000000}">
      <formula1>INDIRECT(M19)</formula1>
    </dataValidation>
    <dataValidation type="list" allowBlank="1" showInputMessage="1" showErrorMessage="1" sqref="M21:N21 M52:N52" xr:uid="{00000000-0002-0000-0600-000005000000}">
      <formula1>INDIRECT(M19)</formula1>
    </dataValidation>
    <dataValidation type="list" allowBlank="1" showInputMessage="1" showErrorMessage="1" sqref="M20:N20 M51:N51" xr:uid="{00000000-0002-0000-0600-000006000000}">
      <formula1>INDIRECT(M19)</formula1>
    </dataValidation>
    <dataValidation type="list" allowBlank="1" showInputMessage="1" showErrorMessage="1" sqref="A30 A61 A108" xr:uid="{00000000-0002-0000-0600-000007000000}">
      <formula1>notas</formula1>
    </dataValidation>
    <dataValidation type="list" allowBlank="1" showInputMessage="1" showErrorMessage="1" sqref="A98:A104 B73:AE73 B69:AE69 B71:AE71 B75:AE75 B84:AE84 B90:AE90 B92:AE92 B79:AE79 B86:AE86 B77:AE77 B88:AE88 B82:AE82" xr:uid="{00000000-0002-0000-0600-000008000000}">
      <formula1>INDIRECT($A$67)</formula1>
    </dataValidation>
    <dataValidation type="list" allowBlank="1" showInputMessage="1" showErrorMessage="1" sqref="B41:AE41 B43:AE43 B45:AE45 B37:AE37 B47:AE47 B39:AE39" xr:uid="{00000000-0002-0000-0600-000009000000}">
      <formula1>INDIRECT($A$35)</formula1>
    </dataValidation>
    <dataValidation type="list" allowBlank="1" showInputMessage="1" showErrorMessage="1" sqref="A4 A35 A67" xr:uid="{00000000-0002-0000-0600-00000A000000}">
      <formula1>GIM</formula1>
    </dataValidation>
    <dataValidation type="list" allowBlank="1" showInputMessage="1" showErrorMessage="1" sqref="A97 A51:A55 A20:A24 B12:AE12 B10:AE10 B6:AE6 B14:AE14 B8:AE8 B16:AE16" xr:uid="{00000000-0002-0000-0600-00000B000000}">
      <formula1>INDIRECT($A$4)</formula1>
    </dataValidation>
    <dataValidation type="list" allowBlank="1" showInputMessage="1" showErrorMessage="1" sqref="Z2:AE3 Z33:AE34 Z65:AE66 B74:AE74 B70:AE70 B72:AE72 B13:AE13 B11:AE11 B76:AE76 B83:AE83 B42:AE42 B40:AE40 B44:AE44 B46:AE46 B38:AE38 B48:AE48 B85:AE85 B91:AE91 B93:AE93 B80:AE80 B87:AE87 B78:AE78 B89:AE89 B7:AE7 B15:AE15 B9:AE9 B17:AE17" xr:uid="{00000000-0002-0000-0600-00000C000000}">
      <formula1>AULAS</formula1>
    </dataValidation>
    <dataValidation type="list" allowBlank="1" showInputMessage="1" showErrorMessage="1" sqref="A3:Y3 A34:Y34 A66:Y66" xr:uid="{00000000-0002-0000-0600-00000D000000}">
      <formula1>GRUPO</formula1>
    </dataValidation>
    <dataValidation type="list" allowBlank="1" showInputMessage="1" showErrorMessage="1" sqref="A6:A17 A37:A48 A82:A93 A69:A80" xr:uid="{00000000-0002-0000-0600-00000E000000}">
      <formula1>HORARIO</formula1>
    </dataValidation>
  </dataValidations>
  <pageMargins left="0.47244094488188981" right="0.39370078740157483" top="0.94488188976377963" bottom="0.86614173228346458" header="0.27559055118110237" footer="0"/>
  <pageSetup paperSize="9" scale="76" fitToHeight="0" orientation="portrait" r:id="rId1"/>
  <headerFooter alignWithMargins="0">
    <oddHeader>&amp;C&amp;"Arial Narrow,Negrita"&amp;18ESCUELA POLITECNICA SUPERIOR&amp;"Arial,Normal"&amp;10
&amp;"Arial Narrow,Negrita"&amp;16Campus Vena&amp;R&amp;"Chiller,Normal"&amp;24&amp;K05-042&amp;A</oddHeader>
    <oddFooter>&amp;L&amp;12ESCUELA POLITECNICA SUPERIOR - Campus Vena&amp;11
&amp;9SUBDIRECCION  DE  ORDENACION  ACADEMICA Y PROFESORADO&amp;R&amp;12&amp;D</oddFooter>
  </headerFooter>
  <rowBreaks count="2" manualBreakCount="2">
    <brk id="31" max="16383" man="1"/>
    <brk id="63"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U101"/>
  <sheetViews>
    <sheetView view="pageBreakPreview" topLeftCell="B22" zoomScale="84" zoomScaleNormal="90" zoomScaleSheetLayoutView="84" zoomScalePageLayoutView="70" workbookViewId="0">
      <selection activeCell="B49" sqref="B49:G49"/>
    </sheetView>
  </sheetViews>
  <sheetFormatPr baseColWidth="10" defaultRowHeight="13.2" x14ac:dyDescent="0.25"/>
  <cols>
    <col min="1" max="1" width="15.6640625" customWidth="1"/>
    <col min="2" max="31" width="3.6640625" customWidth="1"/>
    <col min="32" max="214" width="9.109375" customWidth="1"/>
  </cols>
  <sheetData>
    <row r="1" spans="1:33" s="1" customFormat="1" ht="31.5" customHeight="1" x14ac:dyDescent="0.4">
      <c r="A1" s="2855" t="str">
        <f>VLOOKUP(A4,ASIGNATURAS!$A$2:$D$138, 3, FALSE)</f>
        <v>1º Máster en Ingeniería Industrial</v>
      </c>
      <c r="B1" s="2856"/>
      <c r="C1" s="2856"/>
      <c r="D1" s="2856"/>
      <c r="E1" s="2856"/>
      <c r="F1" s="2856"/>
      <c r="G1" s="2856"/>
      <c r="H1" s="2856"/>
      <c r="I1" s="2856"/>
      <c r="J1" s="2856"/>
      <c r="K1" s="2856"/>
      <c r="L1" s="2856"/>
      <c r="M1" s="2856"/>
      <c r="N1" s="2856"/>
      <c r="O1" s="2856"/>
      <c r="P1" s="2856"/>
      <c r="Q1" s="2856"/>
      <c r="R1" s="2856"/>
      <c r="S1" s="2856"/>
      <c r="T1" s="2856"/>
      <c r="U1" s="2856"/>
      <c r="V1" s="2856"/>
      <c r="W1" s="2856"/>
      <c r="X1" s="2856"/>
      <c r="Y1" s="2857"/>
      <c r="Z1" s="988" t="str">
        <f>Aulas!G5</f>
        <v>Curso 2024-2025</v>
      </c>
      <c r="AA1" s="988"/>
      <c r="AB1" s="988"/>
      <c r="AC1" s="988"/>
      <c r="AD1" s="988"/>
      <c r="AE1" s="989"/>
    </row>
    <row r="2" spans="1:33" s="8" customFormat="1" ht="23.25" customHeight="1" x14ac:dyDescent="0.4">
      <c r="A2" s="963" t="str">
        <f>VLOOKUP(A4,ASIGNATURAS!A2:D138, 2, FALSE)</f>
        <v>Semestre temporal: 1º        (1º Semestre Académico)</v>
      </c>
      <c r="B2" s="964"/>
      <c r="C2" s="964"/>
      <c r="D2" s="964"/>
      <c r="E2" s="964"/>
      <c r="F2" s="964"/>
      <c r="G2" s="964"/>
      <c r="H2" s="964"/>
      <c r="I2" s="964"/>
      <c r="J2" s="964"/>
      <c r="K2" s="964"/>
      <c r="L2" s="964"/>
      <c r="M2" s="964"/>
      <c r="N2" s="964"/>
      <c r="O2" s="964"/>
      <c r="P2" s="964"/>
      <c r="Q2" s="964"/>
      <c r="R2" s="964"/>
      <c r="S2" s="964"/>
      <c r="T2" s="964"/>
      <c r="U2" s="964"/>
      <c r="V2" s="964"/>
      <c r="W2" s="964"/>
      <c r="X2" s="964"/>
      <c r="Y2" s="965"/>
      <c r="Z2" s="984" t="s">
        <v>154</v>
      </c>
      <c r="AA2" s="984"/>
      <c r="AB2" s="984"/>
      <c r="AC2" s="984"/>
      <c r="AD2" s="984"/>
      <c r="AE2" s="985"/>
    </row>
    <row r="3" spans="1:33" s="8" customFormat="1" ht="23.25" customHeight="1" x14ac:dyDescent="0.4">
      <c r="A3" s="963" t="s">
        <v>181</v>
      </c>
      <c r="B3" s="964"/>
      <c r="C3" s="964"/>
      <c r="D3" s="964"/>
      <c r="E3" s="964"/>
      <c r="F3" s="964"/>
      <c r="G3" s="964"/>
      <c r="H3" s="964"/>
      <c r="I3" s="964"/>
      <c r="J3" s="964"/>
      <c r="K3" s="964"/>
      <c r="L3" s="964"/>
      <c r="M3" s="964"/>
      <c r="N3" s="964"/>
      <c r="O3" s="964"/>
      <c r="P3" s="964"/>
      <c r="Q3" s="964"/>
      <c r="R3" s="964"/>
      <c r="S3" s="964"/>
      <c r="T3" s="964"/>
      <c r="U3" s="964"/>
      <c r="V3" s="964"/>
      <c r="W3" s="964"/>
      <c r="X3" s="964"/>
      <c r="Y3" s="965"/>
      <c r="Z3" s="986"/>
      <c r="AA3" s="986"/>
      <c r="AB3" s="986"/>
      <c r="AC3" s="986"/>
      <c r="AD3" s="986"/>
      <c r="AE3" s="987"/>
    </row>
    <row r="4" spans="1:33" ht="38.25" customHeight="1" x14ac:dyDescent="0.25">
      <c r="A4" s="23" t="s">
        <v>121</v>
      </c>
    </row>
    <row r="5" spans="1:33" s="2" customFormat="1" ht="24" customHeight="1" x14ac:dyDescent="0.25">
      <c r="A5" s="167" t="s">
        <v>1</v>
      </c>
      <c r="B5" s="2865" t="s">
        <v>2</v>
      </c>
      <c r="C5" s="988"/>
      <c r="D5" s="988"/>
      <c r="E5" s="988"/>
      <c r="F5" s="988"/>
      <c r="G5" s="989"/>
      <c r="H5" s="2865" t="s">
        <v>3</v>
      </c>
      <c r="I5" s="988"/>
      <c r="J5" s="988"/>
      <c r="K5" s="988"/>
      <c r="L5" s="988"/>
      <c r="M5" s="989"/>
      <c r="N5" s="2865" t="s">
        <v>139</v>
      </c>
      <c r="O5" s="988"/>
      <c r="P5" s="988"/>
      <c r="Q5" s="988"/>
      <c r="R5" s="988"/>
      <c r="S5" s="989"/>
      <c r="T5" s="2865" t="s">
        <v>4</v>
      </c>
      <c r="U5" s="988"/>
      <c r="V5" s="988"/>
      <c r="W5" s="988"/>
      <c r="X5" s="988"/>
      <c r="Y5" s="989"/>
      <c r="Z5" s="2865" t="s">
        <v>5</v>
      </c>
      <c r="AA5" s="988"/>
      <c r="AB5" s="988"/>
      <c r="AC5" s="988"/>
      <c r="AD5" s="988"/>
      <c r="AE5" s="989"/>
    </row>
    <row r="6" spans="1:33" ht="30" customHeight="1" x14ac:dyDescent="0.3">
      <c r="A6" s="1292" t="s">
        <v>1131</v>
      </c>
      <c r="B6" s="2863"/>
      <c r="C6" s="2120"/>
      <c r="D6" s="2120"/>
      <c r="E6" s="2120"/>
      <c r="F6" s="2120"/>
      <c r="G6" s="2305"/>
      <c r="H6" s="2863"/>
      <c r="I6" s="2120"/>
      <c r="J6" s="2120"/>
      <c r="K6" s="2120"/>
      <c r="L6" s="2120"/>
      <c r="M6" s="2305"/>
      <c r="N6" s="2863"/>
      <c r="O6" s="2120"/>
      <c r="P6" s="2120"/>
      <c r="Q6" s="2120"/>
      <c r="R6" s="2120"/>
      <c r="S6" s="2305"/>
      <c r="T6" s="2863"/>
      <c r="U6" s="2120"/>
      <c r="V6" s="2120"/>
      <c r="W6" s="2120"/>
      <c r="X6" s="2120"/>
      <c r="Y6" s="2305"/>
      <c r="Z6" s="2863"/>
      <c r="AA6" s="2120"/>
      <c r="AB6" s="2120"/>
      <c r="AC6" s="2120"/>
      <c r="AD6" s="2120"/>
      <c r="AE6" s="2305"/>
    </row>
    <row r="7" spans="1:33" ht="30" customHeight="1" x14ac:dyDescent="0.25">
      <c r="A7" s="935"/>
      <c r="B7" s="1031"/>
      <c r="C7" s="1032"/>
      <c r="D7" s="1032"/>
      <c r="E7" s="1032"/>
      <c r="F7" s="1032"/>
      <c r="G7" s="1033"/>
      <c r="H7" s="1031"/>
      <c r="I7" s="1032"/>
      <c r="J7" s="1032"/>
      <c r="K7" s="1032"/>
      <c r="L7" s="1032"/>
      <c r="M7" s="1033"/>
      <c r="N7" s="1031"/>
      <c r="O7" s="1032"/>
      <c r="P7" s="1032"/>
      <c r="Q7" s="1032"/>
      <c r="R7" s="1032"/>
      <c r="S7" s="1033"/>
      <c r="T7" s="1031"/>
      <c r="U7" s="1032"/>
      <c r="V7" s="1032"/>
      <c r="W7" s="1032"/>
      <c r="X7" s="1032"/>
      <c r="Y7" s="1033"/>
      <c r="Z7" s="1031"/>
      <c r="AA7" s="1032"/>
      <c r="AB7" s="1032"/>
      <c r="AC7" s="1032"/>
      <c r="AD7" s="1032"/>
      <c r="AE7" s="1033"/>
    </row>
    <row r="8" spans="1:33" ht="30" customHeight="1" x14ac:dyDescent="0.3">
      <c r="A8" s="934" t="s">
        <v>187</v>
      </c>
      <c r="B8" s="2863"/>
      <c r="C8" s="2120"/>
      <c r="D8" s="2120"/>
      <c r="E8" s="2120"/>
      <c r="F8" s="2120"/>
      <c r="G8" s="2305"/>
      <c r="H8" s="2863"/>
      <c r="I8" s="2120"/>
      <c r="J8" s="2120"/>
      <c r="K8" s="2120"/>
      <c r="L8" s="2120"/>
      <c r="M8" s="2305"/>
      <c r="N8" s="2863"/>
      <c r="O8" s="2120"/>
      <c r="P8" s="2120"/>
      <c r="Q8" s="2120"/>
      <c r="R8" s="2120"/>
      <c r="S8" s="2305"/>
      <c r="T8" s="2863"/>
      <c r="U8" s="2120"/>
      <c r="V8" s="2120"/>
      <c r="W8" s="2120"/>
      <c r="X8" s="2120"/>
      <c r="Y8" s="2305"/>
      <c r="Z8" s="2863"/>
      <c r="AA8" s="2120"/>
      <c r="AB8" s="2120"/>
      <c r="AC8" s="2120"/>
      <c r="AD8" s="2120"/>
      <c r="AE8" s="2305"/>
    </row>
    <row r="9" spans="1:33" ht="30" customHeight="1" x14ac:dyDescent="0.25">
      <c r="A9" s="935"/>
      <c r="B9" s="1031"/>
      <c r="C9" s="1032"/>
      <c r="D9" s="1032"/>
      <c r="E9" s="1032"/>
      <c r="F9" s="1032"/>
      <c r="G9" s="1033"/>
      <c r="H9" s="1031"/>
      <c r="I9" s="1032"/>
      <c r="J9" s="1032"/>
      <c r="K9" s="1032"/>
      <c r="L9" s="1032"/>
      <c r="M9" s="1033"/>
      <c r="N9" s="1031"/>
      <c r="O9" s="1032"/>
      <c r="P9" s="1032"/>
      <c r="Q9" s="1032"/>
      <c r="R9" s="1032"/>
      <c r="S9" s="1033"/>
      <c r="T9" s="1031"/>
      <c r="U9" s="1032"/>
      <c r="V9" s="1032"/>
      <c r="W9" s="1032"/>
      <c r="X9" s="1032"/>
      <c r="Y9" s="1033"/>
      <c r="Z9" s="1031"/>
      <c r="AA9" s="1032"/>
      <c r="AB9" s="1032"/>
      <c r="AC9" s="1032"/>
      <c r="AD9" s="1032"/>
      <c r="AE9" s="1033"/>
    </row>
    <row r="10" spans="1:33" ht="30" customHeight="1" x14ac:dyDescent="0.3">
      <c r="A10" s="1143" t="s">
        <v>186</v>
      </c>
      <c r="B10" s="942" t="s">
        <v>137</v>
      </c>
      <c r="C10" s="940"/>
      <c r="D10" s="940"/>
      <c r="E10" s="940"/>
      <c r="F10" s="940"/>
      <c r="G10" s="941"/>
      <c r="H10" s="942" t="s">
        <v>127</v>
      </c>
      <c r="I10" s="940"/>
      <c r="J10" s="940"/>
      <c r="K10" s="940"/>
      <c r="L10" s="940"/>
      <c r="M10" s="941"/>
      <c r="N10" s="942" t="s">
        <v>962</v>
      </c>
      <c r="O10" s="940"/>
      <c r="P10" s="940"/>
      <c r="Q10" s="940"/>
      <c r="R10" s="940"/>
      <c r="S10" s="941"/>
      <c r="T10" s="942" t="s">
        <v>967</v>
      </c>
      <c r="U10" s="940"/>
      <c r="V10" s="940"/>
      <c r="W10" s="940"/>
      <c r="X10" s="940"/>
      <c r="Y10" s="941"/>
      <c r="Z10" s="942" t="s">
        <v>124</v>
      </c>
      <c r="AA10" s="940"/>
      <c r="AB10" s="940"/>
      <c r="AC10" s="940"/>
      <c r="AD10" s="940"/>
      <c r="AE10" s="941"/>
      <c r="AG10" s="20"/>
    </row>
    <row r="11" spans="1:33" ht="30" customHeight="1" x14ac:dyDescent="0.25">
      <c r="A11" s="1143"/>
      <c r="B11" s="946" t="s">
        <v>630</v>
      </c>
      <c r="C11" s="944"/>
      <c r="D11" s="944"/>
      <c r="E11" s="944"/>
      <c r="F11" s="944"/>
      <c r="G11" s="945"/>
      <c r="H11" s="946" t="s">
        <v>154</v>
      </c>
      <c r="I11" s="944"/>
      <c r="J11" s="944"/>
      <c r="K11" s="944"/>
      <c r="L11" s="944"/>
      <c r="M11" s="945"/>
      <c r="N11" s="946" t="s">
        <v>154</v>
      </c>
      <c r="O11" s="944"/>
      <c r="P11" s="944"/>
      <c r="Q11" s="944"/>
      <c r="R11" s="944"/>
      <c r="S11" s="945"/>
      <c r="T11" s="946" t="s">
        <v>154</v>
      </c>
      <c r="U11" s="944"/>
      <c r="V11" s="944"/>
      <c r="W11" s="944"/>
      <c r="X11" s="944"/>
      <c r="Y11" s="945"/>
      <c r="Z11" s="946" t="s">
        <v>154</v>
      </c>
      <c r="AA11" s="944"/>
      <c r="AB11" s="944"/>
      <c r="AC11" s="944"/>
      <c r="AD11" s="944"/>
      <c r="AE11" s="945"/>
    </row>
    <row r="12" spans="1:33" ht="30" customHeight="1" x14ac:dyDescent="0.3">
      <c r="A12" s="935" t="s">
        <v>188</v>
      </c>
      <c r="B12" s="942" t="s">
        <v>137</v>
      </c>
      <c r="C12" s="940"/>
      <c r="D12" s="940"/>
      <c r="E12" s="940"/>
      <c r="F12" s="940"/>
      <c r="G12" s="941"/>
      <c r="H12" s="942" t="s">
        <v>127</v>
      </c>
      <c r="I12" s="940"/>
      <c r="J12" s="940"/>
      <c r="K12" s="940"/>
      <c r="L12" s="940"/>
      <c r="M12" s="941"/>
      <c r="N12" s="1015" t="s">
        <v>962</v>
      </c>
      <c r="O12" s="956"/>
      <c r="P12" s="956"/>
      <c r="Q12" s="956"/>
      <c r="R12" s="956"/>
      <c r="S12" s="957"/>
      <c r="T12" s="942" t="s">
        <v>967</v>
      </c>
      <c r="U12" s="940"/>
      <c r="V12" s="940"/>
      <c r="W12" s="940"/>
      <c r="X12" s="940"/>
      <c r="Y12" s="941"/>
      <c r="Z12" s="1015" t="s">
        <v>124</v>
      </c>
      <c r="AA12" s="956"/>
      <c r="AB12" s="956"/>
      <c r="AC12" s="956"/>
      <c r="AD12" s="956"/>
      <c r="AE12" s="957"/>
    </row>
    <row r="13" spans="1:33" ht="30" customHeight="1" x14ac:dyDescent="0.25">
      <c r="A13" s="1143"/>
      <c r="B13" s="946" t="s">
        <v>630</v>
      </c>
      <c r="C13" s="944"/>
      <c r="D13" s="944"/>
      <c r="E13" s="944"/>
      <c r="F13" s="944"/>
      <c r="G13" s="945"/>
      <c r="H13" s="946" t="s">
        <v>154</v>
      </c>
      <c r="I13" s="944"/>
      <c r="J13" s="944"/>
      <c r="K13" s="944"/>
      <c r="L13" s="944"/>
      <c r="M13" s="945"/>
      <c r="N13" s="936" t="s">
        <v>154</v>
      </c>
      <c r="O13" s="937"/>
      <c r="P13" s="937"/>
      <c r="Q13" s="937"/>
      <c r="R13" s="937"/>
      <c r="S13" s="938"/>
      <c r="T13" s="946" t="s">
        <v>154</v>
      </c>
      <c r="U13" s="944"/>
      <c r="V13" s="944"/>
      <c r="W13" s="944"/>
      <c r="X13" s="944"/>
      <c r="Y13" s="945"/>
      <c r="Z13" s="936" t="s">
        <v>154</v>
      </c>
      <c r="AA13" s="937"/>
      <c r="AB13" s="937"/>
      <c r="AC13" s="937"/>
      <c r="AD13" s="937"/>
      <c r="AE13" s="938"/>
    </row>
    <row r="14" spans="1:33" ht="30" customHeight="1" x14ac:dyDescent="0.3">
      <c r="A14" s="935" t="s">
        <v>189</v>
      </c>
      <c r="B14" s="1015" t="s">
        <v>127</v>
      </c>
      <c r="C14" s="956"/>
      <c r="D14" s="956"/>
      <c r="E14" s="956"/>
      <c r="F14" s="956"/>
      <c r="G14" s="957"/>
      <c r="H14" s="1015" t="s">
        <v>967</v>
      </c>
      <c r="I14" s="956"/>
      <c r="J14" s="956"/>
      <c r="K14" s="956"/>
      <c r="L14" s="956"/>
      <c r="M14" s="957"/>
      <c r="N14" s="1015" t="s">
        <v>137</v>
      </c>
      <c r="O14" s="956"/>
      <c r="P14" s="956"/>
      <c r="Q14" s="956"/>
      <c r="R14" s="956"/>
      <c r="S14" s="957"/>
      <c r="T14" s="942" t="s">
        <v>523</v>
      </c>
      <c r="U14" s="940"/>
      <c r="V14" s="940"/>
      <c r="W14" s="940"/>
      <c r="X14" s="940"/>
      <c r="Y14" s="941"/>
      <c r="Z14" s="1015" t="s">
        <v>523</v>
      </c>
      <c r="AA14" s="956"/>
      <c r="AB14" s="956"/>
      <c r="AC14" s="956"/>
      <c r="AD14" s="956"/>
      <c r="AE14" s="957"/>
    </row>
    <row r="15" spans="1:33" ht="30" customHeight="1" x14ac:dyDescent="0.25">
      <c r="A15" s="1143"/>
      <c r="B15" s="936" t="s">
        <v>1088</v>
      </c>
      <c r="C15" s="937"/>
      <c r="D15" s="937"/>
      <c r="E15" s="937"/>
      <c r="F15" s="937"/>
      <c r="G15" s="938"/>
      <c r="H15" s="936" t="s">
        <v>154</v>
      </c>
      <c r="I15" s="937"/>
      <c r="J15" s="937"/>
      <c r="K15" s="937"/>
      <c r="L15" s="937"/>
      <c r="M15" s="938"/>
      <c r="N15" s="936" t="s">
        <v>630</v>
      </c>
      <c r="O15" s="937"/>
      <c r="P15" s="937"/>
      <c r="Q15" s="937"/>
      <c r="R15" s="937"/>
      <c r="S15" s="938"/>
      <c r="T15" s="946" t="s">
        <v>1087</v>
      </c>
      <c r="U15" s="944"/>
      <c r="V15" s="944"/>
      <c r="W15" s="944"/>
      <c r="X15" s="944"/>
      <c r="Y15" s="945"/>
      <c r="Z15" s="936" t="s">
        <v>1087</v>
      </c>
      <c r="AA15" s="937"/>
      <c r="AB15" s="937"/>
      <c r="AC15" s="937"/>
      <c r="AD15" s="937"/>
      <c r="AE15" s="938"/>
    </row>
    <row r="16" spans="1:33" ht="30" customHeight="1" x14ac:dyDescent="0.3">
      <c r="A16" s="1143" t="s">
        <v>190</v>
      </c>
      <c r="B16" s="956" t="s">
        <v>127</v>
      </c>
      <c r="C16" s="956"/>
      <c r="D16" s="956"/>
      <c r="E16" s="956"/>
      <c r="F16" s="956"/>
      <c r="G16" s="957"/>
      <c r="H16" s="1015" t="s">
        <v>967</v>
      </c>
      <c r="I16" s="956"/>
      <c r="J16" s="956"/>
      <c r="K16" s="956"/>
      <c r="L16" s="956"/>
      <c r="M16" s="957"/>
      <c r="N16" s="1015" t="s">
        <v>137</v>
      </c>
      <c r="O16" s="956"/>
      <c r="P16" s="956"/>
      <c r="Q16" s="956"/>
      <c r="R16" s="956"/>
      <c r="S16" s="957"/>
      <c r="T16" s="942" t="s">
        <v>523</v>
      </c>
      <c r="U16" s="940"/>
      <c r="V16" s="940"/>
      <c r="W16" s="940"/>
      <c r="X16" s="940"/>
      <c r="Y16" s="941"/>
      <c r="Z16" s="1015" t="s">
        <v>523</v>
      </c>
      <c r="AA16" s="956"/>
      <c r="AB16" s="956"/>
      <c r="AC16" s="956"/>
      <c r="AD16" s="956"/>
      <c r="AE16" s="957"/>
    </row>
    <row r="17" spans="1:31" ht="30" customHeight="1" x14ac:dyDescent="0.25">
      <c r="A17" s="934"/>
      <c r="B17" s="937" t="s">
        <v>1088</v>
      </c>
      <c r="C17" s="937"/>
      <c r="D17" s="937"/>
      <c r="E17" s="937"/>
      <c r="F17" s="937"/>
      <c r="G17" s="938"/>
      <c r="H17" s="936" t="s">
        <v>154</v>
      </c>
      <c r="I17" s="937"/>
      <c r="J17" s="937"/>
      <c r="K17" s="937"/>
      <c r="L17" s="937"/>
      <c r="M17" s="938"/>
      <c r="N17" s="936" t="s">
        <v>630</v>
      </c>
      <c r="O17" s="937"/>
      <c r="P17" s="937"/>
      <c r="Q17" s="937"/>
      <c r="R17" s="937"/>
      <c r="S17" s="938"/>
      <c r="T17" s="946" t="s">
        <v>1087</v>
      </c>
      <c r="U17" s="944"/>
      <c r="V17" s="944"/>
      <c r="W17" s="944"/>
      <c r="X17" s="944"/>
      <c r="Y17" s="945"/>
      <c r="Z17" s="936" t="s">
        <v>1087</v>
      </c>
      <c r="AA17" s="937"/>
      <c r="AB17" s="937"/>
      <c r="AC17" s="937"/>
      <c r="AD17" s="937"/>
      <c r="AE17" s="938"/>
    </row>
    <row r="18" spans="1:31" ht="52.5" customHeight="1" x14ac:dyDescent="0.25">
      <c r="A18" s="332"/>
    </row>
    <row r="19" spans="1:31" ht="18.75" customHeight="1" x14ac:dyDescent="0.25">
      <c r="A19" s="995" t="s">
        <v>218</v>
      </c>
      <c r="B19" s="953"/>
      <c r="C19" s="952" t="s">
        <v>219</v>
      </c>
      <c r="D19" s="952"/>
      <c r="E19" s="952"/>
      <c r="F19" s="952"/>
      <c r="G19" s="952"/>
      <c r="H19" s="952"/>
      <c r="I19" s="952"/>
      <c r="J19" s="952"/>
      <c r="K19" s="952"/>
      <c r="L19" s="168"/>
      <c r="M19" s="950" t="s">
        <v>334</v>
      </c>
      <c r="N19" s="951"/>
      <c r="O19" s="952" t="s">
        <v>143</v>
      </c>
      <c r="P19" s="953"/>
      <c r="Q19" s="952" t="s">
        <v>167</v>
      </c>
      <c r="R19" s="952"/>
      <c r="S19" s="952"/>
      <c r="T19" s="952"/>
      <c r="U19" s="952"/>
      <c r="V19" s="952"/>
      <c r="W19" s="952"/>
      <c r="X19" s="952"/>
      <c r="Y19" s="952"/>
      <c r="Z19" s="952"/>
      <c r="AA19" s="952"/>
      <c r="AB19" s="952"/>
      <c r="AC19" s="952"/>
      <c r="AD19" s="952"/>
      <c r="AE19" s="953"/>
    </row>
    <row r="20" spans="1:31" ht="13.8" x14ac:dyDescent="0.25">
      <c r="A20" s="2854" t="str">
        <f>VLOOKUP(M20,ASIGNATURAS!$F$1:$L$1022, 3, FALSE)</f>
        <v>TECN. ESTRUCT.</v>
      </c>
      <c r="B20" s="2854"/>
      <c r="C20" s="947" t="str">
        <f>VLOOKUP(M20,ASIGNATURAS!$F$1:$L$1022, 4, FALSE)</f>
        <v>Tecnología  de Estructuras</v>
      </c>
      <c r="D20" s="948"/>
      <c r="E20" s="948"/>
      <c r="F20" s="948"/>
      <c r="G20" s="948"/>
      <c r="H20" s="948"/>
      <c r="I20" s="948"/>
      <c r="J20" s="948"/>
      <c r="K20" s="948"/>
      <c r="L20" s="948"/>
      <c r="M20" s="1013">
        <v>7036</v>
      </c>
      <c r="N20" s="1014"/>
      <c r="O20" s="1013">
        <f>VLOOKUP(M20,ASIGNATURAS!$F$1:$L$1022, 5, FALSE)</f>
        <v>6</v>
      </c>
      <c r="P20" s="1014"/>
      <c r="Q20" s="947" t="str">
        <f>VLOOKUP(M20,ASIGNATURAS!$F$1:$L$1022, 6, FALSE)</f>
        <v xml:space="preserve">Luis Suarez Vivar, Wilco Verbeeten </v>
      </c>
      <c r="R20" s="948"/>
      <c r="S20" s="948"/>
      <c r="T20" s="948"/>
      <c r="U20" s="948"/>
      <c r="V20" s="948"/>
      <c r="W20" s="948"/>
      <c r="X20" s="948"/>
      <c r="Y20" s="948"/>
      <c r="Z20" s="948"/>
      <c r="AA20" s="948"/>
      <c r="AB20" s="948"/>
      <c r="AC20" s="948"/>
      <c r="AD20" s="948"/>
      <c r="AE20" s="948"/>
    </row>
    <row r="21" spans="1:31" ht="13.8" x14ac:dyDescent="0.25">
      <c r="A21" s="1245" t="str">
        <f>VLOOKUP(M21,ASIGNATURAS!$F$1:$L$1022, 3, FALSE)</f>
        <v>GESTIÓN</v>
      </c>
      <c r="B21" s="1245"/>
      <c r="C21" s="982" t="str">
        <f>VLOOKUP(M21,ASIGNATURAS!$F$1:$L$1022, 4, FALSE)</f>
        <v>Gestión de Empresas</v>
      </c>
      <c r="D21" s="983"/>
      <c r="E21" s="983"/>
      <c r="F21" s="983"/>
      <c r="G21" s="983"/>
      <c r="H21" s="983"/>
      <c r="I21" s="983"/>
      <c r="J21" s="983"/>
      <c r="K21" s="983"/>
      <c r="L21" s="983"/>
      <c r="M21" s="981">
        <v>7037</v>
      </c>
      <c r="N21" s="972"/>
      <c r="O21" s="981">
        <f>VLOOKUP(M21,ASIGNATURAS!$F$1:$L$1022, 5, FALSE)</f>
        <v>6</v>
      </c>
      <c r="P21" s="972"/>
      <c r="Q21" s="947" t="str">
        <f>VLOOKUP(M21,ASIGNATURAS!$F$1:$L$1022, 6, FALSE)</f>
        <v>Juan José Lavios Villahoz</v>
      </c>
      <c r="R21" s="948"/>
      <c r="S21" s="948"/>
      <c r="T21" s="948"/>
      <c r="U21" s="948"/>
      <c r="V21" s="948"/>
      <c r="W21" s="948"/>
      <c r="X21" s="948"/>
      <c r="Y21" s="948"/>
      <c r="Z21" s="948"/>
      <c r="AA21" s="948"/>
      <c r="AB21" s="948"/>
      <c r="AC21" s="948"/>
      <c r="AD21" s="948"/>
      <c r="AE21" s="948"/>
    </row>
    <row r="22" spans="1:31" ht="13.8" x14ac:dyDescent="0.25">
      <c r="A22" s="1245" t="str">
        <f>VLOOKUP(M22,ASIGNATURAS!$F$1:$L$1022, 3, FALSE)</f>
        <v>FABRIC. Y MAQ.</v>
      </c>
      <c r="B22" s="1245"/>
      <c r="C22" s="982" t="str">
        <f>VLOOKUP(M22,ASIGNATURAS!$F$1:$L$1022, 4, FALSE)</f>
        <v>Fabricación y Máquinas</v>
      </c>
      <c r="D22" s="983"/>
      <c r="E22" s="983"/>
      <c r="F22" s="983"/>
      <c r="G22" s="983"/>
      <c r="H22" s="983"/>
      <c r="I22" s="983"/>
      <c r="J22" s="983"/>
      <c r="K22" s="983"/>
      <c r="L22" s="983"/>
      <c r="M22" s="981">
        <v>7038</v>
      </c>
      <c r="N22" s="972"/>
      <c r="O22" s="981">
        <f>VLOOKUP(M22,ASIGNATURAS!$F$1:$L$1022, 5, FALSE)</f>
        <v>6</v>
      </c>
      <c r="P22" s="972"/>
      <c r="Q22" s="982" t="str">
        <f>VLOOKUP(M22,ASIGNATURAS!$F$1:$L$1022, 6, FALSE)</f>
        <v>Francisco Javier Gómez Gil</v>
      </c>
      <c r="R22" s="983"/>
      <c r="S22" s="983"/>
      <c r="T22" s="983"/>
      <c r="U22" s="983"/>
      <c r="V22" s="983"/>
      <c r="W22" s="983"/>
      <c r="X22" s="983"/>
      <c r="Y22" s="983"/>
      <c r="Z22" s="983"/>
      <c r="AA22" s="983"/>
      <c r="AB22" s="983"/>
      <c r="AC22" s="983"/>
      <c r="AD22" s="983"/>
      <c r="AE22" s="983"/>
    </row>
    <row r="23" spans="1:31" ht="13.8" x14ac:dyDescent="0.25">
      <c r="A23" s="1245" t="str">
        <f>VLOOKUP(M23,ASIGNATURAS!$F$1:$L$1022, 3, FALSE)</f>
        <v>SIST. ELÉCTRIC.</v>
      </c>
      <c r="B23" s="1245"/>
      <c r="C23" s="982" t="str">
        <f>VLOOKUP(M23,ASIGNATURAS!$F$1:$L$1022, 4, FALSE)</f>
        <v>Sistemas Eléctricos de Potencia</v>
      </c>
      <c r="D23" s="983"/>
      <c r="E23" s="983"/>
      <c r="F23" s="983"/>
      <c r="G23" s="983"/>
      <c r="H23" s="983"/>
      <c r="I23" s="983"/>
      <c r="J23" s="983"/>
      <c r="K23" s="983"/>
      <c r="L23" s="983"/>
      <c r="M23" s="981">
        <v>7039</v>
      </c>
      <c r="N23" s="972"/>
      <c r="O23" s="981">
        <f>VLOOKUP(M23,ASIGNATURAS!$F$1:$L$1022, 5, FALSE)</f>
        <v>6</v>
      </c>
      <c r="P23" s="972"/>
      <c r="Q23" s="982" t="str">
        <f>VLOOKUP(M23,ASIGNATURAS!$F$1:$L$1022, 6, FALSE)</f>
        <v>Jesús Sagredo González</v>
      </c>
      <c r="R23" s="983"/>
      <c r="S23" s="983"/>
      <c r="T23" s="983"/>
      <c r="U23" s="983"/>
      <c r="V23" s="983"/>
      <c r="W23" s="983"/>
      <c r="X23" s="983"/>
      <c r="Y23" s="983"/>
      <c r="Z23" s="983"/>
      <c r="AA23" s="983"/>
      <c r="AB23" s="983"/>
      <c r="AC23" s="983"/>
      <c r="AD23" s="983"/>
      <c r="AE23" s="983"/>
    </row>
    <row r="24" spans="1:31" ht="13.8" x14ac:dyDescent="0.25">
      <c r="A24" s="1245" t="str">
        <f>VLOOKUP(M24,ASIGNATURAS!$F$1:$L$1022, 3, FALSE)</f>
        <v>DERECHO</v>
      </c>
      <c r="B24" s="1245"/>
      <c r="C24" s="982" t="str">
        <f>VLOOKUP(M24,ASIGNATURAS!$F$1:$L$1022, 4, FALSE)</f>
        <v>Derecho Mercantil y Laboral</v>
      </c>
      <c r="D24" s="983"/>
      <c r="E24" s="983"/>
      <c r="F24" s="983"/>
      <c r="G24" s="983"/>
      <c r="H24" s="983"/>
      <c r="I24" s="983"/>
      <c r="J24" s="983"/>
      <c r="K24" s="983"/>
      <c r="L24" s="983"/>
      <c r="M24" s="981">
        <v>7040</v>
      </c>
      <c r="N24" s="972"/>
      <c r="O24" s="981">
        <f>VLOOKUP(M24,ASIGNATURAS!$F$1:$L$1022, 5, FALSE)</f>
        <v>3</v>
      </c>
      <c r="P24" s="972"/>
      <c r="Q24" s="982" t="str">
        <f>VLOOKUP(M24,ASIGNATURAS!$F$1:$L$1022, 6, FALSE)</f>
        <v>Juan Cruz Monje Santillana</v>
      </c>
      <c r="R24" s="983"/>
      <c r="S24" s="983"/>
      <c r="T24" s="983"/>
      <c r="U24" s="983"/>
      <c r="V24" s="983"/>
      <c r="W24" s="983"/>
      <c r="X24" s="983"/>
      <c r="Y24" s="983"/>
      <c r="Z24" s="983"/>
      <c r="AA24" s="983"/>
      <c r="AB24" s="983"/>
      <c r="AC24" s="983"/>
      <c r="AD24" s="983"/>
      <c r="AE24" s="983"/>
    </row>
    <row r="25" spans="1:31" ht="13.8" x14ac:dyDescent="0.25">
      <c r="A25" s="1245" t="str">
        <f>VLOOKUP(M25,ASIGNATURAS!$F$1:$L$1022, 3, FALSE)</f>
        <v>QUÍMICA IND.</v>
      </c>
      <c r="B25" s="1245"/>
      <c r="C25" s="982" t="str">
        <f>VLOOKUP(M25,ASIGNATURAS!$F$1:$L$1022, 4, FALSE)</f>
        <v>Química Industrial</v>
      </c>
      <c r="D25" s="983"/>
      <c r="E25" s="983"/>
      <c r="F25" s="983"/>
      <c r="G25" s="983"/>
      <c r="H25" s="983"/>
      <c r="I25" s="983"/>
      <c r="J25" s="983"/>
      <c r="K25" s="983"/>
      <c r="L25" s="983"/>
      <c r="M25" s="981">
        <v>7041</v>
      </c>
      <c r="N25" s="972"/>
      <c r="O25" s="981">
        <f>VLOOKUP(M25,ASIGNATURAS!$F$1:$L$1022, 5, FALSE)</f>
        <v>3</v>
      </c>
      <c r="P25" s="972"/>
      <c r="Q25" s="982" t="str">
        <f>VLOOKUP(M25,ASIGNATURAS!$F$1:$L$1022, 6, FALSE)</f>
        <v>Fco. Javier Rodríguez Vidal, Luis Marcos Naveira</v>
      </c>
      <c r="R25" s="983"/>
      <c r="S25" s="983"/>
      <c r="T25" s="983"/>
      <c r="U25" s="983"/>
      <c r="V25" s="983"/>
      <c r="W25" s="983"/>
      <c r="X25" s="983"/>
      <c r="Y25" s="983"/>
      <c r="Z25" s="983"/>
      <c r="AA25" s="983"/>
      <c r="AB25" s="983"/>
      <c r="AC25" s="983"/>
      <c r="AD25" s="983"/>
      <c r="AE25" s="983"/>
    </row>
    <row r="26" spans="1:31" ht="13.5" customHeight="1" x14ac:dyDescent="0.25"/>
    <row r="27" spans="1:31" ht="13.5" customHeight="1" x14ac:dyDescent="0.25"/>
    <row r="28" spans="1:31" ht="24" customHeight="1" x14ac:dyDescent="0.25">
      <c r="A28" s="1101" t="s">
        <v>1044</v>
      </c>
      <c r="B28" s="1101"/>
      <c r="C28" s="1101"/>
      <c r="D28" s="1101"/>
      <c r="E28" s="1101"/>
    </row>
    <row r="29" spans="1:31" ht="24" customHeight="1" x14ac:dyDescent="0.25">
      <c r="A29" s="2148" t="s">
        <v>1045</v>
      </c>
      <c r="B29" s="2148"/>
      <c r="C29" s="2148"/>
      <c r="D29" s="2148"/>
      <c r="E29" s="2148"/>
    </row>
    <row r="31" spans="1:31" x14ac:dyDescent="0.25">
      <c r="A31" s="20" t="s">
        <v>217</v>
      </c>
    </row>
    <row r="32" spans="1:31" x14ac:dyDescent="0.25">
      <c r="A32" s="25"/>
    </row>
    <row r="33" spans="1:34" s="1" customFormat="1" ht="31.5" customHeight="1" x14ac:dyDescent="0.4">
      <c r="A33" s="2855" t="str">
        <f>VLOOKUP(A36,ASIGNATURAS!$A$2:$D$138, 3, FALSE)</f>
        <v>1º Máster en Ingeniería Industrial</v>
      </c>
      <c r="B33" s="2856"/>
      <c r="C33" s="2856"/>
      <c r="D33" s="2856"/>
      <c r="E33" s="2856"/>
      <c r="F33" s="2856"/>
      <c r="G33" s="2856"/>
      <c r="H33" s="2856"/>
      <c r="I33" s="2856"/>
      <c r="J33" s="2856"/>
      <c r="K33" s="2856"/>
      <c r="L33" s="2856"/>
      <c r="M33" s="2856"/>
      <c r="N33" s="2856"/>
      <c r="O33" s="2856"/>
      <c r="P33" s="2856"/>
      <c r="Q33" s="2856"/>
      <c r="R33" s="2856"/>
      <c r="S33" s="2856"/>
      <c r="T33" s="2856"/>
      <c r="U33" s="2856"/>
      <c r="V33" s="2856"/>
      <c r="W33" s="2856"/>
      <c r="X33" s="2856"/>
      <c r="Y33" s="2857"/>
      <c r="Z33" s="988" t="str">
        <f>Z1</f>
        <v>Curso 2024-2025</v>
      </c>
      <c r="AA33" s="988"/>
      <c r="AB33" s="988"/>
      <c r="AC33" s="988"/>
      <c r="AD33" s="988"/>
      <c r="AE33" s="989"/>
    </row>
    <row r="34" spans="1:34" s="8" customFormat="1" ht="23.25" customHeight="1" x14ac:dyDescent="0.4">
      <c r="A34" s="963" t="str">
        <f>VLOOKUP(A36,ASIGNATURAS!$A$2:$D$138, 2, FALSE)</f>
        <v>Semestre temporal: 2º        (2º Semestre Académico)</v>
      </c>
      <c r="B34" s="964"/>
      <c r="C34" s="964"/>
      <c r="D34" s="964"/>
      <c r="E34" s="964"/>
      <c r="F34" s="964"/>
      <c r="G34" s="964"/>
      <c r="H34" s="964"/>
      <c r="I34" s="964"/>
      <c r="J34" s="964"/>
      <c r="K34" s="964"/>
      <c r="L34" s="964"/>
      <c r="M34" s="964"/>
      <c r="N34" s="964"/>
      <c r="O34" s="964"/>
      <c r="P34" s="964"/>
      <c r="Q34" s="964"/>
      <c r="R34" s="964"/>
      <c r="S34" s="964"/>
      <c r="T34" s="964"/>
      <c r="U34" s="964"/>
      <c r="V34" s="964"/>
      <c r="W34" s="964"/>
      <c r="X34" s="964"/>
      <c r="Y34" s="965"/>
      <c r="Z34" s="984" t="s">
        <v>155</v>
      </c>
      <c r="AA34" s="984"/>
      <c r="AB34" s="984"/>
      <c r="AC34" s="984"/>
      <c r="AD34" s="984"/>
      <c r="AE34" s="985"/>
    </row>
    <row r="35" spans="1:34" s="8" customFormat="1" ht="23.25" customHeight="1" x14ac:dyDescent="0.4">
      <c r="A35" s="963" t="s">
        <v>181</v>
      </c>
      <c r="B35" s="964"/>
      <c r="C35" s="964"/>
      <c r="D35" s="964"/>
      <c r="E35" s="964"/>
      <c r="F35" s="964"/>
      <c r="G35" s="964"/>
      <c r="H35" s="964"/>
      <c r="I35" s="964"/>
      <c r="J35" s="964"/>
      <c r="K35" s="964"/>
      <c r="L35" s="964"/>
      <c r="M35" s="964"/>
      <c r="N35" s="964"/>
      <c r="O35" s="964"/>
      <c r="P35" s="964"/>
      <c r="Q35" s="964"/>
      <c r="R35" s="964"/>
      <c r="S35" s="964"/>
      <c r="T35" s="964"/>
      <c r="U35" s="964"/>
      <c r="V35" s="964"/>
      <c r="W35" s="964"/>
      <c r="X35" s="964"/>
      <c r="Y35" s="965"/>
      <c r="Z35" s="986"/>
      <c r="AA35" s="986"/>
      <c r="AB35" s="986"/>
      <c r="AC35" s="986"/>
      <c r="AD35" s="986"/>
      <c r="AE35" s="987"/>
    </row>
    <row r="36" spans="1:34" ht="38.25" customHeight="1" x14ac:dyDescent="0.25">
      <c r="A36" s="23" t="s">
        <v>122</v>
      </c>
    </row>
    <row r="37" spans="1:34" s="2" customFormat="1" ht="24" customHeight="1" x14ac:dyDescent="0.25">
      <c r="A37" s="167" t="s">
        <v>1</v>
      </c>
      <c r="B37" s="988" t="s">
        <v>2</v>
      </c>
      <c r="C37" s="988"/>
      <c r="D37" s="988"/>
      <c r="E37" s="988"/>
      <c r="F37" s="988"/>
      <c r="G37" s="989"/>
      <c r="H37" s="988" t="s">
        <v>3</v>
      </c>
      <c r="I37" s="988"/>
      <c r="J37" s="988"/>
      <c r="K37" s="988"/>
      <c r="L37" s="988"/>
      <c r="M37" s="989"/>
      <c r="N37" s="988" t="s">
        <v>139</v>
      </c>
      <c r="O37" s="988"/>
      <c r="P37" s="988"/>
      <c r="Q37" s="988"/>
      <c r="R37" s="988"/>
      <c r="S37" s="989"/>
      <c r="T37" s="988" t="s">
        <v>4</v>
      </c>
      <c r="U37" s="988"/>
      <c r="V37" s="988"/>
      <c r="W37" s="988"/>
      <c r="X37" s="988"/>
      <c r="Y37" s="989"/>
      <c r="Z37" s="988" t="s">
        <v>5</v>
      </c>
      <c r="AA37" s="988"/>
      <c r="AB37" s="988"/>
      <c r="AC37" s="988"/>
      <c r="AD37" s="988"/>
      <c r="AE37" s="989"/>
    </row>
    <row r="38" spans="1:34" ht="30" customHeight="1" x14ac:dyDescent="0.3">
      <c r="A38" s="1292" t="s">
        <v>1131</v>
      </c>
      <c r="B38" s="2744"/>
      <c r="C38" s="2744"/>
      <c r="D38" s="2744"/>
      <c r="E38" s="2744"/>
      <c r="F38" s="2744"/>
      <c r="G38" s="2862"/>
      <c r="H38" s="2744"/>
      <c r="I38" s="2744"/>
      <c r="J38" s="2744"/>
      <c r="K38" s="2744"/>
      <c r="L38" s="2744"/>
      <c r="M38" s="2862"/>
      <c r="N38" s="2744"/>
      <c r="O38" s="2744"/>
      <c r="P38" s="2744"/>
      <c r="Q38" s="2744"/>
      <c r="R38" s="2744"/>
      <c r="S38" s="2862"/>
      <c r="T38" s="2864"/>
      <c r="U38" s="2744"/>
      <c r="V38" s="2744"/>
      <c r="W38" s="2744"/>
      <c r="X38" s="2744"/>
      <c r="Y38" s="2862"/>
      <c r="Z38" s="2744"/>
      <c r="AA38" s="2744"/>
      <c r="AB38" s="2744"/>
      <c r="AC38" s="2744"/>
      <c r="AD38" s="2744"/>
      <c r="AE38" s="2862"/>
    </row>
    <row r="39" spans="1:34" ht="30" customHeight="1" x14ac:dyDescent="0.25">
      <c r="A39" s="935"/>
      <c r="B39" s="1032"/>
      <c r="C39" s="1032"/>
      <c r="D39" s="1032"/>
      <c r="E39" s="1032"/>
      <c r="F39" s="1032"/>
      <c r="G39" s="1033"/>
      <c r="H39" s="1032"/>
      <c r="I39" s="1032"/>
      <c r="J39" s="1032"/>
      <c r="K39" s="1032"/>
      <c r="L39" s="1032"/>
      <c r="M39" s="1033"/>
      <c r="N39" s="1032"/>
      <c r="O39" s="1032"/>
      <c r="P39" s="1032"/>
      <c r="Q39" s="1032"/>
      <c r="R39" s="1032"/>
      <c r="S39" s="1033"/>
      <c r="T39" s="1032"/>
      <c r="U39" s="1032"/>
      <c r="V39" s="1032"/>
      <c r="W39" s="1032"/>
      <c r="X39" s="1032"/>
      <c r="Y39" s="1033"/>
      <c r="Z39" s="1032"/>
      <c r="AA39" s="1032"/>
      <c r="AB39" s="1032"/>
      <c r="AC39" s="1032"/>
      <c r="AD39" s="1032"/>
      <c r="AE39" s="1033"/>
    </row>
    <row r="40" spans="1:34" ht="30" customHeight="1" x14ac:dyDescent="0.3">
      <c r="A40" s="934" t="s">
        <v>187</v>
      </c>
      <c r="B40" s="2863"/>
      <c r="C40" s="2120"/>
      <c r="D40" s="2120"/>
      <c r="E40" s="2120"/>
      <c r="F40" s="2120"/>
      <c r="G40" s="2305"/>
      <c r="H40" s="2863"/>
      <c r="I40" s="2120"/>
      <c r="J40" s="2120"/>
      <c r="K40" s="2120"/>
      <c r="L40" s="2120"/>
      <c r="M40" s="2305"/>
      <c r="N40" s="2863"/>
      <c r="O40" s="2120"/>
      <c r="P40" s="2120"/>
      <c r="Q40" s="2120"/>
      <c r="R40" s="2120"/>
      <c r="S40" s="2305"/>
      <c r="T40" s="2863"/>
      <c r="U40" s="2120"/>
      <c r="V40" s="2120"/>
      <c r="W40" s="2120"/>
      <c r="X40" s="2120"/>
      <c r="Y40" s="2305"/>
      <c r="Z40" s="2744"/>
      <c r="AA40" s="2744"/>
      <c r="AB40" s="2744"/>
      <c r="AC40" s="2744"/>
      <c r="AD40" s="2744"/>
      <c r="AE40" s="2862"/>
    </row>
    <row r="41" spans="1:34" ht="30" customHeight="1" x14ac:dyDescent="0.25">
      <c r="A41" s="935"/>
      <c r="B41" s="1031"/>
      <c r="C41" s="1032"/>
      <c r="D41" s="1032"/>
      <c r="E41" s="1032"/>
      <c r="F41" s="1032"/>
      <c r="G41" s="1033"/>
      <c r="H41" s="1031"/>
      <c r="I41" s="1032"/>
      <c r="J41" s="1032"/>
      <c r="K41" s="1032"/>
      <c r="L41" s="1032"/>
      <c r="M41" s="1033"/>
      <c r="N41" s="1031"/>
      <c r="O41" s="1032"/>
      <c r="P41" s="1032"/>
      <c r="Q41" s="1032"/>
      <c r="R41" s="1032"/>
      <c r="S41" s="1033"/>
      <c r="T41" s="1031"/>
      <c r="U41" s="1032"/>
      <c r="V41" s="1032"/>
      <c r="W41" s="1032"/>
      <c r="X41" s="1032"/>
      <c r="Y41" s="1033"/>
      <c r="Z41" s="1031"/>
      <c r="AA41" s="1032"/>
      <c r="AB41" s="1032"/>
      <c r="AC41" s="1032"/>
      <c r="AD41" s="1032"/>
      <c r="AE41" s="1033"/>
    </row>
    <row r="42" spans="1:34" ht="30" customHeight="1" x14ac:dyDescent="0.3">
      <c r="A42" s="1143" t="s">
        <v>186</v>
      </c>
      <c r="B42" s="939" t="s">
        <v>128</v>
      </c>
      <c r="C42" s="939"/>
      <c r="D42" s="939"/>
      <c r="E42" s="939"/>
      <c r="F42" s="939"/>
      <c r="G42" s="949"/>
      <c r="H42" s="939" t="s">
        <v>125</v>
      </c>
      <c r="I42" s="939"/>
      <c r="J42" s="939"/>
      <c r="K42" s="939"/>
      <c r="L42" s="939"/>
      <c r="M42" s="949"/>
      <c r="N42" s="939" t="s">
        <v>129</v>
      </c>
      <c r="O42" s="939"/>
      <c r="P42" s="939"/>
      <c r="Q42" s="939"/>
      <c r="R42" s="939"/>
      <c r="S42" s="949"/>
      <c r="T42" s="2887" t="s">
        <v>129</v>
      </c>
      <c r="U42" s="954"/>
      <c r="V42" s="954"/>
      <c r="W42" s="954"/>
      <c r="X42" s="954"/>
      <c r="Y42" s="955"/>
      <c r="Z42" s="939" t="s">
        <v>951</v>
      </c>
      <c r="AA42" s="939"/>
      <c r="AB42" s="939"/>
      <c r="AC42" s="939"/>
      <c r="AD42" s="939"/>
      <c r="AE42" s="949"/>
      <c r="AH42" s="20"/>
    </row>
    <row r="43" spans="1:34" ht="30" customHeight="1" x14ac:dyDescent="0.25">
      <c r="A43" s="1143"/>
      <c r="B43" s="944" t="s">
        <v>155</v>
      </c>
      <c r="C43" s="944"/>
      <c r="D43" s="944"/>
      <c r="E43" s="944"/>
      <c r="F43" s="944"/>
      <c r="G43" s="945"/>
      <c r="H43" s="944" t="s">
        <v>155</v>
      </c>
      <c r="I43" s="944"/>
      <c r="J43" s="944"/>
      <c r="K43" s="944"/>
      <c r="L43" s="944"/>
      <c r="M43" s="945"/>
      <c r="N43" s="944" t="s">
        <v>1124</v>
      </c>
      <c r="O43" s="944"/>
      <c r="P43" s="944"/>
      <c r="Q43" s="944"/>
      <c r="R43" s="944"/>
      <c r="S43" s="945"/>
      <c r="T43" s="936" t="s">
        <v>146</v>
      </c>
      <c r="U43" s="937"/>
      <c r="V43" s="937"/>
      <c r="W43" s="937"/>
      <c r="X43" s="937"/>
      <c r="Y43" s="938"/>
      <c r="Z43" s="944" t="s">
        <v>155</v>
      </c>
      <c r="AA43" s="944"/>
      <c r="AB43" s="944"/>
      <c r="AC43" s="944"/>
      <c r="AD43" s="944"/>
      <c r="AE43" s="945"/>
    </row>
    <row r="44" spans="1:34" ht="30" customHeight="1" x14ac:dyDescent="0.3">
      <c r="A44" s="935" t="s">
        <v>188</v>
      </c>
      <c r="B44" s="942" t="s">
        <v>128</v>
      </c>
      <c r="C44" s="940"/>
      <c r="D44" s="940"/>
      <c r="E44" s="940"/>
      <c r="F44" s="940"/>
      <c r="G44" s="941"/>
      <c r="H44" s="942" t="s">
        <v>125</v>
      </c>
      <c r="I44" s="940"/>
      <c r="J44" s="940"/>
      <c r="K44" s="940"/>
      <c r="L44" s="940"/>
      <c r="M44" s="941"/>
      <c r="N44" s="942" t="s">
        <v>129</v>
      </c>
      <c r="O44" s="940"/>
      <c r="P44" s="940"/>
      <c r="Q44" s="940"/>
      <c r="R44" s="940"/>
      <c r="S44" s="941"/>
      <c r="T44" s="1015" t="s">
        <v>129</v>
      </c>
      <c r="U44" s="956"/>
      <c r="V44" s="956"/>
      <c r="W44" s="956"/>
      <c r="X44" s="956"/>
      <c r="Y44" s="957"/>
      <c r="Z44" s="939" t="s">
        <v>951</v>
      </c>
      <c r="AA44" s="939"/>
      <c r="AB44" s="939"/>
      <c r="AC44" s="939"/>
      <c r="AD44" s="939"/>
      <c r="AE44" s="949"/>
    </row>
    <row r="45" spans="1:34" ht="30" customHeight="1" x14ac:dyDescent="0.25">
      <c r="A45" s="1143"/>
      <c r="B45" s="946" t="s">
        <v>155</v>
      </c>
      <c r="C45" s="944"/>
      <c r="D45" s="944"/>
      <c r="E45" s="944"/>
      <c r="F45" s="944"/>
      <c r="G45" s="945"/>
      <c r="H45" s="946" t="s">
        <v>155</v>
      </c>
      <c r="I45" s="944"/>
      <c r="J45" s="944"/>
      <c r="K45" s="944"/>
      <c r="L45" s="944"/>
      <c r="M45" s="945"/>
      <c r="N45" s="946" t="s">
        <v>1124</v>
      </c>
      <c r="O45" s="944"/>
      <c r="P45" s="944"/>
      <c r="Q45" s="944"/>
      <c r="R45" s="944"/>
      <c r="S45" s="945"/>
      <c r="T45" s="936" t="s">
        <v>146</v>
      </c>
      <c r="U45" s="937"/>
      <c r="V45" s="937"/>
      <c r="W45" s="937"/>
      <c r="X45" s="937"/>
      <c r="Y45" s="938"/>
      <c r="Z45" s="946" t="s">
        <v>155</v>
      </c>
      <c r="AA45" s="944"/>
      <c r="AB45" s="944"/>
      <c r="AC45" s="944"/>
      <c r="AD45" s="944"/>
      <c r="AE45" s="945"/>
    </row>
    <row r="46" spans="1:34" ht="30" customHeight="1" x14ac:dyDescent="0.3">
      <c r="A46" s="935" t="s">
        <v>189</v>
      </c>
      <c r="B46" s="1015" t="s">
        <v>125</v>
      </c>
      <c r="C46" s="956"/>
      <c r="D46" s="956"/>
      <c r="E46" s="956"/>
      <c r="F46" s="956"/>
      <c r="G46" s="957"/>
      <c r="H46" s="1015" t="s">
        <v>128</v>
      </c>
      <c r="I46" s="956"/>
      <c r="J46" s="956"/>
      <c r="K46" s="956"/>
      <c r="L46" s="956"/>
      <c r="M46" s="957"/>
      <c r="N46" s="954" t="s">
        <v>951</v>
      </c>
      <c r="O46" s="954"/>
      <c r="P46" s="954"/>
      <c r="Q46" s="954"/>
      <c r="R46" s="954"/>
      <c r="S46" s="955"/>
      <c r="T46" s="942" t="s">
        <v>126</v>
      </c>
      <c r="U46" s="940"/>
      <c r="V46" s="940"/>
      <c r="W46" s="940"/>
      <c r="X46" s="940"/>
      <c r="Y46" s="941"/>
      <c r="Z46" s="1015" t="s">
        <v>126</v>
      </c>
      <c r="AA46" s="956"/>
      <c r="AB46" s="956"/>
      <c r="AC46" s="956"/>
      <c r="AD46" s="956"/>
      <c r="AE46" s="957"/>
    </row>
    <row r="47" spans="1:34" ht="30" customHeight="1" x14ac:dyDescent="0.25">
      <c r="A47" s="1143"/>
      <c r="B47" s="936" t="s">
        <v>1274</v>
      </c>
      <c r="C47" s="937"/>
      <c r="D47" s="937"/>
      <c r="E47" s="937"/>
      <c r="F47" s="937"/>
      <c r="G47" s="938"/>
      <c r="H47" s="936" t="s">
        <v>155</v>
      </c>
      <c r="I47" s="937"/>
      <c r="J47" s="937"/>
      <c r="K47" s="937"/>
      <c r="L47" s="937"/>
      <c r="M47" s="938"/>
      <c r="N47" s="936" t="s">
        <v>682</v>
      </c>
      <c r="O47" s="937"/>
      <c r="P47" s="937"/>
      <c r="Q47" s="937"/>
      <c r="R47" s="937"/>
      <c r="S47" s="938"/>
      <c r="T47" s="946" t="s">
        <v>577</v>
      </c>
      <c r="U47" s="944"/>
      <c r="V47" s="944"/>
      <c r="W47" s="944"/>
      <c r="X47" s="944"/>
      <c r="Y47" s="945"/>
      <c r="Z47" s="936" t="s">
        <v>577</v>
      </c>
      <c r="AA47" s="937"/>
      <c r="AB47" s="937"/>
      <c r="AC47" s="937"/>
      <c r="AD47" s="937"/>
      <c r="AE47" s="938"/>
    </row>
    <row r="48" spans="1:34" ht="30" customHeight="1" x14ac:dyDescent="0.3">
      <c r="A48" s="1143" t="s">
        <v>190</v>
      </c>
      <c r="B48" s="1015" t="s">
        <v>125</v>
      </c>
      <c r="C48" s="956"/>
      <c r="D48" s="956"/>
      <c r="E48" s="956"/>
      <c r="F48" s="956"/>
      <c r="G48" s="957"/>
      <c r="H48" s="1015" t="s">
        <v>128</v>
      </c>
      <c r="I48" s="956"/>
      <c r="J48" s="956"/>
      <c r="K48" s="956"/>
      <c r="L48" s="956"/>
      <c r="M48" s="957"/>
      <c r="N48" s="954" t="s">
        <v>951</v>
      </c>
      <c r="O48" s="954"/>
      <c r="P48" s="954"/>
      <c r="Q48" s="954"/>
      <c r="R48" s="954"/>
      <c r="S48" s="955"/>
      <c r="T48" s="942" t="s">
        <v>126</v>
      </c>
      <c r="U48" s="940"/>
      <c r="V48" s="940"/>
      <c r="W48" s="940"/>
      <c r="X48" s="940"/>
      <c r="Y48" s="941"/>
      <c r="Z48" s="1015" t="s">
        <v>126</v>
      </c>
      <c r="AA48" s="956"/>
      <c r="AB48" s="956"/>
      <c r="AC48" s="956"/>
      <c r="AD48" s="956"/>
      <c r="AE48" s="957"/>
    </row>
    <row r="49" spans="1:31" ht="30" customHeight="1" x14ac:dyDescent="0.25">
      <c r="A49" s="934"/>
      <c r="B49" s="936" t="s">
        <v>1274</v>
      </c>
      <c r="C49" s="937"/>
      <c r="D49" s="937"/>
      <c r="E49" s="937"/>
      <c r="F49" s="937"/>
      <c r="G49" s="938"/>
      <c r="H49" s="936" t="s">
        <v>155</v>
      </c>
      <c r="I49" s="937"/>
      <c r="J49" s="937"/>
      <c r="K49" s="937"/>
      <c r="L49" s="937"/>
      <c r="M49" s="938"/>
      <c r="N49" s="936" t="s">
        <v>682</v>
      </c>
      <c r="O49" s="937"/>
      <c r="P49" s="937"/>
      <c r="Q49" s="937"/>
      <c r="R49" s="937"/>
      <c r="S49" s="938"/>
      <c r="T49" s="946" t="s">
        <v>577</v>
      </c>
      <c r="U49" s="944"/>
      <c r="V49" s="944"/>
      <c r="W49" s="944"/>
      <c r="X49" s="944"/>
      <c r="Y49" s="945"/>
      <c r="Z49" s="936" t="s">
        <v>577</v>
      </c>
      <c r="AA49" s="937"/>
      <c r="AB49" s="937"/>
      <c r="AC49" s="937"/>
      <c r="AD49" s="937"/>
      <c r="AE49" s="938"/>
    </row>
    <row r="50" spans="1:31" ht="52.5" customHeight="1" x14ac:dyDescent="0.25">
      <c r="A50" s="332"/>
    </row>
    <row r="51" spans="1:31" ht="18.75" customHeight="1" x14ac:dyDescent="0.25">
      <c r="A51" s="995" t="s">
        <v>218</v>
      </c>
      <c r="B51" s="953"/>
      <c r="C51" s="952" t="s">
        <v>219</v>
      </c>
      <c r="D51" s="952"/>
      <c r="E51" s="952"/>
      <c r="F51" s="952"/>
      <c r="G51" s="952"/>
      <c r="H51" s="952"/>
      <c r="I51" s="952"/>
      <c r="J51" s="952"/>
      <c r="K51" s="952"/>
      <c r="L51" s="168"/>
      <c r="M51" s="950" t="s">
        <v>335</v>
      </c>
      <c r="N51" s="951"/>
      <c r="O51" s="952" t="s">
        <v>143</v>
      </c>
      <c r="P51" s="953"/>
      <c r="Q51" s="952" t="s">
        <v>167</v>
      </c>
      <c r="R51" s="952"/>
      <c r="S51" s="952"/>
      <c r="T51" s="952"/>
      <c r="U51" s="952"/>
      <c r="V51" s="952"/>
      <c r="W51" s="952"/>
      <c r="X51" s="952"/>
      <c r="Y51" s="952"/>
      <c r="Z51" s="952"/>
      <c r="AA51" s="952"/>
      <c r="AB51" s="952"/>
      <c r="AC51" s="952"/>
      <c r="AD51" s="952"/>
      <c r="AE51" s="953"/>
    </row>
    <row r="52" spans="1:31" ht="13.8" x14ac:dyDescent="0.25">
      <c r="A52" s="2854" t="str">
        <f>VLOOKUP(M52,ASIGNATURAS!$F$1:$L$1022, 3, FALSE)</f>
        <v>CONST. Y EDIFIC.</v>
      </c>
      <c r="B52" s="2854"/>
      <c r="C52" s="947" t="str">
        <f>VLOOKUP(M52,ASIGNATURAS!$F$1:$L$1022, 4, FALSE)</f>
        <v>Construcción y Edificación de Plantas Industriales</v>
      </c>
      <c r="D52" s="948"/>
      <c r="E52" s="948"/>
      <c r="F52" s="948"/>
      <c r="G52" s="948"/>
      <c r="H52" s="948"/>
      <c r="I52" s="948"/>
      <c r="J52" s="948"/>
      <c r="K52" s="948"/>
      <c r="L52" s="948"/>
      <c r="M52" s="1013">
        <v>7042</v>
      </c>
      <c r="N52" s="1014"/>
      <c r="O52" s="1013">
        <f>VLOOKUP(M52,ASIGNATURAS!$F$1:$L$1022, 5, FALSE)</f>
        <v>6</v>
      </c>
      <c r="P52" s="1014"/>
      <c r="Q52" s="947" t="str">
        <f>VLOOKUP(M52,ASIGNATURAS!$F$1:$L$1022, 6, FALSE)</f>
        <v>Luis Alfredo Suárez Vivar</v>
      </c>
      <c r="R52" s="948"/>
      <c r="S52" s="948"/>
      <c r="T52" s="948"/>
      <c r="U52" s="948"/>
      <c r="V52" s="948"/>
      <c r="W52" s="948"/>
      <c r="X52" s="948"/>
      <c r="Y52" s="948"/>
      <c r="Z52" s="948"/>
      <c r="AA52" s="948"/>
      <c r="AB52" s="948"/>
      <c r="AC52" s="948"/>
      <c r="AD52" s="948"/>
      <c r="AE52" s="948"/>
    </row>
    <row r="53" spans="1:31" ht="13.8" x14ac:dyDescent="0.25">
      <c r="A53" s="1245" t="str">
        <f>VLOOKUP(M53,ASIGNATURAS!$F$1:$L$1022, 3, FALSE)</f>
        <v>DIRECCIÓN PROD.</v>
      </c>
      <c r="B53" s="1245"/>
      <c r="C53" s="982" t="str">
        <f>VLOOKUP(M53,ASIGNATURAS!$F$1:$L$1022, 4, FALSE)</f>
        <v>Dirección de la Producción y Proyectos</v>
      </c>
      <c r="D53" s="983"/>
      <c r="E53" s="983"/>
      <c r="F53" s="983"/>
      <c r="G53" s="983"/>
      <c r="H53" s="983"/>
      <c r="I53" s="983"/>
      <c r="J53" s="983"/>
      <c r="K53" s="983"/>
      <c r="L53" s="983"/>
      <c r="M53" s="981">
        <v>7043</v>
      </c>
      <c r="N53" s="972"/>
      <c r="O53" s="981">
        <f>VLOOKUP(M53,ASIGNATURAS!$F$1:$L$1022, 5, FALSE)</f>
        <v>6</v>
      </c>
      <c r="P53" s="972"/>
      <c r="Q53" s="982" t="str">
        <f>VLOOKUP(M53,ASIGNATURAS!$F$1:$L$1022, 6, FALSE)</f>
        <v>Miguel Angel Mariscal, Ricardo del Olmo</v>
      </c>
      <c r="R53" s="983"/>
      <c r="S53" s="983"/>
      <c r="T53" s="983"/>
      <c r="U53" s="983"/>
      <c r="V53" s="983"/>
      <c r="W53" s="983"/>
      <c r="X53" s="983"/>
      <c r="Y53" s="983"/>
      <c r="Z53" s="983"/>
      <c r="AA53" s="983"/>
      <c r="AB53" s="983"/>
      <c r="AC53" s="983"/>
      <c r="AD53" s="983"/>
      <c r="AE53" s="983"/>
    </row>
    <row r="54" spans="1:31" ht="13.8" x14ac:dyDescent="0.25">
      <c r="A54" s="1245" t="str">
        <f>VLOOKUP(M54,ASIGNATURAS!$F$1:$L$1022, 3, FALSE)</f>
        <v>ING. ENERGÉTICA</v>
      </c>
      <c r="B54" s="1245"/>
      <c r="C54" s="982" t="str">
        <f>VLOOKUP(M54,ASIGNATURAS!$F$1:$L$1022, 4, FALSE)</f>
        <v>Ingeniería Energética</v>
      </c>
      <c r="D54" s="983"/>
      <c r="E54" s="983"/>
      <c r="F54" s="983"/>
      <c r="G54" s="983"/>
      <c r="H54" s="983"/>
      <c r="I54" s="983"/>
      <c r="J54" s="983"/>
      <c r="K54" s="983"/>
      <c r="L54" s="983"/>
      <c r="M54" s="981">
        <v>7044</v>
      </c>
      <c r="N54" s="972"/>
      <c r="O54" s="981">
        <f>VLOOKUP(M54,ASIGNATURAS!$F$1:$L$1022, 5, FALSE)</f>
        <v>6</v>
      </c>
      <c r="P54" s="972"/>
      <c r="Q54" s="982" t="str">
        <f>VLOOKUP(M54,ASIGNATURAS!$F$1:$L$1022, 6, FALSE)</f>
        <v>Fernando Aguilar Romero, Natalia Muñoz</v>
      </c>
      <c r="R54" s="983"/>
      <c r="S54" s="983"/>
      <c r="T54" s="983"/>
      <c r="U54" s="983"/>
      <c r="V54" s="983"/>
      <c r="W54" s="983"/>
      <c r="X54" s="983"/>
      <c r="Y54" s="983"/>
      <c r="Z54" s="983"/>
      <c r="AA54" s="983"/>
      <c r="AB54" s="983"/>
      <c r="AC54" s="983"/>
      <c r="AD54" s="983"/>
      <c r="AE54" s="983"/>
    </row>
    <row r="55" spans="1:31" ht="13.8" x14ac:dyDescent="0.25">
      <c r="A55" s="1245" t="str">
        <f>VLOOKUP(M55,ASIGNATURAS!$F$1:$L$1022, 3, FALSE)</f>
        <v>CONT. PROCESOS</v>
      </c>
      <c r="B55" s="1245"/>
      <c r="C55" s="982" t="str">
        <f>VLOOKUP(M55,ASIGNATURAS!$F$1:$L$1022, 4, FALSE)</f>
        <v>Control Avanzado de Procesos</v>
      </c>
      <c r="D55" s="983"/>
      <c r="E55" s="983"/>
      <c r="F55" s="983"/>
      <c r="G55" s="983"/>
      <c r="H55" s="983"/>
      <c r="I55" s="983"/>
      <c r="J55" s="983"/>
      <c r="K55" s="983"/>
      <c r="L55" s="983"/>
      <c r="M55" s="981">
        <v>7045</v>
      </c>
      <c r="N55" s="972"/>
      <c r="O55" s="981">
        <f>VLOOKUP(M55,ASIGNATURAS!$F$1:$L$1022, 5, FALSE)</f>
        <v>6</v>
      </c>
      <c r="P55" s="972"/>
      <c r="Q55" s="982" t="str">
        <f>VLOOKUP(M55,ASIGNATURAS!$F$1:$L$1022, 6, FALSE)</f>
        <v>Daniel Sarabia Ortiz</v>
      </c>
      <c r="R55" s="983"/>
      <c r="S55" s="983"/>
      <c r="T55" s="983"/>
      <c r="U55" s="983"/>
      <c r="V55" s="983"/>
      <c r="W55" s="983"/>
      <c r="X55" s="983"/>
      <c r="Y55" s="983"/>
      <c r="Z55" s="983"/>
      <c r="AA55" s="983"/>
      <c r="AB55" s="983"/>
      <c r="AC55" s="983"/>
      <c r="AD55" s="983"/>
      <c r="AE55" s="983"/>
    </row>
    <row r="56" spans="1:31" ht="13.8" x14ac:dyDescent="0.25">
      <c r="A56" s="1245" t="str">
        <f>VLOOKUP(M56,ASIGNATURAS!$F$1:$L$1022, 3, FALSE)</f>
        <v>ING. ELECTRÓN.</v>
      </c>
      <c r="B56" s="1245"/>
      <c r="C56" s="982" t="str">
        <f>VLOOKUP(M56,ASIGNATURAS!$F$1:$L$1022, 4, FALSE)</f>
        <v>Ingeniería Electrónica</v>
      </c>
      <c r="D56" s="983"/>
      <c r="E56" s="983"/>
      <c r="F56" s="983"/>
      <c r="G56" s="983"/>
      <c r="H56" s="983"/>
      <c r="I56" s="983"/>
      <c r="J56" s="983"/>
      <c r="K56" s="983"/>
      <c r="L56" s="983"/>
      <c r="M56" s="981">
        <v>7046</v>
      </c>
      <c r="N56" s="972"/>
      <c r="O56" s="981">
        <f>VLOOKUP(M56,ASIGNATURAS!$F$1:$L$1022, 5, FALSE)</f>
        <v>6</v>
      </c>
      <c r="P56" s="972"/>
      <c r="Q56" s="982" t="str">
        <f>VLOOKUP(M56,ASIGNATURAS!$F$1:$L$1022, 6, FALSE)</f>
        <v>Alberto Estébanez</v>
      </c>
      <c r="R56" s="983"/>
      <c r="S56" s="983"/>
      <c r="T56" s="983"/>
      <c r="U56" s="983"/>
      <c r="V56" s="983"/>
      <c r="W56" s="983"/>
      <c r="X56" s="983"/>
      <c r="Y56" s="983"/>
      <c r="Z56" s="983"/>
      <c r="AA56" s="983"/>
      <c r="AB56" s="983"/>
      <c r="AC56" s="983"/>
      <c r="AD56" s="983"/>
      <c r="AE56" s="983"/>
    </row>
    <row r="57" spans="1:31" ht="13.5" customHeight="1" x14ac:dyDescent="0.25"/>
    <row r="58" spans="1:31" ht="13.5" customHeight="1" x14ac:dyDescent="0.25"/>
    <row r="59" spans="1:31" ht="24" customHeight="1" x14ac:dyDescent="0.25">
      <c r="A59" s="1101" t="s">
        <v>1044</v>
      </c>
      <c r="B59" s="1101"/>
      <c r="C59" s="1101"/>
      <c r="D59" s="1101"/>
      <c r="E59" s="1101"/>
    </row>
    <row r="60" spans="1:31" ht="24" customHeight="1" x14ac:dyDescent="0.25">
      <c r="A60" s="2148" t="s">
        <v>1045</v>
      </c>
      <c r="B60" s="2148"/>
      <c r="C60" s="2148"/>
      <c r="D60" s="2148"/>
      <c r="E60" s="2148"/>
    </row>
    <row r="62" spans="1:31" x14ac:dyDescent="0.25">
      <c r="A62" s="20" t="s">
        <v>217</v>
      </c>
    </row>
    <row r="64" spans="1:31" x14ac:dyDescent="0.25">
      <c r="A64" s="25"/>
    </row>
    <row r="65" spans="1:47" s="1" customFormat="1" ht="31.5" customHeight="1" x14ac:dyDescent="0.4">
      <c r="A65" s="2855" t="str">
        <f>VLOOKUP(A68,ASIGNATURAS!$A$2:$D$151, 3, FALSE)</f>
        <v>2º Máster en Ingeniería Industrial</v>
      </c>
      <c r="B65" s="2856"/>
      <c r="C65" s="2856"/>
      <c r="D65" s="2856"/>
      <c r="E65" s="2856"/>
      <c r="F65" s="2856"/>
      <c r="G65" s="2856"/>
      <c r="H65" s="2856"/>
      <c r="I65" s="2856"/>
      <c r="J65" s="2856"/>
      <c r="K65" s="2856"/>
      <c r="L65" s="2856"/>
      <c r="M65" s="2856"/>
      <c r="N65" s="2856"/>
      <c r="O65" s="2856"/>
      <c r="P65" s="2856"/>
      <c r="Q65" s="2856"/>
      <c r="R65" s="2856"/>
      <c r="S65" s="2856"/>
      <c r="T65" s="2856"/>
      <c r="U65" s="2856"/>
      <c r="V65" s="2856"/>
      <c r="W65" s="2856"/>
      <c r="X65" s="2856"/>
      <c r="Y65" s="2857"/>
      <c r="Z65" s="988" t="str">
        <f>Z1</f>
        <v>Curso 2024-2025</v>
      </c>
      <c r="AA65" s="988"/>
      <c r="AB65" s="988"/>
      <c r="AC65" s="988"/>
      <c r="AD65" s="988"/>
      <c r="AE65" s="989"/>
    </row>
    <row r="66" spans="1:47" s="8" customFormat="1" ht="23.25" customHeight="1" x14ac:dyDescent="0.4">
      <c r="A66" s="963" t="str">
        <f>VLOOKUP(A68,ASIGNATURAS!$A$2:$D$151, 2, FALSE)</f>
        <v>Semestre temporal: 1º        (3º Semestre Académico)</v>
      </c>
      <c r="B66" s="964"/>
      <c r="C66" s="964"/>
      <c r="D66" s="964"/>
      <c r="E66" s="964"/>
      <c r="F66" s="964"/>
      <c r="G66" s="964"/>
      <c r="H66" s="964"/>
      <c r="I66" s="964"/>
      <c r="J66" s="964"/>
      <c r="K66" s="964"/>
      <c r="L66" s="964"/>
      <c r="M66" s="964"/>
      <c r="N66" s="964"/>
      <c r="O66" s="964"/>
      <c r="P66" s="964"/>
      <c r="Q66" s="964"/>
      <c r="R66" s="964"/>
      <c r="S66" s="964"/>
      <c r="T66" s="964"/>
      <c r="U66" s="964"/>
      <c r="V66" s="964"/>
      <c r="W66" s="964"/>
      <c r="X66" s="964"/>
      <c r="Y66" s="965"/>
      <c r="Z66" s="984" t="s">
        <v>159</v>
      </c>
      <c r="AA66" s="984"/>
      <c r="AB66" s="984"/>
      <c r="AC66" s="984"/>
      <c r="AD66" s="984"/>
      <c r="AE66" s="985"/>
    </row>
    <row r="67" spans="1:47" s="8" customFormat="1" ht="23.25" customHeight="1" x14ac:dyDescent="0.4">
      <c r="A67" s="963" t="s">
        <v>181</v>
      </c>
      <c r="B67" s="964"/>
      <c r="C67" s="964"/>
      <c r="D67" s="964"/>
      <c r="E67" s="964"/>
      <c r="F67" s="964"/>
      <c r="G67" s="964"/>
      <c r="H67" s="964"/>
      <c r="I67" s="964"/>
      <c r="J67" s="964"/>
      <c r="K67" s="964"/>
      <c r="L67" s="964"/>
      <c r="M67" s="964"/>
      <c r="N67" s="964"/>
      <c r="O67" s="964"/>
      <c r="P67" s="964"/>
      <c r="Q67" s="964"/>
      <c r="R67" s="964"/>
      <c r="S67" s="964"/>
      <c r="T67" s="964"/>
      <c r="U67" s="964"/>
      <c r="V67" s="964"/>
      <c r="W67" s="964"/>
      <c r="X67" s="964"/>
      <c r="Y67" s="965"/>
      <c r="Z67" s="986"/>
      <c r="AA67" s="986"/>
      <c r="AB67" s="986"/>
      <c r="AC67" s="986"/>
      <c r="AD67" s="986"/>
      <c r="AE67" s="987"/>
    </row>
    <row r="68" spans="1:47" ht="38.25" customHeight="1" x14ac:dyDescent="0.25">
      <c r="A68" s="23" t="s">
        <v>123</v>
      </c>
    </row>
    <row r="69" spans="1:47" s="2" customFormat="1" ht="24" customHeight="1" x14ac:dyDescent="0.25">
      <c r="A69" s="167" t="s">
        <v>1</v>
      </c>
      <c r="B69" s="988" t="s">
        <v>2</v>
      </c>
      <c r="C69" s="988"/>
      <c r="D69" s="988"/>
      <c r="E69" s="988"/>
      <c r="F69" s="988"/>
      <c r="G69" s="989"/>
      <c r="H69" s="988" t="s">
        <v>3</v>
      </c>
      <c r="I69" s="988"/>
      <c r="J69" s="988"/>
      <c r="K69" s="988"/>
      <c r="L69" s="988"/>
      <c r="M69" s="989"/>
      <c r="N69" s="988" t="s">
        <v>139</v>
      </c>
      <c r="O69" s="988"/>
      <c r="P69" s="988"/>
      <c r="Q69" s="988"/>
      <c r="R69" s="988"/>
      <c r="S69" s="989"/>
      <c r="T69" s="988" t="s">
        <v>4</v>
      </c>
      <c r="U69" s="988"/>
      <c r="V69" s="988"/>
      <c r="W69" s="988"/>
      <c r="X69" s="988"/>
      <c r="Y69" s="989"/>
      <c r="Z69" s="988" t="s">
        <v>5</v>
      </c>
      <c r="AA69" s="988"/>
      <c r="AB69" s="988"/>
      <c r="AC69" s="988"/>
      <c r="AD69" s="988"/>
      <c r="AE69" s="989"/>
      <c r="AK69"/>
      <c r="AL69"/>
      <c r="AM69"/>
      <c r="AN69"/>
      <c r="AO69"/>
      <c r="AP69"/>
      <c r="AQ69"/>
      <c r="AR69"/>
      <c r="AS69"/>
      <c r="AT69"/>
      <c r="AU69"/>
    </row>
    <row r="70" spans="1:47" ht="30" customHeight="1" x14ac:dyDescent="0.3">
      <c r="A70" s="1292" t="s">
        <v>1131</v>
      </c>
      <c r="B70" s="2831" t="s">
        <v>932</v>
      </c>
      <c r="C70" s="2831"/>
      <c r="D70" s="2831"/>
      <c r="E70" s="2831"/>
      <c r="F70" s="2831"/>
      <c r="G70" s="2832"/>
      <c r="H70" s="939" t="s">
        <v>948</v>
      </c>
      <c r="I70" s="939"/>
      <c r="J70" s="939"/>
      <c r="K70" s="939"/>
      <c r="L70" s="939"/>
      <c r="M70" s="949"/>
      <c r="N70" s="2831" t="s">
        <v>932</v>
      </c>
      <c r="O70" s="2831"/>
      <c r="P70" s="2831"/>
      <c r="Q70" s="2831"/>
      <c r="R70" s="2831"/>
      <c r="S70" s="2832"/>
      <c r="T70" s="939" t="s">
        <v>235</v>
      </c>
      <c r="U70" s="939"/>
      <c r="V70" s="939"/>
      <c r="W70" s="939"/>
      <c r="X70" s="939"/>
      <c r="Y70" s="949"/>
      <c r="Z70" s="939" t="s">
        <v>235</v>
      </c>
      <c r="AA70" s="939"/>
      <c r="AB70" s="939"/>
      <c r="AC70" s="939"/>
      <c r="AD70" s="939"/>
      <c r="AE70" s="949"/>
    </row>
    <row r="71" spans="1:47" ht="30" customHeight="1" x14ac:dyDescent="0.25">
      <c r="A71" s="935"/>
      <c r="B71" s="2836"/>
      <c r="C71" s="2836"/>
      <c r="D71" s="2836"/>
      <c r="E71" s="2836"/>
      <c r="F71" s="2836"/>
      <c r="G71" s="2837"/>
      <c r="H71" s="946"/>
      <c r="I71" s="944"/>
      <c r="J71" s="944"/>
      <c r="K71" s="944"/>
      <c r="L71" s="944"/>
      <c r="M71" s="945"/>
      <c r="N71" s="2836"/>
      <c r="O71" s="2836"/>
      <c r="P71" s="2836"/>
      <c r="Q71" s="2836"/>
      <c r="R71" s="2836"/>
      <c r="S71" s="2837"/>
      <c r="T71" s="946"/>
      <c r="U71" s="944"/>
      <c r="V71" s="944"/>
      <c r="W71" s="944"/>
      <c r="X71" s="944"/>
      <c r="Y71" s="945"/>
      <c r="Z71" s="946"/>
      <c r="AA71" s="944"/>
      <c r="AB71" s="944"/>
      <c r="AC71" s="944"/>
      <c r="AD71" s="944"/>
      <c r="AE71" s="945"/>
    </row>
    <row r="72" spans="1:47" ht="30" customHeight="1" x14ac:dyDescent="0.3">
      <c r="A72" s="934" t="s">
        <v>187</v>
      </c>
      <c r="B72" s="2852" t="s">
        <v>932</v>
      </c>
      <c r="C72" s="2833"/>
      <c r="D72" s="2833"/>
      <c r="E72" s="2833"/>
      <c r="F72" s="2833"/>
      <c r="G72" s="2834"/>
      <c r="H72" s="939" t="s">
        <v>948</v>
      </c>
      <c r="I72" s="939"/>
      <c r="J72" s="939"/>
      <c r="K72" s="939"/>
      <c r="L72" s="939"/>
      <c r="M72" s="949"/>
      <c r="N72" s="2831" t="s">
        <v>932</v>
      </c>
      <c r="O72" s="2831"/>
      <c r="P72" s="2831"/>
      <c r="Q72" s="2831"/>
      <c r="R72" s="2831"/>
      <c r="S72" s="2832"/>
      <c r="T72" s="939" t="s">
        <v>235</v>
      </c>
      <c r="U72" s="939"/>
      <c r="V72" s="939"/>
      <c r="W72" s="939"/>
      <c r="X72" s="939"/>
      <c r="Y72" s="949"/>
      <c r="Z72" s="939" t="s">
        <v>235</v>
      </c>
      <c r="AA72" s="939"/>
      <c r="AB72" s="939"/>
      <c r="AC72" s="939"/>
      <c r="AD72" s="939"/>
      <c r="AE72" s="949"/>
    </row>
    <row r="73" spans="1:47" ht="30" customHeight="1" x14ac:dyDescent="0.25">
      <c r="A73" s="935"/>
      <c r="B73" s="2836"/>
      <c r="C73" s="2836"/>
      <c r="D73" s="2836"/>
      <c r="E73" s="2836"/>
      <c r="F73" s="2836"/>
      <c r="G73" s="2837"/>
      <c r="H73" s="946"/>
      <c r="I73" s="944"/>
      <c r="J73" s="944"/>
      <c r="K73" s="944"/>
      <c r="L73" s="944"/>
      <c r="M73" s="945"/>
      <c r="N73" s="2836"/>
      <c r="O73" s="2836"/>
      <c r="P73" s="2836"/>
      <c r="Q73" s="2836"/>
      <c r="R73" s="2836"/>
      <c r="S73" s="2837"/>
      <c r="T73" s="946"/>
      <c r="U73" s="944"/>
      <c r="V73" s="944"/>
      <c r="W73" s="944"/>
      <c r="X73" s="944"/>
      <c r="Y73" s="945"/>
      <c r="Z73" s="946"/>
      <c r="AA73" s="944"/>
      <c r="AB73" s="944"/>
      <c r="AC73" s="944"/>
      <c r="AD73" s="944"/>
      <c r="AE73" s="945"/>
    </row>
    <row r="74" spans="1:47" ht="30" customHeight="1" x14ac:dyDescent="0.3">
      <c r="A74" s="1143" t="s">
        <v>186</v>
      </c>
      <c r="B74" s="2822" t="s">
        <v>938</v>
      </c>
      <c r="C74" s="2822"/>
      <c r="D74" s="2822"/>
      <c r="E74" s="2822"/>
      <c r="F74" s="2822"/>
      <c r="G74" s="2823"/>
      <c r="H74" s="2860" t="s">
        <v>222</v>
      </c>
      <c r="I74" s="2860"/>
      <c r="J74" s="2860"/>
      <c r="K74" s="2860"/>
      <c r="L74" s="2860"/>
      <c r="M74" s="2861"/>
      <c r="N74" s="2858" t="s">
        <v>233</v>
      </c>
      <c r="O74" s="2858"/>
      <c r="P74" s="2858"/>
      <c r="Q74" s="2858"/>
      <c r="R74" s="2858"/>
      <c r="S74" s="2859"/>
      <c r="T74" s="2831" t="s">
        <v>232</v>
      </c>
      <c r="U74" s="2831"/>
      <c r="V74" s="2831"/>
      <c r="W74" s="2831"/>
      <c r="X74" s="2831"/>
      <c r="Y74" s="2832"/>
      <c r="Z74" s="942" t="s">
        <v>947</v>
      </c>
      <c r="AA74" s="940"/>
      <c r="AB74" s="940"/>
      <c r="AC74" s="940"/>
      <c r="AD74" s="940"/>
      <c r="AE74" s="941"/>
    </row>
    <row r="75" spans="1:47" ht="30" customHeight="1" x14ac:dyDescent="0.25">
      <c r="A75" s="1143"/>
      <c r="B75" s="2824" t="s">
        <v>565</v>
      </c>
      <c r="C75" s="2824"/>
      <c r="D75" s="2824"/>
      <c r="E75" s="2824"/>
      <c r="F75" s="2824"/>
      <c r="G75" s="2825"/>
      <c r="H75" s="2829" t="s">
        <v>159</v>
      </c>
      <c r="I75" s="2829"/>
      <c r="J75" s="2829"/>
      <c r="K75" s="2829"/>
      <c r="L75" s="2829"/>
      <c r="M75" s="2830"/>
      <c r="N75" s="2824" t="s">
        <v>159</v>
      </c>
      <c r="O75" s="2824"/>
      <c r="P75" s="2824"/>
      <c r="Q75" s="2824"/>
      <c r="R75" s="2824"/>
      <c r="S75" s="2825"/>
      <c r="T75" s="2836"/>
      <c r="U75" s="2836"/>
      <c r="V75" s="2836"/>
      <c r="W75" s="2836"/>
      <c r="X75" s="2836"/>
      <c r="Y75" s="2837"/>
      <c r="Z75" s="946"/>
      <c r="AA75" s="944"/>
      <c r="AB75" s="944"/>
      <c r="AC75" s="944"/>
      <c r="AD75" s="944"/>
      <c r="AE75" s="945"/>
    </row>
    <row r="76" spans="1:47" ht="30" customHeight="1" x14ac:dyDescent="0.3">
      <c r="A76" s="935" t="s">
        <v>188</v>
      </c>
      <c r="B76" s="2822" t="s">
        <v>938</v>
      </c>
      <c r="C76" s="2822"/>
      <c r="D76" s="2822"/>
      <c r="E76" s="2822"/>
      <c r="F76" s="2822"/>
      <c r="G76" s="2823"/>
      <c r="H76" s="2826" t="s">
        <v>222</v>
      </c>
      <c r="I76" s="2827"/>
      <c r="J76" s="2827"/>
      <c r="K76" s="2827"/>
      <c r="L76" s="2827"/>
      <c r="M76" s="2828"/>
      <c r="N76" s="2853" t="s">
        <v>233</v>
      </c>
      <c r="O76" s="2822"/>
      <c r="P76" s="2822"/>
      <c r="Q76" s="2822"/>
      <c r="R76" s="2822"/>
      <c r="S76" s="2823"/>
      <c r="T76" s="2852" t="s">
        <v>232</v>
      </c>
      <c r="U76" s="2833"/>
      <c r="V76" s="2833"/>
      <c r="W76" s="2833"/>
      <c r="X76" s="2833"/>
      <c r="Y76" s="2834"/>
      <c r="Z76" s="942" t="s">
        <v>947</v>
      </c>
      <c r="AA76" s="940"/>
      <c r="AB76" s="940"/>
      <c r="AC76" s="940"/>
      <c r="AD76" s="940"/>
      <c r="AE76" s="941"/>
    </row>
    <row r="77" spans="1:47" ht="30" customHeight="1" x14ac:dyDescent="0.25">
      <c r="A77" s="1143"/>
      <c r="B77" s="2824" t="s">
        <v>565</v>
      </c>
      <c r="C77" s="2824"/>
      <c r="D77" s="2824"/>
      <c r="E77" s="2824"/>
      <c r="F77" s="2824"/>
      <c r="G77" s="2825"/>
      <c r="H77" s="2829" t="s">
        <v>159</v>
      </c>
      <c r="I77" s="2829"/>
      <c r="J77" s="2829"/>
      <c r="K77" s="2829"/>
      <c r="L77" s="2829"/>
      <c r="M77" s="2830"/>
      <c r="N77" s="2824" t="s">
        <v>159</v>
      </c>
      <c r="O77" s="2824"/>
      <c r="P77" s="2824"/>
      <c r="Q77" s="2824"/>
      <c r="R77" s="2824"/>
      <c r="S77" s="2825"/>
      <c r="T77" s="2836"/>
      <c r="U77" s="2836"/>
      <c r="V77" s="2836"/>
      <c r="W77" s="2836"/>
      <c r="X77" s="2836"/>
      <c r="Y77" s="2837"/>
      <c r="Z77" s="946"/>
      <c r="AA77" s="944"/>
      <c r="AB77" s="944"/>
      <c r="AC77" s="944"/>
      <c r="AD77" s="944"/>
      <c r="AE77" s="945"/>
    </row>
    <row r="78" spans="1:47" ht="30" customHeight="1" x14ac:dyDescent="0.3">
      <c r="A78" s="935" t="s">
        <v>189</v>
      </c>
      <c r="B78" s="2822" t="s">
        <v>234</v>
      </c>
      <c r="C78" s="2822"/>
      <c r="D78" s="2822"/>
      <c r="E78" s="2822"/>
      <c r="F78" s="2822"/>
      <c r="G78" s="2823"/>
      <c r="H78" s="2838" t="s">
        <v>234</v>
      </c>
      <c r="I78" s="2839"/>
      <c r="J78" s="2844" t="s">
        <v>159</v>
      </c>
      <c r="K78" s="1178"/>
      <c r="L78" s="1197"/>
      <c r="M78" s="1148"/>
      <c r="N78" s="2831" t="s">
        <v>27</v>
      </c>
      <c r="O78" s="2831"/>
      <c r="P78" s="2831"/>
      <c r="Q78" s="2831"/>
      <c r="R78" s="2831"/>
      <c r="S78" s="2832"/>
      <c r="T78" s="2833" t="s">
        <v>27</v>
      </c>
      <c r="U78" s="2833"/>
      <c r="V78" s="2833"/>
      <c r="W78" s="2833"/>
      <c r="X78" s="2833"/>
      <c r="Y78" s="2834"/>
      <c r="Z78" s="2838" t="s">
        <v>1043</v>
      </c>
      <c r="AA78" s="2839"/>
      <c r="AB78" s="2844" t="s">
        <v>150</v>
      </c>
      <c r="AC78" s="2139" t="s">
        <v>933</v>
      </c>
      <c r="AD78" s="2065"/>
      <c r="AE78" s="2849"/>
    </row>
    <row r="79" spans="1:47" ht="30" customHeight="1" x14ac:dyDescent="0.25">
      <c r="A79" s="1143"/>
      <c r="B79" s="2824" t="s">
        <v>159</v>
      </c>
      <c r="C79" s="2824"/>
      <c r="D79" s="2824"/>
      <c r="E79" s="2824"/>
      <c r="F79" s="2824"/>
      <c r="G79" s="2825"/>
      <c r="H79" s="2840"/>
      <c r="I79" s="2841"/>
      <c r="J79" s="2845"/>
      <c r="K79" s="1113"/>
      <c r="L79" s="1126"/>
      <c r="M79" s="1149"/>
      <c r="N79" s="2835" t="s">
        <v>159</v>
      </c>
      <c r="O79" s="2836"/>
      <c r="P79" s="2836"/>
      <c r="Q79" s="2836"/>
      <c r="R79" s="2836"/>
      <c r="S79" s="2837"/>
      <c r="T79" s="2836" t="s">
        <v>159</v>
      </c>
      <c r="U79" s="2836"/>
      <c r="V79" s="2836"/>
      <c r="W79" s="2836"/>
      <c r="X79" s="2836"/>
      <c r="Y79" s="2837"/>
      <c r="Z79" s="2840"/>
      <c r="AA79" s="2841"/>
      <c r="AB79" s="2845"/>
      <c r="AC79" s="2140"/>
      <c r="AD79" s="1441"/>
      <c r="AE79" s="2850"/>
    </row>
    <row r="80" spans="1:47" ht="30" customHeight="1" x14ac:dyDescent="0.3">
      <c r="A80" s="1143" t="s">
        <v>190</v>
      </c>
      <c r="B80" s="2822" t="s">
        <v>234</v>
      </c>
      <c r="C80" s="2822"/>
      <c r="D80" s="2822"/>
      <c r="E80" s="2822"/>
      <c r="F80" s="2822"/>
      <c r="G80" s="2823"/>
      <c r="H80" s="2840"/>
      <c r="I80" s="2841"/>
      <c r="J80" s="2845"/>
      <c r="K80" s="1113"/>
      <c r="L80" s="1126"/>
      <c r="M80" s="1149"/>
      <c r="N80" s="2833" t="s">
        <v>27</v>
      </c>
      <c r="O80" s="2833"/>
      <c r="P80" s="2833"/>
      <c r="Q80" s="2833"/>
      <c r="R80" s="2833"/>
      <c r="S80" s="2834"/>
      <c r="T80" s="2833" t="s">
        <v>27</v>
      </c>
      <c r="U80" s="2833"/>
      <c r="V80" s="2833"/>
      <c r="W80" s="2833"/>
      <c r="X80" s="2833"/>
      <c r="Y80" s="2834"/>
      <c r="Z80" s="2840"/>
      <c r="AA80" s="2841"/>
      <c r="AB80" s="2845"/>
      <c r="AC80" s="2140"/>
      <c r="AD80" s="1441"/>
      <c r="AE80" s="2850"/>
    </row>
    <row r="81" spans="1:31" ht="30" customHeight="1" x14ac:dyDescent="0.25">
      <c r="A81" s="1143"/>
      <c r="B81" s="2824" t="s">
        <v>159</v>
      </c>
      <c r="C81" s="2824"/>
      <c r="D81" s="2824"/>
      <c r="E81" s="2824"/>
      <c r="F81" s="2824"/>
      <c r="G81" s="2825"/>
      <c r="H81" s="2842"/>
      <c r="I81" s="2843"/>
      <c r="J81" s="2846"/>
      <c r="K81" s="1114"/>
      <c r="L81" s="1142"/>
      <c r="M81" s="1150"/>
      <c r="N81" s="2835" t="s">
        <v>159</v>
      </c>
      <c r="O81" s="2836"/>
      <c r="P81" s="2836"/>
      <c r="Q81" s="2836"/>
      <c r="R81" s="2836"/>
      <c r="S81" s="2837"/>
      <c r="T81" s="2836" t="s">
        <v>159</v>
      </c>
      <c r="U81" s="2836"/>
      <c r="V81" s="2836"/>
      <c r="W81" s="2836"/>
      <c r="X81" s="2836"/>
      <c r="Y81" s="2837"/>
      <c r="Z81" s="2842"/>
      <c r="AA81" s="2843"/>
      <c r="AB81" s="2846"/>
      <c r="AC81" s="2847"/>
      <c r="AD81" s="2848"/>
      <c r="AE81" s="2851"/>
    </row>
    <row r="82" spans="1:31" ht="52.5" customHeight="1" x14ac:dyDescent="0.25"/>
    <row r="83" spans="1:31" ht="18.75" customHeight="1" x14ac:dyDescent="0.25">
      <c r="A83" s="995" t="s">
        <v>218</v>
      </c>
      <c r="B83" s="953"/>
      <c r="C83" s="952" t="s">
        <v>219</v>
      </c>
      <c r="D83" s="952"/>
      <c r="E83" s="952"/>
      <c r="F83" s="952"/>
      <c r="G83" s="952"/>
      <c r="H83" s="952"/>
      <c r="I83" s="952"/>
      <c r="J83" s="952"/>
      <c r="K83" s="952"/>
      <c r="L83" s="168"/>
      <c r="M83" s="950" t="s">
        <v>336</v>
      </c>
      <c r="N83" s="951"/>
      <c r="O83" s="952" t="s">
        <v>143</v>
      </c>
      <c r="P83" s="953"/>
      <c r="Q83" s="952" t="s">
        <v>167</v>
      </c>
      <c r="R83" s="952"/>
      <c r="S83" s="952"/>
      <c r="T83" s="952"/>
      <c r="U83" s="952"/>
      <c r="V83" s="952"/>
      <c r="W83" s="952"/>
      <c r="X83" s="952"/>
      <c r="Y83" s="952"/>
      <c r="Z83" s="952"/>
      <c r="AA83" s="952"/>
      <c r="AB83" s="952"/>
      <c r="AC83" s="952"/>
      <c r="AD83" s="952"/>
      <c r="AE83" s="953"/>
    </row>
    <row r="84" spans="1:31" ht="13.8" x14ac:dyDescent="0.25">
      <c r="A84" s="2869" t="str">
        <f>VLOOKUP(M84,ASIGNATURAS!$F$1:$L$1022, 3, FALSE)</f>
        <v>MANT. INDUST</v>
      </c>
      <c r="B84" s="2869"/>
      <c r="C84" s="947" t="str">
        <f>VLOOKUP(M84,ASIGNATURAS!$F$1:$L$1022, 4, FALSE)</f>
        <v>Manutención y Mantenimiento Industrial</v>
      </c>
      <c r="D84" s="948"/>
      <c r="E84" s="948"/>
      <c r="F84" s="948"/>
      <c r="G84" s="948"/>
      <c r="H84" s="948"/>
      <c r="I84" s="948"/>
      <c r="J84" s="948"/>
      <c r="K84" s="948"/>
      <c r="L84" s="948"/>
      <c r="M84" s="1013">
        <v>7152</v>
      </c>
      <c r="N84" s="1014"/>
      <c r="O84" s="1013">
        <f>VLOOKUP(M84,ASIGNATURAS!$F$1:$L$1022, 5, FALSE)</f>
        <v>3</v>
      </c>
      <c r="P84" s="1014"/>
      <c r="Q84" s="947" t="str">
        <f>VLOOKUP(M84,ASIGNATURAS!$F$1:$L$1022, 6, FALSE)</f>
        <v>Miriam Lorenzo Bañuelos</v>
      </c>
      <c r="R84" s="948"/>
      <c r="S84" s="948"/>
      <c r="T84" s="948"/>
      <c r="U84" s="948"/>
      <c r="V84" s="948"/>
      <c r="W84" s="948"/>
      <c r="X84" s="948"/>
      <c r="Y84" s="948"/>
      <c r="Z84" s="948"/>
      <c r="AA84" s="948"/>
      <c r="AB84" s="948"/>
      <c r="AC84" s="948"/>
      <c r="AD84" s="948"/>
      <c r="AE84" s="948"/>
    </row>
    <row r="85" spans="1:31" ht="13.8" x14ac:dyDescent="0.25">
      <c r="A85" s="2867" t="str">
        <f>VLOOKUP(M85,ASIGNATURAS!$F$1:$L$1022, 3, FALSE)</f>
        <v>CENTRALES</v>
      </c>
      <c r="B85" s="2868"/>
      <c r="C85" s="992" t="str">
        <f>VLOOKUP(M85,ASIGNATURAS!$F$1:$L$1022, 4, FALSE)</f>
        <v>Centrales de Producción de Energía</v>
      </c>
      <c r="D85" s="993"/>
      <c r="E85" s="993"/>
      <c r="F85" s="993"/>
      <c r="G85" s="993"/>
      <c r="H85" s="993"/>
      <c r="I85" s="993"/>
      <c r="J85" s="993"/>
      <c r="K85" s="993"/>
      <c r="L85" s="982"/>
      <c r="M85" s="2870">
        <v>7047</v>
      </c>
      <c r="N85" s="981"/>
      <c r="O85" s="981">
        <f>VLOOKUP(M85,ASIGNATURAS!$F$1:$L$1022, 5, FALSE)</f>
        <v>3</v>
      </c>
      <c r="P85" s="972"/>
      <c r="Q85" s="982" t="str">
        <f>VLOOKUP(M85,ASIGNATURAS!$F$1:$L$1022, 6, FALSE)</f>
        <v>David González</v>
      </c>
      <c r="R85" s="983"/>
      <c r="S85" s="983"/>
      <c r="T85" s="983"/>
      <c r="U85" s="983"/>
      <c r="V85" s="983"/>
      <c r="W85" s="983"/>
      <c r="X85" s="983"/>
      <c r="Y85" s="983"/>
      <c r="Z85" s="983"/>
      <c r="AA85" s="983"/>
      <c r="AB85" s="983"/>
      <c r="AC85" s="983"/>
      <c r="AD85" s="983"/>
      <c r="AE85" s="983"/>
    </row>
    <row r="86" spans="1:31" ht="13.8" x14ac:dyDescent="0.25">
      <c r="A86" s="2866" t="str">
        <f>VLOOKUP(M86,ASIGNATURAS!$F$1:$L$1022, 3, FALSE)</f>
        <v>AUTOMOCIÓN</v>
      </c>
      <c r="B86" s="2866"/>
      <c r="C86" s="982" t="str">
        <f>VLOOKUP(M86,ASIGNATURAS!$F$1:$L$1022, 4, FALSE)</f>
        <v>Ingeniería de Automoción</v>
      </c>
      <c r="D86" s="983"/>
      <c r="E86" s="983"/>
      <c r="F86" s="983"/>
      <c r="G86" s="983"/>
      <c r="H86" s="983"/>
      <c r="I86" s="983"/>
      <c r="J86" s="983"/>
      <c r="K86" s="983"/>
      <c r="L86" s="983"/>
      <c r="M86" s="981">
        <v>7048</v>
      </c>
      <c r="N86" s="972"/>
      <c r="O86" s="981">
        <f>VLOOKUP(M86,ASIGNATURAS!$F$1:$L$1022, 5, FALSE)</f>
        <v>6</v>
      </c>
      <c r="P86" s="972"/>
      <c r="Q86" s="982" t="str">
        <f>VLOOKUP(M86,ASIGNATURAS!$F$1:$L$1022, 6, FALSE)</f>
        <v>Mª José García</v>
      </c>
      <c r="R86" s="983"/>
      <c r="S86" s="983"/>
      <c r="T86" s="983"/>
      <c r="U86" s="983"/>
      <c r="V86" s="983"/>
      <c r="W86" s="983"/>
      <c r="X86" s="983"/>
      <c r="Y86" s="983"/>
      <c r="Z86" s="983"/>
      <c r="AA86" s="983"/>
      <c r="AB86" s="983"/>
      <c r="AC86" s="983"/>
      <c r="AD86" s="983"/>
      <c r="AE86" s="983"/>
    </row>
    <row r="87" spans="1:31" ht="13.8" x14ac:dyDescent="0.25">
      <c r="A87" s="2866" t="str">
        <f>VLOOKUP(M87,ASIGNATURAS!$F$1:$L$1022, 3, FALSE)</f>
        <v>MATERIALES</v>
      </c>
      <c r="B87" s="2866"/>
      <c r="C87" s="982" t="str">
        <f>VLOOKUP(M87,ASIGNATURAS!$F$1:$L$1022, 4, FALSE)</f>
        <v>Tecnología de Materiales</v>
      </c>
      <c r="D87" s="983"/>
      <c r="E87" s="983"/>
      <c r="F87" s="983"/>
      <c r="G87" s="983"/>
      <c r="H87" s="983"/>
      <c r="I87" s="983"/>
      <c r="J87" s="983"/>
      <c r="K87" s="983"/>
      <c r="L87" s="983"/>
      <c r="M87" s="981">
        <v>7049</v>
      </c>
      <c r="N87" s="972"/>
      <c r="O87" s="981">
        <f>VLOOKUP(M87,ASIGNATURAS!$F$1:$L$1022, 5, FALSE)</f>
        <v>6</v>
      </c>
      <c r="P87" s="972"/>
      <c r="Q87" s="982" t="str">
        <f>VLOOKUP(M87,ASIGNATURAS!$F$1:$L$1022, 6, FALSE)</f>
        <v>Mónica Preciado Calzada , José Calaf Chica</v>
      </c>
      <c r="R87" s="983"/>
      <c r="S87" s="983"/>
      <c r="T87" s="983"/>
      <c r="U87" s="983"/>
      <c r="V87" s="983"/>
      <c r="W87" s="983"/>
      <c r="X87" s="983"/>
      <c r="Y87" s="983"/>
      <c r="Z87" s="983"/>
      <c r="AA87" s="983"/>
      <c r="AB87" s="983"/>
      <c r="AC87" s="983"/>
      <c r="AD87" s="983"/>
      <c r="AE87" s="983"/>
    </row>
    <row r="88" spans="1:31" ht="14.25" customHeight="1" x14ac:dyDescent="0.25">
      <c r="A88" s="2871" t="str">
        <f>VLOOKUP(M88,ASIGNATURAS!$F$1:$L$1022, 3, FALSE)</f>
        <v>CALIDAD Y PROD.</v>
      </c>
      <c r="B88" s="2871"/>
      <c r="C88" s="982" t="str">
        <f>VLOOKUP(M88,ASIGNATURAS!$F$1:$L$1022, 4, FALSE)</f>
        <v>Calidad y Productividad</v>
      </c>
      <c r="D88" s="983"/>
      <c r="E88" s="983"/>
      <c r="F88" s="983"/>
      <c r="G88" s="983"/>
      <c r="H88" s="983"/>
      <c r="I88" s="983"/>
      <c r="J88" s="983"/>
      <c r="K88" s="983"/>
      <c r="L88" s="983"/>
      <c r="M88" s="981">
        <v>7050</v>
      </c>
      <c r="N88" s="972"/>
      <c r="O88" s="981">
        <f>VLOOKUP(M88,ASIGNATURAS!$F$1:$L$1022, 5, FALSE)</f>
        <v>3</v>
      </c>
      <c r="P88" s="972"/>
      <c r="Q88" s="982" t="str">
        <f>VLOOKUP(M88,ASIGNATURAS!$F$1:$L$1022, 6, FALSE)</f>
        <v>Ignacio Fontaneda González</v>
      </c>
      <c r="R88" s="983"/>
      <c r="S88" s="983"/>
      <c r="T88" s="983"/>
      <c r="U88" s="983"/>
      <c r="V88" s="983"/>
      <c r="W88" s="983"/>
      <c r="X88" s="983"/>
      <c r="Y88" s="983"/>
      <c r="Z88" s="983"/>
      <c r="AA88" s="983"/>
      <c r="AB88" s="983"/>
      <c r="AC88" s="983"/>
      <c r="AD88" s="983"/>
      <c r="AE88" s="983"/>
    </row>
    <row r="89" spans="1:31" ht="13.8" x14ac:dyDescent="0.25">
      <c r="A89" s="2871" t="str">
        <f>VLOOKUP(M89,ASIGNATURAS!$F$1:$L$1022, 3, FALSE)</f>
        <v>INST. ECON.</v>
      </c>
      <c r="B89" s="2871"/>
      <c r="C89" s="982" t="str">
        <f>VLOOKUP(M89,ASIGNATURAS!$F$1:$L$1022, 4, FALSE)</f>
        <v>Teoría e Instituciones Económicas</v>
      </c>
      <c r="D89" s="983"/>
      <c r="E89" s="983"/>
      <c r="F89" s="983"/>
      <c r="G89" s="983"/>
      <c r="H89" s="983"/>
      <c r="I89" s="983"/>
      <c r="J89" s="983"/>
      <c r="K89" s="983"/>
      <c r="L89" s="983"/>
      <c r="M89" s="981">
        <v>7051</v>
      </c>
      <c r="N89" s="972"/>
      <c r="O89" s="981">
        <f>VLOOKUP(M89,ASIGNATURAS!$F$1:$L$1022, 5, FALSE)</f>
        <v>6</v>
      </c>
      <c r="P89" s="972"/>
      <c r="Q89" s="982" t="str">
        <f>VLOOKUP(M89,ASIGNATURAS!$F$1:$L$1022, 6, FALSE)</f>
        <v>Ricardo del Olmo Martínez</v>
      </c>
      <c r="R89" s="983"/>
      <c r="S89" s="983"/>
      <c r="T89" s="983"/>
      <c r="U89" s="983"/>
      <c r="V89" s="983"/>
      <c r="W89" s="983"/>
      <c r="X89" s="983"/>
      <c r="Y89" s="983"/>
      <c r="Z89" s="983"/>
      <c r="AA89" s="983"/>
      <c r="AB89" s="983"/>
      <c r="AC89" s="983"/>
      <c r="AD89" s="983"/>
      <c r="AE89" s="983"/>
    </row>
    <row r="90" spans="1:31" ht="13.8" x14ac:dyDescent="0.25">
      <c r="A90" s="2871" t="str">
        <f>VLOOKUP(M90,ASIGNATURAS!$F$1:$L$1022, 3, FALSE)</f>
        <v>ERGONOMÍA</v>
      </c>
      <c r="B90" s="2871"/>
      <c r="C90" s="982" t="str">
        <f>VLOOKUP(M90,ASIGNATURAS!$F$1:$L$1022, 4, FALSE)</f>
        <v>Ergonomía y Psicosociología</v>
      </c>
      <c r="D90" s="983"/>
      <c r="E90" s="983"/>
      <c r="F90" s="983"/>
      <c r="G90" s="983"/>
      <c r="H90" s="983"/>
      <c r="I90" s="983"/>
      <c r="J90" s="983"/>
      <c r="K90" s="983"/>
      <c r="L90" s="983"/>
      <c r="M90" s="981">
        <v>7052</v>
      </c>
      <c r="N90" s="972"/>
      <c r="O90" s="981">
        <f>VLOOKUP(M90,ASIGNATURAS!$F$1:$L$1022, 5, FALSE)</f>
        <v>3</v>
      </c>
      <c r="P90" s="972"/>
      <c r="Q90" s="982" t="str">
        <f>VLOOKUP(M90,ASIGNATURAS!$F$1:$L$1022, 6, FALSE)</f>
        <v>Miguel Ángel Camino López</v>
      </c>
      <c r="R90" s="983"/>
      <c r="S90" s="983"/>
      <c r="T90" s="983"/>
      <c r="U90" s="983"/>
      <c r="V90" s="983"/>
      <c r="W90" s="983"/>
      <c r="X90" s="983"/>
      <c r="Y90" s="983"/>
      <c r="Z90" s="983"/>
      <c r="AA90" s="983"/>
      <c r="AB90" s="983"/>
      <c r="AC90" s="983"/>
      <c r="AD90" s="983"/>
      <c r="AE90" s="983"/>
    </row>
    <row r="91" spans="1:31" ht="13.8" x14ac:dyDescent="0.25">
      <c r="A91" s="2871" t="str">
        <f>VLOOKUP(M91,ASIGNATURAS!$F$1:$L$1022, 3, FALSE)</f>
        <v>MÉTODOS IOI</v>
      </c>
      <c r="B91" s="2871"/>
      <c r="C91" s="982" t="str">
        <f>VLOOKUP(M91,ASIGNATURAS!$F$1:$L$1022, 4, FALSE)</f>
        <v>Métodos Avanzados en Ingeniería de Organización</v>
      </c>
      <c r="D91" s="983"/>
      <c r="E91" s="983"/>
      <c r="F91" s="983"/>
      <c r="G91" s="983"/>
      <c r="H91" s="983"/>
      <c r="I91" s="983"/>
      <c r="J91" s="983"/>
      <c r="K91" s="983"/>
      <c r="L91" s="983"/>
      <c r="M91" s="981">
        <v>7053</v>
      </c>
      <c r="N91" s="972"/>
      <c r="O91" s="981">
        <f>VLOOKUP(M91,ASIGNATURAS!$F$1:$L$1022, 5, FALSE)</f>
        <v>3</v>
      </c>
      <c r="P91" s="972"/>
      <c r="Q91" s="982" t="str">
        <f>VLOOKUP(M91,ASIGNATURAS!$F$1:$L$1022, 6, FALSE)</f>
        <v>Virginia Ahedo,José Manuel Galán</v>
      </c>
      <c r="R91" s="983"/>
      <c r="S91" s="983"/>
      <c r="T91" s="983"/>
      <c r="U91" s="983"/>
      <c r="V91" s="983"/>
      <c r="W91" s="983"/>
      <c r="X91" s="983"/>
      <c r="Y91" s="983"/>
      <c r="Z91" s="983"/>
      <c r="AA91" s="983"/>
      <c r="AB91" s="983"/>
      <c r="AC91" s="983"/>
      <c r="AD91" s="983"/>
      <c r="AE91" s="983"/>
    </row>
    <row r="92" spans="1:31" ht="13.8" x14ac:dyDescent="0.25">
      <c r="A92" s="1245" t="str">
        <f>VLOOKUP(M92,ASIGNATURAS!$F$1:$L$1022, 3, FALSE)</f>
        <v>I. TÉRMICAS</v>
      </c>
      <c r="B92" s="1245"/>
      <c r="C92" s="982" t="str">
        <f>VLOOKUP(M92,ASIGNATURAS!$F$1:$L$1022, 4, FALSE)</f>
        <v>Instalaciones Térmicas</v>
      </c>
      <c r="D92" s="983"/>
      <c r="E92" s="983"/>
      <c r="F92" s="983"/>
      <c r="G92" s="983"/>
      <c r="H92" s="983"/>
      <c r="I92" s="983"/>
      <c r="J92" s="983"/>
      <c r="K92" s="983"/>
      <c r="L92" s="983"/>
      <c r="M92" s="981">
        <v>7054</v>
      </c>
      <c r="N92" s="972"/>
      <c r="O92" s="981">
        <f>VLOOKUP(M92,ASIGNATURAS!$F$1:$L$1022, 5, FALSE)</f>
        <v>3</v>
      </c>
      <c r="P92" s="972"/>
      <c r="Q92" s="982" t="str">
        <f>VLOOKUP(M92,ASIGNATURAS!$F$1:$L$1022, 6, FALSE)</f>
        <v>Francisco José González, Fernando Aguilar</v>
      </c>
      <c r="R92" s="983"/>
      <c r="S92" s="983"/>
      <c r="T92" s="983"/>
      <c r="U92" s="983"/>
      <c r="V92" s="983"/>
      <c r="W92" s="983"/>
      <c r="X92" s="983"/>
      <c r="Y92" s="983"/>
      <c r="Z92" s="983"/>
      <c r="AA92" s="983"/>
      <c r="AB92" s="983"/>
      <c r="AC92" s="983"/>
      <c r="AD92" s="983"/>
      <c r="AE92" s="983"/>
    </row>
    <row r="93" spans="1:31" ht="13.8" x14ac:dyDescent="0.25">
      <c r="A93" s="1245" t="str">
        <f>VLOOKUP(M93,ASIGNATURAS!$F$1:$L$1022, 3, FALSE)</f>
        <v>I. ELÉCTRICAS</v>
      </c>
      <c r="B93" s="1245"/>
      <c r="C93" s="982" t="str">
        <f>VLOOKUP(M93,ASIGNATURAS!$F$1:$L$1022, 4, FALSE)</f>
        <v>Instalaciones Eléctricas</v>
      </c>
      <c r="D93" s="983"/>
      <c r="E93" s="983"/>
      <c r="F93" s="983"/>
      <c r="G93" s="983"/>
      <c r="H93" s="983"/>
      <c r="I93" s="983"/>
      <c r="J93" s="983"/>
      <c r="K93" s="983"/>
      <c r="L93" s="983"/>
      <c r="M93" s="981">
        <v>7055</v>
      </c>
      <c r="N93" s="972"/>
      <c r="O93" s="981">
        <f>VLOOKUP(M93,ASIGNATURAS!$F$1:$L$1022, 5, FALSE)</f>
        <v>3</v>
      </c>
      <c r="P93" s="972"/>
      <c r="Q93" s="982" t="str">
        <f>VLOOKUP(M93,ASIGNATURAS!$F$1:$L$1022, 6, FALSE)</f>
        <v>Jesús Sagredo González</v>
      </c>
      <c r="R93" s="983"/>
      <c r="S93" s="983"/>
      <c r="T93" s="983"/>
      <c r="U93" s="983"/>
      <c r="V93" s="983"/>
      <c r="W93" s="983"/>
      <c r="X93" s="983"/>
      <c r="Y93" s="983"/>
      <c r="Z93" s="983"/>
      <c r="AA93" s="983"/>
      <c r="AB93" s="983"/>
      <c r="AC93" s="983"/>
      <c r="AD93" s="983"/>
      <c r="AE93" s="983"/>
    </row>
    <row r="94" spans="1:31" ht="13.8" x14ac:dyDescent="0.25">
      <c r="A94" s="1245" t="str">
        <f>VLOOKUP(M94,ASIGNATURAS!$F$1:$L$1022, 3, FALSE)</f>
        <v>C. DINÁMICO</v>
      </c>
      <c r="B94" s="1245"/>
      <c r="C94" s="982" t="str">
        <f>VLOOKUP(M94,ASIGNATURAS!$F$1:$L$1022, 4, FALSE)</f>
        <v>Cálculo Dinámico de Estructuras</v>
      </c>
      <c r="D94" s="983"/>
      <c r="E94" s="983"/>
      <c r="F94" s="983"/>
      <c r="G94" s="983"/>
      <c r="H94" s="983"/>
      <c r="I94" s="983"/>
      <c r="J94" s="983"/>
      <c r="K94" s="983"/>
      <c r="L94" s="983"/>
      <c r="M94" s="981">
        <v>7056</v>
      </c>
      <c r="N94" s="972"/>
      <c r="O94" s="981">
        <f>VLOOKUP(M94,ASIGNATURAS!$F$1:$L$1022, 5, FALSE)</f>
        <v>3</v>
      </c>
      <c r="P94" s="972"/>
      <c r="Q94" s="982" t="str">
        <f>VLOOKUP(M94,ASIGNATURAS!$F$1:$L$1022, 6, FALSE)</f>
        <v>Luis Suárez,</v>
      </c>
      <c r="R94" s="983"/>
      <c r="S94" s="983"/>
      <c r="T94" s="983"/>
      <c r="U94" s="983"/>
      <c r="V94" s="983"/>
      <c r="W94" s="983"/>
      <c r="X94" s="983"/>
      <c r="Y94" s="983"/>
      <c r="Z94" s="983"/>
      <c r="AA94" s="983"/>
      <c r="AB94" s="983"/>
      <c r="AC94" s="983"/>
      <c r="AD94" s="983"/>
      <c r="AE94" s="983"/>
    </row>
    <row r="95" spans="1:31" ht="15" customHeight="1" x14ac:dyDescent="0.25">
      <c r="A95" s="1245" t="str">
        <f>VLOOKUP(M95,ASIGNATURAS!$F$1:$L$1022, 3, FALSE)</f>
        <v>DISEÑO PLANT.</v>
      </c>
      <c r="B95" s="1245"/>
      <c r="C95" s="982" t="str">
        <f>VLOOKUP(M95,ASIGNATURAS!$F$1:$L$1022, 4, FALSE)</f>
        <v>Diseño y Ejecución de Plantas Industriales</v>
      </c>
      <c r="D95" s="983"/>
      <c r="E95" s="983"/>
      <c r="F95" s="983"/>
      <c r="G95" s="983"/>
      <c r="H95" s="983"/>
      <c r="I95" s="983"/>
      <c r="J95" s="983"/>
      <c r="K95" s="983"/>
      <c r="L95" s="983"/>
      <c r="M95" s="981">
        <v>7057</v>
      </c>
      <c r="N95" s="972"/>
      <c r="O95" s="981">
        <f>VLOOKUP(M95,ASIGNATURAS!$F$1:$L$1022, 5, FALSE)</f>
        <v>6</v>
      </c>
      <c r="P95" s="972"/>
      <c r="Q95" s="982" t="str">
        <f>VLOOKUP(M95,ASIGNATURAS!$F$1:$L$1022, 6, FALSE)</f>
        <v>Luis Suárez, Rosario Moradillo</v>
      </c>
      <c r="R95" s="983"/>
      <c r="S95" s="983"/>
      <c r="T95" s="983"/>
      <c r="U95" s="983"/>
      <c r="V95" s="983"/>
      <c r="W95" s="983"/>
      <c r="X95" s="983"/>
      <c r="Y95" s="983"/>
      <c r="Z95" s="983"/>
      <c r="AA95" s="983"/>
      <c r="AB95" s="983"/>
      <c r="AC95" s="983"/>
      <c r="AD95" s="983"/>
      <c r="AE95" s="983"/>
    </row>
    <row r="96" spans="1:31" ht="66" customHeight="1" x14ac:dyDescent="0.25">
      <c r="A96" s="67"/>
      <c r="B96" s="67"/>
    </row>
    <row r="97" spans="1:31" ht="22.5" customHeight="1" x14ac:dyDescent="0.25">
      <c r="H97" s="20"/>
      <c r="N97" s="2876" t="s">
        <v>238</v>
      </c>
      <c r="O97" s="2877"/>
      <c r="P97" s="2878"/>
      <c r="Q97" s="2872" t="s">
        <v>236</v>
      </c>
      <c r="R97" s="2873"/>
      <c r="S97" s="2873"/>
      <c r="T97" s="2873"/>
      <c r="U97" s="2873"/>
      <c r="V97" s="2873"/>
      <c r="W97" s="2873"/>
      <c r="X97" s="2873"/>
      <c r="Y97" s="2873"/>
      <c r="Z97" s="2873"/>
      <c r="AA97" s="2873"/>
      <c r="AB97" s="2873"/>
      <c r="AC97" s="2873"/>
      <c r="AD97" s="2873"/>
      <c r="AE97" s="2873"/>
    </row>
    <row r="98" spans="1:31" ht="22.5" customHeight="1" x14ac:dyDescent="0.25">
      <c r="A98" s="1101" t="s">
        <v>1044</v>
      </c>
      <c r="B98" s="1101"/>
      <c r="C98" s="1101"/>
      <c r="D98" s="1101"/>
      <c r="E98" s="1101"/>
      <c r="H98" s="20"/>
      <c r="N98" s="2879"/>
      <c r="O98" s="2880"/>
      <c r="P98" s="2881"/>
      <c r="Q98" s="2874" t="s">
        <v>237</v>
      </c>
      <c r="R98" s="2875"/>
      <c r="S98" s="2875"/>
      <c r="T98" s="2875"/>
      <c r="U98" s="2875"/>
      <c r="V98" s="2875"/>
      <c r="W98" s="2875"/>
      <c r="X98" s="2875"/>
      <c r="Y98" s="2875"/>
      <c r="Z98" s="2875"/>
      <c r="AA98" s="2875"/>
      <c r="AB98" s="2875"/>
      <c r="AC98" s="2875"/>
      <c r="AD98" s="2875"/>
      <c r="AE98" s="2875"/>
    </row>
    <row r="99" spans="1:31" ht="22.5" customHeight="1" x14ac:dyDescent="0.25">
      <c r="A99" s="2148" t="s">
        <v>1045</v>
      </c>
      <c r="B99" s="2148"/>
      <c r="C99" s="2148"/>
      <c r="D99" s="2148"/>
      <c r="E99" s="2148"/>
      <c r="H99" s="20"/>
      <c r="N99" s="2882"/>
      <c r="O99" s="2883"/>
      <c r="P99" s="2884"/>
      <c r="Q99" s="2885" t="s">
        <v>556</v>
      </c>
      <c r="R99" s="2886"/>
      <c r="S99" s="2886"/>
      <c r="T99" s="2886"/>
      <c r="U99" s="2886"/>
      <c r="V99" s="2886"/>
      <c r="W99" s="2886"/>
      <c r="X99" s="2886"/>
      <c r="Y99" s="2886"/>
      <c r="Z99" s="2886"/>
      <c r="AA99" s="2886"/>
      <c r="AB99" s="2886"/>
      <c r="AC99" s="2886"/>
      <c r="AD99" s="2886"/>
      <c r="AE99" s="2886"/>
    </row>
    <row r="100" spans="1:31" ht="43.5" customHeight="1" x14ac:dyDescent="0.25"/>
    <row r="101" spans="1:31" x14ac:dyDescent="0.25">
      <c r="A101" s="20" t="s">
        <v>217</v>
      </c>
    </row>
  </sheetData>
  <mergeCells count="368">
    <mergeCell ref="T49:Y49"/>
    <mergeCell ref="Z49:AE49"/>
    <mergeCell ref="T42:Y42"/>
    <mergeCell ref="T43:Y43"/>
    <mergeCell ref="N46:S46"/>
    <mergeCell ref="B42:G42"/>
    <mergeCell ref="H42:M42"/>
    <mergeCell ref="N42:S42"/>
    <mergeCell ref="Z14:AE14"/>
    <mergeCell ref="N14:S14"/>
    <mergeCell ref="T14:Y14"/>
    <mergeCell ref="H14:M14"/>
    <mergeCell ref="B14:G14"/>
    <mergeCell ref="Z15:AE15"/>
    <mergeCell ref="T15:Y15"/>
    <mergeCell ref="N15:S15"/>
    <mergeCell ref="H15:M15"/>
    <mergeCell ref="B15:G15"/>
    <mergeCell ref="T45:Y45"/>
    <mergeCell ref="Z47:AE47"/>
    <mergeCell ref="Z43:AE43"/>
    <mergeCell ref="N17:S17"/>
    <mergeCell ref="T17:Y17"/>
    <mergeCell ref="H17:M17"/>
    <mergeCell ref="B17:G17"/>
    <mergeCell ref="Z17:AE17"/>
    <mergeCell ref="Z16:AE16"/>
    <mergeCell ref="T16:Y16"/>
    <mergeCell ref="N16:S16"/>
    <mergeCell ref="H16:M16"/>
    <mergeCell ref="B16:G16"/>
    <mergeCell ref="T40:Y40"/>
    <mergeCell ref="Z40:AE40"/>
    <mergeCell ref="Z34:AE35"/>
    <mergeCell ref="Z37:AE37"/>
    <mergeCell ref="A35:Y35"/>
    <mergeCell ref="B37:G37"/>
    <mergeCell ref="H37:M37"/>
    <mergeCell ref="N37:S37"/>
    <mergeCell ref="T37:Y37"/>
    <mergeCell ref="Q24:AE24"/>
    <mergeCell ref="A34:Y34"/>
    <mergeCell ref="A33:Y33"/>
    <mergeCell ref="C25:L25"/>
    <mergeCell ref="M25:N25"/>
    <mergeCell ref="M23:N23"/>
    <mergeCell ref="O23:P23"/>
    <mergeCell ref="A28:E28"/>
    <mergeCell ref="B41:G41"/>
    <mergeCell ref="H41:M41"/>
    <mergeCell ref="N41:S41"/>
    <mergeCell ref="T41:Y41"/>
    <mergeCell ref="Z41:AE41"/>
    <mergeCell ref="Z46:AE46"/>
    <mergeCell ref="Q99:AE99"/>
    <mergeCell ref="A80:A81"/>
    <mergeCell ref="Z66:AE67"/>
    <mergeCell ref="C95:L95"/>
    <mergeCell ref="M95:N95"/>
    <mergeCell ref="A93:B93"/>
    <mergeCell ref="M90:N90"/>
    <mergeCell ref="O90:P90"/>
    <mergeCell ref="A91:B91"/>
    <mergeCell ref="A92:B92"/>
    <mergeCell ref="A90:B90"/>
    <mergeCell ref="O95:P95"/>
    <mergeCell ref="C92:L92"/>
    <mergeCell ref="A95:B95"/>
    <mergeCell ref="C89:L89"/>
    <mergeCell ref="A83:B83"/>
    <mergeCell ref="C83:K83"/>
    <mergeCell ref="A67:Y67"/>
    <mergeCell ref="Q97:AE97"/>
    <mergeCell ref="Q98:AE98"/>
    <mergeCell ref="A98:E98"/>
    <mergeCell ref="C93:L93"/>
    <mergeCell ref="A94:B94"/>
    <mergeCell ref="Q90:AE90"/>
    <mergeCell ref="Q91:AE91"/>
    <mergeCell ref="A88:B88"/>
    <mergeCell ref="C90:L90"/>
    <mergeCell ref="C94:L94"/>
    <mergeCell ref="Q95:AE95"/>
    <mergeCell ref="Q88:AE88"/>
    <mergeCell ref="Q89:AE89"/>
    <mergeCell ref="M91:N91"/>
    <mergeCell ref="O91:P91"/>
    <mergeCell ref="M92:N92"/>
    <mergeCell ref="O92:P92"/>
    <mergeCell ref="M93:N93"/>
    <mergeCell ref="Q94:AE94"/>
    <mergeCell ref="Q92:AE92"/>
    <mergeCell ref="Q93:AE93"/>
    <mergeCell ref="N97:P99"/>
    <mergeCell ref="M94:N94"/>
    <mergeCell ref="O94:P94"/>
    <mergeCell ref="Q86:AE86"/>
    <mergeCell ref="Q83:AE83"/>
    <mergeCell ref="Q84:AE84"/>
    <mergeCell ref="Q85:AE85"/>
    <mergeCell ref="A89:B89"/>
    <mergeCell ref="O86:P86"/>
    <mergeCell ref="A87:B87"/>
    <mergeCell ref="C91:L91"/>
    <mergeCell ref="O87:P87"/>
    <mergeCell ref="M88:N88"/>
    <mergeCell ref="O83:P83"/>
    <mergeCell ref="Q87:AE87"/>
    <mergeCell ref="M89:N89"/>
    <mergeCell ref="O85:P85"/>
    <mergeCell ref="M86:N86"/>
    <mergeCell ref="B46:G46"/>
    <mergeCell ref="H46:M46"/>
    <mergeCell ref="H40:M40"/>
    <mergeCell ref="N40:S40"/>
    <mergeCell ref="A40:A41"/>
    <mergeCell ref="Q23:AE23"/>
    <mergeCell ref="Z33:AE33"/>
    <mergeCell ref="Q22:AE22"/>
    <mergeCell ref="C85:L85"/>
    <mergeCell ref="A85:B85"/>
    <mergeCell ref="A84:B84"/>
    <mergeCell ref="C84:L84"/>
    <mergeCell ref="M83:N83"/>
    <mergeCell ref="O84:P84"/>
    <mergeCell ref="M84:N84"/>
    <mergeCell ref="M85:N85"/>
    <mergeCell ref="Z42:AE42"/>
    <mergeCell ref="B47:G47"/>
    <mergeCell ref="H47:M47"/>
    <mergeCell ref="N47:S47"/>
    <mergeCell ref="T46:Y46"/>
    <mergeCell ref="Z44:AE44"/>
    <mergeCell ref="Z45:AE45"/>
    <mergeCell ref="T44:Y44"/>
    <mergeCell ref="A78:A79"/>
    <mergeCell ref="C87:L87"/>
    <mergeCell ref="M87:N87"/>
    <mergeCell ref="C88:L88"/>
    <mergeCell ref="A99:E99"/>
    <mergeCell ref="A86:B86"/>
    <mergeCell ref="C86:L86"/>
    <mergeCell ref="O88:P88"/>
    <mergeCell ref="O89:P89"/>
    <mergeCell ref="H78:I81"/>
    <mergeCell ref="J78:J81"/>
    <mergeCell ref="K78:L81"/>
    <mergeCell ref="M78:M81"/>
    <mergeCell ref="B81:G81"/>
    <mergeCell ref="B80:G80"/>
    <mergeCell ref="O93:P93"/>
    <mergeCell ref="A1:Y1"/>
    <mergeCell ref="Z1:AE1"/>
    <mergeCell ref="A2:Y2"/>
    <mergeCell ref="Z2:AE3"/>
    <mergeCell ref="A3:Y3"/>
    <mergeCell ref="B5:G5"/>
    <mergeCell ref="H5:M5"/>
    <mergeCell ref="N5:S5"/>
    <mergeCell ref="T5:Y5"/>
    <mergeCell ref="Z5:AE5"/>
    <mergeCell ref="O22:P22"/>
    <mergeCell ref="A23:B23"/>
    <mergeCell ref="C23:L23"/>
    <mergeCell ref="M24:N24"/>
    <mergeCell ref="O24:P24"/>
    <mergeCell ref="B40:G40"/>
    <mergeCell ref="A25:B25"/>
    <mergeCell ref="A22:B22"/>
    <mergeCell ref="C22:L22"/>
    <mergeCell ref="M22:N22"/>
    <mergeCell ref="T38:Y38"/>
    <mergeCell ref="Z38:AE38"/>
    <mergeCell ref="B39:G39"/>
    <mergeCell ref="H39:M39"/>
    <mergeCell ref="N39:S39"/>
    <mergeCell ref="T39:Y39"/>
    <mergeCell ref="Z39:AE39"/>
    <mergeCell ref="Q19:AE19"/>
    <mergeCell ref="M21:N21"/>
    <mergeCell ref="O21:P21"/>
    <mergeCell ref="A21:B21"/>
    <mergeCell ref="C21:L21"/>
    <mergeCell ref="A19:B19"/>
    <mergeCell ref="C19:K19"/>
    <mergeCell ref="M19:N19"/>
    <mergeCell ref="O19:P19"/>
    <mergeCell ref="O25:P25"/>
    <mergeCell ref="Q25:AE25"/>
    <mergeCell ref="C20:L20"/>
    <mergeCell ref="M20:N20"/>
    <mergeCell ref="O20:P20"/>
    <mergeCell ref="A20:B20"/>
    <mergeCell ref="Q20:AE20"/>
    <mergeCell ref="Q21:AE21"/>
    <mergeCell ref="A6:A7"/>
    <mergeCell ref="A8:A9"/>
    <mergeCell ref="B10:G10"/>
    <mergeCell ref="H10:M10"/>
    <mergeCell ref="T10:Y10"/>
    <mergeCell ref="N10:S10"/>
    <mergeCell ref="Z10:AE10"/>
    <mergeCell ref="A10:A11"/>
    <mergeCell ref="B12:G12"/>
    <mergeCell ref="H12:M12"/>
    <mergeCell ref="T12:Y12"/>
    <mergeCell ref="N12:S12"/>
    <mergeCell ref="Z12:AE12"/>
    <mergeCell ref="A12:A13"/>
    <mergeCell ref="B8:G8"/>
    <mergeCell ref="H8:M8"/>
    <mergeCell ref="N8:S8"/>
    <mergeCell ref="T8:Y8"/>
    <mergeCell ref="Z8:AE8"/>
    <mergeCell ref="B9:G9"/>
    <mergeCell ref="H9:M9"/>
    <mergeCell ref="N9:S9"/>
    <mergeCell ref="T9:Y9"/>
    <mergeCell ref="Z9:AE9"/>
    <mergeCell ref="B13:G13"/>
    <mergeCell ref="H13:M13"/>
    <mergeCell ref="T13:Y13"/>
    <mergeCell ref="N13:S13"/>
    <mergeCell ref="Z13:AE13"/>
    <mergeCell ref="B6:G6"/>
    <mergeCell ref="H6:M6"/>
    <mergeCell ref="N6:S6"/>
    <mergeCell ref="T6:Y6"/>
    <mergeCell ref="Z6:AE6"/>
    <mergeCell ref="B11:G11"/>
    <mergeCell ref="H11:M11"/>
    <mergeCell ref="B7:G7"/>
    <mergeCell ref="H7:M7"/>
    <mergeCell ref="N7:S7"/>
    <mergeCell ref="T7:Y7"/>
    <mergeCell ref="Z7:AE7"/>
    <mergeCell ref="N11:S11"/>
    <mergeCell ref="T11:Y11"/>
    <mergeCell ref="Z11:AE11"/>
    <mergeCell ref="A14:A15"/>
    <mergeCell ref="A16:A17"/>
    <mergeCell ref="A46:A47"/>
    <mergeCell ref="B49:G49"/>
    <mergeCell ref="N48:S48"/>
    <mergeCell ref="A44:A45"/>
    <mergeCell ref="A42:A43"/>
    <mergeCell ref="B44:G44"/>
    <mergeCell ref="H44:M44"/>
    <mergeCell ref="N44:S44"/>
    <mergeCell ref="B45:G45"/>
    <mergeCell ref="H45:M45"/>
    <mergeCell ref="N45:S45"/>
    <mergeCell ref="A29:E29"/>
    <mergeCell ref="A24:B24"/>
    <mergeCell ref="C24:L24"/>
    <mergeCell ref="A38:A39"/>
    <mergeCell ref="B38:G38"/>
    <mergeCell ref="H38:M38"/>
    <mergeCell ref="N38:S38"/>
    <mergeCell ref="B43:G43"/>
    <mergeCell ref="H43:M43"/>
    <mergeCell ref="N43:S43"/>
    <mergeCell ref="H49:M49"/>
    <mergeCell ref="A65:Y65"/>
    <mergeCell ref="A54:B54"/>
    <mergeCell ref="C54:L54"/>
    <mergeCell ref="O54:P54"/>
    <mergeCell ref="A66:Y66"/>
    <mergeCell ref="A70:A71"/>
    <mergeCell ref="N74:S74"/>
    <mergeCell ref="T73:Y73"/>
    <mergeCell ref="T80:Y80"/>
    <mergeCell ref="N77:S77"/>
    <mergeCell ref="B76:G76"/>
    <mergeCell ref="B77:G77"/>
    <mergeCell ref="T74:Y74"/>
    <mergeCell ref="H74:M74"/>
    <mergeCell ref="N80:S80"/>
    <mergeCell ref="A72:A73"/>
    <mergeCell ref="B75:G75"/>
    <mergeCell ref="A59:E59"/>
    <mergeCell ref="A60:E60"/>
    <mergeCell ref="N71:S71"/>
    <mergeCell ref="N69:S69"/>
    <mergeCell ref="T69:Y69"/>
    <mergeCell ref="A76:A77"/>
    <mergeCell ref="T76:Y76"/>
    <mergeCell ref="H75:M75"/>
    <mergeCell ref="A48:A49"/>
    <mergeCell ref="Q51:AE51"/>
    <mergeCell ref="H70:M70"/>
    <mergeCell ref="A56:B56"/>
    <mergeCell ref="O56:P56"/>
    <mergeCell ref="C56:L56"/>
    <mergeCell ref="T70:Y70"/>
    <mergeCell ref="Q54:AE54"/>
    <mergeCell ref="M52:N52"/>
    <mergeCell ref="C55:L55"/>
    <mergeCell ref="M55:N55"/>
    <mergeCell ref="Q56:AE56"/>
    <mergeCell ref="Q55:AE55"/>
    <mergeCell ref="A51:B51"/>
    <mergeCell ref="N70:S70"/>
    <mergeCell ref="Z70:AE70"/>
    <mergeCell ref="C52:L52"/>
    <mergeCell ref="M54:N54"/>
    <mergeCell ref="C51:K51"/>
    <mergeCell ref="B48:G48"/>
    <mergeCell ref="H48:M48"/>
    <mergeCell ref="B69:G69"/>
    <mergeCell ref="H69:M69"/>
    <mergeCell ref="Z73:AE73"/>
    <mergeCell ref="T47:Y47"/>
    <mergeCell ref="N76:S76"/>
    <mergeCell ref="C53:L53"/>
    <mergeCell ref="N49:S49"/>
    <mergeCell ref="M51:N51"/>
    <mergeCell ref="O51:P51"/>
    <mergeCell ref="A74:A75"/>
    <mergeCell ref="Q53:AE53"/>
    <mergeCell ref="Q52:AE52"/>
    <mergeCell ref="M53:N53"/>
    <mergeCell ref="T48:Y48"/>
    <mergeCell ref="A53:B53"/>
    <mergeCell ref="Z48:AE48"/>
    <mergeCell ref="Z72:AE72"/>
    <mergeCell ref="O52:P52"/>
    <mergeCell ref="O55:P55"/>
    <mergeCell ref="B71:G71"/>
    <mergeCell ref="O53:P53"/>
    <mergeCell ref="A52:B52"/>
    <mergeCell ref="A55:B55"/>
    <mergeCell ref="M56:N56"/>
    <mergeCell ref="Z65:AE65"/>
    <mergeCell ref="T75:Y75"/>
    <mergeCell ref="H71:M71"/>
    <mergeCell ref="H72:M72"/>
    <mergeCell ref="B74:G74"/>
    <mergeCell ref="N72:S72"/>
    <mergeCell ref="T72:Y72"/>
    <mergeCell ref="B73:G73"/>
    <mergeCell ref="B72:G72"/>
    <mergeCell ref="B70:G70"/>
    <mergeCell ref="T71:Y71"/>
    <mergeCell ref="Z69:AE69"/>
    <mergeCell ref="B78:G78"/>
    <mergeCell ref="B79:G79"/>
    <mergeCell ref="H76:M76"/>
    <mergeCell ref="H77:M77"/>
    <mergeCell ref="N78:S78"/>
    <mergeCell ref="T78:Y78"/>
    <mergeCell ref="N79:S79"/>
    <mergeCell ref="T79:Y79"/>
    <mergeCell ref="T77:Y77"/>
    <mergeCell ref="Z74:AE74"/>
    <mergeCell ref="Z75:AE75"/>
    <mergeCell ref="Z76:AE76"/>
    <mergeCell ref="Z77:AE77"/>
    <mergeCell ref="Z78:AA81"/>
    <mergeCell ref="AB78:AB81"/>
    <mergeCell ref="AC78:AD81"/>
    <mergeCell ref="AE78:AE81"/>
    <mergeCell ref="N73:S73"/>
    <mergeCell ref="H73:M73"/>
    <mergeCell ref="N75:S75"/>
    <mergeCell ref="N81:S81"/>
    <mergeCell ref="T81:Y81"/>
    <mergeCell ref="Z71:AE71"/>
  </mergeCells>
  <dataValidations count="15">
    <dataValidation type="list" allowBlank="1" showInputMessage="1" showErrorMessage="1" sqref="A70:A81 A38:A49 A6:A17" xr:uid="{00000000-0002-0000-0700-000000000000}">
      <formula1>HORARIO</formula1>
    </dataValidation>
    <dataValidation type="list" allowBlank="1" showInputMessage="1" showErrorMessage="1" sqref="A67:Y67 A3:Y3 A35:Y35" xr:uid="{00000000-0002-0000-0700-000001000000}">
      <formula1>GRUPO</formula1>
    </dataValidation>
    <dataValidation type="list" allowBlank="1" showInputMessage="1" showErrorMessage="1" sqref="M78 Z66:AE67 J78 B7:AE7 B41:AE41 Z2:AE3 Z34:AE35 B43:AE43 B11:AE11 B39:AE39 AO78 B9:AE9 B17:AE17 B47:AE47 AE78 B15:AE15 B13:AE13 N81:Y81 B71:AE71 B77:AE77 AB78 B73:AE73 B75:AE75 B79:G79 B81:G81 N79:Y79 B45:AE45 B49:AE49" xr:uid="{00000000-0002-0000-0700-000002000000}">
      <formula1>AULAS</formula1>
    </dataValidation>
    <dataValidation type="list" allowBlank="1" showInputMessage="1" showErrorMessage="1" sqref="A20:A25 A52:A56 A84 B10:AE10 B16:AE16 B48:M48 B12:AE12 B8:AE8 B14:AE14 B6:AE6 Z48:AE48" xr:uid="{00000000-0002-0000-0700-000003000000}">
      <formula1>INDIRECT($A$4)</formula1>
    </dataValidation>
    <dataValidation type="list" allowBlank="1" showInputMessage="1" showErrorMessage="1" sqref="A68 A4 A36" xr:uid="{00000000-0002-0000-0700-000004000000}">
      <formula1>GIM</formula1>
    </dataValidation>
    <dataValidation type="list" allowBlank="1" showInputMessage="1" showErrorMessage="1" sqref="B38:AE38 B40:AE40 N48:Y48 B46:AE46 B42:AE42 B44:AE44" xr:uid="{00000000-0002-0000-0700-000005000000}">
      <formula1>INDIRECT($A$36)</formula1>
    </dataValidation>
    <dataValidation type="list" allowBlank="1" showInputMessage="1" showErrorMessage="1" sqref="A85:A95 Z70 B70:T70 AM78 N80:Y80 B72:T72 Z72 AC78 B74:Z74 B76:Z76 B80:G80 B78:H78 N78:Z78 K78" xr:uid="{00000000-0002-0000-0700-000006000000}">
      <formula1>INDIRECT($A$68)</formula1>
    </dataValidation>
    <dataValidation type="list" allowBlank="1" showInputMessage="1" showErrorMessage="1" sqref="A31 A62 A101" xr:uid="{00000000-0002-0000-0700-000007000000}">
      <formula1>notas</formula1>
    </dataValidation>
    <dataValidation type="list" allowBlank="1" showInputMessage="1" showErrorMessage="1" sqref="M20:N20 M52:N52" xr:uid="{00000000-0002-0000-0700-000008000000}">
      <formula1>INDIRECT(M19)</formula1>
    </dataValidation>
    <dataValidation type="list" allowBlank="1" showInputMessage="1" showErrorMessage="1" sqref="M21:N21 M53:N53" xr:uid="{00000000-0002-0000-0700-000009000000}">
      <formula1>INDIRECT(M19)</formula1>
    </dataValidation>
    <dataValidation type="list" allowBlank="1" showInputMessage="1" showErrorMessage="1" sqref="M22:N22 M54:N54" xr:uid="{00000000-0002-0000-0700-00000A000000}">
      <formula1>INDIRECT(M19)</formula1>
    </dataValidation>
    <dataValidation type="list" allowBlank="1" showInputMessage="1" showErrorMessage="1" sqref="M23:N23 M55:N55" xr:uid="{00000000-0002-0000-0700-00000B000000}">
      <formula1>INDIRECT(M19)</formula1>
    </dataValidation>
    <dataValidation type="list" allowBlank="1" showInputMessage="1" showErrorMessage="1" sqref="M24:N25 M56:N56" xr:uid="{00000000-0002-0000-0700-00000C000000}">
      <formula1>INDIRECT(M19)</formula1>
    </dataValidation>
    <dataValidation type="list" allowBlank="1" showInputMessage="1" showErrorMessage="1" sqref="M19:N19 M51:N51 M83:N83" xr:uid="{00000000-0002-0000-0700-00000D000000}">
      <formula1>Asignaturas2</formula1>
    </dataValidation>
    <dataValidation type="list" allowBlank="1" showInputMessage="1" showErrorMessage="1" sqref="M84:M95 N86:N95 N84" xr:uid="{00000000-0002-0000-0700-00000E000000}">
      <formula1>INDIRECT($M$83)</formula1>
    </dataValidation>
  </dataValidations>
  <pageMargins left="0.55000000000000004" right="0.19685039370078741" top="0.94488188976377963" bottom="0.86614173228346458" header="0.27559055118110237" footer="0"/>
  <pageSetup paperSize="9" scale="68" fitToHeight="0" orientation="portrait" r:id="rId1"/>
  <headerFooter alignWithMargins="0">
    <oddHeader>&amp;C&amp;"Arial Narrow,Negrita"&amp;18ESCUELA POLITECNICA SUPERIOR&amp;"Arial,Normal"&amp;10
&amp;"Arial Narrow,Negrita"&amp;16Campus Vena&amp;R&amp;"Chiller,Normal"&amp;24&amp;K05-043&amp;A</oddHeader>
    <oddFooter>&amp;L&amp;12ESCUELA POLITECNICA SUPERIOR - Campus Vena&amp;11
&amp;9SUBDIRECCION  DE  ORDENACION  ACADEMICA Y PROFESORADO&amp;R&amp;12&amp;D</oddFooter>
  </headerFooter>
  <rowBreaks count="2" manualBreakCount="2">
    <brk id="32" max="16383" man="1"/>
    <brk id="64"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F94"/>
  <sheetViews>
    <sheetView view="pageBreakPreview" topLeftCell="A39" zoomScale="87" zoomScaleNormal="100" zoomScaleSheetLayoutView="87" workbookViewId="0">
      <selection activeCell="M52" sqref="M52:N52"/>
    </sheetView>
  </sheetViews>
  <sheetFormatPr baseColWidth="10" defaultRowHeight="13.2" x14ac:dyDescent="0.25"/>
  <cols>
    <col min="1" max="1" width="15.6640625" customWidth="1"/>
    <col min="2" max="3" width="3.6640625" customWidth="1"/>
    <col min="4" max="4" width="4.6640625" customWidth="1"/>
    <col min="5" max="31" width="3.6640625" customWidth="1"/>
    <col min="32" max="220" width="9.109375" customWidth="1"/>
  </cols>
  <sheetData>
    <row r="1" spans="1:31" s="1" customFormat="1" ht="31.5" customHeight="1" thickBot="1" x14ac:dyDescent="0.45">
      <c r="A1" s="1094" t="str">
        <f>VLOOKUP(A4,ASIGNATURAS!$A$2:$D$151, 3, FALSE)</f>
        <v>Máster en Integridad y Durabilidad de Materiales</v>
      </c>
      <c r="B1" s="1095"/>
      <c r="C1" s="1095"/>
      <c r="D1" s="1095"/>
      <c r="E1" s="1095"/>
      <c r="F1" s="1095"/>
      <c r="G1" s="1095"/>
      <c r="H1" s="1095"/>
      <c r="I1" s="1095"/>
      <c r="J1" s="1095"/>
      <c r="K1" s="1095"/>
      <c r="L1" s="1095"/>
      <c r="M1" s="1095"/>
      <c r="N1" s="1095"/>
      <c r="O1" s="1095"/>
      <c r="P1" s="1095"/>
      <c r="Q1" s="1095"/>
      <c r="R1" s="1095"/>
      <c r="S1" s="1095"/>
      <c r="T1" s="1095"/>
      <c r="U1" s="1095"/>
      <c r="V1" s="1095"/>
      <c r="W1" s="1095"/>
      <c r="X1" s="1095"/>
      <c r="Y1" s="1096"/>
      <c r="Z1" s="1076" t="str">
        <f>Aulas!G5</f>
        <v>Curso 2024-2025</v>
      </c>
      <c r="AA1" s="1077"/>
      <c r="AB1" s="1077"/>
      <c r="AC1" s="1077"/>
      <c r="AD1" s="1077"/>
      <c r="AE1" s="1078"/>
    </row>
    <row r="2" spans="1:31" s="8" customFormat="1" ht="23.25" customHeight="1" thickBot="1" x14ac:dyDescent="0.45">
      <c r="A2" s="1083" t="str">
        <f>VLOOKUP(A4,ASIGNATURAS!A2:D151, 2, FALSE)</f>
        <v>Semestre temporal: 1º        (1º Semestre Académico)</v>
      </c>
      <c r="B2" s="1084"/>
      <c r="C2" s="1084"/>
      <c r="D2" s="1084"/>
      <c r="E2" s="1084"/>
      <c r="F2" s="1084"/>
      <c r="G2" s="1084"/>
      <c r="H2" s="1084"/>
      <c r="I2" s="1084"/>
      <c r="J2" s="1084"/>
      <c r="K2" s="1084"/>
      <c r="L2" s="1084"/>
      <c r="M2" s="1084"/>
      <c r="N2" s="1084"/>
      <c r="O2" s="1084"/>
      <c r="P2" s="1084"/>
      <c r="Q2" s="1084"/>
      <c r="R2" s="1084"/>
      <c r="S2" s="1084"/>
      <c r="T2" s="1084"/>
      <c r="U2" s="1084"/>
      <c r="V2" s="1084"/>
      <c r="W2" s="1084"/>
      <c r="X2" s="1084"/>
      <c r="Y2" s="1085"/>
      <c r="Z2" s="1072"/>
      <c r="AA2" s="1072"/>
      <c r="AB2" s="1072"/>
      <c r="AC2" s="1072"/>
      <c r="AD2" s="1072"/>
      <c r="AE2" s="1073"/>
    </row>
    <row r="3" spans="1:31" s="8" customFormat="1" ht="23.25" customHeight="1" thickBot="1" x14ac:dyDescent="0.45">
      <c r="A3" s="1083" t="s">
        <v>181</v>
      </c>
      <c r="B3" s="1084"/>
      <c r="C3" s="1084"/>
      <c r="D3" s="1084"/>
      <c r="E3" s="1084"/>
      <c r="F3" s="1084"/>
      <c r="G3" s="1084"/>
      <c r="H3" s="1084"/>
      <c r="I3" s="1084"/>
      <c r="J3" s="1084"/>
      <c r="K3" s="1084"/>
      <c r="L3" s="1084"/>
      <c r="M3" s="1084"/>
      <c r="N3" s="1084"/>
      <c r="O3" s="1084"/>
      <c r="P3" s="1084"/>
      <c r="Q3" s="1084"/>
      <c r="R3" s="1084"/>
      <c r="S3" s="1084"/>
      <c r="T3" s="1084"/>
      <c r="U3" s="1084"/>
      <c r="V3" s="1084"/>
      <c r="W3" s="1084"/>
      <c r="X3" s="1084"/>
      <c r="Y3" s="1085"/>
      <c r="Z3" s="1074"/>
      <c r="AA3" s="1074"/>
      <c r="AB3" s="1074"/>
      <c r="AC3" s="1074"/>
      <c r="AD3" s="1074"/>
      <c r="AE3" s="1075"/>
    </row>
    <row r="4" spans="1:31" ht="38.25" customHeight="1" thickBot="1" x14ac:dyDescent="0.3">
      <c r="A4" s="23" t="s">
        <v>529</v>
      </c>
    </row>
    <row r="5" spans="1:31" s="2" customFormat="1" ht="24" customHeight="1" thickBot="1" x14ac:dyDescent="0.3">
      <c r="A5" s="24" t="s">
        <v>1</v>
      </c>
      <c r="B5" s="1092" t="s">
        <v>2</v>
      </c>
      <c r="C5" s="1092"/>
      <c r="D5" s="1092"/>
      <c r="E5" s="1092"/>
      <c r="F5" s="1092"/>
      <c r="G5" s="2748"/>
      <c r="H5" s="1092" t="s">
        <v>3</v>
      </c>
      <c r="I5" s="1092"/>
      <c r="J5" s="1092"/>
      <c r="K5" s="1092"/>
      <c r="L5" s="1092"/>
      <c r="M5" s="2748"/>
      <c r="N5" s="1092" t="s">
        <v>139</v>
      </c>
      <c r="O5" s="1092"/>
      <c r="P5" s="1092"/>
      <c r="Q5" s="1092"/>
      <c r="R5" s="1092"/>
      <c r="S5" s="2748"/>
      <c r="T5" s="1092" t="s">
        <v>4</v>
      </c>
      <c r="U5" s="1092"/>
      <c r="V5" s="1092"/>
      <c r="W5" s="1092"/>
      <c r="X5" s="1092"/>
      <c r="Y5" s="2748"/>
      <c r="Z5" s="1092" t="s">
        <v>5</v>
      </c>
      <c r="AA5" s="1092"/>
      <c r="AB5" s="1092"/>
      <c r="AC5" s="1092"/>
      <c r="AD5" s="1092"/>
      <c r="AE5" s="1093"/>
    </row>
    <row r="6" spans="1:31" ht="30" customHeight="1" x14ac:dyDescent="0.3">
      <c r="A6" s="1526" t="s">
        <v>544</v>
      </c>
      <c r="B6" s="1261"/>
      <c r="C6" s="1050"/>
      <c r="D6" s="1050"/>
      <c r="E6" s="1050"/>
      <c r="F6" s="1050"/>
      <c r="G6" s="1262"/>
      <c r="H6" s="1050"/>
      <c r="I6" s="1050"/>
      <c r="J6" s="1050"/>
      <c r="K6" s="1050"/>
      <c r="L6" s="1050"/>
      <c r="M6" s="1262"/>
      <c r="N6" s="1050"/>
      <c r="O6" s="1050"/>
      <c r="P6" s="1050"/>
      <c r="Q6" s="1050"/>
      <c r="R6" s="1050"/>
      <c r="S6" s="1262"/>
      <c r="T6" s="1050"/>
      <c r="U6" s="1050"/>
      <c r="V6" s="1050"/>
      <c r="W6" s="1050"/>
      <c r="X6" s="1050"/>
      <c r="Y6" s="1262"/>
      <c r="Z6" s="1050"/>
      <c r="AA6" s="1050"/>
      <c r="AB6" s="1050"/>
      <c r="AC6" s="1050"/>
      <c r="AD6" s="1050"/>
      <c r="AE6" s="1262"/>
    </row>
    <row r="7" spans="1:31" ht="30" customHeight="1" x14ac:dyDescent="0.25">
      <c r="A7" s="1143"/>
      <c r="B7" s="1258"/>
      <c r="C7" s="1259"/>
      <c r="D7" s="1259"/>
      <c r="E7" s="1259"/>
      <c r="F7" s="1259"/>
      <c r="G7" s="1260"/>
      <c r="H7" s="1259"/>
      <c r="I7" s="1259"/>
      <c r="J7" s="1259"/>
      <c r="K7" s="1259"/>
      <c r="L7" s="1259"/>
      <c r="M7" s="1260"/>
      <c r="N7" s="1259"/>
      <c r="O7" s="1259"/>
      <c r="P7" s="1259"/>
      <c r="Q7" s="1259"/>
      <c r="R7" s="1259"/>
      <c r="S7" s="1260"/>
      <c r="T7" s="1259"/>
      <c r="U7" s="1259"/>
      <c r="V7" s="1259"/>
      <c r="W7" s="1259"/>
      <c r="X7" s="1259"/>
      <c r="Y7" s="1260"/>
      <c r="Z7" s="1259"/>
      <c r="AA7" s="1259"/>
      <c r="AB7" s="1259"/>
      <c r="AC7" s="1259"/>
      <c r="AD7" s="1259"/>
      <c r="AE7" s="1260"/>
    </row>
    <row r="8" spans="1:31" ht="30" customHeight="1" x14ac:dyDescent="0.3">
      <c r="A8" s="1143" t="s">
        <v>543</v>
      </c>
      <c r="B8" s="2891" t="s">
        <v>472</v>
      </c>
      <c r="C8" s="2892"/>
      <c r="D8" s="2892"/>
      <c r="E8" s="2892"/>
      <c r="F8" s="2892"/>
      <c r="G8" s="2893"/>
      <c r="H8" s="2892" t="s">
        <v>473</v>
      </c>
      <c r="I8" s="2892"/>
      <c r="J8" s="2892"/>
      <c r="K8" s="2892"/>
      <c r="L8" s="2892"/>
      <c r="M8" s="2893"/>
      <c r="N8" s="2892" t="s">
        <v>475</v>
      </c>
      <c r="O8" s="2892"/>
      <c r="P8" s="2892"/>
      <c r="Q8" s="2892"/>
      <c r="R8" s="2892"/>
      <c r="S8" s="2893"/>
      <c r="T8" s="2892" t="s">
        <v>471</v>
      </c>
      <c r="U8" s="2892"/>
      <c r="V8" s="2892"/>
      <c r="W8" s="2892"/>
      <c r="X8" s="2892"/>
      <c r="Y8" s="2893"/>
      <c r="Z8" s="967"/>
      <c r="AA8" s="967"/>
      <c r="AB8" s="967"/>
      <c r="AC8" s="967"/>
      <c r="AD8" s="967"/>
      <c r="AE8" s="1139"/>
    </row>
    <row r="9" spans="1:31" ht="30" customHeight="1" x14ac:dyDescent="0.25">
      <c r="A9" s="1143"/>
      <c r="B9" s="2888" t="s">
        <v>545</v>
      </c>
      <c r="C9" s="2889"/>
      <c r="D9" s="2889"/>
      <c r="E9" s="2889"/>
      <c r="F9" s="2889"/>
      <c r="G9" s="2890"/>
      <c r="H9" s="2888" t="s">
        <v>663</v>
      </c>
      <c r="I9" s="2889"/>
      <c r="J9" s="2889"/>
      <c r="K9" s="2889"/>
      <c r="L9" s="2889"/>
      <c r="M9" s="2890"/>
      <c r="N9" s="2888" t="s">
        <v>164</v>
      </c>
      <c r="O9" s="2889"/>
      <c r="P9" s="2889"/>
      <c r="Q9" s="2889"/>
      <c r="R9" s="2889"/>
      <c r="S9" s="2890"/>
      <c r="T9" s="2888" t="s">
        <v>663</v>
      </c>
      <c r="U9" s="2889"/>
      <c r="V9" s="2889"/>
      <c r="W9" s="2889"/>
      <c r="X9" s="2889"/>
      <c r="Y9" s="2890"/>
      <c r="Z9" s="1259"/>
      <c r="AA9" s="1259"/>
      <c r="AB9" s="1259"/>
      <c r="AC9" s="1259"/>
      <c r="AD9" s="1259"/>
      <c r="AE9" s="1260"/>
    </row>
    <row r="10" spans="1:31" ht="30" customHeight="1" x14ac:dyDescent="0.3">
      <c r="A10" s="935" t="s">
        <v>540</v>
      </c>
      <c r="B10" s="1081" t="s">
        <v>472</v>
      </c>
      <c r="C10" s="939"/>
      <c r="D10" s="939"/>
      <c r="E10" s="939"/>
      <c r="F10" s="939"/>
      <c r="G10" s="1082"/>
      <c r="H10" s="939" t="s">
        <v>473</v>
      </c>
      <c r="I10" s="939"/>
      <c r="J10" s="939"/>
      <c r="K10" s="939"/>
      <c r="L10" s="939"/>
      <c r="M10" s="1082"/>
      <c r="N10" s="939" t="s">
        <v>475</v>
      </c>
      <c r="O10" s="939"/>
      <c r="P10" s="939"/>
      <c r="Q10" s="939"/>
      <c r="R10" s="939"/>
      <c r="S10" s="1082"/>
      <c r="T10" s="939" t="s">
        <v>471</v>
      </c>
      <c r="U10" s="939"/>
      <c r="V10" s="939"/>
      <c r="W10" s="939"/>
      <c r="X10" s="939"/>
      <c r="Y10" s="1082"/>
      <c r="Z10" s="967"/>
      <c r="AA10" s="967"/>
      <c r="AB10" s="967"/>
      <c r="AC10" s="967"/>
      <c r="AD10" s="967"/>
      <c r="AE10" s="1139"/>
    </row>
    <row r="11" spans="1:31" ht="30" customHeight="1" x14ac:dyDescent="0.25">
      <c r="A11" s="1143"/>
      <c r="B11" s="1067" t="s">
        <v>663</v>
      </c>
      <c r="C11" s="944"/>
      <c r="D11" s="944"/>
      <c r="E11" s="944"/>
      <c r="F11" s="944"/>
      <c r="G11" s="1068"/>
      <c r="H11" s="1067" t="s">
        <v>663</v>
      </c>
      <c r="I11" s="944"/>
      <c r="J11" s="944"/>
      <c r="K11" s="944"/>
      <c r="L11" s="944"/>
      <c r="M11" s="1068"/>
      <c r="N11" s="1067" t="s">
        <v>663</v>
      </c>
      <c r="O11" s="944"/>
      <c r="P11" s="944"/>
      <c r="Q11" s="944"/>
      <c r="R11" s="944"/>
      <c r="S11" s="1068"/>
      <c r="T11" s="1067" t="s">
        <v>663</v>
      </c>
      <c r="U11" s="944"/>
      <c r="V11" s="944"/>
      <c r="W11" s="944"/>
      <c r="X11" s="944"/>
      <c r="Y11" s="1068"/>
      <c r="Z11" s="1259"/>
      <c r="AA11" s="1259"/>
      <c r="AB11" s="1259"/>
      <c r="AC11" s="1259"/>
      <c r="AD11" s="1259"/>
      <c r="AE11" s="1260"/>
    </row>
    <row r="12" spans="1:31" ht="30" customHeight="1" x14ac:dyDescent="0.3">
      <c r="A12" s="935" t="s">
        <v>541</v>
      </c>
      <c r="B12" s="1081" t="s">
        <v>27</v>
      </c>
      <c r="C12" s="939"/>
      <c r="D12" s="939"/>
      <c r="E12" s="939"/>
      <c r="F12" s="939"/>
      <c r="G12" s="1082"/>
      <c r="H12" s="1289" t="s">
        <v>547</v>
      </c>
      <c r="I12" s="1290"/>
      <c r="J12" s="1290"/>
      <c r="K12" s="1290"/>
      <c r="L12" s="1290"/>
      <c r="M12" s="1291"/>
      <c r="N12" s="939" t="s">
        <v>474</v>
      </c>
      <c r="O12" s="939"/>
      <c r="P12" s="939"/>
      <c r="Q12" s="939"/>
      <c r="R12" s="939"/>
      <c r="S12" s="1082"/>
      <c r="T12" s="967"/>
      <c r="U12" s="967"/>
      <c r="V12" s="967"/>
      <c r="W12" s="967"/>
      <c r="X12" s="967"/>
      <c r="Y12" s="1139"/>
      <c r="Z12" s="967"/>
      <c r="AA12" s="967"/>
      <c r="AB12" s="967"/>
      <c r="AC12" s="967"/>
      <c r="AD12" s="967"/>
      <c r="AE12" s="1139"/>
    </row>
    <row r="13" spans="1:31" ht="30" customHeight="1" x14ac:dyDescent="0.25">
      <c r="A13" s="1143"/>
      <c r="B13" s="1067" t="s">
        <v>663</v>
      </c>
      <c r="C13" s="944"/>
      <c r="D13" s="944"/>
      <c r="E13" s="944"/>
      <c r="F13" s="944"/>
      <c r="G13" s="1068"/>
      <c r="H13" s="1067" t="s">
        <v>663</v>
      </c>
      <c r="I13" s="944"/>
      <c r="J13" s="944"/>
      <c r="K13" s="944"/>
      <c r="L13" s="944"/>
      <c r="M13" s="1068"/>
      <c r="N13" s="1067" t="s">
        <v>663</v>
      </c>
      <c r="O13" s="944"/>
      <c r="P13" s="944"/>
      <c r="Q13" s="944"/>
      <c r="R13" s="944"/>
      <c r="S13" s="1068"/>
      <c r="T13" s="1259"/>
      <c r="U13" s="1259"/>
      <c r="V13" s="1259"/>
      <c r="W13" s="1259"/>
      <c r="X13" s="1259"/>
      <c r="Y13" s="1260"/>
      <c r="Z13" s="1259"/>
      <c r="AA13" s="1259"/>
      <c r="AB13" s="1259"/>
      <c r="AC13" s="1259"/>
      <c r="AD13" s="1259"/>
      <c r="AE13" s="1260"/>
    </row>
    <row r="14" spans="1:31" ht="30" customHeight="1" x14ac:dyDescent="0.3">
      <c r="A14" s="935" t="s">
        <v>542</v>
      </c>
      <c r="B14" s="2891" t="s">
        <v>27</v>
      </c>
      <c r="C14" s="2892"/>
      <c r="D14" s="2892"/>
      <c r="E14" s="2892"/>
      <c r="F14" s="2892"/>
      <c r="G14" s="2893"/>
      <c r="H14" s="2892" t="s">
        <v>547</v>
      </c>
      <c r="I14" s="2892"/>
      <c r="J14" s="2892"/>
      <c r="K14" s="2892"/>
      <c r="L14" s="2892"/>
      <c r="M14" s="2893"/>
      <c r="N14" s="2892" t="s">
        <v>474</v>
      </c>
      <c r="O14" s="2892"/>
      <c r="P14" s="2892"/>
      <c r="Q14" s="2892"/>
      <c r="R14" s="2892"/>
      <c r="S14" s="2893"/>
      <c r="T14" s="967"/>
      <c r="U14" s="967"/>
      <c r="V14" s="967"/>
      <c r="W14" s="967"/>
      <c r="X14" s="967"/>
      <c r="Y14" s="1139"/>
      <c r="Z14" s="932"/>
      <c r="AA14" s="932"/>
      <c r="AB14" s="932"/>
      <c r="AC14" s="932"/>
      <c r="AD14" s="932"/>
      <c r="AE14" s="1205"/>
    </row>
    <row r="15" spans="1:31" ht="30" customHeight="1" thickBot="1" x14ac:dyDescent="0.3">
      <c r="A15" s="1223"/>
      <c r="B15" s="2894" t="s">
        <v>164</v>
      </c>
      <c r="C15" s="2895"/>
      <c r="D15" s="2895"/>
      <c r="E15" s="2895"/>
      <c r="F15" s="2895"/>
      <c r="G15" s="2896"/>
      <c r="H15" s="2894" t="s">
        <v>545</v>
      </c>
      <c r="I15" s="2895"/>
      <c r="J15" s="2895"/>
      <c r="K15" s="2895"/>
      <c r="L15" s="2895"/>
      <c r="M15" s="2896"/>
      <c r="N15" s="2894" t="s">
        <v>164</v>
      </c>
      <c r="O15" s="2895"/>
      <c r="P15" s="2895"/>
      <c r="Q15" s="2895"/>
      <c r="R15" s="2895"/>
      <c r="S15" s="2896"/>
      <c r="T15" s="1264"/>
      <c r="U15" s="1264"/>
      <c r="V15" s="1264"/>
      <c r="W15" s="1264"/>
      <c r="X15" s="1264"/>
      <c r="Y15" s="1265"/>
      <c r="Z15" s="1264"/>
      <c r="AA15" s="1264"/>
      <c r="AB15" s="1264"/>
      <c r="AC15" s="1264"/>
      <c r="AD15" s="1264"/>
      <c r="AE15" s="1265"/>
    </row>
    <row r="16" spans="1:31" ht="41.25" customHeight="1" thickBot="1" x14ac:dyDescent="0.3"/>
    <row r="17" spans="1:31" ht="18.75" customHeight="1" thickBot="1" x14ac:dyDescent="0.3">
      <c r="A17" s="1190" t="s">
        <v>218</v>
      </c>
      <c r="B17" s="1147"/>
      <c r="C17" s="1146" t="s">
        <v>219</v>
      </c>
      <c r="D17" s="1146"/>
      <c r="E17" s="1146"/>
      <c r="F17" s="1146"/>
      <c r="G17" s="1146"/>
      <c r="H17" s="1146"/>
      <c r="I17" s="1146"/>
      <c r="J17" s="1146"/>
      <c r="K17" s="1146"/>
      <c r="L17" s="58"/>
      <c r="M17" s="1144" t="s">
        <v>532</v>
      </c>
      <c r="N17" s="1145"/>
      <c r="O17" s="1146" t="s">
        <v>143</v>
      </c>
      <c r="P17" s="1147"/>
      <c r="Q17" s="1146" t="s">
        <v>167</v>
      </c>
      <c r="R17" s="1146"/>
      <c r="S17" s="1146"/>
      <c r="T17" s="1146"/>
      <c r="U17" s="1146"/>
      <c r="V17" s="1146"/>
      <c r="W17" s="1146"/>
      <c r="X17" s="1146"/>
      <c r="Y17" s="1146"/>
      <c r="Z17" s="1146"/>
      <c r="AA17" s="1146"/>
      <c r="AB17" s="1146"/>
      <c r="AC17" s="1146"/>
      <c r="AD17" s="1146"/>
      <c r="AE17" s="1147"/>
    </row>
    <row r="18" spans="1:31" ht="13.8" x14ac:dyDescent="0.25">
      <c r="A18" s="1400" t="str">
        <f>VLOOKUP(M18,ASIGNATURAS!$F$1:$L$1022, 3, FALSE)</f>
        <v>MATERIALES</v>
      </c>
      <c r="B18" s="1401"/>
      <c r="C18" s="1397" t="str">
        <f>VLOOKUP(M18,ASIGNATURAS!$F$1:$L$1022, 4, FALSE)</f>
        <v>Materiales Estructurales</v>
      </c>
      <c r="D18" s="1398"/>
      <c r="E18" s="1398"/>
      <c r="F18" s="1398"/>
      <c r="G18" s="1398"/>
      <c r="H18" s="1398"/>
      <c r="I18" s="1398"/>
      <c r="J18" s="1398"/>
      <c r="K18" s="1398"/>
      <c r="L18" s="1399"/>
      <c r="M18" s="1402">
        <v>7101</v>
      </c>
      <c r="N18" s="1403"/>
      <c r="O18" s="1402">
        <f>VLOOKUP(M18,ASIGNATURAS!$F$1:$L$1022, 5, FALSE)</f>
        <v>4</v>
      </c>
      <c r="P18" s="1403"/>
      <c r="Q18" s="1397" t="str">
        <f>VLOOKUP(M18,ASIGNATURAS!$F$1:$L$1022, 6, FALSE)</f>
        <v>Fco. Javier Belzunce (UNIOVI), Monica Preciado (UBU)</v>
      </c>
      <c r="R18" s="1398"/>
      <c r="S18" s="1398"/>
      <c r="T18" s="1398"/>
      <c r="U18" s="1398"/>
      <c r="V18" s="1398"/>
      <c r="W18" s="1398"/>
      <c r="X18" s="1398"/>
      <c r="Y18" s="1398"/>
      <c r="Z18" s="1398"/>
      <c r="AA18" s="1398"/>
      <c r="AB18" s="1398"/>
      <c r="AC18" s="1398"/>
      <c r="AD18" s="1398"/>
      <c r="AE18" s="1399"/>
    </row>
    <row r="19" spans="1:31" ht="13.8" x14ac:dyDescent="0.25">
      <c r="A19" s="1065" t="str">
        <f>VLOOKUP(M19,ASIGNATURAS!$F$1:$L$1022, 3, FALSE)</f>
        <v>ELAST-PLAS</v>
      </c>
      <c r="B19" s="1066"/>
      <c r="C19" s="982" t="str">
        <f>VLOOKUP(M19,ASIGNATURAS!$F$1:$L$1022, 4, FALSE)</f>
        <v>Teoría de la Elasticidad y Plasticidad</v>
      </c>
      <c r="D19" s="983"/>
      <c r="E19" s="983"/>
      <c r="F19" s="983"/>
      <c r="G19" s="983"/>
      <c r="H19" s="983"/>
      <c r="I19" s="983"/>
      <c r="J19" s="983"/>
      <c r="K19" s="983"/>
      <c r="L19" s="1018"/>
      <c r="M19" s="981">
        <v>7102</v>
      </c>
      <c r="N19" s="1071"/>
      <c r="O19" s="981">
        <f>VLOOKUP(M19,ASIGNATURAS!$F$1:$L$1022, 5, FALSE)</f>
        <v>4</v>
      </c>
      <c r="P19" s="1071"/>
      <c r="Q19" s="982" t="str">
        <f>VLOOKUP(M19,ASIGNATURAS!$F$1:$L$1022, 6, FALSE)</f>
        <v>Wilco Verbeeten (UBU)</v>
      </c>
      <c r="R19" s="983"/>
      <c r="S19" s="983"/>
      <c r="T19" s="983"/>
      <c r="U19" s="983"/>
      <c r="V19" s="983"/>
      <c r="W19" s="983"/>
      <c r="X19" s="983"/>
      <c r="Y19" s="983"/>
      <c r="Z19" s="983"/>
      <c r="AA19" s="983"/>
      <c r="AB19" s="983"/>
      <c r="AC19" s="983"/>
      <c r="AD19" s="983"/>
      <c r="AE19" s="1018"/>
    </row>
    <row r="20" spans="1:31" ht="13.8" x14ac:dyDescent="0.25">
      <c r="A20" s="1065" t="str">
        <f>VLOOKUP(M20,ASIGNATURAS!$F$1:$L$1022, 3, FALSE)</f>
        <v>FRACTURA</v>
      </c>
      <c r="B20" s="1066"/>
      <c r="C20" s="982" t="str">
        <f>VLOOKUP(M20,ASIGNATURAS!$F$1:$L$1022, 4, FALSE)</f>
        <v>Mecánica de la Fractura</v>
      </c>
      <c r="D20" s="983"/>
      <c r="E20" s="983"/>
      <c r="F20" s="983"/>
      <c r="G20" s="983"/>
      <c r="H20" s="983"/>
      <c r="I20" s="983"/>
      <c r="J20" s="983"/>
      <c r="K20" s="983"/>
      <c r="L20" s="1018"/>
      <c r="M20" s="981">
        <v>7103</v>
      </c>
      <c r="N20" s="1071"/>
      <c r="O20" s="981">
        <f>VLOOKUP(M20,ASIGNATURAS!$F$1:$L$1022, 5, FALSE)</f>
        <v>4</v>
      </c>
      <c r="P20" s="1071"/>
      <c r="Q20" s="982" t="str">
        <f>VLOOKUP(M20,ASIGNATURAS!$F$1:$L$1022, 6, FALSE)</f>
        <v xml:space="preserve"> Covadonga Betegón Biempica (UNIOVI), Ivan Cuesta Segura (UBU)</v>
      </c>
      <c r="R20" s="983"/>
      <c r="S20" s="983"/>
      <c r="T20" s="983"/>
      <c r="U20" s="983"/>
      <c r="V20" s="983"/>
      <c r="W20" s="983"/>
      <c r="X20" s="983"/>
      <c r="Y20" s="983"/>
      <c r="Z20" s="983"/>
      <c r="AA20" s="983"/>
      <c r="AB20" s="983"/>
      <c r="AC20" s="983"/>
      <c r="AD20" s="983"/>
      <c r="AE20" s="1018"/>
    </row>
    <row r="21" spans="1:31" ht="13.8" x14ac:dyDescent="0.25">
      <c r="A21" s="1065" t="str">
        <f>VLOOKUP(M21,ASIGNATURAS!$F$1:$L$1022, 3, FALSE)</f>
        <v>FATIGA</v>
      </c>
      <c r="B21" s="1066"/>
      <c r="C21" s="982" t="str">
        <f>VLOOKUP(M21,ASIGNATURAS!$F$1:$L$1022, 4, FALSE)</f>
        <v>Fatiga, Corrosión Bajo Tensión y Fluencia</v>
      </c>
      <c r="D21" s="983"/>
      <c r="E21" s="983"/>
      <c r="F21" s="983"/>
      <c r="G21" s="983"/>
      <c r="H21" s="983"/>
      <c r="I21" s="983"/>
      <c r="J21" s="983"/>
      <c r="K21" s="983"/>
      <c r="L21" s="1018"/>
      <c r="M21" s="981">
        <v>7104</v>
      </c>
      <c r="N21" s="1071"/>
      <c r="O21" s="981">
        <f>VLOOKUP(M21,ASIGNATURAS!$F$1:$L$1022, 5, FALSE)</f>
        <v>4</v>
      </c>
      <c r="P21" s="1071"/>
      <c r="Q21" s="982" t="str">
        <f>VLOOKUP(M21,ASIGNATURAS!$F$1:$L$1022, 6, FALSE)</f>
        <v>Jose Alberto Alvarez (UNICAN), Jesús Manuel Alegre (UBU)</v>
      </c>
      <c r="R21" s="983"/>
      <c r="S21" s="983"/>
      <c r="T21" s="983"/>
      <c r="U21" s="983"/>
      <c r="V21" s="983"/>
      <c r="W21" s="983"/>
      <c r="X21" s="983"/>
      <c r="Y21" s="983"/>
      <c r="Z21" s="983"/>
      <c r="AA21" s="983"/>
      <c r="AB21" s="983"/>
      <c r="AC21" s="983"/>
      <c r="AD21" s="983"/>
      <c r="AE21" s="1018"/>
    </row>
    <row r="22" spans="1:31" ht="13.8" x14ac:dyDescent="0.25">
      <c r="A22" s="1065" t="str">
        <f>VLOOKUP(M22,ASIGNATURAS!$F$1:$L$1022, 3, FALSE)</f>
        <v>CORROSIÓN</v>
      </c>
      <c r="B22" s="1066"/>
      <c r="C22" s="982" t="str">
        <f>VLOOKUP(M22,ASIGNATURAS!$F$1:$L$1022, 4, FALSE)</f>
        <v>Corrosión, Oxidación, Desgaste y Protección</v>
      </c>
      <c r="D22" s="983"/>
      <c r="E22" s="983"/>
      <c r="F22" s="983"/>
      <c r="G22" s="983"/>
      <c r="H22" s="983"/>
      <c r="I22" s="983"/>
      <c r="J22" s="983"/>
      <c r="K22" s="983"/>
      <c r="L22" s="1018"/>
      <c r="M22" s="981">
        <v>7105</v>
      </c>
      <c r="N22" s="1071"/>
      <c r="O22" s="981">
        <f>VLOOKUP(M22,ASIGNATURAS!$F$1:$L$1022, 5, FALSE)</f>
        <v>4</v>
      </c>
      <c r="P22" s="1071"/>
      <c r="Q22" s="982" t="str">
        <f>VLOOKUP(M22,ASIGNATURAS!$F$1:$L$1022, 6, FALSE)</f>
        <v>Pedro Bravo Diez (UBU)</v>
      </c>
      <c r="R22" s="983"/>
      <c r="S22" s="983"/>
      <c r="T22" s="983"/>
      <c r="U22" s="983"/>
      <c r="V22" s="983"/>
      <c r="W22" s="983"/>
      <c r="X22" s="983"/>
      <c r="Y22" s="983"/>
      <c r="Z22" s="983"/>
      <c r="AA22" s="983"/>
      <c r="AB22" s="983"/>
      <c r="AC22" s="983"/>
      <c r="AD22" s="983"/>
      <c r="AE22" s="1018"/>
    </row>
    <row r="23" spans="1:31" ht="13.8" x14ac:dyDescent="0.25">
      <c r="A23" s="1065" t="str">
        <f>VLOOKUP(M23,ASIGNATURAS!$F$1:$L$1022, 3, FALSE)</f>
        <v>SOLDADURA</v>
      </c>
      <c r="B23" s="1066"/>
      <c r="C23" s="982" t="str">
        <f>VLOOKUP(M23,ASIGNATURAS!$F$1:$L$1022, 4, FALSE)</f>
        <v>Soldadura y Tecnologías de Unión</v>
      </c>
      <c r="D23" s="983"/>
      <c r="E23" s="983"/>
      <c r="F23" s="983"/>
      <c r="G23" s="983"/>
      <c r="H23" s="983"/>
      <c r="I23" s="983"/>
      <c r="J23" s="983"/>
      <c r="K23" s="983"/>
      <c r="L23" s="1018"/>
      <c r="M23" s="981">
        <v>7108</v>
      </c>
      <c r="N23" s="1071"/>
      <c r="O23" s="981">
        <f>VLOOKUP(M23,ASIGNATURAS!$F$1:$L$1022, 5, FALSE)</f>
        <v>4</v>
      </c>
      <c r="P23" s="1071"/>
      <c r="Q23" s="982" t="str">
        <f>VLOOKUP(M23,ASIGNATURAS!$F$1:$L$1022, 6, FALSE)</f>
        <v>Cristina Rodriguez (UNIOVI), Monica Preciado (UBU)</v>
      </c>
      <c r="R23" s="983"/>
      <c r="S23" s="983"/>
      <c r="T23" s="983"/>
      <c r="U23" s="983"/>
      <c r="V23" s="983"/>
      <c r="W23" s="983"/>
      <c r="X23" s="983"/>
      <c r="Y23" s="983"/>
      <c r="Z23" s="983"/>
      <c r="AA23" s="983"/>
      <c r="AB23" s="983"/>
      <c r="AC23" s="983"/>
      <c r="AD23" s="983"/>
      <c r="AE23" s="1018"/>
    </row>
    <row r="24" spans="1:31" ht="13.8" x14ac:dyDescent="0.25">
      <c r="A24" s="1065" t="str">
        <f>VLOOKUP(M24,ASIGNATURAS!$F$1:$L$1022, 3, FALSE)</f>
        <v>SIMULACIÓN NÚMERICA</v>
      </c>
      <c r="B24" s="1066"/>
      <c r="C24" s="982" t="str">
        <f>VLOOKUP(M24,ASIGNATURAS!$F$1:$L$1022, 4, FALSE)</f>
        <v>Simulación Numérica de Mat, Comp y Est.</v>
      </c>
      <c r="D24" s="983"/>
      <c r="E24" s="983"/>
      <c r="F24" s="983"/>
      <c r="G24" s="983"/>
      <c r="H24" s="983"/>
      <c r="I24" s="983"/>
      <c r="J24" s="983"/>
      <c r="K24" s="983"/>
      <c r="L24" s="1018"/>
      <c r="M24" s="981">
        <v>7106</v>
      </c>
      <c r="N24" s="1071"/>
      <c r="O24" s="981">
        <f>VLOOKUP(M24,ASIGNATURAS!$F$1:$L$1022, 5, FALSE)</f>
        <v>4</v>
      </c>
      <c r="P24" s="1071"/>
      <c r="Q24" s="982" t="str">
        <f>VLOOKUP(M24,ASIGNATURAS!$F$1:$L$1022, 6, FALSE)</f>
        <v>Ivan Cuesta Segura (UBU)</v>
      </c>
      <c r="R24" s="983"/>
      <c r="S24" s="983"/>
      <c r="T24" s="983"/>
      <c r="U24" s="983"/>
      <c r="V24" s="983"/>
      <c r="W24" s="983"/>
      <c r="X24" s="983"/>
      <c r="Y24" s="983"/>
      <c r="Z24" s="983"/>
      <c r="AA24" s="983"/>
      <c r="AB24" s="983"/>
      <c r="AC24" s="983"/>
      <c r="AD24" s="983"/>
      <c r="AE24" s="1018"/>
    </row>
    <row r="26" spans="1:31" ht="13.8" thickBot="1" x14ac:dyDescent="0.3"/>
    <row r="27" spans="1:31" ht="24" customHeight="1" thickBot="1" x14ac:dyDescent="0.3">
      <c r="A27" s="2809" t="s">
        <v>1044</v>
      </c>
      <c r="B27" s="2810"/>
      <c r="C27" s="2810"/>
      <c r="D27" s="2811"/>
    </row>
    <row r="28" spans="1:31" ht="24" customHeight="1" thickBot="1" x14ac:dyDescent="0.3">
      <c r="A28" s="2795" t="s">
        <v>1045</v>
      </c>
      <c r="B28" s="2796"/>
      <c r="C28" s="2796"/>
      <c r="D28" s="2797"/>
    </row>
    <row r="29" spans="1:31" x14ac:dyDescent="0.25">
      <c r="AC29" s="2900"/>
      <c r="AD29" s="2900"/>
      <c r="AE29" s="2900"/>
    </row>
    <row r="30" spans="1:31" x14ac:dyDescent="0.25">
      <c r="A30" s="25" t="s">
        <v>217</v>
      </c>
    </row>
    <row r="31" spans="1:31" ht="13.8" thickBot="1" x14ac:dyDescent="0.3">
      <c r="A31" s="25"/>
    </row>
    <row r="32" spans="1:31" s="1" customFormat="1" ht="31.5" customHeight="1" thickBot="1" x14ac:dyDescent="0.45">
      <c r="A32" s="1094" t="str">
        <f>VLOOKUP(A35,ASIGNATURAS!$A$2:$D$151, 3, FALSE)</f>
        <v>Máster en Integridad y Durabilidad de Materiales</v>
      </c>
      <c r="B32" s="1095"/>
      <c r="C32" s="1095"/>
      <c r="D32" s="1095"/>
      <c r="E32" s="1095"/>
      <c r="F32" s="1095"/>
      <c r="G32" s="1095"/>
      <c r="H32" s="1095"/>
      <c r="I32" s="1095"/>
      <c r="J32" s="1095"/>
      <c r="K32" s="1095"/>
      <c r="L32" s="1095"/>
      <c r="M32" s="1095"/>
      <c r="N32" s="1095"/>
      <c r="O32" s="1095"/>
      <c r="P32" s="1095"/>
      <c r="Q32" s="1095"/>
      <c r="R32" s="1095"/>
      <c r="S32" s="1095"/>
      <c r="T32" s="1095"/>
      <c r="U32" s="1095"/>
      <c r="V32" s="1095"/>
      <c r="W32" s="1095"/>
      <c r="X32" s="1095"/>
      <c r="Y32" s="1096"/>
      <c r="Z32" s="1076" t="str">
        <f>Z1</f>
        <v>Curso 2024-2025</v>
      </c>
      <c r="AA32" s="1077"/>
      <c r="AB32" s="1077"/>
      <c r="AC32" s="1077"/>
      <c r="AD32" s="1077"/>
      <c r="AE32" s="1078"/>
    </row>
    <row r="33" spans="1:32" s="8" customFormat="1" ht="23.25" customHeight="1" thickBot="1" x14ac:dyDescent="0.45">
      <c r="A33" s="1083" t="str">
        <f>VLOOKUP(A35,ASIGNATURAS!$A$2:$D$151, 2, FALSE)</f>
        <v>Semestre temporal: 2º        (2º Semestre Académico)</v>
      </c>
      <c r="B33" s="1084"/>
      <c r="C33" s="1084"/>
      <c r="D33" s="1084"/>
      <c r="E33" s="1084"/>
      <c r="F33" s="1084"/>
      <c r="G33" s="1084"/>
      <c r="H33" s="1084"/>
      <c r="I33" s="1084"/>
      <c r="J33" s="1084"/>
      <c r="K33" s="1084"/>
      <c r="L33" s="1084"/>
      <c r="M33" s="1084"/>
      <c r="N33" s="1084"/>
      <c r="O33" s="1084"/>
      <c r="P33" s="1084"/>
      <c r="Q33" s="1084"/>
      <c r="R33" s="1084"/>
      <c r="S33" s="1084"/>
      <c r="T33" s="1084"/>
      <c r="U33" s="1084"/>
      <c r="V33" s="1084"/>
      <c r="W33" s="1084"/>
      <c r="X33" s="1084"/>
      <c r="Y33" s="1085"/>
      <c r="Z33" s="1072"/>
      <c r="AA33" s="1072"/>
      <c r="AB33" s="1072"/>
      <c r="AC33" s="1072"/>
      <c r="AD33" s="1072"/>
      <c r="AE33" s="1073"/>
    </row>
    <row r="34" spans="1:32" s="8" customFormat="1" ht="23.25" customHeight="1" thickBot="1" x14ac:dyDescent="0.45">
      <c r="A34" s="1083" t="s">
        <v>181</v>
      </c>
      <c r="B34" s="1084"/>
      <c r="C34" s="1084"/>
      <c r="D34" s="1084"/>
      <c r="E34" s="1084"/>
      <c r="F34" s="1084"/>
      <c r="G34" s="1084"/>
      <c r="H34" s="1084"/>
      <c r="I34" s="1084"/>
      <c r="J34" s="1084"/>
      <c r="K34" s="1084"/>
      <c r="L34" s="1084"/>
      <c r="M34" s="1084"/>
      <c r="N34" s="1084"/>
      <c r="O34" s="1084"/>
      <c r="P34" s="1084"/>
      <c r="Q34" s="1084"/>
      <c r="R34" s="1084"/>
      <c r="S34" s="1084"/>
      <c r="T34" s="1084"/>
      <c r="U34" s="1084"/>
      <c r="V34" s="1084"/>
      <c r="W34" s="1084"/>
      <c r="X34" s="1084"/>
      <c r="Y34" s="1085"/>
      <c r="Z34" s="1074"/>
      <c r="AA34" s="1074"/>
      <c r="AB34" s="1074"/>
      <c r="AC34" s="1074"/>
      <c r="AD34" s="1074"/>
      <c r="AE34" s="1075"/>
    </row>
    <row r="35" spans="1:32" ht="38.25" customHeight="1" thickBot="1" x14ac:dyDescent="0.3">
      <c r="A35" s="23" t="s">
        <v>530</v>
      </c>
    </row>
    <row r="36" spans="1:32" s="2" customFormat="1" ht="24" customHeight="1" thickBot="1" x14ac:dyDescent="0.3">
      <c r="A36" s="24" t="s">
        <v>1</v>
      </c>
      <c r="B36" s="1092" t="s">
        <v>2</v>
      </c>
      <c r="C36" s="1092"/>
      <c r="D36" s="1092"/>
      <c r="E36" s="1092"/>
      <c r="F36" s="1092"/>
      <c r="G36" s="2748"/>
      <c r="H36" s="1092" t="s">
        <v>3</v>
      </c>
      <c r="I36" s="1092"/>
      <c r="J36" s="1092"/>
      <c r="K36" s="1092"/>
      <c r="L36" s="1092"/>
      <c r="M36" s="2748"/>
      <c r="N36" s="1092" t="s">
        <v>139</v>
      </c>
      <c r="O36" s="1092"/>
      <c r="P36" s="1092"/>
      <c r="Q36" s="1092"/>
      <c r="R36" s="1092"/>
      <c r="S36" s="2748"/>
      <c r="T36" s="1092" t="s">
        <v>4</v>
      </c>
      <c r="U36" s="1092"/>
      <c r="V36" s="1092"/>
      <c r="W36" s="1092"/>
      <c r="X36" s="1092"/>
      <c r="Y36" s="2748"/>
      <c r="Z36" s="1092" t="s">
        <v>5</v>
      </c>
      <c r="AA36" s="1092"/>
      <c r="AB36" s="1092"/>
      <c r="AC36" s="1092"/>
      <c r="AD36" s="1092"/>
      <c r="AE36" s="1093"/>
    </row>
    <row r="37" spans="1:32" ht="30" customHeight="1" x14ac:dyDescent="0.3">
      <c r="A37" s="1526" t="s">
        <v>544</v>
      </c>
      <c r="B37" s="1261"/>
      <c r="C37" s="1050"/>
      <c r="D37" s="1050"/>
      <c r="E37" s="1050"/>
      <c r="F37" s="1050"/>
      <c r="G37" s="1262"/>
      <c r="H37" s="1261"/>
      <c r="I37" s="1050"/>
      <c r="J37" s="1050"/>
      <c r="K37" s="1050"/>
      <c r="L37" s="1050"/>
      <c r="M37" s="1262"/>
      <c r="N37" s="1261"/>
      <c r="O37" s="1050"/>
      <c r="P37" s="1050"/>
      <c r="Q37" s="1050"/>
      <c r="R37" s="1050"/>
      <c r="S37" s="1262"/>
      <c r="T37" s="1050"/>
      <c r="U37" s="1050"/>
      <c r="V37" s="1050"/>
      <c r="W37" s="1050"/>
      <c r="X37" s="1050"/>
      <c r="Y37" s="1262"/>
      <c r="Z37" s="1050"/>
      <c r="AA37" s="1050"/>
      <c r="AB37" s="1050"/>
      <c r="AC37" s="1050"/>
      <c r="AD37" s="1050"/>
      <c r="AE37" s="1262"/>
    </row>
    <row r="38" spans="1:32" ht="30" customHeight="1" x14ac:dyDescent="0.25">
      <c r="A38" s="1143"/>
      <c r="B38" s="1404"/>
      <c r="C38" s="1405"/>
      <c r="D38" s="1405"/>
      <c r="E38" s="1405"/>
      <c r="F38" s="1405"/>
      <c r="G38" s="1406"/>
      <c r="H38" s="1404"/>
      <c r="I38" s="1405"/>
      <c r="J38" s="1405"/>
      <c r="K38" s="1405"/>
      <c r="L38" s="1405"/>
      <c r="M38" s="1406"/>
      <c r="N38" s="1404"/>
      <c r="O38" s="1405"/>
      <c r="P38" s="1405"/>
      <c r="Q38" s="1405"/>
      <c r="R38" s="1405"/>
      <c r="S38" s="1406"/>
      <c r="T38" s="1405"/>
      <c r="U38" s="1405"/>
      <c r="V38" s="1405"/>
      <c r="W38" s="1405"/>
      <c r="X38" s="1405"/>
      <c r="Y38" s="1406"/>
      <c r="Z38" s="1258"/>
      <c r="AA38" s="1259"/>
      <c r="AB38" s="1259"/>
      <c r="AC38" s="1259"/>
      <c r="AD38" s="1259"/>
      <c r="AE38" s="1260"/>
    </row>
    <row r="39" spans="1:32" ht="30" customHeight="1" x14ac:dyDescent="0.3">
      <c r="A39" s="1143" t="s">
        <v>543</v>
      </c>
      <c r="B39" s="2904" t="s">
        <v>546</v>
      </c>
      <c r="C39" s="2905"/>
      <c r="D39" s="2905"/>
      <c r="E39" s="2905"/>
      <c r="F39" s="2905"/>
      <c r="G39" s="2906"/>
      <c r="H39" s="2904" t="s">
        <v>482</v>
      </c>
      <c r="I39" s="2905"/>
      <c r="J39" s="2905"/>
      <c r="K39" s="2905"/>
      <c r="L39" s="2905"/>
      <c r="M39" s="2906"/>
      <c r="N39" s="2904" t="s">
        <v>930</v>
      </c>
      <c r="O39" s="2905"/>
      <c r="P39" s="2905"/>
      <c r="Q39" s="2905"/>
      <c r="R39" s="2905"/>
      <c r="S39" s="2906"/>
      <c r="T39" s="2897" t="s">
        <v>953</v>
      </c>
      <c r="U39" s="2898"/>
      <c r="V39" s="2898"/>
      <c r="W39" s="2898"/>
      <c r="X39" s="2898"/>
      <c r="Y39" s="2899"/>
      <c r="Z39" s="967"/>
      <c r="AA39" s="967"/>
      <c r="AB39" s="967"/>
      <c r="AC39" s="967"/>
      <c r="AD39" s="967"/>
      <c r="AE39" s="1139"/>
    </row>
    <row r="40" spans="1:32" ht="30" customHeight="1" x14ac:dyDescent="0.25">
      <c r="A40" s="1143"/>
      <c r="B40" s="2888" t="s">
        <v>630</v>
      </c>
      <c r="C40" s="2889"/>
      <c r="D40" s="2889"/>
      <c r="E40" s="2889"/>
      <c r="F40" s="2889"/>
      <c r="G40" s="2890"/>
      <c r="H40" s="2901" t="s">
        <v>630</v>
      </c>
      <c r="I40" s="2902"/>
      <c r="J40" s="2902"/>
      <c r="K40" s="2902"/>
      <c r="L40" s="2902"/>
      <c r="M40" s="2903"/>
      <c r="N40" s="2888" t="s">
        <v>164</v>
      </c>
      <c r="O40" s="2889"/>
      <c r="P40" s="2889"/>
      <c r="Q40" s="2889"/>
      <c r="R40" s="2889"/>
      <c r="S40" s="2890"/>
      <c r="T40" s="2888" t="s">
        <v>164</v>
      </c>
      <c r="U40" s="2889"/>
      <c r="V40" s="2889"/>
      <c r="W40" s="2889"/>
      <c r="X40" s="2889"/>
      <c r="Y40" s="2890"/>
      <c r="Z40" s="1259"/>
      <c r="AA40" s="1259"/>
      <c r="AB40" s="1259"/>
      <c r="AC40" s="1259"/>
      <c r="AD40" s="1259"/>
      <c r="AE40" s="1260"/>
    </row>
    <row r="41" spans="1:32" ht="30" customHeight="1" x14ac:dyDescent="0.25">
      <c r="A41" s="935" t="s">
        <v>540</v>
      </c>
      <c r="B41" s="1281" t="s">
        <v>546</v>
      </c>
      <c r="C41" s="1282"/>
      <c r="D41" s="1282"/>
      <c r="E41" s="1282"/>
      <c r="F41" s="1282"/>
      <c r="G41" s="1283"/>
      <c r="H41" s="2904" t="s">
        <v>482</v>
      </c>
      <c r="I41" s="2905"/>
      <c r="J41" s="2905"/>
      <c r="K41" s="2905"/>
      <c r="L41" s="2905"/>
      <c r="M41" s="2906"/>
      <c r="N41" s="1281" t="s">
        <v>930</v>
      </c>
      <c r="O41" s="1282"/>
      <c r="P41" s="1282"/>
      <c r="Q41" s="1282"/>
      <c r="R41" s="1282"/>
      <c r="S41" s="1283"/>
      <c r="T41" s="1281" t="s">
        <v>953</v>
      </c>
      <c r="U41" s="1282"/>
      <c r="V41" s="1282"/>
      <c r="W41" s="1282"/>
      <c r="X41" s="1282"/>
      <c r="Y41" s="1283"/>
      <c r="AF41" s="33"/>
    </row>
    <row r="42" spans="1:32" ht="30" customHeight="1" x14ac:dyDescent="0.25">
      <c r="A42" s="1143"/>
      <c r="B42" s="2907" t="s">
        <v>663</v>
      </c>
      <c r="C42" s="2908"/>
      <c r="D42" s="2908"/>
      <c r="E42" s="2908"/>
      <c r="F42" s="2908"/>
      <c r="G42" s="2909"/>
      <c r="H42" s="2901" t="s">
        <v>630</v>
      </c>
      <c r="I42" s="2902"/>
      <c r="J42" s="2902"/>
      <c r="K42" s="2902"/>
      <c r="L42" s="2902"/>
      <c r="M42" s="2903"/>
      <c r="N42" s="2907" t="s">
        <v>663</v>
      </c>
      <c r="O42" s="2908"/>
      <c r="P42" s="2908"/>
      <c r="Q42" s="2908"/>
      <c r="R42" s="2908"/>
      <c r="S42" s="2909"/>
      <c r="T42" s="2907" t="s">
        <v>663</v>
      </c>
      <c r="U42" s="2908"/>
      <c r="V42" s="2908"/>
      <c r="W42" s="2908"/>
      <c r="X42" s="2908"/>
      <c r="Y42" s="2909"/>
    </row>
    <row r="43" spans="1:32" ht="30" customHeight="1" x14ac:dyDescent="0.3">
      <c r="A43" s="935" t="s">
        <v>541</v>
      </c>
      <c r="B43" s="1281" t="s">
        <v>546</v>
      </c>
      <c r="C43" s="1282"/>
      <c r="D43" s="1282"/>
      <c r="E43" s="1282"/>
      <c r="F43" s="1282"/>
      <c r="G43" s="1283"/>
      <c r="H43" s="2904" t="s">
        <v>482</v>
      </c>
      <c r="I43" s="2905"/>
      <c r="J43" s="2905"/>
      <c r="K43" s="2905"/>
      <c r="L43" s="2905"/>
      <c r="M43" s="2906"/>
      <c r="N43" s="1281" t="s">
        <v>930</v>
      </c>
      <c r="O43" s="1282"/>
      <c r="P43" s="1282"/>
      <c r="Q43" s="1282"/>
      <c r="R43" s="1282"/>
      <c r="S43" s="1283"/>
      <c r="T43" s="1281" t="s">
        <v>953</v>
      </c>
      <c r="U43" s="1282"/>
      <c r="V43" s="1282"/>
      <c r="W43" s="1282"/>
      <c r="X43" s="1282"/>
      <c r="Y43" s="1283"/>
      <c r="Z43" s="1000"/>
      <c r="AA43" s="967"/>
      <c r="AB43" s="967"/>
      <c r="AC43" s="967"/>
      <c r="AD43" s="967"/>
      <c r="AE43" s="1139"/>
    </row>
    <row r="44" spans="1:32" ht="30" customHeight="1" x14ac:dyDescent="0.25">
      <c r="A44" s="1143"/>
      <c r="B44" s="2907" t="s">
        <v>663</v>
      </c>
      <c r="C44" s="2908"/>
      <c r="D44" s="2908"/>
      <c r="E44" s="2908"/>
      <c r="F44" s="2908"/>
      <c r="G44" s="2909"/>
      <c r="H44" s="2888" t="s">
        <v>630</v>
      </c>
      <c r="I44" s="2889"/>
      <c r="J44" s="2889"/>
      <c r="K44" s="2889"/>
      <c r="L44" s="2889"/>
      <c r="M44" s="2890"/>
      <c r="N44" s="2907" t="s">
        <v>663</v>
      </c>
      <c r="O44" s="2908"/>
      <c r="P44" s="2908"/>
      <c r="Q44" s="2908"/>
      <c r="R44" s="2908"/>
      <c r="S44" s="2909"/>
      <c r="T44" s="2907" t="s">
        <v>663</v>
      </c>
      <c r="U44" s="2908"/>
      <c r="V44" s="2908"/>
      <c r="W44" s="2908"/>
      <c r="X44" s="2908"/>
      <c r="Y44" s="2909"/>
      <c r="Z44" s="1405"/>
      <c r="AA44" s="1405"/>
      <c r="AB44" s="1405"/>
      <c r="AC44" s="1405"/>
      <c r="AD44" s="1405"/>
      <c r="AE44" s="1406"/>
    </row>
    <row r="45" spans="1:32" ht="30" customHeight="1" x14ac:dyDescent="0.3">
      <c r="A45" s="935" t="s">
        <v>542</v>
      </c>
      <c r="B45" s="2904" t="s">
        <v>546</v>
      </c>
      <c r="C45" s="2905"/>
      <c r="D45" s="2905"/>
      <c r="E45" s="2905"/>
      <c r="F45" s="2905"/>
      <c r="G45" s="2906"/>
      <c r="H45" s="2910" t="s">
        <v>482</v>
      </c>
      <c r="I45" s="2911"/>
      <c r="J45" s="2911"/>
      <c r="K45" s="2911"/>
      <c r="L45" s="2911"/>
      <c r="M45" s="2912"/>
      <c r="N45" s="2904" t="s">
        <v>930</v>
      </c>
      <c r="O45" s="2905"/>
      <c r="P45" s="2905"/>
      <c r="Q45" s="2905"/>
      <c r="R45" s="2905"/>
      <c r="S45" s="2906"/>
      <c r="T45" s="2913" t="s">
        <v>953</v>
      </c>
      <c r="U45" s="2914"/>
      <c r="V45" s="2914"/>
      <c r="W45" s="2914"/>
      <c r="X45" s="2914"/>
      <c r="Y45" s="2915"/>
      <c r="Z45" s="1000"/>
      <c r="AA45" s="967"/>
      <c r="AB45" s="967"/>
      <c r="AC45" s="967"/>
      <c r="AD45" s="967"/>
      <c r="AE45" s="1139"/>
    </row>
    <row r="46" spans="1:32" ht="30" customHeight="1" thickBot="1" x14ac:dyDescent="0.3">
      <c r="A46" s="1223"/>
      <c r="B46" s="2894" t="s">
        <v>630</v>
      </c>
      <c r="C46" s="2895"/>
      <c r="D46" s="2895"/>
      <c r="E46" s="2895"/>
      <c r="F46" s="2895"/>
      <c r="G46" s="2896"/>
      <c r="H46" s="2894" t="s">
        <v>630</v>
      </c>
      <c r="I46" s="2895"/>
      <c r="J46" s="2895"/>
      <c r="K46" s="2895"/>
      <c r="L46" s="2895"/>
      <c r="M46" s="2896"/>
      <c r="N46" s="2894" t="s">
        <v>164</v>
      </c>
      <c r="O46" s="2895"/>
      <c r="P46" s="2895"/>
      <c r="Q46" s="2895"/>
      <c r="R46" s="2895"/>
      <c r="S46" s="2896"/>
      <c r="T46" s="2894" t="s">
        <v>164</v>
      </c>
      <c r="U46" s="2895"/>
      <c r="V46" s="2895"/>
      <c r="W46" s="2895"/>
      <c r="X46" s="2895"/>
      <c r="Y46" s="2896"/>
      <c r="Z46" s="1264"/>
      <c r="AA46" s="1264"/>
      <c r="AB46" s="1264"/>
      <c r="AC46" s="1264"/>
      <c r="AD46" s="1264"/>
      <c r="AE46" s="1265"/>
    </row>
    <row r="47" spans="1:32" ht="41.25" customHeight="1" thickBot="1" x14ac:dyDescent="0.3">
      <c r="I47" s="35"/>
      <c r="J47" s="35"/>
      <c r="L47" s="35"/>
      <c r="P47" s="35"/>
    </row>
    <row r="48" spans="1:32" ht="18.75" customHeight="1" thickBot="1" x14ac:dyDescent="0.3">
      <c r="A48" s="1190" t="s">
        <v>218</v>
      </c>
      <c r="B48" s="1147"/>
      <c r="C48" s="1146" t="s">
        <v>219</v>
      </c>
      <c r="D48" s="1146"/>
      <c r="E48" s="1146"/>
      <c r="F48" s="1146"/>
      <c r="G48" s="1146"/>
      <c r="H48" s="1146"/>
      <c r="I48" s="1146"/>
      <c r="J48" s="1146"/>
      <c r="K48" s="1146"/>
      <c r="L48" s="58"/>
      <c r="M48" s="1144" t="s">
        <v>533</v>
      </c>
      <c r="N48" s="1145"/>
      <c r="O48" s="1146" t="s">
        <v>143</v>
      </c>
      <c r="P48" s="1147"/>
      <c r="Q48" s="1146" t="s">
        <v>167</v>
      </c>
      <c r="R48" s="1146"/>
      <c r="S48" s="1146"/>
      <c r="T48" s="1146"/>
      <c r="U48" s="1146"/>
      <c r="V48" s="1146"/>
      <c r="W48" s="1146"/>
      <c r="X48" s="1146"/>
      <c r="Y48" s="1146"/>
      <c r="Z48" s="1146"/>
      <c r="AA48" s="1146"/>
      <c r="AB48" s="1146"/>
      <c r="AC48" s="1146"/>
      <c r="AD48" s="1146"/>
      <c r="AE48" s="1147"/>
    </row>
    <row r="49" spans="1:31" ht="13.8" x14ac:dyDescent="0.25">
      <c r="A49" s="1400" t="str">
        <f>VLOOKUP(M49,ASIGNATURAS!$F$1:$L$1022, 3, FALSE)</f>
        <v>INSPECCIÓN Y END</v>
      </c>
      <c r="B49" s="1401"/>
      <c r="C49" s="1397" t="str">
        <f>VLOOKUP(M49,ASIGNATURAS!$F$1:$L$1022, 4, FALSE)</f>
        <v>Técnicas de Inspección y END</v>
      </c>
      <c r="D49" s="1398"/>
      <c r="E49" s="1398"/>
      <c r="F49" s="1398"/>
      <c r="G49" s="1398"/>
      <c r="H49" s="1398"/>
      <c r="I49" s="1398"/>
      <c r="J49" s="1398"/>
      <c r="K49" s="1398"/>
      <c r="L49" s="1399"/>
      <c r="M49" s="1402">
        <v>7109</v>
      </c>
      <c r="N49" s="1403"/>
      <c r="O49" s="1402">
        <f>VLOOKUP(M49,ASIGNATURAS!$F$1:$L$1022, 5, FALSE)</f>
        <v>4</v>
      </c>
      <c r="P49" s="1403"/>
      <c r="Q49" s="1397" t="str">
        <f>VLOOKUP(M49,ASIGNATURAS!$F$1:$L$1022, 6, FALSE)</f>
        <v>Fco. J. Belzunce (UNIOVI), Pedro Bravo (UBU)</v>
      </c>
      <c r="R49" s="1398"/>
      <c r="S49" s="1398"/>
      <c r="T49" s="1398"/>
      <c r="U49" s="1398"/>
      <c r="V49" s="1398"/>
      <c r="W49" s="1398"/>
      <c r="X49" s="1398"/>
      <c r="Y49" s="1398"/>
      <c r="Z49" s="1398"/>
      <c r="AA49" s="1398"/>
      <c r="AB49" s="1398"/>
      <c r="AC49" s="1398"/>
      <c r="AD49" s="1398"/>
      <c r="AE49" s="1399"/>
    </row>
    <row r="50" spans="1:31" ht="13.8" x14ac:dyDescent="0.25">
      <c r="A50" s="1065" t="str">
        <f>VLOOKUP(M50,ASIGNATURAS!$F$1:$L$1022, 3, FALSE)</f>
        <v>INTEGRIDAD ESTRUCTURAL</v>
      </c>
      <c r="B50" s="1066"/>
      <c r="C50" s="982" t="str">
        <f>VLOOKUP(M50,ASIGNATURAS!$F$1:$L$1022, 4, FALSE)</f>
        <v>Procedimientos de Integridad Estructural</v>
      </c>
      <c r="D50" s="983"/>
      <c r="E50" s="983"/>
      <c r="F50" s="983"/>
      <c r="G50" s="983"/>
      <c r="H50" s="983"/>
      <c r="I50" s="983"/>
      <c r="J50" s="983"/>
      <c r="K50" s="983"/>
      <c r="L50" s="1018"/>
      <c r="M50" s="981">
        <v>7107</v>
      </c>
      <c r="N50" s="1071"/>
      <c r="O50" s="981">
        <f>VLOOKUP(M50,ASIGNATURAS!$F$1:$L$1022, 5, FALSE)</f>
        <v>4</v>
      </c>
      <c r="P50" s="1071"/>
      <c r="Q50" s="982" t="str">
        <f>VLOOKUP(M50,ASIGNATURAS!$F$1:$L$1022, 6, FALSE)</f>
        <v>Roberto Lacalle (UNICAM), Ivan Cuesta Segura (UBU)</v>
      </c>
      <c r="R50" s="983"/>
      <c r="S50" s="983"/>
      <c r="T50" s="983"/>
      <c r="U50" s="983"/>
      <c r="V50" s="983"/>
      <c r="W50" s="983"/>
      <c r="X50" s="983"/>
      <c r="Y50" s="983"/>
      <c r="Z50" s="983"/>
      <c r="AA50" s="983"/>
      <c r="AB50" s="983"/>
      <c r="AC50" s="983"/>
      <c r="AD50" s="983"/>
      <c r="AE50" s="1018"/>
    </row>
    <row r="51" spans="1:31" ht="13.8" x14ac:dyDescent="0.25">
      <c r="A51" s="1065" t="str">
        <f>VLOOKUP(M51,ASIGNATURAS!$F$1:$L$1022, 3, FALSE)</f>
        <v>ANÁLISIS DE FALLOS</v>
      </c>
      <c r="B51" s="1066"/>
      <c r="C51" s="982" t="str">
        <f>VLOOKUP(M51,ASIGNATURAS!$F$1:$L$1022, 4, FALSE)</f>
        <v>Análisis de Fallos</v>
      </c>
      <c r="D51" s="983"/>
      <c r="E51" s="983"/>
      <c r="F51" s="983"/>
      <c r="G51" s="983"/>
      <c r="H51" s="983"/>
      <c r="I51" s="983"/>
      <c r="J51" s="983"/>
      <c r="K51" s="983"/>
      <c r="L51" s="1018"/>
      <c r="M51" s="981">
        <v>7110</v>
      </c>
      <c r="N51" s="1071"/>
      <c r="O51" s="981">
        <f>VLOOKUP(M51,ASIGNATURAS!$F$1:$L$1022, 5, FALSE)</f>
        <v>4</v>
      </c>
      <c r="P51" s="1071"/>
      <c r="Q51" s="982" t="str">
        <f>VLOOKUP(M51,ASIGNATURAS!$F$1:$L$1022, 6, FALSE)</f>
        <v>Sergio Cicero (UNICAN), Pedro Bravo (UBU)</v>
      </c>
      <c r="R51" s="983"/>
      <c r="S51" s="983"/>
      <c r="T51" s="983"/>
      <c r="U51" s="983"/>
      <c r="V51" s="983"/>
      <c r="W51" s="983"/>
      <c r="X51" s="983"/>
      <c r="Y51" s="983"/>
      <c r="Z51" s="983"/>
      <c r="AA51" s="983"/>
      <c r="AB51" s="983"/>
      <c r="AC51" s="983"/>
      <c r="AD51" s="983"/>
      <c r="AE51" s="1018"/>
    </row>
    <row r="52" spans="1:31" ht="13.8" x14ac:dyDescent="0.25">
      <c r="A52" s="1065" t="str">
        <f>VLOOKUP(M52,ASIGNATURAS!$F$1:$L$1022, 3, FALSE)</f>
        <v>SEMINARIO I</v>
      </c>
      <c r="B52" s="1066"/>
      <c r="C52" s="982" t="str">
        <f>VLOOKUP(M52,ASIGNATURAS!$F$1:$L$1022, 4, FALSE)</f>
        <v>Seminario Especializado I</v>
      </c>
      <c r="D52" s="983"/>
      <c r="E52" s="983"/>
      <c r="F52" s="983"/>
      <c r="G52" s="983"/>
      <c r="H52" s="983"/>
      <c r="I52" s="983"/>
      <c r="J52" s="983"/>
      <c r="K52" s="983"/>
      <c r="L52" s="1018"/>
      <c r="M52" s="981">
        <v>7111</v>
      </c>
      <c r="N52" s="1071"/>
      <c r="O52" s="981">
        <f>VLOOKUP(M52,ASIGNATURAS!$F$1:$L$1022, 5, FALSE)</f>
        <v>4</v>
      </c>
      <c r="P52" s="1071"/>
      <c r="Q52" s="982" t="str">
        <f>VLOOKUP(M52,ASIGNATURAS!$F$1:$L$1022, 6, FALSE)</f>
        <v>Jesús Manuel Alegre (UBU), Wilco Verbeeten (UBU)</v>
      </c>
      <c r="R52" s="983"/>
      <c r="S52" s="983"/>
      <c r="T52" s="983"/>
      <c r="U52" s="983"/>
      <c r="V52" s="983"/>
      <c r="W52" s="983"/>
      <c r="X52" s="983"/>
      <c r="Y52" s="983"/>
      <c r="Z52" s="983"/>
      <c r="AA52" s="983"/>
      <c r="AB52" s="983"/>
      <c r="AC52" s="983"/>
      <c r="AD52" s="983"/>
      <c r="AE52" s="1018"/>
    </row>
    <row r="53" spans="1:31" ht="13.8" x14ac:dyDescent="0.25">
      <c r="A53" s="1065" t="str">
        <f>VLOOKUP(M53,ASIGNATURAS!$F$1:$L$1022, 3, FALSE)</f>
        <v>SEMINARIO II</v>
      </c>
      <c r="B53" s="1066"/>
      <c r="C53" s="982" t="str">
        <f>VLOOKUP(M53,ASIGNATURAS!$F$1:$L$1022, 4, FALSE)</f>
        <v>Seminario Especializado II</v>
      </c>
      <c r="D53" s="983"/>
      <c r="E53" s="983"/>
      <c r="F53" s="983"/>
      <c r="G53" s="983"/>
      <c r="H53" s="983"/>
      <c r="I53" s="983"/>
      <c r="J53" s="983"/>
      <c r="K53" s="983"/>
      <c r="L53" s="1018"/>
      <c r="M53" s="981">
        <v>7112</v>
      </c>
      <c r="N53" s="1071"/>
      <c r="O53" s="981">
        <f>VLOOKUP(M53,ASIGNATURAS!$F$1:$L$1022, 5, FALSE)</f>
        <v>4</v>
      </c>
      <c r="P53" s="1071"/>
      <c r="Q53" s="982" t="str">
        <f>VLOOKUP(M53,ASIGNATURAS!$F$1:$L$1022, 6, FALSE)</f>
        <v>Wilco Verbeeten (UBU)</v>
      </c>
      <c r="R53" s="983"/>
      <c r="S53" s="983"/>
      <c r="T53" s="983"/>
      <c r="U53" s="983"/>
      <c r="V53" s="983"/>
      <c r="W53" s="983"/>
      <c r="X53" s="983"/>
      <c r="Y53" s="983"/>
      <c r="Z53" s="983"/>
      <c r="AA53" s="983"/>
      <c r="AB53" s="983"/>
      <c r="AC53" s="983"/>
      <c r="AD53" s="983"/>
      <c r="AE53" s="1018"/>
    </row>
    <row r="55" spans="1:31" ht="13.8" thickBot="1" x14ac:dyDescent="0.3"/>
    <row r="56" spans="1:31" ht="24" customHeight="1" thickBot="1" x14ac:dyDescent="0.3">
      <c r="A56" s="1273" t="s">
        <v>1044</v>
      </c>
      <c r="B56" s="1274"/>
      <c r="C56" s="1274"/>
      <c r="D56" s="1275"/>
    </row>
    <row r="57" spans="1:31" ht="24" customHeight="1" thickBot="1" x14ac:dyDescent="0.3">
      <c r="A57" s="2795" t="s">
        <v>1045</v>
      </c>
      <c r="B57" s="2796"/>
      <c r="C57" s="2796"/>
      <c r="D57" s="2797"/>
    </row>
    <row r="58" spans="1:31" ht="13.8" thickBot="1" x14ac:dyDescent="0.3">
      <c r="AC58" s="2916"/>
      <c r="AD58" s="2916"/>
      <c r="AE58" s="2916"/>
    </row>
    <row r="59" spans="1:31" x14ac:dyDescent="0.25">
      <c r="A59" s="11"/>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3"/>
    </row>
    <row r="60" spans="1:31" x14ac:dyDescent="0.25">
      <c r="A60" s="73" t="s">
        <v>554</v>
      </c>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5"/>
    </row>
    <row r="61" spans="1:31" ht="13.8" thickBot="1" x14ac:dyDescent="0.3">
      <c r="A61" s="16"/>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8"/>
    </row>
    <row r="62" spans="1:31" x14ac:dyDescent="0.25">
      <c r="A62" s="25" t="s">
        <v>217</v>
      </c>
    </row>
    <row r="64" spans="1:31" x14ac:dyDescent="0.25">
      <c r="A64" s="25"/>
    </row>
    <row r="65" spans="1:31" s="1" customFormat="1" ht="31.5" customHeight="1" x14ac:dyDescent="0.4">
      <c r="A65"/>
      <c r="B65"/>
      <c r="C65"/>
      <c r="D65"/>
      <c r="E65"/>
      <c r="F65"/>
      <c r="G65"/>
      <c r="H65"/>
      <c r="I65"/>
      <c r="J65"/>
      <c r="K65"/>
      <c r="L65"/>
      <c r="M65"/>
      <c r="N65"/>
      <c r="O65"/>
      <c r="P65"/>
      <c r="Q65"/>
      <c r="R65"/>
      <c r="S65"/>
      <c r="T65"/>
      <c r="U65"/>
      <c r="V65"/>
      <c r="W65"/>
      <c r="X65"/>
      <c r="Y65"/>
      <c r="Z65"/>
      <c r="AA65"/>
      <c r="AB65"/>
      <c r="AC65"/>
      <c r="AD65"/>
      <c r="AE65"/>
    </row>
    <row r="66" spans="1:31" s="8" customFormat="1" ht="23.25" customHeight="1" x14ac:dyDescent="0.4">
      <c r="A66"/>
      <c r="B66"/>
      <c r="C66"/>
      <c r="D66"/>
      <c r="E66"/>
      <c r="F66"/>
      <c r="G66"/>
      <c r="H66"/>
      <c r="I66"/>
      <c r="J66"/>
      <c r="K66"/>
      <c r="L66"/>
      <c r="M66"/>
      <c r="N66"/>
      <c r="O66"/>
      <c r="P66"/>
      <c r="Q66"/>
      <c r="R66"/>
      <c r="S66"/>
      <c r="T66"/>
      <c r="U66"/>
      <c r="V66"/>
      <c r="W66"/>
      <c r="X66"/>
      <c r="Y66"/>
      <c r="Z66"/>
      <c r="AA66"/>
      <c r="AB66"/>
      <c r="AC66"/>
      <c r="AD66"/>
      <c r="AE66"/>
    </row>
    <row r="67" spans="1:31" s="8" customFormat="1" ht="23.25" customHeight="1" x14ac:dyDescent="0.4">
      <c r="A67"/>
      <c r="B67"/>
      <c r="C67"/>
      <c r="D67"/>
      <c r="E67"/>
      <c r="F67"/>
      <c r="G67"/>
      <c r="H67"/>
      <c r="I67"/>
      <c r="J67"/>
      <c r="K67"/>
      <c r="L67"/>
      <c r="M67"/>
      <c r="N67"/>
      <c r="O67"/>
      <c r="P67"/>
      <c r="Q67"/>
      <c r="R67"/>
      <c r="S67"/>
      <c r="T67"/>
      <c r="U67"/>
      <c r="V67"/>
      <c r="W67"/>
      <c r="X67"/>
      <c r="Y67"/>
      <c r="Z67"/>
      <c r="AA67"/>
      <c r="AB67"/>
      <c r="AC67"/>
      <c r="AD67"/>
      <c r="AE67"/>
    </row>
    <row r="68" spans="1:31" ht="38.25" customHeight="1" x14ac:dyDescent="0.25"/>
    <row r="69" spans="1:31" s="2" customFormat="1" ht="24" customHeight="1" x14ac:dyDescent="0.25">
      <c r="A69"/>
      <c r="B69"/>
      <c r="C69"/>
      <c r="D69"/>
      <c r="E69"/>
      <c r="F69"/>
      <c r="G69"/>
      <c r="H69"/>
      <c r="I69"/>
      <c r="J69"/>
      <c r="K69"/>
      <c r="L69"/>
      <c r="M69"/>
      <c r="N69"/>
      <c r="O69"/>
      <c r="P69"/>
      <c r="Q69"/>
      <c r="R69"/>
      <c r="S69"/>
      <c r="T69"/>
      <c r="U69"/>
      <c r="V69"/>
      <c r="W69"/>
      <c r="X69"/>
      <c r="Y69"/>
      <c r="Z69"/>
      <c r="AA69"/>
      <c r="AB69"/>
      <c r="AC69"/>
      <c r="AD69"/>
      <c r="AE69"/>
    </row>
    <row r="70" spans="1:31" ht="30" customHeight="1" x14ac:dyDescent="0.25"/>
    <row r="71" spans="1:31" ht="30" customHeight="1" x14ac:dyDescent="0.25"/>
    <row r="72" spans="1:31" ht="30" customHeight="1" x14ac:dyDescent="0.25"/>
    <row r="73" spans="1:31" ht="30" customHeight="1" x14ac:dyDescent="0.25"/>
    <row r="74" spans="1:31" ht="30" customHeight="1" x14ac:dyDescent="0.25"/>
    <row r="75" spans="1:31" ht="30" customHeight="1" x14ac:dyDescent="0.25"/>
    <row r="76" spans="1:31" ht="30" customHeight="1" x14ac:dyDescent="0.25"/>
    <row r="77" spans="1:31" ht="30" customHeight="1" x14ac:dyDescent="0.25"/>
    <row r="78" spans="1:31" ht="30" customHeight="1" x14ac:dyDescent="0.25"/>
    <row r="79" spans="1:31" ht="30" customHeight="1" x14ac:dyDescent="0.25"/>
    <row r="80" spans="1:31" ht="30" customHeight="1" x14ac:dyDescent="0.25"/>
    <row r="81" ht="30" customHeight="1" x14ac:dyDescent="0.25"/>
    <row r="82" ht="41.25" customHeight="1" x14ac:dyDescent="0.25"/>
    <row r="83" ht="18.75" customHeight="1" x14ac:dyDescent="0.25"/>
    <row r="84" ht="14.25" customHeight="1" x14ac:dyDescent="0.25"/>
    <row r="85" ht="14.25" customHeight="1" x14ac:dyDescent="0.25"/>
    <row r="88" ht="14.25" customHeight="1" x14ac:dyDescent="0.25"/>
    <row r="89" ht="14.25" customHeight="1" x14ac:dyDescent="0.25"/>
    <row r="92" ht="22.5" customHeight="1" x14ac:dyDescent="0.25"/>
    <row r="93" ht="22.5" customHeight="1" x14ac:dyDescent="0.25"/>
    <row r="94" ht="22.5" customHeight="1" x14ac:dyDescent="0.25"/>
  </sheetData>
  <mergeCells count="204">
    <mergeCell ref="AC58:AE58"/>
    <mergeCell ref="A56:D56"/>
    <mergeCell ref="A51:B51"/>
    <mergeCell ref="C51:L51"/>
    <mergeCell ref="M51:N51"/>
    <mergeCell ref="O51:P51"/>
    <mergeCell ref="Q51:AE51"/>
    <mergeCell ref="A52:B52"/>
    <mergeCell ref="C52:L52"/>
    <mergeCell ref="M52:N52"/>
    <mergeCell ref="O52:P52"/>
    <mergeCell ref="Q52:AE52"/>
    <mergeCell ref="A53:B53"/>
    <mergeCell ref="C53:L53"/>
    <mergeCell ref="M53:N53"/>
    <mergeCell ref="O53:P53"/>
    <mergeCell ref="Q53:AE53"/>
    <mergeCell ref="Z40:AE40"/>
    <mergeCell ref="N40:S40"/>
    <mergeCell ref="Z43:AE43"/>
    <mergeCell ref="A57:D57"/>
    <mergeCell ref="N45:S45"/>
    <mergeCell ref="N43:S43"/>
    <mergeCell ref="H41:M41"/>
    <mergeCell ref="H40:M40"/>
    <mergeCell ref="H45:M45"/>
    <mergeCell ref="B45:G45"/>
    <mergeCell ref="B42:G42"/>
    <mergeCell ref="T42:Y42"/>
    <mergeCell ref="B40:G40"/>
    <mergeCell ref="T43:Y43"/>
    <mergeCell ref="T44:Y44"/>
    <mergeCell ref="T45:Y45"/>
    <mergeCell ref="C50:L50"/>
    <mergeCell ref="M50:N50"/>
    <mergeCell ref="O50:P50"/>
    <mergeCell ref="Q50:AE50"/>
    <mergeCell ref="A50:B50"/>
    <mergeCell ref="N44:S44"/>
    <mergeCell ref="B44:G44"/>
    <mergeCell ref="N46:S46"/>
    <mergeCell ref="H46:M46"/>
    <mergeCell ref="B46:G46"/>
    <mergeCell ref="Z46:AE46"/>
    <mergeCell ref="B43:G43"/>
    <mergeCell ref="Z44:AE44"/>
    <mergeCell ref="Z45:AE45"/>
    <mergeCell ref="H44:M44"/>
    <mergeCell ref="A45:A46"/>
    <mergeCell ref="A43:A44"/>
    <mergeCell ref="T46:Y46"/>
    <mergeCell ref="A49:B49"/>
    <mergeCell ref="C49:L49"/>
    <mergeCell ref="M49:N49"/>
    <mergeCell ref="O49:P49"/>
    <mergeCell ref="Q49:AE49"/>
    <mergeCell ref="A48:B48"/>
    <mergeCell ref="C48:K48"/>
    <mergeCell ref="M48:N48"/>
    <mergeCell ref="O48:P48"/>
    <mergeCell ref="Q48:AE48"/>
    <mergeCell ref="A41:A42"/>
    <mergeCell ref="B37:G37"/>
    <mergeCell ref="H37:M37"/>
    <mergeCell ref="B41:G41"/>
    <mergeCell ref="T40:Y40"/>
    <mergeCell ref="H42:M42"/>
    <mergeCell ref="N41:S41"/>
    <mergeCell ref="H43:M43"/>
    <mergeCell ref="H39:M39"/>
    <mergeCell ref="B38:G38"/>
    <mergeCell ref="H38:M38"/>
    <mergeCell ref="T37:Y37"/>
    <mergeCell ref="T38:Y38"/>
    <mergeCell ref="A39:A40"/>
    <mergeCell ref="N42:S42"/>
    <mergeCell ref="N39:S39"/>
    <mergeCell ref="T41:Y41"/>
    <mergeCell ref="B39:G39"/>
    <mergeCell ref="A17:B17"/>
    <mergeCell ref="M23:N23"/>
    <mergeCell ref="O23:P23"/>
    <mergeCell ref="Q23:AE23"/>
    <mergeCell ref="Z38:AE38"/>
    <mergeCell ref="N36:S36"/>
    <mergeCell ref="N37:S37"/>
    <mergeCell ref="T39:Y39"/>
    <mergeCell ref="C22:L22"/>
    <mergeCell ref="M22:N22"/>
    <mergeCell ref="A22:B22"/>
    <mergeCell ref="A37:A38"/>
    <mergeCell ref="T36:Y36"/>
    <mergeCell ref="N38:S38"/>
    <mergeCell ref="C17:K17"/>
    <mergeCell ref="M17:N17"/>
    <mergeCell ref="H36:M36"/>
    <mergeCell ref="M20:N20"/>
    <mergeCell ref="Q22:AE22"/>
    <mergeCell ref="A23:B23"/>
    <mergeCell ref="C23:L23"/>
    <mergeCell ref="O22:P22"/>
    <mergeCell ref="AC29:AE29"/>
    <mergeCell ref="A32:Y32"/>
    <mergeCell ref="O18:P18"/>
    <mergeCell ref="Q18:AE18"/>
    <mergeCell ref="Z39:AE39"/>
    <mergeCell ref="O19:P19"/>
    <mergeCell ref="Q19:AE19"/>
    <mergeCell ref="A27:D27"/>
    <mergeCell ref="A28:D28"/>
    <mergeCell ref="O21:P21"/>
    <mergeCell ref="Q21:AE21"/>
    <mergeCell ref="Z37:AE37"/>
    <mergeCell ref="Z32:AE32"/>
    <mergeCell ref="A33:Y33"/>
    <mergeCell ref="Z33:AE34"/>
    <mergeCell ref="A34:Y34"/>
    <mergeCell ref="M21:N21"/>
    <mergeCell ref="A24:B24"/>
    <mergeCell ref="C24:L24"/>
    <mergeCell ref="M24:N24"/>
    <mergeCell ref="O24:P24"/>
    <mergeCell ref="Q24:AE24"/>
    <mergeCell ref="Z36:AE36"/>
    <mergeCell ref="B36:G36"/>
    <mergeCell ref="Z6:AE6"/>
    <mergeCell ref="B7:G7"/>
    <mergeCell ref="B11:G11"/>
    <mergeCell ref="H11:M11"/>
    <mergeCell ref="N11:S11"/>
    <mergeCell ref="T11:Y11"/>
    <mergeCell ref="Z10:AE10"/>
    <mergeCell ref="Z11:AE11"/>
    <mergeCell ref="H7:M7"/>
    <mergeCell ref="N7:S7"/>
    <mergeCell ref="T7:Y7"/>
    <mergeCell ref="T9:Y9"/>
    <mergeCell ref="Z9:AE9"/>
    <mergeCell ref="Z7:AE7"/>
    <mergeCell ref="B8:G8"/>
    <mergeCell ref="H8:M8"/>
    <mergeCell ref="N8:S8"/>
    <mergeCell ref="Z8:AE8"/>
    <mergeCell ref="T8:Y8"/>
    <mergeCell ref="B9:G9"/>
    <mergeCell ref="H9:M9"/>
    <mergeCell ref="Z13:AE13"/>
    <mergeCell ref="Z12:AE12"/>
    <mergeCell ref="Q20:AE20"/>
    <mergeCell ref="A21:B21"/>
    <mergeCell ref="C21:L21"/>
    <mergeCell ref="Z15:AE15"/>
    <mergeCell ref="N10:S10"/>
    <mergeCell ref="T10:Y10"/>
    <mergeCell ref="B15:G15"/>
    <mergeCell ref="B13:G13"/>
    <mergeCell ref="N13:S13"/>
    <mergeCell ref="H13:M13"/>
    <mergeCell ref="N15:S15"/>
    <mergeCell ref="T14:Y14"/>
    <mergeCell ref="T12:Y12"/>
    <mergeCell ref="Z14:AE14"/>
    <mergeCell ref="A20:B20"/>
    <mergeCell ref="C20:L20"/>
    <mergeCell ref="O20:P20"/>
    <mergeCell ref="O17:P17"/>
    <mergeCell ref="Q17:AE17"/>
    <mergeCell ref="A18:B18"/>
    <mergeCell ref="C18:L18"/>
    <mergeCell ref="M18:N18"/>
    <mergeCell ref="A1:Y1"/>
    <mergeCell ref="Z1:AE1"/>
    <mergeCell ref="A2:Y2"/>
    <mergeCell ref="Z2:AE3"/>
    <mergeCell ref="A3:Y3"/>
    <mergeCell ref="B5:G5"/>
    <mergeCell ref="H5:M5"/>
    <mergeCell ref="N5:S5"/>
    <mergeCell ref="T5:Y5"/>
    <mergeCell ref="Z5:AE5"/>
    <mergeCell ref="A6:A7"/>
    <mergeCell ref="B6:G6"/>
    <mergeCell ref="H6:M6"/>
    <mergeCell ref="N6:S6"/>
    <mergeCell ref="T6:Y6"/>
    <mergeCell ref="A8:A9"/>
    <mergeCell ref="C19:L19"/>
    <mergeCell ref="M19:N19"/>
    <mergeCell ref="H12:M12"/>
    <mergeCell ref="A10:A11"/>
    <mergeCell ref="B10:G10"/>
    <mergeCell ref="H10:M10"/>
    <mergeCell ref="A14:A15"/>
    <mergeCell ref="T13:Y13"/>
    <mergeCell ref="N9:S9"/>
    <mergeCell ref="A19:B19"/>
    <mergeCell ref="B14:G14"/>
    <mergeCell ref="T15:Y15"/>
    <mergeCell ref="N14:S14"/>
    <mergeCell ref="H14:M14"/>
    <mergeCell ref="H15:M15"/>
    <mergeCell ref="A12:A13"/>
    <mergeCell ref="B12:G12"/>
    <mergeCell ref="N12:S12"/>
  </mergeCells>
  <dataValidations count="13">
    <dataValidation type="list" allowBlank="1" showInputMessage="1" showErrorMessage="1" sqref="A3:Y3 A34:Y34" xr:uid="{00000000-0002-0000-0800-000000000000}">
      <formula1>GRUPO</formula1>
    </dataValidation>
    <dataValidation type="list" allowBlank="1" showInputMessage="1" showErrorMessage="1" sqref="Z2:AE3 B7:AE7 Z33:AE34 B15:AE15 B11:AE11 B9:AE9 B13:AE13 B38:AE38 B40:AE40 B46:AE46 B44:AE44 B42:Y42" xr:uid="{00000000-0002-0000-0800-000001000000}">
      <formula1>AULAS</formula1>
    </dataValidation>
    <dataValidation type="list" allowBlank="1" showInputMessage="1" showErrorMessage="1" sqref="A49:A53 B6:AE6 B8:AE8 A18:A24 B12:G12 N12:AE12 B10:AE10 N14:AE14 B14:G14" xr:uid="{00000000-0002-0000-0800-000002000000}">
      <formula1>INDIRECT($A$4)</formula1>
    </dataValidation>
    <dataValidation type="list" allowBlank="1" showInputMessage="1" showErrorMessage="1" sqref="A4 A35" xr:uid="{00000000-0002-0000-0800-000003000000}">
      <formula1>GIM</formula1>
    </dataValidation>
    <dataValidation type="list" allowBlank="1" showInputMessage="1" showErrorMessage="1" sqref="A30 A62 AC29 AC58" xr:uid="{00000000-0002-0000-0800-000004000000}">
      <formula1>notas</formula1>
    </dataValidation>
    <dataValidation type="list" allowBlank="1" showInputMessage="1" showErrorMessage="1" sqref="M18:N18 M49:N49" xr:uid="{00000000-0002-0000-0800-000005000000}">
      <formula1>INDIRECT(M17)</formula1>
    </dataValidation>
    <dataValidation type="list" allowBlank="1" showInputMessage="1" showErrorMessage="1" sqref="M50:N50" xr:uid="{00000000-0002-0000-0800-000006000000}">
      <formula1>INDIRECT(M48)</formula1>
    </dataValidation>
    <dataValidation type="list" allowBlank="1" showInputMessage="1" showErrorMessage="1" sqref="M51:N51" xr:uid="{00000000-0002-0000-0800-000007000000}">
      <formula1>INDIRECT(M48)</formula1>
    </dataValidation>
    <dataValidation type="list" allowBlank="1" showInputMessage="1" showErrorMessage="1" sqref="M52:N52" xr:uid="{00000000-0002-0000-0800-000008000000}">
      <formula1>INDIRECT(M48)</formula1>
    </dataValidation>
    <dataValidation type="list" allowBlank="1" showInputMessage="1" showErrorMessage="1" sqref="M53:N53" xr:uid="{00000000-0002-0000-0800-000009000000}">
      <formula1>INDIRECT(M48)</formula1>
    </dataValidation>
    <dataValidation type="list" allowBlank="1" showInputMessage="1" showErrorMessage="1" sqref="M17:N17 M48:N48" xr:uid="{00000000-0002-0000-0800-00000A000000}">
      <formula1>Asignaturas2</formula1>
    </dataValidation>
    <dataValidation type="list" allowBlank="1" showInputMessage="1" showErrorMessage="1" sqref="M19:N24" xr:uid="{00000000-0002-0000-0800-00000B000000}">
      <formula1>INDIRECT($M$17)</formula1>
    </dataValidation>
    <dataValidation type="list" allowBlank="1" showInputMessage="1" showErrorMessage="1" sqref="H14:M14 H12:M12 B37:AE37 B41:Y41 B45:AE45 B43:AE43 B39:AE39" xr:uid="{00000000-0002-0000-0800-00000C000000}">
      <formula1>INDIRECT($A$35)</formula1>
    </dataValidation>
  </dataValidations>
  <pageMargins left="0.35433070866141736" right="0.19685039370078741" top="0.94488188976377963" bottom="0.86614173228346458" header="0.27559055118110237" footer="0"/>
  <pageSetup paperSize="9" scale="78" fitToHeight="0" orientation="portrait" r:id="rId1"/>
  <headerFooter alignWithMargins="0">
    <oddHeader>&amp;C&amp;"Arial Narrow,Negrita"&amp;18ESCUELA POLITECNICA SUPERIOR&amp;"Arial,Normal"&amp;10
&amp;"Arial Narrow,Negrita"&amp;16Campus Vena&amp;R&amp;"Chiller,Normal"&amp;24&amp;K05-043&amp;A</oddHeader>
    <oddFooter>&amp;L&amp;12ESCUELA POLITECNICA SUPERIOR - Campus Vena&amp;11
&amp;9SUBDIRECCION  DE  ORDENACION  ACADEMICA Y PROFESORADO&amp;R&amp;12&amp;D</oddFooter>
  </headerFooter>
  <rowBreaks count="1" manualBreakCount="1">
    <brk id="31"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U101"/>
  <sheetViews>
    <sheetView view="pageBreakPreview" zoomScale="96" zoomScaleNormal="90" zoomScaleSheetLayoutView="96" zoomScalePageLayoutView="70" workbookViewId="0">
      <selection activeCell="Z1" sqref="Z1:AE1"/>
    </sheetView>
  </sheetViews>
  <sheetFormatPr baseColWidth="10" defaultRowHeight="13.2" x14ac:dyDescent="0.25"/>
  <cols>
    <col min="1" max="1" width="15.6640625" customWidth="1"/>
    <col min="2" max="31" width="3.6640625" customWidth="1"/>
    <col min="32" max="214" width="9.109375" customWidth="1"/>
  </cols>
  <sheetData>
    <row r="1" spans="1:31" s="1" customFormat="1" ht="31.5" customHeight="1" x14ac:dyDescent="0.4">
      <c r="A1" s="2855" t="s">
        <v>1130</v>
      </c>
      <c r="B1" s="2856"/>
      <c r="C1" s="2856"/>
      <c r="D1" s="2856"/>
      <c r="E1" s="2856"/>
      <c r="F1" s="2856"/>
      <c r="G1" s="2856"/>
      <c r="H1" s="2856"/>
      <c r="I1" s="2856"/>
      <c r="J1" s="2856"/>
      <c r="K1" s="2856"/>
      <c r="L1" s="2856"/>
      <c r="M1" s="2856"/>
      <c r="N1" s="2856"/>
      <c r="O1" s="2856"/>
      <c r="P1" s="2856"/>
      <c r="Q1" s="2856"/>
      <c r="R1" s="2856"/>
      <c r="S1" s="2856"/>
      <c r="T1" s="2856"/>
      <c r="U1" s="2856"/>
      <c r="V1" s="2856"/>
      <c r="W1" s="2856"/>
      <c r="X1" s="2856"/>
      <c r="Y1" s="2857"/>
      <c r="Z1" s="988" t="str">
        <f>Aulas!G5</f>
        <v>Curso 2024-2025</v>
      </c>
      <c r="AA1" s="988"/>
      <c r="AB1" s="988"/>
      <c r="AC1" s="988"/>
      <c r="AD1" s="988"/>
      <c r="AE1" s="989"/>
    </row>
    <row r="2" spans="1:31" s="8" customFormat="1" ht="23.25" customHeight="1" x14ac:dyDescent="0.4">
      <c r="A2" s="963" t="s">
        <v>174</v>
      </c>
      <c r="B2" s="964"/>
      <c r="C2" s="964"/>
      <c r="D2" s="964"/>
      <c r="E2" s="964"/>
      <c r="F2" s="964"/>
      <c r="G2" s="964"/>
      <c r="H2" s="964"/>
      <c r="I2" s="964"/>
      <c r="J2" s="964"/>
      <c r="K2" s="964"/>
      <c r="L2" s="964"/>
      <c r="M2" s="964"/>
      <c r="N2" s="964"/>
      <c r="O2" s="964"/>
      <c r="P2" s="964"/>
      <c r="Q2" s="964"/>
      <c r="R2" s="964"/>
      <c r="S2" s="964"/>
      <c r="T2" s="964"/>
      <c r="U2" s="964"/>
      <c r="V2" s="964"/>
      <c r="W2" s="964"/>
      <c r="X2" s="964"/>
      <c r="Y2" s="965"/>
      <c r="Z2" s="2917" t="s">
        <v>160</v>
      </c>
      <c r="AA2" s="984"/>
      <c r="AB2" s="984"/>
      <c r="AC2" s="984"/>
      <c r="AD2" s="984"/>
      <c r="AE2" s="985"/>
    </row>
    <row r="3" spans="1:31" s="8" customFormat="1" ht="23.25" customHeight="1" x14ac:dyDescent="0.4">
      <c r="A3" s="963" t="s">
        <v>181</v>
      </c>
      <c r="B3" s="964"/>
      <c r="C3" s="964"/>
      <c r="D3" s="964"/>
      <c r="E3" s="964"/>
      <c r="F3" s="964"/>
      <c r="G3" s="964"/>
      <c r="H3" s="964"/>
      <c r="I3" s="964"/>
      <c r="J3" s="964"/>
      <c r="K3" s="964"/>
      <c r="L3" s="964"/>
      <c r="M3" s="964"/>
      <c r="N3" s="964"/>
      <c r="O3" s="964"/>
      <c r="P3" s="964"/>
      <c r="Q3" s="964"/>
      <c r="R3" s="964"/>
      <c r="S3" s="964"/>
      <c r="T3" s="964"/>
      <c r="U3" s="964"/>
      <c r="V3" s="964"/>
      <c r="W3" s="964"/>
      <c r="X3" s="964"/>
      <c r="Y3" s="965"/>
      <c r="Z3" s="986"/>
      <c r="AA3" s="986"/>
      <c r="AB3" s="986"/>
      <c r="AC3" s="986"/>
      <c r="AD3" s="986"/>
      <c r="AE3" s="987"/>
    </row>
    <row r="4" spans="1:31" ht="38.25" customHeight="1" x14ac:dyDescent="0.25">
      <c r="A4" s="23" t="s">
        <v>1139</v>
      </c>
    </row>
    <row r="5" spans="1:31" s="2" customFormat="1" ht="24" customHeight="1" x14ac:dyDescent="0.25">
      <c r="A5" s="167" t="s">
        <v>1</v>
      </c>
      <c r="B5" s="2865" t="s">
        <v>2</v>
      </c>
      <c r="C5" s="988"/>
      <c r="D5" s="988"/>
      <c r="E5" s="988"/>
      <c r="F5" s="988"/>
      <c r="G5" s="989"/>
      <c r="H5" s="2865" t="s">
        <v>3</v>
      </c>
      <c r="I5" s="988"/>
      <c r="J5" s="988"/>
      <c r="K5" s="988"/>
      <c r="L5" s="988"/>
      <c r="M5" s="989"/>
      <c r="N5" s="2865" t="s">
        <v>139</v>
      </c>
      <c r="O5" s="988"/>
      <c r="P5" s="988"/>
      <c r="Q5" s="988"/>
      <c r="R5" s="988"/>
      <c r="S5" s="989"/>
      <c r="T5" s="2865" t="s">
        <v>4</v>
      </c>
      <c r="U5" s="988"/>
      <c r="V5" s="988"/>
      <c r="W5" s="988"/>
      <c r="X5" s="988"/>
      <c r="Y5" s="989"/>
      <c r="Z5" s="2865" t="s">
        <v>5</v>
      </c>
      <c r="AA5" s="988"/>
      <c r="AB5" s="988"/>
      <c r="AC5" s="988"/>
      <c r="AD5" s="988"/>
      <c r="AE5" s="989"/>
    </row>
    <row r="6" spans="1:31" ht="30" customHeight="1" x14ac:dyDescent="0.3">
      <c r="A6" s="2920" t="s">
        <v>187</v>
      </c>
      <c r="B6" s="1005"/>
      <c r="C6" s="967"/>
      <c r="D6" s="967"/>
      <c r="E6" s="967"/>
      <c r="F6" s="967"/>
      <c r="G6" s="968"/>
      <c r="H6" s="1005"/>
      <c r="I6" s="967"/>
      <c r="J6" s="967"/>
      <c r="K6" s="967"/>
      <c r="L6" s="967"/>
      <c r="M6" s="968"/>
      <c r="N6" s="1005" t="s">
        <v>1137</v>
      </c>
      <c r="O6" s="967"/>
      <c r="P6" s="967"/>
      <c r="Q6" s="967"/>
      <c r="R6" s="967"/>
      <c r="S6" s="968"/>
      <c r="T6" s="1005" t="s">
        <v>1137</v>
      </c>
      <c r="U6" s="967"/>
      <c r="V6" s="967"/>
      <c r="W6" s="967"/>
      <c r="X6" s="967"/>
      <c r="Y6" s="968"/>
      <c r="Z6" s="1005"/>
      <c r="AA6" s="967"/>
      <c r="AB6" s="967"/>
      <c r="AC6" s="967"/>
      <c r="AD6" s="967"/>
      <c r="AE6" s="968"/>
    </row>
    <row r="7" spans="1:31" ht="30" customHeight="1" x14ac:dyDescent="0.25">
      <c r="A7" s="2921"/>
      <c r="B7" s="2918"/>
      <c r="C7" s="1259"/>
      <c r="D7" s="1259"/>
      <c r="E7" s="1259"/>
      <c r="F7" s="1259"/>
      <c r="G7" s="2919"/>
      <c r="H7" s="2918"/>
      <c r="I7" s="1259"/>
      <c r="J7" s="1259"/>
      <c r="K7" s="1259"/>
      <c r="L7" s="1259"/>
      <c r="M7" s="2919"/>
      <c r="N7" s="2918" t="s">
        <v>160</v>
      </c>
      <c r="O7" s="1259"/>
      <c r="P7" s="1259"/>
      <c r="Q7" s="1259"/>
      <c r="R7" s="1259"/>
      <c r="S7" s="2919"/>
      <c r="T7" s="2918" t="s">
        <v>160</v>
      </c>
      <c r="U7" s="1259"/>
      <c r="V7" s="1259"/>
      <c r="W7" s="1259"/>
      <c r="X7" s="1259"/>
      <c r="Y7" s="2919"/>
      <c r="Z7" s="2918"/>
      <c r="AA7" s="1259"/>
      <c r="AB7" s="1259"/>
      <c r="AC7" s="1259"/>
      <c r="AD7" s="1259"/>
      <c r="AE7" s="2919"/>
    </row>
    <row r="8" spans="1:31" ht="30" customHeight="1" x14ac:dyDescent="0.3">
      <c r="A8" s="2920" t="s">
        <v>186</v>
      </c>
      <c r="B8" s="2922"/>
      <c r="C8" s="1003"/>
      <c r="D8" s="1003"/>
      <c r="E8" s="1003"/>
      <c r="F8" s="1003"/>
      <c r="G8" s="1004"/>
      <c r="H8" s="2922"/>
      <c r="I8" s="1003"/>
      <c r="J8" s="1003"/>
      <c r="K8" s="1003"/>
      <c r="L8" s="1003"/>
      <c r="M8" s="1004"/>
      <c r="N8" s="1005" t="s">
        <v>1137</v>
      </c>
      <c r="O8" s="967"/>
      <c r="P8" s="967"/>
      <c r="Q8" s="967"/>
      <c r="R8" s="967"/>
      <c r="S8" s="968"/>
      <c r="T8" s="1005" t="s">
        <v>1137</v>
      </c>
      <c r="U8" s="967"/>
      <c r="V8" s="967"/>
      <c r="W8" s="967"/>
      <c r="X8" s="967"/>
      <c r="Y8" s="968"/>
      <c r="Z8" s="2922"/>
      <c r="AA8" s="1003"/>
      <c r="AB8" s="1003"/>
      <c r="AC8" s="1003"/>
      <c r="AD8" s="1003"/>
      <c r="AE8" s="1004"/>
    </row>
    <row r="9" spans="1:31" ht="30" customHeight="1" x14ac:dyDescent="0.3">
      <c r="A9" s="2921"/>
      <c r="B9" s="2923"/>
      <c r="C9" s="2256"/>
      <c r="D9" s="2256"/>
      <c r="E9" s="2256"/>
      <c r="F9" s="2256"/>
      <c r="G9" s="2924"/>
      <c r="H9" s="2923"/>
      <c r="I9" s="2256"/>
      <c r="J9" s="2256"/>
      <c r="K9" s="2256"/>
      <c r="L9" s="2256"/>
      <c r="M9" s="2924"/>
      <c r="N9" s="1005" t="s">
        <v>1136</v>
      </c>
      <c r="O9" s="967"/>
      <c r="P9" s="967"/>
      <c r="Q9" s="967"/>
      <c r="R9" s="967"/>
      <c r="S9" s="968"/>
      <c r="T9" s="1005" t="s">
        <v>1136</v>
      </c>
      <c r="U9" s="967"/>
      <c r="V9" s="967"/>
      <c r="W9" s="967"/>
      <c r="X9" s="967"/>
      <c r="Y9" s="968"/>
      <c r="Z9" s="2923"/>
      <c r="AA9" s="2256"/>
      <c r="AB9" s="2256"/>
      <c r="AC9" s="2256"/>
      <c r="AD9" s="2256"/>
      <c r="AE9" s="2924"/>
    </row>
    <row r="10" spans="1:31" ht="30" customHeight="1" x14ac:dyDescent="0.3">
      <c r="A10" s="2920" t="s">
        <v>188</v>
      </c>
      <c r="B10" s="1005"/>
      <c r="C10" s="967"/>
      <c r="D10" s="967"/>
      <c r="E10" s="967"/>
      <c r="F10" s="967"/>
      <c r="G10" s="968"/>
      <c r="H10" s="1005"/>
      <c r="I10" s="967"/>
      <c r="J10" s="967"/>
      <c r="K10" s="967"/>
      <c r="L10" s="967"/>
      <c r="M10" s="968"/>
      <c r="N10" s="1005" t="s">
        <v>1136</v>
      </c>
      <c r="O10" s="967"/>
      <c r="P10" s="967"/>
      <c r="Q10" s="967"/>
      <c r="R10" s="967"/>
      <c r="S10" s="968"/>
      <c r="T10" s="1005" t="s">
        <v>1138</v>
      </c>
      <c r="U10" s="967"/>
      <c r="V10" s="967"/>
      <c r="W10" s="967"/>
      <c r="X10" s="967"/>
      <c r="Y10" s="968"/>
      <c r="Z10" s="1005"/>
      <c r="AA10" s="967"/>
      <c r="AB10" s="967"/>
      <c r="AC10" s="967"/>
      <c r="AD10" s="967"/>
      <c r="AE10" s="968"/>
    </row>
    <row r="11" spans="1:31" ht="30" customHeight="1" x14ac:dyDescent="0.25">
      <c r="A11" s="2921"/>
      <c r="B11" s="943"/>
      <c r="C11" s="930"/>
      <c r="D11" s="930"/>
      <c r="E11" s="930"/>
      <c r="F11" s="930"/>
      <c r="G11" s="931"/>
      <c r="H11" s="943"/>
      <c r="I11" s="930"/>
      <c r="J11" s="930"/>
      <c r="K11" s="930"/>
      <c r="L11" s="930"/>
      <c r="M11" s="931"/>
      <c r="N11" s="943" t="s">
        <v>564</v>
      </c>
      <c r="O11" s="930"/>
      <c r="P11" s="930"/>
      <c r="Q11" s="930"/>
      <c r="R11" s="930"/>
      <c r="S11" s="931"/>
      <c r="T11" s="943" t="s">
        <v>564</v>
      </c>
      <c r="U11" s="930"/>
      <c r="V11" s="930"/>
      <c r="W11" s="930"/>
      <c r="X11" s="930"/>
      <c r="Y11" s="931"/>
      <c r="Z11" s="943"/>
      <c r="AA11" s="930"/>
      <c r="AB11" s="930"/>
      <c r="AC11" s="930"/>
      <c r="AD11" s="930"/>
      <c r="AE11" s="931"/>
    </row>
    <row r="12" spans="1:31" ht="30" customHeight="1" x14ac:dyDescent="0.3">
      <c r="A12" s="2920" t="s">
        <v>189</v>
      </c>
      <c r="B12" s="1005"/>
      <c r="C12" s="967"/>
      <c r="D12" s="967"/>
      <c r="E12" s="967"/>
      <c r="F12" s="967"/>
      <c r="G12" s="968"/>
      <c r="H12" s="1005"/>
      <c r="I12" s="967"/>
      <c r="J12" s="967"/>
      <c r="K12" s="967"/>
      <c r="L12" s="967"/>
      <c r="M12" s="968"/>
      <c r="N12" s="1005" t="s">
        <v>1138</v>
      </c>
      <c r="O12" s="967"/>
      <c r="P12" s="967"/>
      <c r="Q12" s="967"/>
      <c r="R12" s="967"/>
      <c r="S12" s="968"/>
      <c r="T12" s="1005" t="s">
        <v>1138</v>
      </c>
      <c r="U12" s="967"/>
      <c r="V12" s="967"/>
      <c r="W12" s="967"/>
      <c r="X12" s="967"/>
      <c r="Y12" s="968"/>
      <c r="Z12" s="1005"/>
      <c r="AA12" s="967"/>
      <c r="AB12" s="967"/>
      <c r="AC12" s="967"/>
      <c r="AD12" s="967"/>
      <c r="AE12" s="968"/>
    </row>
    <row r="13" spans="1:31" ht="30" customHeight="1" x14ac:dyDescent="0.25">
      <c r="A13" s="2921"/>
      <c r="B13" s="943"/>
      <c r="C13" s="930"/>
      <c r="D13" s="930"/>
      <c r="E13" s="930"/>
      <c r="F13" s="930"/>
      <c r="G13" s="931"/>
      <c r="H13" s="943"/>
      <c r="I13" s="930"/>
      <c r="J13" s="930"/>
      <c r="K13" s="930"/>
      <c r="L13" s="930"/>
      <c r="M13" s="931"/>
      <c r="N13" s="943" t="s">
        <v>564</v>
      </c>
      <c r="O13" s="930"/>
      <c r="P13" s="930"/>
      <c r="Q13" s="930"/>
      <c r="R13" s="930"/>
      <c r="S13" s="931"/>
      <c r="T13" s="943" t="s">
        <v>564</v>
      </c>
      <c r="U13" s="930"/>
      <c r="V13" s="930"/>
      <c r="W13" s="930"/>
      <c r="X13" s="930"/>
      <c r="Y13" s="931"/>
      <c r="Z13" s="943"/>
      <c r="AA13" s="930"/>
      <c r="AB13" s="930"/>
      <c r="AC13" s="930"/>
      <c r="AD13" s="930"/>
      <c r="AE13" s="931"/>
    </row>
    <row r="14" spans="1:31" ht="30" customHeight="1" x14ac:dyDescent="0.3">
      <c r="A14" s="2920" t="s">
        <v>190</v>
      </c>
      <c r="B14" s="1005"/>
      <c r="C14" s="967"/>
      <c r="D14" s="967"/>
      <c r="E14" s="967"/>
      <c r="F14" s="967"/>
      <c r="G14" s="968"/>
      <c r="H14" s="1005"/>
      <c r="I14" s="967"/>
      <c r="J14" s="967"/>
      <c r="K14" s="967"/>
      <c r="L14" s="967"/>
      <c r="M14" s="968"/>
      <c r="N14" s="1005"/>
      <c r="O14" s="967"/>
      <c r="P14" s="967"/>
      <c r="Q14" s="967"/>
      <c r="R14" s="967"/>
      <c r="S14" s="968"/>
      <c r="T14" s="1005"/>
      <c r="U14" s="967"/>
      <c r="V14" s="967"/>
      <c r="W14" s="967"/>
      <c r="X14" s="967"/>
      <c r="Y14" s="968"/>
      <c r="Z14" s="1005"/>
      <c r="AA14" s="967"/>
      <c r="AB14" s="967"/>
      <c r="AC14" s="967"/>
      <c r="AD14" s="967"/>
      <c r="AE14" s="968"/>
    </row>
    <row r="15" spans="1:31" ht="30" customHeight="1" x14ac:dyDescent="0.25">
      <c r="A15" s="2921"/>
      <c r="B15" s="943"/>
      <c r="C15" s="930"/>
      <c r="D15" s="930"/>
      <c r="E15" s="930"/>
      <c r="F15" s="930"/>
      <c r="G15" s="931"/>
      <c r="H15" s="943"/>
      <c r="I15" s="930"/>
      <c r="J15" s="930"/>
      <c r="K15" s="930"/>
      <c r="L15" s="930"/>
      <c r="M15" s="931"/>
      <c r="N15" s="943"/>
      <c r="O15" s="930"/>
      <c r="P15" s="930"/>
      <c r="Q15" s="930"/>
      <c r="R15" s="930"/>
      <c r="S15" s="931"/>
      <c r="T15" s="943"/>
      <c r="U15" s="930"/>
      <c r="V15" s="930"/>
      <c r="W15" s="930"/>
      <c r="X15" s="930"/>
      <c r="Y15" s="931"/>
      <c r="Z15" s="943"/>
      <c r="AA15" s="930"/>
      <c r="AB15" s="930"/>
      <c r="AC15" s="930"/>
      <c r="AD15" s="930"/>
      <c r="AE15" s="931"/>
    </row>
    <row r="16" spans="1:31" ht="30" customHeight="1" x14ac:dyDescent="0.3">
      <c r="A16" s="2920" t="s">
        <v>191</v>
      </c>
      <c r="B16" s="1005"/>
      <c r="C16" s="967"/>
      <c r="D16" s="967"/>
      <c r="E16" s="967"/>
      <c r="F16" s="967"/>
      <c r="G16" s="968"/>
      <c r="H16" s="1005"/>
      <c r="I16" s="967"/>
      <c r="J16" s="967"/>
      <c r="K16" s="967"/>
      <c r="L16" s="967"/>
      <c r="M16" s="968"/>
      <c r="N16" s="1005"/>
      <c r="O16" s="967"/>
      <c r="P16" s="967"/>
      <c r="Q16" s="967"/>
      <c r="R16" s="967"/>
      <c r="S16" s="968"/>
      <c r="T16" s="1005"/>
      <c r="U16" s="967"/>
      <c r="V16" s="967"/>
      <c r="W16" s="967"/>
      <c r="X16" s="967"/>
      <c r="Y16" s="968"/>
      <c r="Z16" s="1005"/>
      <c r="AA16" s="967"/>
      <c r="AB16" s="967"/>
      <c r="AC16" s="967"/>
      <c r="AD16" s="967"/>
      <c r="AE16" s="968"/>
    </row>
    <row r="17" spans="1:31" ht="30" customHeight="1" x14ac:dyDescent="0.25">
      <c r="A17" s="2921"/>
      <c r="B17" s="943"/>
      <c r="C17" s="930"/>
      <c r="D17" s="930"/>
      <c r="E17" s="930"/>
      <c r="F17" s="930"/>
      <c r="G17" s="931"/>
      <c r="H17" s="943"/>
      <c r="I17" s="930"/>
      <c r="J17" s="930"/>
      <c r="K17" s="930"/>
      <c r="L17" s="930"/>
      <c r="M17" s="931"/>
      <c r="N17" s="943"/>
      <c r="O17" s="930"/>
      <c r="P17" s="930"/>
      <c r="Q17" s="930"/>
      <c r="R17" s="930"/>
      <c r="S17" s="931"/>
      <c r="T17" s="943"/>
      <c r="U17" s="930"/>
      <c r="V17" s="930"/>
      <c r="W17" s="930"/>
      <c r="X17" s="930"/>
      <c r="Y17" s="931"/>
      <c r="Z17" s="943"/>
      <c r="AA17" s="930"/>
      <c r="AB17" s="930"/>
      <c r="AC17" s="930"/>
      <c r="AD17" s="930"/>
      <c r="AE17" s="931"/>
    </row>
    <row r="18" spans="1:31" ht="52.5" customHeight="1" x14ac:dyDescent="0.25"/>
    <row r="19" spans="1:31" ht="18.75" customHeight="1" x14ac:dyDescent="0.25">
      <c r="A19" s="995" t="s">
        <v>218</v>
      </c>
      <c r="B19" s="953"/>
      <c r="C19" s="952" t="s">
        <v>219</v>
      </c>
      <c r="D19" s="952"/>
      <c r="E19" s="952"/>
      <c r="F19" s="952"/>
      <c r="G19" s="952"/>
      <c r="H19" s="952"/>
      <c r="I19" s="952"/>
      <c r="J19" s="952"/>
      <c r="K19" s="952"/>
      <c r="L19" s="168"/>
      <c r="M19" s="950" t="s">
        <v>334</v>
      </c>
      <c r="N19" s="951"/>
      <c r="O19" s="952" t="s">
        <v>143</v>
      </c>
      <c r="P19" s="953"/>
      <c r="Q19" s="952" t="s">
        <v>167</v>
      </c>
      <c r="R19" s="952"/>
      <c r="S19" s="952"/>
      <c r="T19" s="952"/>
      <c r="U19" s="952"/>
      <c r="V19" s="952"/>
      <c r="W19" s="952"/>
      <c r="X19" s="952"/>
      <c r="Y19" s="952"/>
      <c r="Z19" s="952"/>
      <c r="AA19" s="952"/>
      <c r="AB19" s="952"/>
      <c r="AC19" s="952"/>
      <c r="AD19" s="952"/>
      <c r="AE19" s="953"/>
    </row>
    <row r="20" spans="1:31" ht="13.8" x14ac:dyDescent="0.25">
      <c r="A20" s="2925" t="str">
        <f>VLOOKUP(M20,ASIGNATURAS!$F$1:$L$1022, 3, FALSE)</f>
        <v>TECN. ESTRUCT.</v>
      </c>
      <c r="B20" s="2925"/>
      <c r="C20" s="2926" t="str">
        <f>VLOOKUP(M20,ASIGNATURAS!$F$1:$L$1022, 4, FALSE)</f>
        <v>Tecnología  de Estructuras</v>
      </c>
      <c r="D20" s="2927"/>
      <c r="E20" s="2927"/>
      <c r="F20" s="2927"/>
      <c r="G20" s="2927"/>
      <c r="H20" s="2927"/>
      <c r="I20" s="2927"/>
      <c r="J20" s="2927"/>
      <c r="K20" s="2927"/>
      <c r="L20" s="2927"/>
      <c r="M20" s="2928">
        <v>7036</v>
      </c>
      <c r="N20" s="2929"/>
      <c r="O20" s="2928">
        <f>VLOOKUP(M20,ASIGNATURAS!$F$1:$L$1022, 5, FALSE)</f>
        <v>6</v>
      </c>
      <c r="P20" s="2929"/>
      <c r="Q20" s="2926" t="str">
        <f>VLOOKUP(M20,ASIGNATURAS!$F$1:$L$1022, 6, FALSE)</f>
        <v xml:space="preserve">Luis Suarez Vivar, Wilco Verbeeten </v>
      </c>
      <c r="R20" s="2927"/>
      <c r="S20" s="2927"/>
      <c r="T20" s="2927"/>
      <c r="U20" s="2927"/>
      <c r="V20" s="2927"/>
      <c r="W20" s="2927"/>
      <c r="X20" s="2927"/>
      <c r="Y20" s="2927"/>
      <c r="Z20" s="2927"/>
      <c r="AA20" s="2927"/>
      <c r="AB20" s="2927"/>
      <c r="AC20" s="2927"/>
      <c r="AD20" s="2927"/>
      <c r="AE20" s="2927"/>
    </row>
    <row r="21" spans="1:31" ht="13.8" x14ac:dyDescent="0.25">
      <c r="A21" s="2930" t="str">
        <f>VLOOKUP(M21,ASIGNATURAS!$F$1:$L$1022, 3, FALSE)</f>
        <v>GESTIÓN</v>
      </c>
      <c r="B21" s="2930"/>
      <c r="C21" s="2577" t="str">
        <f>VLOOKUP(M21,ASIGNATURAS!$F$1:$L$1022, 4, FALSE)</f>
        <v>Gestión de Empresas</v>
      </c>
      <c r="D21" s="2578"/>
      <c r="E21" s="2578"/>
      <c r="F21" s="2578"/>
      <c r="G21" s="2578"/>
      <c r="H21" s="2578"/>
      <c r="I21" s="2578"/>
      <c r="J21" s="2578"/>
      <c r="K21" s="2578"/>
      <c r="L21" s="2578"/>
      <c r="M21" s="2931">
        <v>7037</v>
      </c>
      <c r="N21" s="2932"/>
      <c r="O21" s="2931">
        <f>VLOOKUP(M21,ASIGNATURAS!$F$1:$L$1022, 5, FALSE)</f>
        <v>6</v>
      </c>
      <c r="P21" s="2932"/>
      <c r="Q21" s="2926" t="str">
        <f>VLOOKUP(M21,ASIGNATURAS!$F$1:$L$1022, 6, FALSE)</f>
        <v>Juan José Lavios Villahoz</v>
      </c>
      <c r="R21" s="2927"/>
      <c r="S21" s="2927"/>
      <c r="T21" s="2927"/>
      <c r="U21" s="2927"/>
      <c r="V21" s="2927"/>
      <c r="W21" s="2927"/>
      <c r="X21" s="2927"/>
      <c r="Y21" s="2927"/>
      <c r="Z21" s="2927"/>
      <c r="AA21" s="2927"/>
      <c r="AB21" s="2927"/>
      <c r="AC21" s="2927"/>
      <c r="AD21" s="2927"/>
      <c r="AE21" s="2927"/>
    </row>
    <row r="22" spans="1:31" ht="13.8" x14ac:dyDescent="0.25">
      <c r="A22" s="2930" t="str">
        <f>VLOOKUP(M22,ASIGNATURAS!$F$1:$L$1022, 3, FALSE)</f>
        <v>FABRIC. Y MAQ.</v>
      </c>
      <c r="B22" s="2930"/>
      <c r="C22" s="2577" t="str">
        <f>VLOOKUP(M22,ASIGNATURAS!$F$1:$L$1022, 4, FALSE)</f>
        <v>Fabricación y Máquinas</v>
      </c>
      <c r="D22" s="2578"/>
      <c r="E22" s="2578"/>
      <c r="F22" s="2578"/>
      <c r="G22" s="2578"/>
      <c r="H22" s="2578"/>
      <c r="I22" s="2578"/>
      <c r="J22" s="2578"/>
      <c r="K22" s="2578"/>
      <c r="L22" s="2578"/>
      <c r="M22" s="2931">
        <v>7038</v>
      </c>
      <c r="N22" s="2932"/>
      <c r="O22" s="2931">
        <f>VLOOKUP(M22,ASIGNATURAS!$F$1:$L$1022, 5, FALSE)</f>
        <v>6</v>
      </c>
      <c r="P22" s="2932"/>
      <c r="Q22" s="2577" t="str">
        <f>VLOOKUP(M22,ASIGNATURAS!$F$1:$L$1022, 6, FALSE)</f>
        <v>Francisco Javier Gómez Gil</v>
      </c>
      <c r="R22" s="2578"/>
      <c r="S22" s="2578"/>
      <c r="T22" s="2578"/>
      <c r="U22" s="2578"/>
      <c r="V22" s="2578"/>
      <c r="W22" s="2578"/>
      <c r="X22" s="2578"/>
      <c r="Y22" s="2578"/>
      <c r="Z22" s="2578"/>
      <c r="AA22" s="2578"/>
      <c r="AB22" s="2578"/>
      <c r="AC22" s="2578"/>
      <c r="AD22" s="2578"/>
      <c r="AE22" s="2578"/>
    </row>
    <row r="23" spans="1:31" ht="13.8" x14ac:dyDescent="0.25">
      <c r="A23" s="2930" t="str">
        <f>VLOOKUP(M23,ASIGNATURAS!$F$1:$L$1022, 3, FALSE)</f>
        <v>SIST. ELÉCTRIC.</v>
      </c>
      <c r="B23" s="2930"/>
      <c r="C23" s="2577" t="str">
        <f>VLOOKUP(M23,ASIGNATURAS!$F$1:$L$1022, 4, FALSE)</f>
        <v>Sistemas Eléctricos de Potencia</v>
      </c>
      <c r="D23" s="2578"/>
      <c r="E23" s="2578"/>
      <c r="F23" s="2578"/>
      <c r="G23" s="2578"/>
      <c r="H23" s="2578"/>
      <c r="I23" s="2578"/>
      <c r="J23" s="2578"/>
      <c r="K23" s="2578"/>
      <c r="L23" s="2578"/>
      <c r="M23" s="2931">
        <v>7039</v>
      </c>
      <c r="N23" s="2932"/>
      <c r="O23" s="2931">
        <f>VLOOKUP(M23,ASIGNATURAS!$F$1:$L$1022, 5, FALSE)</f>
        <v>6</v>
      </c>
      <c r="P23" s="2932"/>
      <c r="Q23" s="2577" t="str">
        <f>VLOOKUP(M23,ASIGNATURAS!$F$1:$L$1022, 6, FALSE)</f>
        <v>Jesús Sagredo González</v>
      </c>
      <c r="R23" s="2578"/>
      <c r="S23" s="2578"/>
      <c r="T23" s="2578"/>
      <c r="U23" s="2578"/>
      <c r="V23" s="2578"/>
      <c r="W23" s="2578"/>
      <c r="X23" s="2578"/>
      <c r="Y23" s="2578"/>
      <c r="Z23" s="2578"/>
      <c r="AA23" s="2578"/>
      <c r="AB23" s="2578"/>
      <c r="AC23" s="2578"/>
      <c r="AD23" s="2578"/>
      <c r="AE23" s="2578"/>
    </row>
    <row r="24" spans="1:31" ht="13.8" x14ac:dyDescent="0.25">
      <c r="A24" s="2930" t="str">
        <f>VLOOKUP(M24,ASIGNATURAS!$F$1:$L$1022, 3, FALSE)</f>
        <v>DERECHO</v>
      </c>
      <c r="B24" s="2930"/>
      <c r="C24" s="2577" t="str">
        <f>VLOOKUP(M24,ASIGNATURAS!$F$1:$L$1022, 4, FALSE)</f>
        <v>Derecho Mercantil y Laboral</v>
      </c>
      <c r="D24" s="2578"/>
      <c r="E24" s="2578"/>
      <c r="F24" s="2578"/>
      <c r="G24" s="2578"/>
      <c r="H24" s="2578"/>
      <c r="I24" s="2578"/>
      <c r="J24" s="2578"/>
      <c r="K24" s="2578"/>
      <c r="L24" s="2578"/>
      <c r="M24" s="2931">
        <v>7040</v>
      </c>
      <c r="N24" s="2932"/>
      <c r="O24" s="2931">
        <f>VLOOKUP(M24,ASIGNATURAS!$F$1:$L$1022, 5, FALSE)</f>
        <v>3</v>
      </c>
      <c r="P24" s="2932"/>
      <c r="Q24" s="2577" t="str">
        <f>VLOOKUP(M24,ASIGNATURAS!$F$1:$L$1022, 6, FALSE)</f>
        <v>Juan Cruz Monje Santillana</v>
      </c>
      <c r="R24" s="2578"/>
      <c r="S24" s="2578"/>
      <c r="T24" s="2578"/>
      <c r="U24" s="2578"/>
      <c r="V24" s="2578"/>
      <c r="W24" s="2578"/>
      <c r="X24" s="2578"/>
      <c r="Y24" s="2578"/>
      <c r="Z24" s="2578"/>
      <c r="AA24" s="2578"/>
      <c r="AB24" s="2578"/>
      <c r="AC24" s="2578"/>
      <c r="AD24" s="2578"/>
      <c r="AE24" s="2578"/>
    </row>
    <row r="25" spans="1:31" ht="13.8" x14ac:dyDescent="0.25">
      <c r="A25" s="2930" t="str">
        <f>VLOOKUP(M25,ASIGNATURAS!$F$1:$L$1022, 3, FALSE)</f>
        <v>QUÍMICA IND.</v>
      </c>
      <c r="B25" s="2930"/>
      <c r="C25" s="2577" t="str">
        <f>VLOOKUP(M25,ASIGNATURAS!$F$1:$L$1022, 4, FALSE)</f>
        <v>Química Industrial</v>
      </c>
      <c r="D25" s="2578"/>
      <c r="E25" s="2578"/>
      <c r="F25" s="2578"/>
      <c r="G25" s="2578"/>
      <c r="H25" s="2578"/>
      <c r="I25" s="2578"/>
      <c r="J25" s="2578"/>
      <c r="K25" s="2578"/>
      <c r="L25" s="2578"/>
      <c r="M25" s="2931">
        <v>7041</v>
      </c>
      <c r="N25" s="2932"/>
      <c r="O25" s="2931">
        <f>VLOOKUP(M25,ASIGNATURAS!$F$1:$L$1022, 5, FALSE)</f>
        <v>3</v>
      </c>
      <c r="P25" s="2932"/>
      <c r="Q25" s="2577" t="str">
        <f>VLOOKUP(M25,ASIGNATURAS!$F$1:$L$1022, 6, FALSE)</f>
        <v>Fco. Javier Rodríguez Vidal, Luis Marcos Naveira</v>
      </c>
      <c r="R25" s="2578"/>
      <c r="S25" s="2578"/>
      <c r="T25" s="2578"/>
      <c r="U25" s="2578"/>
      <c r="V25" s="2578"/>
      <c r="W25" s="2578"/>
      <c r="X25" s="2578"/>
      <c r="Y25" s="2578"/>
      <c r="Z25" s="2578"/>
      <c r="AA25" s="2578"/>
      <c r="AB25" s="2578"/>
      <c r="AC25" s="2578"/>
      <c r="AD25" s="2578"/>
      <c r="AE25" s="2578"/>
    </row>
    <row r="26" spans="1:31" ht="13.5" customHeight="1" x14ac:dyDescent="0.25"/>
    <row r="27" spans="1:31" ht="13.5" customHeight="1" x14ac:dyDescent="0.25"/>
    <row r="28" spans="1:31" ht="24" customHeight="1" x14ac:dyDescent="0.25">
      <c r="A28" s="1101" t="s">
        <v>1044</v>
      </c>
      <c r="B28" s="1101"/>
      <c r="C28" s="1101"/>
      <c r="D28" s="1101"/>
      <c r="E28" s="1101"/>
    </row>
    <row r="29" spans="1:31" ht="24" customHeight="1" x14ac:dyDescent="0.25">
      <c r="A29" s="2148" t="s">
        <v>1045</v>
      </c>
      <c r="B29" s="2148"/>
      <c r="C29" s="2148"/>
      <c r="D29" s="2148"/>
      <c r="E29" s="2148"/>
    </row>
    <row r="31" spans="1:31" x14ac:dyDescent="0.25">
      <c r="A31" s="20" t="s">
        <v>217</v>
      </c>
    </row>
    <row r="32" spans="1:31" x14ac:dyDescent="0.25">
      <c r="A32" s="25"/>
    </row>
    <row r="33" spans="1:31" s="1" customFormat="1" ht="31.5" customHeight="1" x14ac:dyDescent="0.4">
      <c r="A33" s="2855" t="str">
        <f>A1</f>
        <v>MASTER DE PROFESORADO EN EDUCACIÓN</v>
      </c>
      <c r="B33" s="2856"/>
      <c r="C33" s="2856"/>
      <c r="D33" s="2856"/>
      <c r="E33" s="2856"/>
      <c r="F33" s="2856"/>
      <c r="G33" s="2856"/>
      <c r="H33" s="2856"/>
      <c r="I33" s="2856"/>
      <c r="J33" s="2856"/>
      <c r="K33" s="2856"/>
      <c r="L33" s="2856"/>
      <c r="M33" s="2856"/>
      <c r="N33" s="2856"/>
      <c r="O33" s="2856"/>
      <c r="P33" s="2856"/>
      <c r="Q33" s="2856"/>
      <c r="R33" s="2856"/>
      <c r="S33" s="2856"/>
      <c r="T33" s="2856"/>
      <c r="U33" s="2856"/>
      <c r="V33" s="2856"/>
      <c r="W33" s="2856"/>
      <c r="X33" s="2856"/>
      <c r="Y33" s="2857"/>
      <c r="Z33" s="988" t="str">
        <f>Z1</f>
        <v>Curso 2024-2025</v>
      </c>
      <c r="AA33" s="988"/>
      <c r="AB33" s="988"/>
      <c r="AC33" s="988"/>
      <c r="AD33" s="988"/>
      <c r="AE33" s="989"/>
    </row>
    <row r="34" spans="1:31" s="8" customFormat="1" ht="23.25" customHeight="1" x14ac:dyDescent="0.4">
      <c r="A34" s="963" t="s">
        <v>175</v>
      </c>
      <c r="B34" s="964"/>
      <c r="C34" s="964"/>
      <c r="D34" s="964"/>
      <c r="E34" s="964"/>
      <c r="F34" s="964"/>
      <c r="G34" s="964"/>
      <c r="H34" s="964"/>
      <c r="I34" s="964"/>
      <c r="J34" s="964"/>
      <c r="K34" s="964"/>
      <c r="L34" s="964"/>
      <c r="M34" s="964"/>
      <c r="N34" s="964"/>
      <c r="O34" s="964"/>
      <c r="P34" s="964"/>
      <c r="Q34" s="964"/>
      <c r="R34" s="964"/>
      <c r="S34" s="964"/>
      <c r="T34" s="964"/>
      <c r="U34" s="964"/>
      <c r="V34" s="964"/>
      <c r="W34" s="964"/>
      <c r="X34" s="964"/>
      <c r="Y34" s="965"/>
      <c r="Z34" s="984" t="s">
        <v>565</v>
      </c>
      <c r="AA34" s="984"/>
      <c r="AB34" s="984"/>
      <c r="AC34" s="984"/>
      <c r="AD34" s="984"/>
      <c r="AE34" s="985"/>
    </row>
    <row r="35" spans="1:31" s="8" customFormat="1" ht="23.25" customHeight="1" x14ac:dyDescent="0.4">
      <c r="A35" s="963" t="s">
        <v>181</v>
      </c>
      <c r="B35" s="964"/>
      <c r="C35" s="964"/>
      <c r="D35" s="964"/>
      <c r="E35" s="964"/>
      <c r="F35" s="964"/>
      <c r="G35" s="964"/>
      <c r="H35" s="964"/>
      <c r="I35" s="964"/>
      <c r="J35" s="964"/>
      <c r="K35" s="964"/>
      <c r="L35" s="964"/>
      <c r="M35" s="964"/>
      <c r="N35" s="964"/>
      <c r="O35" s="964"/>
      <c r="P35" s="964"/>
      <c r="Q35" s="964"/>
      <c r="R35" s="964"/>
      <c r="S35" s="964"/>
      <c r="T35" s="964"/>
      <c r="U35" s="964"/>
      <c r="V35" s="964"/>
      <c r="W35" s="964"/>
      <c r="X35" s="964"/>
      <c r="Y35" s="965"/>
      <c r="Z35" s="986"/>
      <c r="AA35" s="986"/>
      <c r="AB35" s="986"/>
      <c r="AC35" s="986"/>
      <c r="AD35" s="986"/>
      <c r="AE35" s="987"/>
    </row>
    <row r="36" spans="1:31" ht="38.25" customHeight="1" x14ac:dyDescent="0.25">
      <c r="A36" s="23" t="s">
        <v>1140</v>
      </c>
    </row>
    <row r="37" spans="1:31" s="2" customFormat="1" ht="24" customHeight="1" x14ac:dyDescent="0.25">
      <c r="A37" s="167" t="s">
        <v>1</v>
      </c>
      <c r="B37" s="988" t="s">
        <v>2</v>
      </c>
      <c r="C37" s="988"/>
      <c r="D37" s="988"/>
      <c r="E37" s="988"/>
      <c r="F37" s="988"/>
      <c r="G37" s="989"/>
      <c r="H37" s="988" t="s">
        <v>3</v>
      </c>
      <c r="I37" s="988"/>
      <c r="J37" s="988"/>
      <c r="K37" s="988"/>
      <c r="L37" s="988"/>
      <c r="M37" s="989"/>
      <c r="N37" s="988" t="s">
        <v>139</v>
      </c>
      <c r="O37" s="988"/>
      <c r="P37" s="988"/>
      <c r="Q37" s="988"/>
      <c r="R37" s="988"/>
      <c r="S37" s="989"/>
      <c r="T37" s="988" t="s">
        <v>4</v>
      </c>
      <c r="U37" s="988"/>
      <c r="V37" s="988"/>
      <c r="W37" s="988"/>
      <c r="X37" s="988"/>
      <c r="Y37" s="989"/>
      <c r="Z37" s="988" t="s">
        <v>5</v>
      </c>
      <c r="AA37" s="988"/>
      <c r="AB37" s="988"/>
      <c r="AC37" s="988"/>
      <c r="AD37" s="988"/>
      <c r="AE37" s="989"/>
    </row>
    <row r="38" spans="1:31" ht="30" customHeight="1" x14ac:dyDescent="0.3">
      <c r="A38" s="2933" t="s">
        <v>187</v>
      </c>
      <c r="B38" s="932" t="s">
        <v>1144</v>
      </c>
      <c r="C38" s="932"/>
      <c r="D38" s="932"/>
      <c r="E38" s="932"/>
      <c r="F38" s="932"/>
      <c r="G38" s="933"/>
      <c r="H38" s="932" t="s">
        <v>1145</v>
      </c>
      <c r="I38" s="932"/>
      <c r="J38" s="932"/>
      <c r="K38" s="932"/>
      <c r="L38" s="932"/>
      <c r="M38" s="933"/>
      <c r="N38" s="932" t="s">
        <v>1144</v>
      </c>
      <c r="O38" s="932"/>
      <c r="P38" s="932"/>
      <c r="Q38" s="932"/>
      <c r="R38" s="932"/>
      <c r="S38" s="933"/>
      <c r="T38" s="932" t="s">
        <v>1145</v>
      </c>
      <c r="U38" s="932"/>
      <c r="V38" s="932"/>
      <c r="W38" s="932"/>
      <c r="X38" s="932"/>
      <c r="Y38" s="933"/>
      <c r="Z38" s="932"/>
      <c r="AA38" s="932"/>
      <c r="AB38" s="932"/>
      <c r="AC38" s="932"/>
      <c r="AD38" s="932"/>
      <c r="AE38" s="933"/>
    </row>
    <row r="39" spans="1:31" ht="30" customHeight="1" x14ac:dyDescent="0.25">
      <c r="A39" s="2921"/>
      <c r="B39" s="1259" t="s">
        <v>565</v>
      </c>
      <c r="C39" s="1259"/>
      <c r="D39" s="1259"/>
      <c r="E39" s="1259"/>
      <c r="F39" s="1259"/>
      <c r="G39" s="2919"/>
      <c r="H39" s="1259" t="s">
        <v>565</v>
      </c>
      <c r="I39" s="1259"/>
      <c r="J39" s="1259"/>
      <c r="K39" s="1259"/>
      <c r="L39" s="1259"/>
      <c r="M39" s="2919"/>
      <c r="N39" s="1259" t="s">
        <v>565</v>
      </c>
      <c r="O39" s="1259"/>
      <c r="P39" s="1259"/>
      <c r="Q39" s="1259"/>
      <c r="R39" s="1259"/>
      <c r="S39" s="2919"/>
      <c r="T39" s="1259" t="s">
        <v>565</v>
      </c>
      <c r="U39" s="1259"/>
      <c r="V39" s="1259"/>
      <c r="W39" s="1259"/>
      <c r="X39" s="1259"/>
      <c r="Y39" s="2919"/>
      <c r="Z39" s="1259"/>
      <c r="AA39" s="1259"/>
      <c r="AB39" s="1259"/>
      <c r="AC39" s="1259"/>
      <c r="AD39" s="1259"/>
      <c r="AE39" s="2919"/>
    </row>
    <row r="40" spans="1:31" ht="30" customHeight="1" x14ac:dyDescent="0.3">
      <c r="A40" s="2933" t="s">
        <v>186</v>
      </c>
      <c r="B40" s="932" t="s">
        <v>1144</v>
      </c>
      <c r="C40" s="932"/>
      <c r="D40" s="932"/>
      <c r="E40" s="932"/>
      <c r="F40" s="932"/>
      <c r="G40" s="933"/>
      <c r="H40" s="932" t="s">
        <v>1145</v>
      </c>
      <c r="I40" s="932"/>
      <c r="J40" s="932"/>
      <c r="K40" s="932"/>
      <c r="L40" s="932"/>
      <c r="M40" s="933"/>
      <c r="N40" s="932" t="s">
        <v>1144</v>
      </c>
      <c r="O40" s="932"/>
      <c r="P40" s="932"/>
      <c r="Q40" s="932"/>
      <c r="R40" s="932"/>
      <c r="S40" s="933"/>
      <c r="T40" s="932" t="s">
        <v>1145</v>
      </c>
      <c r="U40" s="932"/>
      <c r="V40" s="932"/>
      <c r="W40" s="932"/>
      <c r="X40" s="932"/>
      <c r="Y40" s="933"/>
      <c r="Z40" s="932"/>
      <c r="AA40" s="932"/>
      <c r="AB40" s="932"/>
      <c r="AC40" s="932"/>
      <c r="AD40" s="932"/>
      <c r="AE40" s="933"/>
    </row>
    <row r="41" spans="1:31" ht="30" customHeight="1" x14ac:dyDescent="0.25">
      <c r="A41" s="2921"/>
      <c r="B41" s="1259" t="s">
        <v>565</v>
      </c>
      <c r="C41" s="1259"/>
      <c r="D41" s="1259"/>
      <c r="E41" s="1259"/>
      <c r="F41" s="1259"/>
      <c r="G41" s="2919"/>
      <c r="H41" s="1259" t="s">
        <v>565</v>
      </c>
      <c r="I41" s="1259"/>
      <c r="J41" s="1259"/>
      <c r="K41" s="1259"/>
      <c r="L41" s="1259"/>
      <c r="M41" s="2919"/>
      <c r="N41" s="1259" t="s">
        <v>565</v>
      </c>
      <c r="O41" s="1259"/>
      <c r="P41" s="1259"/>
      <c r="Q41" s="1259"/>
      <c r="R41" s="1259"/>
      <c r="S41" s="2919"/>
      <c r="T41" s="1259" t="s">
        <v>565</v>
      </c>
      <c r="U41" s="1259"/>
      <c r="V41" s="1259"/>
      <c r="W41" s="1259"/>
      <c r="X41" s="1259"/>
      <c r="Y41" s="2919"/>
      <c r="Z41" s="1032"/>
      <c r="AA41" s="1032"/>
      <c r="AB41" s="1032"/>
      <c r="AC41" s="1032"/>
      <c r="AD41" s="1032"/>
      <c r="AE41" s="1033"/>
    </row>
    <row r="42" spans="1:31" ht="30" customHeight="1" x14ac:dyDescent="0.3">
      <c r="A42" s="2933" t="s">
        <v>188</v>
      </c>
      <c r="B42" s="932" t="s">
        <v>1145</v>
      </c>
      <c r="C42" s="932"/>
      <c r="D42" s="932"/>
      <c r="E42" s="932"/>
      <c r="F42" s="932"/>
      <c r="G42" s="933"/>
      <c r="H42" s="932" t="s">
        <v>1146</v>
      </c>
      <c r="I42" s="932"/>
      <c r="J42" s="932"/>
      <c r="K42" s="932"/>
      <c r="L42" s="932"/>
      <c r="M42" s="933"/>
      <c r="N42" s="932" t="s">
        <v>1146</v>
      </c>
      <c r="O42" s="932"/>
      <c r="P42" s="932"/>
      <c r="Q42" s="932"/>
      <c r="R42" s="932"/>
      <c r="S42" s="933"/>
      <c r="T42" s="932" t="s">
        <v>1144</v>
      </c>
      <c r="U42" s="932"/>
      <c r="V42" s="932"/>
      <c r="W42" s="932"/>
      <c r="X42" s="932"/>
      <c r="Y42" s="933"/>
      <c r="Z42" s="932"/>
      <c r="AA42" s="932"/>
      <c r="AB42" s="932"/>
      <c r="AC42" s="932"/>
      <c r="AD42" s="932"/>
      <c r="AE42" s="933"/>
    </row>
    <row r="43" spans="1:31" ht="30" customHeight="1" x14ac:dyDescent="0.25">
      <c r="A43" s="2921"/>
      <c r="B43" s="1259" t="s">
        <v>565</v>
      </c>
      <c r="C43" s="1259"/>
      <c r="D43" s="1259"/>
      <c r="E43" s="1259"/>
      <c r="F43" s="1259"/>
      <c r="G43" s="2919"/>
      <c r="H43" s="1259" t="s">
        <v>565</v>
      </c>
      <c r="I43" s="1259"/>
      <c r="J43" s="1259"/>
      <c r="K43" s="1259"/>
      <c r="L43" s="1259"/>
      <c r="M43" s="2919"/>
      <c r="N43" s="1259" t="s">
        <v>565</v>
      </c>
      <c r="O43" s="1259"/>
      <c r="P43" s="1259"/>
      <c r="Q43" s="1259"/>
      <c r="R43" s="1259"/>
      <c r="S43" s="2919"/>
      <c r="T43" s="1259" t="s">
        <v>565</v>
      </c>
      <c r="U43" s="1259"/>
      <c r="V43" s="1259"/>
      <c r="W43" s="1259"/>
      <c r="X43" s="1259"/>
      <c r="Y43" s="2919"/>
      <c r="Z43" s="930"/>
      <c r="AA43" s="930"/>
      <c r="AB43" s="930"/>
      <c r="AC43" s="930"/>
      <c r="AD43" s="930"/>
      <c r="AE43" s="931"/>
    </row>
    <row r="44" spans="1:31" ht="30" customHeight="1" x14ac:dyDescent="0.3">
      <c r="A44" s="2933" t="s">
        <v>189</v>
      </c>
      <c r="B44" s="932" t="s">
        <v>1145</v>
      </c>
      <c r="C44" s="932"/>
      <c r="D44" s="932"/>
      <c r="E44" s="932"/>
      <c r="F44" s="932"/>
      <c r="G44" s="933"/>
      <c r="H44" s="932" t="s">
        <v>1146</v>
      </c>
      <c r="I44" s="932"/>
      <c r="J44" s="932"/>
      <c r="K44" s="932"/>
      <c r="L44" s="932"/>
      <c r="M44" s="933"/>
      <c r="N44" s="932" t="s">
        <v>1146</v>
      </c>
      <c r="O44" s="932"/>
      <c r="P44" s="932"/>
      <c r="Q44" s="932"/>
      <c r="R44" s="932"/>
      <c r="S44" s="933"/>
      <c r="T44" s="932" t="s">
        <v>1144</v>
      </c>
      <c r="U44" s="932"/>
      <c r="V44" s="932"/>
      <c r="W44" s="932"/>
      <c r="X44" s="932"/>
      <c r="Y44" s="933"/>
      <c r="Z44" s="932"/>
      <c r="AA44" s="932"/>
      <c r="AB44" s="932"/>
      <c r="AC44" s="932"/>
      <c r="AD44" s="932"/>
      <c r="AE44" s="933"/>
    </row>
    <row r="45" spans="1:31" ht="30" customHeight="1" x14ac:dyDescent="0.25">
      <c r="A45" s="2921"/>
      <c r="B45" s="1259" t="s">
        <v>565</v>
      </c>
      <c r="C45" s="1259"/>
      <c r="D45" s="1259"/>
      <c r="E45" s="1259"/>
      <c r="F45" s="1259"/>
      <c r="G45" s="2919"/>
      <c r="H45" s="1259" t="s">
        <v>565</v>
      </c>
      <c r="I45" s="1259"/>
      <c r="J45" s="1259"/>
      <c r="K45" s="1259"/>
      <c r="L45" s="1259"/>
      <c r="M45" s="2919"/>
      <c r="N45" s="1259" t="s">
        <v>565</v>
      </c>
      <c r="O45" s="1259"/>
      <c r="P45" s="1259"/>
      <c r="Q45" s="1259"/>
      <c r="R45" s="1259"/>
      <c r="S45" s="2919"/>
      <c r="T45" s="1259" t="s">
        <v>565</v>
      </c>
      <c r="U45" s="1259"/>
      <c r="V45" s="1259"/>
      <c r="W45" s="1259"/>
      <c r="X45" s="1259"/>
      <c r="Y45" s="2919"/>
      <c r="Z45" s="943"/>
      <c r="AA45" s="930"/>
      <c r="AB45" s="930"/>
      <c r="AC45" s="930"/>
      <c r="AD45" s="930"/>
      <c r="AE45" s="931"/>
    </row>
    <row r="46" spans="1:31" ht="30" customHeight="1" x14ac:dyDescent="0.3">
      <c r="A46" s="2933" t="s">
        <v>190</v>
      </c>
      <c r="B46" s="1005"/>
      <c r="C46" s="967"/>
      <c r="D46" s="967"/>
      <c r="E46" s="967"/>
      <c r="F46" s="967"/>
      <c r="G46" s="968"/>
      <c r="H46" s="1005"/>
      <c r="I46" s="967"/>
      <c r="J46" s="967"/>
      <c r="K46" s="967"/>
      <c r="L46" s="967"/>
      <c r="M46" s="968"/>
      <c r="N46" s="932"/>
      <c r="O46" s="932"/>
      <c r="P46" s="932"/>
      <c r="Q46" s="932"/>
      <c r="R46" s="932"/>
      <c r="S46" s="933"/>
      <c r="T46" s="1005"/>
      <c r="U46" s="967"/>
      <c r="V46" s="967"/>
      <c r="W46" s="967"/>
      <c r="X46" s="967"/>
      <c r="Y46" s="968"/>
      <c r="Z46" s="1005"/>
      <c r="AA46" s="967"/>
      <c r="AB46" s="967"/>
      <c r="AC46" s="967"/>
      <c r="AD46" s="967"/>
      <c r="AE46" s="968"/>
    </row>
    <row r="47" spans="1:31" ht="30" customHeight="1" x14ac:dyDescent="0.25">
      <c r="A47" s="2921"/>
      <c r="B47" s="943"/>
      <c r="C47" s="930"/>
      <c r="D47" s="930"/>
      <c r="E47" s="930"/>
      <c r="F47" s="930"/>
      <c r="G47" s="931"/>
      <c r="H47" s="943"/>
      <c r="I47" s="930"/>
      <c r="J47" s="930"/>
      <c r="K47" s="930"/>
      <c r="L47" s="930"/>
      <c r="M47" s="931"/>
      <c r="N47" s="943"/>
      <c r="O47" s="930"/>
      <c r="P47" s="930"/>
      <c r="Q47" s="930"/>
      <c r="R47" s="930"/>
      <c r="S47" s="931"/>
      <c r="T47" s="943"/>
      <c r="U47" s="930"/>
      <c r="V47" s="930"/>
      <c r="W47" s="930"/>
      <c r="X47" s="930"/>
      <c r="Y47" s="931"/>
      <c r="Z47" s="943"/>
      <c r="AA47" s="930"/>
      <c r="AB47" s="930"/>
      <c r="AC47" s="930"/>
      <c r="AD47" s="930"/>
      <c r="AE47" s="931"/>
    </row>
    <row r="48" spans="1:31" ht="30" customHeight="1" x14ac:dyDescent="0.3">
      <c r="A48" s="2933" t="s">
        <v>191</v>
      </c>
      <c r="B48" s="1005"/>
      <c r="C48" s="967"/>
      <c r="D48" s="967"/>
      <c r="E48" s="967"/>
      <c r="F48" s="967"/>
      <c r="G48" s="968"/>
      <c r="H48" s="1005"/>
      <c r="I48" s="967"/>
      <c r="J48" s="967"/>
      <c r="K48" s="967"/>
      <c r="L48" s="967"/>
      <c r="M48" s="968"/>
      <c r="N48" s="932"/>
      <c r="O48" s="932"/>
      <c r="P48" s="932"/>
      <c r="Q48" s="932"/>
      <c r="R48" s="932"/>
      <c r="S48" s="933"/>
      <c r="T48" s="1005"/>
      <c r="U48" s="967"/>
      <c r="V48" s="967"/>
      <c r="W48" s="967"/>
      <c r="X48" s="967"/>
      <c r="Y48" s="968"/>
      <c r="Z48" s="1005"/>
      <c r="AA48" s="967"/>
      <c r="AB48" s="967"/>
      <c r="AC48" s="967"/>
      <c r="AD48" s="967"/>
      <c r="AE48" s="968"/>
    </row>
    <row r="49" spans="1:31" ht="30" customHeight="1" x14ac:dyDescent="0.25">
      <c r="A49" s="2921"/>
      <c r="B49" s="943"/>
      <c r="C49" s="930"/>
      <c r="D49" s="930"/>
      <c r="E49" s="930"/>
      <c r="F49" s="930"/>
      <c r="G49" s="931"/>
      <c r="H49" s="943"/>
      <c r="I49" s="930"/>
      <c r="J49" s="930"/>
      <c r="K49" s="930"/>
      <c r="L49" s="930"/>
      <c r="M49" s="931"/>
      <c r="N49" s="943"/>
      <c r="O49" s="930"/>
      <c r="P49" s="930"/>
      <c r="Q49" s="930"/>
      <c r="R49" s="930"/>
      <c r="S49" s="931"/>
      <c r="T49" s="943"/>
      <c r="U49" s="930"/>
      <c r="V49" s="930"/>
      <c r="W49" s="930"/>
      <c r="X49" s="930"/>
      <c r="Y49" s="931"/>
      <c r="Z49" s="943"/>
      <c r="AA49" s="930"/>
      <c r="AB49" s="930"/>
      <c r="AC49" s="930"/>
      <c r="AD49" s="930"/>
      <c r="AE49" s="931"/>
    </row>
    <row r="50" spans="1:31" ht="52.5" customHeight="1" x14ac:dyDescent="0.25"/>
    <row r="51" spans="1:31" ht="18.75" customHeight="1" x14ac:dyDescent="0.25">
      <c r="A51" s="995" t="s">
        <v>218</v>
      </c>
      <c r="B51" s="953"/>
      <c r="C51" s="952" t="s">
        <v>219</v>
      </c>
      <c r="D51" s="952"/>
      <c r="E51" s="952"/>
      <c r="F51" s="952"/>
      <c r="G51" s="952"/>
      <c r="H51" s="952"/>
      <c r="I51" s="952"/>
      <c r="J51" s="952"/>
      <c r="K51" s="952"/>
      <c r="L51" s="168"/>
      <c r="M51" s="950" t="s">
        <v>335</v>
      </c>
      <c r="N51" s="951"/>
      <c r="O51" s="952" t="s">
        <v>143</v>
      </c>
      <c r="P51" s="953"/>
      <c r="Q51" s="952" t="s">
        <v>167</v>
      </c>
      <c r="R51" s="952"/>
      <c r="S51" s="952"/>
      <c r="T51" s="952"/>
      <c r="U51" s="952"/>
      <c r="V51" s="952"/>
      <c r="W51" s="952"/>
      <c r="X51" s="952"/>
      <c r="Y51" s="952"/>
      <c r="Z51" s="952"/>
      <c r="AA51" s="952"/>
      <c r="AB51" s="952"/>
      <c r="AC51" s="952"/>
      <c r="AD51" s="952"/>
      <c r="AE51" s="953"/>
    </row>
    <row r="52" spans="1:31" ht="13.8" x14ac:dyDescent="0.25">
      <c r="A52" s="2925" t="str">
        <f>VLOOKUP(M52,ASIGNATURAS!$F$1:$L$1022, 3, FALSE)</f>
        <v>CONST. Y EDIFIC.</v>
      </c>
      <c r="B52" s="2925"/>
      <c r="C52" s="2926" t="str">
        <f>VLOOKUP(M52,ASIGNATURAS!$F$1:$L$1022, 4, FALSE)</f>
        <v>Construcción y Edificación de Plantas Industriales</v>
      </c>
      <c r="D52" s="2927"/>
      <c r="E52" s="2927"/>
      <c r="F52" s="2927"/>
      <c r="G52" s="2927"/>
      <c r="H52" s="2927"/>
      <c r="I52" s="2927"/>
      <c r="J52" s="2927"/>
      <c r="K52" s="2927"/>
      <c r="L52" s="2927"/>
      <c r="M52" s="2928">
        <v>7042</v>
      </c>
      <c r="N52" s="2929"/>
      <c r="O52" s="2928">
        <f>VLOOKUP(M52,ASIGNATURAS!$F$1:$L$1022, 5, FALSE)</f>
        <v>6</v>
      </c>
      <c r="P52" s="2929"/>
      <c r="Q52" s="2926" t="str">
        <f>VLOOKUP(M52,ASIGNATURAS!$F$1:$L$1022, 6, FALSE)</f>
        <v>Luis Alfredo Suárez Vivar</v>
      </c>
      <c r="R52" s="2927"/>
      <c r="S52" s="2927"/>
      <c r="T52" s="2927"/>
      <c r="U52" s="2927"/>
      <c r="V52" s="2927"/>
      <c r="W52" s="2927"/>
      <c r="X52" s="2927"/>
      <c r="Y52" s="2927"/>
      <c r="Z52" s="2927"/>
      <c r="AA52" s="2927"/>
      <c r="AB52" s="2927"/>
      <c r="AC52" s="2927"/>
      <c r="AD52" s="2927"/>
      <c r="AE52" s="2927"/>
    </row>
    <row r="53" spans="1:31" ht="13.8" x14ac:dyDescent="0.25">
      <c r="A53" s="2930" t="str">
        <f>VLOOKUP(M53,ASIGNATURAS!$F$1:$L$1022, 3, FALSE)</f>
        <v>DIRECCIÓN PROD.</v>
      </c>
      <c r="B53" s="2930"/>
      <c r="C53" s="2577" t="str">
        <f>VLOOKUP(M53,ASIGNATURAS!$F$1:$L$1022, 4, FALSE)</f>
        <v>Dirección de la Producción y Proyectos</v>
      </c>
      <c r="D53" s="2578"/>
      <c r="E53" s="2578"/>
      <c r="F53" s="2578"/>
      <c r="G53" s="2578"/>
      <c r="H53" s="2578"/>
      <c r="I53" s="2578"/>
      <c r="J53" s="2578"/>
      <c r="K53" s="2578"/>
      <c r="L53" s="2578"/>
      <c r="M53" s="2931">
        <v>7043</v>
      </c>
      <c r="N53" s="2932"/>
      <c r="O53" s="2931">
        <f>VLOOKUP(M53,ASIGNATURAS!$F$1:$L$1022, 5, FALSE)</f>
        <v>6</v>
      </c>
      <c r="P53" s="2932"/>
      <c r="Q53" s="2577" t="str">
        <f>VLOOKUP(M53,ASIGNATURAS!$F$1:$L$1022, 6, FALSE)</f>
        <v>Miguel Angel Mariscal, Ricardo del Olmo</v>
      </c>
      <c r="R53" s="2578"/>
      <c r="S53" s="2578"/>
      <c r="T53" s="2578"/>
      <c r="U53" s="2578"/>
      <c r="V53" s="2578"/>
      <c r="W53" s="2578"/>
      <c r="X53" s="2578"/>
      <c r="Y53" s="2578"/>
      <c r="Z53" s="2578"/>
      <c r="AA53" s="2578"/>
      <c r="AB53" s="2578"/>
      <c r="AC53" s="2578"/>
      <c r="AD53" s="2578"/>
      <c r="AE53" s="2578"/>
    </row>
    <row r="54" spans="1:31" ht="13.8" x14ac:dyDescent="0.25">
      <c r="A54" s="2930" t="str">
        <f>VLOOKUP(M54,ASIGNATURAS!$F$1:$L$1022, 3, FALSE)</f>
        <v>ING. ENERGÉTICA</v>
      </c>
      <c r="B54" s="2930"/>
      <c r="C54" s="2577" t="str">
        <f>VLOOKUP(M54,ASIGNATURAS!$F$1:$L$1022, 4, FALSE)</f>
        <v>Ingeniería Energética</v>
      </c>
      <c r="D54" s="2578"/>
      <c r="E54" s="2578"/>
      <c r="F54" s="2578"/>
      <c r="G54" s="2578"/>
      <c r="H54" s="2578"/>
      <c r="I54" s="2578"/>
      <c r="J54" s="2578"/>
      <c r="K54" s="2578"/>
      <c r="L54" s="2578"/>
      <c r="M54" s="2931">
        <v>7044</v>
      </c>
      <c r="N54" s="2932"/>
      <c r="O54" s="2931">
        <f>VLOOKUP(M54,ASIGNATURAS!$F$1:$L$1022, 5, FALSE)</f>
        <v>6</v>
      </c>
      <c r="P54" s="2932"/>
      <c r="Q54" s="2577" t="str">
        <f>VLOOKUP(M54,ASIGNATURAS!$F$1:$L$1022, 6, FALSE)</f>
        <v>Fernando Aguilar Romero, Natalia Muñoz</v>
      </c>
      <c r="R54" s="2578"/>
      <c r="S54" s="2578"/>
      <c r="T54" s="2578"/>
      <c r="U54" s="2578"/>
      <c r="V54" s="2578"/>
      <c r="W54" s="2578"/>
      <c r="X54" s="2578"/>
      <c r="Y54" s="2578"/>
      <c r="Z54" s="2578"/>
      <c r="AA54" s="2578"/>
      <c r="AB54" s="2578"/>
      <c r="AC54" s="2578"/>
      <c r="AD54" s="2578"/>
      <c r="AE54" s="2578"/>
    </row>
    <row r="55" spans="1:31" ht="13.8" x14ac:dyDescent="0.25">
      <c r="A55" s="2930" t="str">
        <f>VLOOKUP(M55,ASIGNATURAS!$F$1:$L$1022, 3, FALSE)</f>
        <v>CONT. PROCESOS</v>
      </c>
      <c r="B55" s="2930"/>
      <c r="C55" s="2577" t="str">
        <f>VLOOKUP(M55,ASIGNATURAS!$F$1:$L$1022, 4, FALSE)</f>
        <v>Control Avanzado de Procesos</v>
      </c>
      <c r="D55" s="2578"/>
      <c r="E55" s="2578"/>
      <c r="F55" s="2578"/>
      <c r="G55" s="2578"/>
      <c r="H55" s="2578"/>
      <c r="I55" s="2578"/>
      <c r="J55" s="2578"/>
      <c r="K55" s="2578"/>
      <c r="L55" s="2578"/>
      <c r="M55" s="2931">
        <v>7045</v>
      </c>
      <c r="N55" s="2932"/>
      <c r="O55" s="2931">
        <f>VLOOKUP(M55,ASIGNATURAS!$F$1:$L$1022, 5, FALSE)</f>
        <v>6</v>
      </c>
      <c r="P55" s="2932"/>
      <c r="Q55" s="2577" t="str">
        <f>VLOOKUP(M55,ASIGNATURAS!$F$1:$L$1022, 6, FALSE)</f>
        <v>Daniel Sarabia Ortiz</v>
      </c>
      <c r="R55" s="2578"/>
      <c r="S55" s="2578"/>
      <c r="T55" s="2578"/>
      <c r="U55" s="2578"/>
      <c r="V55" s="2578"/>
      <c r="W55" s="2578"/>
      <c r="X55" s="2578"/>
      <c r="Y55" s="2578"/>
      <c r="Z55" s="2578"/>
      <c r="AA55" s="2578"/>
      <c r="AB55" s="2578"/>
      <c r="AC55" s="2578"/>
      <c r="AD55" s="2578"/>
      <c r="AE55" s="2578"/>
    </row>
    <row r="56" spans="1:31" ht="13.8" x14ac:dyDescent="0.25">
      <c r="A56" s="2930" t="str">
        <f>VLOOKUP(M56,ASIGNATURAS!$F$1:$L$1022, 3, FALSE)</f>
        <v>ING. ELECTRÓN.</v>
      </c>
      <c r="B56" s="2930"/>
      <c r="C56" s="2577" t="str">
        <f>VLOOKUP(M56,ASIGNATURAS!$F$1:$L$1022, 4, FALSE)</f>
        <v>Ingeniería Electrónica</v>
      </c>
      <c r="D56" s="2578"/>
      <c r="E56" s="2578"/>
      <c r="F56" s="2578"/>
      <c r="G56" s="2578"/>
      <c r="H56" s="2578"/>
      <c r="I56" s="2578"/>
      <c r="J56" s="2578"/>
      <c r="K56" s="2578"/>
      <c r="L56" s="2578"/>
      <c r="M56" s="2931">
        <v>7046</v>
      </c>
      <c r="N56" s="2932"/>
      <c r="O56" s="2931">
        <f>VLOOKUP(M56,ASIGNATURAS!$F$1:$L$1022, 5, FALSE)</f>
        <v>6</v>
      </c>
      <c r="P56" s="2932"/>
      <c r="Q56" s="2577" t="str">
        <f>VLOOKUP(M56,ASIGNATURAS!$F$1:$L$1022, 6, FALSE)</f>
        <v>Alberto Estébanez</v>
      </c>
      <c r="R56" s="2578"/>
      <c r="S56" s="2578"/>
      <c r="T56" s="2578"/>
      <c r="U56" s="2578"/>
      <c r="V56" s="2578"/>
      <c r="W56" s="2578"/>
      <c r="X56" s="2578"/>
      <c r="Y56" s="2578"/>
      <c r="Z56" s="2578"/>
      <c r="AA56" s="2578"/>
      <c r="AB56" s="2578"/>
      <c r="AC56" s="2578"/>
      <c r="AD56" s="2578"/>
      <c r="AE56" s="2578"/>
    </row>
    <row r="57" spans="1:31" ht="13.5" customHeight="1" x14ac:dyDescent="0.25"/>
    <row r="58" spans="1:31" ht="13.5" customHeight="1" x14ac:dyDescent="0.25"/>
    <row r="59" spans="1:31" ht="24" customHeight="1" x14ac:dyDescent="0.25">
      <c r="A59" s="1101" t="s">
        <v>1044</v>
      </c>
      <c r="B59" s="1101"/>
      <c r="C59" s="1101"/>
      <c r="D59" s="1101"/>
      <c r="E59" s="1101"/>
    </row>
    <row r="60" spans="1:31" ht="24" customHeight="1" x14ac:dyDescent="0.25">
      <c r="A60" s="2148" t="s">
        <v>1045</v>
      </c>
      <c r="B60" s="2148"/>
      <c r="C60" s="2148"/>
      <c r="D60" s="2148"/>
      <c r="E60" s="2148"/>
    </row>
    <row r="62" spans="1:31" x14ac:dyDescent="0.25">
      <c r="A62" s="20" t="s">
        <v>217</v>
      </c>
    </row>
    <row r="64" spans="1:31" x14ac:dyDescent="0.25">
      <c r="A64" s="25"/>
    </row>
    <row r="65" spans="1:47" s="1" customFormat="1" ht="31.5" customHeight="1" x14ac:dyDescent="0.4">
      <c r="A65" s="2855" t="str">
        <f>VLOOKUP(A68,ASIGNATURAS!$A$2:$D$151, 3, FALSE)</f>
        <v>2º Máster en Ingeniería Industrial</v>
      </c>
      <c r="B65" s="2856"/>
      <c r="C65" s="2856"/>
      <c r="D65" s="2856"/>
      <c r="E65" s="2856"/>
      <c r="F65" s="2856"/>
      <c r="G65" s="2856"/>
      <c r="H65" s="2856"/>
      <c r="I65" s="2856"/>
      <c r="J65" s="2856"/>
      <c r="K65" s="2856"/>
      <c r="L65" s="2856"/>
      <c r="M65" s="2856"/>
      <c r="N65" s="2856"/>
      <c r="O65" s="2856"/>
      <c r="P65" s="2856"/>
      <c r="Q65" s="2856"/>
      <c r="R65" s="2856"/>
      <c r="S65" s="2856"/>
      <c r="T65" s="2856"/>
      <c r="U65" s="2856"/>
      <c r="V65" s="2856"/>
      <c r="W65" s="2856"/>
      <c r="X65" s="2856"/>
      <c r="Y65" s="2857"/>
      <c r="Z65" s="988" t="str">
        <f>Z1</f>
        <v>Curso 2024-2025</v>
      </c>
      <c r="AA65" s="988"/>
      <c r="AB65" s="988"/>
      <c r="AC65" s="988"/>
      <c r="AD65" s="988"/>
      <c r="AE65" s="989"/>
    </row>
    <row r="66" spans="1:47" s="8" customFormat="1" ht="23.25" customHeight="1" x14ac:dyDescent="0.4">
      <c r="A66" s="963" t="str">
        <f>VLOOKUP(A68,ASIGNATURAS!$A$2:$D$151, 2, FALSE)</f>
        <v>Semestre temporal: 1º        (3º Semestre Académico)</v>
      </c>
      <c r="B66" s="964"/>
      <c r="C66" s="964"/>
      <c r="D66" s="964"/>
      <c r="E66" s="964"/>
      <c r="F66" s="964"/>
      <c r="G66" s="964"/>
      <c r="H66" s="964"/>
      <c r="I66" s="964"/>
      <c r="J66" s="964"/>
      <c r="K66" s="964"/>
      <c r="L66" s="964"/>
      <c r="M66" s="964"/>
      <c r="N66" s="964"/>
      <c r="O66" s="964"/>
      <c r="P66" s="964"/>
      <c r="Q66" s="964"/>
      <c r="R66" s="964"/>
      <c r="S66" s="964"/>
      <c r="T66" s="964"/>
      <c r="U66" s="964"/>
      <c r="V66" s="964"/>
      <c r="W66" s="964"/>
      <c r="X66" s="964"/>
      <c r="Y66" s="965"/>
      <c r="Z66" s="984" t="s">
        <v>160</v>
      </c>
      <c r="AA66" s="984"/>
      <c r="AB66" s="984"/>
      <c r="AC66" s="984"/>
      <c r="AD66" s="984"/>
      <c r="AE66" s="985"/>
    </row>
    <row r="67" spans="1:47" s="8" customFormat="1" ht="23.25" customHeight="1" x14ac:dyDescent="0.4">
      <c r="A67" s="963" t="s">
        <v>181</v>
      </c>
      <c r="B67" s="964"/>
      <c r="C67" s="964"/>
      <c r="D67" s="964"/>
      <c r="E67" s="964"/>
      <c r="F67" s="964"/>
      <c r="G67" s="964"/>
      <c r="H67" s="964"/>
      <c r="I67" s="964"/>
      <c r="J67" s="964"/>
      <c r="K67" s="964"/>
      <c r="L67" s="964"/>
      <c r="M67" s="964"/>
      <c r="N67" s="964"/>
      <c r="O67" s="964"/>
      <c r="P67" s="964"/>
      <c r="Q67" s="964"/>
      <c r="R67" s="964"/>
      <c r="S67" s="964"/>
      <c r="T67" s="964"/>
      <c r="U67" s="964"/>
      <c r="V67" s="964"/>
      <c r="W67" s="964"/>
      <c r="X67" s="964"/>
      <c r="Y67" s="965"/>
      <c r="Z67" s="986"/>
      <c r="AA67" s="986"/>
      <c r="AB67" s="986"/>
      <c r="AC67" s="986"/>
      <c r="AD67" s="986"/>
      <c r="AE67" s="987"/>
    </row>
    <row r="68" spans="1:47" ht="38.25" customHeight="1" x14ac:dyDescent="0.25">
      <c r="A68" s="23" t="s">
        <v>123</v>
      </c>
    </row>
    <row r="69" spans="1:47" s="2" customFormat="1" ht="24" customHeight="1" x14ac:dyDescent="0.25">
      <c r="A69" s="167" t="s">
        <v>1</v>
      </c>
      <c r="B69" s="988" t="s">
        <v>2</v>
      </c>
      <c r="C69" s="988"/>
      <c r="D69" s="988"/>
      <c r="E69" s="988"/>
      <c r="F69" s="988"/>
      <c r="G69" s="989"/>
      <c r="H69" s="988" t="s">
        <v>3</v>
      </c>
      <c r="I69" s="988"/>
      <c r="J69" s="988"/>
      <c r="K69" s="988"/>
      <c r="L69" s="988"/>
      <c r="M69" s="989"/>
      <c r="N69" s="988" t="s">
        <v>139</v>
      </c>
      <c r="O69" s="988"/>
      <c r="P69" s="988"/>
      <c r="Q69" s="988"/>
      <c r="R69" s="988"/>
      <c r="S69" s="989"/>
      <c r="T69" s="988" t="s">
        <v>4</v>
      </c>
      <c r="U69" s="988"/>
      <c r="V69" s="988"/>
      <c r="W69" s="988"/>
      <c r="X69" s="988"/>
      <c r="Y69" s="989"/>
      <c r="Z69" s="988" t="s">
        <v>5</v>
      </c>
      <c r="AA69" s="988"/>
      <c r="AB69" s="988"/>
      <c r="AC69" s="988"/>
      <c r="AD69" s="988"/>
      <c r="AE69" s="989"/>
      <c r="AK69"/>
      <c r="AL69"/>
      <c r="AM69"/>
      <c r="AN69"/>
      <c r="AO69"/>
      <c r="AP69"/>
      <c r="AQ69"/>
      <c r="AR69"/>
      <c r="AS69"/>
      <c r="AT69"/>
      <c r="AU69"/>
    </row>
    <row r="70" spans="1:47" ht="30" customHeight="1" x14ac:dyDescent="0.3">
      <c r="A70" s="2921" t="s">
        <v>187</v>
      </c>
      <c r="B70" s="2858" t="s">
        <v>234</v>
      </c>
      <c r="C70" s="2858"/>
      <c r="D70" s="2858"/>
      <c r="E70" s="2858"/>
      <c r="F70" s="2858"/>
      <c r="G70" s="2859"/>
      <c r="H70" s="939" t="s">
        <v>948</v>
      </c>
      <c r="I70" s="939"/>
      <c r="J70" s="939"/>
      <c r="K70" s="939"/>
      <c r="L70" s="939"/>
      <c r="M70" s="949"/>
      <c r="N70" s="2831" t="s">
        <v>27</v>
      </c>
      <c r="O70" s="2831"/>
      <c r="P70" s="2831"/>
      <c r="Q70" s="2831"/>
      <c r="R70" s="2831"/>
      <c r="S70" s="2832"/>
      <c r="T70" s="939" t="s">
        <v>235</v>
      </c>
      <c r="U70" s="939"/>
      <c r="V70" s="939"/>
      <c r="W70" s="939"/>
      <c r="X70" s="939"/>
      <c r="Y70" s="949"/>
      <c r="Z70" s="939" t="s">
        <v>235</v>
      </c>
      <c r="AA70" s="939"/>
      <c r="AB70" s="939"/>
      <c r="AC70" s="939"/>
      <c r="AD70" s="939"/>
      <c r="AE70" s="949"/>
    </row>
    <row r="71" spans="1:47" ht="30" customHeight="1" x14ac:dyDescent="0.25">
      <c r="A71" s="1469"/>
      <c r="B71" s="2824" t="s">
        <v>160</v>
      </c>
      <c r="C71" s="2824"/>
      <c r="D71" s="2824"/>
      <c r="E71" s="2824"/>
      <c r="F71" s="2824"/>
      <c r="G71" s="2825"/>
      <c r="H71" s="944"/>
      <c r="I71" s="944"/>
      <c r="J71" s="944"/>
      <c r="K71" s="944"/>
      <c r="L71" s="944"/>
      <c r="M71" s="945"/>
      <c r="N71" s="2836" t="s">
        <v>160</v>
      </c>
      <c r="O71" s="2836"/>
      <c r="P71" s="2836"/>
      <c r="Q71" s="2836"/>
      <c r="R71" s="2836"/>
      <c r="S71" s="2837"/>
      <c r="T71" s="944" t="s">
        <v>155</v>
      </c>
      <c r="U71" s="944"/>
      <c r="V71" s="944"/>
      <c r="W71" s="944"/>
      <c r="X71" s="944"/>
      <c r="Y71" s="945"/>
      <c r="Z71" s="944" t="s">
        <v>155</v>
      </c>
      <c r="AA71" s="944"/>
      <c r="AB71" s="944"/>
      <c r="AC71" s="944"/>
      <c r="AD71" s="944"/>
      <c r="AE71" s="945"/>
    </row>
    <row r="72" spans="1:47" ht="30" customHeight="1" x14ac:dyDescent="0.3">
      <c r="A72" s="2921" t="s">
        <v>186</v>
      </c>
      <c r="B72" s="2858" t="s">
        <v>234</v>
      </c>
      <c r="C72" s="2858"/>
      <c r="D72" s="2858"/>
      <c r="E72" s="2858"/>
      <c r="F72" s="2858"/>
      <c r="G72" s="2859"/>
      <c r="H72" s="939" t="s">
        <v>948</v>
      </c>
      <c r="I72" s="939"/>
      <c r="J72" s="939"/>
      <c r="K72" s="939"/>
      <c r="L72" s="939"/>
      <c r="M72" s="949"/>
      <c r="N72" s="2831" t="s">
        <v>27</v>
      </c>
      <c r="O72" s="2831"/>
      <c r="P72" s="2831"/>
      <c r="Q72" s="2831"/>
      <c r="R72" s="2831"/>
      <c r="S72" s="2832"/>
      <c r="T72" s="939" t="s">
        <v>235</v>
      </c>
      <c r="U72" s="939"/>
      <c r="V72" s="939"/>
      <c r="W72" s="939"/>
      <c r="X72" s="939"/>
      <c r="Y72" s="949"/>
      <c r="Z72" s="939" t="s">
        <v>235</v>
      </c>
      <c r="AA72" s="939"/>
      <c r="AB72" s="939"/>
      <c r="AC72" s="939"/>
      <c r="AD72" s="939"/>
      <c r="AE72" s="949"/>
    </row>
    <row r="73" spans="1:47" ht="30" customHeight="1" x14ac:dyDescent="0.25">
      <c r="A73" s="1469"/>
      <c r="B73" s="2824" t="s">
        <v>160</v>
      </c>
      <c r="C73" s="2824"/>
      <c r="D73" s="2824"/>
      <c r="E73" s="2824"/>
      <c r="F73" s="2824"/>
      <c r="G73" s="2825"/>
      <c r="H73" s="944"/>
      <c r="I73" s="944"/>
      <c r="J73" s="944"/>
      <c r="K73" s="944"/>
      <c r="L73" s="944"/>
      <c r="M73" s="945"/>
      <c r="N73" s="2836" t="s">
        <v>160</v>
      </c>
      <c r="O73" s="2836"/>
      <c r="P73" s="2836"/>
      <c r="Q73" s="2836"/>
      <c r="R73" s="2836"/>
      <c r="S73" s="2837"/>
      <c r="T73" s="944" t="s">
        <v>155</v>
      </c>
      <c r="U73" s="944"/>
      <c r="V73" s="944"/>
      <c r="W73" s="944"/>
      <c r="X73" s="944"/>
      <c r="Y73" s="945"/>
      <c r="Z73" s="944" t="s">
        <v>155</v>
      </c>
      <c r="AA73" s="944"/>
      <c r="AB73" s="944"/>
      <c r="AC73" s="944"/>
      <c r="AD73" s="944"/>
      <c r="AE73" s="945"/>
    </row>
    <row r="74" spans="1:47" ht="30" customHeight="1" x14ac:dyDescent="0.3">
      <c r="A74" s="2921" t="s">
        <v>188</v>
      </c>
      <c r="B74" s="2822" t="s">
        <v>938</v>
      </c>
      <c r="C74" s="2822"/>
      <c r="D74" s="2822"/>
      <c r="E74" s="2822"/>
      <c r="F74" s="2822"/>
      <c r="G74" s="2823"/>
      <c r="H74" s="2860" t="s">
        <v>222</v>
      </c>
      <c r="I74" s="2860"/>
      <c r="J74" s="2860"/>
      <c r="K74" s="2860"/>
      <c r="L74" s="2860"/>
      <c r="M74" s="2861"/>
      <c r="N74" s="2858" t="s">
        <v>233</v>
      </c>
      <c r="O74" s="2858"/>
      <c r="P74" s="2858"/>
      <c r="Q74" s="2858"/>
      <c r="R74" s="2858"/>
      <c r="S74" s="2859"/>
      <c r="T74" s="2831" t="s">
        <v>232</v>
      </c>
      <c r="U74" s="2831"/>
      <c r="V74" s="2831"/>
      <c r="W74" s="2831"/>
      <c r="X74" s="2831"/>
      <c r="Y74" s="2832"/>
      <c r="Z74" s="939" t="s">
        <v>947</v>
      </c>
      <c r="AA74" s="939"/>
      <c r="AB74" s="939"/>
      <c r="AC74" s="939"/>
      <c r="AD74" s="939"/>
      <c r="AE74" s="949"/>
    </row>
    <row r="75" spans="1:47" ht="30" customHeight="1" x14ac:dyDescent="0.25">
      <c r="A75" s="1469"/>
      <c r="B75" s="2824" t="s">
        <v>565</v>
      </c>
      <c r="C75" s="2824"/>
      <c r="D75" s="2824"/>
      <c r="E75" s="2824"/>
      <c r="F75" s="2824"/>
      <c r="G75" s="2825"/>
      <c r="H75" s="2829" t="s">
        <v>155</v>
      </c>
      <c r="I75" s="2829"/>
      <c r="J75" s="2829"/>
      <c r="K75" s="2829"/>
      <c r="L75" s="2829"/>
      <c r="M75" s="2830"/>
      <c r="N75" s="2824" t="s">
        <v>160</v>
      </c>
      <c r="O75" s="2824"/>
      <c r="P75" s="2824"/>
      <c r="Q75" s="2824"/>
      <c r="R75" s="2824"/>
      <c r="S75" s="2825"/>
      <c r="T75" s="2836" t="s">
        <v>160</v>
      </c>
      <c r="U75" s="2836"/>
      <c r="V75" s="2836"/>
      <c r="W75" s="2836"/>
      <c r="X75" s="2836"/>
      <c r="Y75" s="2837"/>
      <c r="Z75" s="944"/>
      <c r="AA75" s="944"/>
      <c r="AB75" s="944"/>
      <c r="AC75" s="944"/>
      <c r="AD75" s="944"/>
      <c r="AE75" s="945"/>
    </row>
    <row r="76" spans="1:47" ht="30" customHeight="1" x14ac:dyDescent="0.3">
      <c r="A76" s="2921" t="s">
        <v>189</v>
      </c>
      <c r="B76" s="2822" t="s">
        <v>938</v>
      </c>
      <c r="C76" s="2822"/>
      <c r="D76" s="2822"/>
      <c r="E76" s="2822"/>
      <c r="F76" s="2822"/>
      <c r="G76" s="2823"/>
      <c r="H76" s="2860" t="s">
        <v>222</v>
      </c>
      <c r="I76" s="2860"/>
      <c r="J76" s="2860"/>
      <c r="K76" s="2860"/>
      <c r="L76" s="2860"/>
      <c r="M76" s="2861"/>
      <c r="N76" s="2858" t="s">
        <v>233</v>
      </c>
      <c r="O76" s="2858"/>
      <c r="P76" s="2858"/>
      <c r="Q76" s="2858"/>
      <c r="R76" s="2858"/>
      <c r="S76" s="2859"/>
      <c r="T76" s="2831" t="s">
        <v>232</v>
      </c>
      <c r="U76" s="2831"/>
      <c r="V76" s="2831"/>
      <c r="W76" s="2831"/>
      <c r="X76" s="2831"/>
      <c r="Y76" s="2832"/>
      <c r="Z76" s="939" t="s">
        <v>947</v>
      </c>
      <c r="AA76" s="939"/>
      <c r="AB76" s="939"/>
      <c r="AC76" s="939"/>
      <c r="AD76" s="939"/>
      <c r="AE76" s="949"/>
    </row>
    <row r="77" spans="1:47" ht="30" customHeight="1" x14ac:dyDescent="0.25">
      <c r="A77" s="1469"/>
      <c r="B77" s="2824" t="s">
        <v>565</v>
      </c>
      <c r="C77" s="2824"/>
      <c r="D77" s="2824"/>
      <c r="E77" s="2824"/>
      <c r="F77" s="2824"/>
      <c r="G77" s="2825"/>
      <c r="H77" s="2829" t="s">
        <v>155</v>
      </c>
      <c r="I77" s="2829"/>
      <c r="J77" s="2829"/>
      <c r="K77" s="2829"/>
      <c r="L77" s="2829"/>
      <c r="M77" s="2830"/>
      <c r="N77" s="2824" t="s">
        <v>160</v>
      </c>
      <c r="O77" s="2824"/>
      <c r="P77" s="2824"/>
      <c r="Q77" s="2824"/>
      <c r="R77" s="2824"/>
      <c r="S77" s="2825"/>
      <c r="T77" s="2836" t="s">
        <v>160</v>
      </c>
      <c r="U77" s="2836"/>
      <c r="V77" s="2836"/>
      <c r="W77" s="2836"/>
      <c r="X77" s="2836"/>
      <c r="Y77" s="2837"/>
      <c r="Z77" s="944"/>
      <c r="AA77" s="944"/>
      <c r="AB77" s="944"/>
      <c r="AC77" s="944"/>
      <c r="AD77" s="944"/>
      <c r="AE77" s="945"/>
    </row>
    <row r="78" spans="1:47" ht="30" customHeight="1" x14ac:dyDescent="0.3">
      <c r="A78" s="2921" t="s">
        <v>190</v>
      </c>
      <c r="B78" s="2833" t="s">
        <v>932</v>
      </c>
      <c r="C78" s="2833"/>
      <c r="D78" s="2833"/>
      <c r="E78" s="2833"/>
      <c r="F78" s="2833"/>
      <c r="G78" s="2834"/>
      <c r="H78" s="2838" t="s">
        <v>234</v>
      </c>
      <c r="I78" s="2839"/>
      <c r="J78" s="2844" t="s">
        <v>160</v>
      </c>
      <c r="K78" s="1126"/>
      <c r="L78" s="1126"/>
      <c r="M78" s="2934"/>
      <c r="N78" s="2833" t="s">
        <v>932</v>
      </c>
      <c r="O78" s="2833"/>
      <c r="P78" s="2833"/>
      <c r="Q78" s="2833"/>
      <c r="R78" s="2833"/>
      <c r="S78" s="2834"/>
      <c r="T78" s="2833" t="s">
        <v>27</v>
      </c>
      <c r="U78" s="2833"/>
      <c r="V78" s="2833"/>
      <c r="W78" s="2833"/>
      <c r="X78" s="2833"/>
      <c r="Y78" s="2834"/>
      <c r="Z78" s="2838" t="s">
        <v>1043</v>
      </c>
      <c r="AA78" s="2839"/>
      <c r="AB78" s="2844" t="s">
        <v>564</v>
      </c>
      <c r="AC78" s="2139" t="s">
        <v>933</v>
      </c>
      <c r="AD78" s="2065"/>
      <c r="AE78" s="2849"/>
    </row>
    <row r="79" spans="1:47" ht="30" customHeight="1" x14ac:dyDescent="0.25">
      <c r="A79" s="1469"/>
      <c r="B79" s="2836" t="s">
        <v>155</v>
      </c>
      <c r="C79" s="2836"/>
      <c r="D79" s="2836"/>
      <c r="E79" s="2836"/>
      <c r="F79" s="2836"/>
      <c r="G79" s="2837"/>
      <c r="H79" s="2840"/>
      <c r="I79" s="2841"/>
      <c r="J79" s="2845"/>
      <c r="K79" s="1126"/>
      <c r="L79" s="1126"/>
      <c r="M79" s="2934"/>
      <c r="N79" s="2836" t="s">
        <v>155</v>
      </c>
      <c r="O79" s="2836"/>
      <c r="P79" s="2836"/>
      <c r="Q79" s="2836"/>
      <c r="R79" s="2836"/>
      <c r="S79" s="2837"/>
      <c r="T79" s="2836" t="s">
        <v>160</v>
      </c>
      <c r="U79" s="2836"/>
      <c r="V79" s="2836"/>
      <c r="W79" s="2836"/>
      <c r="X79" s="2836"/>
      <c r="Y79" s="2837"/>
      <c r="Z79" s="2840"/>
      <c r="AA79" s="2841"/>
      <c r="AB79" s="2845"/>
      <c r="AC79" s="2140"/>
      <c r="AD79" s="1441"/>
      <c r="AE79" s="2850"/>
    </row>
    <row r="80" spans="1:47" ht="30" customHeight="1" x14ac:dyDescent="0.3">
      <c r="A80" s="2921" t="s">
        <v>191</v>
      </c>
      <c r="B80" s="2833" t="s">
        <v>932</v>
      </c>
      <c r="C80" s="2833"/>
      <c r="D80" s="2833"/>
      <c r="E80" s="2833"/>
      <c r="F80" s="2833"/>
      <c r="G80" s="2834"/>
      <c r="H80" s="2840"/>
      <c r="I80" s="2841"/>
      <c r="J80" s="2845"/>
      <c r="K80" s="1126"/>
      <c r="L80" s="1126"/>
      <c r="M80" s="2934"/>
      <c r="N80" s="2833" t="s">
        <v>932</v>
      </c>
      <c r="O80" s="2833"/>
      <c r="P80" s="2833"/>
      <c r="Q80" s="2833"/>
      <c r="R80" s="2833"/>
      <c r="S80" s="2834"/>
      <c r="T80" s="2831" t="s">
        <v>27</v>
      </c>
      <c r="U80" s="2831"/>
      <c r="V80" s="2831"/>
      <c r="W80" s="2831"/>
      <c r="X80" s="2831"/>
      <c r="Y80" s="2832"/>
      <c r="Z80" s="2840"/>
      <c r="AA80" s="2841"/>
      <c r="AB80" s="2845"/>
      <c r="AC80" s="2140"/>
      <c r="AD80" s="1441"/>
      <c r="AE80" s="2850"/>
    </row>
    <row r="81" spans="1:31" ht="30" customHeight="1" x14ac:dyDescent="0.25">
      <c r="A81" s="1469"/>
      <c r="B81" s="2836" t="s">
        <v>155</v>
      </c>
      <c r="C81" s="2836"/>
      <c r="D81" s="2836"/>
      <c r="E81" s="2836"/>
      <c r="F81" s="2836"/>
      <c r="G81" s="2837"/>
      <c r="H81" s="2842"/>
      <c r="I81" s="2843"/>
      <c r="J81" s="2846"/>
      <c r="K81" s="1142"/>
      <c r="L81" s="1142"/>
      <c r="M81" s="2935"/>
      <c r="N81" s="2836" t="s">
        <v>155</v>
      </c>
      <c r="O81" s="2836"/>
      <c r="P81" s="2836"/>
      <c r="Q81" s="2836"/>
      <c r="R81" s="2836"/>
      <c r="S81" s="2837"/>
      <c r="T81" s="2836" t="s">
        <v>160</v>
      </c>
      <c r="U81" s="2836"/>
      <c r="V81" s="2836"/>
      <c r="W81" s="2836"/>
      <c r="X81" s="2836"/>
      <c r="Y81" s="2837"/>
      <c r="Z81" s="2842"/>
      <c r="AA81" s="2843"/>
      <c r="AB81" s="2846"/>
      <c r="AC81" s="2847"/>
      <c r="AD81" s="2848"/>
      <c r="AE81" s="2851"/>
    </row>
    <row r="82" spans="1:31" ht="52.5" customHeight="1" x14ac:dyDescent="0.25"/>
    <row r="83" spans="1:31" ht="18.75" customHeight="1" x14ac:dyDescent="0.25">
      <c r="A83" s="995" t="s">
        <v>218</v>
      </c>
      <c r="B83" s="953"/>
      <c r="C83" s="952" t="s">
        <v>219</v>
      </c>
      <c r="D83" s="952"/>
      <c r="E83" s="952"/>
      <c r="F83" s="952"/>
      <c r="G83" s="952"/>
      <c r="H83" s="952"/>
      <c r="I83" s="952"/>
      <c r="J83" s="952"/>
      <c r="K83" s="952"/>
      <c r="L83" s="168"/>
      <c r="M83" s="950" t="s">
        <v>336</v>
      </c>
      <c r="N83" s="951"/>
      <c r="O83" s="952" t="s">
        <v>143</v>
      </c>
      <c r="P83" s="953"/>
      <c r="Q83" s="952" t="s">
        <v>167</v>
      </c>
      <c r="R83" s="952"/>
      <c r="S83" s="952"/>
      <c r="T83" s="952"/>
      <c r="U83" s="952"/>
      <c r="V83" s="952"/>
      <c r="W83" s="952"/>
      <c r="X83" s="952"/>
      <c r="Y83" s="952"/>
      <c r="Z83" s="952"/>
      <c r="AA83" s="952"/>
      <c r="AB83" s="952"/>
      <c r="AC83" s="952"/>
      <c r="AD83" s="952"/>
      <c r="AE83" s="953"/>
    </row>
    <row r="84" spans="1:31" ht="13.8" x14ac:dyDescent="0.25">
      <c r="A84" s="2869" t="str">
        <f>VLOOKUP(M84,ASIGNATURAS!$F$1:$L$1022, 3, FALSE)</f>
        <v>MANT. INDUST</v>
      </c>
      <c r="B84" s="2869"/>
      <c r="C84" s="947" t="str">
        <f>VLOOKUP(M84,ASIGNATURAS!$F$1:$L$1022, 4, FALSE)</f>
        <v>Manutención y Mantenimiento Industrial</v>
      </c>
      <c r="D84" s="948"/>
      <c r="E84" s="948"/>
      <c r="F84" s="948"/>
      <c r="G84" s="948"/>
      <c r="H84" s="948"/>
      <c r="I84" s="948"/>
      <c r="J84" s="948"/>
      <c r="K84" s="948"/>
      <c r="L84" s="948"/>
      <c r="M84" s="1013">
        <v>7152</v>
      </c>
      <c r="N84" s="1014"/>
      <c r="O84" s="1013">
        <f>VLOOKUP(M84,ASIGNATURAS!$F$1:$L$1022, 5, FALSE)</f>
        <v>3</v>
      </c>
      <c r="P84" s="1014"/>
      <c r="Q84" s="947" t="str">
        <f>VLOOKUP(M84,ASIGNATURAS!$F$1:$L$1022, 6, FALSE)</f>
        <v>Miriam Lorenzo Bañuelos</v>
      </c>
      <c r="R84" s="948"/>
      <c r="S84" s="948"/>
      <c r="T84" s="948"/>
      <c r="U84" s="948"/>
      <c r="V84" s="948"/>
      <c r="W84" s="948"/>
      <c r="X84" s="948"/>
      <c r="Y84" s="948"/>
      <c r="Z84" s="948"/>
      <c r="AA84" s="948"/>
      <c r="AB84" s="948"/>
      <c r="AC84" s="948"/>
      <c r="AD84" s="948"/>
      <c r="AE84" s="948"/>
    </row>
    <row r="85" spans="1:31" ht="13.8" x14ac:dyDescent="0.25">
      <c r="A85" s="2867" t="str">
        <f>VLOOKUP(M85,ASIGNATURAS!$F$1:$L$1022, 3, FALSE)</f>
        <v>CENTRALES</v>
      </c>
      <c r="B85" s="2868"/>
      <c r="C85" s="992" t="str">
        <f>VLOOKUP(M85,ASIGNATURAS!$F$1:$L$1022, 4, FALSE)</f>
        <v>Centrales de Producción de Energía</v>
      </c>
      <c r="D85" s="993"/>
      <c r="E85" s="993"/>
      <c r="F85" s="993"/>
      <c r="G85" s="993"/>
      <c r="H85" s="993"/>
      <c r="I85" s="993"/>
      <c r="J85" s="993"/>
      <c r="K85" s="993"/>
      <c r="L85" s="982"/>
      <c r="M85" s="2870">
        <v>7047</v>
      </c>
      <c r="N85" s="981"/>
      <c r="O85" s="981">
        <f>VLOOKUP(M85,ASIGNATURAS!$F$1:$L$1022, 5, FALSE)</f>
        <v>3</v>
      </c>
      <c r="P85" s="972"/>
      <c r="Q85" s="982" t="str">
        <f>VLOOKUP(M85,ASIGNATURAS!$F$1:$L$1022, 6, FALSE)</f>
        <v>David González</v>
      </c>
      <c r="R85" s="983"/>
      <c r="S85" s="983"/>
      <c r="T85" s="983"/>
      <c r="U85" s="983"/>
      <c r="V85" s="983"/>
      <c r="W85" s="983"/>
      <c r="X85" s="983"/>
      <c r="Y85" s="983"/>
      <c r="Z85" s="983"/>
      <c r="AA85" s="983"/>
      <c r="AB85" s="983"/>
      <c r="AC85" s="983"/>
      <c r="AD85" s="983"/>
      <c r="AE85" s="983"/>
    </row>
    <row r="86" spans="1:31" ht="13.8" x14ac:dyDescent="0.25">
      <c r="A86" s="2866" t="str">
        <f>VLOOKUP(M86,ASIGNATURAS!$F$1:$L$1022, 3, FALSE)</f>
        <v>AUTOMOCIÓN</v>
      </c>
      <c r="B86" s="2866"/>
      <c r="C86" s="982" t="str">
        <f>VLOOKUP(M86,ASIGNATURAS!$F$1:$L$1022, 4, FALSE)</f>
        <v>Ingeniería de Automoción</v>
      </c>
      <c r="D86" s="983"/>
      <c r="E86" s="983"/>
      <c r="F86" s="983"/>
      <c r="G86" s="983"/>
      <c r="H86" s="983"/>
      <c r="I86" s="983"/>
      <c r="J86" s="983"/>
      <c r="K86" s="983"/>
      <c r="L86" s="983"/>
      <c r="M86" s="981">
        <v>7048</v>
      </c>
      <c r="N86" s="972"/>
      <c r="O86" s="981">
        <f>VLOOKUP(M86,ASIGNATURAS!$F$1:$L$1022, 5, FALSE)</f>
        <v>6</v>
      </c>
      <c r="P86" s="972"/>
      <c r="Q86" s="982" t="str">
        <f>VLOOKUP(M86,ASIGNATURAS!$F$1:$L$1022, 6, FALSE)</f>
        <v>Mª José García</v>
      </c>
      <c r="R86" s="983"/>
      <c r="S86" s="983"/>
      <c r="T86" s="983"/>
      <c r="U86" s="983"/>
      <c r="V86" s="983"/>
      <c r="W86" s="983"/>
      <c r="X86" s="983"/>
      <c r="Y86" s="983"/>
      <c r="Z86" s="983"/>
      <c r="AA86" s="983"/>
      <c r="AB86" s="983"/>
      <c r="AC86" s="983"/>
      <c r="AD86" s="983"/>
      <c r="AE86" s="983"/>
    </row>
    <row r="87" spans="1:31" ht="13.8" x14ac:dyDescent="0.25">
      <c r="A87" s="2866" t="str">
        <f>VLOOKUP(M87,ASIGNATURAS!$F$1:$L$1022, 3, FALSE)</f>
        <v>MATERIALES</v>
      </c>
      <c r="B87" s="2866"/>
      <c r="C87" s="982" t="str">
        <f>VLOOKUP(M87,ASIGNATURAS!$F$1:$L$1022, 4, FALSE)</f>
        <v>Tecnología de Materiales</v>
      </c>
      <c r="D87" s="983"/>
      <c r="E87" s="983"/>
      <c r="F87" s="983"/>
      <c r="G87" s="983"/>
      <c r="H87" s="983"/>
      <c r="I87" s="983"/>
      <c r="J87" s="983"/>
      <c r="K87" s="983"/>
      <c r="L87" s="983"/>
      <c r="M87" s="981">
        <v>7049</v>
      </c>
      <c r="N87" s="972"/>
      <c r="O87" s="981">
        <f>VLOOKUP(M87,ASIGNATURAS!$F$1:$L$1022, 5, FALSE)</f>
        <v>6</v>
      </c>
      <c r="P87" s="972"/>
      <c r="Q87" s="982" t="str">
        <f>VLOOKUP(M87,ASIGNATURAS!$F$1:$L$1022, 6, FALSE)</f>
        <v>Mónica Preciado Calzada , José Calaf Chica</v>
      </c>
      <c r="R87" s="983"/>
      <c r="S87" s="983"/>
      <c r="T87" s="983"/>
      <c r="U87" s="983"/>
      <c r="V87" s="983"/>
      <c r="W87" s="983"/>
      <c r="X87" s="983"/>
      <c r="Y87" s="983"/>
      <c r="Z87" s="983"/>
      <c r="AA87" s="983"/>
      <c r="AB87" s="983"/>
      <c r="AC87" s="983"/>
      <c r="AD87" s="983"/>
      <c r="AE87" s="983"/>
    </row>
    <row r="88" spans="1:31" ht="14.25" customHeight="1" x14ac:dyDescent="0.25">
      <c r="A88" s="2871" t="str">
        <f>VLOOKUP(M88,ASIGNATURAS!$F$1:$L$1022, 3, FALSE)</f>
        <v>CALIDAD Y PROD.</v>
      </c>
      <c r="B88" s="2871"/>
      <c r="C88" s="982" t="str">
        <f>VLOOKUP(M88,ASIGNATURAS!$F$1:$L$1022, 4, FALSE)</f>
        <v>Calidad y Productividad</v>
      </c>
      <c r="D88" s="983"/>
      <c r="E88" s="983"/>
      <c r="F88" s="983"/>
      <c r="G88" s="983"/>
      <c r="H88" s="983"/>
      <c r="I88" s="983"/>
      <c r="J88" s="983"/>
      <c r="K88" s="983"/>
      <c r="L88" s="983"/>
      <c r="M88" s="981">
        <v>7050</v>
      </c>
      <c r="N88" s="972"/>
      <c r="O88" s="981">
        <f>VLOOKUP(M88,ASIGNATURAS!$F$1:$L$1022, 5, FALSE)</f>
        <v>3</v>
      </c>
      <c r="P88" s="972"/>
      <c r="Q88" s="982" t="str">
        <f>VLOOKUP(M88,ASIGNATURAS!$F$1:$L$1022, 6, FALSE)</f>
        <v>Ignacio Fontaneda González</v>
      </c>
      <c r="R88" s="983"/>
      <c r="S88" s="983"/>
      <c r="T88" s="983"/>
      <c r="U88" s="983"/>
      <c r="V88" s="983"/>
      <c r="W88" s="983"/>
      <c r="X88" s="983"/>
      <c r="Y88" s="983"/>
      <c r="Z88" s="983"/>
      <c r="AA88" s="983"/>
      <c r="AB88" s="983"/>
      <c r="AC88" s="983"/>
      <c r="AD88" s="983"/>
      <c r="AE88" s="983"/>
    </row>
    <row r="89" spans="1:31" ht="13.8" x14ac:dyDescent="0.25">
      <c r="A89" s="2871" t="str">
        <f>VLOOKUP(M89,ASIGNATURAS!$F$1:$L$1022, 3, FALSE)</f>
        <v>INST. ECON.</v>
      </c>
      <c r="B89" s="2871"/>
      <c r="C89" s="982" t="str">
        <f>VLOOKUP(M89,ASIGNATURAS!$F$1:$L$1022, 4, FALSE)</f>
        <v>Teoría e Instituciones Económicas</v>
      </c>
      <c r="D89" s="983"/>
      <c r="E89" s="983"/>
      <c r="F89" s="983"/>
      <c r="G89" s="983"/>
      <c r="H89" s="983"/>
      <c r="I89" s="983"/>
      <c r="J89" s="983"/>
      <c r="K89" s="983"/>
      <c r="L89" s="983"/>
      <c r="M89" s="981">
        <v>7051</v>
      </c>
      <c r="N89" s="972"/>
      <c r="O89" s="981">
        <f>VLOOKUP(M89,ASIGNATURAS!$F$1:$L$1022, 5, FALSE)</f>
        <v>6</v>
      </c>
      <c r="P89" s="972"/>
      <c r="Q89" s="982" t="str">
        <f>VLOOKUP(M89,ASIGNATURAS!$F$1:$L$1022, 6, FALSE)</f>
        <v>Ricardo del Olmo Martínez</v>
      </c>
      <c r="R89" s="983"/>
      <c r="S89" s="983"/>
      <c r="T89" s="983"/>
      <c r="U89" s="983"/>
      <c r="V89" s="983"/>
      <c r="W89" s="983"/>
      <c r="X89" s="983"/>
      <c r="Y89" s="983"/>
      <c r="Z89" s="983"/>
      <c r="AA89" s="983"/>
      <c r="AB89" s="983"/>
      <c r="AC89" s="983"/>
      <c r="AD89" s="983"/>
      <c r="AE89" s="983"/>
    </row>
    <row r="90" spans="1:31" ht="13.8" x14ac:dyDescent="0.25">
      <c r="A90" s="2871" t="str">
        <f>VLOOKUP(M90,ASIGNATURAS!$F$1:$L$1022, 3, FALSE)</f>
        <v>ERGONOMÍA</v>
      </c>
      <c r="B90" s="2871"/>
      <c r="C90" s="982" t="str">
        <f>VLOOKUP(M90,ASIGNATURAS!$F$1:$L$1022, 4, FALSE)</f>
        <v>Ergonomía y Psicosociología</v>
      </c>
      <c r="D90" s="983"/>
      <c r="E90" s="983"/>
      <c r="F90" s="983"/>
      <c r="G90" s="983"/>
      <c r="H90" s="983"/>
      <c r="I90" s="983"/>
      <c r="J90" s="983"/>
      <c r="K90" s="983"/>
      <c r="L90" s="983"/>
      <c r="M90" s="981">
        <v>7052</v>
      </c>
      <c r="N90" s="972"/>
      <c r="O90" s="981">
        <f>VLOOKUP(M90,ASIGNATURAS!$F$1:$L$1022, 5, FALSE)</f>
        <v>3</v>
      </c>
      <c r="P90" s="972"/>
      <c r="Q90" s="982" t="str">
        <f>VLOOKUP(M90,ASIGNATURAS!$F$1:$L$1022, 6, FALSE)</f>
        <v>Miguel Ángel Camino López</v>
      </c>
      <c r="R90" s="983"/>
      <c r="S90" s="983"/>
      <c r="T90" s="983"/>
      <c r="U90" s="983"/>
      <c r="V90" s="983"/>
      <c r="W90" s="983"/>
      <c r="X90" s="983"/>
      <c r="Y90" s="983"/>
      <c r="Z90" s="983"/>
      <c r="AA90" s="983"/>
      <c r="AB90" s="983"/>
      <c r="AC90" s="983"/>
      <c r="AD90" s="983"/>
      <c r="AE90" s="983"/>
    </row>
    <row r="91" spans="1:31" ht="13.8" x14ac:dyDescent="0.25">
      <c r="A91" s="2871" t="str">
        <f>VLOOKUP(M91,ASIGNATURAS!$F$1:$L$1022, 3, FALSE)</f>
        <v>MÉTODOS IOI</v>
      </c>
      <c r="B91" s="2871"/>
      <c r="C91" s="982" t="str">
        <f>VLOOKUP(M91,ASIGNATURAS!$F$1:$L$1022, 4, FALSE)</f>
        <v>Métodos Avanzados en Ingeniería de Organización</v>
      </c>
      <c r="D91" s="983"/>
      <c r="E91" s="983"/>
      <c r="F91" s="983"/>
      <c r="G91" s="983"/>
      <c r="H91" s="983"/>
      <c r="I91" s="983"/>
      <c r="J91" s="983"/>
      <c r="K91" s="983"/>
      <c r="L91" s="983"/>
      <c r="M91" s="981">
        <v>7053</v>
      </c>
      <c r="N91" s="972"/>
      <c r="O91" s="981">
        <f>VLOOKUP(M91,ASIGNATURAS!$F$1:$L$1022, 5, FALSE)</f>
        <v>3</v>
      </c>
      <c r="P91" s="972"/>
      <c r="Q91" s="982" t="str">
        <f>VLOOKUP(M91,ASIGNATURAS!$F$1:$L$1022, 6, FALSE)</f>
        <v>Virginia Ahedo,José Manuel Galán</v>
      </c>
      <c r="R91" s="983"/>
      <c r="S91" s="983"/>
      <c r="T91" s="983"/>
      <c r="U91" s="983"/>
      <c r="V91" s="983"/>
      <c r="W91" s="983"/>
      <c r="X91" s="983"/>
      <c r="Y91" s="983"/>
      <c r="Z91" s="983"/>
      <c r="AA91" s="983"/>
      <c r="AB91" s="983"/>
      <c r="AC91" s="983"/>
      <c r="AD91" s="983"/>
      <c r="AE91" s="983"/>
    </row>
    <row r="92" spans="1:31" ht="13.8" x14ac:dyDescent="0.25">
      <c r="A92" s="1245" t="str">
        <f>VLOOKUP(M92,ASIGNATURAS!$F$1:$L$1022, 3, FALSE)</f>
        <v>I. TÉRMICAS</v>
      </c>
      <c r="B92" s="1245"/>
      <c r="C92" s="982" t="str">
        <f>VLOOKUP(M92,ASIGNATURAS!$F$1:$L$1022, 4, FALSE)</f>
        <v>Instalaciones Térmicas</v>
      </c>
      <c r="D92" s="983"/>
      <c r="E92" s="983"/>
      <c r="F92" s="983"/>
      <c r="G92" s="983"/>
      <c r="H92" s="983"/>
      <c r="I92" s="983"/>
      <c r="J92" s="983"/>
      <c r="K92" s="983"/>
      <c r="L92" s="983"/>
      <c r="M92" s="981">
        <v>7054</v>
      </c>
      <c r="N92" s="972"/>
      <c r="O92" s="981">
        <f>VLOOKUP(M92,ASIGNATURAS!$F$1:$L$1022, 5, FALSE)</f>
        <v>3</v>
      </c>
      <c r="P92" s="972"/>
      <c r="Q92" s="982" t="str">
        <f>VLOOKUP(M92,ASIGNATURAS!$F$1:$L$1022, 6, FALSE)</f>
        <v>Francisco José González, Fernando Aguilar</v>
      </c>
      <c r="R92" s="983"/>
      <c r="S92" s="983"/>
      <c r="T92" s="983"/>
      <c r="U92" s="983"/>
      <c r="V92" s="983"/>
      <c r="W92" s="983"/>
      <c r="X92" s="983"/>
      <c r="Y92" s="983"/>
      <c r="Z92" s="983"/>
      <c r="AA92" s="983"/>
      <c r="AB92" s="983"/>
      <c r="AC92" s="983"/>
      <c r="AD92" s="983"/>
      <c r="AE92" s="983"/>
    </row>
    <row r="93" spans="1:31" ht="13.8" x14ac:dyDescent="0.25">
      <c r="A93" s="1245" t="str">
        <f>VLOOKUP(M93,ASIGNATURAS!$F$1:$L$1022, 3, FALSE)</f>
        <v>I. ELÉCTRICAS</v>
      </c>
      <c r="B93" s="1245"/>
      <c r="C93" s="982" t="str">
        <f>VLOOKUP(M93,ASIGNATURAS!$F$1:$L$1022, 4, FALSE)</f>
        <v>Instalaciones Eléctricas</v>
      </c>
      <c r="D93" s="983"/>
      <c r="E93" s="983"/>
      <c r="F93" s="983"/>
      <c r="G93" s="983"/>
      <c r="H93" s="983"/>
      <c r="I93" s="983"/>
      <c r="J93" s="983"/>
      <c r="K93" s="983"/>
      <c r="L93" s="983"/>
      <c r="M93" s="981">
        <v>7055</v>
      </c>
      <c r="N93" s="972"/>
      <c r="O93" s="981">
        <f>VLOOKUP(M93,ASIGNATURAS!$F$1:$L$1022, 5, FALSE)</f>
        <v>3</v>
      </c>
      <c r="P93" s="972"/>
      <c r="Q93" s="982" t="str">
        <f>VLOOKUP(M93,ASIGNATURAS!$F$1:$L$1022, 6, FALSE)</f>
        <v>Jesús Sagredo González</v>
      </c>
      <c r="R93" s="983"/>
      <c r="S93" s="983"/>
      <c r="T93" s="983"/>
      <c r="U93" s="983"/>
      <c r="V93" s="983"/>
      <c r="W93" s="983"/>
      <c r="X93" s="983"/>
      <c r="Y93" s="983"/>
      <c r="Z93" s="983"/>
      <c r="AA93" s="983"/>
      <c r="AB93" s="983"/>
      <c r="AC93" s="983"/>
      <c r="AD93" s="983"/>
      <c r="AE93" s="983"/>
    </row>
    <row r="94" spans="1:31" ht="13.8" x14ac:dyDescent="0.25">
      <c r="A94" s="1245" t="str">
        <f>VLOOKUP(M94,ASIGNATURAS!$F$1:$L$1022, 3, FALSE)</f>
        <v>C. DINÁMICO</v>
      </c>
      <c r="B94" s="1245"/>
      <c r="C94" s="982" t="str">
        <f>VLOOKUP(M94,ASIGNATURAS!$F$1:$L$1022, 4, FALSE)</f>
        <v>Cálculo Dinámico de Estructuras</v>
      </c>
      <c r="D94" s="983"/>
      <c r="E94" s="983"/>
      <c r="F94" s="983"/>
      <c r="G94" s="983"/>
      <c r="H94" s="983"/>
      <c r="I94" s="983"/>
      <c r="J94" s="983"/>
      <c r="K94" s="983"/>
      <c r="L94" s="983"/>
      <c r="M94" s="981">
        <v>7056</v>
      </c>
      <c r="N94" s="972"/>
      <c r="O94" s="981">
        <f>VLOOKUP(M94,ASIGNATURAS!$F$1:$L$1022, 5, FALSE)</f>
        <v>3</v>
      </c>
      <c r="P94" s="972"/>
      <c r="Q94" s="982" t="str">
        <f>VLOOKUP(M94,ASIGNATURAS!$F$1:$L$1022, 6, FALSE)</f>
        <v>Luis Suárez,</v>
      </c>
      <c r="R94" s="983"/>
      <c r="S94" s="983"/>
      <c r="T94" s="983"/>
      <c r="U94" s="983"/>
      <c r="V94" s="983"/>
      <c r="W94" s="983"/>
      <c r="X94" s="983"/>
      <c r="Y94" s="983"/>
      <c r="Z94" s="983"/>
      <c r="AA94" s="983"/>
      <c r="AB94" s="983"/>
      <c r="AC94" s="983"/>
      <c r="AD94" s="983"/>
      <c r="AE94" s="983"/>
    </row>
    <row r="95" spans="1:31" ht="15" customHeight="1" x14ac:dyDescent="0.25">
      <c r="A95" s="1245" t="str">
        <f>VLOOKUP(M95,ASIGNATURAS!$F$1:$L$1022, 3, FALSE)</f>
        <v>DISEÑO PLANT.</v>
      </c>
      <c r="B95" s="1245"/>
      <c r="C95" s="982" t="str">
        <f>VLOOKUP(M95,ASIGNATURAS!$F$1:$L$1022, 4, FALSE)</f>
        <v>Diseño y Ejecución de Plantas Industriales</v>
      </c>
      <c r="D95" s="983"/>
      <c r="E95" s="983"/>
      <c r="F95" s="983"/>
      <c r="G95" s="983"/>
      <c r="H95" s="983"/>
      <c r="I95" s="983"/>
      <c r="J95" s="983"/>
      <c r="K95" s="983"/>
      <c r="L95" s="983"/>
      <c r="M95" s="981">
        <v>7057</v>
      </c>
      <c r="N95" s="972"/>
      <c r="O95" s="981">
        <f>VLOOKUP(M95,ASIGNATURAS!$F$1:$L$1022, 5, FALSE)</f>
        <v>6</v>
      </c>
      <c r="P95" s="972"/>
      <c r="Q95" s="982" t="str">
        <f>VLOOKUP(M95,ASIGNATURAS!$F$1:$L$1022, 6, FALSE)</f>
        <v>Luis Suárez, Rosario Moradillo</v>
      </c>
      <c r="R95" s="983"/>
      <c r="S95" s="983"/>
      <c r="T95" s="983"/>
      <c r="U95" s="983"/>
      <c r="V95" s="983"/>
      <c r="W95" s="983"/>
      <c r="X95" s="983"/>
      <c r="Y95" s="983"/>
      <c r="Z95" s="983"/>
      <c r="AA95" s="983"/>
      <c r="AB95" s="983"/>
      <c r="AC95" s="983"/>
      <c r="AD95" s="983"/>
      <c r="AE95" s="983"/>
    </row>
    <row r="96" spans="1:31" ht="66" customHeight="1" x14ac:dyDescent="0.25">
      <c r="A96" s="67"/>
      <c r="B96" s="67"/>
    </row>
    <row r="97" spans="1:31" ht="22.5" customHeight="1" x14ac:dyDescent="0.25">
      <c r="H97" s="20"/>
      <c r="N97" s="2876" t="s">
        <v>238</v>
      </c>
      <c r="O97" s="2877"/>
      <c r="P97" s="2878"/>
      <c r="Q97" s="2872" t="s">
        <v>236</v>
      </c>
      <c r="R97" s="2873"/>
      <c r="S97" s="2873"/>
      <c r="T97" s="2873"/>
      <c r="U97" s="2873"/>
      <c r="V97" s="2873"/>
      <c r="W97" s="2873"/>
      <c r="X97" s="2873"/>
      <c r="Y97" s="2873"/>
      <c r="Z97" s="2873"/>
      <c r="AA97" s="2873"/>
      <c r="AB97" s="2873"/>
      <c r="AC97" s="2873"/>
      <c r="AD97" s="2873"/>
      <c r="AE97" s="2873"/>
    </row>
    <row r="98" spans="1:31" ht="22.5" customHeight="1" x14ac:dyDescent="0.25">
      <c r="A98" s="1101" t="s">
        <v>1044</v>
      </c>
      <c r="B98" s="1101"/>
      <c r="C98" s="1101"/>
      <c r="D98" s="1101"/>
      <c r="E98" s="1101"/>
      <c r="H98" s="20"/>
      <c r="N98" s="2879"/>
      <c r="O98" s="2880"/>
      <c r="P98" s="2881"/>
      <c r="Q98" s="2874" t="s">
        <v>237</v>
      </c>
      <c r="R98" s="2875"/>
      <c r="S98" s="2875"/>
      <c r="T98" s="2875"/>
      <c r="U98" s="2875"/>
      <c r="V98" s="2875"/>
      <c r="W98" s="2875"/>
      <c r="X98" s="2875"/>
      <c r="Y98" s="2875"/>
      <c r="Z98" s="2875"/>
      <c r="AA98" s="2875"/>
      <c r="AB98" s="2875"/>
      <c r="AC98" s="2875"/>
      <c r="AD98" s="2875"/>
      <c r="AE98" s="2875"/>
    </row>
    <row r="99" spans="1:31" ht="22.5" customHeight="1" x14ac:dyDescent="0.25">
      <c r="A99" s="2148" t="s">
        <v>1045</v>
      </c>
      <c r="B99" s="2148"/>
      <c r="C99" s="2148"/>
      <c r="D99" s="2148"/>
      <c r="E99" s="2148"/>
      <c r="H99" s="20"/>
      <c r="N99" s="2882"/>
      <c r="O99" s="2883"/>
      <c r="P99" s="2884"/>
      <c r="Q99" s="2885" t="s">
        <v>556</v>
      </c>
      <c r="R99" s="2886"/>
      <c r="S99" s="2886"/>
      <c r="T99" s="2886"/>
      <c r="U99" s="2886"/>
      <c r="V99" s="2886"/>
      <c r="W99" s="2886"/>
      <c r="X99" s="2886"/>
      <c r="Y99" s="2886"/>
      <c r="Z99" s="2886"/>
      <c r="AA99" s="2886"/>
      <c r="AB99" s="2886"/>
      <c r="AC99" s="2886"/>
      <c r="AD99" s="2886"/>
      <c r="AE99" s="2886"/>
    </row>
    <row r="100" spans="1:31" ht="43.5" customHeight="1" x14ac:dyDescent="0.25"/>
    <row r="101" spans="1:31" x14ac:dyDescent="0.25">
      <c r="A101" s="20" t="s">
        <v>217</v>
      </c>
    </row>
  </sheetData>
  <mergeCells count="368">
    <mergeCell ref="Q99:AE99"/>
    <mergeCell ref="A95:B95"/>
    <mergeCell ref="C95:L95"/>
    <mergeCell ref="M95:N95"/>
    <mergeCell ref="O95:P95"/>
    <mergeCell ref="Q95:AE95"/>
    <mergeCell ref="N97:P99"/>
    <mergeCell ref="Q97:AE97"/>
    <mergeCell ref="A98:E98"/>
    <mergeCell ref="Q98:AE98"/>
    <mergeCell ref="A99:E99"/>
    <mergeCell ref="A93:B93"/>
    <mergeCell ref="C93:L93"/>
    <mergeCell ref="M93:N93"/>
    <mergeCell ref="O93:P93"/>
    <mergeCell ref="Q93:AE93"/>
    <mergeCell ref="A94:B94"/>
    <mergeCell ref="C94:L94"/>
    <mergeCell ref="M94:N94"/>
    <mergeCell ref="O94:P94"/>
    <mergeCell ref="Q94:AE94"/>
    <mergeCell ref="A91:B91"/>
    <mergeCell ref="C91:L91"/>
    <mergeCell ref="M91:N91"/>
    <mergeCell ref="O91:P91"/>
    <mergeCell ref="Q91:AE91"/>
    <mergeCell ref="A92:B92"/>
    <mergeCell ref="C92:L92"/>
    <mergeCell ref="M92:N92"/>
    <mergeCell ref="O92:P92"/>
    <mergeCell ref="Q92:AE92"/>
    <mergeCell ref="A89:B89"/>
    <mergeCell ref="C89:L89"/>
    <mergeCell ref="M89:N89"/>
    <mergeCell ref="O89:P89"/>
    <mergeCell ref="Q89:AE89"/>
    <mergeCell ref="A90:B90"/>
    <mergeCell ref="C90:L90"/>
    <mergeCell ref="M90:N90"/>
    <mergeCell ref="O90:P90"/>
    <mergeCell ref="Q90:AE90"/>
    <mergeCell ref="A87:B87"/>
    <mergeCell ref="C87:L87"/>
    <mergeCell ref="M87:N87"/>
    <mergeCell ref="O87:P87"/>
    <mergeCell ref="Q87:AE87"/>
    <mergeCell ref="A88:B88"/>
    <mergeCell ref="C88:L88"/>
    <mergeCell ref="M88:N88"/>
    <mergeCell ref="O88:P88"/>
    <mergeCell ref="Q88:AE88"/>
    <mergeCell ref="A85:B85"/>
    <mergeCell ref="C85:L85"/>
    <mergeCell ref="M85:N85"/>
    <mergeCell ref="O85:P85"/>
    <mergeCell ref="Q85:AE85"/>
    <mergeCell ref="A86:B86"/>
    <mergeCell ref="C86:L86"/>
    <mergeCell ref="M86:N86"/>
    <mergeCell ref="O86:P86"/>
    <mergeCell ref="Q86:AE86"/>
    <mergeCell ref="A83:B83"/>
    <mergeCell ref="C83:K83"/>
    <mergeCell ref="M83:N83"/>
    <mergeCell ref="O83:P83"/>
    <mergeCell ref="Q83:AE83"/>
    <mergeCell ref="A84:B84"/>
    <mergeCell ref="C84:L84"/>
    <mergeCell ref="M84:N84"/>
    <mergeCell ref="O84:P84"/>
    <mergeCell ref="Q84:AE84"/>
    <mergeCell ref="B80:G80"/>
    <mergeCell ref="N80:S80"/>
    <mergeCell ref="T80:Y80"/>
    <mergeCell ref="B81:G81"/>
    <mergeCell ref="N81:S81"/>
    <mergeCell ref="T81:Y81"/>
    <mergeCell ref="T78:Y78"/>
    <mergeCell ref="Z78:AA81"/>
    <mergeCell ref="A78:A79"/>
    <mergeCell ref="A76:A77"/>
    <mergeCell ref="B76:G76"/>
    <mergeCell ref="H76:M76"/>
    <mergeCell ref="N76:S76"/>
    <mergeCell ref="T76:Y76"/>
    <mergeCell ref="Z76:AE76"/>
    <mergeCell ref="B77:G77"/>
    <mergeCell ref="H77:M77"/>
    <mergeCell ref="AB78:AB81"/>
    <mergeCell ref="AC78:AD81"/>
    <mergeCell ref="AE78:AE81"/>
    <mergeCell ref="B79:G79"/>
    <mergeCell ref="N79:S79"/>
    <mergeCell ref="T79:Y79"/>
    <mergeCell ref="N77:S77"/>
    <mergeCell ref="T77:Y77"/>
    <mergeCell ref="Z77:AE77"/>
    <mergeCell ref="B78:G78"/>
    <mergeCell ref="H78:I81"/>
    <mergeCell ref="J78:J81"/>
    <mergeCell ref="K78:L81"/>
    <mergeCell ref="M78:M81"/>
    <mergeCell ref="N78:S78"/>
    <mergeCell ref="A80:A81"/>
    <mergeCell ref="Z73:AE73"/>
    <mergeCell ref="A74:A75"/>
    <mergeCell ref="B74:G74"/>
    <mergeCell ref="H74:M74"/>
    <mergeCell ref="N74:S74"/>
    <mergeCell ref="T74:Y74"/>
    <mergeCell ref="Z74:AE74"/>
    <mergeCell ref="B75:G75"/>
    <mergeCell ref="H75:M75"/>
    <mergeCell ref="N75:S75"/>
    <mergeCell ref="A72:A73"/>
    <mergeCell ref="B72:G72"/>
    <mergeCell ref="H72:M72"/>
    <mergeCell ref="N72:S72"/>
    <mergeCell ref="T72:Y72"/>
    <mergeCell ref="Z72:AE72"/>
    <mergeCell ref="B73:G73"/>
    <mergeCell ref="H73:M73"/>
    <mergeCell ref="N73:S73"/>
    <mergeCell ref="T73:Y73"/>
    <mergeCell ref="T75:Y75"/>
    <mergeCell ref="Z75:AE75"/>
    <mergeCell ref="A70:A71"/>
    <mergeCell ref="B70:G70"/>
    <mergeCell ref="H70:M70"/>
    <mergeCell ref="N70:S70"/>
    <mergeCell ref="T70:Y70"/>
    <mergeCell ref="A60:E60"/>
    <mergeCell ref="A65:Y65"/>
    <mergeCell ref="Z65:AE65"/>
    <mergeCell ref="A66:Y66"/>
    <mergeCell ref="Z66:AE67"/>
    <mergeCell ref="A67:Y67"/>
    <mergeCell ref="Z70:AE70"/>
    <mergeCell ref="B71:G71"/>
    <mergeCell ref="H71:M71"/>
    <mergeCell ref="N71:S71"/>
    <mergeCell ref="T71:Y71"/>
    <mergeCell ref="Z71:AE71"/>
    <mergeCell ref="B69:G69"/>
    <mergeCell ref="H69:M69"/>
    <mergeCell ref="N69:S69"/>
    <mergeCell ref="T69:Y69"/>
    <mergeCell ref="Z69:AE69"/>
    <mergeCell ref="A59:E59"/>
    <mergeCell ref="A54:B54"/>
    <mergeCell ref="C54:L54"/>
    <mergeCell ref="M54:N54"/>
    <mergeCell ref="O54:P54"/>
    <mergeCell ref="Q54:AE54"/>
    <mergeCell ref="A55:B55"/>
    <mergeCell ref="C55:L55"/>
    <mergeCell ref="M55:N55"/>
    <mergeCell ref="O55:P55"/>
    <mergeCell ref="Q55:AE55"/>
    <mergeCell ref="A53:B53"/>
    <mergeCell ref="C53:L53"/>
    <mergeCell ref="M53:N53"/>
    <mergeCell ref="O53:P53"/>
    <mergeCell ref="Q53:AE53"/>
    <mergeCell ref="A56:B56"/>
    <mergeCell ref="C56:L56"/>
    <mergeCell ref="M56:N56"/>
    <mergeCell ref="O56:P56"/>
    <mergeCell ref="Q56:AE56"/>
    <mergeCell ref="A51:B51"/>
    <mergeCell ref="C51:K51"/>
    <mergeCell ref="M51:N51"/>
    <mergeCell ref="O51:P51"/>
    <mergeCell ref="Q51:AE51"/>
    <mergeCell ref="A52:B52"/>
    <mergeCell ref="C52:L52"/>
    <mergeCell ref="M52:N52"/>
    <mergeCell ref="O52:P52"/>
    <mergeCell ref="Q52:AE52"/>
    <mergeCell ref="A48:A49"/>
    <mergeCell ref="B48:G48"/>
    <mergeCell ref="H48:M48"/>
    <mergeCell ref="N48:S48"/>
    <mergeCell ref="T48:Y48"/>
    <mergeCell ref="Z48:AE48"/>
    <mergeCell ref="B49:G49"/>
    <mergeCell ref="H49:M49"/>
    <mergeCell ref="N49:S49"/>
    <mergeCell ref="T49:Y49"/>
    <mergeCell ref="Z49:AE49"/>
    <mergeCell ref="A46:A47"/>
    <mergeCell ref="B46:G46"/>
    <mergeCell ref="H46:M46"/>
    <mergeCell ref="N46:S46"/>
    <mergeCell ref="T46:Y46"/>
    <mergeCell ref="Z46:AE46"/>
    <mergeCell ref="B47:G47"/>
    <mergeCell ref="H47:M47"/>
    <mergeCell ref="N47:S47"/>
    <mergeCell ref="T47:Y47"/>
    <mergeCell ref="Z47:AE47"/>
    <mergeCell ref="A44:A45"/>
    <mergeCell ref="B44:G44"/>
    <mergeCell ref="H44:M44"/>
    <mergeCell ref="N44:S44"/>
    <mergeCell ref="T44:Y44"/>
    <mergeCell ref="Z44:AE44"/>
    <mergeCell ref="B45:G45"/>
    <mergeCell ref="H45:M45"/>
    <mergeCell ref="N45:S45"/>
    <mergeCell ref="T45:Y45"/>
    <mergeCell ref="Z45:AE45"/>
    <mergeCell ref="Z41:AE41"/>
    <mergeCell ref="A42:A43"/>
    <mergeCell ref="B42:G42"/>
    <mergeCell ref="H42:M42"/>
    <mergeCell ref="N42:S42"/>
    <mergeCell ref="T42:Y42"/>
    <mergeCell ref="Z42:AE42"/>
    <mergeCell ref="B43:G43"/>
    <mergeCell ref="H43:M43"/>
    <mergeCell ref="N43:S43"/>
    <mergeCell ref="A40:A41"/>
    <mergeCell ref="B40:G40"/>
    <mergeCell ref="H40:M40"/>
    <mergeCell ref="N40:S40"/>
    <mergeCell ref="T40:Y40"/>
    <mergeCell ref="Z40:AE40"/>
    <mergeCell ref="B41:G41"/>
    <mergeCell ref="H41:M41"/>
    <mergeCell ref="N41:S41"/>
    <mergeCell ref="T41:Y41"/>
    <mergeCell ref="T43:Y43"/>
    <mergeCell ref="Z43:AE43"/>
    <mergeCell ref="A38:A39"/>
    <mergeCell ref="B38:G38"/>
    <mergeCell ref="H38:M38"/>
    <mergeCell ref="N38:S38"/>
    <mergeCell ref="T38:Y38"/>
    <mergeCell ref="A29:E29"/>
    <mergeCell ref="A33:Y33"/>
    <mergeCell ref="Z33:AE33"/>
    <mergeCell ref="A34:Y34"/>
    <mergeCell ref="Z34:AE35"/>
    <mergeCell ref="A35:Y35"/>
    <mergeCell ref="Z38:AE38"/>
    <mergeCell ref="B39:G39"/>
    <mergeCell ref="H39:M39"/>
    <mergeCell ref="N39:S39"/>
    <mergeCell ref="T39:Y39"/>
    <mergeCell ref="Z39:AE39"/>
    <mergeCell ref="B37:G37"/>
    <mergeCell ref="H37:M37"/>
    <mergeCell ref="N37:S37"/>
    <mergeCell ref="T37:Y37"/>
    <mergeCell ref="Z37:AE37"/>
    <mergeCell ref="A25:B25"/>
    <mergeCell ref="C25:L25"/>
    <mergeCell ref="M25:N25"/>
    <mergeCell ref="O25:P25"/>
    <mergeCell ref="Q25:AE25"/>
    <mergeCell ref="A28:E28"/>
    <mergeCell ref="A23:B23"/>
    <mergeCell ref="C23:L23"/>
    <mergeCell ref="M23:N23"/>
    <mergeCell ref="O23:P23"/>
    <mergeCell ref="Q23:AE23"/>
    <mergeCell ref="A24:B24"/>
    <mergeCell ref="C24:L24"/>
    <mergeCell ref="M24:N24"/>
    <mergeCell ref="O24:P24"/>
    <mergeCell ref="Q24:AE24"/>
    <mergeCell ref="A21:B21"/>
    <mergeCell ref="C21:L21"/>
    <mergeCell ref="M21:N21"/>
    <mergeCell ref="O21:P21"/>
    <mergeCell ref="Q21:AE21"/>
    <mergeCell ref="A22:B22"/>
    <mergeCell ref="C22:L22"/>
    <mergeCell ref="M22:N22"/>
    <mergeCell ref="O22:P22"/>
    <mergeCell ref="Q22:AE22"/>
    <mergeCell ref="A19:B19"/>
    <mergeCell ref="C19:K19"/>
    <mergeCell ref="M19:N19"/>
    <mergeCell ref="O19:P19"/>
    <mergeCell ref="Q19:AE19"/>
    <mergeCell ref="A20:B20"/>
    <mergeCell ref="C20:L20"/>
    <mergeCell ref="M20:N20"/>
    <mergeCell ref="O20:P20"/>
    <mergeCell ref="Q20:AE20"/>
    <mergeCell ref="H17:M17"/>
    <mergeCell ref="N17:S17"/>
    <mergeCell ref="T17:Y17"/>
    <mergeCell ref="Z17:AE17"/>
    <mergeCell ref="B15:G15"/>
    <mergeCell ref="H15:M15"/>
    <mergeCell ref="N15:S15"/>
    <mergeCell ref="T15:Y15"/>
    <mergeCell ref="Z15:AE15"/>
    <mergeCell ref="A12:A13"/>
    <mergeCell ref="B12:G12"/>
    <mergeCell ref="H12:M12"/>
    <mergeCell ref="N12:S12"/>
    <mergeCell ref="T12:Y12"/>
    <mergeCell ref="Z12:AE12"/>
    <mergeCell ref="B13:G13"/>
    <mergeCell ref="A16:A17"/>
    <mergeCell ref="B16:G16"/>
    <mergeCell ref="H16:M16"/>
    <mergeCell ref="N16:S16"/>
    <mergeCell ref="T16:Y16"/>
    <mergeCell ref="H13:M13"/>
    <mergeCell ref="N13:S13"/>
    <mergeCell ref="T13:Y13"/>
    <mergeCell ref="Z13:AE13"/>
    <mergeCell ref="A14:A15"/>
    <mergeCell ref="B14:G14"/>
    <mergeCell ref="H14:M14"/>
    <mergeCell ref="N14:S14"/>
    <mergeCell ref="T14:Y14"/>
    <mergeCell ref="Z14:AE14"/>
    <mergeCell ref="Z16:AE16"/>
    <mergeCell ref="B17:G17"/>
    <mergeCell ref="A10:A11"/>
    <mergeCell ref="B10:G10"/>
    <mergeCell ref="H10:M10"/>
    <mergeCell ref="N10:S10"/>
    <mergeCell ref="T10:Y10"/>
    <mergeCell ref="Z10:AE10"/>
    <mergeCell ref="B11:G11"/>
    <mergeCell ref="H11:M11"/>
    <mergeCell ref="N11:S11"/>
    <mergeCell ref="T11:Y11"/>
    <mergeCell ref="Z11:AE11"/>
    <mergeCell ref="Z7:AE7"/>
    <mergeCell ref="A8:A9"/>
    <mergeCell ref="B8:G8"/>
    <mergeCell ref="H8:M8"/>
    <mergeCell ref="N9:S9"/>
    <mergeCell ref="T8:Y8"/>
    <mergeCell ref="Z8:AE8"/>
    <mergeCell ref="B9:G9"/>
    <mergeCell ref="H9:M9"/>
    <mergeCell ref="A6:A7"/>
    <mergeCell ref="B6:G6"/>
    <mergeCell ref="H6:M6"/>
    <mergeCell ref="N6:S6"/>
    <mergeCell ref="T6:Y6"/>
    <mergeCell ref="Z6:AE6"/>
    <mergeCell ref="B7:G7"/>
    <mergeCell ref="H7:M7"/>
    <mergeCell ref="N7:S7"/>
    <mergeCell ref="T7:Y7"/>
    <mergeCell ref="T9:Y9"/>
    <mergeCell ref="Z9:AE9"/>
    <mergeCell ref="N8:S8"/>
    <mergeCell ref="A1:Y1"/>
    <mergeCell ref="Z1:AE1"/>
    <mergeCell ref="A2:Y2"/>
    <mergeCell ref="Z2:AE3"/>
    <mergeCell ref="A3:Y3"/>
    <mergeCell ref="B5:G5"/>
    <mergeCell ref="H5:M5"/>
    <mergeCell ref="N5:S5"/>
    <mergeCell ref="T5:Y5"/>
    <mergeCell ref="Z5:AE5"/>
  </mergeCells>
  <dataValidations count="17">
    <dataValidation type="list" allowBlank="1" showInputMessage="1" showErrorMessage="1" sqref="M84:M95 N84 N86:N95" xr:uid="{00000000-0002-0000-0900-000000000000}">
      <formula1>INDIRECT($M$83)</formula1>
    </dataValidation>
    <dataValidation type="list" allowBlank="1" showInputMessage="1" showErrorMessage="1" sqref="M19:N19 M51:N51 M83:N83" xr:uid="{00000000-0002-0000-0900-000001000000}">
      <formula1>Asignaturas2</formula1>
    </dataValidation>
    <dataValidation type="list" allowBlank="1" showInputMessage="1" showErrorMessage="1" sqref="M24:N25 M56:N56" xr:uid="{00000000-0002-0000-0900-000002000000}">
      <formula1>INDIRECT(M19)</formula1>
    </dataValidation>
    <dataValidation type="list" allowBlank="1" showInputMessage="1" showErrorMessage="1" sqref="M23:N23 M55:N55" xr:uid="{00000000-0002-0000-0900-000003000000}">
      <formula1>INDIRECT(M19)</formula1>
    </dataValidation>
    <dataValidation type="list" allowBlank="1" showInputMessage="1" showErrorMessage="1" sqref="M22:N22 M54:N54" xr:uid="{00000000-0002-0000-0900-000004000000}">
      <formula1>INDIRECT(M19)</formula1>
    </dataValidation>
    <dataValidation type="list" allowBlank="1" showInputMessage="1" showErrorMessage="1" sqref="M21:N21 M53:N53" xr:uid="{00000000-0002-0000-0900-000005000000}">
      <formula1>INDIRECT(M19)</formula1>
    </dataValidation>
    <dataValidation type="list" allowBlank="1" showInputMessage="1" showErrorMessage="1" sqref="M20:N20 M52:N52" xr:uid="{00000000-0002-0000-0900-000006000000}">
      <formula1>INDIRECT(M19)</formula1>
    </dataValidation>
    <dataValidation type="list" allowBlank="1" showInputMessage="1" showErrorMessage="1" sqref="A31 A62 A101" xr:uid="{00000000-0002-0000-0900-000007000000}">
      <formula1>notas</formula1>
    </dataValidation>
    <dataValidation type="list" allowBlank="1" showInputMessage="1" showErrorMessage="1" sqref="A85:A95 K78 N78:Z78 Z70 Z72 B76:AE76 B72:T72 AM78 AJ78 AC78 B70:T70 B78:H78 N80:Y80 B74:AE74 B80:G80" xr:uid="{00000000-0002-0000-0900-000008000000}">
      <formula1>INDIRECT($A$68)</formula1>
    </dataValidation>
    <dataValidation type="list" allowBlank="1" showInputMessage="1" showErrorMessage="1" sqref="Z40:AE40 Z42:AE42 Z38:AE38 B46:AE46 N48:S48 Z44:AE44" xr:uid="{00000000-0002-0000-0900-000009000000}">
      <formula1>INDIRECT($A$36)</formula1>
    </dataValidation>
    <dataValidation type="list" allowBlank="1" showInputMessage="1" showErrorMessage="1" sqref="A68 A4 A36" xr:uid="{00000000-0002-0000-0900-00000A000000}">
      <formula1>GIM</formula1>
    </dataValidation>
    <dataValidation type="list" allowBlank="1" showInputMessage="1" showErrorMessage="1" sqref="A20:A25 A52:A56 A84 B48:M48 B16:AE16 Z10:AE10 T48:AE48 Z8:AE8 B14:AE14 Z6:AE6 B6:M6 B8:M8 B10:M10 B12:M12 Z12:AE12" xr:uid="{00000000-0002-0000-0900-00000B000000}">
      <formula1>INDIRECT($A$4)</formula1>
    </dataValidation>
    <dataValidation type="list" allowBlank="1" showInputMessage="1" showErrorMessage="1" sqref="B73:AE73 B15:AE15 Z66:AE67 B81:G81 B17:AE17 B71:AE71 M78 N79:Y79 B43:AE43 Z2:AE3 Z34:AE35 B13:AE13 AB78 B47:AE47 J78 B41:AE41 B75:AE75 AO78 Z9:AE9 B39:AE39 AL78 AE78 B79:G79 B45:AE45 B49:AE49 N81:Y81 B77:AE77 B11:AE11 B9:M9 B7:AE7" xr:uid="{00000000-0002-0000-0900-00000C000000}">
      <formula1>AULAS</formula1>
    </dataValidation>
    <dataValidation type="list" allowBlank="1" showInputMessage="1" showErrorMessage="1" sqref="A67:Y67 A3:Y3 A35:Y35" xr:uid="{00000000-0002-0000-0900-00000D000000}">
      <formula1>GRUPO</formula1>
    </dataValidation>
    <dataValidation type="list" allowBlank="1" showInputMessage="1" showErrorMessage="1" sqref="A70:A81 A6:A17 A38:A49" xr:uid="{00000000-0002-0000-0900-00000E000000}">
      <formula1>HORARIO</formula1>
    </dataValidation>
    <dataValidation type="list" allowBlank="1" showInputMessage="1" showErrorMessage="1" sqref="N8:Y10 N12:Y12" xr:uid="{00000000-0002-0000-0900-00000F000000}">
      <formula1>$H$352:$H$357</formula1>
    </dataValidation>
    <dataValidation type="list" allowBlank="1" showInputMessage="1" showErrorMessage="1" sqref="B40:Y40 B44:Y44 B42:Y42" xr:uid="{00000000-0002-0000-0900-000010000000}">
      <formula1>$I$358:$I$361</formula1>
    </dataValidation>
  </dataValidations>
  <pageMargins left="0.55000000000000004" right="0.19685039370078741" top="0.94488188976377963" bottom="0.86614173228346458" header="0.27559055118110237" footer="0"/>
  <pageSetup paperSize="9" scale="74" fitToHeight="0" orientation="portrait" r:id="rId1"/>
  <headerFooter alignWithMargins="0">
    <oddHeader>&amp;C&amp;"Arial Narrow,Negrita"&amp;18ESCUELA POLITECNICA SUPERIOR&amp;"Arial,Normal"&amp;10
&amp;"Arial Narrow,Negrita"&amp;16Campus Vena&amp;R&amp;"Chiller,Normal"&amp;24&amp;K05-043&amp;A</oddHeader>
    <oddFooter>&amp;L&amp;12ESCUELA POLITECNICA SUPERIOR - Campus Vena&amp;11
&amp;9SUBDIRECCION  DE  ORDENACION  ACADEMICA Y PROFESORADO&amp;R&amp;12&amp;D</oddFooter>
  </headerFooter>
  <rowBreaks count="2" manualBreakCount="2">
    <brk id="32" max="16383" man="1"/>
    <brk id="64" max="1638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11000000}">
          <x14:formula1>
            <xm:f>ASIGNATURAS!$H$357:$H$362</xm:f>
          </x14:formula1>
          <xm:sqref>N6:Y6</xm:sqref>
        </x14:dataValidation>
        <x14:dataValidation type="list" allowBlank="1" showInputMessage="1" showErrorMessage="1" xr:uid="{00000000-0002-0000-0900-000012000000}">
          <x14:formula1>
            <xm:f>ASIGNATURAS!$I$363:$I$366</xm:f>
          </x14:formula1>
          <xm:sqref>B38:Y38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C379"/>
  <sheetViews>
    <sheetView topLeftCell="A269" zoomScale="80" zoomScaleNormal="80" workbookViewId="0">
      <selection activeCell="H259" sqref="H259:H263"/>
    </sheetView>
  </sheetViews>
  <sheetFormatPr baseColWidth="10" defaultColWidth="53.88671875" defaultRowHeight="12" customHeight="1" x14ac:dyDescent="0.25"/>
  <cols>
    <col min="1" max="1" width="11.44140625" style="4" customWidth="1"/>
    <col min="2" max="2" width="52.5546875" style="4" customWidth="1"/>
    <col min="3" max="3" width="55.88671875" style="48" customWidth="1"/>
    <col min="4" max="4" width="9.6640625" style="4" customWidth="1"/>
    <col min="5" max="5" width="5.6640625" style="4" customWidth="1"/>
    <col min="6" max="6" width="9.88671875" style="4" customWidth="1"/>
    <col min="7" max="7" width="11" style="4" customWidth="1"/>
    <col min="8" max="8" width="22.6640625" style="4" customWidth="1"/>
    <col min="9" max="9" width="40.88671875" style="55" customWidth="1"/>
    <col min="10" max="10" width="2.6640625" style="4" customWidth="1"/>
    <col min="11" max="11" width="37.6640625" style="55" customWidth="1"/>
    <col min="12" max="12" width="32" style="55" customWidth="1"/>
    <col min="13" max="13" width="2.6640625" style="55" customWidth="1"/>
    <col min="14" max="14" width="31.6640625" style="55" customWidth="1"/>
    <col min="15" max="15" width="4.109375" style="55" customWidth="1"/>
    <col min="16" max="16" width="32" style="55" customWidth="1"/>
    <col min="17" max="17" width="3.44140625" style="55" customWidth="1"/>
    <col min="18" max="18" width="31" style="55" customWidth="1"/>
    <col min="19" max="19" width="3.44140625" style="55" customWidth="1"/>
    <col min="20" max="20" width="31" style="55" customWidth="1"/>
    <col min="21" max="16384" width="53.88671875" style="20"/>
  </cols>
  <sheetData>
    <row r="1" spans="1:21" ht="12" customHeight="1" x14ac:dyDescent="0.25">
      <c r="A1" s="40"/>
      <c r="B1" s="40"/>
      <c r="C1" s="44"/>
      <c r="D1" s="40"/>
      <c r="E1" s="42"/>
      <c r="F1" s="50" t="s">
        <v>138</v>
      </c>
    </row>
    <row r="2" spans="1:21" ht="12" customHeight="1" x14ac:dyDescent="0.25">
      <c r="A2" s="45" t="s">
        <v>14</v>
      </c>
      <c r="B2" s="45" t="s">
        <v>174</v>
      </c>
      <c r="C2" s="46" t="s">
        <v>184</v>
      </c>
      <c r="D2" s="45" t="s">
        <v>302</v>
      </c>
      <c r="E2" s="56"/>
      <c r="F2" s="4" t="s">
        <v>299</v>
      </c>
      <c r="G2" s="4" t="s">
        <v>296</v>
      </c>
      <c r="H2" s="51" t="s">
        <v>297</v>
      </c>
      <c r="I2" s="59" t="s">
        <v>298</v>
      </c>
      <c r="J2" s="51" t="s">
        <v>143</v>
      </c>
      <c r="K2" s="72" t="s">
        <v>301</v>
      </c>
      <c r="L2" s="72" t="s">
        <v>515</v>
      </c>
      <c r="M2" s="72"/>
      <c r="N2" s="72" t="s">
        <v>516</v>
      </c>
      <c r="O2" s="72"/>
      <c r="P2" s="72" t="s">
        <v>517</v>
      </c>
      <c r="Q2" s="59"/>
      <c r="R2" s="59" t="s">
        <v>518</v>
      </c>
      <c r="S2" s="59"/>
      <c r="T2" s="59" t="s">
        <v>874</v>
      </c>
    </row>
    <row r="3" spans="1:21" ht="12" customHeight="1" x14ac:dyDescent="0.25">
      <c r="A3" s="45" t="s">
        <v>15</v>
      </c>
      <c r="B3" s="45" t="s">
        <v>175</v>
      </c>
      <c r="C3" s="46" t="s">
        <v>184</v>
      </c>
      <c r="D3" s="45" t="s">
        <v>303</v>
      </c>
      <c r="E3" s="56"/>
      <c r="F3" s="52">
        <v>6302</v>
      </c>
      <c r="G3" s="52">
        <v>1</v>
      </c>
      <c r="H3" s="52" t="s">
        <v>12</v>
      </c>
      <c r="I3" s="60" t="s">
        <v>244</v>
      </c>
      <c r="J3" s="52">
        <v>6</v>
      </c>
      <c r="K3" s="60" t="str">
        <f>CONCATENATE(L3,M3,N3,O3,P3,Q3,R3)</f>
        <v>Ana García</v>
      </c>
      <c r="L3" s="60" t="s">
        <v>848</v>
      </c>
      <c r="M3" s="60" t="str">
        <f t="shared" ref="M3:M9" si="0">IF(N3&lt;&gt;"",", ","")</f>
        <v/>
      </c>
      <c r="N3" s="60"/>
      <c r="O3" s="60" t="str">
        <f t="shared" ref="O3:O34" si="1">IF(P3&lt;&gt;"",", ","")</f>
        <v/>
      </c>
      <c r="P3" s="60"/>
      <c r="Q3" s="61" t="str">
        <f t="shared" ref="Q3:S34" si="2">IF(R3&lt;&gt;"",", ","")</f>
        <v/>
      </c>
      <c r="R3" s="61"/>
      <c r="S3" s="61" t="str">
        <f t="shared" si="2"/>
        <v/>
      </c>
      <c r="T3" s="61"/>
    </row>
    <row r="4" spans="1:21" ht="12" customHeight="1" x14ac:dyDescent="0.25">
      <c r="A4" s="45" t="s">
        <v>16</v>
      </c>
      <c r="B4" s="45" t="s">
        <v>176</v>
      </c>
      <c r="C4" s="46" t="s">
        <v>185</v>
      </c>
      <c r="D4" s="45" t="s">
        <v>304</v>
      </c>
      <c r="E4" s="56"/>
      <c r="F4" s="52">
        <v>6304</v>
      </c>
      <c r="G4" s="52">
        <v>1</v>
      </c>
      <c r="H4" s="52" t="s">
        <v>79</v>
      </c>
      <c r="I4" s="60" t="s">
        <v>348</v>
      </c>
      <c r="J4" s="52">
        <v>6</v>
      </c>
      <c r="K4" s="60" t="str">
        <f t="shared" ref="K4:K9" si="3">CONCATENATE(L4,M4,N4,O4,P4,Q4,R4)</f>
        <v>Juan José Villalaín, Alfonso Blasco, María del Mar Chichón</v>
      </c>
      <c r="L4" s="60" t="s">
        <v>499</v>
      </c>
      <c r="M4" s="60" t="str">
        <f t="shared" si="0"/>
        <v xml:space="preserve">, </v>
      </c>
      <c r="N4" s="20" t="s">
        <v>1149</v>
      </c>
      <c r="O4" s="60" t="str">
        <f t="shared" si="1"/>
        <v xml:space="preserve">, </v>
      </c>
      <c r="P4" s="60" t="s">
        <v>1183</v>
      </c>
      <c r="Q4" s="61" t="str">
        <f t="shared" si="2"/>
        <v/>
      </c>
      <c r="R4" s="60"/>
      <c r="S4" s="61" t="str">
        <f t="shared" si="2"/>
        <v/>
      </c>
      <c r="T4" s="61"/>
    </row>
    <row r="5" spans="1:21" ht="12" customHeight="1" x14ac:dyDescent="0.25">
      <c r="A5" s="45" t="s">
        <v>17</v>
      </c>
      <c r="B5" s="45" t="s">
        <v>177</v>
      </c>
      <c r="C5" s="46" t="s">
        <v>185</v>
      </c>
      <c r="D5" s="45" t="s">
        <v>305</v>
      </c>
      <c r="E5" s="56"/>
      <c r="F5" s="52">
        <v>6303</v>
      </c>
      <c r="G5" s="52">
        <v>1</v>
      </c>
      <c r="H5" s="52" t="s">
        <v>13</v>
      </c>
      <c r="I5" s="60" t="s">
        <v>924</v>
      </c>
      <c r="J5" s="52">
        <v>6</v>
      </c>
      <c r="K5" s="60" t="str">
        <f t="shared" si="3"/>
        <v>José Javier Relancio</v>
      </c>
      <c r="L5" s="254" t="s">
        <v>1167</v>
      </c>
      <c r="M5" s="254" t="str">
        <f t="shared" si="0"/>
        <v/>
      </c>
      <c r="N5" s="254"/>
      <c r="O5" s="60" t="str">
        <f t="shared" si="1"/>
        <v/>
      </c>
      <c r="P5" s="60"/>
      <c r="Q5" s="61" t="str">
        <f t="shared" si="2"/>
        <v/>
      </c>
      <c r="R5" s="61"/>
      <c r="S5" s="61" t="str">
        <f t="shared" si="2"/>
        <v/>
      </c>
      <c r="T5" s="61"/>
    </row>
    <row r="6" spans="1:21" ht="12" customHeight="1" x14ac:dyDescent="0.25">
      <c r="A6" s="45" t="s">
        <v>18</v>
      </c>
      <c r="B6" s="45" t="s">
        <v>168</v>
      </c>
      <c r="C6" s="46" t="s">
        <v>141</v>
      </c>
      <c r="D6" s="45" t="s">
        <v>306</v>
      </c>
      <c r="E6" s="56"/>
      <c r="F6" s="52">
        <v>6306</v>
      </c>
      <c r="G6" s="52">
        <v>1</v>
      </c>
      <c r="H6" s="52" t="s">
        <v>1358</v>
      </c>
      <c r="I6" s="60" t="s">
        <v>245</v>
      </c>
      <c r="J6" s="52">
        <v>6</v>
      </c>
      <c r="K6" s="60" t="str">
        <f t="shared" si="3"/>
        <v>Arturo de Román , Elías Martínez</v>
      </c>
      <c r="L6" s="254" t="s">
        <v>1182</v>
      </c>
      <c r="M6" s="254" t="str">
        <f t="shared" si="0"/>
        <v xml:space="preserve">, </v>
      </c>
      <c r="N6" s="255" t="s">
        <v>906</v>
      </c>
      <c r="O6" s="60" t="str">
        <f t="shared" si="1"/>
        <v/>
      </c>
      <c r="P6" s="20"/>
      <c r="Q6" s="61" t="str">
        <f t="shared" si="2"/>
        <v/>
      </c>
      <c r="R6" s="61"/>
      <c r="S6" s="61" t="str">
        <f t="shared" si="2"/>
        <v/>
      </c>
      <c r="T6" s="61"/>
    </row>
    <row r="7" spans="1:21" ht="12" customHeight="1" x14ac:dyDescent="0.25">
      <c r="A7" s="45" t="s">
        <v>19</v>
      </c>
      <c r="B7" s="45" t="s">
        <v>178</v>
      </c>
      <c r="C7" s="46" t="s">
        <v>141</v>
      </c>
      <c r="D7" s="45" t="s">
        <v>307</v>
      </c>
      <c r="E7" s="56"/>
      <c r="F7" s="52">
        <v>6305</v>
      </c>
      <c r="G7" s="52">
        <v>1</v>
      </c>
      <c r="H7" s="52" t="s">
        <v>23</v>
      </c>
      <c r="I7" s="60" t="s">
        <v>246</v>
      </c>
      <c r="J7" s="52">
        <v>6</v>
      </c>
      <c r="K7" s="60" t="str">
        <f t="shared" si="3"/>
        <v>Fco. Javier Rodríguez</v>
      </c>
      <c r="L7" s="254" t="s">
        <v>849</v>
      </c>
      <c r="M7" s="254" t="str">
        <f t="shared" si="0"/>
        <v/>
      </c>
      <c r="N7" s="254"/>
      <c r="O7" s="60" t="str">
        <f t="shared" si="1"/>
        <v/>
      </c>
      <c r="P7" s="60"/>
      <c r="Q7" s="61" t="str">
        <f t="shared" si="2"/>
        <v/>
      </c>
      <c r="R7" s="61"/>
      <c r="S7" s="61" t="str">
        <f t="shared" si="2"/>
        <v/>
      </c>
      <c r="T7" s="61"/>
      <c r="U7" s="20">
        <v>1</v>
      </c>
    </row>
    <row r="8" spans="1:21" ht="12" customHeight="1" x14ac:dyDescent="0.25">
      <c r="A8" s="45" t="s">
        <v>20</v>
      </c>
      <c r="B8" s="45" t="s">
        <v>179</v>
      </c>
      <c r="C8" s="46" t="s">
        <v>183</v>
      </c>
      <c r="D8" s="45" t="s">
        <v>308</v>
      </c>
      <c r="E8" s="56"/>
      <c r="F8" s="53"/>
      <c r="G8" s="53">
        <v>1</v>
      </c>
      <c r="H8" s="53" t="s">
        <v>263</v>
      </c>
      <c r="I8" s="61"/>
      <c r="J8" s="53"/>
      <c r="K8" s="60" t="str">
        <f t="shared" si="3"/>
        <v/>
      </c>
      <c r="L8" s="254"/>
      <c r="M8" s="254" t="str">
        <f t="shared" si="0"/>
        <v/>
      </c>
      <c r="N8" s="254"/>
      <c r="O8" s="60" t="str">
        <f t="shared" si="1"/>
        <v/>
      </c>
      <c r="P8" s="60"/>
      <c r="Q8" s="61" t="str">
        <f t="shared" si="2"/>
        <v/>
      </c>
      <c r="R8" s="61"/>
      <c r="S8" s="61" t="str">
        <f t="shared" si="2"/>
        <v/>
      </c>
      <c r="T8" s="61"/>
      <c r="U8" s="20">
        <v>2</v>
      </c>
    </row>
    <row r="9" spans="1:21" ht="12" customHeight="1" x14ac:dyDescent="0.25">
      <c r="A9" s="45" t="s">
        <v>21</v>
      </c>
      <c r="B9" s="45" t="s">
        <v>180</v>
      </c>
      <c r="C9" s="46" t="s">
        <v>183</v>
      </c>
      <c r="D9" s="45" t="s">
        <v>309</v>
      </c>
      <c r="E9" s="56"/>
      <c r="F9" s="54">
        <v>6307</v>
      </c>
      <c r="G9" s="54">
        <v>2</v>
      </c>
      <c r="H9" s="54" t="s">
        <v>24</v>
      </c>
      <c r="I9" s="62" t="s">
        <v>345</v>
      </c>
      <c r="J9" s="54">
        <v>6</v>
      </c>
      <c r="K9" s="62" t="str">
        <f t="shared" si="3"/>
        <v>Iván Gutiérrez</v>
      </c>
      <c r="L9" s="62" t="s">
        <v>1248</v>
      </c>
      <c r="M9" s="62" t="str">
        <f t="shared" si="0"/>
        <v/>
      </c>
      <c r="N9" s="62"/>
      <c r="O9" s="62" t="str">
        <f t="shared" si="1"/>
        <v/>
      </c>
      <c r="P9" s="62"/>
      <c r="Q9" s="70" t="str">
        <f t="shared" si="2"/>
        <v/>
      </c>
      <c r="R9" s="70"/>
      <c r="S9" s="70" t="str">
        <f t="shared" si="2"/>
        <v/>
      </c>
      <c r="T9" s="70"/>
    </row>
    <row r="10" spans="1:21" ht="12" customHeight="1" x14ac:dyDescent="0.25">
      <c r="E10" s="22"/>
      <c r="F10" s="54">
        <v>6309</v>
      </c>
      <c r="G10" s="54">
        <v>2</v>
      </c>
      <c r="H10" s="54" t="s">
        <v>25</v>
      </c>
      <c r="I10" s="62" t="s">
        <v>350</v>
      </c>
      <c r="J10" s="54">
        <v>6</v>
      </c>
      <c r="K10" s="62" t="str">
        <f>CONCATENATE(L10,M10,N10,O10,P10,Q10,R10)</f>
        <v>Mª Isabel Blanco, Mª Felicidad Bógalo, Manuel Iván González</v>
      </c>
      <c r="L10" s="323" t="s">
        <v>1228</v>
      </c>
      <c r="M10" s="62" t="str">
        <f>IF(N11&lt;&gt;"",", ","")</f>
        <v xml:space="preserve">, </v>
      </c>
      <c r="N10" s="323" t="s">
        <v>1227</v>
      </c>
      <c r="O10" s="62" t="str">
        <f t="shared" si="1"/>
        <v xml:space="preserve">, </v>
      </c>
      <c r="P10" s="323" t="s">
        <v>510</v>
      </c>
      <c r="Q10" s="70" t="str">
        <f t="shared" si="2"/>
        <v/>
      </c>
      <c r="R10" s="70"/>
      <c r="S10" s="70" t="str">
        <f t="shared" si="2"/>
        <v/>
      </c>
      <c r="T10" s="70"/>
    </row>
    <row r="11" spans="1:21" ht="12" customHeight="1" x14ac:dyDescent="0.25">
      <c r="A11" s="45" t="s">
        <v>51</v>
      </c>
      <c r="B11" s="45" t="s">
        <v>174</v>
      </c>
      <c r="C11" s="46" t="s">
        <v>192</v>
      </c>
      <c r="D11" s="45" t="s">
        <v>310</v>
      </c>
      <c r="E11" s="56"/>
      <c r="F11" s="54">
        <v>6308</v>
      </c>
      <c r="G11" s="54">
        <v>2</v>
      </c>
      <c r="H11" s="54" t="s">
        <v>50</v>
      </c>
      <c r="I11" s="62" t="s">
        <v>241</v>
      </c>
      <c r="J11" s="54">
        <v>6</v>
      </c>
      <c r="K11" s="62" t="str">
        <f>CONCATENATE(L11,M11,N11,O11,P11,Q11,R11)</f>
        <v>Beatriz Gil, Belen Vaquerizo</v>
      </c>
      <c r="L11" s="62" t="s">
        <v>755</v>
      </c>
      <c r="M11" s="62" t="str">
        <f>IF(N12&lt;&gt;"",", ","")</f>
        <v xml:space="preserve">, </v>
      </c>
      <c r="N11" s="323" t="s">
        <v>1150</v>
      </c>
      <c r="O11" s="62" t="str">
        <f t="shared" si="1"/>
        <v/>
      </c>
      <c r="P11" s="62"/>
      <c r="Q11" s="70" t="str">
        <f t="shared" si="2"/>
        <v/>
      </c>
      <c r="R11" s="70"/>
      <c r="S11" s="70" t="str">
        <f t="shared" si="2"/>
        <v/>
      </c>
      <c r="T11" s="70"/>
    </row>
    <row r="12" spans="1:21" ht="12" customHeight="1" x14ac:dyDescent="0.25">
      <c r="A12" s="45" t="s">
        <v>52</v>
      </c>
      <c r="B12" s="45" t="s">
        <v>175</v>
      </c>
      <c r="C12" s="46" t="s">
        <v>192</v>
      </c>
      <c r="D12" s="45" t="s">
        <v>311</v>
      </c>
      <c r="E12" s="56"/>
      <c r="F12" s="54">
        <v>6311</v>
      </c>
      <c r="G12" s="54">
        <v>2</v>
      </c>
      <c r="H12" s="54" t="s">
        <v>26</v>
      </c>
      <c r="I12" s="62" t="s">
        <v>351</v>
      </c>
      <c r="J12" s="54">
        <v>6</v>
      </c>
      <c r="K12" s="62" t="str">
        <f t="shared" ref="K12:K38" si="4">CONCATENATE(L12,M12,N12,O12,P12,Q12,R12)</f>
        <v>Juan Mª Espinosa, Rosario González</v>
      </c>
      <c r="L12" s="62" t="s">
        <v>756</v>
      </c>
      <c r="M12" s="62" t="str">
        <f t="shared" ref="M12:M18" si="5">IF(N12&lt;&gt;"",", ","")</f>
        <v xml:space="preserve">, </v>
      </c>
      <c r="N12" s="62" t="s">
        <v>850</v>
      </c>
      <c r="O12" s="62" t="str">
        <f t="shared" si="1"/>
        <v/>
      </c>
      <c r="P12" s="62"/>
      <c r="Q12" s="70" t="str">
        <f t="shared" si="2"/>
        <v/>
      </c>
      <c r="R12" s="70"/>
      <c r="S12" s="70" t="str">
        <f t="shared" si="2"/>
        <v/>
      </c>
      <c r="T12" s="70"/>
    </row>
    <row r="13" spans="1:21" ht="12" customHeight="1" x14ac:dyDescent="0.25">
      <c r="A13" s="45" t="s">
        <v>53</v>
      </c>
      <c r="B13" s="45" t="s">
        <v>176</v>
      </c>
      <c r="C13" s="46" t="s">
        <v>193</v>
      </c>
      <c r="D13" s="45" t="s">
        <v>312</v>
      </c>
      <c r="E13" s="56"/>
      <c r="F13" s="54">
        <v>6310</v>
      </c>
      <c r="G13" s="54">
        <v>2</v>
      </c>
      <c r="H13" s="54" t="s">
        <v>27</v>
      </c>
      <c r="I13" s="62" t="s">
        <v>346</v>
      </c>
      <c r="J13" s="54">
        <v>6</v>
      </c>
      <c r="K13" s="62" t="str">
        <f t="shared" si="4"/>
        <v>José Calaf Chica, David Cárdenas</v>
      </c>
      <c r="L13" s="62" t="s">
        <v>652</v>
      </c>
      <c r="M13" s="62" t="str">
        <f t="shared" si="5"/>
        <v xml:space="preserve">, </v>
      </c>
      <c r="N13" s="323" t="s">
        <v>853</v>
      </c>
      <c r="O13" s="62" t="str">
        <f t="shared" si="1"/>
        <v/>
      </c>
      <c r="P13" s="62"/>
      <c r="Q13" s="70" t="str">
        <f t="shared" si="2"/>
        <v/>
      </c>
      <c r="R13" s="70"/>
      <c r="S13" s="70" t="str">
        <f t="shared" si="2"/>
        <v/>
      </c>
      <c r="T13" s="70"/>
    </row>
    <row r="14" spans="1:21" ht="12" customHeight="1" x14ac:dyDescent="0.25">
      <c r="A14" s="45" t="s">
        <v>54</v>
      </c>
      <c r="B14" s="45" t="s">
        <v>177</v>
      </c>
      <c r="C14" s="46" t="s">
        <v>193</v>
      </c>
      <c r="D14" s="45" t="s">
        <v>313</v>
      </c>
      <c r="E14" s="56"/>
      <c r="F14" s="52">
        <v>6312</v>
      </c>
      <c r="G14" s="52">
        <v>3</v>
      </c>
      <c r="H14" s="52" t="s">
        <v>99</v>
      </c>
      <c r="I14" s="60" t="s">
        <v>266</v>
      </c>
      <c r="J14" s="52">
        <v>6</v>
      </c>
      <c r="K14" s="60" t="str">
        <f t="shared" si="4"/>
        <v>David González</v>
      </c>
      <c r="L14" s="255" t="s">
        <v>646</v>
      </c>
      <c r="M14" s="62" t="str">
        <f t="shared" si="5"/>
        <v/>
      </c>
      <c r="N14" s="60"/>
      <c r="O14" s="60" t="str">
        <f t="shared" si="1"/>
        <v/>
      </c>
      <c r="P14" s="60"/>
      <c r="Q14" s="61" t="str">
        <f>IF(N14&lt;&gt;"",", ","")</f>
        <v/>
      </c>
      <c r="S14" s="61" t="str">
        <f>IF(P14&lt;&gt;"",", ","")</f>
        <v/>
      </c>
    </row>
    <row r="15" spans="1:21" ht="12" customHeight="1" x14ac:dyDescent="0.25">
      <c r="A15" s="45" t="s">
        <v>55</v>
      </c>
      <c r="B15" s="45" t="s">
        <v>168</v>
      </c>
      <c r="C15" s="46" t="s">
        <v>173</v>
      </c>
      <c r="D15" s="45" t="s">
        <v>314</v>
      </c>
      <c r="E15" s="56"/>
      <c r="F15" s="52">
        <v>6313</v>
      </c>
      <c r="G15" s="52">
        <v>3</v>
      </c>
      <c r="H15" s="52" t="s">
        <v>28</v>
      </c>
      <c r="I15" s="60" t="s">
        <v>270</v>
      </c>
      <c r="J15" s="52">
        <v>6</v>
      </c>
      <c r="K15" s="60" t="str">
        <f t="shared" si="4"/>
        <v>Victoria Abad San Martín</v>
      </c>
      <c r="L15" s="254" t="s">
        <v>851</v>
      </c>
      <c r="M15" s="254" t="str">
        <f t="shared" si="5"/>
        <v/>
      </c>
      <c r="N15" s="254"/>
      <c r="O15" s="60" t="str">
        <f t="shared" si="1"/>
        <v/>
      </c>
      <c r="P15" s="60"/>
      <c r="Q15" s="61" t="str">
        <f t="shared" si="2"/>
        <v/>
      </c>
      <c r="R15" s="61"/>
      <c r="S15" s="61" t="str">
        <f t="shared" si="2"/>
        <v/>
      </c>
      <c r="T15" s="61"/>
    </row>
    <row r="16" spans="1:21" ht="12" customHeight="1" x14ac:dyDescent="0.25">
      <c r="A16" s="45" t="s">
        <v>56</v>
      </c>
      <c r="B16" s="45" t="s">
        <v>178</v>
      </c>
      <c r="C16" s="46" t="s">
        <v>173</v>
      </c>
      <c r="D16" s="45" t="s">
        <v>315</v>
      </c>
      <c r="E16" s="56"/>
      <c r="F16" s="52">
        <v>6314</v>
      </c>
      <c r="G16" s="52">
        <v>3</v>
      </c>
      <c r="H16" s="52" t="s">
        <v>1359</v>
      </c>
      <c r="I16" s="60" t="s">
        <v>347</v>
      </c>
      <c r="J16" s="52">
        <v>6</v>
      </c>
      <c r="K16" s="60" t="str">
        <f t="shared" si="4"/>
        <v>Isidoro Iván Cuesta</v>
      </c>
      <c r="L16" s="254" t="s">
        <v>1151</v>
      </c>
      <c r="M16" s="254" t="str">
        <f t="shared" si="5"/>
        <v/>
      </c>
      <c r="N16" s="254"/>
      <c r="O16" s="60" t="str">
        <f t="shared" si="1"/>
        <v/>
      </c>
      <c r="P16" s="60"/>
      <c r="Q16" s="61" t="str">
        <f t="shared" si="2"/>
        <v/>
      </c>
      <c r="R16" s="61"/>
      <c r="S16" s="61" t="str">
        <f t="shared" si="2"/>
        <v/>
      </c>
      <c r="T16" s="61"/>
    </row>
    <row r="17" spans="1:20" ht="12" customHeight="1" x14ac:dyDescent="0.25">
      <c r="A17" s="45" t="s">
        <v>57</v>
      </c>
      <c r="B17" s="45" t="s">
        <v>179</v>
      </c>
      <c r="C17" s="46" t="s">
        <v>194</v>
      </c>
      <c r="D17" s="45" t="s">
        <v>316</v>
      </c>
      <c r="E17" s="56"/>
      <c r="F17" s="52">
        <v>6315</v>
      </c>
      <c r="G17" s="52">
        <v>3</v>
      </c>
      <c r="H17" s="52" t="s">
        <v>640</v>
      </c>
      <c r="I17" s="60" t="s">
        <v>267</v>
      </c>
      <c r="J17" s="52">
        <v>6</v>
      </c>
      <c r="K17" s="60" t="str">
        <f t="shared" si="4"/>
        <v>Jose Antonio Barón Aguado</v>
      </c>
      <c r="L17" s="254" t="s">
        <v>269</v>
      </c>
      <c r="M17" s="254" t="str">
        <f t="shared" si="5"/>
        <v/>
      </c>
      <c r="N17" s="311"/>
      <c r="O17" s="60" t="str">
        <f t="shared" si="1"/>
        <v/>
      </c>
      <c r="P17" s="60"/>
      <c r="Q17" s="61" t="str">
        <f t="shared" si="2"/>
        <v/>
      </c>
      <c r="R17" s="61"/>
      <c r="S17" s="61" t="str">
        <f t="shared" si="2"/>
        <v/>
      </c>
      <c r="T17" s="61"/>
    </row>
    <row r="18" spans="1:20" ht="12" customHeight="1" x14ac:dyDescent="0.25">
      <c r="A18" s="45" t="s">
        <v>58</v>
      </c>
      <c r="B18" s="45" t="s">
        <v>180</v>
      </c>
      <c r="C18" s="46" t="s">
        <v>194</v>
      </c>
      <c r="D18" s="45" t="s">
        <v>317</v>
      </c>
      <c r="E18" s="56"/>
      <c r="F18" s="52">
        <v>6316</v>
      </c>
      <c r="G18" s="52">
        <v>3</v>
      </c>
      <c r="H18" s="52" t="s">
        <v>29</v>
      </c>
      <c r="I18" s="60" t="s">
        <v>268</v>
      </c>
      <c r="J18" s="52">
        <v>6</v>
      </c>
      <c r="K18" s="60" t="str">
        <f t="shared" si="4"/>
        <v>Juan Vicente Martín Fraile</v>
      </c>
      <c r="L18" s="254" t="s">
        <v>659</v>
      </c>
      <c r="M18" s="254" t="str">
        <f t="shared" si="5"/>
        <v/>
      </c>
      <c r="N18" s="310"/>
      <c r="O18" s="60" t="str">
        <f t="shared" si="1"/>
        <v/>
      </c>
      <c r="P18" s="60"/>
      <c r="Q18" s="61" t="str">
        <f t="shared" si="2"/>
        <v/>
      </c>
      <c r="R18" s="61"/>
      <c r="S18" s="61" t="str">
        <f t="shared" si="2"/>
        <v/>
      </c>
      <c r="T18" s="61"/>
    </row>
    <row r="19" spans="1:20" ht="12" customHeight="1" x14ac:dyDescent="0.25">
      <c r="E19" s="22"/>
      <c r="F19" s="54">
        <v>6317</v>
      </c>
      <c r="G19" s="54">
        <v>4</v>
      </c>
      <c r="H19" s="226" t="s">
        <v>1360</v>
      </c>
      <c r="I19" s="62" t="s">
        <v>271</v>
      </c>
      <c r="J19" s="54">
        <v>6</v>
      </c>
      <c r="K19" s="62" t="str">
        <f t="shared" si="4"/>
        <v>Arturo de Román Miguel, Esteban García Maté</v>
      </c>
      <c r="L19" s="62" t="s">
        <v>243</v>
      </c>
      <c r="M19" s="62" t="str">
        <f>IF(L19&lt;&gt;"",", ","")</f>
        <v xml:space="preserve">, </v>
      </c>
      <c r="N19" s="250" t="s">
        <v>501</v>
      </c>
      <c r="O19" s="62" t="str">
        <f t="shared" si="1"/>
        <v/>
      </c>
      <c r="P19" s="62"/>
      <c r="Q19" s="61" t="str">
        <f t="shared" si="2"/>
        <v/>
      </c>
      <c r="R19" s="70"/>
      <c r="S19" s="61" t="str">
        <f t="shared" si="2"/>
        <v/>
      </c>
      <c r="T19" s="70"/>
    </row>
    <row r="20" spans="1:20" ht="12" customHeight="1" x14ac:dyDescent="0.25">
      <c r="A20" s="45" t="s">
        <v>59</v>
      </c>
      <c r="B20" s="45" t="s">
        <v>174</v>
      </c>
      <c r="C20" s="46" t="s">
        <v>195</v>
      </c>
      <c r="D20" s="45" t="s">
        <v>318</v>
      </c>
      <c r="E20" s="57"/>
      <c r="F20" s="54">
        <v>6318</v>
      </c>
      <c r="G20" s="54">
        <v>4</v>
      </c>
      <c r="H20" s="54" t="s">
        <v>30</v>
      </c>
      <c r="I20" s="62" t="s">
        <v>272</v>
      </c>
      <c r="J20" s="54">
        <v>6</v>
      </c>
      <c r="K20" s="62" t="str">
        <f t="shared" si="4"/>
        <v>María Isabel Dieste Velasco</v>
      </c>
      <c r="L20" s="62" t="s">
        <v>276</v>
      </c>
      <c r="M20" s="62" t="str">
        <f t="shared" ref="M20:M28" si="6">IF(N20&lt;&gt;"",", ","")</f>
        <v/>
      </c>
      <c r="N20" s="62"/>
      <c r="O20" s="62" t="str">
        <f t="shared" si="1"/>
        <v/>
      </c>
      <c r="P20" s="62"/>
      <c r="Q20" s="61" t="str">
        <f t="shared" si="2"/>
        <v/>
      </c>
      <c r="R20" s="70"/>
      <c r="S20" s="61" t="str">
        <f t="shared" si="2"/>
        <v/>
      </c>
      <c r="T20" s="70"/>
    </row>
    <row r="21" spans="1:20" ht="12" customHeight="1" x14ac:dyDescent="0.25">
      <c r="A21" s="45" t="s">
        <v>60</v>
      </c>
      <c r="B21" s="45" t="s">
        <v>175</v>
      </c>
      <c r="C21" s="46" t="s">
        <v>195</v>
      </c>
      <c r="D21" s="45" t="s">
        <v>319</v>
      </c>
      <c r="E21" s="57"/>
      <c r="F21" s="54">
        <v>6319</v>
      </c>
      <c r="G21" s="54">
        <v>4</v>
      </c>
      <c r="H21" s="54" t="s">
        <v>31</v>
      </c>
      <c r="I21" s="62" t="s">
        <v>273</v>
      </c>
      <c r="J21" s="54">
        <v>6</v>
      </c>
      <c r="K21" s="62" t="str">
        <f t="shared" si="4"/>
        <v>Alberto Martínez Martínez</v>
      </c>
      <c r="L21" s="62" t="s">
        <v>277</v>
      </c>
      <c r="M21" s="62" t="str">
        <f t="shared" si="6"/>
        <v/>
      </c>
      <c r="N21" s="62"/>
      <c r="O21" s="62" t="str">
        <f t="shared" si="1"/>
        <v/>
      </c>
      <c r="P21" s="62"/>
      <c r="Q21" s="61" t="str">
        <f t="shared" si="2"/>
        <v/>
      </c>
      <c r="R21" s="70"/>
      <c r="S21" s="61" t="str">
        <f t="shared" si="2"/>
        <v/>
      </c>
      <c r="T21" s="70"/>
    </row>
    <row r="22" spans="1:20" ht="12" customHeight="1" x14ac:dyDescent="0.25">
      <c r="A22" s="45" t="s">
        <v>61</v>
      </c>
      <c r="B22" s="45" t="s">
        <v>176</v>
      </c>
      <c r="C22" s="46" t="s">
        <v>196</v>
      </c>
      <c r="D22" s="45" t="s">
        <v>320</v>
      </c>
      <c r="E22" s="57"/>
      <c r="F22" s="54">
        <v>6320</v>
      </c>
      <c r="G22" s="54">
        <v>4</v>
      </c>
      <c r="H22" s="54" t="s">
        <v>1250</v>
      </c>
      <c r="I22" s="62" t="s">
        <v>274</v>
      </c>
      <c r="J22" s="54">
        <v>6</v>
      </c>
      <c r="K22" s="62" t="str">
        <f t="shared" si="4"/>
        <v>Alvaro Díez-Labín, Raúl del Barrio</v>
      </c>
      <c r="L22" s="325" t="s">
        <v>1249</v>
      </c>
      <c r="M22" s="62" t="str">
        <f t="shared" si="6"/>
        <v xml:space="preserve">, </v>
      </c>
      <c r="N22" s="62" t="s">
        <v>1168</v>
      </c>
      <c r="O22" s="62" t="str">
        <f t="shared" si="1"/>
        <v/>
      </c>
      <c r="P22" s="62"/>
      <c r="Q22" s="61" t="str">
        <f t="shared" si="2"/>
        <v/>
      </c>
      <c r="R22" s="70"/>
      <c r="S22" s="61" t="str">
        <f t="shared" si="2"/>
        <v/>
      </c>
      <c r="T22" s="70"/>
    </row>
    <row r="23" spans="1:20" ht="12" customHeight="1" x14ac:dyDescent="0.25">
      <c r="A23" s="45" t="s">
        <v>62</v>
      </c>
      <c r="B23" s="45" t="s">
        <v>177</v>
      </c>
      <c r="C23" s="46" t="s">
        <v>196</v>
      </c>
      <c r="D23" s="45" t="s">
        <v>321</v>
      </c>
      <c r="E23" s="57"/>
      <c r="F23" s="54">
        <v>6321</v>
      </c>
      <c r="G23" s="54">
        <v>4</v>
      </c>
      <c r="H23" s="54" t="s">
        <v>1361</v>
      </c>
      <c r="I23" s="62" t="s">
        <v>275</v>
      </c>
      <c r="J23" s="54">
        <v>6</v>
      </c>
      <c r="K23" s="62" t="str">
        <f t="shared" si="4"/>
        <v>Óscar Jesus González Alcántara</v>
      </c>
      <c r="L23" s="62" t="s">
        <v>852</v>
      </c>
      <c r="M23" s="62" t="str">
        <f t="shared" si="6"/>
        <v/>
      </c>
      <c r="N23" s="62"/>
      <c r="O23" s="62" t="str">
        <f t="shared" si="1"/>
        <v/>
      </c>
      <c r="P23" s="62"/>
      <c r="Q23" s="61" t="str">
        <f t="shared" si="2"/>
        <v/>
      </c>
      <c r="R23" s="70"/>
      <c r="S23" s="61" t="str">
        <f t="shared" si="2"/>
        <v/>
      </c>
      <c r="T23" s="70"/>
    </row>
    <row r="24" spans="1:20" ht="12" customHeight="1" x14ac:dyDescent="0.25">
      <c r="A24" s="45" t="s">
        <v>63</v>
      </c>
      <c r="B24" s="45" t="s">
        <v>168</v>
      </c>
      <c r="C24" s="46" t="s">
        <v>172</v>
      </c>
      <c r="D24" s="45" t="s">
        <v>322</v>
      </c>
      <c r="E24" s="57"/>
      <c r="F24" s="52">
        <v>6322</v>
      </c>
      <c r="G24" s="52">
        <v>5</v>
      </c>
      <c r="H24" s="52" t="s">
        <v>171</v>
      </c>
      <c r="I24" s="60" t="s">
        <v>278</v>
      </c>
      <c r="J24" s="52">
        <v>6</v>
      </c>
      <c r="K24" s="60" t="str">
        <f t="shared" si="4"/>
        <v>Miguel Angel Mariscal, Miriam Lorenzo , Juan Marcos de las Heras</v>
      </c>
      <c r="L24" s="254" t="s">
        <v>503</v>
      </c>
      <c r="M24" s="254" t="str">
        <f t="shared" si="6"/>
        <v xml:space="preserve">, </v>
      </c>
      <c r="N24" s="254" t="s">
        <v>863</v>
      </c>
      <c r="O24" s="60" t="str">
        <f t="shared" si="1"/>
        <v xml:space="preserve">, </v>
      </c>
      <c r="P24" s="60" t="s">
        <v>1128</v>
      </c>
      <c r="Q24" s="61" t="str">
        <f t="shared" si="2"/>
        <v/>
      </c>
      <c r="R24" s="61"/>
      <c r="S24" s="61" t="str">
        <f t="shared" si="2"/>
        <v/>
      </c>
      <c r="T24" s="61"/>
    </row>
    <row r="25" spans="1:20" ht="12" customHeight="1" x14ac:dyDescent="0.25">
      <c r="A25" s="45" t="s">
        <v>64</v>
      </c>
      <c r="B25" s="45" t="s">
        <v>178</v>
      </c>
      <c r="C25" s="46" t="s">
        <v>172</v>
      </c>
      <c r="D25" s="45" t="s">
        <v>323</v>
      </c>
      <c r="E25" s="57"/>
      <c r="F25" s="52">
        <v>6323</v>
      </c>
      <c r="G25" s="52">
        <v>5</v>
      </c>
      <c r="H25" s="52" t="s">
        <v>1013</v>
      </c>
      <c r="I25" s="60" t="s">
        <v>279</v>
      </c>
      <c r="J25" s="52">
        <v>6</v>
      </c>
      <c r="K25" s="60" t="str">
        <f t="shared" si="4"/>
        <v>Mónica Preciado, David Cárdenas, Jose Calaf</v>
      </c>
      <c r="L25" s="254" t="s">
        <v>502</v>
      </c>
      <c r="M25" s="254" t="str">
        <f t="shared" si="6"/>
        <v xml:space="preserve">, </v>
      </c>
      <c r="N25" s="254" t="s">
        <v>853</v>
      </c>
      <c r="O25" s="60" t="str">
        <f t="shared" si="1"/>
        <v xml:space="preserve">, </v>
      </c>
      <c r="P25" s="20" t="s">
        <v>854</v>
      </c>
      <c r="Q25" s="61" t="str">
        <f t="shared" si="2"/>
        <v/>
      </c>
      <c r="R25" s="61"/>
      <c r="S25" s="61" t="str">
        <f t="shared" si="2"/>
        <v/>
      </c>
      <c r="T25" s="61"/>
    </row>
    <row r="26" spans="1:20" ht="12" customHeight="1" x14ac:dyDescent="0.25">
      <c r="A26" s="45" t="s">
        <v>65</v>
      </c>
      <c r="B26" s="45" t="s">
        <v>179</v>
      </c>
      <c r="C26" s="46" t="s">
        <v>197</v>
      </c>
      <c r="D26" s="45" t="s">
        <v>324</v>
      </c>
      <c r="E26" s="57"/>
      <c r="F26" s="52">
        <v>6324</v>
      </c>
      <c r="G26" s="52">
        <v>5</v>
      </c>
      <c r="H26" s="52" t="s">
        <v>34</v>
      </c>
      <c r="I26" s="60" t="s">
        <v>280</v>
      </c>
      <c r="J26" s="52">
        <v>6</v>
      </c>
      <c r="K26" s="60" t="str">
        <f t="shared" si="4"/>
        <v>Jesús Manuel Alegre, Wilco Verbeeten, Andrés Díaz</v>
      </c>
      <c r="L26" s="254" t="s">
        <v>742</v>
      </c>
      <c r="M26" s="254" t="str">
        <f t="shared" si="6"/>
        <v xml:space="preserve">, </v>
      </c>
      <c r="N26" s="61" t="s">
        <v>770</v>
      </c>
      <c r="O26" s="60" t="str">
        <f t="shared" si="1"/>
        <v xml:space="preserve">, </v>
      </c>
      <c r="P26" s="60" t="s">
        <v>855</v>
      </c>
      <c r="Q26" s="61" t="str">
        <f t="shared" si="2"/>
        <v/>
      </c>
      <c r="R26" s="61"/>
      <c r="S26" s="61" t="str">
        <f t="shared" si="2"/>
        <v/>
      </c>
      <c r="T26" s="61"/>
    </row>
    <row r="27" spans="1:20" ht="12" customHeight="1" x14ac:dyDescent="0.25">
      <c r="A27" s="45" t="s">
        <v>66</v>
      </c>
      <c r="B27" s="45" t="s">
        <v>180</v>
      </c>
      <c r="C27" s="46" t="s">
        <v>197</v>
      </c>
      <c r="D27" s="45" t="s">
        <v>325</v>
      </c>
      <c r="E27" s="57"/>
      <c r="F27" s="52">
        <v>6325</v>
      </c>
      <c r="G27" s="52">
        <v>5</v>
      </c>
      <c r="H27" s="52" t="s">
        <v>35</v>
      </c>
      <c r="I27" s="60" t="s">
        <v>281</v>
      </c>
      <c r="J27" s="52">
        <v>6</v>
      </c>
      <c r="K27" s="60" t="str">
        <f t="shared" si="4"/>
        <v>Elías Martínez</v>
      </c>
      <c r="L27" s="60" t="s">
        <v>906</v>
      </c>
      <c r="M27" s="254" t="str">
        <f t="shared" si="6"/>
        <v/>
      </c>
      <c r="N27" s="255"/>
      <c r="O27" s="62" t="str">
        <f t="shared" si="1"/>
        <v/>
      </c>
      <c r="Q27" s="61" t="str">
        <f t="shared" si="2"/>
        <v/>
      </c>
      <c r="R27" s="61"/>
      <c r="S27" s="61" t="str">
        <f t="shared" si="2"/>
        <v/>
      </c>
      <c r="T27" s="61"/>
    </row>
    <row r="28" spans="1:20" ht="12" customHeight="1" x14ac:dyDescent="0.25">
      <c r="E28" s="22"/>
      <c r="F28" s="52">
        <v>6326</v>
      </c>
      <c r="G28" s="52">
        <v>5</v>
      </c>
      <c r="H28" s="52" t="s">
        <v>36</v>
      </c>
      <c r="I28" s="60" t="s">
        <v>282</v>
      </c>
      <c r="J28" s="52">
        <v>6</v>
      </c>
      <c r="K28" s="60" t="str">
        <f t="shared" si="4"/>
        <v>Eduardo Pérez Colina</v>
      </c>
      <c r="L28" s="254" t="s">
        <v>1179</v>
      </c>
      <c r="M28" s="254" t="str">
        <f t="shared" si="6"/>
        <v/>
      </c>
      <c r="N28" s="254"/>
      <c r="O28" s="60" t="str">
        <f t="shared" si="1"/>
        <v/>
      </c>
      <c r="P28" s="60"/>
      <c r="Q28" s="61" t="str">
        <f t="shared" si="2"/>
        <v/>
      </c>
      <c r="R28" s="61"/>
      <c r="S28" s="61" t="str">
        <f t="shared" si="2"/>
        <v/>
      </c>
      <c r="T28" s="61"/>
    </row>
    <row r="29" spans="1:20" ht="12" customHeight="1" x14ac:dyDescent="0.25">
      <c r="A29" s="45" t="s">
        <v>67</v>
      </c>
      <c r="B29" s="45" t="s">
        <v>174</v>
      </c>
      <c r="C29" s="46" t="s">
        <v>198</v>
      </c>
      <c r="D29" s="45" t="s">
        <v>326</v>
      </c>
      <c r="E29" s="57"/>
      <c r="F29" s="54">
        <v>6327</v>
      </c>
      <c r="G29" s="54">
        <v>6</v>
      </c>
      <c r="H29" s="54" t="s">
        <v>37</v>
      </c>
      <c r="I29" s="62" t="s">
        <v>801</v>
      </c>
      <c r="J29" s="54">
        <v>6</v>
      </c>
      <c r="K29" s="62" t="str">
        <f t="shared" si="4"/>
        <v>Ignacio Velázquez, David González</v>
      </c>
      <c r="L29" s="323" t="s">
        <v>812</v>
      </c>
      <c r="M29" s="62" t="s">
        <v>573</v>
      </c>
      <c r="N29" s="323" t="s">
        <v>757</v>
      </c>
      <c r="O29" s="62" t="str">
        <f t="shared" si="1"/>
        <v/>
      </c>
      <c r="P29" s="62"/>
      <c r="Q29" s="70" t="str">
        <f t="shared" si="2"/>
        <v/>
      </c>
      <c r="R29" s="70"/>
      <c r="S29" s="70" t="str">
        <f t="shared" si="2"/>
        <v/>
      </c>
      <c r="T29" s="70"/>
    </row>
    <row r="30" spans="1:20" ht="12" customHeight="1" x14ac:dyDescent="0.25">
      <c r="A30" s="45" t="s">
        <v>68</v>
      </c>
      <c r="B30" s="45" t="s">
        <v>175</v>
      </c>
      <c r="C30" s="46" t="s">
        <v>198</v>
      </c>
      <c r="D30" s="45" t="s">
        <v>327</v>
      </c>
      <c r="E30" s="57"/>
      <c r="F30" s="54">
        <v>6328</v>
      </c>
      <c r="G30" s="54">
        <v>6</v>
      </c>
      <c r="H30" s="54" t="s">
        <v>969</v>
      </c>
      <c r="I30" s="62" t="s">
        <v>283</v>
      </c>
      <c r="J30" s="54">
        <v>6</v>
      </c>
      <c r="K30" s="62" t="str">
        <f t="shared" si="4"/>
        <v>Cristina Alonso Tristán,  David González</v>
      </c>
      <c r="L30" s="62" t="s">
        <v>265</v>
      </c>
      <c r="M30" s="62" t="str">
        <f t="shared" ref="M30:M35" si="7">IF(N30&lt;&gt;"",", ","")</f>
        <v xml:space="preserve">, </v>
      </c>
      <c r="N30" s="323" t="s">
        <v>757</v>
      </c>
      <c r="O30" s="62" t="str">
        <f t="shared" si="1"/>
        <v/>
      </c>
      <c r="P30" s="62"/>
      <c r="Q30" s="70" t="str">
        <f t="shared" si="2"/>
        <v/>
      </c>
      <c r="R30" s="70"/>
      <c r="S30" s="70" t="str">
        <f t="shared" si="2"/>
        <v/>
      </c>
      <c r="T30" s="70"/>
    </row>
    <row r="31" spans="1:20" ht="12" customHeight="1" x14ac:dyDescent="0.25">
      <c r="A31" s="45" t="s">
        <v>69</v>
      </c>
      <c r="B31" s="45" t="s">
        <v>176</v>
      </c>
      <c r="C31" s="46" t="s">
        <v>199</v>
      </c>
      <c r="D31" s="45" t="s">
        <v>328</v>
      </c>
      <c r="E31" s="57"/>
      <c r="F31" s="54">
        <v>6329</v>
      </c>
      <c r="G31" s="54">
        <v>6</v>
      </c>
      <c r="H31" s="54" t="s">
        <v>48</v>
      </c>
      <c r="I31" s="62" t="s">
        <v>284</v>
      </c>
      <c r="J31" s="54">
        <v>6</v>
      </c>
      <c r="K31" s="62" t="str">
        <f t="shared" si="4"/>
        <v>Mª José García</v>
      </c>
      <c r="L31" s="323" t="s">
        <v>1065</v>
      </c>
      <c r="M31" s="62" t="str">
        <f t="shared" si="7"/>
        <v/>
      </c>
      <c r="N31" s="62"/>
      <c r="O31" s="62" t="str">
        <f t="shared" si="1"/>
        <v/>
      </c>
      <c r="P31" s="62"/>
      <c r="Q31" s="70" t="str">
        <f t="shared" si="2"/>
        <v/>
      </c>
      <c r="R31" s="70"/>
      <c r="S31" s="70" t="str">
        <f t="shared" si="2"/>
        <v/>
      </c>
      <c r="T31" s="70"/>
    </row>
    <row r="32" spans="1:20" ht="12" customHeight="1" x14ac:dyDescent="0.25">
      <c r="A32" s="45" t="s">
        <v>70</v>
      </c>
      <c r="B32" s="45" t="s">
        <v>177</v>
      </c>
      <c r="C32" s="46" t="s">
        <v>199</v>
      </c>
      <c r="D32" s="45" t="s">
        <v>329</v>
      </c>
      <c r="E32" s="57"/>
      <c r="F32" s="54">
        <v>6330</v>
      </c>
      <c r="G32" s="54">
        <v>6</v>
      </c>
      <c r="H32" s="54" t="s">
        <v>39</v>
      </c>
      <c r="I32" s="62" t="s">
        <v>285</v>
      </c>
      <c r="J32" s="54">
        <v>6</v>
      </c>
      <c r="K32" s="62" t="str">
        <f t="shared" si="4"/>
        <v>Jesus Moreno Revilla, Rosario Moradillo</v>
      </c>
      <c r="L32" s="62" t="s">
        <v>587</v>
      </c>
      <c r="M32" s="62" t="str">
        <f t="shared" si="7"/>
        <v xml:space="preserve">, </v>
      </c>
      <c r="N32" s="62" t="s">
        <v>856</v>
      </c>
      <c r="O32" s="62" t="str">
        <f t="shared" si="1"/>
        <v/>
      </c>
      <c r="P32" s="62"/>
      <c r="Q32" s="70" t="str">
        <f t="shared" si="2"/>
        <v/>
      </c>
      <c r="R32" s="70"/>
      <c r="S32" s="70" t="str">
        <f t="shared" si="2"/>
        <v/>
      </c>
      <c r="T32" s="70"/>
    </row>
    <row r="33" spans="1:20" ht="12" customHeight="1" x14ac:dyDescent="0.25">
      <c r="A33" s="45" t="s">
        <v>71</v>
      </c>
      <c r="B33" s="45" t="s">
        <v>168</v>
      </c>
      <c r="C33" s="46" t="s">
        <v>200</v>
      </c>
      <c r="D33" s="45" t="s">
        <v>330</v>
      </c>
      <c r="E33" s="57"/>
      <c r="F33" s="54">
        <v>6331</v>
      </c>
      <c r="G33" s="54">
        <v>6</v>
      </c>
      <c r="H33" s="54" t="s">
        <v>40</v>
      </c>
      <c r="I33" s="62" t="s">
        <v>286</v>
      </c>
      <c r="J33" s="54">
        <v>6</v>
      </c>
      <c r="K33" s="62" t="str">
        <f t="shared" si="4"/>
        <v>Mirian Lorenzo</v>
      </c>
      <c r="L33" s="62" t="s">
        <v>1066</v>
      </c>
      <c r="M33" s="62" t="str">
        <f t="shared" si="7"/>
        <v/>
      </c>
      <c r="N33" s="62"/>
      <c r="O33" s="62" t="str">
        <f t="shared" si="1"/>
        <v/>
      </c>
      <c r="P33" s="62"/>
      <c r="Q33" s="70" t="str">
        <f t="shared" si="2"/>
        <v/>
      </c>
      <c r="R33" s="70"/>
      <c r="S33" s="70" t="str">
        <f t="shared" si="2"/>
        <v/>
      </c>
      <c r="T33" s="70"/>
    </row>
    <row r="34" spans="1:20" ht="12" customHeight="1" x14ac:dyDescent="0.25">
      <c r="A34" s="45" t="s">
        <v>72</v>
      </c>
      <c r="B34" s="45" t="s">
        <v>178</v>
      </c>
      <c r="C34" s="46" t="s">
        <v>200</v>
      </c>
      <c r="D34" s="45" t="s">
        <v>331</v>
      </c>
      <c r="E34" s="57"/>
      <c r="F34" s="52">
        <v>6332</v>
      </c>
      <c r="G34" s="52">
        <v>7</v>
      </c>
      <c r="H34" s="52" t="s">
        <v>41</v>
      </c>
      <c r="I34" s="60" t="s">
        <v>288</v>
      </c>
      <c r="J34" s="52">
        <v>6</v>
      </c>
      <c r="K34" s="60" t="str">
        <f t="shared" si="4"/>
        <v>Luis Alfredo Suárez Vivar</v>
      </c>
      <c r="L34" s="310" t="s">
        <v>519</v>
      </c>
      <c r="M34" s="62" t="str">
        <f t="shared" si="7"/>
        <v/>
      </c>
      <c r="N34" s="310"/>
      <c r="O34" s="60" t="str">
        <f t="shared" si="1"/>
        <v/>
      </c>
      <c r="P34" s="60"/>
      <c r="Q34" s="61" t="str">
        <f t="shared" si="2"/>
        <v/>
      </c>
      <c r="R34" s="61"/>
      <c r="S34" s="61" t="str">
        <f t="shared" si="2"/>
        <v/>
      </c>
      <c r="T34" s="61"/>
    </row>
    <row r="35" spans="1:20" ht="12" customHeight="1" x14ac:dyDescent="0.25">
      <c r="A35" s="45" t="s">
        <v>73</v>
      </c>
      <c r="B35" s="45" t="s">
        <v>179</v>
      </c>
      <c r="C35" s="46" t="s">
        <v>201</v>
      </c>
      <c r="D35" s="45" t="s">
        <v>332</v>
      </c>
      <c r="E35" s="57"/>
      <c r="F35" s="52">
        <v>6333</v>
      </c>
      <c r="G35" s="52">
        <v>7</v>
      </c>
      <c r="H35" s="52" t="s">
        <v>47</v>
      </c>
      <c r="I35" s="60" t="s">
        <v>289</v>
      </c>
      <c r="J35" s="52">
        <v>6</v>
      </c>
      <c r="K35" s="60" t="str">
        <f t="shared" si="4"/>
        <v>Alberto Martínez Martínez</v>
      </c>
      <c r="L35" s="254" t="s">
        <v>277</v>
      </c>
      <c r="M35" s="254" t="str">
        <f t="shared" si="7"/>
        <v/>
      </c>
      <c r="N35" s="254"/>
      <c r="O35" s="60" t="str">
        <f t="shared" ref="O35:O56" si="8">IF(P35&lt;&gt;"",", ","")</f>
        <v/>
      </c>
      <c r="P35" s="60"/>
      <c r="Q35" s="61" t="str">
        <f t="shared" ref="Q35:S67" si="9">IF(R35&lt;&gt;"",", ","")</f>
        <v/>
      </c>
      <c r="R35" s="61"/>
      <c r="S35" s="61" t="str">
        <f t="shared" si="9"/>
        <v/>
      </c>
      <c r="T35" s="61"/>
    </row>
    <row r="36" spans="1:20" ht="12" customHeight="1" x14ac:dyDescent="0.25">
      <c r="A36" s="45" t="s">
        <v>74</v>
      </c>
      <c r="B36" s="45" t="s">
        <v>180</v>
      </c>
      <c r="C36" s="46" t="s">
        <v>201</v>
      </c>
      <c r="D36" s="45" t="s">
        <v>333</v>
      </c>
      <c r="E36" s="57"/>
      <c r="F36" s="52">
        <v>6334</v>
      </c>
      <c r="G36" s="52">
        <v>7</v>
      </c>
      <c r="H36" s="52" t="s">
        <v>42</v>
      </c>
      <c r="I36" s="60" t="s">
        <v>290</v>
      </c>
      <c r="J36" s="52">
        <v>6</v>
      </c>
      <c r="K36" s="60" t="str">
        <f t="shared" si="4"/>
        <v>José Antonio Martinez,Jesús Mínguez, Álvaro Mena</v>
      </c>
      <c r="L36" s="255" t="s">
        <v>1070</v>
      </c>
      <c r="M36" s="254" t="s">
        <v>573</v>
      </c>
      <c r="N36" s="254" t="s">
        <v>816</v>
      </c>
      <c r="O36" s="60" t="str">
        <f t="shared" si="8"/>
        <v xml:space="preserve">, </v>
      </c>
      <c r="P36" s="60" t="s">
        <v>857</v>
      </c>
      <c r="Q36" s="61" t="str">
        <f t="shared" si="9"/>
        <v/>
      </c>
      <c r="R36" s="61"/>
      <c r="S36" s="61" t="str">
        <f t="shared" si="9"/>
        <v/>
      </c>
      <c r="T36" s="61"/>
    </row>
    <row r="37" spans="1:20" ht="12" customHeight="1" x14ac:dyDescent="0.25">
      <c r="E37" s="22"/>
      <c r="F37" s="52">
        <v>6335</v>
      </c>
      <c r="G37" s="52">
        <v>7</v>
      </c>
      <c r="H37" s="52" t="s">
        <v>43</v>
      </c>
      <c r="I37" s="60" t="s">
        <v>291</v>
      </c>
      <c r="J37" s="52">
        <v>6</v>
      </c>
      <c r="K37" s="60" t="str">
        <f t="shared" si="4"/>
        <v>Fernando Aguilar Romero</v>
      </c>
      <c r="L37" s="254" t="s">
        <v>287</v>
      </c>
      <c r="M37" s="254" t="str">
        <f>IF(N37&lt;&gt;"",", ","")</f>
        <v/>
      </c>
      <c r="N37" s="254"/>
      <c r="O37" s="60" t="str">
        <f t="shared" si="8"/>
        <v/>
      </c>
      <c r="P37" s="60"/>
      <c r="Q37" s="61" t="str">
        <f t="shared" si="9"/>
        <v/>
      </c>
      <c r="R37" s="61"/>
      <c r="S37" s="61" t="str">
        <f t="shared" si="9"/>
        <v/>
      </c>
      <c r="T37" s="61"/>
    </row>
    <row r="38" spans="1:20" ht="12" customHeight="1" x14ac:dyDescent="0.25">
      <c r="A38" s="45" t="s">
        <v>121</v>
      </c>
      <c r="B38" s="45" t="s">
        <v>174</v>
      </c>
      <c r="C38" s="46" t="s">
        <v>202</v>
      </c>
      <c r="D38" s="47" t="s">
        <v>334</v>
      </c>
      <c r="E38" s="49"/>
      <c r="F38" s="52">
        <v>6336</v>
      </c>
      <c r="G38" s="52">
        <v>7</v>
      </c>
      <c r="H38" s="52" t="s">
        <v>959</v>
      </c>
      <c r="I38" s="60" t="s">
        <v>249</v>
      </c>
      <c r="J38" s="52">
        <v>6</v>
      </c>
      <c r="K38" s="62" t="str">
        <f t="shared" si="4"/>
        <v xml:space="preserve">Raúl Zamora </v>
      </c>
      <c r="L38" s="323" t="s">
        <v>827</v>
      </c>
      <c r="M38" s="62" t="str">
        <f>IF(N38&lt;&gt;"",", ","")</f>
        <v/>
      </c>
      <c r="O38" s="60" t="str">
        <f t="shared" si="8"/>
        <v/>
      </c>
      <c r="P38" s="60"/>
      <c r="Q38" s="61" t="str">
        <f t="shared" si="9"/>
        <v/>
      </c>
      <c r="R38" s="61"/>
      <c r="S38" s="61" t="str">
        <f t="shared" si="9"/>
        <v/>
      </c>
      <c r="T38" s="61"/>
    </row>
    <row r="39" spans="1:20" ht="12" customHeight="1" x14ac:dyDescent="0.25">
      <c r="A39" s="45" t="s">
        <v>122</v>
      </c>
      <c r="B39" s="45" t="s">
        <v>175</v>
      </c>
      <c r="C39" s="46" t="s">
        <v>202</v>
      </c>
      <c r="D39" s="47" t="s">
        <v>335</v>
      </c>
      <c r="E39" s="49"/>
      <c r="F39" s="54">
        <v>8507</v>
      </c>
      <c r="G39" s="54">
        <v>8</v>
      </c>
      <c r="H39" s="54" t="s">
        <v>1362</v>
      </c>
      <c r="I39" s="62" t="s">
        <v>1165</v>
      </c>
      <c r="J39" s="54" t="s">
        <v>522</v>
      </c>
      <c r="K39" s="62" t="s">
        <v>1268</v>
      </c>
      <c r="L39" s="250"/>
      <c r="M39" s="62" t="str">
        <f>IF(N39&lt;&gt;"",", ","")</f>
        <v/>
      </c>
      <c r="N39" s="250"/>
      <c r="O39" s="62" t="str">
        <f t="shared" si="8"/>
        <v/>
      </c>
      <c r="P39" s="62"/>
      <c r="Q39" s="70" t="str">
        <f t="shared" si="9"/>
        <v/>
      </c>
      <c r="R39" s="70"/>
      <c r="S39" s="70" t="str">
        <f t="shared" si="9"/>
        <v/>
      </c>
      <c r="T39" s="70"/>
    </row>
    <row r="40" spans="1:20" ht="12" customHeight="1" x14ac:dyDescent="0.25">
      <c r="A40" s="45" t="s">
        <v>123</v>
      </c>
      <c r="B40" s="45" t="s">
        <v>176</v>
      </c>
      <c r="C40" s="46" t="s">
        <v>203</v>
      </c>
      <c r="D40" s="47" t="s">
        <v>336</v>
      </c>
      <c r="E40" s="49"/>
      <c r="F40" s="54">
        <v>6338</v>
      </c>
      <c r="G40" s="54">
        <v>8</v>
      </c>
      <c r="H40" s="54" t="s">
        <v>1266</v>
      </c>
      <c r="I40" s="62" t="s">
        <v>292</v>
      </c>
      <c r="J40" s="54" t="s">
        <v>522</v>
      </c>
      <c r="K40" s="62" t="s">
        <v>1268</v>
      </c>
      <c r="L40" s="62"/>
      <c r="M40" s="62" t="str">
        <f t="shared" ref="M40:M49" si="10">IF(N40&lt;&gt;"",", ","")</f>
        <v/>
      </c>
      <c r="N40" s="62"/>
      <c r="O40" s="62" t="str">
        <f t="shared" si="8"/>
        <v/>
      </c>
      <c r="P40" s="62"/>
      <c r="Q40" s="70" t="str">
        <f t="shared" si="9"/>
        <v/>
      </c>
      <c r="R40" s="70"/>
      <c r="S40" s="70" t="str">
        <f t="shared" si="9"/>
        <v/>
      </c>
      <c r="T40" s="70"/>
    </row>
    <row r="41" spans="1:20" ht="12" customHeight="1" x14ac:dyDescent="0.25">
      <c r="A41" s="45"/>
      <c r="B41" s="45"/>
      <c r="C41" s="46"/>
      <c r="D41" s="47"/>
      <c r="E41" s="49"/>
      <c r="F41" s="54">
        <v>6339</v>
      </c>
      <c r="G41" s="54">
        <v>8</v>
      </c>
      <c r="H41" s="54" t="s">
        <v>1267</v>
      </c>
      <c r="I41" s="62" t="s">
        <v>293</v>
      </c>
      <c r="J41" s="54" t="s">
        <v>522</v>
      </c>
      <c r="K41" s="62" t="s">
        <v>1268</v>
      </c>
      <c r="L41" s="62"/>
      <c r="M41" s="62" t="str">
        <f t="shared" si="10"/>
        <v/>
      </c>
      <c r="N41" s="62"/>
      <c r="O41" s="62" t="str">
        <f t="shared" si="8"/>
        <v/>
      </c>
      <c r="P41" s="62"/>
      <c r="Q41" s="70" t="str">
        <f t="shared" si="9"/>
        <v/>
      </c>
      <c r="R41" s="70"/>
      <c r="S41" s="70" t="str">
        <f t="shared" si="9"/>
        <v/>
      </c>
      <c r="T41" s="70"/>
    </row>
    <row r="42" spans="1:20" ht="12" customHeight="1" x14ac:dyDescent="0.25">
      <c r="E42" s="22"/>
      <c r="F42" s="54">
        <v>6340</v>
      </c>
      <c r="G42" s="54">
        <v>8</v>
      </c>
      <c r="H42" s="54" t="s">
        <v>248</v>
      </c>
      <c r="I42" s="62" t="s">
        <v>294</v>
      </c>
      <c r="J42" s="54" t="s">
        <v>522</v>
      </c>
      <c r="K42" s="62" t="str">
        <f t="shared" ref="K42:K73" si="11">CONCATENATE(L42,M42,N42,O42,P42,Q42,R42)</f>
        <v>Manuel Iván González, Luis Antonio Marcos</v>
      </c>
      <c r="L42" s="323" t="s">
        <v>510</v>
      </c>
      <c r="M42" s="62" t="str">
        <f t="shared" si="10"/>
        <v xml:space="preserve">, </v>
      </c>
      <c r="N42" s="62" t="s">
        <v>858</v>
      </c>
      <c r="O42" s="62" t="str">
        <f t="shared" si="8"/>
        <v/>
      </c>
      <c r="P42" s="62"/>
      <c r="Q42" s="70" t="str">
        <f t="shared" si="9"/>
        <v/>
      </c>
      <c r="R42" s="70"/>
      <c r="S42" s="70" t="str">
        <f t="shared" si="9"/>
        <v/>
      </c>
      <c r="T42" s="70"/>
    </row>
    <row r="43" spans="1:20" ht="12" customHeight="1" x14ac:dyDescent="0.25">
      <c r="A43" s="45" t="s">
        <v>130</v>
      </c>
      <c r="B43" s="45" t="s">
        <v>174</v>
      </c>
      <c r="C43" s="46" t="s">
        <v>204</v>
      </c>
      <c r="D43" s="47" t="s">
        <v>337</v>
      </c>
      <c r="E43" s="49"/>
      <c r="F43" s="54">
        <v>6341</v>
      </c>
      <c r="G43" s="54">
        <v>8</v>
      </c>
      <c r="H43" s="54" t="s">
        <v>952</v>
      </c>
      <c r="I43" s="62" t="s">
        <v>295</v>
      </c>
      <c r="J43" s="54" t="s">
        <v>522</v>
      </c>
      <c r="K43" s="62" t="str">
        <f t="shared" si="11"/>
        <v>Ana Isabel Gómez</v>
      </c>
      <c r="L43" s="62" t="s">
        <v>758</v>
      </c>
      <c r="M43" s="62" t="str">
        <f t="shared" si="10"/>
        <v/>
      </c>
      <c r="N43" s="62"/>
      <c r="O43" s="62" t="str">
        <f t="shared" si="8"/>
        <v/>
      </c>
      <c r="P43" s="62"/>
      <c r="Q43" s="70" t="str">
        <f t="shared" si="9"/>
        <v/>
      </c>
      <c r="R43" s="70"/>
      <c r="S43" s="70" t="str">
        <f t="shared" si="9"/>
        <v/>
      </c>
      <c r="T43" s="70"/>
    </row>
    <row r="44" spans="1:20" ht="12" customHeight="1" x14ac:dyDescent="0.25">
      <c r="A44" s="45" t="s">
        <v>131</v>
      </c>
      <c r="B44" s="45" t="s">
        <v>175</v>
      </c>
      <c r="C44" s="46" t="s">
        <v>204</v>
      </c>
      <c r="D44" s="47" t="s">
        <v>338</v>
      </c>
      <c r="E44" s="49"/>
      <c r="K44" s="55" t="str">
        <f t="shared" si="11"/>
        <v/>
      </c>
      <c r="L44" s="314"/>
      <c r="M44" s="254" t="str">
        <f t="shared" si="10"/>
        <v/>
      </c>
      <c r="N44" s="314"/>
      <c r="O44" s="60" t="str">
        <f t="shared" si="8"/>
        <v/>
      </c>
      <c r="Q44" s="61" t="str">
        <f t="shared" si="9"/>
        <v/>
      </c>
      <c r="S44" s="61" t="str">
        <f t="shared" si="9"/>
        <v/>
      </c>
    </row>
    <row r="45" spans="1:20" ht="12" customHeight="1" x14ac:dyDescent="0.25">
      <c r="A45" s="45" t="s">
        <v>132</v>
      </c>
      <c r="B45" s="45" t="s">
        <v>176</v>
      </c>
      <c r="C45" s="46" t="s">
        <v>205</v>
      </c>
      <c r="D45" s="47" t="s">
        <v>339</v>
      </c>
      <c r="E45" s="49"/>
      <c r="F45" s="50" t="s">
        <v>257</v>
      </c>
      <c r="K45" s="55" t="str">
        <f t="shared" si="11"/>
        <v/>
      </c>
      <c r="L45" s="314"/>
      <c r="M45" s="254" t="str">
        <f t="shared" si="10"/>
        <v/>
      </c>
      <c r="N45" s="314"/>
      <c r="O45" s="60" t="str">
        <f t="shared" si="8"/>
        <v/>
      </c>
      <c r="Q45" s="61" t="str">
        <f t="shared" si="9"/>
        <v/>
      </c>
      <c r="S45" s="61" t="str">
        <f t="shared" si="9"/>
        <v/>
      </c>
    </row>
    <row r="46" spans="1:20" ht="12" customHeight="1" x14ac:dyDescent="0.25">
      <c r="A46" s="45"/>
      <c r="B46" s="45"/>
      <c r="C46" s="46"/>
      <c r="D46" s="47"/>
      <c r="E46" s="49"/>
      <c r="F46" s="52">
        <v>6392</v>
      </c>
      <c r="G46" s="52">
        <v>1</v>
      </c>
      <c r="H46" s="52" t="s">
        <v>928</v>
      </c>
      <c r="I46" s="60" t="s">
        <v>924</v>
      </c>
      <c r="J46" s="52">
        <v>6</v>
      </c>
      <c r="K46" s="60" t="str">
        <f t="shared" si="11"/>
        <v>Roberto Casado</v>
      </c>
      <c r="L46" s="310" t="s">
        <v>1148</v>
      </c>
      <c r="M46" s="254" t="str">
        <f t="shared" si="10"/>
        <v/>
      </c>
      <c r="N46" s="310"/>
      <c r="O46" s="60" t="str">
        <f t="shared" si="8"/>
        <v/>
      </c>
      <c r="P46" s="60"/>
      <c r="Q46" s="61" t="str">
        <f t="shared" si="9"/>
        <v/>
      </c>
      <c r="R46" s="61"/>
      <c r="S46" s="61" t="str">
        <f t="shared" si="9"/>
        <v/>
      </c>
      <c r="T46" s="61"/>
    </row>
    <row r="47" spans="1:20" ht="12" customHeight="1" x14ac:dyDescent="0.25">
      <c r="E47" s="22"/>
      <c r="F47" s="52">
        <v>6393</v>
      </c>
      <c r="G47" s="52">
        <v>1</v>
      </c>
      <c r="H47" s="52" t="s">
        <v>934</v>
      </c>
      <c r="I47" s="60" t="s">
        <v>244</v>
      </c>
      <c r="J47" s="52">
        <v>6</v>
      </c>
      <c r="K47" s="60" t="str">
        <f t="shared" si="11"/>
        <v>Roberto Casado</v>
      </c>
      <c r="L47" s="313" t="s">
        <v>1148</v>
      </c>
      <c r="M47" s="254" t="str">
        <f t="shared" si="10"/>
        <v/>
      </c>
      <c r="N47" s="310"/>
      <c r="O47" s="60" t="str">
        <f t="shared" si="8"/>
        <v/>
      </c>
      <c r="P47" s="60"/>
      <c r="Q47" s="61" t="str">
        <f t="shared" si="9"/>
        <v/>
      </c>
      <c r="R47" s="61"/>
      <c r="S47" s="61" t="str">
        <f t="shared" si="9"/>
        <v/>
      </c>
      <c r="T47" s="61"/>
    </row>
    <row r="48" spans="1:20" ht="12" customHeight="1" x14ac:dyDescent="0.25">
      <c r="A48" s="45" t="s">
        <v>75</v>
      </c>
      <c r="B48" s="45" t="s">
        <v>174</v>
      </c>
      <c r="C48" s="46" t="s">
        <v>206</v>
      </c>
      <c r="D48" s="47" t="s">
        <v>340</v>
      </c>
      <c r="E48" s="49"/>
      <c r="F48" s="52">
        <v>6394</v>
      </c>
      <c r="G48" s="52">
        <v>1</v>
      </c>
      <c r="H48" s="52" t="s">
        <v>942</v>
      </c>
      <c r="I48" s="60" t="s">
        <v>348</v>
      </c>
      <c r="J48" s="52">
        <v>6</v>
      </c>
      <c r="K48" s="60" t="str">
        <f t="shared" si="11"/>
        <v>Alfonso Blasco Sanz</v>
      </c>
      <c r="L48" s="255" t="s">
        <v>574</v>
      </c>
      <c r="M48" s="254" t="str">
        <f t="shared" si="10"/>
        <v/>
      </c>
      <c r="N48" s="254"/>
      <c r="O48" s="60" t="str">
        <f t="shared" si="8"/>
        <v/>
      </c>
      <c r="P48" s="60"/>
      <c r="Q48" s="61" t="str">
        <f t="shared" si="9"/>
        <v/>
      </c>
      <c r="R48" s="61"/>
      <c r="S48" s="61" t="str">
        <f t="shared" si="9"/>
        <v/>
      </c>
      <c r="T48" s="61"/>
    </row>
    <row r="49" spans="1:20" ht="12" customHeight="1" x14ac:dyDescent="0.25">
      <c r="A49" s="45" t="s">
        <v>76</v>
      </c>
      <c r="B49" s="45" t="s">
        <v>175</v>
      </c>
      <c r="C49" s="46" t="s">
        <v>206</v>
      </c>
      <c r="D49" s="47" t="s">
        <v>341</v>
      </c>
      <c r="E49" s="49"/>
      <c r="F49" s="52">
        <v>6395</v>
      </c>
      <c r="G49" s="52">
        <v>1</v>
      </c>
      <c r="H49" s="52" t="s">
        <v>940</v>
      </c>
      <c r="I49" s="60" t="s">
        <v>349</v>
      </c>
      <c r="J49" s="52">
        <v>6</v>
      </c>
      <c r="K49" s="60" t="str">
        <f t="shared" si="11"/>
        <v>Esteban García Maté, Esther Baños García</v>
      </c>
      <c r="L49" s="254" t="s">
        <v>501</v>
      </c>
      <c r="M49" s="254" t="str">
        <f t="shared" si="10"/>
        <v xml:space="preserve">, </v>
      </c>
      <c r="N49" s="254" t="s">
        <v>514</v>
      </c>
      <c r="O49" s="60" t="str">
        <f t="shared" si="8"/>
        <v/>
      </c>
      <c r="P49" s="60"/>
      <c r="Q49" s="61" t="str">
        <f t="shared" si="9"/>
        <v/>
      </c>
      <c r="R49" s="61"/>
      <c r="S49" s="61" t="str">
        <f t="shared" si="9"/>
        <v/>
      </c>
      <c r="T49" s="61"/>
    </row>
    <row r="50" spans="1:20" ht="12" customHeight="1" x14ac:dyDescent="0.25">
      <c r="E50" s="22"/>
      <c r="F50" s="52">
        <v>6396</v>
      </c>
      <c r="G50" s="52">
        <v>1</v>
      </c>
      <c r="H50" s="52" t="s">
        <v>949</v>
      </c>
      <c r="I50" s="60" t="s">
        <v>241</v>
      </c>
      <c r="J50" s="52">
        <v>6</v>
      </c>
      <c r="K50" s="60" t="str">
        <f t="shared" si="11"/>
        <v>Beatriz Gil Arroyo, Sergio Martín Marquina</v>
      </c>
      <c r="L50" s="254" t="s">
        <v>860</v>
      </c>
      <c r="M50" s="254" t="s">
        <v>651</v>
      </c>
      <c r="N50" s="254" t="s">
        <v>859</v>
      </c>
      <c r="O50" s="60" t="str">
        <f t="shared" si="8"/>
        <v/>
      </c>
      <c r="P50" s="60"/>
      <c r="Q50" s="61" t="str">
        <f t="shared" si="9"/>
        <v/>
      </c>
      <c r="R50" s="61"/>
      <c r="S50" s="61" t="str">
        <f t="shared" si="9"/>
        <v/>
      </c>
      <c r="T50" s="61"/>
    </row>
    <row r="51" spans="1:20" ht="12" customHeight="1" x14ac:dyDescent="0.25">
      <c r="A51" s="45" t="s">
        <v>77</v>
      </c>
      <c r="B51" s="45" t="s">
        <v>174</v>
      </c>
      <c r="C51" s="46" t="s">
        <v>344</v>
      </c>
      <c r="D51" s="47" t="s">
        <v>342</v>
      </c>
      <c r="E51" s="49"/>
      <c r="F51" s="52"/>
      <c r="G51" s="53"/>
      <c r="H51" s="53"/>
      <c r="I51" s="61"/>
      <c r="J51" s="53"/>
      <c r="K51" s="60" t="str">
        <f t="shared" si="11"/>
        <v/>
      </c>
      <c r="L51" s="254"/>
      <c r="M51" s="254" t="str">
        <f t="shared" ref="M51:M56" si="12">IF(N51&lt;&gt;"",", ","")</f>
        <v/>
      </c>
      <c r="N51" s="254"/>
      <c r="O51" s="60" t="str">
        <f t="shared" si="8"/>
        <v/>
      </c>
      <c r="P51" s="60"/>
      <c r="Q51" s="61" t="str">
        <f t="shared" si="9"/>
        <v/>
      </c>
      <c r="R51" s="61"/>
      <c r="S51" s="61" t="str">
        <f t="shared" si="9"/>
        <v/>
      </c>
      <c r="T51" s="61"/>
    </row>
    <row r="52" spans="1:20" ht="12" customHeight="1" x14ac:dyDescent="0.25">
      <c r="A52" s="45" t="s">
        <v>78</v>
      </c>
      <c r="B52" s="45" t="s">
        <v>175</v>
      </c>
      <c r="C52" s="46" t="s">
        <v>344</v>
      </c>
      <c r="D52" s="47" t="s">
        <v>343</v>
      </c>
      <c r="E52" s="49"/>
      <c r="F52" s="54">
        <v>6397</v>
      </c>
      <c r="G52" s="54">
        <v>2</v>
      </c>
      <c r="H52" s="54" t="s">
        <v>27</v>
      </c>
      <c r="I52" s="62" t="s">
        <v>346</v>
      </c>
      <c r="J52" s="54">
        <v>6</v>
      </c>
      <c r="K52" s="62" t="str">
        <f t="shared" si="11"/>
        <v xml:space="preserve">Mónica Preciado Calzada </v>
      </c>
      <c r="L52" s="62" t="s">
        <v>511</v>
      </c>
      <c r="M52" s="62" t="str">
        <f t="shared" si="12"/>
        <v/>
      </c>
      <c r="N52" s="62"/>
      <c r="O52" s="62" t="str">
        <f t="shared" si="8"/>
        <v/>
      </c>
      <c r="P52" s="62"/>
      <c r="Q52" s="70" t="str">
        <f t="shared" si="9"/>
        <v/>
      </c>
      <c r="R52" s="70"/>
      <c r="S52" s="70" t="str">
        <f t="shared" si="9"/>
        <v/>
      </c>
      <c r="T52" s="70"/>
    </row>
    <row r="53" spans="1:20" ht="12" customHeight="1" x14ac:dyDescent="0.25">
      <c r="E53" s="22"/>
      <c r="F53" s="54">
        <v>6398</v>
      </c>
      <c r="G53" s="54">
        <v>2</v>
      </c>
      <c r="H53" s="54" t="s">
        <v>929</v>
      </c>
      <c r="I53" s="62" t="s">
        <v>345</v>
      </c>
      <c r="J53" s="54">
        <v>6</v>
      </c>
      <c r="K53" s="62" t="str">
        <f>CONCATENATE(L53,M53,N53,O53,P53,Q53,R53)</f>
        <v>Antonio Manzano, Leticia Sainz</v>
      </c>
      <c r="L53" s="325" t="s">
        <v>769</v>
      </c>
      <c r="M53" s="62" t="str">
        <f>IF(N53&lt;&gt;"",", ","")</f>
        <v xml:space="preserve">, </v>
      </c>
      <c r="N53" s="62" t="s">
        <v>1174</v>
      </c>
      <c r="O53" s="62" t="str">
        <f t="shared" si="8"/>
        <v/>
      </c>
      <c r="P53" s="62"/>
      <c r="Q53" s="70" t="str">
        <f t="shared" si="9"/>
        <v/>
      </c>
      <c r="R53" s="70"/>
      <c r="S53" s="70" t="str">
        <f t="shared" si="9"/>
        <v/>
      </c>
      <c r="T53" s="70"/>
    </row>
    <row r="54" spans="1:20" ht="12" customHeight="1" x14ac:dyDescent="0.25">
      <c r="A54" s="45" t="s">
        <v>529</v>
      </c>
      <c r="B54" s="45" t="s">
        <v>174</v>
      </c>
      <c r="C54" s="46" t="s">
        <v>531</v>
      </c>
      <c r="D54" s="45" t="s">
        <v>532</v>
      </c>
      <c r="E54" s="49"/>
      <c r="F54" s="54">
        <v>6399</v>
      </c>
      <c r="G54" s="54">
        <v>2</v>
      </c>
      <c r="H54" s="54" t="s">
        <v>943</v>
      </c>
      <c r="I54" s="62" t="s">
        <v>350</v>
      </c>
      <c r="J54" s="54">
        <v>6</v>
      </c>
      <c r="K54" s="62" t="str">
        <f t="shared" si="11"/>
        <v>Maria Felicidad Bogalo Roman</v>
      </c>
      <c r="L54" s="323" t="s">
        <v>372</v>
      </c>
      <c r="M54" s="62" t="str">
        <f t="shared" si="12"/>
        <v/>
      </c>
      <c r="N54" s="62"/>
      <c r="O54" s="62" t="str">
        <f t="shared" si="8"/>
        <v/>
      </c>
      <c r="P54" s="62"/>
      <c r="Q54" s="70" t="str">
        <f t="shared" si="9"/>
        <v/>
      </c>
      <c r="R54" s="70"/>
      <c r="S54" s="70" t="str">
        <f t="shared" si="9"/>
        <v/>
      </c>
      <c r="T54" s="70"/>
    </row>
    <row r="55" spans="1:20" ht="12" customHeight="1" x14ac:dyDescent="0.25">
      <c r="A55" s="45" t="s">
        <v>530</v>
      </c>
      <c r="B55" s="45" t="s">
        <v>175</v>
      </c>
      <c r="C55" s="46" t="s">
        <v>531</v>
      </c>
      <c r="D55" s="45" t="s">
        <v>533</v>
      </c>
      <c r="E55" s="49"/>
      <c r="F55" s="54">
        <v>6400</v>
      </c>
      <c r="G55" s="54">
        <v>2</v>
      </c>
      <c r="H55" s="54" t="s">
        <v>961</v>
      </c>
      <c r="I55" s="62" t="s">
        <v>246</v>
      </c>
      <c r="J55" s="54">
        <v>6</v>
      </c>
      <c r="K55" s="62" t="str">
        <f t="shared" si="11"/>
        <v>Rafael Alcalde García, Santiago Aparicio</v>
      </c>
      <c r="L55" s="250" t="s">
        <v>657</v>
      </c>
      <c r="M55" s="62" t="str">
        <f t="shared" si="12"/>
        <v xml:space="preserve">, </v>
      </c>
      <c r="N55" s="250" t="s">
        <v>861</v>
      </c>
      <c r="O55" s="62" t="str">
        <f t="shared" si="8"/>
        <v/>
      </c>
      <c r="P55" s="62"/>
      <c r="Q55" s="70" t="str">
        <f t="shared" si="9"/>
        <v/>
      </c>
      <c r="R55" s="70"/>
      <c r="S55" s="70" t="str">
        <f t="shared" si="9"/>
        <v/>
      </c>
      <c r="T55" s="70"/>
    </row>
    <row r="56" spans="1:20" ht="12" customHeight="1" x14ac:dyDescent="0.25">
      <c r="E56" s="22"/>
      <c r="F56" s="54">
        <v>6401</v>
      </c>
      <c r="G56" s="54">
        <v>2</v>
      </c>
      <c r="H56" s="54" t="s">
        <v>937</v>
      </c>
      <c r="I56" s="62" t="s">
        <v>351</v>
      </c>
      <c r="J56" s="54">
        <v>6</v>
      </c>
      <c r="K56" s="62" t="str">
        <f t="shared" si="11"/>
        <v>María Teresa Peña Pérez</v>
      </c>
      <c r="L56" s="62" t="s">
        <v>862</v>
      </c>
      <c r="M56" s="62" t="str">
        <f t="shared" si="12"/>
        <v/>
      </c>
      <c r="N56" s="62"/>
      <c r="O56" s="62" t="str">
        <f t="shared" si="8"/>
        <v/>
      </c>
      <c r="P56" s="62"/>
      <c r="Q56" s="70" t="str">
        <f>IF(R56&lt;&gt;"",", ","")</f>
        <v/>
      </c>
      <c r="R56" s="70"/>
      <c r="S56" s="70" t="str">
        <f>IF(T56&lt;&gt;"",", ","")</f>
        <v/>
      </c>
      <c r="T56" s="70"/>
    </row>
    <row r="57" spans="1:20" ht="12" customHeight="1" x14ac:dyDescent="0.25">
      <c r="E57" s="22"/>
      <c r="F57" s="54" t="s">
        <v>594</v>
      </c>
      <c r="G57" s="54">
        <v>2</v>
      </c>
      <c r="H57" s="54" t="s">
        <v>592</v>
      </c>
      <c r="I57" s="62" t="s">
        <v>593</v>
      </c>
      <c r="J57" s="54">
        <v>6</v>
      </c>
      <c r="K57" s="62" t="str">
        <f t="shared" si="11"/>
        <v>Santiago Aparicio Martínez</v>
      </c>
      <c r="L57" s="327" t="s">
        <v>658</v>
      </c>
      <c r="M57" s="62"/>
      <c r="N57" s="62"/>
      <c r="O57" s="62"/>
      <c r="P57" s="62"/>
      <c r="Q57" s="70"/>
      <c r="R57" s="70"/>
      <c r="S57" s="70"/>
      <c r="T57" s="70"/>
    </row>
    <row r="58" spans="1:20" ht="12" customHeight="1" x14ac:dyDescent="0.25">
      <c r="A58" s="4" t="s">
        <v>488</v>
      </c>
      <c r="B58" s="4" t="s">
        <v>489</v>
      </c>
      <c r="E58" s="22"/>
      <c r="F58" s="52">
        <v>6402</v>
      </c>
      <c r="G58" s="52">
        <v>3</v>
      </c>
      <c r="H58" s="52" t="s">
        <v>971</v>
      </c>
      <c r="I58" s="60" t="s">
        <v>352</v>
      </c>
      <c r="J58" s="52">
        <v>6</v>
      </c>
      <c r="K58" s="60" t="str">
        <f t="shared" si="11"/>
        <v>Natalia Muñoz Rujas</v>
      </c>
      <c r="L58" s="60" t="s">
        <v>668</v>
      </c>
      <c r="M58" s="60" t="str">
        <f t="shared" ref="M58:M67" si="13">IF(N58&lt;&gt;"",", ","")</f>
        <v/>
      </c>
      <c r="N58" s="60"/>
      <c r="O58" s="60" t="str">
        <f t="shared" ref="O58:O67" si="14">IF(P58&lt;&gt;"",", ","")</f>
        <v/>
      </c>
      <c r="P58" s="60"/>
      <c r="Q58" s="61" t="str">
        <f t="shared" si="9"/>
        <v/>
      </c>
      <c r="R58" s="61"/>
      <c r="S58" s="61" t="str">
        <f t="shared" si="9"/>
        <v/>
      </c>
      <c r="T58" s="61"/>
    </row>
    <row r="59" spans="1:20" ht="12" customHeight="1" x14ac:dyDescent="0.25">
      <c r="E59" s="22"/>
      <c r="F59" s="52">
        <v>6403</v>
      </c>
      <c r="G59" s="52">
        <v>3</v>
      </c>
      <c r="H59" s="52" t="s">
        <v>1250</v>
      </c>
      <c r="I59" s="60" t="s">
        <v>274</v>
      </c>
      <c r="J59" s="52">
        <v>6</v>
      </c>
      <c r="K59" s="60" t="str">
        <f t="shared" si="11"/>
        <v/>
      </c>
      <c r="L59" s="60"/>
      <c r="M59" s="60" t="str">
        <f t="shared" si="13"/>
        <v/>
      </c>
      <c r="N59" s="60"/>
      <c r="O59" s="60" t="str">
        <f t="shared" si="14"/>
        <v/>
      </c>
      <c r="P59" s="60"/>
      <c r="Q59" s="61" t="str">
        <f t="shared" si="9"/>
        <v/>
      </c>
      <c r="R59" s="61"/>
      <c r="S59" s="61" t="str">
        <f t="shared" si="9"/>
        <v/>
      </c>
      <c r="T59" s="61"/>
    </row>
    <row r="60" spans="1:20" ht="12" customHeight="1" x14ac:dyDescent="0.25">
      <c r="A60" s="45" t="s">
        <v>714</v>
      </c>
      <c r="B60" s="45" t="s">
        <v>174</v>
      </c>
      <c r="C60" s="46" t="s">
        <v>687</v>
      </c>
      <c r="D60" s="45" t="s">
        <v>727</v>
      </c>
      <c r="E60" s="22"/>
      <c r="F60" s="52">
        <v>6404</v>
      </c>
      <c r="G60" s="52">
        <v>3</v>
      </c>
      <c r="H60" s="52" t="s">
        <v>950</v>
      </c>
      <c r="I60" s="60" t="s">
        <v>270</v>
      </c>
      <c r="J60" s="52">
        <v>6</v>
      </c>
      <c r="K60" s="60" t="str">
        <f t="shared" si="11"/>
        <v>Javier González</v>
      </c>
      <c r="L60" s="261" t="s">
        <v>745</v>
      </c>
      <c r="M60" s="60" t="str">
        <f t="shared" si="13"/>
        <v/>
      </c>
      <c r="N60" s="60"/>
      <c r="O60" s="60" t="str">
        <f t="shared" si="14"/>
        <v/>
      </c>
      <c r="P60" s="60"/>
      <c r="Q60" s="61" t="str">
        <f t="shared" si="9"/>
        <v/>
      </c>
      <c r="R60" s="61"/>
      <c r="S60" s="61" t="str">
        <f t="shared" si="9"/>
        <v/>
      </c>
      <c r="T60" s="61"/>
    </row>
    <row r="61" spans="1:20" ht="12" customHeight="1" x14ac:dyDescent="0.25">
      <c r="A61" s="45" t="s">
        <v>716</v>
      </c>
      <c r="B61" s="45" t="s">
        <v>175</v>
      </c>
      <c r="C61" s="46" t="s">
        <v>722</v>
      </c>
      <c r="D61" s="45" t="s">
        <v>728</v>
      </c>
      <c r="E61" s="22"/>
      <c r="F61" s="52">
        <v>6405</v>
      </c>
      <c r="G61" s="52">
        <v>3</v>
      </c>
      <c r="H61" s="52" t="s">
        <v>484</v>
      </c>
      <c r="I61" s="60" t="s">
        <v>275</v>
      </c>
      <c r="J61" s="52">
        <v>6</v>
      </c>
      <c r="K61" s="60" t="str">
        <f t="shared" si="11"/>
        <v>Miguel Angel Manzanedo, Carlos Alonso, Ricardo del Olmo</v>
      </c>
      <c r="L61" s="60" t="s">
        <v>655</v>
      </c>
      <c r="M61" s="60" t="str">
        <f t="shared" si="13"/>
        <v xml:space="preserve">, </v>
      </c>
      <c r="N61" s="60" t="s">
        <v>743</v>
      </c>
      <c r="O61" s="60" t="str">
        <f t="shared" si="14"/>
        <v xml:space="preserve">, </v>
      </c>
      <c r="P61" s="60" t="s">
        <v>746</v>
      </c>
      <c r="Q61" s="61" t="str">
        <f t="shared" si="9"/>
        <v/>
      </c>
      <c r="R61" s="61"/>
      <c r="S61" s="61" t="str">
        <f t="shared" si="9"/>
        <v/>
      </c>
      <c r="T61" s="61"/>
    </row>
    <row r="62" spans="1:20" ht="12" customHeight="1" x14ac:dyDescent="0.25">
      <c r="A62" s="45" t="s">
        <v>715</v>
      </c>
      <c r="B62" s="45" t="s">
        <v>176</v>
      </c>
      <c r="C62" s="46" t="s">
        <v>723</v>
      </c>
      <c r="D62" s="45" t="s">
        <v>729</v>
      </c>
      <c r="E62" s="22"/>
      <c r="F62" s="52">
        <v>6406</v>
      </c>
      <c r="G62" s="52">
        <v>3</v>
      </c>
      <c r="H62" s="52" t="s">
        <v>256</v>
      </c>
      <c r="I62" s="60" t="s">
        <v>347</v>
      </c>
      <c r="J62" s="52">
        <v>6</v>
      </c>
      <c r="K62" s="60" t="str">
        <f t="shared" si="11"/>
        <v xml:space="preserve">Manuel Solaguren-Beascoa </v>
      </c>
      <c r="L62" s="60" t="s">
        <v>826</v>
      </c>
      <c r="M62" s="60" t="str">
        <f t="shared" si="13"/>
        <v/>
      </c>
      <c r="N62" s="60"/>
      <c r="O62" s="60" t="str">
        <f t="shared" si="14"/>
        <v/>
      </c>
      <c r="P62" s="60"/>
      <c r="Q62" s="61" t="str">
        <f t="shared" si="9"/>
        <v/>
      </c>
      <c r="R62" s="61"/>
      <c r="S62" s="61" t="str">
        <f t="shared" si="9"/>
        <v/>
      </c>
      <c r="T62" s="61"/>
    </row>
    <row r="63" spans="1:20" ht="12" customHeight="1" x14ac:dyDescent="0.25">
      <c r="A63" s="45" t="s">
        <v>717</v>
      </c>
      <c r="B63" s="45" t="s">
        <v>177</v>
      </c>
      <c r="C63" s="46" t="s">
        <v>700</v>
      </c>
      <c r="D63" s="45" t="s">
        <v>730</v>
      </c>
      <c r="E63" s="22"/>
      <c r="F63" s="54">
        <v>6407</v>
      </c>
      <c r="G63" s="54">
        <v>4</v>
      </c>
      <c r="H63" s="54" t="s">
        <v>1069</v>
      </c>
      <c r="I63" s="62" t="s">
        <v>267</v>
      </c>
      <c r="J63" s="54">
        <v>6</v>
      </c>
      <c r="K63" s="62" t="str">
        <f t="shared" si="11"/>
        <v>Jesús Marcos García</v>
      </c>
      <c r="L63" s="62" t="s">
        <v>747</v>
      </c>
      <c r="M63" s="62" t="str">
        <f t="shared" si="13"/>
        <v/>
      </c>
      <c r="N63" s="62"/>
      <c r="O63" s="62" t="str">
        <f t="shared" si="14"/>
        <v/>
      </c>
      <c r="P63" s="62"/>
      <c r="Q63" s="70" t="str">
        <f t="shared" si="9"/>
        <v/>
      </c>
      <c r="R63" s="70"/>
      <c r="S63" s="70" t="str">
        <f t="shared" si="9"/>
        <v/>
      </c>
      <c r="T63" s="70"/>
    </row>
    <row r="64" spans="1:20" ht="12" customHeight="1" x14ac:dyDescent="0.25">
      <c r="A64" s="45" t="s">
        <v>718</v>
      </c>
      <c r="B64" s="45" t="s">
        <v>168</v>
      </c>
      <c r="C64" s="46" t="s">
        <v>724</v>
      </c>
      <c r="D64" s="45" t="s">
        <v>731</v>
      </c>
      <c r="E64" s="22"/>
      <c r="F64" s="54">
        <v>6408</v>
      </c>
      <c r="G64" s="54">
        <v>4</v>
      </c>
      <c r="H64" s="54" t="s">
        <v>792</v>
      </c>
      <c r="I64" s="62" t="s">
        <v>272</v>
      </c>
      <c r="J64" s="54">
        <v>6</v>
      </c>
      <c r="K64" s="62" t="str">
        <f t="shared" si="11"/>
        <v>Jesús H. Lucio, Guzmán Moreno</v>
      </c>
      <c r="L64" s="62" t="s">
        <v>1064</v>
      </c>
      <c r="M64" s="62" t="str">
        <f t="shared" si="13"/>
        <v xml:space="preserve">, </v>
      </c>
      <c r="N64" s="62" t="s">
        <v>774</v>
      </c>
      <c r="O64" s="62" t="str">
        <f t="shared" si="14"/>
        <v/>
      </c>
      <c r="P64" s="62"/>
      <c r="Q64" s="70" t="str">
        <f t="shared" si="9"/>
        <v/>
      </c>
      <c r="R64" s="70"/>
      <c r="S64" s="70" t="str">
        <f t="shared" si="9"/>
        <v/>
      </c>
      <c r="T64" s="70"/>
    </row>
    <row r="65" spans="1:20" ht="12" customHeight="1" x14ac:dyDescent="0.25">
      <c r="A65" s="45" t="s">
        <v>719</v>
      </c>
      <c r="B65" s="45" t="s">
        <v>178</v>
      </c>
      <c r="C65" s="46" t="s">
        <v>724</v>
      </c>
      <c r="D65" s="45" t="s">
        <v>732</v>
      </c>
      <c r="E65" s="22"/>
      <c r="F65" s="54">
        <v>6409</v>
      </c>
      <c r="G65" s="54">
        <v>4</v>
      </c>
      <c r="H65" s="54" t="s">
        <v>31</v>
      </c>
      <c r="I65" s="62" t="s">
        <v>273</v>
      </c>
      <c r="J65" s="54">
        <v>6</v>
      </c>
      <c r="K65" s="62" t="str">
        <f t="shared" si="11"/>
        <v>Francisco Javier Gómez Gil</v>
      </c>
      <c r="L65" s="62" t="s">
        <v>247</v>
      </c>
      <c r="M65" s="62" t="str">
        <f t="shared" si="13"/>
        <v/>
      </c>
      <c r="N65" s="62"/>
      <c r="O65" s="62" t="str">
        <f t="shared" si="14"/>
        <v/>
      </c>
      <c r="P65" s="62"/>
      <c r="Q65" s="70" t="str">
        <f t="shared" si="9"/>
        <v/>
      </c>
      <c r="R65" s="70"/>
      <c r="S65" s="70" t="str">
        <f t="shared" si="9"/>
        <v/>
      </c>
      <c r="T65" s="70"/>
    </row>
    <row r="66" spans="1:20" ht="12" customHeight="1" x14ac:dyDescent="0.25">
      <c r="A66" s="45" t="s">
        <v>720</v>
      </c>
      <c r="B66" s="45" t="s">
        <v>179</v>
      </c>
      <c r="C66" s="46" t="s">
        <v>725</v>
      </c>
      <c r="D66" s="45" t="s">
        <v>733</v>
      </c>
      <c r="E66" s="22"/>
      <c r="F66" s="54">
        <v>6410</v>
      </c>
      <c r="G66" s="54">
        <v>4</v>
      </c>
      <c r="H66" s="54" t="s">
        <v>29</v>
      </c>
      <c r="I66" s="62" t="s">
        <v>268</v>
      </c>
      <c r="J66" s="54">
        <v>6</v>
      </c>
      <c r="K66" s="62" t="str">
        <f t="shared" si="11"/>
        <v>José María Vela Castresana</v>
      </c>
      <c r="L66" s="62" t="s">
        <v>261</v>
      </c>
      <c r="M66" s="62" t="str">
        <f t="shared" si="13"/>
        <v/>
      </c>
      <c r="N66" s="62"/>
      <c r="O66" s="62" t="str">
        <f t="shared" si="14"/>
        <v/>
      </c>
      <c r="P66" s="62"/>
      <c r="Q66" s="70" t="str">
        <f t="shared" si="9"/>
        <v/>
      </c>
      <c r="R66" s="70"/>
      <c r="S66" s="70" t="str">
        <f t="shared" si="9"/>
        <v/>
      </c>
      <c r="T66" s="70"/>
    </row>
    <row r="67" spans="1:20" ht="12" customHeight="1" x14ac:dyDescent="0.25">
      <c r="A67" s="45" t="s">
        <v>721</v>
      </c>
      <c r="B67" s="45" t="s">
        <v>180</v>
      </c>
      <c r="C67" s="46" t="s">
        <v>726</v>
      </c>
      <c r="D67" s="45" t="s">
        <v>734</v>
      </c>
      <c r="E67" s="22"/>
      <c r="F67" s="54">
        <v>6411</v>
      </c>
      <c r="G67" s="54">
        <v>4</v>
      </c>
      <c r="H67" s="54" t="s">
        <v>81</v>
      </c>
      <c r="I67" s="62" t="s">
        <v>353</v>
      </c>
      <c r="J67" s="54">
        <v>6</v>
      </c>
      <c r="K67" s="62" t="str">
        <f t="shared" si="11"/>
        <v>Victoria Abad, Jesús Sagredo</v>
      </c>
      <c r="L67" s="250" t="s">
        <v>588</v>
      </c>
      <c r="M67" s="62" t="str">
        <f t="shared" si="13"/>
        <v xml:space="preserve">, </v>
      </c>
      <c r="N67" s="250" t="s">
        <v>625</v>
      </c>
      <c r="O67" s="62" t="str">
        <f t="shared" si="14"/>
        <v/>
      </c>
      <c r="P67" s="62"/>
      <c r="Q67" s="70" t="str">
        <f t="shared" si="9"/>
        <v/>
      </c>
      <c r="R67" s="70"/>
      <c r="S67" s="70" t="str">
        <f t="shared" si="9"/>
        <v/>
      </c>
      <c r="T67" s="70"/>
    </row>
    <row r="68" spans="1:20" ht="12" customHeight="1" x14ac:dyDescent="0.25">
      <c r="E68" s="22"/>
      <c r="F68" s="52">
        <v>6412</v>
      </c>
      <c r="G68" s="52">
        <v>5</v>
      </c>
      <c r="H68" s="52" t="s">
        <v>92</v>
      </c>
      <c r="I68" s="60" t="s">
        <v>354</v>
      </c>
      <c r="J68" s="52">
        <v>6</v>
      </c>
      <c r="K68" s="62" t="str">
        <f t="shared" si="11"/>
        <v xml:space="preserve">Jesús H. Lucio, </v>
      </c>
      <c r="L68" s="60" t="s">
        <v>1064</v>
      </c>
      <c r="M68" s="60" t="str">
        <f>IF(L68&lt;&gt;"",", ","")</f>
        <v xml:space="preserve">, </v>
      </c>
      <c r="N68" s="60"/>
      <c r="O68" s="60" t="str">
        <f>IF(N68&lt;&gt;"",", ","")</f>
        <v/>
      </c>
      <c r="Q68" s="61" t="str">
        <f t="shared" ref="Q68:S100" si="15">IF(R68&lt;&gt;"",", ","")</f>
        <v/>
      </c>
      <c r="R68" s="61"/>
      <c r="S68" s="61" t="str">
        <f t="shared" si="15"/>
        <v/>
      </c>
      <c r="T68" s="61"/>
    </row>
    <row r="69" spans="1:20" ht="12" customHeight="1" x14ac:dyDescent="0.25">
      <c r="A69" s="45" t="s">
        <v>705</v>
      </c>
      <c r="B69" s="45" t="s">
        <v>174</v>
      </c>
      <c r="C69" s="46" t="s">
        <v>1000</v>
      </c>
      <c r="D69" s="45" t="s">
        <v>705</v>
      </c>
      <c r="E69" s="22"/>
      <c r="F69" s="52">
        <v>6413</v>
      </c>
      <c r="G69" s="52">
        <v>5</v>
      </c>
      <c r="H69" s="52" t="s">
        <v>91</v>
      </c>
      <c r="I69" s="60" t="s">
        <v>355</v>
      </c>
      <c r="J69" s="52">
        <v>6</v>
      </c>
      <c r="K69" s="60" t="str">
        <f t="shared" si="11"/>
        <v>Miguel Angel Lozano Pérez</v>
      </c>
      <c r="L69" s="60" t="s">
        <v>260</v>
      </c>
      <c r="M69" s="60" t="str">
        <f>IF(N69&lt;&gt;"",", ","")</f>
        <v/>
      </c>
      <c r="N69" s="60"/>
      <c r="O69" s="60" t="str">
        <f t="shared" ref="O69:O95" si="16">IF(P69&lt;&gt;"",", ","")</f>
        <v/>
      </c>
      <c r="P69" s="60"/>
      <c r="Q69" s="61" t="str">
        <f t="shared" si="15"/>
        <v/>
      </c>
      <c r="R69" s="61"/>
      <c r="S69" s="61" t="str">
        <f t="shared" si="15"/>
        <v/>
      </c>
      <c r="T69" s="61"/>
    </row>
    <row r="70" spans="1:20" ht="12" customHeight="1" x14ac:dyDescent="0.25">
      <c r="A70" s="45" t="s">
        <v>706</v>
      </c>
      <c r="B70" s="45" t="s">
        <v>175</v>
      </c>
      <c r="C70" s="46" t="s">
        <v>1000</v>
      </c>
      <c r="D70" s="45" t="s">
        <v>706</v>
      </c>
      <c r="E70" s="22"/>
      <c r="F70" s="52">
        <v>6414</v>
      </c>
      <c r="G70" s="52">
        <v>5</v>
      </c>
      <c r="H70" s="52" t="s">
        <v>82</v>
      </c>
      <c r="I70" s="60" t="s">
        <v>356</v>
      </c>
      <c r="J70" s="52">
        <v>6</v>
      </c>
      <c r="K70" s="60" t="str">
        <f t="shared" si="11"/>
        <v>Gabriel  Rubio Pérez</v>
      </c>
      <c r="L70" s="60" t="s">
        <v>1240</v>
      </c>
      <c r="M70" s="60" t="str">
        <f>IF(N70&lt;&gt;"",", ","")</f>
        <v/>
      </c>
      <c r="N70" s="60"/>
      <c r="O70" s="60" t="str">
        <f t="shared" si="16"/>
        <v/>
      </c>
      <c r="P70" s="60"/>
      <c r="Q70" s="61" t="str">
        <f t="shared" si="15"/>
        <v/>
      </c>
      <c r="R70" s="61"/>
      <c r="S70" s="61" t="str">
        <f t="shared" si="15"/>
        <v/>
      </c>
      <c r="T70" s="61"/>
    </row>
    <row r="71" spans="1:20" ht="12" customHeight="1" x14ac:dyDescent="0.25">
      <c r="A71" s="45" t="s">
        <v>707</v>
      </c>
      <c r="B71" s="45" t="s">
        <v>176</v>
      </c>
      <c r="C71" s="46" t="s">
        <v>1004</v>
      </c>
      <c r="D71" s="45" t="s">
        <v>707</v>
      </c>
      <c r="E71" s="22"/>
      <c r="F71" s="52">
        <v>6415</v>
      </c>
      <c r="G71" s="52">
        <v>5</v>
      </c>
      <c r="H71" s="52" t="s">
        <v>966</v>
      </c>
      <c r="I71" s="60" t="s">
        <v>357</v>
      </c>
      <c r="J71" s="52">
        <v>6</v>
      </c>
      <c r="K71" s="60" t="str">
        <f t="shared" si="11"/>
        <v>Miguel Ángel Cantera, Guzmán Moreno</v>
      </c>
      <c r="L71" s="60" t="s">
        <v>1154</v>
      </c>
      <c r="M71" s="60" t="str">
        <f>IF(N71&lt;&gt;"",", ","")</f>
        <v xml:space="preserve">, </v>
      </c>
      <c r="N71" s="60" t="s">
        <v>774</v>
      </c>
      <c r="O71" s="60" t="str">
        <f t="shared" si="16"/>
        <v/>
      </c>
      <c r="P71" s="60"/>
      <c r="Q71" s="61" t="str">
        <f t="shared" si="15"/>
        <v/>
      </c>
      <c r="R71" s="61"/>
      <c r="S71" s="61" t="str">
        <f t="shared" si="15"/>
        <v/>
      </c>
      <c r="T71" s="61"/>
    </row>
    <row r="72" spans="1:20" ht="12" customHeight="1" x14ac:dyDescent="0.25">
      <c r="A72" s="45" t="s">
        <v>710</v>
      </c>
      <c r="B72" s="45" t="s">
        <v>177</v>
      </c>
      <c r="C72" s="46" t="s">
        <v>1004</v>
      </c>
      <c r="D72" s="45" t="s">
        <v>710</v>
      </c>
      <c r="E72" s="49"/>
      <c r="F72" s="52">
        <v>6416</v>
      </c>
      <c r="G72" s="52">
        <v>5</v>
      </c>
      <c r="H72" s="52" t="s">
        <v>956</v>
      </c>
      <c r="I72" s="60" t="s">
        <v>358</v>
      </c>
      <c r="J72" s="52">
        <v>6</v>
      </c>
      <c r="K72" s="60" t="str">
        <f t="shared" si="11"/>
        <v>Vanesa Fernández Cavero</v>
      </c>
      <c r="L72" s="60" t="s">
        <v>1181</v>
      </c>
      <c r="M72" s="60" t="str">
        <f>IF(N72&lt;&gt;"",", ","")</f>
        <v/>
      </c>
      <c r="N72" s="60"/>
      <c r="O72" s="60" t="str">
        <f t="shared" si="16"/>
        <v/>
      </c>
      <c r="P72" s="60"/>
      <c r="Q72" s="61" t="str">
        <f t="shared" si="15"/>
        <v/>
      </c>
      <c r="R72" s="61"/>
      <c r="S72" s="61" t="str">
        <f t="shared" si="15"/>
        <v/>
      </c>
      <c r="T72" s="61"/>
    </row>
    <row r="73" spans="1:20" ht="12" customHeight="1" x14ac:dyDescent="0.25">
      <c r="A73" s="45" t="s">
        <v>709</v>
      </c>
      <c r="B73" s="45" t="s">
        <v>168</v>
      </c>
      <c r="C73" s="46" t="s">
        <v>1003</v>
      </c>
      <c r="D73" s="45" t="s">
        <v>709</v>
      </c>
      <c r="E73" s="49"/>
      <c r="F73" s="54">
        <v>6417</v>
      </c>
      <c r="G73" s="54">
        <v>6</v>
      </c>
      <c r="H73" s="54" t="s">
        <v>93</v>
      </c>
      <c r="I73" s="62" t="s">
        <v>362</v>
      </c>
      <c r="J73" s="54">
        <v>6</v>
      </c>
      <c r="K73" s="62" t="str">
        <f t="shared" si="11"/>
        <v>Guirguis Zaki, Guzmán Moreno</v>
      </c>
      <c r="L73" s="62" t="s">
        <v>1153</v>
      </c>
      <c r="M73" s="62" t="str">
        <f>IF(N73&lt;&gt;"",", ","")</f>
        <v xml:space="preserve">, </v>
      </c>
      <c r="N73" s="62" t="s">
        <v>774</v>
      </c>
      <c r="O73" s="62" t="str">
        <f t="shared" si="16"/>
        <v/>
      </c>
      <c r="P73" s="62"/>
      <c r="Q73" s="70" t="str">
        <f t="shared" si="15"/>
        <v/>
      </c>
      <c r="R73" s="70"/>
      <c r="S73" s="70" t="str">
        <f t="shared" si="15"/>
        <v/>
      </c>
      <c r="T73" s="70"/>
    </row>
    <row r="74" spans="1:20" ht="12" customHeight="1" x14ac:dyDescent="0.25">
      <c r="A74" s="45" t="s">
        <v>708</v>
      </c>
      <c r="B74" s="45" t="s">
        <v>178</v>
      </c>
      <c r="C74" s="46" t="s">
        <v>1003</v>
      </c>
      <c r="D74" s="45" t="s">
        <v>708</v>
      </c>
      <c r="E74" s="49"/>
      <c r="F74" s="54">
        <v>6418</v>
      </c>
      <c r="G74" s="54">
        <v>6</v>
      </c>
      <c r="H74" s="54" t="s">
        <v>83</v>
      </c>
      <c r="I74" s="62" t="s">
        <v>363</v>
      </c>
      <c r="J74" s="54">
        <v>6</v>
      </c>
      <c r="K74" s="62" t="str">
        <f t="shared" ref="K74:K95" si="17">CONCATENATE(L74,M74,N74,O74,P74,Q74,R74)</f>
        <v>Miguel Ángel Cantera Cuartango,</v>
      </c>
      <c r="L74" s="62" t="s">
        <v>1241</v>
      </c>
      <c r="M74" s="62" t="s">
        <v>573</v>
      </c>
      <c r="N74" s="62"/>
      <c r="O74" s="62" t="str">
        <f t="shared" si="16"/>
        <v/>
      </c>
      <c r="P74" s="62"/>
      <c r="Q74" s="70" t="str">
        <f t="shared" si="15"/>
        <v/>
      </c>
      <c r="R74" s="70"/>
      <c r="S74" s="70" t="str">
        <f t="shared" si="15"/>
        <v/>
      </c>
      <c r="T74" s="70"/>
    </row>
    <row r="75" spans="1:20" ht="12" customHeight="1" x14ac:dyDescent="0.25">
      <c r="A75" s="45" t="s">
        <v>794</v>
      </c>
      <c r="B75" s="45" t="s">
        <v>179</v>
      </c>
      <c r="C75" s="46" t="s">
        <v>1002</v>
      </c>
      <c r="D75" s="45" t="s">
        <v>794</v>
      </c>
      <c r="E75" s="49"/>
      <c r="F75" s="54">
        <v>6419</v>
      </c>
      <c r="G75" s="54">
        <v>6</v>
      </c>
      <c r="H75" s="54" t="s">
        <v>84</v>
      </c>
      <c r="I75" s="62" t="s">
        <v>364</v>
      </c>
      <c r="J75" s="54">
        <v>6</v>
      </c>
      <c r="K75" s="62" t="str">
        <f t="shared" si="17"/>
        <v>Ignacio Moreno Velasco</v>
      </c>
      <c r="L75" s="62" t="s">
        <v>373</v>
      </c>
      <c r="M75" s="62" t="str">
        <f t="shared" ref="M75:M93" si="18">IF(N75&lt;&gt;"",", ","")</f>
        <v/>
      </c>
      <c r="N75" s="62"/>
      <c r="O75" s="62" t="str">
        <f t="shared" si="16"/>
        <v/>
      </c>
      <c r="P75" s="62"/>
      <c r="Q75" s="70" t="str">
        <f t="shared" si="15"/>
        <v/>
      </c>
      <c r="R75" s="70"/>
      <c r="S75" s="70" t="str">
        <f t="shared" si="15"/>
        <v/>
      </c>
      <c r="T75" s="70"/>
    </row>
    <row r="76" spans="1:20" ht="12" customHeight="1" x14ac:dyDescent="0.25">
      <c r="A76" s="45" t="s">
        <v>793</v>
      </c>
      <c r="B76" s="45" t="s">
        <v>180</v>
      </c>
      <c r="C76" s="46" t="s">
        <v>1002</v>
      </c>
      <c r="D76" s="45" t="s">
        <v>793</v>
      </c>
      <c r="E76" s="49"/>
      <c r="F76" s="54">
        <v>6420</v>
      </c>
      <c r="G76" s="54">
        <v>6</v>
      </c>
      <c r="H76" s="54" t="s">
        <v>85</v>
      </c>
      <c r="I76" s="62" t="s">
        <v>365</v>
      </c>
      <c r="J76" s="54">
        <v>6</v>
      </c>
      <c r="K76" s="62" t="str">
        <f t="shared" si="17"/>
        <v>Rubén Ruiz</v>
      </c>
      <c r="L76" s="62" t="s">
        <v>1126</v>
      </c>
      <c r="M76" s="62" t="str">
        <f t="shared" si="18"/>
        <v/>
      </c>
      <c r="N76" s="62"/>
      <c r="O76" s="62" t="str">
        <f t="shared" si="16"/>
        <v/>
      </c>
      <c r="P76" s="62"/>
      <c r="Q76" s="70" t="str">
        <f t="shared" si="15"/>
        <v/>
      </c>
      <c r="R76" s="70"/>
      <c r="S76" s="70" t="str">
        <f t="shared" si="15"/>
        <v/>
      </c>
      <c r="T76" s="70"/>
    </row>
    <row r="77" spans="1:20" ht="12" customHeight="1" x14ac:dyDescent="0.25">
      <c r="A77" s="45" t="s">
        <v>996</v>
      </c>
      <c r="B77" s="45" t="s">
        <v>998</v>
      </c>
      <c r="C77" s="46" t="s">
        <v>1001</v>
      </c>
      <c r="D77" s="45" t="s">
        <v>996</v>
      </c>
      <c r="E77" s="49"/>
      <c r="F77" s="54">
        <v>6421</v>
      </c>
      <c r="G77" s="54">
        <v>6</v>
      </c>
      <c r="H77" s="54" t="s">
        <v>264</v>
      </c>
      <c r="I77" s="62" t="s">
        <v>278</v>
      </c>
      <c r="J77" s="54">
        <v>6</v>
      </c>
      <c r="K77" s="62" t="str">
        <f t="shared" si="17"/>
        <v xml:space="preserve">Juan Marcos de las Heras, Miriam Lorenzo </v>
      </c>
      <c r="L77" s="62" t="s">
        <v>1128</v>
      </c>
      <c r="M77" s="62" t="str">
        <f t="shared" si="18"/>
        <v xml:space="preserve">, </v>
      </c>
      <c r="N77" s="62" t="s">
        <v>863</v>
      </c>
      <c r="O77" s="62" t="str">
        <f t="shared" si="16"/>
        <v/>
      </c>
      <c r="P77" s="62"/>
      <c r="Q77" s="70" t="str">
        <f t="shared" si="15"/>
        <v/>
      </c>
      <c r="R77" s="70"/>
      <c r="S77" s="70" t="str">
        <f t="shared" si="15"/>
        <v/>
      </c>
      <c r="T77" s="70"/>
    </row>
    <row r="78" spans="1:20" ht="12" customHeight="1" x14ac:dyDescent="0.25">
      <c r="A78" s="45" t="s">
        <v>997</v>
      </c>
      <c r="B78" s="45" t="s">
        <v>999</v>
      </c>
      <c r="C78" s="46" t="s">
        <v>1001</v>
      </c>
      <c r="D78" s="45" t="s">
        <v>997</v>
      </c>
      <c r="E78" s="22"/>
      <c r="F78" s="52">
        <v>6422</v>
      </c>
      <c r="G78" s="52">
        <v>7</v>
      </c>
      <c r="H78" s="52" t="s">
        <v>521</v>
      </c>
      <c r="I78" s="60" t="s">
        <v>366</v>
      </c>
      <c r="J78" s="52">
        <v>6</v>
      </c>
      <c r="K78" s="60" t="str">
        <f t="shared" si="17"/>
        <v>José Luis Jabato</v>
      </c>
      <c r="L78" s="60" t="s">
        <v>1158</v>
      </c>
      <c r="M78" s="60" t="str">
        <f t="shared" si="18"/>
        <v/>
      </c>
      <c r="N78" s="60"/>
      <c r="O78" s="60" t="str">
        <f t="shared" si="16"/>
        <v/>
      </c>
      <c r="P78" s="60"/>
      <c r="Q78" s="61" t="str">
        <f t="shared" si="15"/>
        <v/>
      </c>
      <c r="R78" s="61"/>
      <c r="S78" s="61" t="str">
        <f t="shared" si="15"/>
        <v/>
      </c>
      <c r="T78" s="61"/>
    </row>
    <row r="79" spans="1:20" ht="12" customHeight="1" x14ac:dyDescent="0.25">
      <c r="E79" s="22"/>
      <c r="F79" s="52">
        <v>6423</v>
      </c>
      <c r="G79" s="52">
        <v>7</v>
      </c>
      <c r="H79" s="52" t="s">
        <v>959</v>
      </c>
      <c r="I79" s="60" t="s">
        <v>249</v>
      </c>
      <c r="J79" s="52">
        <v>6</v>
      </c>
      <c r="K79" s="60" t="str">
        <f t="shared" si="17"/>
        <v xml:space="preserve">Raúl Zamora </v>
      </c>
      <c r="L79" s="330" t="s">
        <v>827</v>
      </c>
      <c r="M79" s="60" t="str">
        <f t="shared" si="18"/>
        <v/>
      </c>
      <c r="N79" s="330"/>
      <c r="O79" s="262" t="str">
        <f t="shared" si="16"/>
        <v/>
      </c>
      <c r="P79" s="60"/>
      <c r="Q79" s="61" t="str">
        <f t="shared" si="15"/>
        <v/>
      </c>
      <c r="R79" s="61"/>
      <c r="S79" s="61" t="str">
        <f t="shared" si="15"/>
        <v/>
      </c>
      <c r="T79" s="61"/>
    </row>
    <row r="80" spans="1:20" ht="12" customHeight="1" x14ac:dyDescent="0.25">
      <c r="E80" s="49"/>
      <c r="F80" s="52">
        <v>6424</v>
      </c>
      <c r="G80" s="52">
        <v>7</v>
      </c>
      <c r="H80" s="52" t="s">
        <v>368</v>
      </c>
      <c r="I80" s="60" t="s">
        <v>367</v>
      </c>
      <c r="J80" s="52" t="s">
        <v>522</v>
      </c>
      <c r="K80" s="60" t="str">
        <f t="shared" si="17"/>
        <v>Miguel Angel Lozano Pérez</v>
      </c>
      <c r="L80" s="60" t="s">
        <v>260</v>
      </c>
      <c r="M80" s="60" t="str">
        <f t="shared" si="18"/>
        <v/>
      </c>
      <c r="N80" s="331"/>
      <c r="O80" s="60" t="str">
        <f t="shared" si="16"/>
        <v/>
      </c>
      <c r="P80" s="60"/>
      <c r="Q80" s="61" t="str">
        <f t="shared" si="15"/>
        <v/>
      </c>
      <c r="R80" s="61"/>
      <c r="S80" s="61" t="str">
        <f t="shared" si="15"/>
        <v/>
      </c>
      <c r="T80" s="61"/>
    </row>
    <row r="81" spans="1:20" ht="12" customHeight="1" x14ac:dyDescent="0.25">
      <c r="A81" s="623" t="s">
        <v>1139</v>
      </c>
      <c r="E81" s="49"/>
      <c r="F81" s="52">
        <v>6425</v>
      </c>
      <c r="G81" s="52">
        <v>7</v>
      </c>
      <c r="H81" s="52" t="s">
        <v>768</v>
      </c>
      <c r="I81" s="60" t="s">
        <v>1204</v>
      </c>
      <c r="J81" s="52" t="s">
        <v>522</v>
      </c>
      <c r="K81" s="60" t="str">
        <f t="shared" si="17"/>
        <v/>
      </c>
      <c r="L81" s="60"/>
      <c r="M81" s="60" t="str">
        <f t="shared" si="18"/>
        <v/>
      </c>
      <c r="N81" s="263"/>
      <c r="O81" s="60" t="str">
        <f t="shared" si="16"/>
        <v/>
      </c>
      <c r="P81" s="60"/>
      <c r="Q81" s="61" t="str">
        <f t="shared" si="15"/>
        <v/>
      </c>
      <c r="R81" s="61"/>
      <c r="S81" s="61" t="str">
        <f t="shared" si="15"/>
        <v/>
      </c>
      <c r="T81" s="61"/>
    </row>
    <row r="82" spans="1:20" ht="12" customHeight="1" x14ac:dyDescent="0.25">
      <c r="A82" s="623" t="s">
        <v>1140</v>
      </c>
      <c r="E82" s="22"/>
      <c r="F82" s="52">
        <v>6426</v>
      </c>
      <c r="G82" s="52">
        <v>7</v>
      </c>
      <c r="H82" s="52" t="s">
        <v>120</v>
      </c>
      <c r="I82" s="60" t="s">
        <v>369</v>
      </c>
      <c r="J82" s="52" t="s">
        <v>522</v>
      </c>
      <c r="K82" s="60" t="str">
        <f t="shared" si="17"/>
        <v>Manuel Iván González Martín</v>
      </c>
      <c r="L82" s="60" t="s">
        <v>375</v>
      </c>
      <c r="M82" s="60" t="str">
        <f t="shared" si="18"/>
        <v/>
      </c>
      <c r="N82" s="60"/>
      <c r="O82" s="60" t="str">
        <f t="shared" si="16"/>
        <v/>
      </c>
      <c r="P82" s="60"/>
      <c r="Q82" s="61" t="str">
        <f t="shared" si="15"/>
        <v/>
      </c>
      <c r="R82" s="61"/>
      <c r="S82" s="61" t="str">
        <f t="shared" si="15"/>
        <v/>
      </c>
      <c r="T82" s="61"/>
    </row>
    <row r="83" spans="1:20" ht="12" customHeight="1" x14ac:dyDescent="0.25">
      <c r="E83" s="22"/>
      <c r="F83" s="52">
        <v>6427</v>
      </c>
      <c r="G83" s="52">
        <v>7</v>
      </c>
      <c r="H83" s="52" t="s">
        <v>359</v>
      </c>
      <c r="I83" s="60" t="s">
        <v>370</v>
      </c>
      <c r="J83" s="52" t="s">
        <v>522</v>
      </c>
      <c r="K83" s="60" t="str">
        <f t="shared" si="17"/>
        <v/>
      </c>
      <c r="L83" s="322"/>
      <c r="M83" s="60" t="str">
        <f t="shared" si="18"/>
        <v/>
      </c>
      <c r="N83" s="60"/>
      <c r="O83" s="60" t="str">
        <f t="shared" si="16"/>
        <v/>
      </c>
      <c r="P83" s="60"/>
      <c r="Q83" s="61" t="str">
        <f t="shared" si="15"/>
        <v/>
      </c>
      <c r="R83" s="61"/>
      <c r="S83" s="61" t="str">
        <f t="shared" si="15"/>
        <v/>
      </c>
      <c r="T83" s="61"/>
    </row>
    <row r="84" spans="1:20" ht="12" customHeight="1" x14ac:dyDescent="0.25">
      <c r="E84" s="22"/>
      <c r="F84" s="52">
        <v>6428</v>
      </c>
      <c r="G84" s="52">
        <v>7</v>
      </c>
      <c r="H84" s="52" t="s">
        <v>828</v>
      </c>
      <c r="I84" s="60" t="s">
        <v>371</v>
      </c>
      <c r="J84" s="52" t="s">
        <v>522</v>
      </c>
      <c r="K84" s="60" t="str">
        <f t="shared" si="17"/>
        <v>Miguel Angel Lozano Pérez</v>
      </c>
      <c r="L84" s="60" t="s">
        <v>260</v>
      </c>
      <c r="M84" s="62" t="str">
        <f t="shared" si="18"/>
        <v/>
      </c>
      <c r="O84" s="60" t="str">
        <f t="shared" si="16"/>
        <v/>
      </c>
      <c r="P84" s="60"/>
      <c r="Q84" s="61" t="str">
        <f t="shared" si="15"/>
        <v/>
      </c>
      <c r="R84" s="61"/>
      <c r="S84" s="61" t="str">
        <f t="shared" si="15"/>
        <v/>
      </c>
      <c r="T84" s="61"/>
    </row>
    <row r="85" spans="1:20" ht="12" customHeight="1" x14ac:dyDescent="0.25">
      <c r="E85" s="22"/>
      <c r="F85" s="52">
        <v>6429</v>
      </c>
      <c r="G85" s="52">
        <v>7</v>
      </c>
      <c r="H85" s="52" t="s">
        <v>87</v>
      </c>
      <c r="I85" s="60" t="s">
        <v>230</v>
      </c>
      <c r="J85" s="52" t="s">
        <v>522</v>
      </c>
      <c r="K85" s="60" t="str">
        <f t="shared" si="17"/>
        <v>Vanesa Fernández Cavero</v>
      </c>
      <c r="L85" s="60" t="s">
        <v>1181</v>
      </c>
      <c r="M85" s="60" t="str">
        <f t="shared" si="18"/>
        <v/>
      </c>
      <c r="N85" s="60"/>
      <c r="O85" s="60" t="str">
        <f t="shared" si="16"/>
        <v/>
      </c>
      <c r="P85" s="60"/>
      <c r="Q85" s="61" t="str">
        <f t="shared" si="15"/>
        <v/>
      </c>
      <c r="R85" s="61"/>
      <c r="S85" s="61" t="str">
        <f t="shared" si="15"/>
        <v/>
      </c>
      <c r="T85" s="61"/>
    </row>
    <row r="86" spans="1:20" ht="12" customHeight="1" x14ac:dyDescent="0.25">
      <c r="E86" s="22"/>
      <c r="F86" s="52">
        <v>6430</v>
      </c>
      <c r="G86" s="52">
        <v>7</v>
      </c>
      <c r="H86" s="52" t="s">
        <v>88</v>
      </c>
      <c r="I86" s="60" t="s">
        <v>360</v>
      </c>
      <c r="J86" s="52" t="s">
        <v>522</v>
      </c>
      <c r="K86" s="60" t="str">
        <f t="shared" si="17"/>
        <v>Carlos Melgosa Pedrosa</v>
      </c>
      <c r="L86" s="261" t="s">
        <v>380</v>
      </c>
      <c r="M86" s="60" t="str">
        <f t="shared" si="18"/>
        <v/>
      </c>
      <c r="N86" s="60"/>
      <c r="O86" s="60" t="str">
        <f t="shared" si="16"/>
        <v/>
      </c>
      <c r="P86" s="60"/>
      <c r="Q86" s="61" t="str">
        <f t="shared" si="15"/>
        <v/>
      </c>
      <c r="R86" s="61"/>
      <c r="S86" s="61" t="str">
        <f t="shared" si="15"/>
        <v/>
      </c>
      <c r="T86" s="61"/>
    </row>
    <row r="87" spans="1:20" ht="12" customHeight="1" x14ac:dyDescent="0.25">
      <c r="E87" s="22"/>
      <c r="F87" s="54">
        <v>6431</v>
      </c>
      <c r="G87" s="54">
        <v>8</v>
      </c>
      <c r="H87" s="54" t="s">
        <v>520</v>
      </c>
      <c r="I87" s="62" t="s">
        <v>361</v>
      </c>
      <c r="J87" s="54">
        <v>6</v>
      </c>
      <c r="K87" s="62" t="str">
        <f t="shared" si="17"/>
        <v>Juan Vicente Martín Fraile</v>
      </c>
      <c r="L87" s="260" t="s">
        <v>659</v>
      </c>
      <c r="M87" s="62" t="str">
        <f t="shared" si="18"/>
        <v/>
      </c>
      <c r="N87" s="62"/>
      <c r="O87" s="62" t="str">
        <f t="shared" si="16"/>
        <v/>
      </c>
      <c r="P87" s="62"/>
      <c r="Q87" s="70" t="str">
        <f t="shared" si="15"/>
        <v/>
      </c>
      <c r="R87" s="70"/>
      <c r="S87" s="70" t="str">
        <f t="shared" si="15"/>
        <v/>
      </c>
      <c r="T87" s="70"/>
    </row>
    <row r="88" spans="1:20" ht="12" customHeight="1" x14ac:dyDescent="0.25">
      <c r="E88" s="22"/>
      <c r="F88" s="54">
        <v>6432</v>
      </c>
      <c r="G88" s="54">
        <v>8</v>
      </c>
      <c r="H88" s="54" t="s">
        <v>964</v>
      </c>
      <c r="I88" s="62" t="s">
        <v>927</v>
      </c>
      <c r="J88" s="54">
        <v>6</v>
      </c>
      <c r="K88" s="62" t="str">
        <f t="shared" si="17"/>
        <v>Jesús Enrique Sierra</v>
      </c>
      <c r="L88" s="260" t="s">
        <v>761</v>
      </c>
      <c r="M88" s="62" t="str">
        <f t="shared" si="18"/>
        <v/>
      </c>
      <c r="N88" s="62"/>
      <c r="O88" s="62" t="str">
        <f t="shared" si="16"/>
        <v/>
      </c>
      <c r="P88" s="62"/>
      <c r="Q88" s="70" t="str">
        <f t="shared" si="15"/>
        <v/>
      </c>
      <c r="R88" s="70"/>
      <c r="S88" s="70" t="str">
        <f t="shared" si="15"/>
        <v/>
      </c>
      <c r="T88" s="70"/>
    </row>
    <row r="89" spans="1:20" ht="12" customHeight="1" x14ac:dyDescent="0.25">
      <c r="E89" s="22"/>
      <c r="K89" s="55" t="str">
        <f t="shared" si="17"/>
        <v/>
      </c>
      <c r="L89" s="314"/>
      <c r="M89" s="254" t="str">
        <f t="shared" si="18"/>
        <v/>
      </c>
      <c r="N89" s="314"/>
      <c r="O89" s="60" t="str">
        <f t="shared" si="16"/>
        <v/>
      </c>
      <c r="Q89" s="61" t="str">
        <f t="shared" si="15"/>
        <v/>
      </c>
      <c r="S89" s="61" t="str">
        <f t="shared" si="15"/>
        <v/>
      </c>
    </row>
    <row r="90" spans="1:20" ht="12" customHeight="1" x14ac:dyDescent="0.25">
      <c r="E90" s="22"/>
      <c r="F90" s="63" t="s">
        <v>220</v>
      </c>
      <c r="G90" s="41"/>
      <c r="K90" s="55" t="str">
        <f t="shared" si="17"/>
        <v/>
      </c>
      <c r="L90" s="314"/>
      <c r="M90" s="254" t="str">
        <f t="shared" si="18"/>
        <v/>
      </c>
      <c r="N90" s="314"/>
      <c r="O90" s="60" t="str">
        <f t="shared" si="16"/>
        <v/>
      </c>
      <c r="Q90" s="61" t="str">
        <f t="shared" si="15"/>
        <v/>
      </c>
      <c r="S90" s="61" t="str">
        <f t="shared" si="15"/>
        <v/>
      </c>
    </row>
    <row r="91" spans="1:20" ht="12" customHeight="1" x14ac:dyDescent="0.25">
      <c r="E91" s="22"/>
      <c r="F91" s="52">
        <v>9115</v>
      </c>
      <c r="G91" s="52">
        <v>1</v>
      </c>
      <c r="H91" s="52" t="s">
        <v>12</v>
      </c>
      <c r="I91" s="60" t="s">
        <v>244</v>
      </c>
      <c r="J91" s="52">
        <v>6</v>
      </c>
      <c r="K91" s="60" t="str">
        <f t="shared" si="17"/>
        <v>Jose Luis Fernández, Silvia Alvárez de Eulate</v>
      </c>
      <c r="L91" s="261" t="s">
        <v>864</v>
      </c>
      <c r="M91" s="60" t="str">
        <f t="shared" si="18"/>
        <v xml:space="preserve">, </v>
      </c>
      <c r="N91" s="60" t="s">
        <v>1239</v>
      </c>
      <c r="O91" s="60" t="str">
        <f t="shared" si="16"/>
        <v/>
      </c>
      <c r="P91" s="60"/>
      <c r="Q91" s="61" t="str">
        <f t="shared" si="15"/>
        <v/>
      </c>
      <c r="R91" s="60"/>
      <c r="S91" s="61" t="str">
        <f t="shared" si="15"/>
        <v/>
      </c>
      <c r="T91" s="60"/>
    </row>
    <row r="92" spans="1:20" ht="12" customHeight="1" x14ac:dyDescent="0.25">
      <c r="E92" s="22"/>
      <c r="F92" s="52">
        <v>9116</v>
      </c>
      <c r="G92" s="52">
        <v>1</v>
      </c>
      <c r="H92" s="52" t="s">
        <v>79</v>
      </c>
      <c r="I92" s="60" t="s">
        <v>348</v>
      </c>
      <c r="J92" s="52">
        <v>6</v>
      </c>
      <c r="K92" s="60" t="str">
        <f t="shared" si="17"/>
        <v>María del Mar Chichón González</v>
      </c>
      <c r="L92" s="60" t="s">
        <v>1237</v>
      </c>
      <c r="M92" s="60" t="str">
        <f t="shared" si="18"/>
        <v/>
      </c>
      <c r="N92" s="60"/>
      <c r="O92" s="60" t="str">
        <f t="shared" si="16"/>
        <v/>
      </c>
      <c r="P92" s="60"/>
      <c r="Q92" s="61" t="str">
        <f t="shared" si="15"/>
        <v/>
      </c>
      <c r="R92" s="60"/>
      <c r="S92" s="61" t="str">
        <f t="shared" si="15"/>
        <v/>
      </c>
      <c r="T92" s="60"/>
    </row>
    <row r="93" spans="1:20" ht="12" customHeight="1" x14ac:dyDescent="0.25">
      <c r="E93" s="22"/>
      <c r="F93" s="52">
        <v>9117</v>
      </c>
      <c r="G93" s="52">
        <v>1</v>
      </c>
      <c r="H93" s="52" t="s">
        <v>1358</v>
      </c>
      <c r="I93" s="60" t="s">
        <v>1031</v>
      </c>
      <c r="J93" s="52">
        <v>6</v>
      </c>
      <c r="K93" s="60" t="str">
        <f t="shared" si="17"/>
        <v>M. Esther Baños García, Esteban García</v>
      </c>
      <c r="L93" s="60" t="s">
        <v>379</v>
      </c>
      <c r="M93" s="60" t="str">
        <f t="shared" si="18"/>
        <v xml:space="preserve">, </v>
      </c>
      <c r="N93" s="60" t="s">
        <v>821</v>
      </c>
      <c r="O93" s="60" t="str">
        <f t="shared" si="16"/>
        <v/>
      </c>
      <c r="P93" s="60"/>
      <c r="Q93" s="61" t="str">
        <f t="shared" si="15"/>
        <v/>
      </c>
      <c r="R93" s="60"/>
      <c r="S93" s="61" t="str">
        <f t="shared" si="15"/>
        <v/>
      </c>
      <c r="T93" s="60"/>
    </row>
    <row r="94" spans="1:20" ht="12" customHeight="1" x14ac:dyDescent="0.25">
      <c r="E94" s="22"/>
      <c r="F94" s="52">
        <v>9118</v>
      </c>
      <c r="G94" s="52">
        <v>1</v>
      </c>
      <c r="H94" s="52" t="s">
        <v>50</v>
      </c>
      <c r="I94" s="60" t="s">
        <v>241</v>
      </c>
      <c r="J94" s="52">
        <v>6</v>
      </c>
      <c r="K94" s="60" t="str">
        <f t="shared" si="17"/>
        <v>Ángel Arroyo Puente,</v>
      </c>
      <c r="L94" s="60" t="s">
        <v>865</v>
      </c>
      <c r="M94" s="60" t="s">
        <v>573</v>
      </c>
      <c r="N94" s="60"/>
      <c r="O94" s="60" t="str">
        <f t="shared" si="16"/>
        <v/>
      </c>
      <c r="P94" s="60"/>
      <c r="Q94" s="61" t="str">
        <f t="shared" si="15"/>
        <v/>
      </c>
      <c r="R94" s="60"/>
      <c r="S94" s="61" t="str">
        <f t="shared" si="15"/>
        <v/>
      </c>
      <c r="T94" s="60"/>
    </row>
    <row r="95" spans="1:20" ht="12" customHeight="1" x14ac:dyDescent="0.25">
      <c r="E95" s="22"/>
      <c r="F95" s="52">
        <v>9119</v>
      </c>
      <c r="G95" s="52">
        <v>1</v>
      </c>
      <c r="H95" s="52" t="s">
        <v>23</v>
      </c>
      <c r="I95" s="60" t="s">
        <v>1192</v>
      </c>
      <c r="J95" s="52">
        <v>6</v>
      </c>
      <c r="K95" s="60" t="str">
        <f t="shared" si="17"/>
        <v>Luis Marcos Naveira</v>
      </c>
      <c r="L95" s="60" t="s">
        <v>504</v>
      </c>
      <c r="M95" s="60" t="str">
        <f>IF(N95&lt;&gt;"",", ","")</f>
        <v/>
      </c>
      <c r="N95" s="60"/>
      <c r="O95" s="60" t="str">
        <f t="shared" si="16"/>
        <v/>
      </c>
      <c r="P95" s="60"/>
      <c r="Q95" s="61" t="str">
        <f t="shared" si="15"/>
        <v/>
      </c>
      <c r="R95" s="60"/>
      <c r="S95" s="61" t="str">
        <f t="shared" si="15"/>
        <v/>
      </c>
      <c r="T95" s="60"/>
    </row>
    <row r="96" spans="1:20" ht="12" customHeight="1" x14ac:dyDescent="0.25">
      <c r="E96" s="22"/>
      <c r="F96" s="52"/>
      <c r="G96" s="52"/>
      <c r="H96" s="917" t="s">
        <v>592</v>
      </c>
      <c r="I96" s="60"/>
      <c r="J96" s="52"/>
      <c r="K96" s="254"/>
      <c r="L96" s="254"/>
      <c r="M96" s="254"/>
      <c r="N96" s="254"/>
      <c r="O96" s="254"/>
      <c r="P96" s="254"/>
      <c r="Q96" s="61"/>
      <c r="R96" s="60"/>
      <c r="S96" s="61"/>
      <c r="T96" s="60"/>
    </row>
    <row r="97" spans="5:20" ht="12" customHeight="1" x14ac:dyDescent="0.25">
      <c r="E97" s="22"/>
      <c r="F97" s="53"/>
      <c r="G97" s="53"/>
      <c r="H97" s="918" t="s">
        <v>1284</v>
      </c>
      <c r="I97" s="61"/>
      <c r="J97" s="53"/>
      <c r="K97" s="254" t="str">
        <f t="shared" ref="K97:K110" si="19">CONCATENATE(L97,M97,N97,O97,P97,Q97,R97)</f>
        <v/>
      </c>
      <c r="L97" s="254"/>
      <c r="M97" s="254" t="str">
        <f t="shared" ref="M97:M124" si="20">IF(N97&lt;&gt;"",", ","")</f>
        <v/>
      </c>
      <c r="N97" s="254"/>
      <c r="O97" s="254" t="str">
        <f t="shared" ref="O97:O109" si="21">IF(P97&lt;&gt;"",", ","")</f>
        <v/>
      </c>
      <c r="P97" s="254"/>
      <c r="Q97" s="61" t="str">
        <f t="shared" si="15"/>
        <v/>
      </c>
      <c r="R97" s="61"/>
      <c r="S97" s="61" t="str">
        <f t="shared" si="15"/>
        <v/>
      </c>
      <c r="T97" s="61"/>
    </row>
    <row r="98" spans="5:20" ht="12" customHeight="1" x14ac:dyDescent="0.25">
      <c r="E98" s="22"/>
      <c r="F98" s="54">
        <v>9120</v>
      </c>
      <c r="G98" s="54">
        <v>2</v>
      </c>
      <c r="H98" s="54" t="s">
        <v>13</v>
      </c>
      <c r="I98" s="62" t="s">
        <v>924</v>
      </c>
      <c r="J98" s="54">
        <v>6</v>
      </c>
      <c r="K98" s="62" t="str">
        <f t="shared" si="19"/>
        <v>Javier Relancio</v>
      </c>
      <c r="L98" s="62" t="s">
        <v>1175</v>
      </c>
      <c r="M98" s="62" t="str">
        <f t="shared" si="20"/>
        <v/>
      </c>
      <c r="N98" s="62"/>
      <c r="O98" s="62" t="str">
        <f t="shared" si="21"/>
        <v/>
      </c>
      <c r="P98" s="62"/>
      <c r="Q98" s="70" t="str">
        <f t="shared" si="15"/>
        <v/>
      </c>
      <c r="R98" s="62"/>
      <c r="S98" s="70" t="str">
        <f t="shared" si="15"/>
        <v/>
      </c>
      <c r="T98" s="62"/>
    </row>
    <row r="99" spans="5:20" ht="12" customHeight="1" x14ac:dyDescent="0.25">
      <c r="E99" s="22"/>
      <c r="F99" s="54">
        <v>9121</v>
      </c>
      <c r="G99" s="54">
        <v>2</v>
      </c>
      <c r="H99" s="54" t="s">
        <v>25</v>
      </c>
      <c r="I99" s="62" t="s">
        <v>350</v>
      </c>
      <c r="J99" s="54">
        <v>6</v>
      </c>
      <c r="K99" s="62" t="str">
        <f t="shared" si="19"/>
        <v>Fernando Manuel García Reguera</v>
      </c>
      <c r="L99" s="62" t="s">
        <v>576</v>
      </c>
      <c r="M99" s="62" t="str">
        <f t="shared" si="20"/>
        <v/>
      </c>
      <c r="N99" s="62"/>
      <c r="O99" s="62" t="str">
        <f t="shared" si="21"/>
        <v/>
      </c>
      <c r="P99" s="62"/>
      <c r="Q99" s="70" t="str">
        <f t="shared" si="15"/>
        <v/>
      </c>
      <c r="R99" s="62"/>
      <c r="S99" s="70" t="str">
        <f t="shared" si="15"/>
        <v/>
      </c>
      <c r="T99" s="62"/>
    </row>
    <row r="100" spans="5:20" ht="12" customHeight="1" x14ac:dyDescent="0.25">
      <c r="E100" s="22"/>
      <c r="F100" s="54">
        <v>9122</v>
      </c>
      <c r="G100" s="54">
        <v>2</v>
      </c>
      <c r="H100" s="54" t="s">
        <v>24</v>
      </c>
      <c r="I100" s="62" t="s">
        <v>345</v>
      </c>
      <c r="J100" s="54">
        <v>6</v>
      </c>
      <c r="K100" s="62" t="str">
        <f t="shared" si="19"/>
        <v>Antonio Manzano Rodríguez</v>
      </c>
      <c r="L100" s="323" t="s">
        <v>578</v>
      </c>
      <c r="M100" s="62" t="str">
        <f t="shared" si="20"/>
        <v/>
      </c>
      <c r="N100" s="62"/>
      <c r="O100" s="62" t="str">
        <f t="shared" si="21"/>
        <v/>
      </c>
      <c r="P100" s="62"/>
      <c r="Q100" s="70" t="str">
        <f t="shared" si="15"/>
        <v/>
      </c>
      <c r="R100" s="62"/>
      <c r="S100" s="70" t="str">
        <f t="shared" si="15"/>
        <v/>
      </c>
      <c r="T100" s="62"/>
    </row>
    <row r="101" spans="5:20" ht="12" customHeight="1" x14ac:dyDescent="0.25">
      <c r="E101" s="22"/>
      <c r="F101" s="54">
        <v>9123</v>
      </c>
      <c r="G101" s="54">
        <v>2</v>
      </c>
      <c r="H101" s="54" t="s">
        <v>26</v>
      </c>
      <c r="I101" s="62" t="s">
        <v>351</v>
      </c>
      <c r="J101" s="54">
        <v>6</v>
      </c>
      <c r="K101" s="62" t="str">
        <f t="shared" si="19"/>
        <v>Ignacio Fontaneda</v>
      </c>
      <c r="L101" s="62" t="s">
        <v>868</v>
      </c>
      <c r="M101" s="62" t="str">
        <f t="shared" si="20"/>
        <v/>
      </c>
      <c r="N101" s="62"/>
      <c r="O101" s="62" t="str">
        <f t="shared" si="21"/>
        <v/>
      </c>
      <c r="P101" s="62"/>
      <c r="Q101" s="70" t="str">
        <f>IF(R101&lt;&gt;"",", ","")</f>
        <v/>
      </c>
      <c r="R101" s="62"/>
      <c r="S101" s="70" t="str">
        <f>IF(T101&lt;&gt;"",", ","")</f>
        <v/>
      </c>
      <c r="T101" s="62"/>
    </row>
    <row r="102" spans="5:20" ht="12" customHeight="1" x14ac:dyDescent="0.25">
      <c r="E102" s="22"/>
      <c r="F102" s="54">
        <v>9124</v>
      </c>
      <c r="G102" s="54">
        <v>2</v>
      </c>
      <c r="H102" s="54" t="s">
        <v>27</v>
      </c>
      <c r="I102" s="62" t="s">
        <v>1025</v>
      </c>
      <c r="J102" s="54">
        <v>6</v>
      </c>
      <c r="K102" s="62" t="str">
        <f t="shared" si="19"/>
        <v>Pedro Miguel Bravo, José Calaf , Mónica Preciado</v>
      </c>
      <c r="L102" s="62" t="s">
        <v>1176</v>
      </c>
      <c r="M102" s="62" t="str">
        <f t="shared" si="20"/>
        <v xml:space="preserve">, </v>
      </c>
      <c r="N102" s="62" t="s">
        <v>1177</v>
      </c>
      <c r="O102" s="62" t="str">
        <f t="shared" si="21"/>
        <v xml:space="preserve">, </v>
      </c>
      <c r="P102" s="62" t="s">
        <v>502</v>
      </c>
      <c r="Q102" s="70"/>
      <c r="R102" s="62"/>
      <c r="S102" s="70"/>
      <c r="T102" s="62"/>
    </row>
    <row r="103" spans="5:20" ht="12" customHeight="1" x14ac:dyDescent="0.25">
      <c r="E103" s="22"/>
      <c r="F103" s="54"/>
      <c r="G103" s="54"/>
      <c r="H103" s="917" t="s">
        <v>1363</v>
      </c>
      <c r="I103" s="62"/>
      <c r="J103" s="54"/>
      <c r="K103" s="62" t="str">
        <f t="shared" si="19"/>
        <v/>
      </c>
      <c r="L103" s="324"/>
      <c r="M103" s="62" t="str">
        <f t="shared" si="20"/>
        <v/>
      </c>
      <c r="N103" s="62"/>
      <c r="O103" s="62" t="str">
        <f t="shared" si="21"/>
        <v/>
      </c>
      <c r="P103" s="62"/>
      <c r="Q103" s="70"/>
      <c r="R103" s="62"/>
      <c r="S103" s="70"/>
      <c r="T103" s="62"/>
    </row>
    <row r="104" spans="5:20" ht="12" customHeight="1" x14ac:dyDescent="0.25">
      <c r="E104" s="22"/>
      <c r="F104" s="54"/>
      <c r="G104" s="54"/>
      <c r="H104" s="54"/>
      <c r="I104" s="62"/>
      <c r="J104" s="54"/>
      <c r="K104" s="62" t="str">
        <f t="shared" si="19"/>
        <v/>
      </c>
      <c r="L104" s="323"/>
      <c r="M104" s="62" t="str">
        <f t="shared" si="20"/>
        <v/>
      </c>
      <c r="N104" s="62"/>
      <c r="O104" s="62" t="str">
        <f t="shared" si="21"/>
        <v/>
      </c>
      <c r="P104" s="62"/>
      <c r="Q104" s="70" t="str">
        <f t="shared" ref="Q104:Q109" si="22">IF(R104&lt;&gt;"",", ","")</f>
        <v/>
      </c>
      <c r="R104" s="62"/>
      <c r="S104" s="70" t="str">
        <f t="shared" ref="S104:S109" si="23">IF(T104&lt;&gt;"",", ","")</f>
        <v/>
      </c>
      <c r="T104" s="62"/>
    </row>
    <row r="105" spans="5:20" ht="12" customHeight="1" x14ac:dyDescent="0.25">
      <c r="E105" s="22"/>
      <c r="F105" s="52">
        <v>9125</v>
      </c>
      <c r="G105" s="52">
        <v>3</v>
      </c>
      <c r="H105" s="52" t="s">
        <v>29</v>
      </c>
      <c r="I105" s="60" t="s">
        <v>1024</v>
      </c>
      <c r="J105" s="52">
        <v>6</v>
      </c>
      <c r="K105" s="60" t="str">
        <f t="shared" si="19"/>
        <v>José Manuel Luis, Alejandro Merino</v>
      </c>
      <c r="L105" s="263" t="s">
        <v>820</v>
      </c>
      <c r="M105" s="62" t="str">
        <f t="shared" si="20"/>
        <v xml:space="preserve">, </v>
      </c>
      <c r="N105" s="317" t="s">
        <v>819</v>
      </c>
      <c r="O105" s="60" t="str">
        <f t="shared" si="21"/>
        <v/>
      </c>
      <c r="P105" s="60"/>
      <c r="Q105" s="61" t="str">
        <f t="shared" si="22"/>
        <v/>
      </c>
      <c r="R105" s="60"/>
      <c r="S105" s="61" t="str">
        <f t="shared" si="23"/>
        <v/>
      </c>
      <c r="T105" s="60"/>
    </row>
    <row r="106" spans="5:20" ht="12" customHeight="1" x14ac:dyDescent="0.25">
      <c r="E106" s="22"/>
      <c r="F106" s="52">
        <v>9126</v>
      </c>
      <c r="G106" s="52">
        <v>3</v>
      </c>
      <c r="H106" s="52" t="s">
        <v>1361</v>
      </c>
      <c r="I106" s="60" t="s">
        <v>275</v>
      </c>
      <c r="J106" s="52">
        <v>6</v>
      </c>
      <c r="K106" s="60" t="str">
        <f t="shared" si="19"/>
        <v>Miguel Angel Manzanedo, Carlos Alonso, Ricardo del Olmo</v>
      </c>
      <c r="L106" s="263" t="s">
        <v>655</v>
      </c>
      <c r="M106" s="60" t="str">
        <f t="shared" si="20"/>
        <v xml:space="preserve">, </v>
      </c>
      <c r="N106" s="60" t="s">
        <v>743</v>
      </c>
      <c r="O106" s="60" t="str">
        <f t="shared" si="21"/>
        <v xml:space="preserve">, </v>
      </c>
      <c r="P106" s="60" t="s">
        <v>746</v>
      </c>
      <c r="Q106" s="61" t="str">
        <f t="shared" si="22"/>
        <v/>
      </c>
      <c r="R106" s="60"/>
      <c r="S106" s="61" t="str">
        <f t="shared" si="23"/>
        <v/>
      </c>
      <c r="T106" s="60"/>
    </row>
    <row r="107" spans="5:20" ht="12" customHeight="1" x14ac:dyDescent="0.25">
      <c r="E107" s="22"/>
      <c r="F107" s="52">
        <v>9127</v>
      </c>
      <c r="G107" s="52">
        <v>3</v>
      </c>
      <c r="H107" s="52" t="s">
        <v>256</v>
      </c>
      <c r="I107" s="60" t="s">
        <v>1026</v>
      </c>
      <c r="J107" s="52">
        <v>6</v>
      </c>
      <c r="K107" s="60" t="str">
        <f t="shared" si="19"/>
        <v>Manuel Solaguren-Beascoa, Wilco M.H. Verbeeten</v>
      </c>
      <c r="L107" s="263" t="s">
        <v>1171</v>
      </c>
      <c r="M107" s="60" t="str">
        <f t="shared" si="20"/>
        <v xml:space="preserve">, </v>
      </c>
      <c r="N107" s="60" t="s">
        <v>753</v>
      </c>
      <c r="O107" s="60" t="str">
        <f t="shared" si="21"/>
        <v/>
      </c>
      <c r="P107" s="60"/>
      <c r="Q107" s="61" t="str">
        <f t="shared" si="22"/>
        <v/>
      </c>
      <c r="R107" s="60"/>
      <c r="S107" s="61" t="str">
        <f t="shared" si="23"/>
        <v/>
      </c>
      <c r="T107" s="60"/>
    </row>
    <row r="108" spans="5:20" ht="12" customHeight="1" thickBot="1" x14ac:dyDescent="0.3">
      <c r="E108" s="43"/>
      <c r="F108" s="52">
        <v>9128</v>
      </c>
      <c r="G108" s="52">
        <v>3</v>
      </c>
      <c r="H108" s="52" t="s">
        <v>28</v>
      </c>
      <c r="I108" s="60" t="s">
        <v>1027</v>
      </c>
      <c r="J108" s="52">
        <v>6</v>
      </c>
      <c r="K108" s="60" t="str">
        <f t="shared" si="19"/>
        <v>Jesus Sagredo, Javier González, Victoria Abad</v>
      </c>
      <c r="L108" s="263" t="s">
        <v>575</v>
      </c>
      <c r="M108" s="60" t="str">
        <f t="shared" si="20"/>
        <v xml:space="preserve">, </v>
      </c>
      <c r="N108" s="60" t="s">
        <v>745</v>
      </c>
      <c r="O108" s="60" t="str">
        <f t="shared" si="21"/>
        <v xml:space="preserve">, </v>
      </c>
      <c r="P108" s="317" t="s">
        <v>588</v>
      </c>
      <c r="Q108" s="61" t="str">
        <f t="shared" si="22"/>
        <v/>
      </c>
      <c r="R108" s="60"/>
      <c r="S108" s="61" t="str">
        <f t="shared" si="23"/>
        <v/>
      </c>
      <c r="T108" s="60"/>
    </row>
    <row r="109" spans="5:20" ht="12" customHeight="1" x14ac:dyDescent="0.25">
      <c r="F109" s="52">
        <v>9129</v>
      </c>
      <c r="G109" s="52">
        <v>3</v>
      </c>
      <c r="H109" s="52" t="s">
        <v>640</v>
      </c>
      <c r="I109" s="60" t="s">
        <v>1193</v>
      </c>
      <c r="J109" s="52">
        <v>6</v>
      </c>
      <c r="K109" s="60" t="str">
        <f t="shared" si="19"/>
        <v>Jesús Marcos García, José Antonio Barón</v>
      </c>
      <c r="L109" s="263" t="s">
        <v>747</v>
      </c>
      <c r="M109" s="60" t="str">
        <f t="shared" si="20"/>
        <v/>
      </c>
      <c r="N109" s="60"/>
      <c r="O109" s="60" t="str">
        <f t="shared" si="21"/>
        <v xml:space="preserve">, </v>
      </c>
      <c r="P109" s="60" t="s">
        <v>748</v>
      </c>
      <c r="Q109" s="61" t="str">
        <f t="shared" si="22"/>
        <v/>
      </c>
      <c r="R109" s="60"/>
      <c r="S109" s="61" t="str">
        <f t="shared" si="23"/>
        <v/>
      </c>
      <c r="T109" s="60"/>
    </row>
    <row r="110" spans="5:20" ht="12" customHeight="1" x14ac:dyDescent="0.25">
      <c r="F110" s="52"/>
      <c r="G110" s="52"/>
      <c r="H110" s="52"/>
      <c r="I110" s="60"/>
      <c r="J110" s="52"/>
      <c r="K110" s="254" t="str">
        <f t="shared" si="19"/>
        <v/>
      </c>
      <c r="L110" s="310"/>
      <c r="M110" s="254" t="str">
        <f t="shared" si="20"/>
        <v/>
      </c>
      <c r="N110" s="254"/>
      <c r="O110" s="254"/>
      <c r="P110" s="254"/>
      <c r="Q110" s="60"/>
      <c r="R110" s="60"/>
      <c r="S110" s="60"/>
      <c r="T110" s="60"/>
    </row>
    <row r="111" spans="5:20" ht="12" customHeight="1" x14ac:dyDescent="0.25">
      <c r="F111" s="52"/>
      <c r="G111" s="52"/>
      <c r="H111" s="52"/>
      <c r="I111" s="60"/>
      <c r="J111" s="52"/>
      <c r="K111" s="254"/>
      <c r="L111" s="311"/>
      <c r="M111" s="254" t="str">
        <f t="shared" si="20"/>
        <v/>
      </c>
      <c r="N111" s="254"/>
      <c r="O111" s="254"/>
      <c r="P111" s="311"/>
      <c r="Q111" s="60"/>
      <c r="R111" s="60"/>
      <c r="S111" s="60"/>
      <c r="T111" s="60"/>
    </row>
    <row r="112" spans="5:20" ht="12" customHeight="1" x14ac:dyDescent="0.25">
      <c r="F112" s="52"/>
      <c r="G112" s="52"/>
      <c r="H112" s="52"/>
      <c r="I112" s="60"/>
      <c r="J112" s="52"/>
      <c r="K112" s="254"/>
      <c r="L112" s="310"/>
      <c r="M112" s="254" t="str">
        <f t="shared" si="20"/>
        <v/>
      </c>
      <c r="N112" s="312"/>
      <c r="O112" s="312" t="str">
        <f>IF(P114&lt;&gt;"",", ","")</f>
        <v/>
      </c>
      <c r="P112" s="254"/>
      <c r="Q112" s="60"/>
      <c r="R112" s="60"/>
      <c r="S112" s="60"/>
      <c r="T112" s="60"/>
    </row>
    <row r="113" spans="6:20" ht="12" customHeight="1" x14ac:dyDescent="0.25">
      <c r="F113" s="52"/>
      <c r="G113" s="52"/>
      <c r="H113" s="52"/>
      <c r="I113" s="60"/>
      <c r="J113" s="52"/>
      <c r="K113" s="254" t="str">
        <f t="shared" ref="K113:K138" si="24">CONCATENATE(L113,M113,N113,O113,P113,Q113,R113)</f>
        <v/>
      </c>
      <c r="L113" s="254"/>
      <c r="M113" s="254" t="str">
        <f t="shared" si="20"/>
        <v/>
      </c>
      <c r="N113" s="254"/>
      <c r="O113" s="254" t="str">
        <f>IF(P115&lt;&gt;"",", ","")</f>
        <v/>
      </c>
      <c r="P113" s="254"/>
      <c r="Q113" s="60"/>
      <c r="R113" s="60"/>
      <c r="S113" s="60"/>
      <c r="T113" s="60"/>
    </row>
    <row r="114" spans="6:20" ht="12" customHeight="1" x14ac:dyDescent="0.25">
      <c r="F114" s="226">
        <v>9130</v>
      </c>
      <c r="G114" s="226">
        <v>4</v>
      </c>
      <c r="H114" s="226" t="s">
        <v>941</v>
      </c>
      <c r="I114" s="227" t="s">
        <v>271</v>
      </c>
      <c r="J114" s="226">
        <v>6</v>
      </c>
      <c r="K114" s="62" t="str">
        <f t="shared" si="24"/>
        <v>Carlos Melgosa</v>
      </c>
      <c r="L114" s="323" t="s">
        <v>866</v>
      </c>
      <c r="M114" s="62" t="str">
        <f t="shared" si="20"/>
        <v/>
      </c>
      <c r="N114" s="324"/>
      <c r="O114" s="62" t="str">
        <f>IF(P116&lt;&gt;"",", ","")</f>
        <v/>
      </c>
      <c r="P114" s="227"/>
      <c r="Q114" s="328" t="str">
        <f>IF(R114&lt;&gt;"",", ","")</f>
        <v/>
      </c>
      <c r="R114" s="227"/>
      <c r="S114" s="328" t="str">
        <f>IF(T114&lt;&gt;"",", ","")</f>
        <v/>
      </c>
      <c r="T114" s="227"/>
    </row>
    <row r="115" spans="6:20" ht="12" customHeight="1" x14ac:dyDescent="0.25">
      <c r="F115" s="54">
        <v>9131</v>
      </c>
      <c r="G115" s="54">
        <v>4</v>
      </c>
      <c r="H115" s="54" t="s">
        <v>1250</v>
      </c>
      <c r="I115" s="62" t="s">
        <v>274</v>
      </c>
      <c r="J115" s="54">
        <v>6</v>
      </c>
      <c r="K115" s="62" t="str">
        <f t="shared" si="24"/>
        <v>Diego Sedano, Raúl del Barrio</v>
      </c>
      <c r="L115" s="323" t="s">
        <v>867</v>
      </c>
      <c r="M115" s="62" t="str">
        <f t="shared" si="20"/>
        <v xml:space="preserve">, </v>
      </c>
      <c r="N115" s="62" t="s">
        <v>1168</v>
      </c>
      <c r="O115" s="62" t="str">
        <f>IF(P117&lt;&gt;"",", ","")</f>
        <v/>
      </c>
      <c r="P115" s="62"/>
      <c r="Q115" s="70" t="str">
        <f>IF(R115&lt;&gt;"",", ","")</f>
        <v/>
      </c>
      <c r="R115" s="62"/>
      <c r="S115" s="70" t="str">
        <f>IF(T115&lt;&gt;"",", ","")</f>
        <v/>
      </c>
      <c r="T115" s="62"/>
    </row>
    <row r="116" spans="6:20" ht="12" customHeight="1" x14ac:dyDescent="0.25">
      <c r="F116" s="54">
        <v>9132</v>
      </c>
      <c r="G116" s="54">
        <v>4</v>
      </c>
      <c r="H116" s="54" t="s">
        <v>1272</v>
      </c>
      <c r="I116" s="62" t="s">
        <v>1273</v>
      </c>
      <c r="J116" s="54">
        <v>6</v>
      </c>
      <c r="K116" s="62" t="str">
        <f t="shared" si="24"/>
        <v>Natalia Muñoz</v>
      </c>
      <c r="L116" s="329" t="s">
        <v>765</v>
      </c>
      <c r="M116" s="62" t="str">
        <f t="shared" si="20"/>
        <v/>
      </c>
      <c r="N116" s="329"/>
      <c r="O116" s="62" t="str">
        <f>IF(P118&lt;&gt;"",", ","")</f>
        <v/>
      </c>
      <c r="P116" s="62"/>
      <c r="Q116" s="70" t="str">
        <f>IF(R116&lt;&gt;"",", ","")</f>
        <v/>
      </c>
      <c r="R116" s="62"/>
      <c r="S116" s="70" t="str">
        <f>IF(T116&lt;&gt;"",", ","")</f>
        <v/>
      </c>
      <c r="T116" s="62"/>
    </row>
    <row r="117" spans="6:20" ht="12" customHeight="1" x14ac:dyDescent="0.25">
      <c r="F117" s="54">
        <v>9133</v>
      </c>
      <c r="G117" s="54">
        <v>4</v>
      </c>
      <c r="H117" s="54" t="s">
        <v>31</v>
      </c>
      <c r="I117" s="62" t="s">
        <v>1194</v>
      </c>
      <c r="J117" s="54">
        <v>6</v>
      </c>
      <c r="K117" s="62" t="str">
        <f t="shared" si="24"/>
        <v>Francisco Javier Gómez Gil</v>
      </c>
      <c r="L117" s="62" t="s">
        <v>247</v>
      </c>
      <c r="M117" s="62" t="str">
        <f t="shared" si="20"/>
        <v/>
      </c>
      <c r="N117" s="62"/>
      <c r="O117" s="62"/>
      <c r="P117" s="62"/>
      <c r="Q117" s="70" t="str">
        <f>IF(R117&lt;&gt;"",", ","")</f>
        <v/>
      </c>
      <c r="R117" s="62"/>
      <c r="S117" s="70" t="str">
        <f>IF(T117&lt;&gt;"",", ","")</f>
        <v/>
      </c>
      <c r="T117" s="62"/>
    </row>
    <row r="118" spans="6:20" ht="12" customHeight="1" x14ac:dyDescent="0.25">
      <c r="F118" s="54">
        <v>9134</v>
      </c>
      <c r="G118" s="54">
        <v>4</v>
      </c>
      <c r="H118" s="54" t="s">
        <v>792</v>
      </c>
      <c r="I118" s="62" t="s">
        <v>272</v>
      </c>
      <c r="J118" s="54">
        <v>6</v>
      </c>
      <c r="K118" s="62" t="str">
        <f t="shared" si="24"/>
        <v>María Isabel Dieste Velasco</v>
      </c>
      <c r="L118" s="62" t="s">
        <v>276</v>
      </c>
      <c r="M118" s="62" t="str">
        <f t="shared" si="20"/>
        <v/>
      </c>
      <c r="N118" s="62"/>
      <c r="O118" s="62" t="str">
        <f>IF(P120&lt;&gt;"",", ","")</f>
        <v/>
      </c>
      <c r="P118" s="62"/>
      <c r="Q118" s="70" t="str">
        <f>IF(R118&lt;&gt;"",", ","")</f>
        <v/>
      </c>
      <c r="R118" s="62"/>
      <c r="S118" s="70" t="str">
        <f>IF(T118&lt;&gt;"",", ","")</f>
        <v/>
      </c>
      <c r="T118" s="62"/>
    </row>
    <row r="119" spans="6:20" ht="12" customHeight="1" x14ac:dyDescent="0.25">
      <c r="F119" s="54"/>
      <c r="G119" s="54"/>
      <c r="H119" s="54"/>
      <c r="I119" s="62"/>
      <c r="J119" s="54"/>
      <c r="K119" s="62" t="str">
        <f t="shared" si="24"/>
        <v/>
      </c>
      <c r="L119" s="329"/>
      <c r="M119" s="62" t="str">
        <f t="shared" si="20"/>
        <v/>
      </c>
      <c r="N119" s="62"/>
      <c r="O119" s="62" t="str">
        <f>IF(P121&lt;&gt;"",", ","")</f>
        <v/>
      </c>
      <c r="P119" s="62"/>
      <c r="Q119" s="70"/>
      <c r="R119" s="62"/>
      <c r="S119" s="70"/>
      <c r="T119" s="62"/>
    </row>
    <row r="120" spans="6:20" ht="12" customHeight="1" x14ac:dyDescent="0.25">
      <c r="F120" s="52">
        <v>9135</v>
      </c>
      <c r="G120" s="52">
        <v>5</v>
      </c>
      <c r="H120" s="52" t="s">
        <v>1196</v>
      </c>
      <c r="I120" s="60" t="s">
        <v>1195</v>
      </c>
      <c r="J120" s="52">
        <v>6</v>
      </c>
      <c r="K120" s="60" t="str">
        <f t="shared" si="24"/>
        <v>Virginia Ahedo</v>
      </c>
      <c r="L120" s="317" t="s">
        <v>740</v>
      </c>
      <c r="M120" s="431" t="str">
        <f t="shared" si="20"/>
        <v/>
      </c>
      <c r="N120" s="317"/>
      <c r="O120" s="60" t="str">
        <f>IF(P122&lt;&gt;"",", ","")</f>
        <v/>
      </c>
      <c r="P120" s="60"/>
      <c r="Q120" s="61" t="str">
        <f>IF(R120&lt;&gt;"",", ","")</f>
        <v/>
      </c>
      <c r="R120" s="60"/>
      <c r="S120" s="61" t="str">
        <f>IF(T120&lt;&gt;"",", ","")</f>
        <v/>
      </c>
      <c r="T120" s="60"/>
    </row>
    <row r="121" spans="6:20" ht="13.2" x14ac:dyDescent="0.25">
      <c r="F121" s="52">
        <v>9136</v>
      </c>
      <c r="G121" s="52">
        <v>5</v>
      </c>
      <c r="H121" s="97" t="s">
        <v>95</v>
      </c>
      <c r="I121" s="60" t="s">
        <v>1028</v>
      </c>
      <c r="J121" s="52">
        <v>6</v>
      </c>
      <c r="K121" s="60" t="str">
        <f t="shared" si="24"/>
        <v>Ana María Lara Palma</v>
      </c>
      <c r="L121" s="60" t="s">
        <v>383</v>
      </c>
      <c r="M121" s="431" t="str">
        <f t="shared" si="20"/>
        <v/>
      </c>
      <c r="N121" s="60"/>
      <c r="O121" s="60" t="str">
        <f>IF(P123&lt;&gt;"",", ","")</f>
        <v/>
      </c>
      <c r="P121" s="60"/>
      <c r="Q121" s="61" t="str">
        <f>IF(R121&lt;&gt;"",", ","")</f>
        <v/>
      </c>
      <c r="R121" s="60"/>
      <c r="S121" s="61" t="str">
        <f>IF(T121&lt;&gt;"",", ","")</f>
        <v/>
      </c>
      <c r="T121" s="60"/>
    </row>
    <row r="122" spans="6:20" ht="12" customHeight="1" x14ac:dyDescent="0.25">
      <c r="F122" s="52">
        <v>9137</v>
      </c>
      <c r="G122" s="52">
        <v>5</v>
      </c>
      <c r="H122" s="52" t="s">
        <v>957</v>
      </c>
      <c r="I122" s="60" t="s">
        <v>1029</v>
      </c>
      <c r="J122" s="52">
        <v>6</v>
      </c>
      <c r="K122" s="60" t="str">
        <f t="shared" si="24"/>
        <v>Miguel Angel Camino</v>
      </c>
      <c r="L122" s="60" t="s">
        <v>671</v>
      </c>
      <c r="M122" s="431" t="str">
        <f t="shared" si="20"/>
        <v/>
      </c>
      <c r="N122" s="60"/>
      <c r="O122" s="60" t="str">
        <f>IF(P122&lt;&gt;"",", ","")</f>
        <v/>
      </c>
      <c r="P122" s="60"/>
      <c r="Q122" s="61" t="str">
        <f>IF(R122&lt;&gt;"",", ","")</f>
        <v/>
      </c>
      <c r="R122" s="60"/>
      <c r="S122" s="61" t="str">
        <f>IF(T122&lt;&gt;"",", ","")</f>
        <v/>
      </c>
      <c r="T122" s="60"/>
    </row>
    <row r="123" spans="6:20" ht="12" customHeight="1" x14ac:dyDescent="0.25">
      <c r="F123" s="52">
        <v>9138</v>
      </c>
      <c r="G123" s="52">
        <v>5</v>
      </c>
      <c r="H123" s="52" t="s">
        <v>97</v>
      </c>
      <c r="I123" s="60" t="s">
        <v>376</v>
      </c>
      <c r="J123" s="52">
        <v>6</v>
      </c>
      <c r="K123" s="60" t="str">
        <f t="shared" si="24"/>
        <v>Oscar Manuel Carrasco Saiz</v>
      </c>
      <c r="L123" s="60" t="s">
        <v>869</v>
      </c>
      <c r="M123" s="431" t="str">
        <f t="shared" si="20"/>
        <v/>
      </c>
      <c r="N123" s="263"/>
      <c r="O123" s="60" t="str">
        <f>IF(P123&lt;&gt;"",", ","")</f>
        <v/>
      </c>
      <c r="P123" s="60"/>
      <c r="Q123" s="61" t="str">
        <f>IF(R123&lt;&gt;"",", ","")</f>
        <v/>
      </c>
      <c r="R123" s="60"/>
      <c r="S123" s="61" t="str">
        <f>IF(T123&lt;&gt;"",", ","")</f>
        <v/>
      </c>
      <c r="T123" s="60"/>
    </row>
    <row r="124" spans="6:20" ht="12" customHeight="1" x14ac:dyDescent="0.25">
      <c r="F124" s="52">
        <v>9139</v>
      </c>
      <c r="G124" s="52">
        <v>5</v>
      </c>
      <c r="H124" s="52" t="s">
        <v>264</v>
      </c>
      <c r="I124" s="60" t="s">
        <v>377</v>
      </c>
      <c r="J124" s="52">
        <v>6</v>
      </c>
      <c r="K124" s="60" t="str">
        <f t="shared" si="24"/>
        <v>Miguel Angel Mariscal</v>
      </c>
      <c r="L124" s="60" t="s">
        <v>503</v>
      </c>
      <c r="M124" s="431" t="str">
        <f t="shared" si="20"/>
        <v/>
      </c>
      <c r="N124" s="60"/>
      <c r="O124" s="60" t="str">
        <f>IF(P124&lt;&gt;"",", ","")</f>
        <v/>
      </c>
      <c r="P124" s="60"/>
      <c r="Q124" s="61"/>
      <c r="R124" s="60"/>
      <c r="S124" s="61"/>
      <c r="T124" s="60"/>
    </row>
    <row r="125" spans="6:20" ht="11.25" customHeight="1" x14ac:dyDescent="0.25">
      <c r="F125" s="52"/>
      <c r="G125" s="52"/>
      <c r="H125" s="52" t="s">
        <v>1261</v>
      </c>
      <c r="I125" s="60"/>
      <c r="J125" s="52"/>
      <c r="K125" s="60" t="str">
        <f t="shared" si="24"/>
        <v/>
      </c>
      <c r="L125" s="310"/>
      <c r="M125" s="254"/>
      <c r="N125" s="310"/>
      <c r="O125" s="60" t="str">
        <f>IF(P127&lt;&gt;"",", ","")</f>
        <v/>
      </c>
      <c r="P125" s="60"/>
      <c r="Q125" s="61"/>
      <c r="R125" s="60"/>
      <c r="S125" s="61"/>
      <c r="T125" s="60"/>
    </row>
    <row r="126" spans="6:20" ht="11.25" customHeight="1" x14ac:dyDescent="0.25">
      <c r="F126" s="52"/>
      <c r="G126" s="52"/>
      <c r="H126" s="52"/>
      <c r="I126" s="60"/>
      <c r="J126" s="52"/>
      <c r="K126" s="60" t="str">
        <f t="shared" si="24"/>
        <v/>
      </c>
      <c r="L126" s="310"/>
      <c r="M126" s="254"/>
      <c r="N126" s="310"/>
      <c r="O126" s="60" t="str">
        <f>IF(P128&lt;&gt;"",", ","")</f>
        <v/>
      </c>
      <c r="P126" s="60"/>
      <c r="Q126" s="61"/>
      <c r="R126" s="60"/>
      <c r="S126" s="61"/>
      <c r="T126" s="60"/>
    </row>
    <row r="127" spans="6:20" ht="12" customHeight="1" x14ac:dyDescent="0.25">
      <c r="F127" s="52"/>
      <c r="G127" s="52"/>
      <c r="H127" s="52"/>
      <c r="I127" s="60"/>
      <c r="J127" s="52"/>
      <c r="K127" s="60" t="str">
        <f t="shared" si="24"/>
        <v/>
      </c>
      <c r="L127" s="310"/>
      <c r="M127" s="254" t="str">
        <f>IF(N125&lt;&gt;"",", ","")</f>
        <v/>
      </c>
      <c r="N127" s="310"/>
      <c r="O127" s="60" t="str">
        <f>IF(P129&lt;&gt;"",", ","")</f>
        <v/>
      </c>
      <c r="P127" s="60"/>
      <c r="Q127" s="61" t="str">
        <f>IF(R127&lt;&gt;"",", ","")</f>
        <v/>
      </c>
      <c r="R127" s="60"/>
      <c r="S127" s="61" t="str">
        <f>IF(T127&lt;&gt;"",", ","")</f>
        <v/>
      </c>
      <c r="T127" s="60"/>
    </row>
    <row r="128" spans="6:20" ht="12" customHeight="1" x14ac:dyDescent="0.25">
      <c r="F128" s="54">
        <v>9140</v>
      </c>
      <c r="G128" s="54">
        <v>6</v>
      </c>
      <c r="H128" s="54" t="s">
        <v>1198</v>
      </c>
      <c r="I128" s="62" t="s">
        <v>1197</v>
      </c>
      <c r="J128" s="54">
        <v>6</v>
      </c>
      <c r="K128" s="62" t="str">
        <f t="shared" si="24"/>
        <v>Susana García Herrero</v>
      </c>
      <c r="L128" s="250" t="s">
        <v>381</v>
      </c>
      <c r="M128" s="62" t="str">
        <f>IF(N128&lt;&gt;"",", ","")</f>
        <v/>
      </c>
      <c r="N128" s="250"/>
      <c r="O128" s="62" t="str">
        <f>IF(P130&lt;&gt;"",", ","")</f>
        <v/>
      </c>
      <c r="P128" s="62"/>
      <c r="Q128" s="61" t="str">
        <f>IF(R128&lt;&gt;"",", ","")</f>
        <v/>
      </c>
      <c r="R128" s="62"/>
      <c r="S128" s="61" t="str">
        <f>IF(T128&lt;&gt;"",", ","")</f>
        <v/>
      </c>
      <c r="T128" s="62"/>
    </row>
    <row r="129" spans="6:20" ht="12" customHeight="1" x14ac:dyDescent="0.25">
      <c r="F129" s="54">
        <v>9141</v>
      </c>
      <c r="G129" s="54">
        <v>6</v>
      </c>
      <c r="H129" s="54" t="s">
        <v>98</v>
      </c>
      <c r="I129" s="62" t="s">
        <v>1263</v>
      </c>
      <c r="J129" s="54">
        <v>6</v>
      </c>
      <c r="K129" s="62" t="str">
        <f t="shared" si="24"/>
        <v>Ignacio Fontaneda</v>
      </c>
      <c r="L129" s="250" t="s">
        <v>868</v>
      </c>
      <c r="M129" s="62" t="str">
        <f>IF(N129&lt;&gt;"",", ","")</f>
        <v/>
      </c>
      <c r="N129" s="62"/>
      <c r="O129" s="62" t="str">
        <f>IF(P131&lt;&gt;"",", ","")</f>
        <v/>
      </c>
      <c r="P129" s="62"/>
      <c r="Q129" s="61" t="str">
        <f>IF(R129&lt;&gt;"",", ","")</f>
        <v/>
      </c>
      <c r="R129" s="62"/>
      <c r="S129" s="61" t="str">
        <f>IF(T129&lt;&gt;"",", ","")</f>
        <v/>
      </c>
      <c r="T129" s="62"/>
    </row>
    <row r="130" spans="6:20" ht="15.75" customHeight="1" x14ac:dyDescent="0.25">
      <c r="F130" s="54">
        <v>9142</v>
      </c>
      <c r="G130" s="54">
        <v>6</v>
      </c>
      <c r="H130" s="98" t="s">
        <v>1203</v>
      </c>
      <c r="I130" s="62" t="s">
        <v>1212</v>
      </c>
      <c r="J130" s="54">
        <v>6</v>
      </c>
      <c r="K130" s="62" t="str">
        <f t="shared" si="24"/>
        <v>Luis R. Izquierdo, Luis Santiago García</v>
      </c>
      <c r="L130" s="250" t="s">
        <v>1229</v>
      </c>
      <c r="M130" s="62" t="str">
        <f>IF(N130&lt;&gt;"",", ","")</f>
        <v xml:space="preserve">, </v>
      </c>
      <c r="N130" s="62" t="s">
        <v>870</v>
      </c>
      <c r="O130" s="62" t="str">
        <f>IF(P130&lt;&gt;"",", ","")</f>
        <v/>
      </c>
      <c r="P130" s="62"/>
      <c r="Q130" s="61" t="str">
        <f>IF(R130&lt;&gt;"",", ","")</f>
        <v/>
      </c>
      <c r="R130" s="62"/>
      <c r="S130" s="61" t="str">
        <f>IF(T130&lt;&gt;"",", ","")</f>
        <v/>
      </c>
      <c r="T130" s="62"/>
    </row>
    <row r="131" spans="6:20" ht="12" customHeight="1" x14ac:dyDescent="0.25">
      <c r="F131" s="54">
        <v>9143</v>
      </c>
      <c r="G131" s="54">
        <v>6</v>
      </c>
      <c r="H131" s="54" t="s">
        <v>221</v>
      </c>
      <c r="I131" s="99" t="s">
        <v>1262</v>
      </c>
      <c r="J131" s="54">
        <v>6</v>
      </c>
      <c r="K131" s="62" t="str">
        <f t="shared" si="24"/>
        <v>Juan José Lavios</v>
      </c>
      <c r="L131" s="250" t="s">
        <v>1230</v>
      </c>
      <c r="M131" s="62" t="str">
        <f>IF(N131&lt;&gt;"",", ","")</f>
        <v/>
      </c>
      <c r="N131" s="250"/>
      <c r="O131" s="62" t="str">
        <f>IF(P131&lt;&gt;"",", ","")</f>
        <v/>
      </c>
      <c r="P131" s="62"/>
      <c r="Q131" s="61" t="str">
        <f>IF(R131&lt;&gt;"",", ","")</f>
        <v/>
      </c>
      <c r="R131" s="62"/>
      <c r="S131" s="61" t="str">
        <f>IF(T131&lt;&gt;"",", ","")</f>
        <v/>
      </c>
      <c r="T131" s="62"/>
    </row>
    <row r="132" spans="6:20" ht="12" customHeight="1" x14ac:dyDescent="0.25">
      <c r="F132" s="54">
        <v>9144</v>
      </c>
      <c r="G132" s="54">
        <v>6</v>
      </c>
      <c r="H132" s="54" t="s">
        <v>250</v>
      </c>
      <c r="I132" s="62" t="s">
        <v>378</v>
      </c>
      <c r="J132" s="54">
        <v>6</v>
      </c>
      <c r="K132" s="62" t="str">
        <f t="shared" si="24"/>
        <v>Alfonso Blasco Sanz, Fco. Javier Rodríguez Vidal</v>
      </c>
      <c r="L132" s="62" t="s">
        <v>574</v>
      </c>
      <c r="M132" s="62" t="str">
        <f>IF(N132&lt;&gt;"",", ","")</f>
        <v xml:space="preserve">, </v>
      </c>
      <c r="N132" s="250" t="s">
        <v>508</v>
      </c>
      <c r="O132" s="62" t="str">
        <f>IF(P132&lt;&gt;"",", ","")</f>
        <v/>
      </c>
      <c r="P132" s="62"/>
      <c r="Q132" s="61"/>
      <c r="R132" s="62"/>
      <c r="S132" s="61"/>
      <c r="T132" s="62"/>
    </row>
    <row r="133" spans="6:20" ht="12" customHeight="1" x14ac:dyDescent="0.25">
      <c r="F133" s="54"/>
      <c r="G133" s="54"/>
      <c r="H133" s="126" t="s">
        <v>1234</v>
      </c>
      <c r="I133" s="62"/>
      <c r="J133" s="54"/>
      <c r="K133" s="62" t="str">
        <f t="shared" si="24"/>
        <v/>
      </c>
      <c r="L133" s="323"/>
      <c r="M133" s="62"/>
      <c r="N133" s="250"/>
      <c r="O133" s="62" t="str">
        <f>IF(P136&lt;&gt;"",", ","")</f>
        <v/>
      </c>
      <c r="P133" s="62"/>
      <c r="Q133" s="61"/>
      <c r="R133" s="62"/>
      <c r="S133" s="61"/>
      <c r="T133" s="62"/>
    </row>
    <row r="134" spans="6:20" ht="12" customHeight="1" x14ac:dyDescent="0.25">
      <c r="F134" s="54"/>
      <c r="G134" s="54"/>
      <c r="H134" s="126" t="s">
        <v>1235</v>
      </c>
      <c r="I134" s="62"/>
      <c r="J134" s="54"/>
      <c r="K134" s="62"/>
      <c r="L134" s="323"/>
      <c r="M134" s="62"/>
      <c r="N134" s="327"/>
      <c r="O134" s="62"/>
      <c r="P134" s="62"/>
      <c r="Q134" s="61"/>
      <c r="R134" s="62"/>
      <c r="S134" s="61"/>
      <c r="T134" s="62"/>
    </row>
    <row r="135" spans="6:20" ht="12" customHeight="1" x14ac:dyDescent="0.25">
      <c r="F135" s="54"/>
      <c r="G135" s="54"/>
      <c r="H135" s="126" t="s">
        <v>1233</v>
      </c>
      <c r="I135" s="62"/>
      <c r="J135" s="54"/>
      <c r="K135" s="62" t="str">
        <f t="shared" si="24"/>
        <v/>
      </c>
      <c r="L135" s="250"/>
      <c r="M135" s="62"/>
      <c r="N135" s="324"/>
      <c r="O135" s="62" t="str">
        <f>IF(P137&lt;&gt;"",", ","")</f>
        <v/>
      </c>
      <c r="P135" s="62"/>
      <c r="Q135" s="61" t="str">
        <f t="shared" ref="Q135:Q140" si="25">IF(R135&lt;&gt;"",", ","")</f>
        <v/>
      </c>
      <c r="R135" s="62"/>
      <c r="S135" s="61" t="str">
        <f t="shared" ref="S135:S140" si="26">IF(T135&lt;&gt;"",", ","")</f>
        <v/>
      </c>
      <c r="T135" s="62"/>
    </row>
    <row r="136" spans="6:20" ht="12" customHeight="1" x14ac:dyDescent="0.25">
      <c r="F136" s="52">
        <v>9145</v>
      </c>
      <c r="G136" s="52">
        <v>7</v>
      </c>
      <c r="H136" s="52" t="s">
        <v>959</v>
      </c>
      <c r="I136" s="60" t="s">
        <v>249</v>
      </c>
      <c r="J136" s="52">
        <v>6</v>
      </c>
      <c r="K136" s="60" t="str">
        <f t="shared" si="24"/>
        <v>Raul Zamora</v>
      </c>
      <c r="L136" s="317" t="s">
        <v>804</v>
      </c>
      <c r="M136" s="60" t="str">
        <f>IF(N136&lt;&gt;"",", ","")</f>
        <v/>
      </c>
      <c r="N136" s="317"/>
      <c r="O136" s="60" t="str">
        <f>IF(P138&lt;&gt;"",", ","")</f>
        <v/>
      </c>
      <c r="P136" s="60"/>
      <c r="Q136" s="61" t="str">
        <f t="shared" si="25"/>
        <v/>
      </c>
      <c r="R136" s="60"/>
      <c r="S136" s="61" t="str">
        <f t="shared" si="26"/>
        <v/>
      </c>
      <c r="T136" s="60"/>
    </row>
    <row r="137" spans="6:20" ht="12" customHeight="1" x14ac:dyDescent="0.25">
      <c r="F137" s="52">
        <v>9146</v>
      </c>
      <c r="G137" s="52">
        <v>7</v>
      </c>
      <c r="H137" s="52" t="s">
        <v>1200</v>
      </c>
      <c r="I137" s="60" t="s">
        <v>1199</v>
      </c>
      <c r="J137" s="52">
        <v>6</v>
      </c>
      <c r="K137" s="60" t="str">
        <f t="shared" si="24"/>
        <v>Santiago  García</v>
      </c>
      <c r="L137" s="322" t="s">
        <v>1209</v>
      </c>
      <c r="M137" s="60" t="str">
        <f>IF(N137&lt;&gt;"",", ","")</f>
        <v/>
      </c>
      <c r="N137" s="263"/>
      <c r="O137" s="60" t="str">
        <f>IF(P140&lt;&gt;"",", ","")</f>
        <v/>
      </c>
      <c r="P137" s="60"/>
      <c r="Q137" s="61" t="str">
        <f t="shared" si="25"/>
        <v/>
      </c>
      <c r="R137" s="60"/>
      <c r="S137" s="61" t="str">
        <f t="shared" si="26"/>
        <v/>
      </c>
      <c r="T137" s="60"/>
    </row>
    <row r="138" spans="6:20" ht="12" customHeight="1" x14ac:dyDescent="0.25">
      <c r="F138" s="52">
        <v>9147</v>
      </c>
      <c r="G138" s="52">
        <v>7</v>
      </c>
      <c r="H138" s="52" t="s">
        <v>1201</v>
      </c>
      <c r="I138" s="60" t="s">
        <v>1211</v>
      </c>
      <c r="J138" s="52">
        <v>6</v>
      </c>
      <c r="K138" s="60" t="str">
        <f t="shared" si="24"/>
        <v>Esteban Marcos</v>
      </c>
      <c r="L138" s="60" t="s">
        <v>1210</v>
      </c>
      <c r="M138" s="60" t="str">
        <f>IF(N138&lt;&gt;"",", ","")</f>
        <v/>
      </c>
      <c r="N138" s="317"/>
      <c r="O138" s="60" t="str">
        <f>IF(P141&lt;&gt;"",", ","")</f>
        <v/>
      </c>
      <c r="P138" s="60"/>
      <c r="Q138" s="60" t="str">
        <f t="shared" si="25"/>
        <v/>
      </c>
      <c r="R138" s="60"/>
      <c r="S138" s="60" t="str">
        <f t="shared" si="26"/>
        <v/>
      </c>
      <c r="T138" s="60"/>
    </row>
    <row r="139" spans="6:20" ht="12" customHeight="1" x14ac:dyDescent="0.25">
      <c r="F139" s="52">
        <v>9148</v>
      </c>
      <c r="G139" s="52">
        <v>7</v>
      </c>
      <c r="H139" s="52" t="s">
        <v>960</v>
      </c>
      <c r="I139" s="60" t="s">
        <v>1030</v>
      </c>
      <c r="J139" s="52">
        <v>6</v>
      </c>
      <c r="K139" s="60" t="str">
        <f>CONCATENATE(L139,M139,N139,O139,P139,Q139,R139)</f>
        <v>Roberto Arce, Rosa Sánchez</v>
      </c>
      <c r="L139" s="317" t="s">
        <v>1161</v>
      </c>
      <c r="M139" s="60" t="str">
        <f>IF(N139&lt;&gt;"",", ","")</f>
        <v xml:space="preserve">, </v>
      </c>
      <c r="N139" s="317" t="s">
        <v>872</v>
      </c>
      <c r="O139" s="317"/>
      <c r="P139" s="60"/>
      <c r="Q139" s="60" t="str">
        <f t="shared" si="25"/>
        <v/>
      </c>
      <c r="R139" s="60"/>
      <c r="S139" s="60" t="str">
        <f t="shared" si="26"/>
        <v/>
      </c>
      <c r="T139" s="60"/>
    </row>
    <row r="140" spans="6:20" ht="12" customHeight="1" x14ac:dyDescent="0.25">
      <c r="F140" s="52">
        <v>9149</v>
      </c>
      <c r="G140" s="52">
        <v>7</v>
      </c>
      <c r="H140" s="52" t="s">
        <v>955</v>
      </c>
      <c r="I140" s="60" t="s">
        <v>926</v>
      </c>
      <c r="J140" s="52">
        <v>6</v>
      </c>
      <c r="K140" s="60" t="str">
        <f>CONCATENATE(L140,M140,N140,O140,P140,Q140,R140)</f>
        <v>Carlos Alonso de Armiño Pérez</v>
      </c>
      <c r="L140" s="60" t="s">
        <v>384</v>
      </c>
      <c r="M140" s="60" t="str">
        <f>IF(N140&lt;&gt;"",", ","")</f>
        <v/>
      </c>
      <c r="N140" s="60"/>
      <c r="O140" s="60" t="str">
        <f>IF(P140&lt;&gt;"",", ","")</f>
        <v/>
      </c>
      <c r="P140" s="60"/>
      <c r="Q140" s="60" t="str">
        <f t="shared" si="25"/>
        <v/>
      </c>
      <c r="R140" s="60"/>
      <c r="S140" s="60" t="str">
        <f t="shared" si="26"/>
        <v/>
      </c>
      <c r="T140" s="60"/>
    </row>
    <row r="141" spans="6:20" ht="12" customHeight="1" x14ac:dyDescent="0.25">
      <c r="F141" s="52"/>
      <c r="G141" s="52"/>
      <c r="H141" s="52" t="s">
        <v>1207</v>
      </c>
      <c r="I141" s="60"/>
      <c r="J141" s="52"/>
      <c r="K141" s="60"/>
      <c r="L141" s="60"/>
      <c r="M141" s="60"/>
      <c r="N141" s="60"/>
      <c r="O141" s="60"/>
      <c r="P141" s="60"/>
      <c r="Q141" s="60"/>
      <c r="R141" s="60"/>
      <c r="S141" s="60"/>
      <c r="T141" s="60"/>
    </row>
    <row r="142" spans="6:20" ht="12" customHeight="1" x14ac:dyDescent="0.25">
      <c r="F142" s="52"/>
      <c r="G142" s="52"/>
      <c r="H142" s="52" t="s">
        <v>1208</v>
      </c>
      <c r="I142" s="60"/>
      <c r="J142" s="52"/>
      <c r="K142" s="60"/>
      <c r="L142" s="60"/>
      <c r="M142" s="60"/>
      <c r="N142" s="317"/>
      <c r="O142" s="317"/>
      <c r="P142" s="60"/>
      <c r="Q142" s="60"/>
      <c r="R142" s="60"/>
      <c r="S142" s="60"/>
      <c r="T142" s="60"/>
    </row>
    <row r="143" spans="6:20" ht="12" customHeight="1" x14ac:dyDescent="0.25">
      <c r="F143" s="52"/>
      <c r="G143" s="52"/>
      <c r="H143" s="52"/>
      <c r="I143" s="60"/>
      <c r="J143" s="52"/>
      <c r="K143" s="60"/>
      <c r="L143" s="60"/>
      <c r="M143" s="60"/>
      <c r="N143" s="317"/>
      <c r="O143" s="317"/>
      <c r="P143" s="60"/>
      <c r="Q143" s="60"/>
      <c r="R143" s="60"/>
      <c r="S143" s="60"/>
      <c r="T143" s="60"/>
    </row>
    <row r="144" spans="6:20" ht="12" customHeight="1" x14ac:dyDescent="0.25">
      <c r="F144" s="52"/>
      <c r="G144" s="52"/>
      <c r="H144" s="52"/>
      <c r="I144" s="60"/>
      <c r="J144" s="52"/>
      <c r="K144" s="60"/>
      <c r="L144" s="60"/>
      <c r="M144" s="60"/>
      <c r="N144" s="317"/>
      <c r="O144" s="317"/>
      <c r="P144" s="60"/>
      <c r="Q144" s="60"/>
      <c r="R144" s="60"/>
      <c r="S144" s="60"/>
      <c r="T144" s="60"/>
    </row>
    <row r="145" spans="6:20" ht="12" customHeight="1" x14ac:dyDescent="0.25">
      <c r="F145" s="54"/>
      <c r="G145" s="54"/>
      <c r="H145" s="54"/>
      <c r="I145" s="62"/>
      <c r="J145" s="54"/>
      <c r="K145" s="62"/>
      <c r="L145" s="62"/>
      <c r="M145" s="62"/>
      <c r="N145" s="62"/>
      <c r="O145" s="62"/>
      <c r="P145" s="62"/>
      <c r="Q145" s="254"/>
      <c r="R145" s="254"/>
      <c r="S145" s="254"/>
      <c r="T145" s="254"/>
    </row>
    <row r="146" spans="6:20" ht="12" customHeight="1" x14ac:dyDescent="0.25">
      <c r="F146" s="52">
        <v>9151</v>
      </c>
      <c r="G146" s="52">
        <v>8</v>
      </c>
      <c r="H146" s="52" t="s">
        <v>968</v>
      </c>
      <c r="I146" s="60" t="s">
        <v>1213</v>
      </c>
      <c r="J146" s="52" t="s">
        <v>522</v>
      </c>
      <c r="K146" s="60" t="str">
        <f>CONCATENATE(L146,M146,N146,O146,P146,Q146,R146)</f>
        <v>Ricardo Martínez, Javier González</v>
      </c>
      <c r="L146" s="263" t="s">
        <v>1033</v>
      </c>
      <c r="M146" s="60" t="s">
        <v>651</v>
      </c>
      <c r="N146" s="263" t="s">
        <v>745</v>
      </c>
      <c r="O146" s="60" t="str">
        <f>IF(P151&lt;&gt;"",", ","")</f>
        <v/>
      </c>
      <c r="P146" s="60"/>
      <c r="Q146" s="60" t="str">
        <f>IF(R146&lt;&gt;"",", ","")</f>
        <v/>
      </c>
      <c r="R146" s="60"/>
      <c r="S146" s="60" t="str">
        <f>IF(T146&lt;&gt;"",", ","")</f>
        <v/>
      </c>
      <c r="T146" s="60"/>
    </row>
    <row r="147" spans="6:20" ht="12" customHeight="1" x14ac:dyDescent="0.25">
      <c r="F147" s="52">
        <v>9152</v>
      </c>
      <c r="G147" s="52">
        <v>8</v>
      </c>
      <c r="H147" s="52" t="s">
        <v>1202</v>
      </c>
      <c r="I147" s="60" t="s">
        <v>1265</v>
      </c>
      <c r="J147" s="52" t="s">
        <v>522</v>
      </c>
      <c r="K147" s="60" t="str">
        <f>CONCATENATE(L147,M147,N147,O147,P147,Q147,R147)</f>
        <v>Cristina Alonso, Rocio Barros, Sonia Martel</v>
      </c>
      <c r="L147" s="60" t="s">
        <v>1162</v>
      </c>
      <c r="M147" s="60" t="s">
        <v>651</v>
      </c>
      <c r="N147" s="60" t="s">
        <v>1163</v>
      </c>
      <c r="O147" s="60" t="str">
        <f>IF(P147&lt;&gt;"",", ","")</f>
        <v xml:space="preserve">, </v>
      </c>
      <c r="P147" s="60" t="s">
        <v>1164</v>
      </c>
      <c r="Q147" s="60" t="str">
        <f>IF(R147&lt;&gt;"",", ","")</f>
        <v/>
      </c>
      <c r="R147" s="60"/>
      <c r="S147" s="60" t="str">
        <f>IF(T147&lt;&gt;"",", ","")</f>
        <v/>
      </c>
      <c r="T147" s="60"/>
    </row>
    <row r="148" spans="6:20" ht="12" customHeight="1" x14ac:dyDescent="0.25">
      <c r="F148" s="52">
        <v>9153</v>
      </c>
      <c r="G148" s="52">
        <v>8</v>
      </c>
      <c r="H148" s="52" t="s">
        <v>1232</v>
      </c>
      <c r="I148" s="60" t="s">
        <v>1231</v>
      </c>
      <c r="J148" s="52" t="s">
        <v>522</v>
      </c>
      <c r="K148" s="60" t="str">
        <f>CONCATENATE(L148,M148,N148,O148,P148,Q148,R148)</f>
        <v>Luis R. Izquierdo</v>
      </c>
      <c r="L148" s="60" t="s">
        <v>1229</v>
      </c>
      <c r="M148" s="60"/>
      <c r="N148" s="60"/>
      <c r="O148" s="60"/>
      <c r="P148" s="60"/>
      <c r="Q148" s="60"/>
      <c r="R148" s="60"/>
      <c r="S148" s="60"/>
      <c r="T148" s="60"/>
    </row>
    <row r="149" spans="6:20" ht="12" customHeight="1" x14ac:dyDescent="0.25">
      <c r="F149" s="52">
        <v>9151</v>
      </c>
      <c r="G149" s="52"/>
      <c r="H149" s="52" t="s">
        <v>1205</v>
      </c>
      <c r="I149" s="60"/>
      <c r="J149" s="52"/>
      <c r="K149" s="60"/>
      <c r="L149" s="60"/>
      <c r="M149" s="60"/>
      <c r="N149" s="60"/>
      <c r="O149" s="60"/>
      <c r="P149" s="60"/>
      <c r="Q149" s="60"/>
      <c r="R149" s="60"/>
      <c r="S149" s="60"/>
      <c r="T149" s="60"/>
    </row>
    <row r="150" spans="6:20" ht="12" customHeight="1" x14ac:dyDescent="0.25">
      <c r="F150" s="52">
        <v>9153</v>
      </c>
      <c r="G150" s="52"/>
      <c r="H150" s="52" t="s">
        <v>1206</v>
      </c>
      <c r="I150" s="60"/>
      <c r="J150" s="52"/>
      <c r="K150" s="60"/>
      <c r="L150" s="60"/>
      <c r="M150" s="60"/>
      <c r="N150" s="60"/>
      <c r="O150" s="60"/>
      <c r="P150" s="60"/>
      <c r="Q150" s="60"/>
      <c r="R150" s="60"/>
      <c r="S150" s="60"/>
      <c r="T150" s="60"/>
    </row>
    <row r="151" spans="6:20" ht="12" customHeight="1" x14ac:dyDescent="0.25">
      <c r="F151" s="63" t="s">
        <v>258</v>
      </c>
      <c r="G151" s="41"/>
      <c r="K151" s="55" t="str">
        <f t="shared" ref="K151:K182" si="27">CONCATENATE(L151,M151,N151,O151,P151,Q151,R151)</f>
        <v/>
      </c>
      <c r="L151" s="314"/>
      <c r="M151" s="254" t="str">
        <f t="shared" ref="M151:M195" si="28">IF(N151&lt;&gt;"",", ","")</f>
        <v/>
      </c>
      <c r="N151" s="254"/>
      <c r="O151" s="60" t="str">
        <f>IF(P151&lt;&gt;"",", ","")</f>
        <v/>
      </c>
      <c r="P151" s="314"/>
      <c r="Q151" s="254" t="str">
        <f t="shared" ref="Q151:S156" si="29">IF(R151&lt;&gt;"",", ","")</f>
        <v/>
      </c>
      <c r="R151" s="314"/>
      <c r="S151" s="254" t="str">
        <f t="shared" si="29"/>
        <v/>
      </c>
      <c r="T151" s="314"/>
    </row>
    <row r="152" spans="6:20" ht="12" customHeight="1" x14ac:dyDescent="0.25">
      <c r="F152" s="52">
        <v>8797</v>
      </c>
      <c r="G152" s="52">
        <v>1</v>
      </c>
      <c r="H152" s="52" t="s">
        <v>928</v>
      </c>
      <c r="I152" s="60" t="s">
        <v>385</v>
      </c>
      <c r="J152" s="52">
        <v>6</v>
      </c>
      <c r="K152" s="60" t="str">
        <f t="shared" si="27"/>
        <v>Mª Begoña Torres, Zaíra Pérez</v>
      </c>
      <c r="L152" s="319" t="s">
        <v>873</v>
      </c>
      <c r="M152" s="60" t="str">
        <f t="shared" si="28"/>
        <v xml:space="preserve">, </v>
      </c>
      <c r="N152" s="318" t="s">
        <v>1247</v>
      </c>
      <c r="O152" s="60" t="str">
        <f t="shared" ref="O152:O184" si="30">IF(P152&lt;&gt;"",", ","")</f>
        <v/>
      </c>
      <c r="P152" s="60"/>
      <c r="Q152" s="60" t="str">
        <f t="shared" si="29"/>
        <v/>
      </c>
      <c r="R152" s="60"/>
      <c r="S152" s="60" t="str">
        <f t="shared" si="29"/>
        <v/>
      </c>
      <c r="T152" s="60"/>
    </row>
    <row r="153" spans="6:20" ht="12" customHeight="1" x14ac:dyDescent="0.25">
      <c r="F153" s="52">
        <v>8798</v>
      </c>
      <c r="G153" s="52">
        <v>1</v>
      </c>
      <c r="H153" s="52" t="s">
        <v>949</v>
      </c>
      <c r="I153" s="60" t="s">
        <v>386</v>
      </c>
      <c r="J153" s="52">
        <v>6</v>
      </c>
      <c r="K153" s="60" t="str">
        <f t="shared" si="27"/>
        <v>Virginia Martínez, Mario Martínez</v>
      </c>
      <c r="L153" s="60" t="s">
        <v>875</v>
      </c>
      <c r="M153" s="60" t="str">
        <f t="shared" si="28"/>
        <v xml:space="preserve">, </v>
      </c>
      <c r="N153" s="261" t="s">
        <v>754</v>
      </c>
      <c r="O153" s="60" t="str">
        <f t="shared" si="30"/>
        <v/>
      </c>
      <c r="P153" s="60"/>
      <c r="Q153" s="60" t="str">
        <f t="shared" si="29"/>
        <v/>
      </c>
      <c r="R153" s="60"/>
      <c r="S153" s="60" t="str">
        <f t="shared" si="29"/>
        <v/>
      </c>
      <c r="T153" s="60"/>
    </row>
    <row r="154" spans="6:20" ht="12" customHeight="1" x14ac:dyDescent="0.25">
      <c r="F154" s="52">
        <v>8799</v>
      </c>
      <c r="G154" s="52">
        <v>1</v>
      </c>
      <c r="H154" s="52" t="s">
        <v>944</v>
      </c>
      <c r="I154" s="60" t="s">
        <v>387</v>
      </c>
      <c r="J154" s="52">
        <v>6</v>
      </c>
      <c r="K154" s="60" t="str">
        <f t="shared" si="27"/>
        <v>Fernando Manuel García, Alfredo Bol</v>
      </c>
      <c r="L154" s="60" t="s">
        <v>876</v>
      </c>
      <c r="M154" s="60" t="str">
        <f t="shared" si="28"/>
        <v xml:space="preserve">, </v>
      </c>
      <c r="N154" s="60" t="s">
        <v>760</v>
      </c>
      <c r="O154" s="60" t="str">
        <f t="shared" si="30"/>
        <v/>
      </c>
      <c r="P154" s="60"/>
      <c r="Q154" s="60" t="str">
        <f t="shared" si="29"/>
        <v/>
      </c>
      <c r="R154" s="60"/>
      <c r="S154" s="60" t="str">
        <f t="shared" si="29"/>
        <v/>
      </c>
      <c r="T154" s="60"/>
    </row>
    <row r="155" spans="6:20" ht="12" customHeight="1" x14ac:dyDescent="0.25">
      <c r="F155" s="52">
        <v>8800</v>
      </c>
      <c r="G155" s="52">
        <v>1</v>
      </c>
      <c r="H155" s="52" t="s">
        <v>1173</v>
      </c>
      <c r="I155" s="60" t="s">
        <v>388</v>
      </c>
      <c r="J155" s="52">
        <v>6</v>
      </c>
      <c r="K155" s="60" t="str">
        <f t="shared" si="27"/>
        <v>Mª Pilar de las Heras, Alfredo Gordillo</v>
      </c>
      <c r="L155" s="60" t="s">
        <v>877</v>
      </c>
      <c r="M155" s="60" t="str">
        <f t="shared" si="28"/>
        <v xml:space="preserve">, </v>
      </c>
      <c r="N155" s="60" t="s">
        <v>1256</v>
      </c>
      <c r="O155" s="60" t="str">
        <f t="shared" si="30"/>
        <v/>
      </c>
      <c r="P155" s="60"/>
      <c r="Q155" s="60" t="str">
        <f t="shared" si="29"/>
        <v/>
      </c>
      <c r="R155" s="60"/>
      <c r="S155" s="60" t="str">
        <f t="shared" si="29"/>
        <v/>
      </c>
      <c r="T155" s="60"/>
    </row>
    <row r="156" spans="6:20" ht="12" customHeight="1" x14ac:dyDescent="0.25">
      <c r="F156" s="52">
        <v>8796</v>
      </c>
      <c r="G156" s="52">
        <v>1</v>
      </c>
      <c r="H156" s="52" t="s">
        <v>528</v>
      </c>
      <c r="I156" s="60" t="s">
        <v>527</v>
      </c>
      <c r="J156" s="52">
        <v>6</v>
      </c>
      <c r="K156" s="60" t="str">
        <f t="shared" si="27"/>
        <v>Mª del Rosario González, Rosa Sánchez</v>
      </c>
      <c r="L156" s="60" t="s">
        <v>871</v>
      </c>
      <c r="M156" s="60" t="str">
        <f t="shared" si="28"/>
        <v xml:space="preserve">, </v>
      </c>
      <c r="N156" s="60" t="s">
        <v>872</v>
      </c>
      <c r="O156" s="60" t="str">
        <f t="shared" si="30"/>
        <v/>
      </c>
      <c r="Q156" s="60" t="str">
        <f t="shared" si="29"/>
        <v/>
      </c>
      <c r="R156" s="60"/>
      <c r="S156" s="60" t="str">
        <f t="shared" si="29"/>
        <v/>
      </c>
      <c r="T156" s="60"/>
    </row>
    <row r="157" spans="6:20" ht="12" customHeight="1" x14ac:dyDescent="0.25">
      <c r="F157" s="54">
        <v>8801</v>
      </c>
      <c r="G157" s="54">
        <v>2</v>
      </c>
      <c r="H157" s="54" t="s">
        <v>952</v>
      </c>
      <c r="I157" s="62" t="s">
        <v>389</v>
      </c>
      <c r="J157" s="54">
        <v>6</v>
      </c>
      <c r="K157" s="62" t="str">
        <f t="shared" si="27"/>
        <v xml:space="preserve">Parisa del Shad </v>
      </c>
      <c r="L157" s="323" t="s">
        <v>1214</v>
      </c>
      <c r="M157" s="62" t="str">
        <f t="shared" si="28"/>
        <v/>
      </c>
      <c r="N157" s="62"/>
      <c r="O157" s="62" t="str">
        <f t="shared" si="30"/>
        <v/>
      </c>
      <c r="P157" s="326"/>
      <c r="Q157" s="62"/>
      <c r="R157" s="326"/>
      <c r="S157" s="62"/>
      <c r="T157" s="326"/>
    </row>
    <row r="158" spans="6:20" ht="12" customHeight="1" x14ac:dyDescent="0.25">
      <c r="F158" s="54">
        <v>8802</v>
      </c>
      <c r="G158" s="54">
        <v>2</v>
      </c>
      <c r="H158" s="54" t="s">
        <v>934</v>
      </c>
      <c r="I158" s="62" t="s">
        <v>244</v>
      </c>
      <c r="J158" s="54">
        <v>6</v>
      </c>
      <c r="K158" s="62" t="str">
        <f t="shared" si="27"/>
        <v>Sol García, María Saez-Royuela</v>
      </c>
      <c r="L158" s="260" t="s">
        <v>1215</v>
      </c>
      <c r="M158" s="62" t="str">
        <f t="shared" si="28"/>
        <v xml:space="preserve">, </v>
      </c>
      <c r="N158" s="325" t="s">
        <v>878</v>
      </c>
      <c r="O158" s="62" t="str">
        <f t="shared" si="30"/>
        <v/>
      </c>
      <c r="P158" s="325"/>
      <c r="Q158" s="62"/>
      <c r="R158" s="325"/>
      <c r="S158" s="62" t="s">
        <v>573</v>
      </c>
    </row>
    <row r="159" spans="6:20" ht="12" customHeight="1" x14ac:dyDescent="0.25">
      <c r="F159" s="54">
        <v>8803</v>
      </c>
      <c r="G159" s="54">
        <v>2</v>
      </c>
      <c r="H159" s="54" t="s">
        <v>963</v>
      </c>
      <c r="I159" s="62" t="s">
        <v>390</v>
      </c>
      <c r="J159" s="54">
        <v>6</v>
      </c>
      <c r="K159" s="62" t="str">
        <f t="shared" si="27"/>
        <v>Virginia Martínez, Carlos Pardo</v>
      </c>
      <c r="L159" s="62" t="s">
        <v>875</v>
      </c>
      <c r="M159" s="62" t="str">
        <f t="shared" si="28"/>
        <v xml:space="preserve">, </v>
      </c>
      <c r="N159" s="62" t="s">
        <v>759</v>
      </c>
      <c r="O159" s="62" t="str">
        <f t="shared" si="30"/>
        <v/>
      </c>
      <c r="P159" s="62"/>
      <c r="Q159" s="62" t="str">
        <f>IF(R159&lt;&gt;"",", ","")</f>
        <v/>
      </c>
      <c r="R159" s="62"/>
      <c r="S159" s="62" t="str">
        <f>IF(T159&lt;&gt;"",", ","")</f>
        <v/>
      </c>
      <c r="T159" s="62"/>
    </row>
    <row r="160" spans="6:20" ht="12" customHeight="1" x14ac:dyDescent="0.25">
      <c r="F160" s="54">
        <v>8804</v>
      </c>
      <c r="G160" s="54">
        <v>2</v>
      </c>
      <c r="H160" s="54" t="s">
        <v>101</v>
      </c>
      <c r="I160" s="62" t="s">
        <v>391</v>
      </c>
      <c r="J160" s="54">
        <v>6</v>
      </c>
      <c r="K160" s="62" t="str">
        <f t="shared" si="27"/>
        <v>Pedro Luis Sánchez</v>
      </c>
      <c r="L160" s="62" t="s">
        <v>879</v>
      </c>
      <c r="M160" s="62" t="str">
        <f t="shared" si="28"/>
        <v/>
      </c>
      <c r="N160" s="62"/>
      <c r="O160" s="62" t="str">
        <f t="shared" si="30"/>
        <v/>
      </c>
      <c r="P160" s="62"/>
      <c r="Q160" s="62" t="str">
        <f>IF(R160&lt;&gt;"",", ","")</f>
        <v/>
      </c>
      <c r="R160" s="62"/>
      <c r="S160" s="62" t="str">
        <f>IF(T160&lt;&gt;"",", ","")</f>
        <v/>
      </c>
      <c r="T160" s="62"/>
    </row>
    <row r="161" spans="6:20" ht="12" customHeight="1" x14ac:dyDescent="0.25">
      <c r="F161" s="54">
        <v>8805</v>
      </c>
      <c r="G161" s="54">
        <v>2</v>
      </c>
      <c r="H161" s="54" t="s">
        <v>525</v>
      </c>
      <c r="I161" s="62" t="s">
        <v>392</v>
      </c>
      <c r="J161" s="54">
        <v>6</v>
      </c>
      <c r="K161" s="62" t="str">
        <f t="shared" si="27"/>
        <v>José Manuel Sáiz Díez, Ana Searrano</v>
      </c>
      <c r="L161" s="323" t="s">
        <v>880</v>
      </c>
      <c r="M161" s="62" t="str">
        <f t="shared" si="28"/>
        <v xml:space="preserve">, </v>
      </c>
      <c r="N161" s="62" t="s">
        <v>1216</v>
      </c>
      <c r="O161" s="62" t="str">
        <f t="shared" si="30"/>
        <v/>
      </c>
      <c r="P161" s="62"/>
      <c r="Q161" s="62" t="str">
        <f>IF(R161&lt;&gt;"",", ","")</f>
        <v/>
      </c>
      <c r="R161" s="62"/>
      <c r="S161" s="62" t="str">
        <f>IF(T161&lt;&gt;"",", ","")</f>
        <v/>
      </c>
      <c r="T161" s="62"/>
    </row>
    <row r="162" spans="6:20" ht="12" customHeight="1" x14ac:dyDescent="0.25">
      <c r="F162" s="52">
        <v>8806</v>
      </c>
      <c r="G162" s="52">
        <v>3</v>
      </c>
      <c r="H162" s="52" t="s">
        <v>413</v>
      </c>
      <c r="I162" s="60" t="s">
        <v>393</v>
      </c>
      <c r="J162" s="52">
        <v>6</v>
      </c>
      <c r="K162" s="60" t="str">
        <f t="shared" si="27"/>
        <v>Raúl Marticorena Sánchez</v>
      </c>
      <c r="L162" s="60" t="s">
        <v>416</v>
      </c>
      <c r="M162" s="60" t="str">
        <f t="shared" si="28"/>
        <v/>
      </c>
      <c r="N162" s="60"/>
      <c r="O162" s="60" t="str">
        <f t="shared" si="30"/>
        <v/>
      </c>
      <c r="P162" s="60"/>
      <c r="Q162" s="60" t="str">
        <f t="shared" ref="Q162:S190" si="31">IF(R162&lt;&gt;"",", ","")</f>
        <v/>
      </c>
      <c r="R162" s="60"/>
      <c r="S162" s="60" t="str">
        <f t="shared" si="31"/>
        <v/>
      </c>
      <c r="T162" s="60"/>
    </row>
    <row r="163" spans="6:20" ht="12" customHeight="1" x14ac:dyDescent="0.25">
      <c r="F163" s="52">
        <v>8807</v>
      </c>
      <c r="G163" s="52">
        <v>3</v>
      </c>
      <c r="H163" s="52" t="s">
        <v>939</v>
      </c>
      <c r="I163" s="60" t="s">
        <v>394</v>
      </c>
      <c r="J163" s="52">
        <v>6</v>
      </c>
      <c r="K163" s="60" t="str">
        <f t="shared" si="27"/>
        <v xml:space="preserve">Diego Sedano, Alvaro Díez </v>
      </c>
      <c r="L163" s="60" t="s">
        <v>867</v>
      </c>
      <c r="M163" s="60" t="str">
        <f t="shared" si="28"/>
        <v xml:space="preserve">, </v>
      </c>
      <c r="N163" s="60" t="s">
        <v>881</v>
      </c>
      <c r="O163" s="60" t="str">
        <f t="shared" si="30"/>
        <v/>
      </c>
      <c r="P163" s="60"/>
      <c r="Q163" s="60" t="str">
        <f t="shared" si="31"/>
        <v/>
      </c>
      <c r="R163" s="60"/>
      <c r="S163" s="60" t="str">
        <f t="shared" si="31"/>
        <v/>
      </c>
      <c r="T163" s="60"/>
    </row>
    <row r="164" spans="6:20" ht="12" customHeight="1" x14ac:dyDescent="0.25">
      <c r="F164" s="52">
        <v>8808</v>
      </c>
      <c r="G164" s="52">
        <v>3</v>
      </c>
      <c r="H164" s="52" t="s">
        <v>102</v>
      </c>
      <c r="I164" s="65" t="s">
        <v>395</v>
      </c>
      <c r="J164" s="52">
        <v>6</v>
      </c>
      <c r="K164" s="60" t="str">
        <f t="shared" si="27"/>
        <v>Jorge San Miguel Navazo, Belén Vaquerizo</v>
      </c>
      <c r="L164" s="60" t="s">
        <v>1099</v>
      </c>
      <c r="M164" s="60" t="str">
        <f t="shared" si="28"/>
        <v xml:space="preserve">, </v>
      </c>
      <c r="N164" s="60" t="s">
        <v>1217</v>
      </c>
      <c r="O164" s="60" t="str">
        <f t="shared" si="30"/>
        <v/>
      </c>
      <c r="P164" s="60"/>
      <c r="Q164" s="60" t="str">
        <f t="shared" si="31"/>
        <v/>
      </c>
      <c r="R164" s="60"/>
      <c r="S164" s="60" t="str">
        <f t="shared" si="31"/>
        <v/>
      </c>
      <c r="T164" s="60"/>
    </row>
    <row r="165" spans="6:20" ht="12" customHeight="1" x14ac:dyDescent="0.25">
      <c r="F165" s="52">
        <v>8809</v>
      </c>
      <c r="G165" s="52">
        <v>3</v>
      </c>
      <c r="H165" s="52" t="s">
        <v>103</v>
      </c>
      <c r="I165" s="60" t="s">
        <v>396</v>
      </c>
      <c r="J165" s="52">
        <v>6</v>
      </c>
      <c r="K165" s="60" t="str">
        <f t="shared" si="27"/>
        <v>Jesús Manuel Maudes Raedo</v>
      </c>
      <c r="L165" s="60" t="s">
        <v>882</v>
      </c>
      <c r="M165" s="60" t="str">
        <f t="shared" si="28"/>
        <v/>
      </c>
      <c r="N165" s="60"/>
      <c r="O165" s="60" t="str">
        <f t="shared" si="30"/>
        <v/>
      </c>
      <c r="P165" s="60"/>
      <c r="Q165" s="60" t="str">
        <f t="shared" si="31"/>
        <v/>
      </c>
      <c r="R165" s="60"/>
      <c r="S165" s="60" t="str">
        <f t="shared" si="31"/>
        <v/>
      </c>
      <c r="T165" s="60"/>
    </row>
    <row r="166" spans="6:20" ht="12" customHeight="1" x14ac:dyDescent="0.25">
      <c r="F166" s="52">
        <v>8810</v>
      </c>
      <c r="G166" s="52">
        <v>3</v>
      </c>
      <c r="H166" s="52" t="s">
        <v>526</v>
      </c>
      <c r="I166" s="60" t="s">
        <v>397</v>
      </c>
      <c r="J166" s="52">
        <v>6</v>
      </c>
      <c r="K166" s="60" t="str">
        <f t="shared" si="27"/>
        <v>César Represa Pérez, Ana Serna</v>
      </c>
      <c r="L166" s="60" t="s">
        <v>417</v>
      </c>
      <c r="M166" s="60" t="str">
        <f t="shared" si="28"/>
        <v xml:space="preserve">, </v>
      </c>
      <c r="N166" s="60" t="s">
        <v>1218</v>
      </c>
      <c r="O166" s="60" t="str">
        <f t="shared" si="30"/>
        <v/>
      </c>
      <c r="P166" s="60"/>
      <c r="Q166" s="60" t="str">
        <f t="shared" si="31"/>
        <v/>
      </c>
      <c r="R166" s="60"/>
      <c r="S166" s="60" t="str">
        <f t="shared" si="31"/>
        <v/>
      </c>
      <c r="T166" s="60"/>
    </row>
    <row r="167" spans="6:20" ht="12" customHeight="1" x14ac:dyDescent="0.25">
      <c r="F167" s="54">
        <v>8811</v>
      </c>
      <c r="G167" s="54">
        <v>4</v>
      </c>
      <c r="H167" s="54" t="s">
        <v>105</v>
      </c>
      <c r="I167" s="62" t="s">
        <v>398</v>
      </c>
      <c r="J167" s="54">
        <v>6</v>
      </c>
      <c r="K167" s="62" t="str">
        <f t="shared" si="27"/>
        <v>Bruno Baruque Zanón, Ramón Moreno, Francisco Godoy</v>
      </c>
      <c r="L167" s="323" t="s">
        <v>505</v>
      </c>
      <c r="M167" s="62" t="str">
        <f t="shared" si="28"/>
        <v xml:space="preserve">, </v>
      </c>
      <c r="N167" s="62" t="s">
        <v>1219</v>
      </c>
      <c r="O167" s="62" t="str">
        <f t="shared" si="30"/>
        <v xml:space="preserve">, </v>
      </c>
      <c r="P167" s="62" t="s">
        <v>1220</v>
      </c>
      <c r="Q167" s="70" t="str">
        <f t="shared" si="31"/>
        <v/>
      </c>
      <c r="R167" s="70"/>
      <c r="S167" s="70" t="str">
        <f t="shared" si="31"/>
        <v/>
      </c>
      <c r="T167" s="70"/>
    </row>
    <row r="168" spans="6:20" ht="12" customHeight="1" x14ac:dyDescent="0.25">
      <c r="F168" s="54">
        <v>8812</v>
      </c>
      <c r="G168" s="54">
        <v>4</v>
      </c>
      <c r="H168" s="54" t="s">
        <v>106</v>
      </c>
      <c r="I168" s="62" t="s">
        <v>399</v>
      </c>
      <c r="J168" s="54">
        <v>6</v>
      </c>
      <c r="K168" s="62" t="str">
        <f t="shared" si="27"/>
        <v>Rubén Ruiz, Alejandro Merino</v>
      </c>
      <c r="L168" s="62" t="s">
        <v>1126</v>
      </c>
      <c r="M168" s="62" t="str">
        <f t="shared" si="28"/>
        <v xml:space="preserve">, </v>
      </c>
      <c r="N168" s="62" t="s">
        <v>819</v>
      </c>
      <c r="O168" s="62" t="str">
        <f t="shared" si="30"/>
        <v/>
      </c>
      <c r="P168" s="62"/>
      <c r="Q168" s="70" t="str">
        <f t="shared" si="31"/>
        <v/>
      </c>
      <c r="R168" s="70"/>
      <c r="S168" s="70" t="str">
        <f t="shared" si="31"/>
        <v/>
      </c>
      <c r="T168" s="70"/>
    </row>
    <row r="169" spans="6:20" ht="12" customHeight="1" x14ac:dyDescent="0.25">
      <c r="F169" s="54">
        <v>8813</v>
      </c>
      <c r="G169" s="54">
        <v>4</v>
      </c>
      <c r="H169" s="54" t="s">
        <v>107</v>
      </c>
      <c r="I169" s="62" t="s">
        <v>400</v>
      </c>
      <c r="J169" s="54">
        <v>6</v>
      </c>
      <c r="K169" s="62" t="str">
        <f t="shared" si="27"/>
        <v>Diego Granados</v>
      </c>
      <c r="L169" s="62" t="s">
        <v>1221</v>
      </c>
      <c r="M169" s="62" t="str">
        <f t="shared" si="28"/>
        <v/>
      </c>
      <c r="N169" s="323"/>
      <c r="O169" s="62" t="str">
        <f t="shared" si="30"/>
        <v/>
      </c>
      <c r="P169" s="62"/>
      <c r="Q169" s="70" t="str">
        <f t="shared" si="31"/>
        <v/>
      </c>
      <c r="R169" s="70"/>
      <c r="S169" s="70" t="str">
        <f t="shared" si="31"/>
        <v/>
      </c>
      <c r="T169" s="70"/>
    </row>
    <row r="170" spans="6:20" ht="12" customHeight="1" x14ac:dyDescent="0.25">
      <c r="F170" s="54">
        <v>8814</v>
      </c>
      <c r="G170" s="54">
        <v>4</v>
      </c>
      <c r="H170" s="54" t="s">
        <v>33</v>
      </c>
      <c r="I170" s="62" t="s">
        <v>401</v>
      </c>
      <c r="J170" s="54">
        <v>6</v>
      </c>
      <c r="K170" s="62" t="str">
        <f>CONCATENATE(L170,M170,N170,O170,P170,Q170,R170)</f>
        <v>Mª Teresa Peña Pérez, Santiago Arcos Arcos</v>
      </c>
      <c r="L170" s="62" t="s">
        <v>883</v>
      </c>
      <c r="M170" s="62" t="str">
        <f t="shared" si="28"/>
        <v xml:space="preserve">, </v>
      </c>
      <c r="N170" s="62" t="s">
        <v>664</v>
      </c>
      <c r="O170" s="62" t="str">
        <f t="shared" si="30"/>
        <v/>
      </c>
      <c r="P170" s="62"/>
      <c r="Q170" s="70" t="str">
        <f t="shared" si="31"/>
        <v/>
      </c>
      <c r="R170" s="70"/>
      <c r="S170" s="70" t="str">
        <f t="shared" si="31"/>
        <v/>
      </c>
      <c r="T170" s="70"/>
    </row>
    <row r="171" spans="6:20" ht="12" customHeight="1" x14ac:dyDescent="0.25">
      <c r="F171" s="54">
        <v>8815</v>
      </c>
      <c r="G171" s="54">
        <v>4</v>
      </c>
      <c r="H171" s="54" t="s">
        <v>585</v>
      </c>
      <c r="I171" s="62" t="s">
        <v>402</v>
      </c>
      <c r="J171" s="54">
        <v>6</v>
      </c>
      <c r="K171" s="62" t="str">
        <f t="shared" si="27"/>
        <v>Carlos Cambra, Mª Teresa Vicente, Rubén Lesmes</v>
      </c>
      <c r="L171" s="62" t="s">
        <v>1112</v>
      </c>
      <c r="M171" s="62" t="str">
        <f t="shared" si="28"/>
        <v xml:space="preserve">, </v>
      </c>
      <c r="N171" s="62" t="s">
        <v>1222</v>
      </c>
      <c r="O171" s="62" t="str">
        <f t="shared" si="30"/>
        <v xml:space="preserve">, </v>
      </c>
      <c r="P171" s="62" t="s">
        <v>1223</v>
      </c>
      <c r="Q171" s="70" t="str">
        <f t="shared" si="31"/>
        <v/>
      </c>
      <c r="R171" s="70"/>
      <c r="S171" s="70" t="str">
        <f t="shared" si="31"/>
        <v/>
      </c>
      <c r="T171" s="70"/>
    </row>
    <row r="172" spans="6:20" ht="12" customHeight="1" x14ac:dyDescent="0.25">
      <c r="F172" s="52">
        <v>8816</v>
      </c>
      <c r="G172" s="52">
        <v>5</v>
      </c>
      <c r="H172" s="52" t="s">
        <v>1258</v>
      </c>
      <c r="I172" s="65" t="s">
        <v>403</v>
      </c>
      <c r="J172" s="52">
        <v>6</v>
      </c>
      <c r="K172" s="60" t="str">
        <f t="shared" si="27"/>
        <v>José Cámara Nebreda, Fernando Rivas</v>
      </c>
      <c r="L172" s="322" t="s">
        <v>884</v>
      </c>
      <c r="M172" s="60" t="str">
        <f t="shared" si="28"/>
        <v xml:space="preserve">, </v>
      </c>
      <c r="N172" s="60" t="s">
        <v>1147</v>
      </c>
      <c r="O172" s="60" t="str">
        <f t="shared" si="30"/>
        <v/>
      </c>
      <c r="P172" s="60"/>
      <c r="Q172" s="61" t="str">
        <f t="shared" si="31"/>
        <v/>
      </c>
      <c r="R172" s="61"/>
      <c r="S172" s="61" t="str">
        <f t="shared" si="31"/>
        <v/>
      </c>
      <c r="T172" s="61"/>
    </row>
    <row r="173" spans="6:20" ht="12" customHeight="1" x14ac:dyDescent="0.25">
      <c r="F173" s="52">
        <v>8817</v>
      </c>
      <c r="G173" s="52">
        <v>5</v>
      </c>
      <c r="H173" s="52" t="s">
        <v>109</v>
      </c>
      <c r="I173" s="60" t="s">
        <v>404</v>
      </c>
      <c r="J173" s="52">
        <v>6</v>
      </c>
      <c r="K173" s="60" t="str">
        <f t="shared" si="27"/>
        <v>César García Osorio, Pedro Latorre Carmona</v>
      </c>
      <c r="L173" s="60" t="s">
        <v>506</v>
      </c>
      <c r="M173" s="60" t="str">
        <f t="shared" si="28"/>
        <v xml:space="preserve">, </v>
      </c>
      <c r="N173" s="60" t="s">
        <v>885</v>
      </c>
      <c r="O173" s="60" t="str">
        <f t="shared" si="30"/>
        <v/>
      </c>
      <c r="P173" s="60"/>
      <c r="Q173" s="61" t="str">
        <f t="shared" si="31"/>
        <v/>
      </c>
      <c r="R173" s="61"/>
      <c r="S173" s="61" t="str">
        <f t="shared" si="31"/>
        <v/>
      </c>
      <c r="T173" s="61"/>
    </row>
    <row r="174" spans="6:20" ht="12" customHeight="1" x14ac:dyDescent="0.25">
      <c r="F174" s="52">
        <v>8818</v>
      </c>
      <c r="G174" s="52">
        <v>5</v>
      </c>
      <c r="H174" s="52" t="s">
        <v>414</v>
      </c>
      <c r="I174" s="60" t="s">
        <v>405</v>
      </c>
      <c r="J174" s="52">
        <v>6</v>
      </c>
      <c r="K174" s="60" t="str">
        <f t="shared" si="27"/>
        <v>Jose Manuel Galán, Daniel Urda, Carlos López, Virginia Ahedo</v>
      </c>
      <c r="L174" s="60" t="s">
        <v>815</v>
      </c>
      <c r="M174" s="60" t="str">
        <f t="shared" si="28"/>
        <v xml:space="preserve">, </v>
      </c>
      <c r="N174" s="60" t="s">
        <v>886</v>
      </c>
      <c r="O174" s="60" t="str">
        <f t="shared" si="30"/>
        <v xml:space="preserve">, </v>
      </c>
      <c r="P174" s="60" t="s">
        <v>767</v>
      </c>
      <c r="Q174" s="60" t="str">
        <f t="shared" si="31"/>
        <v xml:space="preserve">, </v>
      </c>
      <c r="R174" s="60" t="s">
        <v>740</v>
      </c>
      <c r="S174" s="61" t="str">
        <f t="shared" si="31"/>
        <v/>
      </c>
      <c r="T174" s="61"/>
    </row>
    <row r="175" spans="6:20" ht="12" customHeight="1" x14ac:dyDescent="0.25">
      <c r="F175" s="52">
        <v>8819</v>
      </c>
      <c r="G175" s="52">
        <v>5</v>
      </c>
      <c r="H175" s="52" t="s">
        <v>110</v>
      </c>
      <c r="I175" s="60" t="s">
        <v>406</v>
      </c>
      <c r="J175" s="52">
        <v>6</v>
      </c>
      <c r="K175" s="60" t="str">
        <f t="shared" si="27"/>
        <v>Jose Manuel Saiz Diez, Ignacio Pardo Aguilar</v>
      </c>
      <c r="L175" s="60" t="s">
        <v>418</v>
      </c>
      <c r="M175" s="60" t="str">
        <f t="shared" si="28"/>
        <v xml:space="preserve">, </v>
      </c>
      <c r="N175" s="60" t="s">
        <v>887</v>
      </c>
      <c r="O175" s="60" t="str">
        <f t="shared" si="30"/>
        <v/>
      </c>
      <c r="P175" s="60"/>
      <c r="Q175" s="61" t="str">
        <f t="shared" si="31"/>
        <v/>
      </c>
      <c r="R175" s="61"/>
      <c r="S175" s="61" t="str">
        <f t="shared" si="31"/>
        <v/>
      </c>
      <c r="T175" s="61"/>
    </row>
    <row r="176" spans="6:20" ht="12" customHeight="1" x14ac:dyDescent="0.25">
      <c r="F176" s="52">
        <v>8820</v>
      </c>
      <c r="G176" s="52">
        <v>5</v>
      </c>
      <c r="H176" s="52" t="s">
        <v>111</v>
      </c>
      <c r="I176" s="60" t="s">
        <v>407</v>
      </c>
      <c r="J176" s="52">
        <v>6</v>
      </c>
      <c r="K176" s="60" t="str">
        <f t="shared" si="27"/>
        <v>César Ignacio García, Álvar Arnaiz González</v>
      </c>
      <c r="L176" s="322" t="s">
        <v>888</v>
      </c>
      <c r="M176" s="60" t="str">
        <f t="shared" si="28"/>
        <v xml:space="preserve">, </v>
      </c>
      <c r="N176" s="60" t="s">
        <v>660</v>
      </c>
      <c r="O176" s="60" t="str">
        <f t="shared" si="30"/>
        <v/>
      </c>
      <c r="P176" s="60"/>
      <c r="Q176" s="61" t="str">
        <f t="shared" si="31"/>
        <v/>
      </c>
      <c r="R176" s="61"/>
      <c r="S176" s="61" t="str">
        <f t="shared" si="31"/>
        <v/>
      </c>
      <c r="T176" s="61"/>
    </row>
    <row r="177" spans="6:20" ht="12" customHeight="1" x14ac:dyDescent="0.25">
      <c r="F177" s="54">
        <v>8824</v>
      </c>
      <c r="G177" s="54">
        <v>6</v>
      </c>
      <c r="H177" s="54" t="s">
        <v>112</v>
      </c>
      <c r="I177" s="62" t="s">
        <v>408</v>
      </c>
      <c r="J177" s="54">
        <v>6</v>
      </c>
      <c r="K177" s="62" t="str">
        <f t="shared" si="27"/>
        <v>Juan José Rodríguez Diez</v>
      </c>
      <c r="L177" s="62" t="s">
        <v>419</v>
      </c>
      <c r="M177" s="62" t="str">
        <f t="shared" si="28"/>
        <v/>
      </c>
      <c r="N177" s="323"/>
      <c r="O177" s="62" t="str">
        <f t="shared" si="30"/>
        <v/>
      </c>
      <c r="P177" s="62"/>
      <c r="Q177" s="70" t="str">
        <f t="shared" si="31"/>
        <v/>
      </c>
      <c r="R177" s="70"/>
      <c r="S177" s="70" t="str">
        <f t="shared" si="31"/>
        <v/>
      </c>
      <c r="T177" s="70"/>
    </row>
    <row r="178" spans="6:20" ht="12" customHeight="1" x14ac:dyDescent="0.25">
      <c r="F178" s="54">
        <v>8823</v>
      </c>
      <c r="G178" s="54">
        <v>6</v>
      </c>
      <c r="H178" s="54" t="s">
        <v>113</v>
      </c>
      <c r="I178" s="62" t="s">
        <v>409</v>
      </c>
      <c r="J178" s="54">
        <v>6</v>
      </c>
      <c r="K178" s="62" t="str">
        <f t="shared" si="27"/>
        <v>Jesús Manuel Maudes Raedo</v>
      </c>
      <c r="L178" s="62" t="s">
        <v>882</v>
      </c>
      <c r="M178" s="62" t="str">
        <f t="shared" si="28"/>
        <v/>
      </c>
      <c r="N178" s="62"/>
      <c r="O178" s="62" t="str">
        <f t="shared" si="30"/>
        <v/>
      </c>
      <c r="P178" s="62"/>
      <c r="Q178" s="70" t="str">
        <f t="shared" si="31"/>
        <v/>
      </c>
      <c r="R178" s="70"/>
      <c r="S178" s="70" t="str">
        <f t="shared" si="31"/>
        <v/>
      </c>
      <c r="T178" s="70"/>
    </row>
    <row r="179" spans="6:20" ht="12" customHeight="1" x14ac:dyDescent="0.25">
      <c r="F179" s="54">
        <v>8825</v>
      </c>
      <c r="G179" s="54">
        <v>6</v>
      </c>
      <c r="H179" s="54" t="s">
        <v>1034</v>
      </c>
      <c r="I179" s="62" t="s">
        <v>410</v>
      </c>
      <c r="J179" s="54">
        <v>6</v>
      </c>
      <c r="K179" s="62" t="str">
        <f t="shared" si="27"/>
        <v>Mª José Zapatero</v>
      </c>
      <c r="L179" s="62" t="s">
        <v>889</v>
      </c>
      <c r="M179" s="62" t="str">
        <f t="shared" si="28"/>
        <v/>
      </c>
      <c r="N179" s="62"/>
      <c r="O179" s="62" t="str">
        <f t="shared" si="30"/>
        <v/>
      </c>
      <c r="P179" s="62"/>
      <c r="Q179" s="70" t="str">
        <f t="shared" si="31"/>
        <v/>
      </c>
      <c r="R179" s="70"/>
      <c r="S179" s="70" t="str">
        <f t="shared" si="31"/>
        <v/>
      </c>
      <c r="T179" s="70"/>
    </row>
    <row r="180" spans="6:20" ht="12" customHeight="1" x14ac:dyDescent="0.25">
      <c r="F180" s="54">
        <v>8821</v>
      </c>
      <c r="G180" s="54">
        <v>6</v>
      </c>
      <c r="H180" s="54" t="s">
        <v>114</v>
      </c>
      <c r="I180" s="62" t="s">
        <v>411</v>
      </c>
      <c r="J180" s="54">
        <v>6</v>
      </c>
      <c r="K180" s="62" t="str">
        <f t="shared" si="27"/>
        <v>Carlos López Nozal, Rubén Ruiz</v>
      </c>
      <c r="L180" s="62" t="s">
        <v>491</v>
      </c>
      <c r="M180" s="62" t="str">
        <f t="shared" si="28"/>
        <v xml:space="preserve">, </v>
      </c>
      <c r="N180" s="250" t="s">
        <v>1126</v>
      </c>
      <c r="O180" s="62" t="str">
        <f t="shared" si="30"/>
        <v/>
      </c>
      <c r="P180" s="62"/>
      <c r="Q180" s="70" t="str">
        <f t="shared" si="31"/>
        <v/>
      </c>
      <c r="R180" s="70"/>
      <c r="S180" s="70" t="str">
        <f t="shared" si="31"/>
        <v/>
      </c>
      <c r="T180" s="70"/>
    </row>
    <row r="181" spans="6:20" ht="12" customHeight="1" x14ac:dyDescent="0.25">
      <c r="F181" s="54">
        <v>8822</v>
      </c>
      <c r="G181" s="54">
        <v>6</v>
      </c>
      <c r="H181" s="54" t="s">
        <v>115</v>
      </c>
      <c r="I181" s="62" t="s">
        <v>412</v>
      </c>
      <c r="J181" s="54">
        <v>6</v>
      </c>
      <c r="K181" s="62" t="str">
        <f t="shared" si="27"/>
        <v>Jose Manuel Saiz Díez</v>
      </c>
      <c r="L181" s="62" t="s">
        <v>890</v>
      </c>
      <c r="M181" s="62" t="str">
        <f t="shared" si="28"/>
        <v/>
      </c>
      <c r="N181" s="62"/>
      <c r="O181" s="62" t="str">
        <f t="shared" si="30"/>
        <v/>
      </c>
      <c r="P181" s="62"/>
      <c r="Q181" s="70" t="str">
        <f t="shared" si="31"/>
        <v/>
      </c>
      <c r="R181" s="70"/>
      <c r="S181" s="70" t="str">
        <f t="shared" si="31"/>
        <v/>
      </c>
      <c r="T181" s="70"/>
    </row>
    <row r="182" spans="6:20" ht="12" customHeight="1" x14ac:dyDescent="0.25">
      <c r="F182" s="52">
        <v>8840</v>
      </c>
      <c r="G182" s="52">
        <v>7</v>
      </c>
      <c r="H182" s="52" t="s">
        <v>116</v>
      </c>
      <c r="I182" s="60" t="s">
        <v>420</v>
      </c>
      <c r="J182" s="52" t="s">
        <v>522</v>
      </c>
      <c r="K182" s="60" t="str">
        <f t="shared" si="27"/>
        <v>Daniel Sarabia Ortiz</v>
      </c>
      <c r="L182" s="322" t="s">
        <v>374</v>
      </c>
      <c r="M182" s="60" t="str">
        <f t="shared" si="28"/>
        <v/>
      </c>
      <c r="N182" s="60"/>
      <c r="O182" s="60" t="str">
        <f t="shared" si="30"/>
        <v/>
      </c>
      <c r="P182" s="60"/>
      <c r="Q182" s="61" t="str">
        <f t="shared" si="31"/>
        <v/>
      </c>
      <c r="R182" s="61"/>
      <c r="S182" s="61" t="str">
        <f t="shared" si="31"/>
        <v/>
      </c>
      <c r="T182" s="61"/>
    </row>
    <row r="183" spans="6:20" ht="12" customHeight="1" x14ac:dyDescent="0.25">
      <c r="F183" s="52">
        <v>8827</v>
      </c>
      <c r="G183" s="52">
        <v>7</v>
      </c>
      <c r="H183" s="52" t="s">
        <v>118</v>
      </c>
      <c r="I183" s="60" t="s">
        <v>421</v>
      </c>
      <c r="J183" s="52" t="s">
        <v>522</v>
      </c>
      <c r="K183" s="60" t="str">
        <f t="shared" ref="K183:K193" si="32">CONCATENATE(L183,M183,N183,O183,P183,Q183,R183)</f>
        <v>Miguel Ángel Lozano Pérez</v>
      </c>
      <c r="L183" s="263" t="s">
        <v>817</v>
      </c>
      <c r="M183" s="60" t="str">
        <f t="shared" si="28"/>
        <v/>
      </c>
      <c r="N183" s="60"/>
      <c r="O183" s="60" t="str">
        <f t="shared" si="30"/>
        <v/>
      </c>
      <c r="P183" s="60"/>
      <c r="Q183" s="61" t="str">
        <f t="shared" si="31"/>
        <v/>
      </c>
      <c r="R183" s="61"/>
      <c r="S183" s="61" t="str">
        <f t="shared" si="31"/>
        <v/>
      </c>
      <c r="T183" s="61"/>
    </row>
    <row r="184" spans="6:20" ht="12" customHeight="1" x14ac:dyDescent="0.25">
      <c r="F184" s="52">
        <v>8828</v>
      </c>
      <c r="G184" s="52">
        <v>7</v>
      </c>
      <c r="H184" s="52" t="s">
        <v>445</v>
      </c>
      <c r="I184" s="60" t="s">
        <v>422</v>
      </c>
      <c r="J184" s="52" t="s">
        <v>522</v>
      </c>
      <c r="K184" s="60" t="str">
        <f t="shared" si="32"/>
        <v>Pedro Renedo Fernandez</v>
      </c>
      <c r="L184" s="322" t="s">
        <v>589</v>
      </c>
      <c r="M184" s="60" t="str">
        <f t="shared" si="28"/>
        <v/>
      </c>
      <c r="N184" s="322"/>
      <c r="O184" s="60" t="str">
        <f t="shared" si="30"/>
        <v/>
      </c>
      <c r="P184" s="60"/>
      <c r="Q184" s="61" t="str">
        <f t="shared" si="31"/>
        <v/>
      </c>
      <c r="R184" s="61"/>
      <c r="S184" s="61" t="str">
        <f t="shared" si="31"/>
        <v/>
      </c>
      <c r="T184" s="61"/>
    </row>
    <row r="185" spans="6:20" ht="12" customHeight="1" x14ac:dyDescent="0.25">
      <c r="F185" s="52">
        <v>8829</v>
      </c>
      <c r="G185" s="52">
        <v>7</v>
      </c>
      <c r="H185" s="52" t="s">
        <v>945</v>
      </c>
      <c r="I185" s="60" t="s">
        <v>423</v>
      </c>
      <c r="J185" s="52" t="s">
        <v>522</v>
      </c>
      <c r="K185" s="60" t="str">
        <f t="shared" si="32"/>
        <v>José Ignacio Santos, José M. Galan Ordax, Virginia Ahedo</v>
      </c>
      <c r="L185" s="60" t="s">
        <v>762</v>
      </c>
      <c r="M185" s="60" t="str">
        <f t="shared" si="28"/>
        <v xml:space="preserve">, </v>
      </c>
      <c r="N185" s="60" t="s">
        <v>818</v>
      </c>
      <c r="O185" s="62" t="str">
        <f t="shared" ref="O185:O215" si="33">IF(P185&lt;&gt;"",", ","")</f>
        <v xml:space="preserve">, </v>
      </c>
      <c r="P185" s="60" t="s">
        <v>740</v>
      </c>
      <c r="Q185" s="61" t="str">
        <f t="shared" si="31"/>
        <v/>
      </c>
      <c r="R185" s="61"/>
      <c r="S185" s="61" t="str">
        <f t="shared" si="31"/>
        <v/>
      </c>
      <c r="T185" s="61"/>
    </row>
    <row r="186" spans="6:20" ht="12" customHeight="1" x14ac:dyDescent="0.25">
      <c r="F186" s="52">
        <v>8830</v>
      </c>
      <c r="G186" s="52">
        <v>7</v>
      </c>
      <c r="H186" s="52" t="s">
        <v>437</v>
      </c>
      <c r="I186" s="60" t="s">
        <v>424</v>
      </c>
      <c r="J186" s="52" t="s">
        <v>522</v>
      </c>
      <c r="K186" s="60" t="str">
        <f t="shared" si="32"/>
        <v>Carlos López Nozal, Jesús Alonso Abad</v>
      </c>
      <c r="L186" s="60" t="s">
        <v>491</v>
      </c>
      <c r="M186" s="60" t="str">
        <f t="shared" si="28"/>
        <v xml:space="preserve">, </v>
      </c>
      <c r="N186" s="322" t="s">
        <v>891</v>
      </c>
      <c r="O186" s="60" t="str">
        <f t="shared" si="33"/>
        <v/>
      </c>
      <c r="P186" s="60"/>
      <c r="Q186" s="61" t="str">
        <f t="shared" si="31"/>
        <v/>
      </c>
      <c r="R186" s="61"/>
      <c r="S186" s="61" t="str">
        <f t="shared" si="31"/>
        <v/>
      </c>
      <c r="T186" s="61"/>
    </row>
    <row r="187" spans="6:20" ht="12" customHeight="1" x14ac:dyDescent="0.25">
      <c r="F187" s="52">
        <v>8831</v>
      </c>
      <c r="G187" s="52">
        <v>7</v>
      </c>
      <c r="H187" s="52" t="s">
        <v>438</v>
      </c>
      <c r="I187" s="60" t="s">
        <v>425</v>
      </c>
      <c r="J187" s="52" t="s">
        <v>522</v>
      </c>
      <c r="K187" s="60" t="str">
        <f t="shared" si="32"/>
        <v>J. Manuel Galan Ordax, José Ignacio Santos</v>
      </c>
      <c r="L187" s="60" t="s">
        <v>892</v>
      </c>
      <c r="M187" s="60" t="str">
        <f t="shared" si="28"/>
        <v xml:space="preserve">, </v>
      </c>
      <c r="N187" s="60" t="s">
        <v>762</v>
      </c>
      <c r="O187" s="60" t="str">
        <f t="shared" si="33"/>
        <v/>
      </c>
      <c r="P187" s="317"/>
      <c r="Q187" s="61" t="str">
        <f t="shared" si="31"/>
        <v/>
      </c>
      <c r="R187" s="61"/>
      <c r="S187" s="61" t="str">
        <f t="shared" si="31"/>
        <v/>
      </c>
      <c r="T187" s="61"/>
    </row>
    <row r="188" spans="6:20" ht="12" customHeight="1" x14ac:dyDescent="0.25">
      <c r="F188" s="52">
        <v>8832</v>
      </c>
      <c r="G188" s="52">
        <v>7</v>
      </c>
      <c r="H188" s="52" t="s">
        <v>439</v>
      </c>
      <c r="I188" s="60" t="s">
        <v>426</v>
      </c>
      <c r="J188" s="52" t="s">
        <v>522</v>
      </c>
      <c r="K188" s="60" t="str">
        <f t="shared" si="32"/>
        <v>Ignacio Moreno Velasco</v>
      </c>
      <c r="L188" s="60" t="s">
        <v>373</v>
      </c>
      <c r="M188" s="60" t="str">
        <f t="shared" si="28"/>
        <v/>
      </c>
      <c r="N188" s="60"/>
      <c r="O188" s="60" t="str">
        <f t="shared" si="33"/>
        <v/>
      </c>
      <c r="P188" s="60"/>
      <c r="Q188" s="61" t="str">
        <f t="shared" si="31"/>
        <v/>
      </c>
      <c r="R188" s="61"/>
      <c r="S188" s="61" t="str">
        <f t="shared" si="31"/>
        <v/>
      </c>
      <c r="T188" s="61"/>
    </row>
    <row r="189" spans="6:20" ht="12" customHeight="1" x14ac:dyDescent="0.25">
      <c r="F189" s="52">
        <v>8833</v>
      </c>
      <c r="G189" s="52">
        <v>7</v>
      </c>
      <c r="H189" s="52" t="s">
        <v>440</v>
      </c>
      <c r="I189" s="60" t="s">
        <v>427</v>
      </c>
      <c r="J189" s="52" t="s">
        <v>522</v>
      </c>
      <c r="K189" s="60" t="str">
        <f t="shared" si="32"/>
        <v>César Represa Pérez</v>
      </c>
      <c r="L189" s="60" t="s">
        <v>417</v>
      </c>
      <c r="M189" s="60" t="str">
        <f t="shared" si="28"/>
        <v/>
      </c>
      <c r="N189" s="60"/>
      <c r="O189" s="60" t="str">
        <f t="shared" si="33"/>
        <v/>
      </c>
      <c r="P189" s="60"/>
      <c r="Q189" s="61" t="str">
        <f t="shared" si="31"/>
        <v/>
      </c>
      <c r="R189" s="61"/>
      <c r="S189" s="61" t="str">
        <f t="shared" si="31"/>
        <v/>
      </c>
      <c r="T189" s="61"/>
    </row>
    <row r="190" spans="6:20" ht="12" customHeight="1" x14ac:dyDescent="0.25">
      <c r="F190" s="52">
        <v>8834</v>
      </c>
      <c r="G190" s="52">
        <v>7</v>
      </c>
      <c r="H190" s="52" t="s">
        <v>117</v>
      </c>
      <c r="I190" s="60" t="s">
        <v>428</v>
      </c>
      <c r="J190" s="52" t="s">
        <v>522</v>
      </c>
      <c r="K190" s="60" t="str">
        <f t="shared" si="32"/>
        <v>Daniel Urda, Bruno Baruque Zanón</v>
      </c>
      <c r="L190" s="60" t="s">
        <v>886</v>
      </c>
      <c r="M190" s="60" t="str">
        <f t="shared" si="28"/>
        <v xml:space="preserve">, </v>
      </c>
      <c r="N190" s="60" t="s">
        <v>505</v>
      </c>
      <c r="O190" s="60" t="str">
        <f t="shared" si="33"/>
        <v/>
      </c>
      <c r="P190" s="60"/>
      <c r="Q190" s="61" t="str">
        <f t="shared" si="31"/>
        <v/>
      </c>
      <c r="R190" s="61"/>
      <c r="S190" s="61" t="str">
        <f t="shared" si="31"/>
        <v/>
      </c>
      <c r="T190" s="61"/>
    </row>
    <row r="191" spans="6:20" ht="12" customHeight="1" x14ac:dyDescent="0.25">
      <c r="F191" s="52">
        <v>8841</v>
      </c>
      <c r="G191" s="52">
        <v>7</v>
      </c>
      <c r="H191" s="52" t="s">
        <v>441</v>
      </c>
      <c r="I191" s="60" t="s">
        <v>429</v>
      </c>
      <c r="J191" s="52" t="s">
        <v>522</v>
      </c>
      <c r="K191" s="60" t="str">
        <f t="shared" si="32"/>
        <v/>
      </c>
      <c r="L191" s="60"/>
      <c r="M191" s="60" t="str">
        <f t="shared" si="28"/>
        <v/>
      </c>
      <c r="N191" s="60"/>
      <c r="O191" s="60" t="str">
        <f t="shared" si="33"/>
        <v/>
      </c>
      <c r="P191" s="60"/>
      <c r="Q191" s="61" t="str">
        <f t="shared" ref="Q191:S222" si="34">IF(R191&lt;&gt;"",", ","")</f>
        <v/>
      </c>
      <c r="R191" s="61"/>
      <c r="S191" s="61" t="str">
        <f t="shared" si="34"/>
        <v/>
      </c>
      <c r="T191" s="61"/>
    </row>
    <row r="192" spans="6:20" ht="12" customHeight="1" x14ac:dyDescent="0.25">
      <c r="F192" s="54">
        <v>8835</v>
      </c>
      <c r="G192" s="54">
        <v>8</v>
      </c>
      <c r="H192" s="54" t="s">
        <v>442</v>
      </c>
      <c r="I192" s="62" t="s">
        <v>430</v>
      </c>
      <c r="J192" s="54" t="s">
        <v>522</v>
      </c>
      <c r="K192" s="62" t="str">
        <f t="shared" si="32"/>
        <v>José Manuel Aroca Fernández</v>
      </c>
      <c r="L192" s="323" t="s">
        <v>1236</v>
      </c>
      <c r="M192" s="62" t="str">
        <f t="shared" si="28"/>
        <v/>
      </c>
      <c r="N192" s="62"/>
      <c r="O192" s="62" t="str">
        <f t="shared" si="33"/>
        <v/>
      </c>
      <c r="P192" s="62"/>
      <c r="Q192" s="70" t="str">
        <f t="shared" si="34"/>
        <v/>
      </c>
      <c r="R192" s="70"/>
      <c r="S192" s="70" t="str">
        <f t="shared" si="34"/>
        <v/>
      </c>
      <c r="T192" s="70"/>
    </row>
    <row r="193" spans="6:20" ht="12" customHeight="1" x14ac:dyDescent="0.25">
      <c r="F193" s="54">
        <v>8842</v>
      </c>
      <c r="G193" s="54">
        <v>8</v>
      </c>
      <c r="H193" s="54" t="s">
        <v>136</v>
      </c>
      <c r="I193" s="62" t="s">
        <v>431</v>
      </c>
      <c r="J193" s="54" t="s">
        <v>522</v>
      </c>
      <c r="K193" s="62" t="str">
        <f t="shared" si="32"/>
        <v>Alejandro Merino, Jesus Enrique Sierra</v>
      </c>
      <c r="L193" s="323" t="s">
        <v>819</v>
      </c>
      <c r="M193" s="62" t="str">
        <f t="shared" si="28"/>
        <v xml:space="preserve">, </v>
      </c>
      <c r="N193" s="62" t="s">
        <v>893</v>
      </c>
      <c r="O193" s="62" t="str">
        <f t="shared" si="33"/>
        <v/>
      </c>
      <c r="P193" s="62"/>
      <c r="Q193" s="70" t="str">
        <f t="shared" si="34"/>
        <v/>
      </c>
      <c r="R193" s="70"/>
      <c r="S193" s="70" t="str">
        <f t="shared" si="34"/>
        <v/>
      </c>
      <c r="T193" s="70"/>
    </row>
    <row r="194" spans="6:20" ht="12" customHeight="1" x14ac:dyDescent="0.25">
      <c r="F194" s="54">
        <v>8843</v>
      </c>
      <c r="G194" s="54">
        <v>8</v>
      </c>
      <c r="H194" s="54" t="s">
        <v>119</v>
      </c>
      <c r="I194" s="62" t="s">
        <v>432</v>
      </c>
      <c r="J194" s="54" t="s">
        <v>522</v>
      </c>
      <c r="K194" s="62" t="str">
        <f t="shared" ref="K194:K234" si="35">CONCATENATE(L194,M195,N194,O194,P194,Q194,R194)</f>
        <v xml:space="preserve">César Ignacio García Osorio, </v>
      </c>
      <c r="L194" s="62" t="s">
        <v>492</v>
      </c>
      <c r="M194" s="62" t="str">
        <f t="shared" si="28"/>
        <v/>
      </c>
      <c r="N194" s="62"/>
      <c r="O194" s="62" t="str">
        <f t="shared" si="33"/>
        <v/>
      </c>
      <c r="P194" s="62"/>
      <c r="Q194" s="70" t="str">
        <f t="shared" si="34"/>
        <v/>
      </c>
      <c r="R194" s="70"/>
      <c r="S194" s="70" t="str">
        <f t="shared" si="34"/>
        <v/>
      </c>
      <c r="T194" s="70"/>
    </row>
    <row r="195" spans="6:20" ht="12" customHeight="1" x14ac:dyDescent="0.25">
      <c r="F195" s="54">
        <v>8836</v>
      </c>
      <c r="G195" s="54">
        <v>8</v>
      </c>
      <c r="H195" s="54" t="s">
        <v>443</v>
      </c>
      <c r="I195" s="62" t="s">
        <v>433</v>
      </c>
      <c r="J195" s="54" t="s">
        <v>522</v>
      </c>
      <c r="K195" s="62" t="str">
        <f t="shared" si="35"/>
        <v>Jose Ignacio Santos Martín, Virginia Ahedo</v>
      </c>
      <c r="L195" s="62" t="s">
        <v>894</v>
      </c>
      <c r="M195" s="62" t="str">
        <f t="shared" si="28"/>
        <v xml:space="preserve">, </v>
      </c>
      <c r="N195" s="62" t="s">
        <v>740</v>
      </c>
      <c r="O195" s="62" t="str">
        <f t="shared" si="33"/>
        <v/>
      </c>
      <c r="P195" s="62"/>
      <c r="Q195" s="70" t="str">
        <f t="shared" si="34"/>
        <v/>
      </c>
      <c r="R195" s="70"/>
      <c r="S195" s="70" t="str">
        <f t="shared" si="34"/>
        <v/>
      </c>
      <c r="T195" s="70"/>
    </row>
    <row r="196" spans="6:20" ht="12" customHeight="1" x14ac:dyDescent="0.25">
      <c r="F196" s="54">
        <v>8837</v>
      </c>
      <c r="G196" s="54">
        <v>8</v>
      </c>
      <c r="H196" s="54" t="s">
        <v>958</v>
      </c>
      <c r="I196" s="62" t="s">
        <v>434</v>
      </c>
      <c r="J196" s="54" t="s">
        <v>522</v>
      </c>
      <c r="K196" s="62" t="str">
        <f t="shared" si="35"/>
        <v>Juan José Rodríguez Díez</v>
      </c>
      <c r="L196" s="62" t="s">
        <v>895</v>
      </c>
      <c r="M196" s="62" t="str">
        <f>IF(N195&lt;&gt;"",", ","")</f>
        <v xml:space="preserve">, </v>
      </c>
      <c r="N196" s="62"/>
      <c r="O196" s="62" t="str">
        <f t="shared" si="33"/>
        <v/>
      </c>
      <c r="P196" s="62"/>
      <c r="Q196" s="70" t="str">
        <f t="shared" si="34"/>
        <v/>
      </c>
      <c r="R196" s="70"/>
      <c r="S196" s="70" t="str">
        <f t="shared" si="34"/>
        <v/>
      </c>
      <c r="T196" s="70"/>
    </row>
    <row r="197" spans="6:20" ht="12" customHeight="1" x14ac:dyDescent="0.25">
      <c r="F197" s="54">
        <v>8838</v>
      </c>
      <c r="G197" s="54">
        <v>8</v>
      </c>
      <c r="H197" s="54" t="s">
        <v>444</v>
      </c>
      <c r="I197" s="62" t="s">
        <v>435</v>
      </c>
      <c r="J197" s="54" t="s">
        <v>522</v>
      </c>
      <c r="K197" s="62" t="str">
        <f t="shared" si="35"/>
        <v>Carlos López Nozal</v>
      </c>
      <c r="L197" s="62" t="s">
        <v>491</v>
      </c>
      <c r="M197" s="62" t="str">
        <f>IF(N196&lt;&gt;"",", ","")</f>
        <v/>
      </c>
      <c r="N197" s="62"/>
      <c r="O197" s="62" t="str">
        <f t="shared" si="33"/>
        <v/>
      </c>
      <c r="P197" s="62"/>
      <c r="Q197" s="70" t="str">
        <f t="shared" si="34"/>
        <v/>
      </c>
      <c r="R197" s="70"/>
      <c r="S197" s="70" t="str">
        <f t="shared" si="34"/>
        <v/>
      </c>
      <c r="T197" s="70"/>
    </row>
    <row r="198" spans="6:20" ht="12" customHeight="1" x14ac:dyDescent="0.25">
      <c r="K198" s="55" t="str">
        <f t="shared" si="35"/>
        <v/>
      </c>
      <c r="L198" s="314"/>
      <c r="M198" s="62" t="str">
        <f>IF(N197&lt;&gt;"",", ","")</f>
        <v/>
      </c>
      <c r="N198" s="314"/>
      <c r="O198" s="60" t="str">
        <f t="shared" si="33"/>
        <v/>
      </c>
      <c r="Q198" s="61" t="str">
        <f t="shared" si="34"/>
        <v/>
      </c>
      <c r="S198" s="61" t="str">
        <f t="shared" si="34"/>
        <v/>
      </c>
    </row>
    <row r="199" spans="6:20" ht="12" customHeight="1" x14ac:dyDescent="0.25">
      <c r="F199" s="63" t="s">
        <v>208</v>
      </c>
      <c r="K199" s="55" t="str">
        <f t="shared" si="35"/>
        <v/>
      </c>
      <c r="L199" s="314"/>
      <c r="M199" s="254" t="str">
        <f>IF(N198&lt;&gt;"",", ","")</f>
        <v/>
      </c>
      <c r="N199" s="314"/>
      <c r="O199" s="60" t="str">
        <f t="shared" si="33"/>
        <v/>
      </c>
      <c r="Q199" s="61" t="str">
        <f t="shared" si="34"/>
        <v/>
      </c>
      <c r="S199" s="61" t="str">
        <f t="shared" si="34"/>
        <v/>
      </c>
    </row>
    <row r="200" spans="6:20" ht="12" customHeight="1" x14ac:dyDescent="0.25">
      <c r="F200" s="52">
        <v>7036</v>
      </c>
      <c r="G200" s="52">
        <v>1</v>
      </c>
      <c r="H200" s="52" t="s">
        <v>137</v>
      </c>
      <c r="I200" s="60" t="s">
        <v>446</v>
      </c>
      <c r="J200" s="52">
        <v>6</v>
      </c>
      <c r="K200" s="60" t="str">
        <f t="shared" si="35"/>
        <v xml:space="preserve">Luis Suarez Vivar, Wilco Verbeeten </v>
      </c>
      <c r="L200" s="263" t="s">
        <v>896</v>
      </c>
      <c r="M200" s="254" t="str">
        <f>IF(N199&lt;&gt;"",", ","")</f>
        <v/>
      </c>
      <c r="N200" s="263" t="s">
        <v>653</v>
      </c>
      <c r="O200" s="60" t="str">
        <f t="shared" si="33"/>
        <v/>
      </c>
      <c r="P200" s="60"/>
      <c r="Q200" s="61" t="str">
        <f t="shared" si="34"/>
        <v/>
      </c>
      <c r="R200" s="61"/>
      <c r="S200" s="61" t="str">
        <f t="shared" si="34"/>
        <v/>
      </c>
      <c r="T200" s="61"/>
    </row>
    <row r="201" spans="6:20" ht="12" customHeight="1" x14ac:dyDescent="0.25">
      <c r="F201" s="52">
        <v>7037</v>
      </c>
      <c r="G201" s="52">
        <v>1</v>
      </c>
      <c r="H201" s="52" t="s">
        <v>127</v>
      </c>
      <c r="I201" s="60" t="s">
        <v>209</v>
      </c>
      <c r="J201" s="52">
        <v>6</v>
      </c>
      <c r="K201" s="60" t="str">
        <f t="shared" si="35"/>
        <v>Juan José Lavios Villahoz</v>
      </c>
      <c r="L201" s="60" t="s">
        <v>500</v>
      </c>
      <c r="M201" s="60" t="s">
        <v>651</v>
      </c>
      <c r="N201" s="60"/>
      <c r="O201" s="60" t="str">
        <f t="shared" si="33"/>
        <v/>
      </c>
      <c r="P201" s="60"/>
      <c r="Q201" s="61" t="str">
        <f t="shared" si="34"/>
        <v/>
      </c>
      <c r="R201" s="61"/>
      <c r="S201" s="61" t="str">
        <f t="shared" si="34"/>
        <v/>
      </c>
      <c r="T201" s="61"/>
    </row>
    <row r="202" spans="6:20" ht="12" customHeight="1" x14ac:dyDescent="0.25">
      <c r="F202" s="52">
        <v>7038</v>
      </c>
      <c r="G202" s="52">
        <v>1</v>
      </c>
      <c r="H202" s="52" t="s">
        <v>523</v>
      </c>
      <c r="I202" s="60" t="s">
        <v>210</v>
      </c>
      <c r="J202" s="52">
        <v>6</v>
      </c>
      <c r="K202" s="60" t="str">
        <f t="shared" si="35"/>
        <v>Francisco Javier Gómez Gil</v>
      </c>
      <c r="L202" s="60" t="s">
        <v>247</v>
      </c>
      <c r="M202" s="60" t="str">
        <f t="shared" ref="M202:M218" si="36">IF(N201&lt;&gt;"",", ","")</f>
        <v/>
      </c>
      <c r="N202" s="60"/>
      <c r="O202" s="60" t="str">
        <f t="shared" si="33"/>
        <v/>
      </c>
      <c r="P202" s="60"/>
      <c r="Q202" s="61" t="str">
        <f t="shared" si="34"/>
        <v/>
      </c>
      <c r="R202" s="61"/>
      <c r="S202" s="61" t="str">
        <f t="shared" si="34"/>
        <v/>
      </c>
      <c r="T202" s="61"/>
    </row>
    <row r="203" spans="6:20" ht="12" customHeight="1" x14ac:dyDescent="0.25">
      <c r="F203" s="52">
        <v>7039</v>
      </c>
      <c r="G203" s="52">
        <v>1</v>
      </c>
      <c r="H203" s="52" t="s">
        <v>967</v>
      </c>
      <c r="I203" s="60" t="s">
        <v>211</v>
      </c>
      <c r="J203" s="52">
        <v>6</v>
      </c>
      <c r="K203" s="60" t="str">
        <f t="shared" si="35"/>
        <v>Jesús Sagredo González</v>
      </c>
      <c r="L203" s="60" t="s">
        <v>494</v>
      </c>
      <c r="M203" s="60" t="str">
        <f t="shared" si="36"/>
        <v/>
      </c>
      <c r="N203" s="60"/>
      <c r="O203" s="60" t="str">
        <f t="shared" si="33"/>
        <v/>
      </c>
      <c r="P203" s="60"/>
      <c r="Q203" s="61" t="str">
        <f t="shared" si="34"/>
        <v/>
      </c>
      <c r="R203" s="61"/>
      <c r="S203" s="61" t="str">
        <f t="shared" si="34"/>
        <v/>
      </c>
      <c r="T203" s="61"/>
    </row>
    <row r="204" spans="6:20" ht="12" customHeight="1" x14ac:dyDescent="0.25">
      <c r="F204" s="52">
        <v>7040</v>
      </c>
      <c r="G204" s="52">
        <v>1</v>
      </c>
      <c r="H204" s="52" t="s">
        <v>124</v>
      </c>
      <c r="I204" s="60" t="s">
        <v>212</v>
      </c>
      <c r="J204" s="52">
        <v>3</v>
      </c>
      <c r="K204" s="60" t="str">
        <f t="shared" si="35"/>
        <v>Juan Cruz Monje Santillana</v>
      </c>
      <c r="L204" s="60" t="s">
        <v>493</v>
      </c>
      <c r="M204" s="60" t="str">
        <f t="shared" si="36"/>
        <v/>
      </c>
      <c r="N204" s="60"/>
      <c r="O204" s="60" t="str">
        <f t="shared" si="33"/>
        <v/>
      </c>
      <c r="P204" s="60"/>
      <c r="Q204" s="61" t="str">
        <f t="shared" si="34"/>
        <v/>
      </c>
      <c r="R204" s="61"/>
      <c r="S204" s="61" t="str">
        <f t="shared" si="34"/>
        <v/>
      </c>
      <c r="T204" s="61"/>
    </row>
    <row r="205" spans="6:20" ht="12" customHeight="1" x14ac:dyDescent="0.25">
      <c r="F205" s="52">
        <v>7041</v>
      </c>
      <c r="G205" s="53">
        <v>1</v>
      </c>
      <c r="H205" s="52" t="s">
        <v>962</v>
      </c>
      <c r="I205" s="60" t="s">
        <v>213</v>
      </c>
      <c r="J205" s="52">
        <v>3</v>
      </c>
      <c r="K205" s="60" t="str">
        <f t="shared" si="35"/>
        <v>Fco. Javier Rodríguez Vidal, Luis Marcos Naveira</v>
      </c>
      <c r="L205" s="60" t="s">
        <v>508</v>
      </c>
      <c r="M205" s="60" t="str">
        <f t="shared" si="36"/>
        <v/>
      </c>
      <c r="N205" s="60" t="s">
        <v>504</v>
      </c>
      <c r="O205" s="60" t="str">
        <f t="shared" si="33"/>
        <v/>
      </c>
      <c r="P205" s="60"/>
      <c r="Q205" s="61" t="str">
        <f t="shared" si="34"/>
        <v/>
      </c>
      <c r="R205" s="61"/>
      <c r="S205" s="61" t="str">
        <f t="shared" si="34"/>
        <v/>
      </c>
      <c r="T205" s="61"/>
    </row>
    <row r="206" spans="6:20" ht="12" customHeight="1" x14ac:dyDescent="0.25">
      <c r="F206" s="54">
        <v>7042</v>
      </c>
      <c r="G206" s="54">
        <v>2</v>
      </c>
      <c r="H206" s="54" t="s">
        <v>128</v>
      </c>
      <c r="I206" s="62" t="s">
        <v>485</v>
      </c>
      <c r="J206" s="54">
        <v>6</v>
      </c>
      <c r="K206" s="62" t="str">
        <f t="shared" si="35"/>
        <v>Luis Alfredo Suárez Vivar</v>
      </c>
      <c r="L206" s="323" t="s">
        <v>519</v>
      </c>
      <c r="M206" s="60" t="str">
        <f t="shared" si="36"/>
        <v xml:space="preserve">, </v>
      </c>
      <c r="N206" s="250"/>
      <c r="O206" s="62" t="str">
        <f t="shared" si="33"/>
        <v/>
      </c>
      <c r="P206" s="62"/>
      <c r="Q206" s="70" t="str">
        <f t="shared" si="34"/>
        <v/>
      </c>
      <c r="R206" s="70"/>
      <c r="S206" s="70" t="str">
        <f t="shared" si="34"/>
        <v/>
      </c>
      <c r="T206" s="70"/>
    </row>
    <row r="207" spans="6:20" ht="12" customHeight="1" x14ac:dyDescent="0.25">
      <c r="F207" s="54">
        <v>7043</v>
      </c>
      <c r="G207" s="54">
        <v>2</v>
      </c>
      <c r="H207" s="54" t="s">
        <v>129</v>
      </c>
      <c r="I207" s="62" t="s">
        <v>447</v>
      </c>
      <c r="J207" s="54">
        <v>6</v>
      </c>
      <c r="K207" s="62" t="str">
        <f t="shared" si="35"/>
        <v>Miguel Angel Mariscal, Ricardo del Olmo</v>
      </c>
      <c r="L207" s="62" t="s">
        <v>503</v>
      </c>
      <c r="M207" s="62" t="str">
        <f t="shared" si="36"/>
        <v/>
      </c>
      <c r="N207" s="62" t="s">
        <v>746</v>
      </c>
      <c r="O207" s="62" t="str">
        <f t="shared" si="33"/>
        <v/>
      </c>
      <c r="P207" s="62"/>
      <c r="Q207" s="70" t="str">
        <f t="shared" si="34"/>
        <v/>
      </c>
      <c r="R207" s="70"/>
      <c r="S207" s="70" t="str">
        <f t="shared" si="34"/>
        <v/>
      </c>
      <c r="T207" s="70"/>
    </row>
    <row r="208" spans="6:20" ht="12" customHeight="1" x14ac:dyDescent="0.25">
      <c r="F208" s="54">
        <v>7044</v>
      </c>
      <c r="G208" s="54">
        <v>2</v>
      </c>
      <c r="H208" s="54" t="s">
        <v>125</v>
      </c>
      <c r="I208" s="62" t="s">
        <v>214</v>
      </c>
      <c r="J208" s="54">
        <v>6</v>
      </c>
      <c r="K208" s="62" t="str">
        <f t="shared" si="35"/>
        <v>Fernando Aguilar Romero, Natalia Muñoz</v>
      </c>
      <c r="L208" s="323" t="s">
        <v>287</v>
      </c>
      <c r="M208" s="62" t="str">
        <f t="shared" si="36"/>
        <v xml:space="preserve">, </v>
      </c>
      <c r="N208" s="62" t="s">
        <v>765</v>
      </c>
      <c r="O208" s="62" t="str">
        <f t="shared" si="33"/>
        <v/>
      </c>
      <c r="P208" s="62"/>
      <c r="Q208" s="70" t="str">
        <f t="shared" si="34"/>
        <v/>
      </c>
      <c r="R208" s="70"/>
      <c r="S208" s="70" t="str">
        <f t="shared" si="34"/>
        <v/>
      </c>
      <c r="T208" s="70"/>
    </row>
    <row r="209" spans="6:20" ht="12" customHeight="1" x14ac:dyDescent="0.25">
      <c r="F209" s="54">
        <v>7045</v>
      </c>
      <c r="G209" s="54">
        <v>2</v>
      </c>
      <c r="H209" s="54" t="s">
        <v>126</v>
      </c>
      <c r="I209" s="62" t="s">
        <v>215</v>
      </c>
      <c r="J209" s="54">
        <v>6</v>
      </c>
      <c r="K209" s="62" t="str">
        <f t="shared" si="35"/>
        <v>Daniel Sarabia Ortiz</v>
      </c>
      <c r="L209" s="62" t="s">
        <v>374</v>
      </c>
      <c r="M209" s="62" t="str">
        <f t="shared" si="36"/>
        <v xml:space="preserve">, </v>
      </c>
      <c r="N209" s="62"/>
      <c r="O209" s="62" t="str">
        <f t="shared" si="33"/>
        <v/>
      </c>
      <c r="P209" s="62"/>
      <c r="Q209" s="70" t="str">
        <f t="shared" si="34"/>
        <v/>
      </c>
      <c r="R209" s="70"/>
      <c r="S209" s="70" t="str">
        <f t="shared" si="34"/>
        <v/>
      </c>
      <c r="T209" s="70"/>
    </row>
    <row r="210" spans="6:20" ht="12" customHeight="1" x14ac:dyDescent="0.25">
      <c r="F210" s="54">
        <v>7046</v>
      </c>
      <c r="G210" s="54">
        <v>2</v>
      </c>
      <c r="H210" s="54" t="s">
        <v>951</v>
      </c>
      <c r="I210" s="62" t="s">
        <v>216</v>
      </c>
      <c r="J210" s="54">
        <v>6</v>
      </c>
      <c r="K210" s="62" t="str">
        <f t="shared" si="35"/>
        <v>Alberto Estébanez</v>
      </c>
      <c r="L210" s="62" t="s">
        <v>1071</v>
      </c>
      <c r="M210" s="62" t="str">
        <f t="shared" si="36"/>
        <v/>
      </c>
      <c r="N210" s="62"/>
      <c r="O210" s="62" t="str">
        <f t="shared" si="33"/>
        <v/>
      </c>
      <c r="P210" s="62"/>
      <c r="Q210" s="70" t="str">
        <f t="shared" si="34"/>
        <v/>
      </c>
      <c r="R210" s="70"/>
      <c r="S210" s="70" t="str">
        <f t="shared" si="34"/>
        <v/>
      </c>
      <c r="T210" s="70"/>
    </row>
    <row r="211" spans="6:20" ht="12" customHeight="1" x14ac:dyDescent="0.25">
      <c r="F211" s="52">
        <v>7152</v>
      </c>
      <c r="G211" s="52">
        <v>3</v>
      </c>
      <c r="H211" s="52" t="s">
        <v>222</v>
      </c>
      <c r="I211" s="60" t="s">
        <v>448</v>
      </c>
      <c r="J211" s="52">
        <v>3</v>
      </c>
      <c r="K211" s="60" t="str">
        <f t="shared" si="35"/>
        <v>Miriam Lorenzo Bañuelos</v>
      </c>
      <c r="L211" s="60" t="s">
        <v>586</v>
      </c>
      <c r="M211" s="62" t="str">
        <f t="shared" si="36"/>
        <v/>
      </c>
      <c r="N211" s="60"/>
      <c r="O211" s="60" t="str">
        <f t="shared" si="33"/>
        <v/>
      </c>
      <c r="P211" s="60"/>
      <c r="Q211" s="61" t="str">
        <f t="shared" si="34"/>
        <v/>
      </c>
      <c r="R211" s="61"/>
      <c r="S211" s="61" t="str">
        <f t="shared" si="34"/>
        <v/>
      </c>
      <c r="T211" s="61"/>
    </row>
    <row r="212" spans="6:20" ht="12" customHeight="1" x14ac:dyDescent="0.25">
      <c r="F212" s="52">
        <v>7047</v>
      </c>
      <c r="G212" s="52">
        <v>3</v>
      </c>
      <c r="H212" s="52" t="s">
        <v>232</v>
      </c>
      <c r="I212" s="60" t="s">
        <v>223</v>
      </c>
      <c r="J212" s="52">
        <v>3</v>
      </c>
      <c r="K212" s="60" t="str">
        <f t="shared" si="35"/>
        <v>David González</v>
      </c>
      <c r="L212" s="60" t="s">
        <v>646</v>
      </c>
      <c r="M212" s="60" t="str">
        <f t="shared" si="36"/>
        <v/>
      </c>
      <c r="N212" s="60"/>
      <c r="O212" s="60" t="str">
        <f t="shared" si="33"/>
        <v/>
      </c>
      <c r="P212" s="60"/>
      <c r="Q212" s="61" t="str">
        <f t="shared" si="34"/>
        <v/>
      </c>
      <c r="R212" s="61"/>
      <c r="S212" s="61" t="str">
        <f t="shared" si="34"/>
        <v/>
      </c>
      <c r="T212" s="61"/>
    </row>
    <row r="213" spans="6:20" ht="12" customHeight="1" x14ac:dyDescent="0.25">
      <c r="F213" s="52">
        <v>7048</v>
      </c>
      <c r="G213" s="52">
        <v>3</v>
      </c>
      <c r="H213" s="52" t="s">
        <v>932</v>
      </c>
      <c r="I213" s="60" t="s">
        <v>224</v>
      </c>
      <c r="J213" s="52">
        <v>6</v>
      </c>
      <c r="K213" s="60" t="str">
        <f t="shared" si="35"/>
        <v>Mª José García</v>
      </c>
      <c r="L213" s="60" t="s">
        <v>1065</v>
      </c>
      <c r="M213" s="60" t="str">
        <f t="shared" si="36"/>
        <v/>
      </c>
      <c r="N213" s="60"/>
      <c r="O213" s="60" t="str">
        <f t="shared" si="33"/>
        <v/>
      </c>
      <c r="P213" s="60"/>
      <c r="Q213" s="61" t="str">
        <f t="shared" si="34"/>
        <v/>
      </c>
      <c r="R213" s="61"/>
      <c r="S213" s="61" t="str">
        <f t="shared" si="34"/>
        <v/>
      </c>
      <c r="T213" s="61"/>
    </row>
    <row r="214" spans="6:20" ht="12" customHeight="1" x14ac:dyDescent="0.25">
      <c r="F214" s="52">
        <v>7049</v>
      </c>
      <c r="G214" s="52">
        <v>3</v>
      </c>
      <c r="H214" s="52" t="s">
        <v>27</v>
      </c>
      <c r="I214" s="60" t="s">
        <v>225</v>
      </c>
      <c r="J214" s="52">
        <v>6</v>
      </c>
      <c r="K214" s="60" t="str">
        <f t="shared" si="35"/>
        <v>Mónica Preciado Calzada , José Calaf Chica</v>
      </c>
      <c r="L214" s="60" t="s">
        <v>511</v>
      </c>
      <c r="M214" s="60" t="str">
        <f t="shared" si="36"/>
        <v/>
      </c>
      <c r="N214" s="60" t="s">
        <v>652</v>
      </c>
      <c r="O214" s="60" t="str">
        <f t="shared" si="33"/>
        <v/>
      </c>
      <c r="P214" s="60"/>
      <c r="Q214" s="61" t="str">
        <f t="shared" si="34"/>
        <v/>
      </c>
      <c r="R214" s="61"/>
      <c r="S214" s="61" t="str">
        <f t="shared" si="34"/>
        <v/>
      </c>
      <c r="T214" s="61"/>
    </row>
    <row r="215" spans="6:20" ht="12" customHeight="1" x14ac:dyDescent="0.25">
      <c r="F215" s="52">
        <v>7050</v>
      </c>
      <c r="G215" s="52">
        <v>3</v>
      </c>
      <c r="H215" s="52" t="s">
        <v>233</v>
      </c>
      <c r="I215" s="60" t="s">
        <v>228</v>
      </c>
      <c r="J215" s="52">
        <v>3</v>
      </c>
      <c r="K215" s="60" t="str">
        <f t="shared" si="35"/>
        <v>Ignacio Fontaneda González</v>
      </c>
      <c r="L215" s="60" t="s">
        <v>382</v>
      </c>
      <c r="M215" s="60" t="str">
        <f t="shared" si="36"/>
        <v xml:space="preserve">, </v>
      </c>
      <c r="N215" s="60"/>
      <c r="O215" s="60" t="str">
        <f t="shared" si="33"/>
        <v/>
      </c>
      <c r="P215" s="60"/>
      <c r="Q215" s="61" t="str">
        <f t="shared" si="34"/>
        <v/>
      </c>
      <c r="R215" s="61"/>
      <c r="S215" s="61" t="str">
        <f t="shared" si="34"/>
        <v/>
      </c>
      <c r="T215" s="61"/>
    </row>
    <row r="216" spans="6:20" ht="12" customHeight="1" x14ac:dyDescent="0.25">
      <c r="F216" s="52">
        <v>7051</v>
      </c>
      <c r="G216" s="52">
        <v>3</v>
      </c>
      <c r="H216" s="52" t="s">
        <v>234</v>
      </c>
      <c r="I216" s="60" t="s">
        <v>229</v>
      </c>
      <c r="J216" s="52">
        <v>6</v>
      </c>
      <c r="K216" s="60" t="str">
        <f t="shared" si="35"/>
        <v>Ricardo del Olmo Martínez</v>
      </c>
      <c r="L216" s="60" t="s">
        <v>897</v>
      </c>
      <c r="M216" s="60" t="str">
        <f t="shared" si="36"/>
        <v/>
      </c>
      <c r="N216" s="60"/>
      <c r="O216" s="60" t="str">
        <f t="shared" ref="O216:O256" si="37">IF(P216&lt;&gt;"",", ","")</f>
        <v/>
      </c>
      <c r="P216" s="60"/>
      <c r="Q216" s="61" t="str">
        <f t="shared" si="34"/>
        <v/>
      </c>
      <c r="R216" s="61"/>
      <c r="S216" s="61" t="str">
        <f t="shared" si="34"/>
        <v/>
      </c>
      <c r="T216" s="61"/>
    </row>
    <row r="217" spans="6:20" ht="12" customHeight="1" x14ac:dyDescent="0.25">
      <c r="F217" s="52">
        <v>7052</v>
      </c>
      <c r="G217" s="52">
        <v>3</v>
      </c>
      <c r="H217" s="52" t="s">
        <v>938</v>
      </c>
      <c r="I217" s="60" t="s">
        <v>226</v>
      </c>
      <c r="J217" s="52">
        <v>3</v>
      </c>
      <c r="K217" s="60" t="str">
        <f t="shared" si="35"/>
        <v>Miguel Ángel Camino López</v>
      </c>
      <c r="L217" s="60" t="s">
        <v>898</v>
      </c>
      <c r="M217" s="60" t="str">
        <f t="shared" si="36"/>
        <v/>
      </c>
      <c r="N217" s="60"/>
      <c r="O217" s="60" t="str">
        <f t="shared" si="37"/>
        <v/>
      </c>
      <c r="P217" s="60"/>
      <c r="Q217" s="61" t="str">
        <f t="shared" si="34"/>
        <v/>
      </c>
      <c r="R217" s="61"/>
      <c r="S217" s="61" t="str">
        <f t="shared" si="34"/>
        <v/>
      </c>
      <c r="T217" s="61"/>
    </row>
    <row r="218" spans="6:20" ht="12" customHeight="1" x14ac:dyDescent="0.25">
      <c r="F218" s="52">
        <v>7053</v>
      </c>
      <c r="G218" s="52">
        <v>3</v>
      </c>
      <c r="H218" s="52" t="s">
        <v>1043</v>
      </c>
      <c r="I218" s="60" t="s">
        <v>449</v>
      </c>
      <c r="J218" s="52">
        <v>3</v>
      </c>
      <c r="K218" s="60" t="str">
        <f t="shared" si="35"/>
        <v>Virginia Ahedo,José Manuel Galán</v>
      </c>
      <c r="L218" s="60" t="s">
        <v>740</v>
      </c>
      <c r="M218" s="60" t="str">
        <f t="shared" si="36"/>
        <v/>
      </c>
      <c r="N218" s="60" t="s">
        <v>763</v>
      </c>
      <c r="O218" s="60"/>
      <c r="P218" s="60"/>
      <c r="Q218" s="61" t="str">
        <f t="shared" si="34"/>
        <v/>
      </c>
      <c r="R218" s="61"/>
      <c r="S218" s="61" t="str">
        <f t="shared" si="34"/>
        <v/>
      </c>
      <c r="T218" s="61"/>
    </row>
    <row r="219" spans="6:20" ht="12" customHeight="1" x14ac:dyDescent="0.25">
      <c r="F219" s="52">
        <v>7054</v>
      </c>
      <c r="G219" s="52">
        <v>3</v>
      </c>
      <c r="H219" s="52" t="s">
        <v>947</v>
      </c>
      <c r="I219" s="60" t="s">
        <v>227</v>
      </c>
      <c r="J219" s="52">
        <v>3</v>
      </c>
      <c r="K219" s="60" t="str">
        <f t="shared" si="35"/>
        <v>Francisco José González, Fernando Aguilar</v>
      </c>
      <c r="L219" s="60" t="s">
        <v>1159</v>
      </c>
      <c r="M219" s="60" t="s">
        <v>573</v>
      </c>
      <c r="N219" s="60" t="s">
        <v>1073</v>
      </c>
      <c r="O219" s="60" t="str">
        <f t="shared" si="37"/>
        <v/>
      </c>
      <c r="P219" s="60"/>
      <c r="Q219" s="61" t="str">
        <f t="shared" si="34"/>
        <v/>
      </c>
      <c r="R219" s="61"/>
      <c r="S219" s="61" t="str">
        <f t="shared" si="34"/>
        <v/>
      </c>
      <c r="T219" s="61"/>
    </row>
    <row r="220" spans="6:20" ht="12" customHeight="1" x14ac:dyDescent="0.25">
      <c r="F220" s="52">
        <v>7055</v>
      </c>
      <c r="G220" s="52">
        <v>3</v>
      </c>
      <c r="H220" s="52" t="s">
        <v>948</v>
      </c>
      <c r="I220" s="60" t="s">
        <v>230</v>
      </c>
      <c r="J220" s="52">
        <v>3</v>
      </c>
      <c r="K220" s="60" t="str">
        <f t="shared" si="35"/>
        <v>Jesús Sagredo González</v>
      </c>
      <c r="L220" s="60" t="s">
        <v>494</v>
      </c>
      <c r="M220" s="60" t="str">
        <f>IF(N219&lt;&gt;"",", ","")</f>
        <v xml:space="preserve">, </v>
      </c>
      <c r="N220" s="60"/>
      <c r="O220" s="60" t="str">
        <f t="shared" si="37"/>
        <v/>
      </c>
      <c r="P220" s="60"/>
      <c r="Q220" s="61" t="str">
        <f t="shared" si="34"/>
        <v/>
      </c>
      <c r="R220" s="61"/>
      <c r="S220" s="61" t="str">
        <f t="shared" si="34"/>
        <v/>
      </c>
      <c r="T220" s="61"/>
    </row>
    <row r="221" spans="6:20" ht="12" customHeight="1" x14ac:dyDescent="0.25">
      <c r="F221" s="52">
        <v>7056</v>
      </c>
      <c r="G221" s="52">
        <v>3</v>
      </c>
      <c r="H221" s="52" t="s">
        <v>933</v>
      </c>
      <c r="I221" s="60" t="s">
        <v>231</v>
      </c>
      <c r="J221" s="52">
        <v>3</v>
      </c>
      <c r="K221" s="60" t="str">
        <f t="shared" si="35"/>
        <v>Luis Suárez,</v>
      </c>
      <c r="L221" s="60" t="s">
        <v>1090</v>
      </c>
      <c r="M221" s="60" t="str">
        <f>IF(N220&lt;&gt;"",", ","")</f>
        <v/>
      </c>
      <c r="N221" s="60"/>
      <c r="O221" s="60" t="str">
        <f t="shared" si="37"/>
        <v/>
      </c>
      <c r="P221" s="60"/>
      <c r="Q221" s="61" t="str">
        <f t="shared" si="34"/>
        <v/>
      </c>
      <c r="R221" s="61"/>
      <c r="S221" s="61" t="str">
        <f t="shared" si="34"/>
        <v/>
      </c>
      <c r="T221" s="61"/>
    </row>
    <row r="222" spans="6:20" ht="12" customHeight="1" x14ac:dyDescent="0.25">
      <c r="F222" s="52">
        <v>7057</v>
      </c>
      <c r="G222" s="52">
        <v>3</v>
      </c>
      <c r="H222" s="52" t="s">
        <v>235</v>
      </c>
      <c r="I222" s="60" t="s">
        <v>450</v>
      </c>
      <c r="J222" s="52">
        <v>6</v>
      </c>
      <c r="K222" s="60" t="str">
        <f t="shared" si="35"/>
        <v>Luis Suárez, Rosario Moradillo</v>
      </c>
      <c r="L222" s="60" t="s">
        <v>1090</v>
      </c>
      <c r="M222" s="60" t="s">
        <v>573</v>
      </c>
      <c r="N222" s="263" t="s">
        <v>856</v>
      </c>
      <c r="O222" s="60" t="str">
        <f t="shared" si="37"/>
        <v/>
      </c>
      <c r="P222" s="60"/>
      <c r="Q222" s="61" t="str">
        <f t="shared" si="34"/>
        <v/>
      </c>
      <c r="R222" s="61"/>
      <c r="S222" s="61" t="str">
        <f t="shared" si="34"/>
        <v/>
      </c>
      <c r="T222" s="61"/>
    </row>
    <row r="223" spans="6:20" ht="12" customHeight="1" x14ac:dyDescent="0.25">
      <c r="J223" s="4">
        <v>6</v>
      </c>
      <c r="K223" s="55" t="str">
        <f t="shared" si="35"/>
        <v/>
      </c>
      <c r="L223" s="314"/>
      <c r="M223" s="60" t="str">
        <f t="shared" ref="M223:M235" si="38">IF(N222&lt;&gt;"",", ","")</f>
        <v xml:space="preserve">, </v>
      </c>
      <c r="N223" s="314"/>
      <c r="O223" s="60" t="str">
        <f t="shared" si="37"/>
        <v/>
      </c>
      <c r="Q223" s="61" t="str">
        <f t="shared" ref="Q223:S254" si="39">IF(R223&lt;&gt;"",", ","")</f>
        <v/>
      </c>
      <c r="S223" s="61" t="str">
        <f t="shared" si="39"/>
        <v/>
      </c>
    </row>
    <row r="224" spans="6:20" ht="12" customHeight="1" x14ac:dyDescent="0.25">
      <c r="F224" s="64" t="s">
        <v>300</v>
      </c>
      <c r="J224" s="4">
        <v>6</v>
      </c>
      <c r="K224" s="55" t="str">
        <f t="shared" si="35"/>
        <v/>
      </c>
      <c r="L224" s="314"/>
      <c r="M224" s="254" t="str">
        <f t="shared" si="38"/>
        <v/>
      </c>
      <c r="N224" s="314"/>
      <c r="O224" s="60" t="str">
        <f t="shared" si="37"/>
        <v/>
      </c>
      <c r="Q224" s="61" t="str">
        <f t="shared" si="39"/>
        <v/>
      </c>
      <c r="S224" s="61" t="str">
        <f t="shared" si="39"/>
        <v/>
      </c>
    </row>
    <row r="225" spans="6:20" ht="12" customHeight="1" x14ac:dyDescent="0.25">
      <c r="F225" s="259">
        <v>8111</v>
      </c>
      <c r="G225" s="52">
        <v>1</v>
      </c>
      <c r="H225" s="52" t="s">
        <v>946</v>
      </c>
      <c r="I225" s="60" t="s">
        <v>497</v>
      </c>
      <c r="J225" s="52">
        <v>6</v>
      </c>
      <c r="K225" s="60" t="str">
        <f t="shared" si="35"/>
        <v>Santiago Arcos Arcos</v>
      </c>
      <c r="L225" s="60" t="s">
        <v>664</v>
      </c>
      <c r="M225" s="254" t="str">
        <f t="shared" si="38"/>
        <v/>
      </c>
      <c r="N225" s="60"/>
      <c r="O225" s="60" t="str">
        <f t="shared" si="37"/>
        <v/>
      </c>
      <c r="P225" s="60"/>
      <c r="Q225" s="61" t="str">
        <f t="shared" si="39"/>
        <v/>
      </c>
      <c r="R225" s="61"/>
      <c r="S225" s="61" t="str">
        <f t="shared" si="39"/>
        <v/>
      </c>
      <c r="T225" s="61"/>
    </row>
    <row r="226" spans="6:20" ht="12" customHeight="1" x14ac:dyDescent="0.25">
      <c r="F226" s="259">
        <v>8112</v>
      </c>
      <c r="G226" s="52">
        <v>1</v>
      </c>
      <c r="H226" s="52" t="s">
        <v>539</v>
      </c>
      <c r="I226" s="60" t="s">
        <v>498</v>
      </c>
      <c r="J226" s="52">
        <v>6</v>
      </c>
      <c r="K226" s="60" t="str">
        <f t="shared" si="35"/>
        <v>José Mª Cámara Nebreda</v>
      </c>
      <c r="L226" s="60" t="s">
        <v>262</v>
      </c>
      <c r="M226" s="60" t="str">
        <f t="shared" si="38"/>
        <v/>
      </c>
      <c r="N226" s="60"/>
      <c r="O226" s="60" t="str">
        <f t="shared" si="37"/>
        <v/>
      </c>
      <c r="P226" s="60"/>
      <c r="Q226" s="61" t="str">
        <f t="shared" si="39"/>
        <v/>
      </c>
      <c r="R226" s="61"/>
      <c r="S226" s="61" t="str">
        <f t="shared" si="39"/>
        <v/>
      </c>
      <c r="T226" s="61"/>
    </row>
    <row r="227" spans="6:20" ht="12" customHeight="1" x14ac:dyDescent="0.25">
      <c r="F227" s="259">
        <v>8113</v>
      </c>
      <c r="G227" s="52">
        <v>1</v>
      </c>
      <c r="H227" s="52" t="s">
        <v>451</v>
      </c>
      <c r="I227" s="60" t="s">
        <v>452</v>
      </c>
      <c r="J227" s="52">
        <v>6</v>
      </c>
      <c r="K227" s="60" t="str">
        <f t="shared" si="35"/>
        <v>Alvar Arnáiz, Álvaro Herrero Cosio</v>
      </c>
      <c r="L227" s="60" t="s">
        <v>764</v>
      </c>
      <c r="M227" s="60" t="str">
        <f t="shared" si="38"/>
        <v/>
      </c>
      <c r="N227" s="60" t="s">
        <v>512</v>
      </c>
      <c r="O227" s="60" t="str">
        <f t="shared" si="37"/>
        <v/>
      </c>
      <c r="P227" s="60"/>
      <c r="Q227" s="61" t="str">
        <f t="shared" si="39"/>
        <v/>
      </c>
      <c r="R227" s="61"/>
      <c r="S227" s="61" t="str">
        <f t="shared" si="39"/>
        <v/>
      </c>
      <c r="T227" s="61"/>
    </row>
    <row r="228" spans="6:20" ht="12" customHeight="1" x14ac:dyDescent="0.25">
      <c r="F228" s="259">
        <v>8114</v>
      </c>
      <c r="G228" s="52">
        <v>1</v>
      </c>
      <c r="H228" s="52" t="s">
        <v>453</v>
      </c>
      <c r="I228" s="60" t="s">
        <v>454</v>
      </c>
      <c r="J228" s="52">
        <v>6</v>
      </c>
      <c r="K228" s="60" t="str">
        <f t="shared" si="35"/>
        <v/>
      </c>
      <c r="L228" s="60"/>
      <c r="M228" s="60" t="str">
        <f t="shared" si="38"/>
        <v xml:space="preserve">, </v>
      </c>
      <c r="N228" s="60"/>
      <c r="O228" s="60" t="str">
        <f t="shared" si="37"/>
        <v/>
      </c>
      <c r="P228" s="60"/>
      <c r="Q228" s="61" t="str">
        <f t="shared" si="39"/>
        <v/>
      </c>
      <c r="R228" s="61"/>
      <c r="S228" s="61" t="str">
        <f t="shared" si="39"/>
        <v/>
      </c>
      <c r="T228" s="61"/>
    </row>
    <row r="229" spans="6:20" ht="12" customHeight="1" x14ac:dyDescent="0.25">
      <c r="F229" s="259">
        <v>8115</v>
      </c>
      <c r="G229" s="52">
        <v>1</v>
      </c>
      <c r="H229" s="52" t="s">
        <v>134</v>
      </c>
      <c r="I229" s="60" t="s">
        <v>455</v>
      </c>
      <c r="J229" s="52">
        <v>6</v>
      </c>
      <c r="K229" s="60" t="str">
        <f t="shared" si="35"/>
        <v/>
      </c>
      <c r="L229" s="60"/>
      <c r="M229" s="60" t="str">
        <f t="shared" si="38"/>
        <v/>
      </c>
      <c r="N229" s="60"/>
      <c r="O229" s="60" t="str">
        <f t="shared" si="37"/>
        <v/>
      </c>
      <c r="P229" s="60"/>
      <c r="Q229" s="61" t="str">
        <f t="shared" si="39"/>
        <v/>
      </c>
      <c r="R229" s="61"/>
      <c r="S229" s="61" t="str">
        <f t="shared" si="39"/>
        <v/>
      </c>
      <c r="T229" s="61"/>
    </row>
    <row r="230" spans="6:20" ht="12" customHeight="1" x14ac:dyDescent="0.25">
      <c r="F230" s="259">
        <v>8116</v>
      </c>
      <c r="G230" s="54">
        <v>2</v>
      </c>
      <c r="H230" s="54" t="s">
        <v>936</v>
      </c>
      <c r="I230" s="62" t="s">
        <v>456</v>
      </c>
      <c r="J230" s="54">
        <v>6</v>
      </c>
      <c r="K230" s="62" t="str">
        <f t="shared" si="35"/>
        <v>Santiago Arcos Arcos</v>
      </c>
      <c r="L230" s="62" t="s">
        <v>664</v>
      </c>
      <c r="M230" s="60" t="str">
        <f t="shared" si="38"/>
        <v/>
      </c>
      <c r="N230" s="62"/>
      <c r="O230" s="62" t="str">
        <f t="shared" si="37"/>
        <v/>
      </c>
      <c r="P230" s="62"/>
      <c r="Q230" s="70" t="str">
        <f t="shared" si="39"/>
        <v/>
      </c>
      <c r="R230" s="70"/>
      <c r="S230" s="70" t="str">
        <f t="shared" si="39"/>
        <v/>
      </c>
      <c r="T230" s="70"/>
    </row>
    <row r="231" spans="6:20" ht="12" customHeight="1" x14ac:dyDescent="0.25">
      <c r="F231" s="259">
        <v>8117</v>
      </c>
      <c r="G231" s="54">
        <v>2</v>
      </c>
      <c r="H231" s="54" t="s">
        <v>524</v>
      </c>
      <c r="I231" s="62" t="s">
        <v>457</v>
      </c>
      <c r="J231" s="54">
        <v>6</v>
      </c>
      <c r="K231" s="62" t="str">
        <f t="shared" si="35"/>
        <v>Ignacio Moreno Velasco</v>
      </c>
      <c r="L231" s="62" t="s">
        <v>373</v>
      </c>
      <c r="M231" s="62" t="str">
        <f t="shared" si="38"/>
        <v/>
      </c>
      <c r="N231" s="62"/>
      <c r="O231" s="62" t="str">
        <f t="shared" si="37"/>
        <v/>
      </c>
      <c r="P231" s="62"/>
      <c r="Q231" s="70" t="str">
        <f t="shared" si="39"/>
        <v/>
      </c>
      <c r="R231" s="70"/>
      <c r="S231" s="70" t="str">
        <f t="shared" si="39"/>
        <v/>
      </c>
      <c r="T231" s="70"/>
    </row>
    <row r="232" spans="6:20" ht="12" customHeight="1" x14ac:dyDescent="0.25">
      <c r="F232" s="259">
        <v>8118</v>
      </c>
      <c r="G232" s="54">
        <v>2</v>
      </c>
      <c r="H232" s="54" t="s">
        <v>458</v>
      </c>
      <c r="I232" s="62" t="s">
        <v>459</v>
      </c>
      <c r="J232" s="54">
        <v>6</v>
      </c>
      <c r="K232" s="62" t="str">
        <f t="shared" si="35"/>
        <v>Pedro Burgos</v>
      </c>
      <c r="L232" s="62" t="s">
        <v>495</v>
      </c>
      <c r="M232" s="62" t="str">
        <f t="shared" si="38"/>
        <v/>
      </c>
      <c r="N232" s="62"/>
      <c r="O232" s="62" t="str">
        <f t="shared" si="37"/>
        <v/>
      </c>
      <c r="P232" s="62"/>
      <c r="Q232" s="70" t="str">
        <f t="shared" si="39"/>
        <v/>
      </c>
      <c r="R232" s="70"/>
      <c r="S232" s="70" t="str">
        <f t="shared" si="39"/>
        <v/>
      </c>
      <c r="T232" s="70"/>
    </row>
    <row r="233" spans="6:20" ht="12" customHeight="1" x14ac:dyDescent="0.25">
      <c r="F233" s="259">
        <v>8119</v>
      </c>
      <c r="G233" s="54">
        <v>2</v>
      </c>
      <c r="H233" s="54" t="s">
        <v>460</v>
      </c>
      <c r="I233" s="62" t="s">
        <v>461</v>
      </c>
      <c r="J233" s="54">
        <v>6</v>
      </c>
      <c r="K233" s="62" t="str">
        <f t="shared" si="35"/>
        <v>Alejandro Merino Gómez</v>
      </c>
      <c r="L233" s="62" t="s">
        <v>496</v>
      </c>
      <c r="M233" s="62" t="str">
        <f t="shared" si="38"/>
        <v/>
      </c>
      <c r="N233" s="62"/>
      <c r="O233" s="62" t="str">
        <f t="shared" si="37"/>
        <v/>
      </c>
      <c r="P233" s="62"/>
      <c r="Q233" s="70" t="str">
        <f t="shared" si="39"/>
        <v/>
      </c>
      <c r="R233" s="70"/>
      <c r="S233" s="70" t="str">
        <f t="shared" si="39"/>
        <v/>
      </c>
      <c r="T233" s="70"/>
    </row>
    <row r="234" spans="6:20" ht="12" customHeight="1" x14ac:dyDescent="0.25">
      <c r="F234" s="259">
        <v>8120</v>
      </c>
      <c r="G234" s="54">
        <v>2</v>
      </c>
      <c r="H234" s="54" t="s">
        <v>931</v>
      </c>
      <c r="I234" s="62" t="s">
        <v>462</v>
      </c>
      <c r="J234" s="54">
        <v>6</v>
      </c>
      <c r="K234" s="62" t="str">
        <f t="shared" si="35"/>
        <v>José Manuel Sáiz, Pedro Burgos, Carlos Armiño</v>
      </c>
      <c r="L234" s="62" t="s">
        <v>507</v>
      </c>
      <c r="M234" s="62" t="str">
        <f t="shared" si="38"/>
        <v/>
      </c>
      <c r="N234" s="62" t="s">
        <v>495</v>
      </c>
      <c r="O234" s="62" t="str">
        <f t="shared" si="37"/>
        <v xml:space="preserve">, </v>
      </c>
      <c r="P234" s="62" t="s">
        <v>513</v>
      </c>
      <c r="Q234" s="70" t="str">
        <f t="shared" si="39"/>
        <v/>
      </c>
      <c r="R234" s="70"/>
      <c r="S234" s="70" t="str">
        <f t="shared" si="39"/>
        <v/>
      </c>
      <c r="T234" s="70"/>
    </row>
    <row r="235" spans="6:20" ht="12" customHeight="1" x14ac:dyDescent="0.25">
      <c r="F235" s="52"/>
      <c r="G235" s="52"/>
      <c r="H235" s="52"/>
      <c r="I235" s="66"/>
      <c r="J235" s="52"/>
      <c r="K235" s="66"/>
      <c r="L235" s="315"/>
      <c r="M235" s="62" t="str">
        <f t="shared" si="38"/>
        <v xml:space="preserve">, </v>
      </c>
      <c r="N235" s="315"/>
      <c r="O235" s="60"/>
      <c r="P235" s="66"/>
      <c r="Q235" s="61" t="str">
        <f t="shared" si="39"/>
        <v/>
      </c>
      <c r="R235" s="71"/>
      <c r="S235" s="61" t="str">
        <f t="shared" si="39"/>
        <v/>
      </c>
      <c r="T235" s="71"/>
    </row>
    <row r="236" spans="6:20" ht="12" customHeight="1" x14ac:dyDescent="0.25">
      <c r="F236" s="52"/>
      <c r="G236" s="52"/>
      <c r="H236" s="52"/>
      <c r="I236" s="66"/>
      <c r="J236" s="52"/>
      <c r="K236" s="66"/>
      <c r="L236" s="315"/>
      <c r="M236" s="254"/>
      <c r="N236" s="315"/>
      <c r="O236" s="60"/>
      <c r="P236" s="66"/>
      <c r="Q236" s="61"/>
      <c r="R236" s="71"/>
      <c r="S236" s="61"/>
      <c r="T236" s="71"/>
    </row>
    <row r="237" spans="6:20" ht="12" customHeight="1" x14ac:dyDescent="0.25">
      <c r="F237" s="52"/>
      <c r="G237" s="52"/>
      <c r="H237" s="52"/>
      <c r="I237" s="66"/>
      <c r="J237" s="52"/>
      <c r="K237" s="66"/>
      <c r="L237" s="315"/>
      <c r="M237" s="254"/>
      <c r="N237" s="315"/>
      <c r="O237" s="60"/>
      <c r="P237" s="66"/>
      <c r="Q237" s="61"/>
      <c r="R237" s="71"/>
      <c r="S237" s="61"/>
      <c r="T237" s="71"/>
    </row>
    <row r="238" spans="6:20" ht="12" customHeight="1" x14ac:dyDescent="0.25">
      <c r="F238" s="52"/>
      <c r="G238" s="52"/>
      <c r="H238" s="52"/>
      <c r="I238" s="66"/>
      <c r="J238" s="52"/>
      <c r="K238" s="66"/>
      <c r="L238" s="315"/>
      <c r="M238" s="254"/>
      <c r="N238" s="315"/>
      <c r="O238" s="60"/>
      <c r="P238" s="66"/>
      <c r="Q238" s="61"/>
      <c r="R238" s="71"/>
      <c r="S238" s="61"/>
      <c r="T238" s="71"/>
    </row>
    <row r="239" spans="6:20" ht="12" customHeight="1" x14ac:dyDescent="0.25">
      <c r="F239" s="52"/>
      <c r="G239" s="52"/>
      <c r="H239" s="52"/>
      <c r="I239" s="66"/>
      <c r="J239" s="52"/>
      <c r="K239" s="66"/>
      <c r="L239" s="315"/>
      <c r="M239" s="254"/>
      <c r="N239" s="315"/>
      <c r="O239" s="60"/>
      <c r="P239" s="66"/>
      <c r="Q239" s="61"/>
      <c r="R239" s="71"/>
      <c r="S239" s="61"/>
      <c r="T239" s="71"/>
    </row>
    <row r="240" spans="6:20" ht="12" customHeight="1" x14ac:dyDescent="0.25">
      <c r="F240" s="52"/>
      <c r="G240" s="52"/>
      <c r="H240" s="52"/>
      <c r="I240" s="66"/>
      <c r="J240" s="52"/>
      <c r="K240" s="66"/>
      <c r="L240" s="315"/>
      <c r="M240" s="254"/>
      <c r="N240" s="315"/>
      <c r="O240" s="60"/>
      <c r="P240" s="66"/>
      <c r="Q240" s="61"/>
      <c r="R240" s="71"/>
      <c r="S240" s="61"/>
      <c r="T240" s="71"/>
    </row>
    <row r="241" spans="6:29" ht="12" customHeight="1" x14ac:dyDescent="0.25">
      <c r="F241" s="52"/>
      <c r="G241" s="52"/>
      <c r="H241" s="52"/>
      <c r="I241" s="66"/>
      <c r="J241" s="52"/>
      <c r="K241" s="66"/>
      <c r="L241" s="315"/>
      <c r="M241" s="254"/>
      <c r="N241" s="315"/>
      <c r="O241" s="60"/>
      <c r="P241" s="66"/>
      <c r="Q241" s="61"/>
      <c r="R241" s="71"/>
      <c r="S241" s="61"/>
      <c r="T241" s="71"/>
    </row>
    <row r="242" spans="6:29" ht="12" customHeight="1" x14ac:dyDescent="0.25">
      <c r="F242" s="52"/>
      <c r="G242" s="52"/>
      <c r="H242" s="52"/>
      <c r="I242" s="66"/>
      <c r="J242" s="52"/>
      <c r="K242" s="66"/>
      <c r="L242" s="315"/>
      <c r="M242" s="254"/>
      <c r="N242" s="315"/>
      <c r="O242" s="60"/>
      <c r="P242" s="66"/>
      <c r="Q242" s="61"/>
      <c r="R242" s="71"/>
      <c r="S242" s="61"/>
      <c r="T242" s="71"/>
    </row>
    <row r="243" spans="6:29" ht="12" customHeight="1" x14ac:dyDescent="0.25">
      <c r="K243" s="55" t="str">
        <f t="shared" ref="K243:K256" si="40">CONCATENATE(L243,M244,N243,O243,P243,Q243,R243)</f>
        <v/>
      </c>
      <c r="L243" s="314"/>
      <c r="M243" s="254"/>
      <c r="N243" s="314"/>
      <c r="O243" s="60" t="str">
        <f t="shared" si="37"/>
        <v/>
      </c>
      <c r="Q243" s="61"/>
      <c r="S243" s="61"/>
    </row>
    <row r="244" spans="6:29" ht="12" customHeight="1" x14ac:dyDescent="0.25">
      <c r="F244" s="64" t="s">
        <v>465</v>
      </c>
      <c r="K244" s="55" t="str">
        <f t="shared" si="40"/>
        <v/>
      </c>
      <c r="L244" s="314"/>
      <c r="M244" s="254" t="str">
        <f t="shared" ref="M244:M257" si="41">IF(N243&lt;&gt;"",", ","")</f>
        <v/>
      </c>
      <c r="N244" s="314"/>
      <c r="O244" s="60" t="str">
        <f t="shared" si="37"/>
        <v/>
      </c>
      <c r="Q244" s="61" t="str">
        <f t="shared" si="39"/>
        <v/>
      </c>
      <c r="S244" s="61" t="str">
        <f t="shared" si="39"/>
        <v/>
      </c>
    </row>
    <row r="245" spans="6:29" ht="12" customHeight="1" x14ac:dyDescent="0.25">
      <c r="F245" s="54">
        <v>7101</v>
      </c>
      <c r="G245" s="54">
        <v>1</v>
      </c>
      <c r="H245" s="54" t="s">
        <v>27</v>
      </c>
      <c r="I245" s="62" t="s">
        <v>466</v>
      </c>
      <c r="J245" s="54">
        <v>4</v>
      </c>
      <c r="K245" s="250" t="str">
        <f t="shared" si="40"/>
        <v>Fco. Javier Belzunce (UNIOVI), Monica Preciado (UBU)</v>
      </c>
      <c r="L245" s="62" t="s">
        <v>548</v>
      </c>
      <c r="M245" s="254" t="str">
        <f t="shared" si="41"/>
        <v/>
      </c>
      <c r="N245" s="62" t="s">
        <v>557</v>
      </c>
      <c r="O245" s="62" t="str">
        <f t="shared" si="37"/>
        <v/>
      </c>
      <c r="P245" s="62"/>
      <c r="Q245" s="70" t="str">
        <f t="shared" si="39"/>
        <v/>
      </c>
      <c r="R245" s="62"/>
      <c r="S245" s="70" t="str">
        <f t="shared" si="39"/>
        <v/>
      </c>
      <c r="T245" s="62"/>
    </row>
    <row r="246" spans="6:29" ht="12" customHeight="1" x14ac:dyDescent="0.25">
      <c r="F246" s="54">
        <v>7102</v>
      </c>
      <c r="G246" s="54">
        <v>1</v>
      </c>
      <c r="H246" s="54" t="s">
        <v>473</v>
      </c>
      <c r="I246" s="62" t="s">
        <v>467</v>
      </c>
      <c r="J246" s="54">
        <v>4</v>
      </c>
      <c r="K246" s="250" t="str">
        <f t="shared" si="40"/>
        <v>Wilco Verbeeten (UBU)</v>
      </c>
      <c r="L246" s="62" t="s">
        <v>590</v>
      </c>
      <c r="M246" s="62" t="str">
        <f t="shared" si="41"/>
        <v xml:space="preserve">, </v>
      </c>
      <c r="N246" s="62"/>
      <c r="O246" s="62" t="str">
        <f t="shared" si="37"/>
        <v/>
      </c>
      <c r="P246" s="62"/>
      <c r="Q246" s="70" t="str">
        <f t="shared" si="39"/>
        <v/>
      </c>
      <c r="R246" s="62"/>
      <c r="S246" s="70" t="str">
        <f t="shared" si="39"/>
        <v/>
      </c>
      <c r="T246" s="62"/>
    </row>
    <row r="247" spans="6:29" ht="12" customHeight="1" x14ac:dyDescent="0.25">
      <c r="F247" s="54">
        <v>7103</v>
      </c>
      <c r="G247" s="54">
        <v>1</v>
      </c>
      <c r="H247" s="54" t="s">
        <v>472</v>
      </c>
      <c r="I247" s="62" t="s">
        <v>468</v>
      </c>
      <c r="J247" s="54">
        <v>4</v>
      </c>
      <c r="K247" s="250" t="str">
        <f t="shared" si="40"/>
        <v xml:space="preserve"> Covadonga Betegón Biempica (UNIOVI), Ivan Cuesta Segura (UBU)</v>
      </c>
      <c r="L247" s="337" t="s">
        <v>766</v>
      </c>
      <c r="M247" s="62" t="str">
        <f t="shared" si="41"/>
        <v/>
      </c>
      <c r="N247" s="62" t="s">
        <v>549</v>
      </c>
      <c r="O247" s="62" t="str">
        <f t="shared" si="37"/>
        <v/>
      </c>
      <c r="P247" s="62"/>
      <c r="Q247" s="70" t="str">
        <f t="shared" si="39"/>
        <v/>
      </c>
      <c r="R247" s="62"/>
      <c r="S247" s="70" t="str">
        <f t="shared" si="39"/>
        <v/>
      </c>
      <c r="T247" s="62"/>
    </row>
    <row r="248" spans="6:29" ht="12" customHeight="1" x14ac:dyDescent="0.25">
      <c r="F248" s="54">
        <v>7104</v>
      </c>
      <c r="G248" s="54">
        <v>1</v>
      </c>
      <c r="H248" s="54" t="s">
        <v>471</v>
      </c>
      <c r="I248" s="62" t="s">
        <v>469</v>
      </c>
      <c r="J248" s="54">
        <v>4</v>
      </c>
      <c r="K248" s="250" t="str">
        <f t="shared" si="40"/>
        <v>Jose Alberto Alvarez (UNICAN), Jesús Manuel Alegre (UBU)</v>
      </c>
      <c r="L248" s="62" t="s">
        <v>559</v>
      </c>
      <c r="M248" s="62" t="str">
        <f t="shared" si="41"/>
        <v xml:space="preserve">, </v>
      </c>
      <c r="N248" s="62" t="s">
        <v>558</v>
      </c>
      <c r="O248" s="62" t="str">
        <f t="shared" si="37"/>
        <v/>
      </c>
      <c r="P248" s="62"/>
      <c r="Q248" s="70" t="str">
        <f t="shared" si="39"/>
        <v/>
      </c>
      <c r="R248" s="62"/>
      <c r="S248" s="70" t="str">
        <f t="shared" si="39"/>
        <v/>
      </c>
      <c r="T248" s="62"/>
    </row>
    <row r="249" spans="6:29" ht="12" customHeight="1" x14ac:dyDescent="0.25">
      <c r="F249" s="54">
        <v>7105</v>
      </c>
      <c r="G249" s="54">
        <v>1</v>
      </c>
      <c r="H249" s="54" t="s">
        <v>935</v>
      </c>
      <c r="I249" s="62" t="s">
        <v>470</v>
      </c>
      <c r="J249" s="54">
        <v>4</v>
      </c>
      <c r="K249" s="250" t="str">
        <f t="shared" si="40"/>
        <v>Pedro Bravo Diez (UBU)</v>
      </c>
      <c r="L249" s="250" t="s">
        <v>550</v>
      </c>
      <c r="M249" s="62" t="str">
        <f t="shared" si="41"/>
        <v xml:space="preserve">, </v>
      </c>
      <c r="N249" s="62"/>
      <c r="O249" s="62" t="str">
        <f t="shared" si="37"/>
        <v/>
      </c>
      <c r="P249" s="62"/>
      <c r="Q249" s="70" t="str">
        <f t="shared" si="39"/>
        <v/>
      </c>
      <c r="R249" s="62"/>
      <c r="S249" s="70" t="str">
        <f t="shared" si="39"/>
        <v/>
      </c>
      <c r="T249" s="62"/>
    </row>
    <row r="250" spans="6:29" ht="12" customHeight="1" x14ac:dyDescent="0.25">
      <c r="F250" s="54">
        <v>7108</v>
      </c>
      <c r="G250" s="54">
        <v>1</v>
      </c>
      <c r="H250" s="54" t="s">
        <v>475</v>
      </c>
      <c r="I250" s="62" t="s">
        <v>476</v>
      </c>
      <c r="J250" s="54">
        <v>4</v>
      </c>
      <c r="K250" s="250" t="str">
        <f t="shared" si="40"/>
        <v>Cristina Rodriguez (UNIOVI), Monica Preciado (UBU)</v>
      </c>
      <c r="L250" s="250" t="s">
        <v>551</v>
      </c>
      <c r="M250" s="62" t="str">
        <f t="shared" si="41"/>
        <v/>
      </c>
      <c r="N250" s="62" t="s">
        <v>557</v>
      </c>
      <c r="O250" s="62" t="str">
        <f t="shared" si="37"/>
        <v/>
      </c>
      <c r="P250" s="62"/>
      <c r="Q250" s="70" t="str">
        <f t="shared" si="39"/>
        <v/>
      </c>
      <c r="R250" s="62"/>
      <c r="S250" s="70" t="str">
        <f t="shared" si="39"/>
        <v/>
      </c>
      <c r="T250" s="62"/>
    </row>
    <row r="251" spans="6:29" ht="12" customHeight="1" x14ac:dyDescent="0.25">
      <c r="F251" s="54">
        <v>7106</v>
      </c>
      <c r="G251" s="54">
        <v>1</v>
      </c>
      <c r="H251" s="54" t="s">
        <v>965</v>
      </c>
      <c r="I251" s="109" t="s">
        <v>478</v>
      </c>
      <c r="J251" s="54">
        <v>4</v>
      </c>
      <c r="K251" s="260" t="str">
        <f t="shared" si="40"/>
        <v>Ivan Cuesta Segura (UBU)</v>
      </c>
      <c r="L251" s="260" t="s">
        <v>549</v>
      </c>
      <c r="M251" s="62" t="str">
        <f t="shared" si="41"/>
        <v xml:space="preserve">, </v>
      </c>
      <c r="N251" s="54"/>
      <c r="O251" s="62" t="str">
        <f t="shared" si="37"/>
        <v/>
      </c>
      <c r="P251" s="62"/>
      <c r="Q251" s="70" t="str">
        <f t="shared" si="39"/>
        <v/>
      </c>
      <c r="R251" s="62"/>
      <c r="S251" s="70" t="str">
        <f t="shared" si="39"/>
        <v/>
      </c>
      <c r="T251" s="62"/>
      <c r="U251" s="54"/>
      <c r="V251" s="54"/>
      <c r="W251" s="54"/>
      <c r="X251" s="62"/>
      <c r="Y251" s="54"/>
      <c r="Z251" s="62"/>
      <c r="AA251" s="62"/>
      <c r="AB251" s="60"/>
      <c r="AC251" s="62"/>
    </row>
    <row r="252" spans="6:29" ht="12" customHeight="1" x14ac:dyDescent="0.25">
      <c r="F252" s="52">
        <v>7109</v>
      </c>
      <c r="G252" s="52">
        <v>2</v>
      </c>
      <c r="H252" s="52" t="s">
        <v>953</v>
      </c>
      <c r="I252" s="60" t="s">
        <v>477</v>
      </c>
      <c r="J252" s="52">
        <v>4</v>
      </c>
      <c r="K252" s="263" t="str">
        <f t="shared" si="40"/>
        <v>Fco. J. Belzunce (UNIOVI), Pedro Bravo (UBU)</v>
      </c>
      <c r="L252" s="263" t="s">
        <v>591</v>
      </c>
      <c r="M252" s="62" t="str">
        <f t="shared" si="41"/>
        <v/>
      </c>
      <c r="N252" s="261" t="s">
        <v>552</v>
      </c>
      <c r="O252" s="60" t="str">
        <f t="shared" si="37"/>
        <v/>
      </c>
      <c r="P252" s="52"/>
      <c r="Q252" s="61" t="str">
        <f t="shared" si="39"/>
        <v/>
      </c>
      <c r="R252" s="52"/>
      <c r="S252" s="61" t="str">
        <f t="shared" si="39"/>
        <v/>
      </c>
      <c r="T252" s="52"/>
    </row>
    <row r="253" spans="6:29" ht="12" customHeight="1" x14ac:dyDescent="0.25">
      <c r="F253" s="52">
        <v>7107</v>
      </c>
      <c r="G253" s="52">
        <v>2</v>
      </c>
      <c r="H253" s="52" t="s">
        <v>546</v>
      </c>
      <c r="I253" s="66" t="s">
        <v>479</v>
      </c>
      <c r="J253" s="52">
        <v>4</v>
      </c>
      <c r="K253" s="263" t="str">
        <f t="shared" si="40"/>
        <v>Roberto Lacalle (UNICAM), Ivan Cuesta Segura (UBU)</v>
      </c>
      <c r="L253" s="66" t="s">
        <v>669</v>
      </c>
      <c r="M253" s="62" t="str">
        <f t="shared" si="41"/>
        <v xml:space="preserve">, </v>
      </c>
      <c r="N253" s="261" t="s">
        <v>549</v>
      </c>
      <c r="O253" s="60"/>
      <c r="P253" s="261"/>
      <c r="Q253" s="61" t="str">
        <f t="shared" si="39"/>
        <v/>
      </c>
      <c r="R253" s="52"/>
      <c r="S253" s="61" t="str">
        <f t="shared" si="39"/>
        <v/>
      </c>
      <c r="T253" s="52"/>
    </row>
    <row r="254" spans="6:29" ht="12" customHeight="1" x14ac:dyDescent="0.25">
      <c r="F254" s="52">
        <v>7110</v>
      </c>
      <c r="G254" s="52">
        <v>2</v>
      </c>
      <c r="H254" s="52" t="s">
        <v>930</v>
      </c>
      <c r="I254" s="66" t="s">
        <v>925</v>
      </c>
      <c r="J254" s="52">
        <v>4</v>
      </c>
      <c r="K254" s="261" t="str">
        <f t="shared" si="40"/>
        <v>Sergio Cicero (UNICAN), Pedro Bravo (UBU)</v>
      </c>
      <c r="L254" s="261" t="s">
        <v>553</v>
      </c>
      <c r="M254" s="62" t="str">
        <f t="shared" si="41"/>
        <v xml:space="preserve">, </v>
      </c>
      <c r="N254" s="52" t="s">
        <v>552</v>
      </c>
      <c r="O254" s="60" t="str">
        <f t="shared" si="37"/>
        <v/>
      </c>
      <c r="P254" s="52"/>
      <c r="Q254" s="61" t="str">
        <f t="shared" si="39"/>
        <v/>
      </c>
      <c r="R254" s="52"/>
      <c r="S254" s="61" t="str">
        <f t="shared" si="39"/>
        <v/>
      </c>
      <c r="T254" s="52"/>
    </row>
    <row r="255" spans="6:29" ht="12" customHeight="1" x14ac:dyDescent="0.25">
      <c r="F255" s="52">
        <v>7111</v>
      </c>
      <c r="G255" s="52">
        <v>2</v>
      </c>
      <c r="H255" s="52" t="s">
        <v>482</v>
      </c>
      <c r="I255" s="66" t="s">
        <v>480</v>
      </c>
      <c r="J255" s="52">
        <v>4</v>
      </c>
      <c r="K255" s="261" t="str">
        <f t="shared" si="40"/>
        <v>Jesús Manuel Alegre (UBU), Wilco Verbeeten (UBU)</v>
      </c>
      <c r="L255" s="261" t="s">
        <v>558</v>
      </c>
      <c r="M255" s="62" t="str">
        <f t="shared" si="41"/>
        <v xml:space="preserve">, </v>
      </c>
      <c r="N255" s="66" t="s">
        <v>590</v>
      </c>
      <c r="O255" s="60" t="str">
        <f t="shared" si="37"/>
        <v/>
      </c>
      <c r="P255" s="52"/>
      <c r="Q255" s="60" t="str">
        <f>IF(R255&lt;&gt;"",", ","")</f>
        <v/>
      </c>
      <c r="R255" s="52"/>
      <c r="S255" s="60" t="str">
        <f>IF(T255&lt;&gt;"",", ","")</f>
        <v/>
      </c>
      <c r="T255" s="52"/>
      <c r="U255" s="255"/>
      <c r="V255" s="255"/>
      <c r="W255" s="255"/>
      <c r="X255" s="255"/>
      <c r="Y255" s="255"/>
      <c r="Z255" s="255"/>
      <c r="AA255" s="255"/>
    </row>
    <row r="256" spans="6:29" ht="12" customHeight="1" x14ac:dyDescent="0.25">
      <c r="F256" s="52">
        <v>7112</v>
      </c>
      <c r="G256" s="52">
        <v>2</v>
      </c>
      <c r="H256" s="52" t="s">
        <v>483</v>
      </c>
      <c r="I256" s="66" t="s">
        <v>481</v>
      </c>
      <c r="J256" s="52">
        <v>4</v>
      </c>
      <c r="K256" s="261" t="str">
        <f t="shared" si="40"/>
        <v>Wilco Verbeeten (UBU)</v>
      </c>
      <c r="L256" s="66" t="s">
        <v>590</v>
      </c>
      <c r="M256" s="62" t="str">
        <f t="shared" si="41"/>
        <v xml:space="preserve">, </v>
      </c>
      <c r="N256" s="52"/>
      <c r="O256" s="60" t="str">
        <f t="shared" si="37"/>
        <v/>
      </c>
      <c r="P256" s="52"/>
      <c r="Q256" s="60" t="str">
        <f>IF(R256&lt;&gt;"",", ","")</f>
        <v/>
      </c>
      <c r="R256" s="52"/>
      <c r="S256" s="60" t="str">
        <f>IF(T256&lt;&gt;"",", ","")</f>
        <v/>
      </c>
      <c r="T256" s="52"/>
      <c r="U256" s="255"/>
      <c r="V256" s="255"/>
      <c r="W256" s="255"/>
      <c r="X256" s="255"/>
      <c r="Y256" s="255"/>
      <c r="Z256" s="255"/>
      <c r="AA256" s="255"/>
    </row>
    <row r="257" spans="1:27" s="255" customFormat="1" ht="12" customHeight="1" x14ac:dyDescent="0.25">
      <c r="A257" s="251"/>
      <c r="B257" s="251"/>
      <c r="C257" s="252"/>
      <c r="D257" s="251"/>
      <c r="E257" s="251"/>
      <c r="F257" s="251"/>
      <c r="G257" s="251"/>
      <c r="H257" s="251"/>
      <c r="I257" s="253"/>
      <c r="J257" s="251"/>
      <c r="K257" s="259"/>
      <c r="L257" s="251"/>
      <c r="M257" s="62" t="str">
        <f t="shared" si="41"/>
        <v/>
      </c>
      <c r="N257" s="251"/>
      <c r="O257" s="256"/>
      <c r="P257" s="251"/>
      <c r="Q257" s="256"/>
      <c r="R257" s="251"/>
      <c r="S257" s="256"/>
      <c r="T257" s="251"/>
    </row>
    <row r="258" spans="1:27" ht="12" customHeight="1" x14ac:dyDescent="0.25">
      <c r="F258" s="257" t="s">
        <v>676</v>
      </c>
      <c r="G258" s="140"/>
      <c r="H258" s="140"/>
      <c r="I258" s="258"/>
      <c r="J258" s="140"/>
      <c r="K258" s="259"/>
      <c r="L258" s="310"/>
      <c r="M258" s="256"/>
      <c r="N258" s="310"/>
      <c r="O258" s="254"/>
      <c r="P258" s="254"/>
      <c r="Q258" s="254"/>
      <c r="R258" s="254"/>
      <c r="S258" s="254"/>
      <c r="T258" s="254"/>
      <c r="U258" s="255"/>
      <c r="V258" s="255"/>
      <c r="W258" s="255"/>
      <c r="X258" s="255"/>
      <c r="Y258" s="255"/>
      <c r="Z258" s="255"/>
      <c r="AA258" s="255"/>
    </row>
    <row r="259" spans="1:27" ht="12" customHeight="1" x14ac:dyDescent="0.25">
      <c r="F259" s="52">
        <v>7711</v>
      </c>
      <c r="G259" s="52">
        <v>1</v>
      </c>
      <c r="H259" s="52" t="s">
        <v>12</v>
      </c>
      <c r="I259" s="60" t="s">
        <v>662</v>
      </c>
      <c r="J259" s="52">
        <v>6</v>
      </c>
      <c r="K259" s="66" t="str">
        <f>CONCATENATE(L259,M260,N259,O259,P259,Q259,R259)</f>
        <v>Elena Cebrián de Barrio</v>
      </c>
      <c r="L259" s="318" t="s">
        <v>509</v>
      </c>
      <c r="M259" s="62" t="str">
        <f t="shared" ref="M259:M276" si="42">IF(N259&lt;&gt;"",", ","")</f>
        <v/>
      </c>
      <c r="N259" s="263"/>
      <c r="O259" s="60"/>
      <c r="P259" s="60"/>
      <c r="Q259" s="60"/>
      <c r="R259" s="60"/>
      <c r="S259" s="60"/>
      <c r="T259" s="60"/>
      <c r="U259" s="255"/>
      <c r="V259" s="255"/>
      <c r="W259" s="255"/>
      <c r="X259" s="255"/>
      <c r="Y259" s="255"/>
      <c r="Z259" s="255"/>
      <c r="AA259" s="255"/>
    </row>
    <row r="260" spans="1:27" ht="12" customHeight="1" x14ac:dyDescent="0.25">
      <c r="F260" s="52">
        <v>7712</v>
      </c>
      <c r="G260" s="52">
        <v>1</v>
      </c>
      <c r="H260" s="52" t="s">
        <v>13</v>
      </c>
      <c r="I260" s="60" t="s">
        <v>924</v>
      </c>
      <c r="J260" s="52">
        <v>6</v>
      </c>
      <c r="K260" s="66" t="str">
        <f>CONCATENATE(L260,M261,N260,O260,P260,Q260,R260)</f>
        <v/>
      </c>
      <c r="L260" s="318"/>
      <c r="M260" s="62" t="str">
        <f t="shared" si="42"/>
        <v/>
      </c>
      <c r="N260" s="60"/>
      <c r="O260" s="60"/>
      <c r="P260" s="60"/>
      <c r="Q260" s="60"/>
      <c r="R260" s="60"/>
      <c r="S260" s="60"/>
      <c r="T260" s="60"/>
      <c r="U260" s="255"/>
      <c r="V260" s="255"/>
      <c r="W260" s="255"/>
      <c r="X260" s="255"/>
      <c r="Y260" s="255"/>
      <c r="Z260" s="255"/>
      <c r="AA260" s="255"/>
    </row>
    <row r="261" spans="1:27" ht="12" customHeight="1" x14ac:dyDescent="0.25">
      <c r="F261" s="52">
        <v>7713</v>
      </c>
      <c r="G261" s="52">
        <v>1</v>
      </c>
      <c r="H261" s="52" t="s">
        <v>79</v>
      </c>
      <c r="I261" s="60" t="s">
        <v>348</v>
      </c>
      <c r="J261" s="52">
        <v>6</v>
      </c>
      <c r="K261" s="66" t="str">
        <f>CONCATENATE(L261,M262,N261,O261,P261,Q261,R261)</f>
        <v xml:space="preserve">Juan José Villalaín , </v>
      </c>
      <c r="L261" s="263" t="s">
        <v>1238</v>
      </c>
      <c r="M261" s="62" t="str">
        <f t="shared" si="42"/>
        <v/>
      </c>
      <c r="N261" s="333"/>
      <c r="O261" s="333"/>
      <c r="P261" s="333"/>
      <c r="Q261" s="333"/>
      <c r="R261" s="333"/>
      <c r="S261" s="333"/>
      <c r="T261" s="333"/>
      <c r="U261" s="432"/>
      <c r="V261" s="316"/>
      <c r="W261" s="316"/>
      <c r="X261" s="316"/>
      <c r="Y261" s="316"/>
      <c r="Z261" s="316"/>
      <c r="AA261" s="316"/>
    </row>
    <row r="262" spans="1:27" ht="12" customHeight="1" x14ac:dyDescent="0.25">
      <c r="F262" s="52">
        <v>7714</v>
      </c>
      <c r="G262" s="52">
        <v>1</v>
      </c>
      <c r="H262" s="52" t="s">
        <v>23</v>
      </c>
      <c r="I262" s="60" t="s">
        <v>246</v>
      </c>
      <c r="J262" s="52">
        <v>6</v>
      </c>
      <c r="K262" s="66" t="str">
        <f>CONCATENATE(L262,M263,N262,O262,P262,Q262,R262)</f>
        <v xml:space="preserve">Indalecio Peñacoba, Francisco Javier Rodriguez , </v>
      </c>
      <c r="L262" s="263" t="s">
        <v>1077</v>
      </c>
      <c r="M262" s="62" t="str">
        <f t="shared" si="42"/>
        <v xml:space="preserve">, </v>
      </c>
      <c r="N262" s="263" t="s">
        <v>1018</v>
      </c>
      <c r="O262" s="60" t="str">
        <f>IF(N262&lt;&gt;"",", ","")</f>
        <v xml:space="preserve">, </v>
      </c>
      <c r="Q262" s="60"/>
      <c r="R262" s="60"/>
      <c r="S262" s="60"/>
      <c r="T262" s="60"/>
      <c r="U262" s="255"/>
      <c r="V262" s="255"/>
      <c r="W262" s="255"/>
      <c r="X262" s="255"/>
      <c r="Y262" s="255"/>
      <c r="Z262" s="255"/>
      <c r="AA262" s="255"/>
    </row>
    <row r="263" spans="1:27" ht="12" customHeight="1" x14ac:dyDescent="0.25">
      <c r="F263" s="52">
        <v>7715</v>
      </c>
      <c r="G263" s="52">
        <v>1</v>
      </c>
      <c r="H263" s="52" t="s">
        <v>1358</v>
      </c>
      <c r="I263" s="60" t="s">
        <v>245</v>
      </c>
      <c r="J263" s="52">
        <v>6</v>
      </c>
      <c r="K263" s="66" t="str">
        <f t="shared" ref="K263:K275" si="43">CONCATENATE(L263,M263,N263,O263,P263,Q263,R263)</f>
        <v>Arturo de Román Miguel, Elías Martínez</v>
      </c>
      <c r="L263" s="263" t="s">
        <v>243</v>
      </c>
      <c r="M263" s="62" t="str">
        <f t="shared" si="42"/>
        <v xml:space="preserve">, </v>
      </c>
      <c r="N263" s="263" t="s">
        <v>906</v>
      </c>
      <c r="O263" s="60"/>
      <c r="P263" s="60"/>
      <c r="Q263" s="60"/>
      <c r="R263" s="60"/>
      <c r="S263" s="60"/>
      <c r="T263" s="60"/>
      <c r="U263" s="255"/>
      <c r="V263" s="255"/>
      <c r="W263" s="255"/>
      <c r="X263" s="255"/>
      <c r="Y263" s="255"/>
      <c r="Z263" s="255"/>
      <c r="AA263" s="255"/>
    </row>
    <row r="264" spans="1:27" ht="12" customHeight="1" x14ac:dyDescent="0.25">
      <c r="F264" s="52">
        <v>7716</v>
      </c>
      <c r="G264" s="54">
        <v>2</v>
      </c>
      <c r="H264" s="54" t="s">
        <v>24</v>
      </c>
      <c r="I264" s="62" t="s">
        <v>345</v>
      </c>
      <c r="J264" s="54">
        <v>6</v>
      </c>
      <c r="K264" s="66" t="str">
        <f t="shared" si="43"/>
        <v>Leticia Sainz</v>
      </c>
      <c r="L264" s="325" t="s">
        <v>1174</v>
      </c>
      <c r="M264" s="62" t="str">
        <f t="shared" si="42"/>
        <v/>
      </c>
      <c r="N264" s="250"/>
      <c r="O264" s="62"/>
      <c r="P264" s="62"/>
      <c r="Q264" s="62"/>
      <c r="R264" s="62"/>
      <c r="S264" s="62"/>
      <c r="T264" s="62"/>
      <c r="U264" s="255"/>
      <c r="V264" s="255"/>
      <c r="W264" s="255"/>
      <c r="X264" s="255"/>
      <c r="Y264" s="255"/>
      <c r="Z264" s="255"/>
      <c r="AA264" s="255"/>
    </row>
    <row r="265" spans="1:27" ht="12" customHeight="1" x14ac:dyDescent="0.25">
      <c r="F265" s="52">
        <v>7717</v>
      </c>
      <c r="G265" s="54">
        <v>2</v>
      </c>
      <c r="H265" s="54" t="s">
        <v>50</v>
      </c>
      <c r="I265" s="62" t="s">
        <v>241</v>
      </c>
      <c r="J265" s="54">
        <v>6</v>
      </c>
      <c r="K265" s="66" t="str">
        <f t="shared" si="43"/>
        <v>Ángel Arroyo</v>
      </c>
      <c r="L265" s="250" t="s">
        <v>1125</v>
      </c>
      <c r="M265" s="62" t="str">
        <f t="shared" si="42"/>
        <v/>
      </c>
      <c r="N265" s="250"/>
      <c r="O265" s="62"/>
      <c r="P265" s="62"/>
      <c r="Q265" s="62"/>
      <c r="R265" s="62"/>
      <c r="S265" s="62"/>
      <c r="T265" s="62"/>
      <c r="U265" s="255"/>
      <c r="V265" s="255"/>
      <c r="W265" s="255"/>
      <c r="X265" s="255"/>
      <c r="Y265" s="255"/>
      <c r="Z265" s="255"/>
      <c r="AA265" s="255"/>
    </row>
    <row r="266" spans="1:27" ht="12" customHeight="1" x14ac:dyDescent="0.25">
      <c r="F266" s="52">
        <v>7718</v>
      </c>
      <c r="G266" s="54">
        <v>2</v>
      </c>
      <c r="H266" s="54" t="s">
        <v>25</v>
      </c>
      <c r="I266" s="62" t="s">
        <v>350</v>
      </c>
      <c r="J266" s="54">
        <v>6</v>
      </c>
      <c r="K266" s="66" t="str">
        <f t="shared" si="43"/>
        <v>Mª Felicidad Bogalo Román</v>
      </c>
      <c r="L266" s="250" t="s">
        <v>899</v>
      </c>
      <c r="M266" s="62" t="str">
        <f t="shared" si="42"/>
        <v/>
      </c>
      <c r="N266" s="250"/>
      <c r="O266" s="62"/>
      <c r="P266" s="62"/>
      <c r="Q266" s="62"/>
      <c r="R266" s="62"/>
      <c r="S266" s="62"/>
      <c r="T266" s="62"/>
      <c r="U266" s="255"/>
      <c r="V266" s="255"/>
      <c r="W266" s="255"/>
      <c r="X266" s="255"/>
      <c r="Y266" s="255"/>
      <c r="Z266" s="255"/>
      <c r="AA266" s="255"/>
    </row>
    <row r="267" spans="1:27" ht="12" customHeight="1" x14ac:dyDescent="0.25">
      <c r="F267" s="52">
        <v>7719</v>
      </c>
      <c r="G267" s="54">
        <v>2</v>
      </c>
      <c r="H267" s="54" t="s">
        <v>647</v>
      </c>
      <c r="I267" s="62" t="s">
        <v>648</v>
      </c>
      <c r="J267" s="54">
        <v>6</v>
      </c>
      <c r="K267" s="66" t="str">
        <f t="shared" si="43"/>
        <v>Mónica Preciado Calzada, José Ángel Zapatero</v>
      </c>
      <c r="L267" s="250" t="s">
        <v>900</v>
      </c>
      <c r="M267" s="62" t="str">
        <f t="shared" si="42"/>
        <v xml:space="preserve">, </v>
      </c>
      <c r="N267" s="250" t="s">
        <v>1178</v>
      </c>
      <c r="O267" s="62"/>
      <c r="P267" s="62"/>
      <c r="Q267" s="62"/>
      <c r="R267" s="62"/>
      <c r="S267" s="62"/>
      <c r="T267" s="62"/>
      <c r="U267" s="255"/>
      <c r="V267" s="255"/>
      <c r="W267" s="255"/>
      <c r="X267" s="255"/>
      <c r="Y267" s="255"/>
      <c r="Z267" s="255"/>
      <c r="AA267" s="255"/>
    </row>
    <row r="268" spans="1:27" ht="12" customHeight="1" x14ac:dyDescent="0.25">
      <c r="F268" s="54">
        <v>7720</v>
      </c>
      <c r="G268" s="54">
        <v>2</v>
      </c>
      <c r="H268" s="54" t="s">
        <v>26</v>
      </c>
      <c r="I268" s="62" t="s">
        <v>351</v>
      </c>
      <c r="J268" s="54">
        <v>6</v>
      </c>
      <c r="K268" s="66" t="str">
        <f t="shared" si="43"/>
        <v>Mª Teresa Peña Pérez</v>
      </c>
      <c r="L268" s="250" t="s">
        <v>883</v>
      </c>
      <c r="M268" s="62" t="str">
        <f t="shared" si="42"/>
        <v/>
      </c>
      <c r="N268" s="250"/>
      <c r="O268" s="62"/>
      <c r="P268" s="62"/>
      <c r="Q268" s="62"/>
      <c r="R268" s="62"/>
      <c r="S268" s="62"/>
      <c r="T268" s="62"/>
      <c r="U268" s="255"/>
      <c r="V268" s="255"/>
      <c r="W268" s="255"/>
      <c r="X268" s="255"/>
      <c r="Y268" s="255"/>
      <c r="Z268" s="255"/>
      <c r="AA268" s="255"/>
    </row>
    <row r="269" spans="1:27" ht="12" customHeight="1" x14ac:dyDescent="0.25">
      <c r="F269" s="52">
        <v>7721</v>
      </c>
      <c r="G269" s="54">
        <v>2</v>
      </c>
      <c r="H269" s="226" t="s">
        <v>1360</v>
      </c>
      <c r="I269" s="62" t="s">
        <v>271</v>
      </c>
      <c r="J269" s="54">
        <v>6</v>
      </c>
      <c r="K269" s="66" t="str">
        <f t="shared" si="43"/>
        <v>Arturo de Roman Miguel, Esteban García Maté</v>
      </c>
      <c r="L269" s="250" t="s">
        <v>654</v>
      </c>
      <c r="M269" s="62" t="str">
        <f t="shared" si="42"/>
        <v xml:space="preserve">, </v>
      </c>
      <c r="N269" s="250" t="s">
        <v>501</v>
      </c>
      <c r="O269" s="62"/>
      <c r="P269" s="62"/>
      <c r="Q269" s="62"/>
      <c r="R269" s="62"/>
      <c r="S269" s="62"/>
      <c r="T269" s="62"/>
      <c r="U269" s="255"/>
      <c r="V269" s="255"/>
      <c r="W269" s="255"/>
      <c r="X269" s="255"/>
      <c r="Y269" s="255"/>
      <c r="Z269" s="255"/>
      <c r="AA269" s="255"/>
    </row>
    <row r="270" spans="1:27" ht="12" customHeight="1" x14ac:dyDescent="0.25">
      <c r="F270" s="52">
        <v>7722</v>
      </c>
      <c r="G270" s="52">
        <v>3</v>
      </c>
      <c r="H270" s="52" t="s">
        <v>628</v>
      </c>
      <c r="I270" s="60" t="s">
        <v>266</v>
      </c>
      <c r="J270" s="52">
        <v>6</v>
      </c>
      <c r="K270" s="66" t="str">
        <f t="shared" si="43"/>
        <v>Cristina Alonso Tristán</v>
      </c>
      <c r="L270" s="335" t="s">
        <v>265</v>
      </c>
      <c r="M270" s="62" t="str">
        <f t="shared" si="42"/>
        <v/>
      </c>
      <c r="N270" s="263"/>
      <c r="O270" s="60" t="str">
        <f t="shared" ref="O270:O280" si="44">IF(P270&lt;&gt;"",", ","")</f>
        <v/>
      </c>
      <c r="P270" s="60"/>
      <c r="Q270" s="60"/>
      <c r="R270" s="60"/>
      <c r="S270" s="60"/>
      <c r="T270" s="60"/>
      <c r="U270" s="255"/>
      <c r="V270" s="255"/>
      <c r="W270" s="255"/>
      <c r="X270" s="255"/>
      <c r="Y270" s="255"/>
      <c r="Z270" s="255"/>
      <c r="AA270" s="255"/>
    </row>
    <row r="271" spans="1:27" ht="12" customHeight="1" x14ac:dyDescent="0.25">
      <c r="F271" s="52">
        <v>7723</v>
      </c>
      <c r="G271" s="52">
        <v>3</v>
      </c>
      <c r="H271" s="52" t="s">
        <v>28</v>
      </c>
      <c r="I271" s="60" t="s">
        <v>270</v>
      </c>
      <c r="J271" s="52">
        <v>6</v>
      </c>
      <c r="K271" s="66" t="str">
        <f t="shared" si="43"/>
        <v>Jesús Sagredo González</v>
      </c>
      <c r="L271" s="263" t="s">
        <v>494</v>
      </c>
      <c r="M271" s="62" t="str">
        <f t="shared" si="42"/>
        <v/>
      </c>
      <c r="N271" s="263"/>
      <c r="O271" s="60" t="str">
        <f t="shared" si="44"/>
        <v/>
      </c>
      <c r="P271" s="60"/>
      <c r="Q271" s="60"/>
      <c r="R271" s="60"/>
      <c r="S271" s="60"/>
      <c r="T271" s="60"/>
      <c r="U271" s="255"/>
      <c r="V271" s="255"/>
      <c r="W271" s="255"/>
      <c r="X271" s="255"/>
      <c r="Y271" s="255"/>
      <c r="Z271" s="255"/>
      <c r="AA271" s="255"/>
    </row>
    <row r="272" spans="1:27" ht="12" customHeight="1" x14ac:dyDescent="0.25">
      <c r="F272" s="52">
        <v>7724</v>
      </c>
      <c r="G272" s="52">
        <v>3</v>
      </c>
      <c r="H272" s="52" t="s">
        <v>1359</v>
      </c>
      <c r="I272" s="60" t="s">
        <v>347</v>
      </c>
      <c r="J272" s="52">
        <v>6</v>
      </c>
      <c r="K272" s="66" t="str">
        <f t="shared" si="43"/>
        <v xml:space="preserve">Isidoro Ivan Cuesta </v>
      </c>
      <c r="L272" s="263" t="s">
        <v>1152</v>
      </c>
      <c r="M272" s="62" t="str">
        <f t="shared" si="42"/>
        <v/>
      </c>
      <c r="N272" s="263"/>
      <c r="O272" s="60" t="str">
        <f t="shared" si="44"/>
        <v/>
      </c>
      <c r="P272" s="60"/>
      <c r="Q272" s="60"/>
      <c r="R272" s="60"/>
      <c r="S272" s="60"/>
      <c r="T272" s="60"/>
      <c r="U272" s="255"/>
      <c r="V272" s="255"/>
      <c r="W272" s="255"/>
      <c r="X272" s="255"/>
      <c r="Y272" s="255"/>
      <c r="Z272" s="255"/>
      <c r="AA272" s="255"/>
    </row>
    <row r="273" spans="6:27" ht="12" customHeight="1" x14ac:dyDescent="0.25">
      <c r="F273" s="52">
        <v>7725</v>
      </c>
      <c r="G273" s="52">
        <v>3</v>
      </c>
      <c r="H273" s="52" t="s">
        <v>1250</v>
      </c>
      <c r="I273" s="60" t="s">
        <v>274</v>
      </c>
      <c r="J273" s="52">
        <v>6</v>
      </c>
      <c r="K273" s="66" t="str">
        <f t="shared" si="43"/>
        <v/>
      </c>
      <c r="L273" s="318"/>
      <c r="M273" s="62" t="str">
        <f t="shared" si="42"/>
        <v/>
      </c>
      <c r="N273" s="318"/>
      <c r="O273" s="60" t="str">
        <f t="shared" si="44"/>
        <v/>
      </c>
      <c r="P273" s="60"/>
      <c r="Q273" s="60"/>
      <c r="R273" s="60"/>
      <c r="S273" s="60"/>
      <c r="T273" s="60"/>
      <c r="U273" s="255"/>
      <c r="V273" s="255"/>
      <c r="W273" s="255"/>
      <c r="X273" s="255"/>
      <c r="Y273" s="255"/>
      <c r="Z273" s="255"/>
      <c r="AA273" s="255"/>
    </row>
    <row r="274" spans="6:27" ht="12" customHeight="1" x14ac:dyDescent="0.25">
      <c r="F274" s="52">
        <v>7726</v>
      </c>
      <c r="G274" s="52">
        <v>3</v>
      </c>
      <c r="H274" s="52" t="s">
        <v>1377</v>
      </c>
      <c r="I274" s="60" t="s">
        <v>275</v>
      </c>
      <c r="J274" s="52">
        <v>6</v>
      </c>
      <c r="K274" s="66" t="str">
        <f t="shared" si="43"/>
        <v>Miguel Angel Manzanedo, Ricardo del Olmo, Oscar González</v>
      </c>
      <c r="L274" s="263" t="s">
        <v>655</v>
      </c>
      <c r="M274" s="62" t="str">
        <f t="shared" si="42"/>
        <v xml:space="preserve">, </v>
      </c>
      <c r="N274" s="60" t="s">
        <v>746</v>
      </c>
      <c r="O274" s="60" t="str">
        <f t="shared" si="44"/>
        <v xml:space="preserve">, </v>
      </c>
      <c r="P274" s="263" t="s">
        <v>656</v>
      </c>
      <c r="Q274" s="60"/>
      <c r="R274" s="60"/>
      <c r="S274" s="60"/>
      <c r="T274" s="60"/>
      <c r="U274" s="255"/>
      <c r="V274" s="255"/>
      <c r="W274" s="255"/>
      <c r="X274" s="255"/>
      <c r="Y274" s="255"/>
      <c r="Z274" s="255"/>
      <c r="AA274" s="255"/>
    </row>
    <row r="275" spans="6:27" ht="12" customHeight="1" x14ac:dyDescent="0.25">
      <c r="F275" s="52">
        <v>7727</v>
      </c>
      <c r="G275" s="52">
        <v>3</v>
      </c>
      <c r="H275" s="52" t="s">
        <v>120</v>
      </c>
      <c r="I275" s="60" t="s">
        <v>294</v>
      </c>
      <c r="J275" s="52">
        <v>6</v>
      </c>
      <c r="K275" s="66" t="str">
        <f t="shared" si="43"/>
        <v>Manuel Iván González, Fco Javier Rodríguez</v>
      </c>
      <c r="L275" s="322" t="s">
        <v>510</v>
      </c>
      <c r="M275" s="62" t="str">
        <f t="shared" si="42"/>
        <v xml:space="preserve">, </v>
      </c>
      <c r="N275" s="263" t="s">
        <v>901</v>
      </c>
      <c r="O275" s="60" t="str">
        <f t="shared" si="44"/>
        <v/>
      </c>
      <c r="P275" s="60"/>
      <c r="Q275" s="60"/>
      <c r="R275" s="60"/>
      <c r="S275" s="60"/>
      <c r="T275" s="60"/>
      <c r="U275" s="255"/>
      <c r="V275" s="255"/>
      <c r="W275" s="255"/>
      <c r="X275" s="255"/>
      <c r="Y275" s="255"/>
      <c r="Z275" s="255"/>
      <c r="AA275" s="255"/>
    </row>
    <row r="276" spans="6:27" ht="12" customHeight="1" x14ac:dyDescent="0.25">
      <c r="F276" s="54">
        <v>7728</v>
      </c>
      <c r="G276" s="54">
        <v>4</v>
      </c>
      <c r="H276" s="54" t="s">
        <v>649</v>
      </c>
      <c r="I276" s="62" t="s">
        <v>641</v>
      </c>
      <c r="J276" s="54">
        <v>6</v>
      </c>
      <c r="K276" s="109" t="str">
        <f t="shared" ref="K276:K289" si="45">CONCATENATE(L276,M277,N276,O276,P276,Q276,R276)</f>
        <v>Jesús Sagredo González</v>
      </c>
      <c r="L276" s="250" t="s">
        <v>494</v>
      </c>
      <c r="M276" s="62" t="str">
        <f t="shared" si="42"/>
        <v/>
      </c>
      <c r="N276" s="250"/>
      <c r="O276" s="62" t="str">
        <f t="shared" si="44"/>
        <v/>
      </c>
      <c r="P276" s="62"/>
      <c r="Q276" s="62"/>
      <c r="R276" s="62"/>
      <c r="S276" s="62"/>
      <c r="T276" s="62"/>
      <c r="U276" s="255"/>
      <c r="V276" s="255"/>
      <c r="W276" s="255"/>
      <c r="X276" s="255"/>
      <c r="Y276" s="255"/>
      <c r="Z276" s="255"/>
      <c r="AA276" s="255"/>
    </row>
    <row r="277" spans="6:27" ht="12" customHeight="1" x14ac:dyDescent="0.25">
      <c r="F277" s="54">
        <v>7729</v>
      </c>
      <c r="G277" s="54">
        <v>4</v>
      </c>
      <c r="H277" s="54" t="s">
        <v>1378</v>
      </c>
      <c r="I277" s="62" t="s">
        <v>650</v>
      </c>
      <c r="J277" s="54">
        <v>6</v>
      </c>
      <c r="K277" s="109" t="str">
        <f t="shared" si="45"/>
        <v>Jesús H. Lucio</v>
      </c>
      <c r="L277" s="250" t="s">
        <v>1064</v>
      </c>
      <c r="M277" s="62" t="str">
        <f t="shared" ref="M277:M287" si="46">IF(N276&lt;&gt;"",", ","")</f>
        <v/>
      </c>
      <c r="N277" s="250"/>
      <c r="O277" s="62" t="str">
        <f t="shared" si="44"/>
        <v/>
      </c>
      <c r="P277" s="62"/>
      <c r="Q277" s="62"/>
      <c r="R277" s="62"/>
      <c r="S277" s="62"/>
      <c r="T277" s="62"/>
      <c r="U277" s="255"/>
      <c r="V277" s="255"/>
      <c r="W277" s="255"/>
      <c r="X277" s="255"/>
      <c r="Y277" s="255"/>
      <c r="Z277" s="255"/>
      <c r="AA277" s="255"/>
    </row>
    <row r="278" spans="6:27" ht="12" customHeight="1" x14ac:dyDescent="0.25">
      <c r="F278" s="54">
        <v>7730</v>
      </c>
      <c r="G278" s="54">
        <v>4</v>
      </c>
      <c r="H278" s="54" t="s">
        <v>31</v>
      </c>
      <c r="I278" s="62" t="s">
        <v>273</v>
      </c>
      <c r="J278" s="54">
        <v>6</v>
      </c>
      <c r="K278" s="109" t="str">
        <f t="shared" si="45"/>
        <v>Alberto Martínez Martínez</v>
      </c>
      <c r="L278" s="250" t="s">
        <v>277</v>
      </c>
      <c r="M278" s="62" t="str">
        <f t="shared" si="46"/>
        <v/>
      </c>
      <c r="N278" s="250"/>
      <c r="O278" s="62" t="str">
        <f t="shared" si="44"/>
        <v/>
      </c>
      <c r="P278" s="62"/>
      <c r="Q278" s="62"/>
      <c r="R278" s="62"/>
      <c r="S278" s="62"/>
      <c r="T278" s="62"/>
      <c r="U278" s="255"/>
      <c r="V278" s="255"/>
      <c r="W278" s="255"/>
      <c r="X278" s="255"/>
      <c r="Y278" s="255"/>
      <c r="Z278" s="255"/>
      <c r="AA278" s="255"/>
    </row>
    <row r="279" spans="6:27" ht="12" customHeight="1" x14ac:dyDescent="0.25">
      <c r="F279" s="54">
        <v>7731</v>
      </c>
      <c r="G279" s="54">
        <v>4</v>
      </c>
      <c r="H279" s="54" t="s">
        <v>1379</v>
      </c>
      <c r="I279" s="62" t="s">
        <v>267</v>
      </c>
      <c r="J279" s="54">
        <v>6</v>
      </c>
      <c r="K279" s="109" t="str">
        <f t="shared" si="45"/>
        <v>José Antonio Barón</v>
      </c>
      <c r="L279" s="329" t="s">
        <v>748</v>
      </c>
      <c r="M279" s="62" t="str">
        <f t="shared" si="46"/>
        <v/>
      </c>
      <c r="N279" s="250"/>
      <c r="O279" s="62" t="str">
        <f t="shared" si="44"/>
        <v/>
      </c>
      <c r="P279" s="62"/>
      <c r="Q279" s="62"/>
      <c r="R279" s="62"/>
      <c r="S279" s="62"/>
      <c r="T279" s="62"/>
      <c r="U279" s="255"/>
      <c r="V279" s="255"/>
      <c r="W279" s="255"/>
      <c r="X279" s="255"/>
      <c r="Y279" s="255"/>
      <c r="Z279" s="255"/>
      <c r="AA279" s="255"/>
    </row>
    <row r="280" spans="6:27" ht="12" customHeight="1" x14ac:dyDescent="0.25">
      <c r="F280" s="54">
        <v>7732</v>
      </c>
      <c r="G280" s="54">
        <v>4</v>
      </c>
      <c r="H280" s="54" t="s">
        <v>29</v>
      </c>
      <c r="I280" s="62" t="s">
        <v>268</v>
      </c>
      <c r="J280" s="54">
        <v>6</v>
      </c>
      <c r="K280" s="109" t="str">
        <f t="shared" si="45"/>
        <v>Juan Vicente Martín Fraile</v>
      </c>
      <c r="L280" s="109" t="s">
        <v>659</v>
      </c>
      <c r="M280" s="62" t="str">
        <f t="shared" si="46"/>
        <v/>
      </c>
      <c r="N280" s="250"/>
      <c r="O280" s="62" t="str">
        <f t="shared" si="44"/>
        <v/>
      </c>
      <c r="P280" s="62"/>
      <c r="Q280" s="62"/>
      <c r="R280" s="62"/>
      <c r="S280" s="62"/>
      <c r="T280" s="62"/>
      <c r="U280" s="255"/>
      <c r="V280" s="255"/>
      <c r="W280" s="255"/>
      <c r="X280" s="255"/>
      <c r="Y280" s="255"/>
      <c r="Z280" s="255"/>
      <c r="AA280" s="255"/>
    </row>
    <row r="281" spans="6:27" ht="12" customHeight="1" x14ac:dyDescent="0.25">
      <c r="F281" s="52">
        <v>7733</v>
      </c>
      <c r="G281" s="52">
        <v>5</v>
      </c>
      <c r="H281" s="52" t="s">
        <v>27</v>
      </c>
      <c r="I281" s="60" t="s">
        <v>279</v>
      </c>
      <c r="J281" s="52">
        <v>6</v>
      </c>
      <c r="K281" s="66" t="str">
        <f t="shared" si="45"/>
        <v>Mónica Preciado, David Cardenas</v>
      </c>
      <c r="L281" s="263" t="s">
        <v>502</v>
      </c>
      <c r="M281" s="62" t="str">
        <f t="shared" si="46"/>
        <v/>
      </c>
      <c r="N281" s="263" t="s">
        <v>902</v>
      </c>
      <c r="O281" s="60"/>
      <c r="P281" s="60"/>
      <c r="Q281" s="60"/>
      <c r="R281" s="60"/>
      <c r="S281" s="60"/>
      <c r="T281" s="60"/>
      <c r="U281" s="255"/>
      <c r="V281" s="255"/>
      <c r="W281" s="255"/>
      <c r="X281" s="255"/>
      <c r="Y281" s="255"/>
      <c r="Z281" s="255"/>
      <c r="AA281" s="255"/>
    </row>
    <row r="282" spans="6:27" ht="12" customHeight="1" x14ac:dyDescent="0.25">
      <c r="F282" s="52">
        <v>7740</v>
      </c>
      <c r="G282" s="52">
        <v>5</v>
      </c>
      <c r="H282" s="52" t="s">
        <v>703</v>
      </c>
      <c r="I282" s="60" t="s">
        <v>358</v>
      </c>
      <c r="J282" s="52">
        <v>6</v>
      </c>
      <c r="K282" s="66" t="str">
        <f t="shared" si="45"/>
        <v>Vanesa Fernández Cavero</v>
      </c>
      <c r="L282" s="60" t="s">
        <v>1181</v>
      </c>
      <c r="M282" s="62" t="str">
        <f t="shared" si="46"/>
        <v xml:space="preserve">, </v>
      </c>
      <c r="N282" s="263"/>
      <c r="O282" s="60"/>
      <c r="P282" s="60"/>
      <c r="Q282" s="60"/>
      <c r="R282" s="60"/>
      <c r="S282" s="60"/>
      <c r="T282" s="60"/>
      <c r="U282" s="255"/>
      <c r="V282" s="255"/>
      <c r="W282" s="255"/>
      <c r="X282" s="255"/>
      <c r="Y282" s="255"/>
      <c r="Z282" s="255"/>
      <c r="AA282" s="255"/>
    </row>
    <row r="283" spans="6:27" ht="12" customHeight="1" x14ac:dyDescent="0.25">
      <c r="F283" s="52">
        <v>7735</v>
      </c>
      <c r="G283" s="52">
        <v>5</v>
      </c>
      <c r="H283" s="52" t="s">
        <v>34</v>
      </c>
      <c r="I283" s="60" t="s">
        <v>280</v>
      </c>
      <c r="J283" s="52">
        <v>6</v>
      </c>
      <c r="K283" s="66" t="str">
        <f t="shared" si="45"/>
        <v>Wilco Verbeeten,  Jesús Manuel Alegre</v>
      </c>
      <c r="L283" s="263" t="s">
        <v>770</v>
      </c>
      <c r="M283" s="62" t="str">
        <f t="shared" si="46"/>
        <v/>
      </c>
      <c r="N283" s="60" t="s">
        <v>1170</v>
      </c>
      <c r="O283" s="60" t="str">
        <f>IF(P283&lt;&gt;"",", ","")</f>
        <v/>
      </c>
      <c r="P283" s="60"/>
      <c r="Q283" s="60"/>
      <c r="R283" s="60"/>
      <c r="S283" s="60"/>
      <c r="T283" s="60"/>
      <c r="U283" s="255"/>
      <c r="V283" s="255"/>
      <c r="W283" s="255"/>
      <c r="X283" s="255"/>
      <c r="Y283" s="255"/>
      <c r="Z283" s="255"/>
      <c r="AA283" s="255"/>
    </row>
    <row r="284" spans="6:27" ht="12" customHeight="1" x14ac:dyDescent="0.25">
      <c r="F284" s="52">
        <v>7736</v>
      </c>
      <c r="G284" s="52">
        <v>5</v>
      </c>
      <c r="H284" s="52" t="s">
        <v>36</v>
      </c>
      <c r="I284" s="60" t="s">
        <v>282</v>
      </c>
      <c r="J284" s="52">
        <v>6</v>
      </c>
      <c r="K284" s="66" t="str">
        <f t="shared" si="45"/>
        <v>Eduardo Pérez Colina</v>
      </c>
      <c r="L284" s="263" t="s">
        <v>1179</v>
      </c>
      <c r="M284" s="62" t="str">
        <f t="shared" si="46"/>
        <v xml:space="preserve">, </v>
      </c>
      <c r="N284" s="263"/>
      <c r="O284" s="60"/>
      <c r="P284" s="60"/>
      <c r="Q284" s="60"/>
      <c r="R284" s="60"/>
      <c r="S284" s="60"/>
      <c r="T284" s="60"/>
      <c r="U284" s="255"/>
      <c r="V284" s="255"/>
      <c r="W284" s="255"/>
      <c r="X284" s="255"/>
      <c r="Y284" s="255"/>
      <c r="Z284" s="255"/>
      <c r="AA284" s="255"/>
    </row>
    <row r="285" spans="6:27" ht="12" customHeight="1" x14ac:dyDescent="0.25">
      <c r="F285" s="52">
        <v>7737</v>
      </c>
      <c r="G285" s="52">
        <v>5</v>
      </c>
      <c r="H285" s="52" t="s">
        <v>677</v>
      </c>
      <c r="I285" s="60" t="s">
        <v>354</v>
      </c>
      <c r="J285" s="52">
        <v>6</v>
      </c>
      <c r="K285" s="66" t="str">
        <f t="shared" si="45"/>
        <v>Jesús H. Lucio</v>
      </c>
      <c r="L285" s="263" t="s">
        <v>1064</v>
      </c>
      <c r="M285" s="62" t="str">
        <f t="shared" si="46"/>
        <v/>
      </c>
      <c r="O285" s="60"/>
      <c r="P285" s="60"/>
      <c r="Q285" s="60"/>
      <c r="R285" s="60"/>
      <c r="S285" s="60"/>
      <c r="T285" s="60"/>
      <c r="U285" s="255"/>
      <c r="V285" s="255"/>
      <c r="W285" s="255"/>
      <c r="X285" s="255"/>
      <c r="Y285" s="255"/>
      <c r="Z285" s="255"/>
      <c r="AA285" s="255"/>
    </row>
    <row r="286" spans="6:27" ht="12" customHeight="1" x14ac:dyDescent="0.25">
      <c r="F286" s="52">
        <v>7738</v>
      </c>
      <c r="G286" s="52">
        <v>5</v>
      </c>
      <c r="H286" s="52" t="s">
        <v>678</v>
      </c>
      <c r="I286" s="60" t="s">
        <v>355</v>
      </c>
      <c r="J286" s="52">
        <v>6</v>
      </c>
      <c r="K286" s="66" t="str">
        <f t="shared" si="45"/>
        <v xml:space="preserve">Miguel Angel Lozano </v>
      </c>
      <c r="L286" s="263" t="s">
        <v>1068</v>
      </c>
      <c r="M286" s="62" t="str">
        <f t="shared" si="46"/>
        <v/>
      </c>
      <c r="N286" s="263"/>
      <c r="O286" s="60"/>
      <c r="P286" s="60"/>
      <c r="Q286" s="60"/>
      <c r="R286" s="60"/>
      <c r="S286" s="60"/>
      <c r="T286" s="60"/>
      <c r="U286" s="255"/>
      <c r="V286" s="255"/>
      <c r="W286" s="255"/>
      <c r="X286" s="255"/>
      <c r="Y286" s="255"/>
      <c r="Z286" s="255"/>
      <c r="AA286" s="255"/>
    </row>
    <row r="287" spans="6:27" ht="12" customHeight="1" x14ac:dyDescent="0.25">
      <c r="F287" s="54">
        <v>7739</v>
      </c>
      <c r="G287" s="54">
        <v>6</v>
      </c>
      <c r="H287" s="54" t="s">
        <v>681</v>
      </c>
      <c r="I287" s="62" t="s">
        <v>744</v>
      </c>
      <c r="J287" s="54">
        <v>6</v>
      </c>
      <c r="K287" s="109" t="str">
        <f t="shared" si="45"/>
        <v>Miriam Lorenzo</v>
      </c>
      <c r="L287" s="250" t="s">
        <v>904</v>
      </c>
      <c r="M287" s="62" t="str">
        <f t="shared" si="46"/>
        <v/>
      </c>
      <c r="N287" s="250"/>
      <c r="O287" s="62" t="str">
        <f>IF(P287&lt;&gt;"",", ","")</f>
        <v/>
      </c>
      <c r="P287" s="62"/>
      <c r="Q287" s="62" t="str">
        <f>IF(R287&lt;&gt;"",", ","")</f>
        <v/>
      </c>
      <c r="R287" s="62"/>
      <c r="S287" s="62" t="str">
        <f>IF(T287&lt;&gt;"",", ","")</f>
        <v/>
      </c>
      <c r="T287" s="62"/>
      <c r="U287" s="255"/>
      <c r="V287" s="255"/>
      <c r="W287" s="255"/>
      <c r="X287" s="255"/>
      <c r="Y287" s="255"/>
      <c r="Z287" s="255"/>
      <c r="AA287" s="255"/>
    </row>
    <row r="288" spans="6:27" ht="12" customHeight="1" x14ac:dyDescent="0.25">
      <c r="F288" s="54">
        <v>7734</v>
      </c>
      <c r="G288" s="54">
        <v>6</v>
      </c>
      <c r="H288" s="54" t="s">
        <v>38</v>
      </c>
      <c r="I288" s="62" t="s">
        <v>283</v>
      </c>
      <c r="J288" s="54">
        <v>6</v>
      </c>
      <c r="K288" s="109" t="str">
        <f t="shared" si="45"/>
        <v>Cristina Alonso Tristán</v>
      </c>
      <c r="L288" s="250" t="s">
        <v>265</v>
      </c>
      <c r="M288" s="60" t="str">
        <f t="shared" ref="M288:M308" si="47">IF(N288&lt;&gt;"",", ","")</f>
        <v/>
      </c>
      <c r="N288" s="250"/>
      <c r="O288" s="62" t="str">
        <f>IF(P288&lt;&gt;"",", ","")</f>
        <v/>
      </c>
      <c r="P288" s="62"/>
      <c r="Q288" s="62" t="str">
        <f>IF(R288&lt;&gt;"",", ","")</f>
        <v/>
      </c>
      <c r="R288" s="62"/>
      <c r="S288" s="62" t="str">
        <f>IF(T288&lt;&gt;"",", ","")</f>
        <v/>
      </c>
      <c r="T288" s="62"/>
      <c r="U288" s="255"/>
      <c r="V288" s="255"/>
      <c r="W288" s="255"/>
      <c r="X288" s="255"/>
      <c r="Y288" s="255"/>
      <c r="Z288" s="255"/>
      <c r="AA288" s="255"/>
    </row>
    <row r="289" spans="6:27" ht="12" customHeight="1" x14ac:dyDescent="0.25">
      <c r="F289" s="54">
        <v>7741</v>
      </c>
      <c r="G289" s="54">
        <v>6</v>
      </c>
      <c r="H289" s="54" t="s">
        <v>702</v>
      </c>
      <c r="I289" s="62" t="s">
        <v>356</v>
      </c>
      <c r="J289" s="54">
        <v>6</v>
      </c>
      <c r="K289" s="109" t="str">
        <f t="shared" si="45"/>
        <v xml:space="preserve">Jesús Enrique Sierra García, </v>
      </c>
      <c r="L289" s="250" t="s">
        <v>905</v>
      </c>
      <c r="M289" s="60" t="str">
        <f t="shared" si="47"/>
        <v/>
      </c>
      <c r="N289" s="250"/>
      <c r="O289" s="62" t="str">
        <f>IF(P289&lt;&gt;"",", ","")</f>
        <v/>
      </c>
      <c r="P289" s="62"/>
      <c r="Q289" s="62" t="str">
        <f>IF(R289&lt;&gt;"",", ","")</f>
        <v/>
      </c>
      <c r="R289" s="62"/>
      <c r="S289" s="62" t="str">
        <f>IF(T289&lt;&gt;"",", ","")</f>
        <v/>
      </c>
      <c r="T289" s="62"/>
      <c r="U289" s="255"/>
      <c r="V289" s="255"/>
      <c r="W289" s="255"/>
      <c r="X289" s="255"/>
      <c r="Y289" s="255"/>
      <c r="Z289" s="255"/>
      <c r="AA289" s="255"/>
    </row>
    <row r="290" spans="6:27" ht="12" customHeight="1" x14ac:dyDescent="0.25">
      <c r="F290" s="54">
        <v>7742</v>
      </c>
      <c r="G290" s="54">
        <v>6</v>
      </c>
      <c r="H290" s="54" t="s">
        <v>679</v>
      </c>
      <c r="I290" s="62" t="s">
        <v>680</v>
      </c>
      <c r="J290" s="54">
        <v>6</v>
      </c>
      <c r="K290" s="109" t="str">
        <f>CONCATENATE(L290,M290,N290,O290,P290,Q290,R290)</f>
        <v>Fernando Rívas, Miguel Ángel Cantera</v>
      </c>
      <c r="L290" s="250" t="s">
        <v>903</v>
      </c>
      <c r="M290" s="60" t="str">
        <f t="shared" si="47"/>
        <v xml:space="preserve">, </v>
      </c>
      <c r="N290" s="250" t="s">
        <v>1154</v>
      </c>
      <c r="O290" s="62" t="str">
        <f>IF(P290&lt;&gt;"",", ","")</f>
        <v/>
      </c>
      <c r="P290" s="62"/>
      <c r="Q290" s="62" t="str">
        <f>IF(R290&lt;&gt;"",", ","")</f>
        <v/>
      </c>
      <c r="R290" s="62"/>
      <c r="S290" s="62" t="str">
        <f>IF(T290&lt;&gt;"",", ","")</f>
        <v/>
      </c>
      <c r="T290" s="62"/>
      <c r="U290" s="255"/>
      <c r="V290" s="255"/>
      <c r="W290" s="255"/>
      <c r="X290" s="255"/>
      <c r="Y290" s="255"/>
      <c r="Z290" s="255"/>
      <c r="AA290" s="255"/>
    </row>
    <row r="291" spans="6:27" ht="12" customHeight="1" x14ac:dyDescent="0.25">
      <c r="F291" s="54">
        <v>7743</v>
      </c>
      <c r="G291" s="54">
        <v>6</v>
      </c>
      <c r="H291" s="54" t="s">
        <v>704</v>
      </c>
      <c r="I291" s="109" t="s">
        <v>284</v>
      </c>
      <c r="J291" s="54">
        <v>6</v>
      </c>
      <c r="K291" s="109" t="str">
        <f t="shared" ref="K291:K308" si="48">CONCATENATE(L291,M292,N291,O291,P291,Q291,R291)</f>
        <v>Mª José García</v>
      </c>
      <c r="L291" s="109" t="s">
        <v>1065</v>
      </c>
      <c r="M291" s="60" t="str">
        <f t="shared" si="47"/>
        <v/>
      </c>
      <c r="N291" s="54"/>
      <c r="O291" s="62" t="str">
        <f>IF(P291&lt;&gt;"",", ","")</f>
        <v/>
      </c>
      <c r="P291" s="54"/>
      <c r="Q291" s="62" t="str">
        <f>IF(R291&lt;&gt;"",", ","")</f>
        <v/>
      </c>
      <c r="R291" s="54"/>
      <c r="S291" s="62" t="str">
        <f>IF(T291&lt;&gt;"",", ","")</f>
        <v/>
      </c>
      <c r="T291" s="54"/>
      <c r="U291" s="255"/>
      <c r="V291" s="255"/>
      <c r="W291" s="255"/>
      <c r="X291" s="255"/>
      <c r="Y291" s="255"/>
      <c r="Z291" s="255"/>
      <c r="AA291" s="255"/>
    </row>
    <row r="292" spans="6:27" ht="12" customHeight="1" x14ac:dyDescent="0.25">
      <c r="F292" s="52">
        <v>7749</v>
      </c>
      <c r="G292" s="52">
        <v>7</v>
      </c>
      <c r="H292" s="52" t="s">
        <v>1380</v>
      </c>
      <c r="I292" s="66" t="s">
        <v>286</v>
      </c>
      <c r="J292" s="52">
        <v>6</v>
      </c>
      <c r="K292" s="66" t="str">
        <f t="shared" si="48"/>
        <v>Miriam Lorenzo Bañuelos</v>
      </c>
      <c r="L292" s="66" t="s">
        <v>586</v>
      </c>
      <c r="M292" s="60" t="str">
        <f t="shared" si="47"/>
        <v/>
      </c>
      <c r="N292" s="52"/>
      <c r="O292" s="60"/>
      <c r="P292" s="52"/>
      <c r="Q292" s="60"/>
      <c r="R292" s="52"/>
      <c r="S292" s="60"/>
      <c r="T292" s="52"/>
      <c r="U292" s="255"/>
      <c r="V292" s="255"/>
      <c r="W292" s="255"/>
      <c r="X292" s="255"/>
      <c r="Y292" s="255"/>
      <c r="Z292" s="255"/>
      <c r="AA292" s="255"/>
    </row>
    <row r="293" spans="6:27" ht="12" customHeight="1" x14ac:dyDescent="0.25">
      <c r="F293" s="52">
        <v>7745</v>
      </c>
      <c r="G293" s="52">
        <v>7</v>
      </c>
      <c r="H293" s="52" t="s">
        <v>796</v>
      </c>
      <c r="I293" s="66" t="s">
        <v>289</v>
      </c>
      <c r="J293" s="52">
        <v>6</v>
      </c>
      <c r="K293" s="66" t="str">
        <f t="shared" si="48"/>
        <v>Alberto Martínez Martínez</v>
      </c>
      <c r="L293" s="66" t="s">
        <v>277</v>
      </c>
      <c r="M293" s="60" t="str">
        <f t="shared" si="47"/>
        <v/>
      </c>
      <c r="N293" s="52"/>
      <c r="O293" s="60"/>
      <c r="P293" s="52"/>
      <c r="Q293" s="60"/>
      <c r="R293" s="52"/>
      <c r="S293" s="60"/>
      <c r="T293" s="52"/>
      <c r="U293" s="255"/>
      <c r="V293" s="255"/>
      <c r="W293" s="255"/>
      <c r="X293" s="255"/>
      <c r="Y293" s="255"/>
      <c r="Z293" s="255"/>
      <c r="AA293" s="255"/>
    </row>
    <row r="294" spans="6:27" ht="12" customHeight="1" x14ac:dyDescent="0.25">
      <c r="F294" s="52">
        <v>7746</v>
      </c>
      <c r="G294" s="52">
        <v>7</v>
      </c>
      <c r="H294" s="52" t="s">
        <v>797</v>
      </c>
      <c r="I294" s="66" t="s">
        <v>364</v>
      </c>
      <c r="J294" s="52">
        <v>6</v>
      </c>
      <c r="K294" s="66" t="str">
        <f t="shared" si="48"/>
        <v>Ignacio Moreno Velasco</v>
      </c>
      <c r="L294" s="66" t="s">
        <v>373</v>
      </c>
      <c r="M294" s="60" t="str">
        <f t="shared" si="47"/>
        <v/>
      </c>
      <c r="N294" s="52"/>
      <c r="O294" s="60"/>
      <c r="P294" s="52"/>
      <c r="Q294" s="60"/>
      <c r="R294" s="52"/>
      <c r="S294" s="60"/>
      <c r="T294" s="52"/>
      <c r="U294" s="255"/>
      <c r="V294" s="255"/>
      <c r="W294" s="255"/>
      <c r="X294" s="255"/>
      <c r="Y294" s="255"/>
      <c r="Z294" s="255"/>
      <c r="AA294" s="255"/>
    </row>
    <row r="295" spans="6:27" ht="12" customHeight="1" x14ac:dyDescent="0.25">
      <c r="F295" s="52">
        <v>7747</v>
      </c>
      <c r="G295" s="52">
        <v>7</v>
      </c>
      <c r="H295" s="52" t="s">
        <v>35</v>
      </c>
      <c r="I295" s="66" t="s">
        <v>281</v>
      </c>
      <c r="J295" s="52">
        <v>6</v>
      </c>
      <c r="K295" s="66" t="str">
        <f t="shared" si="48"/>
        <v xml:space="preserve">Elías Martínez, </v>
      </c>
      <c r="L295" s="66" t="s">
        <v>906</v>
      </c>
      <c r="M295" s="60" t="str">
        <f t="shared" si="47"/>
        <v/>
      </c>
      <c r="N295" s="66"/>
      <c r="O295" s="60"/>
      <c r="P295" s="52"/>
      <c r="Q295" s="60"/>
      <c r="R295" s="52"/>
      <c r="S295" s="60"/>
      <c r="T295" s="52"/>
      <c r="U295" s="255"/>
      <c r="V295" s="255"/>
      <c r="W295" s="255"/>
      <c r="X295" s="255"/>
      <c r="Y295" s="255"/>
      <c r="Z295" s="255"/>
      <c r="AA295" s="255"/>
    </row>
    <row r="296" spans="6:27" ht="12" customHeight="1" x14ac:dyDescent="0.25">
      <c r="F296" s="52">
        <v>7748</v>
      </c>
      <c r="G296" s="52">
        <v>7</v>
      </c>
      <c r="H296" s="52" t="s">
        <v>259</v>
      </c>
      <c r="I296" s="66" t="s">
        <v>357</v>
      </c>
      <c r="J296" s="52">
        <v>6</v>
      </c>
      <c r="K296" s="109" t="str">
        <f>CONCATENATE(L296,M296,N296,O296,P296,Q296,R296)</f>
        <v xml:space="preserve">Jose Mª Cámara, Guzmán Moreno </v>
      </c>
      <c r="L296" s="66" t="s">
        <v>1188</v>
      </c>
      <c r="M296" s="60" t="str">
        <f t="shared" si="47"/>
        <v xml:space="preserve">, </v>
      </c>
      <c r="N296" s="66" t="s">
        <v>1155</v>
      </c>
      <c r="O296" s="60"/>
      <c r="P296" s="52"/>
      <c r="Q296" s="60"/>
      <c r="R296" s="52"/>
      <c r="S296" s="60"/>
      <c r="T296" s="52"/>
      <c r="U296" s="255"/>
      <c r="V296" s="255"/>
      <c r="W296" s="255"/>
      <c r="X296" s="255"/>
      <c r="Y296" s="255"/>
      <c r="Z296" s="255"/>
      <c r="AA296" s="255"/>
    </row>
    <row r="297" spans="6:27" ht="12" customHeight="1" x14ac:dyDescent="0.25">
      <c r="F297" s="54">
        <v>7744</v>
      </c>
      <c r="G297" s="54">
        <v>8</v>
      </c>
      <c r="H297" s="54" t="s">
        <v>799</v>
      </c>
      <c r="I297" s="109" t="s">
        <v>362</v>
      </c>
      <c r="J297" s="54">
        <v>6</v>
      </c>
      <c r="K297" s="109" t="str">
        <f>CONCATENATE(L297,M297,N297,O297,P297,Q297,R297)</f>
        <v>Guirguis Zaki</v>
      </c>
      <c r="L297" s="109" t="s">
        <v>1153</v>
      </c>
      <c r="M297" s="60" t="str">
        <f t="shared" si="47"/>
        <v/>
      </c>
      <c r="N297" s="109"/>
      <c r="O297" s="62"/>
      <c r="P297" s="54"/>
      <c r="Q297" s="62"/>
      <c r="R297" s="54"/>
      <c r="S297" s="62"/>
      <c r="T297" s="54"/>
      <c r="U297" s="255"/>
      <c r="V297" s="255"/>
      <c r="W297" s="255"/>
      <c r="X297" s="255"/>
      <c r="Y297" s="255"/>
      <c r="Z297" s="255"/>
      <c r="AA297" s="255"/>
    </row>
    <row r="298" spans="6:27" ht="12" customHeight="1" x14ac:dyDescent="0.25">
      <c r="F298" s="54">
        <v>7750</v>
      </c>
      <c r="G298" s="54">
        <v>8</v>
      </c>
      <c r="H298" s="54" t="s">
        <v>85</v>
      </c>
      <c r="I298" s="109" t="s">
        <v>365</v>
      </c>
      <c r="J298" s="54">
        <v>6</v>
      </c>
      <c r="K298" s="109" t="str">
        <f>CONCATENATE(L298,M298,N298,O298,P298,Q298,R298)</f>
        <v>Gabriel Rubio Pérez</v>
      </c>
      <c r="L298" s="109" t="s">
        <v>1242</v>
      </c>
      <c r="M298" s="60" t="str">
        <f t="shared" si="47"/>
        <v/>
      </c>
      <c r="N298" s="109"/>
      <c r="O298" s="62"/>
      <c r="P298" s="54"/>
      <c r="Q298" s="62"/>
      <c r="R298" s="54"/>
      <c r="S298" s="62"/>
      <c r="T298" s="54"/>
      <c r="U298" s="255"/>
      <c r="V298" s="255"/>
      <c r="W298" s="255"/>
      <c r="X298" s="255"/>
      <c r="Y298" s="255"/>
      <c r="Z298" s="255"/>
      <c r="AA298" s="255"/>
    </row>
    <row r="299" spans="6:27" ht="12" customHeight="1" x14ac:dyDescent="0.25">
      <c r="F299" s="54">
        <v>7751</v>
      </c>
      <c r="G299" s="54">
        <v>8</v>
      </c>
      <c r="H299" s="54" t="s">
        <v>41</v>
      </c>
      <c r="I299" s="109" t="s">
        <v>288</v>
      </c>
      <c r="J299" s="54">
        <v>6</v>
      </c>
      <c r="K299" s="109" t="str">
        <f t="shared" si="48"/>
        <v>Luís Alfredo Suarez Vivar</v>
      </c>
      <c r="L299" s="109" t="s">
        <v>907</v>
      </c>
      <c r="M299" s="60" t="str">
        <f t="shared" si="47"/>
        <v/>
      </c>
      <c r="N299" s="54"/>
      <c r="O299" s="62"/>
      <c r="P299" s="54"/>
      <c r="Q299" s="62"/>
      <c r="R299" s="54"/>
      <c r="S299" s="62"/>
      <c r="T299" s="54"/>
      <c r="U299" s="255"/>
      <c r="V299" s="255"/>
      <c r="W299" s="255"/>
      <c r="X299" s="255"/>
      <c r="Y299" s="255"/>
      <c r="Z299" s="255"/>
      <c r="AA299" s="255"/>
    </row>
    <row r="300" spans="6:27" ht="12" customHeight="1" x14ac:dyDescent="0.25">
      <c r="F300" s="54">
        <v>7752</v>
      </c>
      <c r="G300" s="54">
        <v>8</v>
      </c>
      <c r="H300" s="54" t="s">
        <v>800</v>
      </c>
      <c r="I300" s="109" t="s">
        <v>366</v>
      </c>
      <c r="J300" s="54">
        <v>6</v>
      </c>
      <c r="K300" s="109" t="str">
        <f t="shared" si="48"/>
        <v>José Luis Jabato</v>
      </c>
      <c r="L300" s="109" t="s">
        <v>1158</v>
      </c>
      <c r="M300" s="60" t="str">
        <f t="shared" si="47"/>
        <v/>
      </c>
      <c r="N300" s="54"/>
      <c r="O300" s="62"/>
      <c r="P300" s="54"/>
      <c r="Q300" s="62"/>
      <c r="R300" s="54"/>
      <c r="S300" s="62"/>
      <c r="T300" s="54"/>
      <c r="U300" s="255"/>
      <c r="V300" s="255"/>
      <c r="W300" s="255"/>
      <c r="X300" s="255"/>
      <c r="Y300" s="255"/>
      <c r="Z300" s="255"/>
      <c r="AA300" s="255"/>
    </row>
    <row r="301" spans="6:27" ht="12" customHeight="1" x14ac:dyDescent="0.25">
      <c r="F301" s="54">
        <v>7753</v>
      </c>
      <c r="G301" s="54">
        <v>8</v>
      </c>
      <c r="H301" s="54" t="s">
        <v>39</v>
      </c>
      <c r="I301" s="109" t="s">
        <v>285</v>
      </c>
      <c r="J301" s="54">
        <v>6</v>
      </c>
      <c r="K301" s="109" t="str">
        <f t="shared" si="48"/>
        <v xml:space="preserve">Jesús Moreno, </v>
      </c>
      <c r="L301" s="109" t="s">
        <v>822</v>
      </c>
      <c r="M301" s="60" t="str">
        <f t="shared" si="47"/>
        <v/>
      </c>
      <c r="N301" s="54"/>
      <c r="O301" s="62"/>
      <c r="P301" s="54"/>
      <c r="Q301" s="62"/>
      <c r="R301" s="54"/>
      <c r="S301" s="62"/>
      <c r="T301" s="54"/>
      <c r="U301" s="255"/>
      <c r="V301" s="255"/>
      <c r="W301" s="255"/>
      <c r="X301" s="255"/>
      <c r="Y301" s="255"/>
      <c r="Z301" s="255"/>
      <c r="AA301" s="255"/>
    </row>
    <row r="302" spans="6:27" ht="12" customHeight="1" x14ac:dyDescent="0.25">
      <c r="F302" s="54">
        <v>7763</v>
      </c>
      <c r="G302" s="54">
        <v>8</v>
      </c>
      <c r="H302" s="54" t="s">
        <v>802</v>
      </c>
      <c r="I302" s="109" t="s">
        <v>801</v>
      </c>
      <c r="J302" s="54">
        <v>6</v>
      </c>
      <c r="K302" s="109" t="str">
        <f t="shared" si="48"/>
        <v>David GonzálezIgnacio Velázquez</v>
      </c>
      <c r="L302" s="323" t="s">
        <v>646</v>
      </c>
      <c r="M302" s="60" t="str">
        <f t="shared" si="47"/>
        <v xml:space="preserve">, </v>
      </c>
      <c r="N302" s="62" t="s">
        <v>812</v>
      </c>
      <c r="O302" s="62" t="str">
        <f>IF(P302&lt;&gt;"",", ","")</f>
        <v/>
      </c>
      <c r="P302" s="62"/>
      <c r="Q302" s="62"/>
      <c r="R302" s="54"/>
      <c r="S302" s="62"/>
      <c r="T302" s="54"/>
      <c r="U302" s="255"/>
      <c r="V302" s="255"/>
      <c r="W302" s="255"/>
      <c r="X302" s="255"/>
      <c r="Y302" s="255"/>
      <c r="Z302" s="255"/>
      <c r="AA302" s="255"/>
    </row>
    <row r="303" spans="6:27" ht="12" customHeight="1" x14ac:dyDescent="0.25">
      <c r="F303" s="52">
        <v>7754</v>
      </c>
      <c r="G303" s="52">
        <v>9</v>
      </c>
      <c r="H303" s="52" t="s">
        <v>86</v>
      </c>
      <c r="I303" s="66" t="s">
        <v>249</v>
      </c>
      <c r="J303" s="52">
        <v>6</v>
      </c>
      <c r="K303" s="66" t="str">
        <f t="shared" si="48"/>
        <v>Raul Zamora</v>
      </c>
      <c r="L303" s="66" t="s">
        <v>804</v>
      </c>
      <c r="M303" s="60" t="str">
        <f t="shared" si="47"/>
        <v/>
      </c>
      <c r="N303" s="52"/>
      <c r="O303" s="60"/>
      <c r="P303" s="52"/>
      <c r="Q303" s="60"/>
      <c r="R303" s="52"/>
      <c r="S303" s="60"/>
      <c r="T303" s="52"/>
      <c r="U303" s="255"/>
      <c r="V303" s="255"/>
      <c r="W303" s="255"/>
      <c r="X303" s="255"/>
      <c r="Y303" s="255"/>
      <c r="Z303" s="255"/>
      <c r="AA303" s="255"/>
    </row>
    <row r="304" spans="6:27" ht="12" customHeight="1" x14ac:dyDescent="0.25">
      <c r="F304" s="52">
        <v>7755</v>
      </c>
      <c r="G304" s="52">
        <v>9</v>
      </c>
      <c r="H304" s="52" t="s">
        <v>1381</v>
      </c>
      <c r="I304" s="66" t="s">
        <v>361</v>
      </c>
      <c r="J304" s="52">
        <v>6</v>
      </c>
      <c r="K304" s="66" t="str">
        <f t="shared" si="48"/>
        <v>Juan Vicente Martín</v>
      </c>
      <c r="L304" s="66" t="s">
        <v>1157</v>
      </c>
      <c r="M304" s="60" t="str">
        <f t="shared" si="47"/>
        <v/>
      </c>
      <c r="N304" s="52"/>
      <c r="O304" s="60"/>
      <c r="P304" s="52"/>
      <c r="Q304" s="60"/>
      <c r="R304" s="52"/>
      <c r="S304" s="60"/>
      <c r="T304" s="52"/>
      <c r="U304" s="255"/>
      <c r="V304" s="255"/>
      <c r="W304" s="255"/>
      <c r="X304" s="255"/>
      <c r="Y304" s="255"/>
      <c r="Z304" s="255"/>
      <c r="AA304" s="255"/>
    </row>
    <row r="305" spans="6:27" ht="12" customHeight="1" x14ac:dyDescent="0.25">
      <c r="F305" s="52">
        <v>7756</v>
      </c>
      <c r="G305" s="52">
        <v>9</v>
      </c>
      <c r="H305" s="52" t="s">
        <v>42</v>
      </c>
      <c r="I305" s="66" t="s">
        <v>290</v>
      </c>
      <c r="J305" s="52">
        <v>6</v>
      </c>
      <c r="K305" s="66" t="str">
        <f t="shared" si="48"/>
        <v>José Antonio Martínez</v>
      </c>
      <c r="L305" s="66" t="s">
        <v>1074</v>
      </c>
      <c r="M305" s="60" t="str">
        <f t="shared" si="47"/>
        <v/>
      </c>
      <c r="N305" s="52"/>
      <c r="O305" s="60"/>
      <c r="P305" s="52"/>
      <c r="Q305" s="60"/>
      <c r="R305" s="52"/>
      <c r="S305" s="60"/>
      <c r="T305" s="52"/>
      <c r="U305" s="255"/>
      <c r="V305" s="255"/>
      <c r="W305" s="255"/>
      <c r="X305" s="255"/>
      <c r="Y305" s="255"/>
      <c r="Z305" s="255"/>
      <c r="AA305" s="255"/>
    </row>
    <row r="306" spans="6:27" ht="12" customHeight="1" x14ac:dyDescent="0.25">
      <c r="F306" s="52">
        <v>7757</v>
      </c>
      <c r="G306" s="52">
        <v>9</v>
      </c>
      <c r="H306" s="52" t="s">
        <v>1382</v>
      </c>
      <c r="I306" s="66" t="s">
        <v>993</v>
      </c>
      <c r="J306" s="52">
        <v>6</v>
      </c>
      <c r="K306" s="66" t="str">
        <f t="shared" si="48"/>
        <v>Fernando Aguilar</v>
      </c>
      <c r="L306" s="66" t="s">
        <v>1073</v>
      </c>
      <c r="M306" s="60" t="str">
        <f t="shared" si="47"/>
        <v/>
      </c>
      <c r="N306" s="52"/>
      <c r="O306" s="60"/>
      <c r="P306" s="52"/>
      <c r="Q306" s="60"/>
      <c r="R306" s="52"/>
      <c r="S306" s="60"/>
      <c r="T306" s="52"/>
      <c r="U306" s="255"/>
      <c r="V306" s="255"/>
      <c r="W306" s="255"/>
      <c r="X306" s="255"/>
      <c r="Y306" s="255"/>
      <c r="Z306" s="255"/>
      <c r="AA306" s="255"/>
    </row>
    <row r="307" spans="6:27" ht="12" customHeight="1" x14ac:dyDescent="0.25">
      <c r="F307" s="52">
        <v>7758</v>
      </c>
      <c r="G307" s="52">
        <v>9</v>
      </c>
      <c r="H307" s="52" t="s">
        <v>1383</v>
      </c>
      <c r="I307" s="66" t="s">
        <v>927</v>
      </c>
      <c r="J307" s="52">
        <v>6</v>
      </c>
      <c r="K307" s="109" t="str">
        <f>CONCATENATE(L307,M307,N307,O307,P307,Q307,R307)</f>
        <v>Jesús Enrique Sierra</v>
      </c>
      <c r="L307" s="66" t="s">
        <v>761</v>
      </c>
      <c r="M307" s="60" t="str">
        <f t="shared" si="47"/>
        <v/>
      </c>
      <c r="N307" s="66"/>
      <c r="O307" s="60"/>
      <c r="P307" s="52"/>
      <c r="Q307" s="60"/>
      <c r="R307" s="52"/>
      <c r="S307" s="60"/>
      <c r="T307" s="52"/>
      <c r="U307" s="255"/>
      <c r="V307" s="255"/>
      <c r="W307" s="255"/>
      <c r="X307" s="255"/>
      <c r="Y307" s="255"/>
      <c r="Z307" s="255"/>
      <c r="AA307" s="255"/>
    </row>
    <row r="308" spans="6:27" ht="12" customHeight="1" x14ac:dyDescent="0.25">
      <c r="F308" s="54">
        <v>7760</v>
      </c>
      <c r="G308" s="54">
        <v>10</v>
      </c>
      <c r="H308" s="54" t="s">
        <v>46</v>
      </c>
      <c r="I308" s="109" t="s">
        <v>994</v>
      </c>
      <c r="J308" s="54">
        <v>6</v>
      </c>
      <c r="K308" s="109" t="str">
        <f t="shared" si="48"/>
        <v>Ana Isabel Gómez</v>
      </c>
      <c r="L308" s="109" t="s">
        <v>758</v>
      </c>
      <c r="M308" s="60" t="str">
        <f t="shared" si="47"/>
        <v/>
      </c>
      <c r="N308" s="54"/>
      <c r="O308" s="62"/>
      <c r="P308" s="54"/>
      <c r="Q308" s="62"/>
      <c r="R308" s="54"/>
      <c r="S308" s="62"/>
      <c r="T308" s="54"/>
      <c r="U308" s="255"/>
      <c r="V308" s="255"/>
      <c r="W308" s="255"/>
      <c r="X308" s="255"/>
      <c r="Y308" s="255"/>
      <c r="Z308" s="255"/>
      <c r="AA308" s="255"/>
    </row>
    <row r="309" spans="6:27" ht="12" customHeight="1" x14ac:dyDescent="0.25">
      <c r="F309" s="54"/>
      <c r="G309" s="54"/>
      <c r="H309" s="54"/>
      <c r="I309" s="109"/>
      <c r="J309" s="54"/>
      <c r="K309" s="109"/>
      <c r="L309" s="109"/>
      <c r="M309" s="62"/>
      <c r="N309" s="54"/>
      <c r="O309" s="62"/>
      <c r="P309" s="54"/>
      <c r="Q309" s="62"/>
      <c r="R309" s="54"/>
      <c r="S309" s="62"/>
      <c r="T309" s="54"/>
      <c r="U309" s="255"/>
      <c r="V309" s="255"/>
      <c r="W309" s="255"/>
      <c r="X309" s="255"/>
      <c r="Y309" s="255"/>
      <c r="Z309" s="255"/>
      <c r="AA309" s="255"/>
    </row>
    <row r="310" spans="6:27" ht="12" customHeight="1" x14ac:dyDescent="0.25">
      <c r="F310" s="54"/>
      <c r="G310" s="54"/>
      <c r="H310" s="54"/>
      <c r="I310" s="62"/>
      <c r="J310" s="52"/>
      <c r="K310" s="254"/>
      <c r="L310" s="310"/>
      <c r="M310" s="62"/>
      <c r="N310" s="310"/>
      <c r="O310" s="254"/>
      <c r="P310" s="254"/>
      <c r="Q310" s="254"/>
      <c r="R310" s="254"/>
      <c r="S310" s="254"/>
      <c r="T310" s="254"/>
      <c r="U310" s="255"/>
      <c r="V310" s="255"/>
      <c r="W310" s="255"/>
      <c r="X310" s="255"/>
      <c r="Y310" s="255"/>
      <c r="Z310" s="255"/>
      <c r="AA310" s="255"/>
    </row>
    <row r="311" spans="6:27" ht="12" customHeight="1" x14ac:dyDescent="0.25">
      <c r="F311" s="54"/>
      <c r="G311" s="54"/>
      <c r="H311" s="54"/>
      <c r="I311" s="62"/>
      <c r="J311" s="54"/>
      <c r="K311" s="254"/>
      <c r="L311" s="254"/>
      <c r="M311" s="254"/>
      <c r="N311" s="254"/>
      <c r="O311" s="254"/>
      <c r="P311" s="254"/>
      <c r="Q311" s="254"/>
      <c r="R311" s="254"/>
      <c r="S311" s="254"/>
      <c r="T311" s="254"/>
      <c r="U311" s="255"/>
      <c r="V311" s="255"/>
      <c r="W311" s="255"/>
      <c r="X311" s="255"/>
      <c r="Y311" s="255"/>
      <c r="Z311" s="255"/>
      <c r="AA311" s="255"/>
    </row>
    <row r="312" spans="6:27" ht="12" customHeight="1" x14ac:dyDescent="0.25">
      <c r="F312" s="251"/>
      <c r="G312" s="251"/>
      <c r="H312" s="251"/>
      <c r="I312" s="253"/>
      <c r="J312" s="251"/>
      <c r="K312" s="259"/>
      <c r="L312" s="251"/>
      <c r="M312" s="254"/>
      <c r="N312" s="251"/>
      <c r="O312" s="256"/>
      <c r="P312" s="251"/>
      <c r="Q312" s="256"/>
      <c r="R312" s="251"/>
      <c r="S312" s="256"/>
      <c r="T312" s="251"/>
      <c r="U312" s="255"/>
      <c r="V312" s="255"/>
      <c r="W312" s="255"/>
      <c r="X312" s="255"/>
      <c r="Y312" s="255"/>
      <c r="Z312" s="255"/>
      <c r="AA312" s="255"/>
    </row>
    <row r="313" spans="6:27" ht="12" customHeight="1" x14ac:dyDescent="0.25">
      <c r="F313" s="257" t="s">
        <v>688</v>
      </c>
      <c r="G313" s="140"/>
      <c r="H313" s="140"/>
      <c r="I313" s="258"/>
      <c r="J313" s="140"/>
      <c r="K313" s="259"/>
      <c r="L313" s="310"/>
      <c r="M313" s="256"/>
      <c r="N313" s="310"/>
      <c r="O313" s="254"/>
      <c r="P313" s="254"/>
      <c r="Q313" s="254"/>
      <c r="R313" s="254"/>
      <c r="S313" s="254"/>
      <c r="T313" s="254"/>
      <c r="U313" s="255"/>
      <c r="V313" s="255"/>
      <c r="W313" s="255"/>
      <c r="X313" s="255"/>
      <c r="Y313" s="255"/>
      <c r="Z313" s="255"/>
      <c r="AA313" s="255"/>
    </row>
    <row r="314" spans="6:27" ht="12" customHeight="1" x14ac:dyDescent="0.25">
      <c r="F314" s="52">
        <v>8213</v>
      </c>
      <c r="G314" s="52">
        <v>1</v>
      </c>
      <c r="H314" s="52" t="s">
        <v>928</v>
      </c>
      <c r="I314" s="60" t="s">
        <v>692</v>
      </c>
      <c r="J314" s="52">
        <v>6</v>
      </c>
      <c r="K314" s="66" t="str">
        <f t="shared" ref="K314:K341" si="49">CONCATENATE(L314,M315,N314,O314,P314,Q314,R314)</f>
        <v>Antonio Manzano Rodríguez</v>
      </c>
      <c r="L314" s="263" t="s">
        <v>578</v>
      </c>
      <c r="M314" s="254"/>
      <c r="N314" s="263"/>
      <c r="O314" s="60" t="str">
        <f t="shared" ref="O314:O328" si="50">IF(P314&lt;&gt;"",", ","")</f>
        <v/>
      </c>
      <c r="P314" s="60"/>
      <c r="Q314" s="60"/>
      <c r="R314" s="60"/>
      <c r="S314" s="60"/>
      <c r="T314" s="60"/>
      <c r="U314" s="255"/>
      <c r="V314" s="255"/>
      <c r="W314" s="255"/>
      <c r="X314" s="255"/>
      <c r="Y314" s="255"/>
      <c r="Z314" s="255"/>
      <c r="AA314" s="255"/>
    </row>
    <row r="315" spans="6:27" ht="12" customHeight="1" x14ac:dyDescent="0.25">
      <c r="F315" s="52">
        <v>8214</v>
      </c>
      <c r="G315" s="52">
        <v>1</v>
      </c>
      <c r="H315" s="52" t="s">
        <v>1036</v>
      </c>
      <c r="I315" s="60" t="s">
        <v>691</v>
      </c>
      <c r="J315" s="52">
        <v>6</v>
      </c>
      <c r="K315" s="66" t="str">
        <f t="shared" si="49"/>
        <v>Flavio Mercati, Manuel Iván González</v>
      </c>
      <c r="L315" s="321" t="s">
        <v>1061</v>
      </c>
      <c r="M315" s="60" t="str">
        <f t="shared" ref="M315:M341" si="51">IF(N314&lt;&gt;"",", ","")</f>
        <v/>
      </c>
      <c r="N315" s="317" t="s">
        <v>510</v>
      </c>
      <c r="O315" s="60" t="str">
        <f t="shared" si="50"/>
        <v/>
      </c>
      <c r="P315" s="336"/>
      <c r="Q315" s="60"/>
      <c r="R315" s="60"/>
      <c r="S315" s="60"/>
      <c r="T315" s="60"/>
      <c r="U315" s="255"/>
      <c r="V315" s="255"/>
      <c r="W315" s="255"/>
      <c r="X315" s="255"/>
      <c r="Y315" s="255"/>
      <c r="Z315" s="255"/>
      <c r="AA315" s="255"/>
    </row>
    <row r="316" spans="6:27" ht="12" customHeight="1" x14ac:dyDescent="0.25">
      <c r="F316" s="52">
        <v>8215</v>
      </c>
      <c r="G316" s="52">
        <v>1</v>
      </c>
      <c r="H316" s="52" t="s">
        <v>1078</v>
      </c>
      <c r="I316" s="60" t="s">
        <v>741</v>
      </c>
      <c r="J316" s="52">
        <v>6</v>
      </c>
      <c r="K316" s="66" t="str">
        <f t="shared" si="49"/>
        <v>Rosa María Sanchez, Juan Ayllon Barasoain</v>
      </c>
      <c r="L316" s="321" t="s">
        <v>908</v>
      </c>
      <c r="M316" s="60" t="str">
        <f t="shared" si="51"/>
        <v xml:space="preserve">, </v>
      </c>
      <c r="N316" s="60" t="s">
        <v>909</v>
      </c>
      <c r="O316" s="60" t="str">
        <f t="shared" si="50"/>
        <v/>
      </c>
      <c r="P316" s="60"/>
      <c r="Q316" s="333"/>
      <c r="R316" s="333"/>
      <c r="S316" s="333"/>
      <c r="T316" s="333"/>
      <c r="U316" s="316"/>
      <c r="V316" s="316"/>
      <c r="W316" s="316"/>
      <c r="X316" s="316"/>
      <c r="Y316" s="316"/>
      <c r="Z316" s="316"/>
      <c r="AA316" s="316"/>
    </row>
    <row r="317" spans="6:27" ht="12" customHeight="1" x14ac:dyDescent="0.25">
      <c r="F317" s="52">
        <v>8216</v>
      </c>
      <c r="G317" s="52">
        <v>1</v>
      </c>
      <c r="H317" s="52" t="s">
        <v>949</v>
      </c>
      <c r="I317" s="60" t="s">
        <v>241</v>
      </c>
      <c r="J317" s="52">
        <v>6</v>
      </c>
      <c r="K317" s="66" t="str">
        <f t="shared" si="49"/>
        <v>Carlos Pardo Aguilar, Jose Francisco Díez</v>
      </c>
      <c r="L317" s="263" t="s">
        <v>415</v>
      </c>
      <c r="M317" s="60" t="str">
        <f t="shared" si="51"/>
        <v xml:space="preserve">, </v>
      </c>
      <c r="N317" s="263" t="s">
        <v>910</v>
      </c>
      <c r="O317" s="60" t="str">
        <f t="shared" si="50"/>
        <v/>
      </c>
      <c r="P317" s="263"/>
      <c r="Q317" s="60"/>
      <c r="R317" s="60"/>
      <c r="S317" s="60"/>
      <c r="T317" s="60"/>
      <c r="U317" s="255"/>
      <c r="V317" s="255"/>
      <c r="W317" s="255"/>
      <c r="X317" s="255"/>
      <c r="Y317" s="255"/>
      <c r="Z317" s="255"/>
      <c r="AA317" s="255"/>
    </row>
    <row r="318" spans="6:27" ht="12" customHeight="1" x14ac:dyDescent="0.25">
      <c r="F318" s="52">
        <v>8217</v>
      </c>
      <c r="G318" s="52">
        <v>1</v>
      </c>
      <c r="H318" s="52" t="s">
        <v>689</v>
      </c>
      <c r="I318" s="60" t="s">
        <v>690</v>
      </c>
      <c r="J318" s="52">
        <v>6</v>
      </c>
      <c r="K318" s="66" t="str">
        <f t="shared" si="49"/>
        <v>Mª Concepción Pilar , Mónica Cavia , Silvia Sevillano</v>
      </c>
      <c r="L318" s="318" t="s">
        <v>813</v>
      </c>
      <c r="M318" s="60" t="str">
        <f t="shared" si="51"/>
        <v xml:space="preserve">, </v>
      </c>
      <c r="N318" s="263" t="s">
        <v>814</v>
      </c>
      <c r="O318" s="60" t="str">
        <f t="shared" si="50"/>
        <v xml:space="preserve">, </v>
      </c>
      <c r="P318" s="60" t="s">
        <v>911</v>
      </c>
      <c r="Q318" s="60"/>
      <c r="R318" s="60"/>
      <c r="S318" s="60"/>
      <c r="T318" s="60"/>
      <c r="U318" s="255"/>
      <c r="V318" s="255"/>
      <c r="W318" s="255"/>
      <c r="X318" s="255"/>
      <c r="Y318" s="255"/>
      <c r="Z318" s="255"/>
      <c r="AA318" s="255"/>
    </row>
    <row r="319" spans="6:27" ht="12" customHeight="1" x14ac:dyDescent="0.25">
      <c r="F319" s="54">
        <v>8218</v>
      </c>
      <c r="G319" s="54">
        <v>2</v>
      </c>
      <c r="H319" s="54" t="s">
        <v>934</v>
      </c>
      <c r="I319" s="62" t="s">
        <v>244</v>
      </c>
      <c r="J319" s="54">
        <v>6</v>
      </c>
      <c r="K319" s="109" t="str">
        <f t="shared" si="49"/>
        <v>Elena Cebrian de Barrio</v>
      </c>
      <c r="L319" s="250" t="s">
        <v>912</v>
      </c>
      <c r="M319" s="60" t="str">
        <f t="shared" si="51"/>
        <v xml:space="preserve">, </v>
      </c>
      <c r="N319" s="334"/>
      <c r="O319" s="62" t="str">
        <f t="shared" si="50"/>
        <v/>
      </c>
      <c r="P319" s="62"/>
      <c r="Q319" s="62"/>
      <c r="R319" s="62"/>
      <c r="S319" s="62"/>
      <c r="T319" s="62"/>
      <c r="U319" s="255"/>
      <c r="V319" s="255"/>
      <c r="W319" s="255"/>
      <c r="X319" s="255"/>
      <c r="Y319" s="255"/>
      <c r="Z319" s="255"/>
      <c r="AA319" s="255"/>
    </row>
    <row r="320" spans="6:27" ht="12" customHeight="1" x14ac:dyDescent="0.25">
      <c r="F320" s="54">
        <v>8219</v>
      </c>
      <c r="G320" s="54">
        <v>2</v>
      </c>
      <c r="H320" s="54" t="s">
        <v>696</v>
      </c>
      <c r="I320" s="62" t="s">
        <v>697</v>
      </c>
      <c r="J320" s="54">
        <v>6</v>
      </c>
      <c r="K320" s="109" t="str">
        <f t="shared" si="49"/>
        <v>Ricardo Martínez Rayón</v>
      </c>
      <c r="L320" s="250" t="s">
        <v>644</v>
      </c>
      <c r="M320" s="62" t="str">
        <f t="shared" si="51"/>
        <v/>
      </c>
      <c r="N320" s="250"/>
      <c r="O320" s="62" t="str">
        <f t="shared" si="50"/>
        <v/>
      </c>
      <c r="P320" s="62"/>
      <c r="Q320" s="62"/>
      <c r="R320" s="62"/>
      <c r="S320" s="62"/>
      <c r="T320" s="62"/>
      <c r="U320" s="255"/>
      <c r="V320" s="255"/>
      <c r="W320" s="255"/>
      <c r="X320" s="255"/>
      <c r="Y320" s="255"/>
      <c r="Z320" s="255"/>
      <c r="AA320" s="255"/>
    </row>
    <row r="321" spans="6:27" ht="12" customHeight="1" x14ac:dyDescent="0.25">
      <c r="F321" s="54">
        <v>8220</v>
      </c>
      <c r="G321" s="54">
        <v>2</v>
      </c>
      <c r="H321" s="54" t="s">
        <v>713</v>
      </c>
      <c r="I321" s="62" t="s">
        <v>695</v>
      </c>
      <c r="J321" s="54">
        <v>6</v>
      </c>
      <c r="K321" s="109" t="str">
        <f t="shared" si="49"/>
        <v>Idoya Rodríguez Alonso, Dario Fernández</v>
      </c>
      <c r="L321" s="323" t="s">
        <v>913</v>
      </c>
      <c r="M321" s="62" t="str">
        <f t="shared" si="51"/>
        <v/>
      </c>
      <c r="N321" s="250" t="s">
        <v>825</v>
      </c>
      <c r="O321" s="62" t="str">
        <f t="shared" si="50"/>
        <v/>
      </c>
      <c r="P321" s="62"/>
      <c r="Q321" s="62"/>
      <c r="R321" s="62"/>
      <c r="S321" s="62"/>
      <c r="T321" s="62"/>
      <c r="U321" s="255"/>
      <c r="V321" s="255"/>
      <c r="W321" s="255"/>
      <c r="X321" s="255"/>
      <c r="Y321" s="255"/>
      <c r="Z321" s="255"/>
      <c r="AA321" s="255"/>
    </row>
    <row r="322" spans="6:27" ht="12" customHeight="1" x14ac:dyDescent="0.25">
      <c r="F322" s="54">
        <v>8221</v>
      </c>
      <c r="G322" s="54">
        <v>2</v>
      </c>
      <c r="H322" s="54" t="s">
        <v>1037</v>
      </c>
      <c r="I322" s="62" t="s">
        <v>699</v>
      </c>
      <c r="J322" s="54">
        <v>6</v>
      </c>
      <c r="K322" s="109" t="str">
        <f t="shared" si="49"/>
        <v>José Francisco Díez Pastor</v>
      </c>
      <c r="L322" s="250" t="s">
        <v>914</v>
      </c>
      <c r="M322" s="62" t="str">
        <f t="shared" si="51"/>
        <v xml:space="preserve">, </v>
      </c>
      <c r="N322" s="250"/>
      <c r="O322" s="62" t="str">
        <f t="shared" si="50"/>
        <v/>
      </c>
      <c r="P322" s="62"/>
      <c r="Q322" s="62"/>
      <c r="R322" s="62"/>
      <c r="S322" s="62"/>
      <c r="T322" s="62"/>
      <c r="U322" s="255"/>
      <c r="V322" s="255"/>
      <c r="W322" s="255"/>
      <c r="X322" s="255"/>
      <c r="Y322" s="255"/>
      <c r="Z322" s="255"/>
      <c r="AA322" s="255"/>
    </row>
    <row r="323" spans="6:27" ht="12" customHeight="1" x14ac:dyDescent="0.25">
      <c r="F323" s="54">
        <v>8222</v>
      </c>
      <c r="G323" s="54">
        <v>2</v>
      </c>
      <c r="H323" s="54" t="s">
        <v>1038</v>
      </c>
      <c r="I323" s="62" t="s">
        <v>694</v>
      </c>
      <c r="J323" s="54">
        <v>6</v>
      </c>
      <c r="K323" s="109" t="str">
        <f t="shared" si="49"/>
        <v>Natividad Ortega, David Palacios</v>
      </c>
      <c r="L323" s="325" t="s">
        <v>738</v>
      </c>
      <c r="M323" s="62" t="str">
        <f t="shared" si="51"/>
        <v/>
      </c>
      <c r="N323" s="250" t="s">
        <v>739</v>
      </c>
      <c r="O323" s="62" t="str">
        <f t="shared" si="50"/>
        <v/>
      </c>
      <c r="P323" s="62"/>
      <c r="Q323" s="62"/>
      <c r="R323" s="62"/>
      <c r="S323" s="62"/>
      <c r="T323" s="62"/>
      <c r="U323" s="255"/>
      <c r="V323" s="255"/>
      <c r="W323" s="255"/>
      <c r="X323" s="255"/>
      <c r="Y323" s="255"/>
      <c r="Z323" s="255"/>
      <c r="AA323" s="255"/>
    </row>
    <row r="324" spans="6:27" ht="12" customHeight="1" x14ac:dyDescent="0.25">
      <c r="F324" s="52">
        <v>8223</v>
      </c>
      <c r="G324" s="52">
        <v>3</v>
      </c>
      <c r="H324" s="52" t="s">
        <v>1039</v>
      </c>
      <c r="I324" s="60" t="s">
        <v>777</v>
      </c>
      <c r="J324" s="52">
        <v>6</v>
      </c>
      <c r="K324" s="66" t="str">
        <f t="shared" si="49"/>
        <v>Sonia Ramos Gómez, Alfredo Marcos Reguero</v>
      </c>
      <c r="L324" s="263" t="s">
        <v>919</v>
      </c>
      <c r="M324" s="62" t="str">
        <f t="shared" si="51"/>
        <v xml:space="preserve">, </v>
      </c>
      <c r="N324" s="263" t="s">
        <v>918</v>
      </c>
      <c r="O324" s="60" t="str">
        <f t="shared" si="50"/>
        <v/>
      </c>
      <c r="P324" s="60"/>
      <c r="Q324" s="60"/>
      <c r="R324" s="60"/>
      <c r="S324" s="60"/>
      <c r="T324" s="60"/>
      <c r="U324" s="255"/>
      <c r="V324" s="255"/>
      <c r="W324" s="255"/>
      <c r="X324" s="255"/>
      <c r="Y324" s="255"/>
      <c r="Z324" s="255"/>
      <c r="AA324" s="255"/>
    </row>
    <row r="325" spans="6:27" ht="12" customHeight="1" x14ac:dyDescent="0.25">
      <c r="F325" s="52">
        <v>8224</v>
      </c>
      <c r="G325" s="52">
        <v>3</v>
      </c>
      <c r="H325" s="52" t="s">
        <v>778</v>
      </c>
      <c r="I325" s="60" t="s">
        <v>779</v>
      </c>
      <c r="J325" s="52">
        <v>6</v>
      </c>
      <c r="K325" s="66" t="str">
        <f t="shared" si="49"/>
        <v>Jonatan Rojo, Miriam Saíz, Juan Valencia</v>
      </c>
      <c r="L325" s="335" t="s">
        <v>915</v>
      </c>
      <c r="M325" s="60" t="str">
        <f t="shared" si="51"/>
        <v xml:space="preserve">, </v>
      </c>
      <c r="N325" s="263" t="s">
        <v>916</v>
      </c>
      <c r="O325" s="60" t="str">
        <f t="shared" si="50"/>
        <v xml:space="preserve">, </v>
      </c>
      <c r="P325" s="60" t="s">
        <v>917</v>
      </c>
      <c r="Q325" s="60"/>
      <c r="R325" s="60"/>
      <c r="S325" s="60"/>
      <c r="T325" s="60"/>
      <c r="U325" s="255"/>
      <c r="V325" s="255"/>
      <c r="W325" s="255"/>
      <c r="X325" s="255"/>
      <c r="Y325" s="255"/>
      <c r="Z325" s="255"/>
      <c r="AA325" s="255"/>
    </row>
    <row r="326" spans="6:27" ht="12" customHeight="1" x14ac:dyDescent="0.25">
      <c r="F326" s="52">
        <v>8225</v>
      </c>
      <c r="G326" s="52">
        <v>3</v>
      </c>
      <c r="H326" s="52" t="s">
        <v>780</v>
      </c>
      <c r="I326" s="60" t="s">
        <v>781</v>
      </c>
      <c r="J326" s="52">
        <v>6</v>
      </c>
      <c r="K326" s="66" t="str">
        <f t="shared" si="49"/>
        <v>Olga Valencia García</v>
      </c>
      <c r="L326" s="263" t="s">
        <v>920</v>
      </c>
      <c r="M326" s="60" t="str">
        <f t="shared" si="51"/>
        <v xml:space="preserve">, </v>
      </c>
      <c r="N326" s="263"/>
      <c r="O326" s="60" t="str">
        <f t="shared" si="50"/>
        <v/>
      </c>
      <c r="P326" s="60"/>
      <c r="Q326" s="61"/>
      <c r="R326" s="60"/>
      <c r="S326" s="61"/>
      <c r="T326" s="60"/>
    </row>
    <row r="327" spans="6:27" ht="12" customHeight="1" x14ac:dyDescent="0.25">
      <c r="F327" s="52">
        <v>8226</v>
      </c>
      <c r="G327" s="52">
        <v>3</v>
      </c>
      <c r="H327" s="52" t="s">
        <v>782</v>
      </c>
      <c r="I327" s="60" t="s">
        <v>783</v>
      </c>
      <c r="J327" s="52">
        <v>6</v>
      </c>
      <c r="K327" s="66" t="str">
        <f t="shared" si="49"/>
        <v>Jesús Manuel Maudes, Antonio Jesús Canepa</v>
      </c>
      <c r="L327" s="263" t="s">
        <v>922</v>
      </c>
      <c r="M327" s="60" t="str">
        <f t="shared" si="51"/>
        <v/>
      </c>
      <c r="N327" s="263" t="s">
        <v>921</v>
      </c>
      <c r="O327" s="60" t="str">
        <f t="shared" si="50"/>
        <v/>
      </c>
      <c r="P327" s="60"/>
      <c r="Q327" s="61"/>
      <c r="R327" s="60"/>
      <c r="S327" s="61"/>
      <c r="T327" s="60"/>
    </row>
    <row r="328" spans="6:27" ht="12" customHeight="1" x14ac:dyDescent="0.25">
      <c r="F328" s="52">
        <v>8227</v>
      </c>
      <c r="G328" s="52">
        <v>3</v>
      </c>
      <c r="H328" s="52" t="s">
        <v>1040</v>
      </c>
      <c r="I328" s="60" t="s">
        <v>784</v>
      </c>
      <c r="J328" s="52">
        <v>6</v>
      </c>
      <c r="K328" s="66" t="str">
        <f t="shared" si="49"/>
        <v>Daniel Urda Muñoz</v>
      </c>
      <c r="L328" s="319" t="s">
        <v>824</v>
      </c>
      <c r="M328" s="60" t="str">
        <f t="shared" si="51"/>
        <v xml:space="preserve">, </v>
      </c>
      <c r="N328" s="319"/>
      <c r="O328" s="60" t="str">
        <f t="shared" si="50"/>
        <v/>
      </c>
      <c r="P328" s="60"/>
      <c r="Q328" s="61"/>
      <c r="R328" s="60"/>
      <c r="S328" s="61"/>
      <c r="T328" s="60"/>
    </row>
    <row r="329" spans="6:27" ht="12" customHeight="1" x14ac:dyDescent="0.25">
      <c r="F329" s="54">
        <v>8228</v>
      </c>
      <c r="G329" s="54">
        <v>4</v>
      </c>
      <c r="H329" s="54" t="s">
        <v>811</v>
      </c>
      <c r="I329" s="62" t="s">
        <v>785</v>
      </c>
      <c r="J329" s="54">
        <v>6</v>
      </c>
      <c r="K329" s="109" t="str">
        <f t="shared" si="49"/>
        <v>Jonatan Rojo, Miriam Saíz, Juan Valencia</v>
      </c>
      <c r="L329" s="329" t="s">
        <v>915</v>
      </c>
      <c r="M329" s="60" t="str">
        <f t="shared" si="51"/>
        <v/>
      </c>
      <c r="N329" s="263" t="s">
        <v>916</v>
      </c>
      <c r="O329" s="60" t="str">
        <f>IF(P329&lt;&gt;"",", ","")</f>
        <v xml:space="preserve">, </v>
      </c>
      <c r="P329" s="60" t="s">
        <v>917</v>
      </c>
      <c r="Q329" s="61"/>
      <c r="R329" s="60"/>
      <c r="S329" s="61"/>
      <c r="T329" s="60"/>
    </row>
    <row r="330" spans="6:27" ht="12" customHeight="1" x14ac:dyDescent="0.25">
      <c r="F330" s="54">
        <v>8229</v>
      </c>
      <c r="G330" s="54">
        <v>4</v>
      </c>
      <c r="H330" s="54" t="s">
        <v>106</v>
      </c>
      <c r="I330" s="62" t="s">
        <v>975</v>
      </c>
      <c r="J330" s="54">
        <v>6</v>
      </c>
      <c r="K330" s="109" t="str">
        <f t="shared" si="49"/>
        <v>Alejandro Merino Gómez</v>
      </c>
      <c r="L330" s="323" t="s">
        <v>496</v>
      </c>
      <c r="M330" s="60" t="str">
        <f t="shared" si="51"/>
        <v xml:space="preserve">, </v>
      </c>
      <c r="N330" s="310"/>
      <c r="O330" s="60"/>
      <c r="P330" s="60"/>
      <c r="Q330" s="61"/>
      <c r="R330" s="60"/>
      <c r="S330" s="61"/>
      <c r="T330" s="60"/>
    </row>
    <row r="331" spans="6:27" ht="12" customHeight="1" x14ac:dyDescent="0.25">
      <c r="F331" s="54">
        <v>8230</v>
      </c>
      <c r="G331" s="54">
        <v>4</v>
      </c>
      <c r="H331" s="54" t="s">
        <v>792</v>
      </c>
      <c r="I331" s="62" t="s">
        <v>786</v>
      </c>
      <c r="J331" s="54">
        <v>6</v>
      </c>
      <c r="K331" s="109" t="str">
        <f t="shared" si="49"/>
        <v>Mª Isabel Dieste Velasco</v>
      </c>
      <c r="L331" s="109" t="s">
        <v>923</v>
      </c>
      <c r="M331" s="62" t="str">
        <f t="shared" si="51"/>
        <v/>
      </c>
      <c r="N331" s="310"/>
      <c r="O331" s="62"/>
      <c r="P331" s="62"/>
      <c r="Q331" s="70"/>
      <c r="R331" s="62"/>
      <c r="S331" s="70"/>
      <c r="T331" s="62"/>
    </row>
    <row r="332" spans="6:27" ht="12" customHeight="1" x14ac:dyDescent="0.25">
      <c r="F332" s="54">
        <v>8231</v>
      </c>
      <c r="G332" s="54">
        <v>4</v>
      </c>
      <c r="H332" s="54" t="s">
        <v>810</v>
      </c>
      <c r="I332" s="62" t="s">
        <v>787</v>
      </c>
      <c r="J332" s="54">
        <v>6</v>
      </c>
      <c r="K332" s="109" t="str">
        <f t="shared" si="49"/>
        <v>Juan José Rodríguez Díez</v>
      </c>
      <c r="L332" s="250" t="s">
        <v>895</v>
      </c>
      <c r="M332" s="62" t="str">
        <f t="shared" si="51"/>
        <v/>
      </c>
      <c r="N332" s="310"/>
      <c r="O332" s="62"/>
      <c r="P332" s="62"/>
      <c r="Q332" s="70"/>
      <c r="R332" s="62"/>
      <c r="S332" s="70"/>
      <c r="T332" s="62"/>
    </row>
    <row r="333" spans="6:27" ht="12" customHeight="1" x14ac:dyDescent="0.25">
      <c r="F333" s="54">
        <v>8232</v>
      </c>
      <c r="G333" s="54">
        <v>4</v>
      </c>
      <c r="H333" s="54" t="s">
        <v>102</v>
      </c>
      <c r="I333" s="62" t="s">
        <v>788</v>
      </c>
      <c r="J333" s="54">
        <v>6</v>
      </c>
      <c r="K333" s="109" t="str">
        <f t="shared" si="49"/>
        <v/>
      </c>
      <c r="L333" s="250"/>
      <c r="M333" s="62" t="str">
        <f t="shared" si="51"/>
        <v/>
      </c>
      <c r="N333" s="310"/>
      <c r="O333" s="62"/>
      <c r="P333" s="62"/>
      <c r="Q333" s="70"/>
      <c r="R333" s="62"/>
      <c r="S333" s="70"/>
      <c r="T333" s="62"/>
    </row>
    <row r="334" spans="6:27" ht="12" customHeight="1" x14ac:dyDescent="0.25">
      <c r="F334" s="52">
        <v>8233</v>
      </c>
      <c r="G334" s="52">
        <v>5</v>
      </c>
      <c r="H334" s="52" t="s">
        <v>973</v>
      </c>
      <c r="I334" s="60" t="s">
        <v>974</v>
      </c>
      <c r="J334" s="52">
        <v>6</v>
      </c>
      <c r="K334" s="66" t="str">
        <f t="shared" si="49"/>
        <v>Sonia Ramos Gómez</v>
      </c>
      <c r="L334" s="335" t="s">
        <v>919</v>
      </c>
      <c r="M334" s="62" t="str">
        <f t="shared" si="51"/>
        <v/>
      </c>
      <c r="N334" s="263"/>
      <c r="O334" s="60"/>
      <c r="P334" s="60"/>
      <c r="Q334" s="61"/>
      <c r="R334" s="60"/>
      <c r="S334" s="70"/>
      <c r="T334" s="62"/>
    </row>
    <row r="335" spans="6:27" ht="12" customHeight="1" x14ac:dyDescent="0.25">
      <c r="F335" s="52">
        <v>8234</v>
      </c>
      <c r="G335" s="52">
        <v>5</v>
      </c>
      <c r="H335" s="52" t="s">
        <v>976</v>
      </c>
      <c r="I335" s="60" t="s">
        <v>977</v>
      </c>
      <c r="J335" s="52">
        <v>6</v>
      </c>
      <c r="K335" s="109" t="str">
        <f t="shared" si="49"/>
        <v>Daniel Sarabia</v>
      </c>
      <c r="L335" s="66" t="s">
        <v>1104</v>
      </c>
      <c r="M335" s="62" t="str">
        <f t="shared" si="51"/>
        <v/>
      </c>
      <c r="N335" s="263"/>
      <c r="O335" s="60"/>
      <c r="P335" s="60"/>
      <c r="Q335" s="61"/>
      <c r="R335" s="60"/>
      <c r="S335" s="61"/>
      <c r="T335" s="62"/>
    </row>
    <row r="336" spans="6:27" ht="12" customHeight="1" x14ac:dyDescent="0.25">
      <c r="F336" s="52">
        <v>8235</v>
      </c>
      <c r="G336" s="52">
        <v>5</v>
      </c>
      <c r="H336" s="52" t="s">
        <v>978</v>
      </c>
      <c r="I336" s="60" t="s">
        <v>979</v>
      </c>
      <c r="J336" s="52">
        <v>6</v>
      </c>
      <c r="K336" s="109" t="str">
        <f t="shared" si="49"/>
        <v>Antonio Canepa</v>
      </c>
      <c r="L336" s="263" t="s">
        <v>1106</v>
      </c>
      <c r="M336" s="62" t="str">
        <f t="shared" si="51"/>
        <v/>
      </c>
      <c r="N336" s="263"/>
      <c r="O336" s="60"/>
      <c r="P336" s="60"/>
      <c r="Q336" s="61"/>
      <c r="R336" s="60"/>
      <c r="S336" s="61"/>
      <c r="T336" s="60"/>
    </row>
    <row r="337" spans="6:20" ht="12" customHeight="1" x14ac:dyDescent="0.25">
      <c r="F337" s="52">
        <v>8236</v>
      </c>
      <c r="G337" s="52">
        <v>5</v>
      </c>
      <c r="H337" s="52" t="s">
        <v>585</v>
      </c>
      <c r="I337" s="60" t="s">
        <v>980</v>
      </c>
      <c r="J337" s="52">
        <v>6</v>
      </c>
      <c r="K337" s="109" t="str">
        <f t="shared" si="49"/>
        <v>Alberto Maestro</v>
      </c>
      <c r="L337" s="263" t="s">
        <v>1105</v>
      </c>
      <c r="M337" s="62" t="str">
        <f t="shared" si="51"/>
        <v/>
      </c>
      <c r="N337" s="263"/>
      <c r="O337" s="60"/>
      <c r="P337" s="60"/>
      <c r="Q337" s="61"/>
      <c r="R337" s="60"/>
      <c r="S337" s="61"/>
      <c r="T337" s="60"/>
    </row>
    <row r="338" spans="6:20" ht="12" customHeight="1" x14ac:dyDescent="0.25">
      <c r="F338" s="52">
        <v>8237</v>
      </c>
      <c r="G338" s="52">
        <v>5</v>
      </c>
      <c r="H338" s="52" t="s">
        <v>981</v>
      </c>
      <c r="I338" s="60" t="s">
        <v>982</v>
      </c>
      <c r="J338" s="52">
        <v>6</v>
      </c>
      <c r="K338" s="109" t="str">
        <f t="shared" si="49"/>
        <v>David Palacios</v>
      </c>
      <c r="L338" s="263" t="s">
        <v>739</v>
      </c>
      <c r="M338" s="62" t="str">
        <f t="shared" si="51"/>
        <v/>
      </c>
      <c r="N338" s="263"/>
      <c r="O338" s="60"/>
      <c r="P338" s="60"/>
      <c r="Q338" s="61"/>
      <c r="R338" s="60"/>
      <c r="S338" s="61"/>
      <c r="T338" s="60"/>
    </row>
    <row r="339" spans="6:20" ht="12" customHeight="1" x14ac:dyDescent="0.25">
      <c r="F339" s="54">
        <v>8238</v>
      </c>
      <c r="G339" s="54">
        <v>6</v>
      </c>
      <c r="H339" s="54" t="s">
        <v>221</v>
      </c>
      <c r="I339" s="62" t="s">
        <v>983</v>
      </c>
      <c r="J339" s="54">
        <v>6</v>
      </c>
      <c r="K339" s="109" t="str">
        <f t="shared" si="49"/>
        <v>María José García</v>
      </c>
      <c r="L339" s="250" t="s">
        <v>1062</v>
      </c>
      <c r="M339" s="62" t="str">
        <f t="shared" si="51"/>
        <v/>
      </c>
      <c r="N339" s="250"/>
      <c r="O339" s="62"/>
      <c r="P339" s="62"/>
      <c r="Q339" s="61"/>
      <c r="R339" s="60"/>
      <c r="S339" s="61"/>
      <c r="T339" s="60"/>
    </row>
    <row r="340" spans="6:20" ht="12" customHeight="1" x14ac:dyDescent="0.25">
      <c r="F340" s="54">
        <v>8239</v>
      </c>
      <c r="G340" s="54">
        <v>6</v>
      </c>
      <c r="H340" s="54" t="s">
        <v>954</v>
      </c>
      <c r="I340" s="62" t="s">
        <v>984</v>
      </c>
      <c r="J340" s="54">
        <v>6</v>
      </c>
      <c r="K340" s="109" t="str">
        <f t="shared" si="49"/>
        <v>GuirguisZaqui</v>
      </c>
      <c r="L340" s="250" t="s">
        <v>1111</v>
      </c>
      <c r="M340" s="62" t="str">
        <f t="shared" si="51"/>
        <v/>
      </c>
      <c r="N340" s="250"/>
      <c r="O340" s="62"/>
      <c r="P340" s="62"/>
      <c r="Q340" s="61"/>
      <c r="R340" s="60"/>
      <c r="S340" s="61"/>
      <c r="T340" s="60"/>
    </row>
    <row r="341" spans="6:20" ht="12" customHeight="1" x14ac:dyDescent="0.25">
      <c r="F341" s="54">
        <v>8240</v>
      </c>
      <c r="G341" s="54">
        <v>6</v>
      </c>
      <c r="H341" s="54" t="s">
        <v>985</v>
      </c>
      <c r="I341" s="62" t="s">
        <v>986</v>
      </c>
      <c r="J341" s="54">
        <v>6</v>
      </c>
      <c r="K341" s="66" t="str">
        <f t="shared" si="49"/>
        <v xml:space="preserve">José Francisco Díez Juan José Rodríguez, </v>
      </c>
      <c r="L341" s="250" t="s">
        <v>1117</v>
      </c>
      <c r="M341" s="62" t="str">
        <f t="shared" si="51"/>
        <v/>
      </c>
      <c r="N341" s="60" t="s">
        <v>1118</v>
      </c>
      <c r="O341" s="60" t="str">
        <f>IF(N341&lt;&gt;"",", ","")</f>
        <v xml:space="preserve">, </v>
      </c>
      <c r="Q341" s="61"/>
      <c r="R341" s="60"/>
      <c r="S341" s="61"/>
      <c r="T341" s="60"/>
    </row>
    <row r="342" spans="6:20" ht="12" customHeight="1" x14ac:dyDescent="0.25">
      <c r="F342" s="54">
        <v>8241</v>
      </c>
      <c r="G342" s="54">
        <v>6</v>
      </c>
      <c r="H342" s="54" t="s">
        <v>987</v>
      </c>
      <c r="I342" s="62" t="s">
        <v>397</v>
      </c>
      <c r="J342" s="54">
        <v>3</v>
      </c>
      <c r="K342" s="109" t="str">
        <f>CONCATENATE(L342,M343,N342,O342,P342,Q342,R342)</f>
        <v>Pedro Luis Sánchez</v>
      </c>
      <c r="L342" s="250" t="s">
        <v>879</v>
      </c>
      <c r="M342" s="62"/>
      <c r="N342" s="250"/>
      <c r="O342" s="62"/>
      <c r="P342" s="62"/>
      <c r="Q342" s="70"/>
      <c r="R342" s="62"/>
      <c r="S342" s="70"/>
      <c r="T342" s="62"/>
    </row>
    <row r="343" spans="6:20" ht="12" customHeight="1" x14ac:dyDescent="0.25">
      <c r="F343" s="54">
        <v>8242</v>
      </c>
      <c r="G343" s="54">
        <v>6</v>
      </c>
      <c r="H343" s="54" t="s">
        <v>988</v>
      </c>
      <c r="I343" s="62" t="s">
        <v>989</v>
      </c>
      <c r="J343" s="54">
        <v>3</v>
      </c>
      <c r="K343" s="109" t="str">
        <f>CONCATENATE(L343,M344,N343,O343,P343,Q343,R343)</f>
        <v>GuirguisZaqui</v>
      </c>
      <c r="L343" s="250" t="s">
        <v>1111</v>
      </c>
      <c r="M343" s="62"/>
      <c r="N343" s="250"/>
      <c r="O343" s="62"/>
      <c r="P343" s="62"/>
      <c r="Q343" s="70"/>
      <c r="R343" s="62"/>
      <c r="S343" s="70"/>
      <c r="T343" s="62"/>
    </row>
    <row r="344" spans="6:20" ht="12" customHeight="1" x14ac:dyDescent="0.25">
      <c r="F344" s="54">
        <v>8243</v>
      </c>
      <c r="G344" s="54">
        <v>6</v>
      </c>
      <c r="H344" s="54" t="s">
        <v>1041</v>
      </c>
      <c r="I344" s="62" t="s">
        <v>990</v>
      </c>
      <c r="J344" s="54">
        <v>6</v>
      </c>
      <c r="K344" s="62"/>
      <c r="L344" s="250"/>
      <c r="M344" s="62"/>
      <c r="N344" s="250"/>
      <c r="O344" s="62"/>
      <c r="P344" s="62"/>
      <c r="Q344" s="70"/>
      <c r="R344" s="62"/>
      <c r="S344" s="70"/>
      <c r="T344" s="62"/>
    </row>
    <row r="345" spans="6:20" ht="12" customHeight="1" x14ac:dyDescent="0.25">
      <c r="F345" s="52"/>
      <c r="G345" s="54"/>
      <c r="H345" s="54" t="s">
        <v>1113</v>
      </c>
      <c r="I345" s="62"/>
      <c r="J345" s="54"/>
      <c r="K345" s="62"/>
      <c r="L345" s="250"/>
      <c r="M345" s="62"/>
      <c r="N345" s="250"/>
      <c r="O345" s="62"/>
      <c r="P345" s="62"/>
      <c r="Q345" s="70"/>
      <c r="R345" s="62"/>
      <c r="S345" s="70"/>
      <c r="T345" s="62"/>
    </row>
    <row r="346" spans="6:20" ht="12" customHeight="1" x14ac:dyDescent="0.25">
      <c r="F346" s="52"/>
      <c r="G346" s="54"/>
      <c r="H346" s="54" t="s">
        <v>1114</v>
      </c>
      <c r="I346" s="54"/>
      <c r="J346" s="54"/>
      <c r="K346" s="54"/>
      <c r="L346" s="54"/>
      <c r="M346" s="62"/>
      <c r="N346" s="54"/>
      <c r="O346" s="54"/>
      <c r="P346" s="54"/>
      <c r="Q346" s="54"/>
      <c r="R346" s="54"/>
      <c r="S346" s="54"/>
      <c r="T346" s="54"/>
    </row>
    <row r="347" spans="6:20" ht="12" customHeight="1" x14ac:dyDescent="0.25">
      <c r="F347" s="52"/>
      <c r="G347" s="52"/>
      <c r="H347" s="52" t="s">
        <v>1115</v>
      </c>
      <c r="I347" s="60"/>
      <c r="J347" s="52"/>
      <c r="K347" s="60"/>
      <c r="L347" s="263"/>
      <c r="M347" s="54"/>
      <c r="N347" s="263"/>
      <c r="O347" s="60"/>
      <c r="P347" s="60"/>
      <c r="Q347" s="61"/>
      <c r="R347" s="60"/>
      <c r="S347" s="61"/>
      <c r="T347" s="60"/>
    </row>
    <row r="348" spans="6:20" ht="12" customHeight="1" x14ac:dyDescent="0.25">
      <c r="F348" s="54"/>
      <c r="G348" s="54"/>
      <c r="H348" s="54"/>
      <c r="I348" s="62"/>
      <c r="J348" s="54"/>
      <c r="K348" s="62"/>
      <c r="L348" s="62"/>
      <c r="M348" s="60"/>
      <c r="N348" s="62"/>
      <c r="O348" s="60"/>
      <c r="P348" s="62"/>
      <c r="Q348" s="61"/>
      <c r="R348" s="62"/>
      <c r="S348" s="61"/>
      <c r="T348" s="62"/>
    </row>
    <row r="349" spans="6:20" ht="12" customHeight="1" x14ac:dyDescent="0.25">
      <c r="F349" s="52"/>
      <c r="G349" s="52"/>
      <c r="H349" s="52"/>
      <c r="I349" s="60"/>
      <c r="J349" s="52"/>
      <c r="K349" s="60"/>
      <c r="L349" s="263"/>
      <c r="M349" s="60"/>
      <c r="N349" s="263"/>
      <c r="O349" s="60"/>
      <c r="P349" s="60"/>
      <c r="Q349" s="61"/>
      <c r="R349" s="60"/>
      <c r="S349" s="61"/>
      <c r="T349" s="60"/>
    </row>
    <row r="350" spans="6:20" ht="12" customHeight="1" x14ac:dyDescent="0.25">
      <c r="F350" s="52"/>
      <c r="G350" s="52"/>
      <c r="H350" s="52"/>
      <c r="I350" s="60"/>
      <c r="J350" s="52"/>
      <c r="K350" s="60"/>
      <c r="L350" s="263"/>
      <c r="M350" s="60"/>
      <c r="N350" s="263"/>
      <c r="O350" s="60"/>
      <c r="P350" s="60"/>
      <c r="Q350" s="61"/>
      <c r="R350" s="60"/>
      <c r="S350" s="61"/>
      <c r="T350" s="60"/>
    </row>
    <row r="351" spans="6:20" ht="12" customHeight="1" x14ac:dyDescent="0.25">
      <c r="F351" s="52"/>
      <c r="G351" s="52"/>
      <c r="H351" s="52"/>
      <c r="I351" s="60"/>
      <c r="J351" s="52"/>
      <c r="K351" s="60"/>
      <c r="L351" s="263"/>
      <c r="M351" s="60"/>
      <c r="N351" s="263"/>
      <c r="O351" s="60"/>
      <c r="P351" s="60"/>
      <c r="Q351" s="61"/>
      <c r="R351" s="60"/>
      <c r="S351" s="61"/>
      <c r="T351" s="60"/>
    </row>
    <row r="352" spans="6:20" ht="12" customHeight="1" x14ac:dyDescent="0.25">
      <c r="M352" s="60"/>
    </row>
    <row r="356" spans="6:20" ht="12" customHeight="1" x14ac:dyDescent="0.25">
      <c r="F356" s="63" t="s">
        <v>1129</v>
      </c>
      <c r="K356" s="55" t="str">
        <f t="shared" ref="K356:K365" si="52">CONCATENATE(L356,M357,N356,O356,P356,Q356,R356)</f>
        <v/>
      </c>
      <c r="L356" s="314"/>
      <c r="M356" s="254" t="str">
        <f>IF(N355&lt;&gt;"",", ","")</f>
        <v/>
      </c>
      <c r="N356" s="314"/>
      <c r="O356" s="60" t="str">
        <f t="shared" ref="O356:O374" si="53">IF(P356&lt;&gt;"",", ","")</f>
        <v/>
      </c>
      <c r="Q356" s="61" t="str">
        <f t="shared" ref="Q356:Q379" si="54">IF(R356&lt;&gt;"",", ","")</f>
        <v/>
      </c>
      <c r="S356" s="61" t="str">
        <f t="shared" ref="S356:S379" si="55">IF(T356&lt;&gt;"",", ","")</f>
        <v/>
      </c>
    </row>
    <row r="357" spans="6:20" ht="12" customHeight="1" x14ac:dyDescent="0.25">
      <c r="F357" s="52"/>
      <c r="G357" s="52">
        <v>1</v>
      </c>
      <c r="H357" s="52" t="s">
        <v>1137</v>
      </c>
      <c r="I357" s="60" t="s">
        <v>236</v>
      </c>
      <c r="J357" s="52">
        <v>6</v>
      </c>
      <c r="K357" s="60" t="str">
        <f t="shared" si="52"/>
        <v xml:space="preserve">Luis Suarez Vivar, Wilco Verbeeten </v>
      </c>
      <c r="L357" s="263" t="s">
        <v>896</v>
      </c>
      <c r="M357" s="254" t="str">
        <f>IF(N356&lt;&gt;"",", ","")</f>
        <v/>
      </c>
      <c r="N357" s="263" t="s">
        <v>653</v>
      </c>
      <c r="O357" s="60" t="str">
        <f t="shared" si="53"/>
        <v/>
      </c>
      <c r="P357" s="60"/>
      <c r="Q357" s="61" t="str">
        <f t="shared" si="54"/>
        <v/>
      </c>
      <c r="R357" s="61"/>
      <c r="S357" s="61" t="str">
        <f t="shared" si="55"/>
        <v/>
      </c>
      <c r="T357" s="61"/>
    </row>
    <row r="358" spans="6:20" ht="12" customHeight="1" x14ac:dyDescent="0.25">
      <c r="F358" s="52"/>
      <c r="G358" s="52">
        <v>1</v>
      </c>
      <c r="H358" s="52" t="s">
        <v>1136</v>
      </c>
      <c r="I358" s="60" t="s">
        <v>1134</v>
      </c>
      <c r="J358" s="52">
        <v>6</v>
      </c>
      <c r="K358" s="60" t="str">
        <f t="shared" si="52"/>
        <v>Juan José Lavios Villahoz</v>
      </c>
      <c r="L358" s="60" t="s">
        <v>500</v>
      </c>
      <c r="M358" s="60" t="s">
        <v>651</v>
      </c>
      <c r="N358" s="60"/>
      <c r="O358" s="60" t="str">
        <f t="shared" si="53"/>
        <v/>
      </c>
      <c r="P358" s="60"/>
      <c r="Q358" s="61" t="str">
        <f t="shared" si="54"/>
        <v/>
      </c>
      <c r="R358" s="61"/>
      <c r="S358" s="61" t="str">
        <f t="shared" si="55"/>
        <v/>
      </c>
      <c r="T358" s="61"/>
    </row>
    <row r="359" spans="6:20" ht="12" customHeight="1" x14ac:dyDescent="0.25">
      <c r="F359" s="52"/>
      <c r="G359" s="52">
        <v>1</v>
      </c>
      <c r="H359" s="52" t="s">
        <v>1138</v>
      </c>
      <c r="I359" s="60" t="s">
        <v>1135</v>
      </c>
      <c r="J359" s="52">
        <v>6</v>
      </c>
      <c r="K359" s="60" t="str">
        <f t="shared" si="52"/>
        <v>Francisco Javier Gómez Gil</v>
      </c>
      <c r="L359" s="60" t="s">
        <v>247</v>
      </c>
      <c r="M359" s="60" t="str">
        <f t="shared" ref="M359:M375" si="56">IF(N358&lt;&gt;"",", ","")</f>
        <v/>
      </c>
      <c r="N359" s="60"/>
      <c r="O359" s="60" t="str">
        <f t="shared" si="53"/>
        <v/>
      </c>
      <c r="P359" s="60"/>
      <c r="Q359" s="61" t="str">
        <f t="shared" si="54"/>
        <v/>
      </c>
      <c r="R359" s="61"/>
      <c r="S359" s="61" t="str">
        <f t="shared" si="55"/>
        <v/>
      </c>
      <c r="T359" s="61"/>
    </row>
    <row r="360" spans="6:20" ht="12" customHeight="1" x14ac:dyDescent="0.25">
      <c r="F360" s="52"/>
      <c r="G360" s="52"/>
      <c r="H360" s="52"/>
      <c r="I360" s="60"/>
      <c r="J360" s="52"/>
      <c r="K360" s="60"/>
      <c r="L360" s="60"/>
      <c r="M360" s="60" t="str">
        <f t="shared" si="56"/>
        <v/>
      </c>
      <c r="N360" s="60"/>
      <c r="O360" s="60" t="str">
        <f t="shared" si="53"/>
        <v/>
      </c>
      <c r="P360" s="60"/>
      <c r="Q360" s="61" t="str">
        <f t="shared" si="54"/>
        <v/>
      </c>
      <c r="R360" s="61"/>
      <c r="S360" s="61" t="str">
        <f t="shared" si="55"/>
        <v/>
      </c>
      <c r="T360" s="61"/>
    </row>
    <row r="361" spans="6:20" ht="12" customHeight="1" x14ac:dyDescent="0.25">
      <c r="F361" s="52"/>
      <c r="G361" s="52"/>
      <c r="H361" s="52"/>
      <c r="I361" s="60"/>
      <c r="J361" s="52"/>
      <c r="K361" s="60"/>
      <c r="L361" s="60"/>
      <c r="M361" s="60" t="str">
        <f t="shared" si="56"/>
        <v/>
      </c>
      <c r="N361" s="60"/>
      <c r="O361" s="60" t="str">
        <f t="shared" si="53"/>
        <v/>
      </c>
      <c r="P361" s="60"/>
      <c r="Q361" s="61" t="str">
        <f t="shared" si="54"/>
        <v/>
      </c>
      <c r="R361" s="61"/>
      <c r="S361" s="61" t="str">
        <f t="shared" si="55"/>
        <v/>
      </c>
      <c r="T361" s="61"/>
    </row>
    <row r="362" spans="6:20" ht="12" customHeight="1" x14ac:dyDescent="0.25">
      <c r="F362" s="52"/>
      <c r="G362" s="53"/>
      <c r="H362" s="52"/>
      <c r="I362" s="60"/>
      <c r="J362" s="52"/>
      <c r="K362" s="60"/>
      <c r="L362" s="60"/>
      <c r="M362" s="60" t="str">
        <f t="shared" si="56"/>
        <v/>
      </c>
      <c r="N362" s="60" t="s">
        <v>504</v>
      </c>
      <c r="O362" s="60" t="str">
        <f t="shared" si="53"/>
        <v/>
      </c>
      <c r="P362" s="60"/>
      <c r="Q362" s="61" t="str">
        <f t="shared" si="54"/>
        <v/>
      </c>
      <c r="R362" s="61"/>
      <c r="S362" s="61" t="str">
        <f t="shared" si="55"/>
        <v/>
      </c>
      <c r="T362" s="61"/>
    </row>
    <row r="363" spans="6:20" ht="12" customHeight="1" x14ac:dyDescent="0.25">
      <c r="F363" s="54"/>
      <c r="G363" s="54">
        <v>2</v>
      </c>
      <c r="H363" s="54" t="s">
        <v>1141</v>
      </c>
      <c r="I363" s="62" t="s">
        <v>1144</v>
      </c>
      <c r="J363" s="54">
        <v>6</v>
      </c>
      <c r="K363" s="62" t="str">
        <f t="shared" si="52"/>
        <v>Luis Alfredo Suárez Vivar</v>
      </c>
      <c r="L363" s="323" t="s">
        <v>519</v>
      </c>
      <c r="M363" s="60" t="str">
        <f t="shared" si="56"/>
        <v xml:space="preserve">, </v>
      </c>
      <c r="N363" s="250"/>
      <c r="O363" s="62" t="str">
        <f t="shared" si="53"/>
        <v/>
      </c>
      <c r="P363" s="62"/>
      <c r="Q363" s="70" t="str">
        <f t="shared" si="54"/>
        <v/>
      </c>
      <c r="R363" s="70"/>
      <c r="S363" s="70" t="str">
        <f t="shared" si="55"/>
        <v/>
      </c>
      <c r="T363" s="70"/>
    </row>
    <row r="364" spans="6:20" ht="12" customHeight="1" x14ac:dyDescent="0.25">
      <c r="F364" s="54"/>
      <c r="G364" s="54">
        <v>2</v>
      </c>
      <c r="H364" s="54" t="s">
        <v>1142</v>
      </c>
      <c r="I364" s="62" t="s">
        <v>1145</v>
      </c>
      <c r="J364" s="54">
        <v>6</v>
      </c>
      <c r="K364" s="62" t="str">
        <f t="shared" si="52"/>
        <v>Miguel Angel Mariscal, Ricardo del Olmo</v>
      </c>
      <c r="L364" s="62" t="s">
        <v>503</v>
      </c>
      <c r="M364" s="62" t="str">
        <f t="shared" si="56"/>
        <v/>
      </c>
      <c r="N364" s="62" t="s">
        <v>746</v>
      </c>
      <c r="O364" s="62" t="str">
        <f t="shared" si="53"/>
        <v/>
      </c>
      <c r="P364" s="62"/>
      <c r="Q364" s="70" t="str">
        <f t="shared" si="54"/>
        <v/>
      </c>
      <c r="R364" s="70"/>
      <c r="S364" s="70" t="str">
        <f t="shared" si="55"/>
        <v/>
      </c>
      <c r="T364" s="70"/>
    </row>
    <row r="365" spans="6:20" ht="12" customHeight="1" x14ac:dyDescent="0.25">
      <c r="F365" s="54"/>
      <c r="G365" s="54">
        <v>2</v>
      </c>
      <c r="H365" s="54" t="s">
        <v>1143</v>
      </c>
      <c r="I365" s="62" t="s">
        <v>1146</v>
      </c>
      <c r="J365" s="54">
        <v>6</v>
      </c>
      <c r="K365" s="62" t="str">
        <f t="shared" si="52"/>
        <v>Fernando Aguilar Romero, Matalia Muñoz</v>
      </c>
      <c r="L365" s="323" t="s">
        <v>287</v>
      </c>
      <c r="M365" s="62" t="str">
        <f t="shared" si="56"/>
        <v xml:space="preserve">, </v>
      </c>
      <c r="N365" s="62" t="s">
        <v>1072</v>
      </c>
      <c r="O365" s="62" t="str">
        <f t="shared" si="53"/>
        <v/>
      </c>
      <c r="P365" s="62"/>
      <c r="Q365" s="70" t="str">
        <f t="shared" si="54"/>
        <v/>
      </c>
      <c r="R365" s="70"/>
      <c r="S365" s="70" t="str">
        <f t="shared" si="55"/>
        <v/>
      </c>
      <c r="T365" s="70"/>
    </row>
    <row r="366" spans="6:20" ht="12" customHeight="1" x14ac:dyDescent="0.25">
      <c r="F366" s="54"/>
      <c r="G366" s="54">
        <v>2</v>
      </c>
      <c r="H366" s="54"/>
      <c r="I366" s="62"/>
      <c r="J366" s="54"/>
      <c r="K366" s="62"/>
      <c r="L366" s="62"/>
      <c r="M366" s="62" t="str">
        <f t="shared" si="56"/>
        <v xml:space="preserve">, </v>
      </c>
      <c r="N366" s="62"/>
      <c r="O366" s="62" t="str">
        <f t="shared" si="53"/>
        <v/>
      </c>
      <c r="P366" s="62"/>
      <c r="Q366" s="70" t="str">
        <f t="shared" si="54"/>
        <v/>
      </c>
      <c r="R366" s="70"/>
      <c r="S366" s="70" t="str">
        <f t="shared" si="55"/>
        <v/>
      </c>
      <c r="T366" s="70"/>
    </row>
    <row r="367" spans="6:20" ht="12" customHeight="1" x14ac:dyDescent="0.25">
      <c r="F367" s="54"/>
      <c r="G367" s="54">
        <v>2</v>
      </c>
      <c r="H367" s="54"/>
      <c r="I367" s="62"/>
      <c r="J367" s="54"/>
      <c r="K367" s="62"/>
      <c r="L367" s="62"/>
      <c r="M367" s="62" t="str">
        <f t="shared" si="56"/>
        <v/>
      </c>
      <c r="N367" s="62"/>
      <c r="O367" s="62" t="str">
        <f t="shared" si="53"/>
        <v/>
      </c>
      <c r="P367" s="62"/>
      <c r="Q367" s="70" t="str">
        <f t="shared" si="54"/>
        <v/>
      </c>
      <c r="R367" s="70"/>
      <c r="S367" s="70" t="str">
        <f t="shared" si="55"/>
        <v/>
      </c>
      <c r="T367" s="70"/>
    </row>
    <row r="368" spans="6:20" ht="12" customHeight="1" x14ac:dyDescent="0.25">
      <c r="F368" s="52"/>
      <c r="G368" s="52"/>
      <c r="H368" s="52"/>
      <c r="I368" s="60"/>
      <c r="J368" s="52"/>
      <c r="K368" s="60"/>
      <c r="L368" s="60"/>
      <c r="M368" s="62" t="str">
        <f t="shared" si="56"/>
        <v/>
      </c>
      <c r="N368" s="60"/>
      <c r="O368" s="60" t="str">
        <f t="shared" si="53"/>
        <v/>
      </c>
      <c r="P368" s="60"/>
      <c r="Q368" s="61" t="str">
        <f t="shared" si="54"/>
        <v/>
      </c>
      <c r="R368" s="61"/>
      <c r="S368" s="61" t="str">
        <f t="shared" si="55"/>
        <v/>
      </c>
      <c r="T368" s="61"/>
    </row>
    <row r="369" spans="6:20" ht="12" customHeight="1" x14ac:dyDescent="0.25">
      <c r="F369" s="52"/>
      <c r="G369" s="52"/>
      <c r="H369" s="52"/>
      <c r="I369" s="60"/>
      <c r="J369" s="52"/>
      <c r="K369" s="60"/>
      <c r="L369" s="60"/>
      <c r="M369" s="60" t="str">
        <f t="shared" si="56"/>
        <v/>
      </c>
      <c r="N369" s="60" t="s">
        <v>823</v>
      </c>
      <c r="O369" s="60" t="str">
        <f t="shared" si="53"/>
        <v/>
      </c>
      <c r="P369" s="60"/>
      <c r="Q369" s="61" t="str">
        <f t="shared" si="54"/>
        <v/>
      </c>
      <c r="R369" s="61"/>
      <c r="S369" s="61" t="str">
        <f t="shared" si="55"/>
        <v/>
      </c>
      <c r="T369" s="61"/>
    </row>
    <row r="370" spans="6:20" ht="12" customHeight="1" x14ac:dyDescent="0.25">
      <c r="F370" s="52"/>
      <c r="G370" s="52"/>
      <c r="H370" s="52"/>
      <c r="I370" s="60"/>
      <c r="J370" s="52"/>
      <c r="K370" s="60"/>
      <c r="L370" s="60" t="s">
        <v>1065</v>
      </c>
      <c r="M370" s="60" t="str">
        <f t="shared" si="56"/>
        <v xml:space="preserve">, </v>
      </c>
      <c r="N370" s="60"/>
      <c r="O370" s="60" t="str">
        <f t="shared" si="53"/>
        <v/>
      </c>
      <c r="P370" s="60"/>
      <c r="Q370" s="61" t="str">
        <f t="shared" si="54"/>
        <v/>
      </c>
      <c r="R370" s="61"/>
      <c r="S370" s="61" t="str">
        <f t="shared" si="55"/>
        <v/>
      </c>
      <c r="T370" s="61"/>
    </row>
    <row r="371" spans="6:20" ht="12" customHeight="1" x14ac:dyDescent="0.25">
      <c r="F371" s="52"/>
      <c r="G371" s="52"/>
      <c r="H371" s="52"/>
      <c r="I371" s="60"/>
      <c r="J371" s="52"/>
      <c r="K371" s="60"/>
      <c r="L371" s="60" t="s">
        <v>511</v>
      </c>
      <c r="M371" s="60" t="str">
        <f t="shared" si="56"/>
        <v/>
      </c>
      <c r="N371" s="60" t="s">
        <v>652</v>
      </c>
      <c r="O371" s="60" t="str">
        <f t="shared" si="53"/>
        <v/>
      </c>
      <c r="P371" s="60"/>
      <c r="Q371" s="61" t="str">
        <f t="shared" si="54"/>
        <v/>
      </c>
      <c r="R371" s="61"/>
      <c r="S371" s="61" t="str">
        <f t="shared" si="55"/>
        <v/>
      </c>
      <c r="T371" s="61"/>
    </row>
    <row r="372" spans="6:20" ht="12" customHeight="1" x14ac:dyDescent="0.25">
      <c r="F372" s="52"/>
      <c r="G372" s="52"/>
      <c r="H372" s="52"/>
      <c r="I372" s="60"/>
      <c r="J372" s="52"/>
      <c r="K372" s="60"/>
      <c r="L372" s="60" t="s">
        <v>382</v>
      </c>
      <c r="M372" s="60" t="str">
        <f t="shared" si="56"/>
        <v xml:space="preserve">, </v>
      </c>
      <c r="N372" s="60"/>
      <c r="O372" s="60" t="str">
        <f t="shared" si="53"/>
        <v/>
      </c>
      <c r="P372" s="60"/>
      <c r="Q372" s="61" t="str">
        <f t="shared" si="54"/>
        <v/>
      </c>
      <c r="R372" s="61"/>
      <c r="S372" s="61" t="str">
        <f t="shared" si="55"/>
        <v/>
      </c>
      <c r="T372" s="61"/>
    </row>
    <row r="373" spans="6:20" ht="12" customHeight="1" x14ac:dyDescent="0.25">
      <c r="F373" s="52"/>
      <c r="G373" s="52"/>
      <c r="H373" s="52"/>
      <c r="I373" s="60"/>
      <c r="J373" s="52"/>
      <c r="K373" s="60"/>
      <c r="L373" s="60" t="s">
        <v>897</v>
      </c>
      <c r="M373" s="60" t="str">
        <f t="shared" si="56"/>
        <v/>
      </c>
      <c r="N373" s="60"/>
      <c r="O373" s="60" t="str">
        <f t="shared" si="53"/>
        <v/>
      </c>
      <c r="P373" s="60"/>
      <c r="Q373" s="61" t="str">
        <f t="shared" si="54"/>
        <v/>
      </c>
      <c r="R373" s="61"/>
      <c r="S373" s="61" t="str">
        <f t="shared" si="55"/>
        <v/>
      </c>
      <c r="T373" s="61"/>
    </row>
    <row r="374" spans="6:20" ht="12" customHeight="1" x14ac:dyDescent="0.25">
      <c r="F374" s="52"/>
      <c r="G374" s="52"/>
      <c r="H374" s="52"/>
      <c r="I374" s="60"/>
      <c r="J374" s="52"/>
      <c r="K374" s="60"/>
      <c r="L374" s="60" t="s">
        <v>898</v>
      </c>
      <c r="M374" s="60" t="str">
        <f t="shared" si="56"/>
        <v/>
      </c>
      <c r="N374" s="60"/>
      <c r="O374" s="60" t="str">
        <f t="shared" si="53"/>
        <v/>
      </c>
      <c r="P374" s="60"/>
      <c r="Q374" s="61" t="str">
        <f t="shared" si="54"/>
        <v/>
      </c>
      <c r="R374" s="61"/>
      <c r="S374" s="61" t="str">
        <f t="shared" si="55"/>
        <v/>
      </c>
      <c r="T374" s="61"/>
    </row>
    <row r="375" spans="6:20" ht="12" customHeight="1" x14ac:dyDescent="0.25">
      <c r="F375" s="52"/>
      <c r="G375" s="52"/>
      <c r="H375" s="52"/>
      <c r="I375" s="60"/>
      <c r="J375" s="52"/>
      <c r="K375" s="60"/>
      <c r="L375" s="60" t="s">
        <v>740</v>
      </c>
      <c r="M375" s="60" t="str">
        <f t="shared" si="56"/>
        <v/>
      </c>
      <c r="N375" s="60" t="s">
        <v>763</v>
      </c>
      <c r="O375" s="60"/>
      <c r="P375" s="60"/>
      <c r="Q375" s="61" t="str">
        <f t="shared" si="54"/>
        <v/>
      </c>
      <c r="R375" s="61"/>
      <c r="S375" s="61" t="str">
        <f t="shared" si="55"/>
        <v/>
      </c>
      <c r="T375" s="61"/>
    </row>
    <row r="376" spans="6:20" ht="12" customHeight="1" x14ac:dyDescent="0.25">
      <c r="F376" s="52"/>
      <c r="G376" s="52"/>
      <c r="H376" s="52"/>
      <c r="I376" s="60"/>
      <c r="J376" s="52"/>
      <c r="K376" s="60"/>
      <c r="L376" s="60"/>
      <c r="M376" s="60" t="s">
        <v>573</v>
      </c>
      <c r="N376" s="60"/>
      <c r="O376" s="60" t="str">
        <f>IF(P376&lt;&gt;"",", ","")</f>
        <v/>
      </c>
      <c r="P376" s="60"/>
      <c r="Q376" s="61" t="str">
        <f t="shared" si="54"/>
        <v/>
      </c>
      <c r="R376" s="61"/>
      <c r="S376" s="61" t="str">
        <f t="shared" si="55"/>
        <v/>
      </c>
      <c r="T376" s="61"/>
    </row>
    <row r="377" spans="6:20" ht="12" customHeight="1" x14ac:dyDescent="0.25">
      <c r="F377" s="52"/>
      <c r="G377" s="52"/>
      <c r="H377" s="52"/>
      <c r="I377" s="60"/>
      <c r="J377" s="52"/>
      <c r="K377" s="60"/>
      <c r="L377" s="60" t="s">
        <v>494</v>
      </c>
      <c r="M377" s="60" t="str">
        <f>IF(N376&lt;&gt;"",", ","")</f>
        <v/>
      </c>
      <c r="N377" s="60"/>
      <c r="O377" s="60" t="str">
        <f>IF(P377&lt;&gt;"",", ","")</f>
        <v/>
      </c>
      <c r="P377" s="60"/>
      <c r="Q377" s="61" t="str">
        <f t="shared" si="54"/>
        <v/>
      </c>
      <c r="R377" s="61"/>
      <c r="S377" s="61" t="str">
        <f t="shared" si="55"/>
        <v/>
      </c>
      <c r="T377" s="61"/>
    </row>
    <row r="378" spans="6:20" ht="12" customHeight="1" x14ac:dyDescent="0.25">
      <c r="F378" s="52"/>
      <c r="G378" s="52"/>
      <c r="H378" s="52"/>
      <c r="I378" s="60"/>
      <c r="J378" s="52"/>
      <c r="K378" s="60"/>
      <c r="L378" s="60" t="s">
        <v>1090</v>
      </c>
      <c r="M378" s="60" t="str">
        <f>IF(N377&lt;&gt;"",", ","")</f>
        <v/>
      </c>
      <c r="N378" s="60"/>
      <c r="O378" s="60" t="str">
        <f>IF(P378&lt;&gt;"",", ","")</f>
        <v/>
      </c>
      <c r="P378" s="60"/>
      <c r="Q378" s="61" t="str">
        <f t="shared" si="54"/>
        <v/>
      </c>
      <c r="R378" s="61"/>
      <c r="S378" s="61" t="str">
        <f t="shared" si="55"/>
        <v/>
      </c>
      <c r="T378" s="61"/>
    </row>
    <row r="379" spans="6:20" ht="12" customHeight="1" x14ac:dyDescent="0.25">
      <c r="F379" s="52"/>
      <c r="G379" s="52"/>
      <c r="H379" s="52"/>
      <c r="I379" s="60"/>
      <c r="J379" s="52"/>
      <c r="K379" s="60"/>
      <c r="L379" s="60" t="s">
        <v>1090</v>
      </c>
      <c r="M379" s="60" t="s">
        <v>573</v>
      </c>
      <c r="N379" s="263" t="s">
        <v>856</v>
      </c>
      <c r="O379" s="60" t="str">
        <f>IF(P379&lt;&gt;"",", ","")</f>
        <v/>
      </c>
      <c r="P379" s="60"/>
      <c r="Q379" s="61" t="str">
        <f t="shared" si="54"/>
        <v/>
      </c>
      <c r="R379" s="61"/>
      <c r="S379" s="61" t="str">
        <f t="shared" si="55"/>
        <v/>
      </c>
      <c r="T379" s="61"/>
    </row>
  </sheetData>
  <autoFilter ref="F1:R311" xr:uid="{00000000-0009-0000-0000-00000A000000}"/>
  <dataConsolidate>
    <dataRefs count="1">
      <dataRef ref="H252:H256" sheet="ASIGNATURAS"/>
    </dataRefs>
  </dataConsolidate>
  <phoneticPr fontId="0" type="noConversion"/>
  <pageMargins left="0.25" right="0.25" top="0.75" bottom="0.75" header="0.3" footer="0.3"/>
  <pageSetup paperSize="9" scale="11" orientation="portrait"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FC143"/>
  <sheetViews>
    <sheetView topLeftCell="A118" zoomScale="91" zoomScaleNormal="91" workbookViewId="0">
      <selection activeCell="A144" sqref="A144"/>
    </sheetView>
  </sheetViews>
  <sheetFormatPr baseColWidth="10" defaultRowHeight="13.2" x14ac:dyDescent="0.25"/>
  <cols>
    <col min="1" max="1" width="30.44140625" customWidth="1"/>
    <col min="2" max="2" width="18" customWidth="1"/>
    <col min="3" max="3" width="43.109375" customWidth="1"/>
    <col min="4" max="4" width="15.5546875" customWidth="1"/>
    <col min="5" max="5" width="23.44140625" bestFit="1" customWidth="1"/>
    <col min="7" max="7" width="54.6640625" customWidth="1"/>
  </cols>
  <sheetData>
    <row r="1" spans="1:7" ht="17.399999999999999" x14ac:dyDescent="0.3">
      <c r="A1" s="7" t="s">
        <v>0</v>
      </c>
      <c r="B1" s="7" t="s">
        <v>140</v>
      </c>
      <c r="C1" s="7" t="s">
        <v>182</v>
      </c>
      <c r="E1" s="7" t="s">
        <v>207</v>
      </c>
      <c r="G1" s="7" t="s">
        <v>239</v>
      </c>
    </row>
    <row r="2" spans="1:7" ht="21" x14ac:dyDescent="0.25">
      <c r="A2" s="5" t="s">
        <v>150</v>
      </c>
      <c r="B2" s="29" t="s">
        <v>579</v>
      </c>
      <c r="C2" t="s">
        <v>142</v>
      </c>
      <c r="E2" s="21" t="s">
        <v>10</v>
      </c>
      <c r="G2" s="27" t="s">
        <v>217</v>
      </c>
    </row>
    <row r="3" spans="1:7" x14ac:dyDescent="0.25">
      <c r="A3" s="5"/>
      <c r="B3" s="29" t="s">
        <v>580</v>
      </c>
      <c r="C3" s="20" t="s">
        <v>181</v>
      </c>
      <c r="E3" s="4" t="s">
        <v>1019</v>
      </c>
      <c r="G3" s="28" t="s">
        <v>240</v>
      </c>
    </row>
    <row r="4" spans="1:7" x14ac:dyDescent="0.25">
      <c r="A4" s="5" t="s">
        <v>151</v>
      </c>
      <c r="B4" s="29" t="s">
        <v>581</v>
      </c>
      <c r="C4" t="s">
        <v>534</v>
      </c>
      <c r="E4" s="4" t="s">
        <v>1020</v>
      </c>
      <c r="G4" s="26"/>
    </row>
    <row r="5" spans="1:7" ht="36" customHeight="1" x14ac:dyDescent="0.4">
      <c r="A5" s="5" t="s">
        <v>152</v>
      </c>
      <c r="B5" s="29" t="s">
        <v>582</v>
      </c>
      <c r="C5" s="76" t="s">
        <v>535</v>
      </c>
      <c r="E5" s="21" t="s">
        <v>7</v>
      </c>
      <c r="G5" s="8" t="s">
        <v>1224</v>
      </c>
    </row>
    <row r="6" spans="1:7" x14ac:dyDescent="0.25">
      <c r="A6" s="5" t="s">
        <v>153</v>
      </c>
      <c r="B6" s="29" t="s">
        <v>1185</v>
      </c>
      <c r="E6" s="21" t="s">
        <v>8</v>
      </c>
    </row>
    <row r="7" spans="1:7" x14ac:dyDescent="0.25">
      <c r="A7" s="5" t="s">
        <v>563</v>
      </c>
      <c r="B7" s="29" t="s">
        <v>583</v>
      </c>
      <c r="E7" s="21" t="s">
        <v>9</v>
      </c>
    </row>
    <row r="8" spans="1:7" x14ac:dyDescent="0.25">
      <c r="A8" s="5" t="s">
        <v>154</v>
      </c>
      <c r="B8" s="29" t="s">
        <v>584</v>
      </c>
      <c r="E8" s="6" t="s">
        <v>1131</v>
      </c>
    </row>
    <row r="9" spans="1:7" x14ac:dyDescent="0.25">
      <c r="A9" s="5" t="s">
        <v>155</v>
      </c>
      <c r="B9" s="29" t="s">
        <v>636</v>
      </c>
      <c r="E9" s="6" t="s">
        <v>187</v>
      </c>
    </row>
    <row r="10" spans="1:7" x14ac:dyDescent="0.25">
      <c r="A10" s="5" t="s">
        <v>156</v>
      </c>
      <c r="B10" s="30" t="s">
        <v>636</v>
      </c>
      <c r="E10" s="6" t="s">
        <v>186</v>
      </c>
    </row>
    <row r="11" spans="1:7" x14ac:dyDescent="0.25">
      <c r="A11" s="5" t="s">
        <v>157</v>
      </c>
      <c r="B11" s="21">
        <v>2</v>
      </c>
      <c r="E11" s="6" t="s">
        <v>188</v>
      </c>
    </row>
    <row r="12" spans="1:7" x14ac:dyDescent="0.25">
      <c r="A12" s="5" t="s">
        <v>158</v>
      </c>
      <c r="B12" s="21">
        <v>80</v>
      </c>
      <c r="E12" s="6" t="s">
        <v>189</v>
      </c>
    </row>
    <row r="13" spans="1:7" x14ac:dyDescent="0.25">
      <c r="A13" s="5" t="s">
        <v>159</v>
      </c>
      <c r="B13" s="281" t="s">
        <v>1254</v>
      </c>
      <c r="E13" s="6" t="s">
        <v>190</v>
      </c>
    </row>
    <row r="14" spans="1:7" x14ac:dyDescent="0.25">
      <c r="A14" s="5" t="s">
        <v>160</v>
      </c>
      <c r="B14" s="100" t="s">
        <v>579</v>
      </c>
      <c r="E14" s="6" t="s">
        <v>191</v>
      </c>
    </row>
    <row r="15" spans="1:7" x14ac:dyDescent="0.25">
      <c r="A15" s="5" t="s">
        <v>161</v>
      </c>
      <c r="B15" s="100" t="s">
        <v>580</v>
      </c>
      <c r="E15" s="460" t="s">
        <v>1021</v>
      </c>
    </row>
    <row r="16" spans="1:7" x14ac:dyDescent="0.25">
      <c r="A16" s="5" t="s">
        <v>162</v>
      </c>
      <c r="B16" s="100" t="s">
        <v>581</v>
      </c>
      <c r="E16" s="21"/>
    </row>
    <row r="17" spans="1:5" x14ac:dyDescent="0.25">
      <c r="A17" s="77" t="s">
        <v>832</v>
      </c>
      <c r="B17" s="100" t="s">
        <v>582</v>
      </c>
      <c r="E17" s="6" t="s">
        <v>833</v>
      </c>
    </row>
    <row r="18" spans="1:5" x14ac:dyDescent="0.25">
      <c r="A18" s="77" t="s">
        <v>1091</v>
      </c>
      <c r="B18" s="100" t="s">
        <v>666</v>
      </c>
      <c r="E18" s="6" t="s">
        <v>834</v>
      </c>
    </row>
    <row r="19" spans="1:5" x14ac:dyDescent="0.25">
      <c r="A19" s="77" t="s">
        <v>564</v>
      </c>
      <c r="B19" s="100" t="s">
        <v>583</v>
      </c>
      <c r="E19" s="6" t="s">
        <v>842</v>
      </c>
    </row>
    <row r="20" spans="1:5" x14ac:dyDescent="0.25">
      <c r="A20" s="77" t="s">
        <v>565</v>
      </c>
      <c r="B20" s="100" t="s">
        <v>584</v>
      </c>
      <c r="E20" s="6" t="s">
        <v>835</v>
      </c>
    </row>
    <row r="21" spans="1:5" x14ac:dyDescent="0.25">
      <c r="A21" s="77" t="s">
        <v>566</v>
      </c>
      <c r="B21" s="100" t="s">
        <v>665</v>
      </c>
      <c r="E21" s="6" t="s">
        <v>836</v>
      </c>
    </row>
    <row r="22" spans="1:5" x14ac:dyDescent="0.25">
      <c r="A22" s="77" t="s">
        <v>1285</v>
      </c>
      <c r="B22" s="100"/>
      <c r="E22" s="6" t="s">
        <v>841</v>
      </c>
    </row>
    <row r="23" spans="1:5" x14ac:dyDescent="0.25">
      <c r="A23" s="77" t="s">
        <v>567</v>
      </c>
      <c r="B23" s="100" t="s">
        <v>666</v>
      </c>
      <c r="E23" s="6" t="s">
        <v>845</v>
      </c>
    </row>
    <row r="24" spans="1:5" x14ac:dyDescent="0.25">
      <c r="A24" s="77" t="s">
        <v>571</v>
      </c>
      <c r="B24" s="100" t="s">
        <v>670</v>
      </c>
      <c r="E24" s="6" t="s">
        <v>837</v>
      </c>
    </row>
    <row r="25" spans="1:5" x14ac:dyDescent="0.25">
      <c r="A25" s="77" t="s">
        <v>572</v>
      </c>
      <c r="B25" s="281" t="s">
        <v>1081</v>
      </c>
      <c r="E25" s="6" t="s">
        <v>838</v>
      </c>
    </row>
    <row r="26" spans="1:5" x14ac:dyDescent="0.25">
      <c r="A26" s="77" t="s">
        <v>751</v>
      </c>
      <c r="B26" s="320" t="s">
        <v>773</v>
      </c>
      <c r="E26" s="6" t="s">
        <v>839</v>
      </c>
    </row>
    <row r="27" spans="1:5" x14ac:dyDescent="0.25">
      <c r="A27" s="77" t="s">
        <v>750</v>
      </c>
      <c r="E27" s="6" t="s">
        <v>843</v>
      </c>
    </row>
    <row r="28" spans="1:5" x14ac:dyDescent="0.25">
      <c r="A28" s="5" t="s">
        <v>752</v>
      </c>
      <c r="E28" s="6" t="s">
        <v>844</v>
      </c>
    </row>
    <row r="29" spans="1:5" x14ac:dyDescent="0.25">
      <c r="A29" s="5" t="s">
        <v>1285</v>
      </c>
      <c r="E29" s="6" t="s">
        <v>840</v>
      </c>
    </row>
    <row r="30" spans="1:5" x14ac:dyDescent="0.25">
      <c r="A30" s="5" t="s">
        <v>149</v>
      </c>
    </row>
    <row r="31" spans="1:5" x14ac:dyDescent="0.25">
      <c r="A31" s="5" t="s">
        <v>148</v>
      </c>
      <c r="E31" s="6" t="s">
        <v>621</v>
      </c>
    </row>
    <row r="32" spans="1:5" x14ac:dyDescent="0.25">
      <c r="A32" s="5" t="s">
        <v>1340</v>
      </c>
      <c r="E32" s="6" t="s">
        <v>622</v>
      </c>
    </row>
    <row r="33" spans="1:5" x14ac:dyDescent="0.25">
      <c r="A33" s="5" t="s">
        <v>1339</v>
      </c>
      <c r="E33" s="6" t="s">
        <v>623</v>
      </c>
    </row>
    <row r="34" spans="1:5" x14ac:dyDescent="0.25">
      <c r="A34" s="5" t="s">
        <v>1304</v>
      </c>
      <c r="E34" s="384" t="s">
        <v>806</v>
      </c>
    </row>
    <row r="35" spans="1:5" x14ac:dyDescent="0.25">
      <c r="A35" s="5" t="s">
        <v>1305</v>
      </c>
    </row>
    <row r="36" spans="1:5" x14ac:dyDescent="0.25">
      <c r="A36" s="5" t="s">
        <v>1306</v>
      </c>
    </row>
    <row r="37" spans="1:5" x14ac:dyDescent="0.25">
      <c r="A37" s="5" t="s">
        <v>1338</v>
      </c>
    </row>
    <row r="38" spans="1:5" x14ac:dyDescent="0.25">
      <c r="A38" s="5" t="s">
        <v>1307</v>
      </c>
    </row>
    <row r="39" spans="1:5" x14ac:dyDescent="0.25">
      <c r="A39" s="5" t="s">
        <v>147</v>
      </c>
    </row>
    <row r="40" spans="1:5" x14ac:dyDescent="0.25">
      <c r="A40" s="5" t="s">
        <v>1337</v>
      </c>
    </row>
    <row r="41" spans="1:5" x14ac:dyDescent="0.25">
      <c r="A41" s="5" t="s">
        <v>538</v>
      </c>
    </row>
    <row r="42" spans="1:5" x14ac:dyDescent="0.25">
      <c r="A42" s="5" t="s">
        <v>1336</v>
      </c>
    </row>
    <row r="43" spans="1:5" x14ac:dyDescent="0.25">
      <c r="A43" s="5"/>
    </row>
    <row r="44" spans="1:5" x14ac:dyDescent="0.25">
      <c r="A44" s="5" t="s">
        <v>1341</v>
      </c>
    </row>
    <row r="45" spans="1:5" x14ac:dyDescent="0.25">
      <c r="A45" s="5" t="s">
        <v>682</v>
      </c>
    </row>
    <row r="46" spans="1:5" x14ac:dyDescent="0.25">
      <c r="A46" s="5" t="s">
        <v>1286</v>
      </c>
    </row>
    <row r="47" spans="1:5" x14ac:dyDescent="0.25">
      <c r="A47" s="5" t="s">
        <v>1102</v>
      </c>
    </row>
    <row r="48" spans="1:5" x14ac:dyDescent="0.25">
      <c r="A48" s="5" t="s">
        <v>1103</v>
      </c>
    </row>
    <row r="49" spans="1:1" x14ac:dyDescent="0.25">
      <c r="A49" s="5" t="s">
        <v>1333</v>
      </c>
    </row>
    <row r="50" spans="1:1" x14ac:dyDescent="0.25">
      <c r="A50" s="5" t="s">
        <v>164</v>
      </c>
    </row>
    <row r="51" spans="1:1" x14ac:dyDescent="0.25">
      <c r="A51" s="5" t="s">
        <v>165</v>
      </c>
    </row>
    <row r="52" spans="1:1" x14ac:dyDescent="0.25">
      <c r="A52" s="5" t="s">
        <v>166</v>
      </c>
    </row>
    <row r="53" spans="1:1" x14ac:dyDescent="0.25">
      <c r="A53" s="5" t="s">
        <v>1287</v>
      </c>
    </row>
    <row r="54" spans="1:1" x14ac:dyDescent="0.25">
      <c r="A54" s="5" t="s">
        <v>1335</v>
      </c>
    </row>
    <row r="55" spans="1:1" x14ac:dyDescent="0.25">
      <c r="A55" s="5" t="s">
        <v>1334</v>
      </c>
    </row>
    <row r="56" spans="1:1" x14ac:dyDescent="0.25">
      <c r="A56" s="5" t="s">
        <v>577</v>
      </c>
    </row>
    <row r="57" spans="1:1" x14ac:dyDescent="0.25">
      <c r="A57" s="5" t="s">
        <v>683</v>
      </c>
    </row>
    <row r="58" spans="1:1" x14ac:dyDescent="0.25">
      <c r="A58" s="5" t="s">
        <v>667</v>
      </c>
    </row>
    <row r="59" spans="1:1" x14ac:dyDescent="0.25">
      <c r="A59" s="5" t="s">
        <v>1323</v>
      </c>
    </row>
    <row r="60" spans="1:1" x14ac:dyDescent="0.25">
      <c r="A60" s="5" t="s">
        <v>1324</v>
      </c>
    </row>
    <row r="61" spans="1:1" x14ac:dyDescent="0.25">
      <c r="A61" s="3" t="s">
        <v>486</v>
      </c>
    </row>
    <row r="62" spans="1:1" x14ac:dyDescent="0.25">
      <c r="A62" s="77" t="s">
        <v>630</v>
      </c>
    </row>
    <row r="63" spans="1:1" x14ac:dyDescent="0.25">
      <c r="A63" s="5" t="s">
        <v>487</v>
      </c>
    </row>
    <row r="64" spans="1:1" x14ac:dyDescent="0.25">
      <c r="A64" s="5" t="s">
        <v>1289</v>
      </c>
    </row>
    <row r="65" spans="1:16383" x14ac:dyDescent="0.25">
      <c r="A65" s="5" t="s">
        <v>1290</v>
      </c>
    </row>
    <row r="66" spans="1:16383" x14ac:dyDescent="0.25">
      <c r="A66" s="5" t="s">
        <v>1291</v>
      </c>
    </row>
    <row r="67" spans="1:16383" ht="12.75" customHeight="1" x14ac:dyDescent="0.25">
      <c r="A67" s="5" t="s">
        <v>1292</v>
      </c>
      <c r="B67" s="2936"/>
      <c r="C67" s="2936"/>
      <c r="D67" s="2936"/>
      <c r="F67" s="2936"/>
      <c r="G67" s="2936"/>
      <c r="H67" s="2936"/>
      <c r="I67" s="2936"/>
      <c r="J67" s="2936"/>
      <c r="K67" s="2936"/>
      <c r="L67" s="2936"/>
      <c r="M67" s="2936"/>
      <c r="N67" s="2936"/>
      <c r="O67" s="2936"/>
      <c r="P67" s="2936"/>
      <c r="Q67" s="2936"/>
      <c r="R67" s="2936"/>
      <c r="S67" s="2936"/>
      <c r="T67" s="2936"/>
      <c r="U67" s="2936"/>
      <c r="V67" s="2936"/>
      <c r="W67" s="2936"/>
      <c r="X67" s="2936"/>
      <c r="Y67" s="2936"/>
      <c r="Z67" s="2936"/>
      <c r="AA67" s="2936"/>
      <c r="AB67" s="2936"/>
      <c r="AC67" s="2936"/>
      <c r="AD67" s="2936"/>
      <c r="AE67" s="2936"/>
      <c r="AF67" s="2936"/>
      <c r="AG67" s="2936"/>
      <c r="AH67" s="2936"/>
      <c r="AI67" s="2936"/>
      <c r="AJ67" s="2936"/>
      <c r="AK67" s="2936"/>
      <c r="AL67" s="2936"/>
      <c r="AM67" s="2936"/>
      <c r="AN67" s="2936"/>
      <c r="AO67" s="2936"/>
      <c r="AP67" s="2936"/>
      <c r="AQ67" s="2936"/>
      <c r="AR67" s="2936"/>
      <c r="AS67" s="2936"/>
      <c r="AT67" s="2936"/>
      <c r="AU67" s="2936"/>
      <c r="AV67" s="2936"/>
      <c r="AW67" s="2936"/>
      <c r="AX67" s="2936"/>
      <c r="AY67" s="2936"/>
      <c r="AZ67" s="2936"/>
      <c r="BA67" s="2936"/>
      <c r="BB67" s="2936"/>
      <c r="BC67" s="2936"/>
      <c r="BD67" s="2936"/>
      <c r="BE67" s="2936"/>
      <c r="BF67" s="2936"/>
      <c r="BG67" s="2936"/>
      <c r="BH67" s="2936"/>
      <c r="BI67" s="2936"/>
      <c r="BJ67" s="2936"/>
      <c r="BK67" s="2936"/>
      <c r="BL67" s="2936"/>
      <c r="BM67" s="2936"/>
      <c r="BN67" s="2936"/>
      <c r="BO67" s="2936"/>
      <c r="BP67" s="2936"/>
      <c r="BQ67" s="2936"/>
      <c r="BR67" s="2936"/>
      <c r="BS67" s="2936"/>
      <c r="BT67" s="2936"/>
      <c r="BU67" s="2936"/>
      <c r="BV67" s="2936"/>
      <c r="BW67" s="2936"/>
      <c r="BX67" s="2936"/>
      <c r="BY67" s="2936"/>
      <c r="BZ67" s="2936"/>
      <c r="CA67" s="2936"/>
      <c r="CB67" s="2936"/>
      <c r="CC67" s="2936"/>
      <c r="CD67" s="2936"/>
      <c r="CE67" s="2936"/>
      <c r="CF67" s="2936"/>
      <c r="CG67" s="2936"/>
      <c r="CH67" s="2936"/>
      <c r="CI67" s="2936"/>
      <c r="CJ67" s="2936"/>
      <c r="CK67" s="2936"/>
      <c r="CL67" s="2936"/>
      <c r="CM67" s="2936"/>
      <c r="CN67" s="2936"/>
      <c r="CO67" s="2936"/>
      <c r="CP67" s="2936"/>
      <c r="CQ67" s="2936"/>
      <c r="CR67" s="2936"/>
      <c r="CS67" s="2936"/>
      <c r="CT67" s="2936"/>
      <c r="CU67" s="2936"/>
      <c r="CV67" s="2936"/>
      <c r="CW67" s="2936"/>
      <c r="CX67" s="2936"/>
      <c r="CY67" s="2936"/>
      <c r="CZ67" s="2936"/>
      <c r="DA67" s="2936"/>
      <c r="DB67" s="2936"/>
      <c r="DC67" s="2936"/>
      <c r="DD67" s="2936"/>
      <c r="DE67" s="2936"/>
      <c r="DF67" s="2936"/>
      <c r="DG67" s="2936"/>
      <c r="DH67" s="2936"/>
      <c r="DI67" s="2936"/>
      <c r="DJ67" s="2936"/>
      <c r="DK67" s="2936"/>
      <c r="DL67" s="2936"/>
      <c r="DM67" s="2936"/>
      <c r="DN67" s="2936"/>
      <c r="DO67" s="2936"/>
      <c r="DP67" s="2936"/>
      <c r="DQ67" s="2936"/>
      <c r="DR67" s="2936"/>
      <c r="DS67" s="2936"/>
      <c r="DT67" s="2936"/>
      <c r="DU67" s="2936"/>
      <c r="DV67" s="2936"/>
      <c r="DW67" s="2936"/>
      <c r="DX67" s="2936"/>
      <c r="DY67" s="2936"/>
      <c r="DZ67" s="2936"/>
      <c r="EA67" s="2936"/>
      <c r="EB67" s="2936"/>
      <c r="EC67" s="2936"/>
      <c r="ED67" s="2936"/>
      <c r="EE67" s="2936"/>
      <c r="EF67" s="2936"/>
      <c r="EG67" s="2936"/>
      <c r="EH67" s="2936"/>
      <c r="EI67" s="2936"/>
      <c r="EJ67" s="2936"/>
      <c r="EK67" s="2936"/>
      <c r="EL67" s="2936"/>
      <c r="EM67" s="2936"/>
      <c r="EN67" s="2936"/>
      <c r="EO67" s="2936"/>
      <c r="EP67" s="2936"/>
      <c r="EQ67" s="2936"/>
      <c r="ER67" s="2936"/>
      <c r="ES67" s="2936"/>
      <c r="ET67" s="2936"/>
      <c r="EU67" s="2936"/>
      <c r="EV67" s="2936"/>
      <c r="EW67" s="2936"/>
      <c r="EX67" s="2936"/>
      <c r="EY67" s="2936"/>
      <c r="EZ67" s="2936"/>
      <c r="FA67" s="2936"/>
      <c r="FB67" s="2936"/>
      <c r="FC67" s="2936"/>
      <c r="FD67" s="2936"/>
      <c r="FE67" s="2936"/>
      <c r="FF67" s="2936"/>
      <c r="FG67" s="2936"/>
      <c r="FH67" s="2936"/>
      <c r="FI67" s="2936"/>
      <c r="FJ67" s="2936"/>
      <c r="FK67" s="2936"/>
      <c r="FL67" s="2936"/>
      <c r="FM67" s="2936"/>
      <c r="FN67" s="2936"/>
      <c r="FO67" s="2936"/>
      <c r="FP67" s="2936"/>
      <c r="FQ67" s="2936"/>
      <c r="FR67" s="2936"/>
      <c r="FS67" s="2936"/>
      <c r="FT67" s="2936"/>
      <c r="FU67" s="2936"/>
      <c r="FV67" s="2936"/>
      <c r="FW67" s="2936"/>
      <c r="FX67" s="2936"/>
      <c r="FY67" s="2936"/>
      <c r="FZ67" s="2936"/>
      <c r="GA67" s="2936"/>
      <c r="GB67" s="2936"/>
      <c r="GC67" s="2936"/>
      <c r="GD67" s="2936"/>
      <c r="GE67" s="2936"/>
      <c r="GF67" s="2936"/>
      <c r="GG67" s="2936"/>
      <c r="GH67" s="2936"/>
      <c r="GI67" s="2936"/>
      <c r="GJ67" s="2936"/>
      <c r="GK67" s="2936"/>
      <c r="GL67" s="2936"/>
      <c r="GM67" s="2936"/>
      <c r="GN67" s="2936"/>
      <c r="GO67" s="2936"/>
      <c r="GP67" s="2936"/>
      <c r="GQ67" s="2936"/>
      <c r="GR67" s="2936"/>
      <c r="GS67" s="2936"/>
      <c r="GT67" s="2936"/>
      <c r="GU67" s="2936"/>
      <c r="GV67" s="2936"/>
      <c r="GW67" s="2936"/>
      <c r="GX67" s="2936"/>
      <c r="GY67" s="2936"/>
      <c r="GZ67" s="2936"/>
      <c r="HA67" s="2936"/>
      <c r="HB67" s="2936"/>
      <c r="HC67" s="2936"/>
      <c r="HD67" s="2936"/>
      <c r="HE67" s="2936"/>
      <c r="HF67" s="2936"/>
      <c r="HG67" s="2936"/>
      <c r="HH67" s="2936"/>
      <c r="HI67" s="2936"/>
      <c r="HJ67" s="2936"/>
      <c r="HK67" s="2936"/>
      <c r="HL67" s="2936"/>
      <c r="HM67" s="2936"/>
      <c r="HN67" s="2936"/>
      <c r="HO67" s="2936"/>
      <c r="HP67" s="2936"/>
      <c r="HQ67" s="2936"/>
      <c r="HR67" s="2936"/>
      <c r="HS67" s="2936"/>
      <c r="HT67" s="2936"/>
      <c r="HU67" s="2936"/>
      <c r="HV67" s="2936"/>
      <c r="HW67" s="2936"/>
      <c r="HX67" s="2936"/>
      <c r="HY67" s="2936"/>
      <c r="HZ67" s="2936"/>
      <c r="IA67" s="2936"/>
      <c r="IB67" s="2936"/>
      <c r="IC67" s="2936"/>
      <c r="ID67" s="2936"/>
      <c r="IE67" s="2936"/>
      <c r="IF67" s="2936"/>
      <c r="IG67" s="2936"/>
      <c r="IH67" s="2936"/>
      <c r="II67" s="2936"/>
      <c r="IJ67" s="2936"/>
      <c r="IK67" s="2936"/>
      <c r="IL67" s="2936"/>
      <c r="IM67" s="2936"/>
      <c r="IN67" s="2936"/>
      <c r="IO67" s="2936"/>
      <c r="IP67" s="2936"/>
      <c r="IQ67" s="2936"/>
      <c r="IR67" s="2936"/>
      <c r="IS67" s="2936"/>
      <c r="IT67" s="2936"/>
      <c r="IU67" s="2936"/>
      <c r="IV67" s="2936"/>
      <c r="IW67" s="2936"/>
      <c r="IX67" s="2936"/>
      <c r="IY67" s="2936"/>
      <c r="IZ67" s="2936"/>
      <c r="JA67" s="2936"/>
      <c r="JB67" s="2936"/>
      <c r="JC67" s="2936"/>
      <c r="JD67" s="2936"/>
      <c r="JE67" s="2936"/>
      <c r="JF67" s="2936"/>
      <c r="JG67" s="2936"/>
      <c r="JH67" s="2936"/>
      <c r="JI67" s="2936"/>
      <c r="JJ67" s="2936"/>
      <c r="JK67" s="2936"/>
      <c r="JL67" s="2936"/>
      <c r="JM67" s="2936"/>
      <c r="JN67" s="2936"/>
      <c r="JO67" s="2936"/>
      <c r="JP67" s="2936"/>
      <c r="JQ67" s="2936"/>
      <c r="JR67" s="2936"/>
      <c r="JS67" s="2936"/>
      <c r="JT67" s="2936"/>
      <c r="JU67" s="2936"/>
      <c r="JV67" s="2936"/>
      <c r="JW67" s="2936"/>
      <c r="JX67" s="2936"/>
      <c r="JY67" s="2936"/>
      <c r="JZ67" s="2936"/>
      <c r="KA67" s="2936"/>
      <c r="KB67" s="2936"/>
      <c r="KC67" s="2936"/>
      <c r="KD67" s="2936"/>
      <c r="KE67" s="2936"/>
      <c r="KF67" s="2936"/>
      <c r="KG67" s="2936"/>
      <c r="KH67" s="2936"/>
      <c r="KI67" s="2936"/>
      <c r="KJ67" s="2936"/>
      <c r="KK67" s="2936"/>
      <c r="KL67" s="2936"/>
      <c r="KM67" s="2936"/>
      <c r="KN67" s="2936"/>
      <c r="KO67" s="2936"/>
      <c r="KP67" s="2936"/>
      <c r="KQ67" s="2936"/>
      <c r="KR67" s="2936"/>
      <c r="KS67" s="2936"/>
      <c r="KT67" s="2936"/>
      <c r="KU67" s="2936"/>
      <c r="KV67" s="2936"/>
      <c r="KW67" s="2936"/>
      <c r="KX67" s="2936"/>
      <c r="KY67" s="2936"/>
      <c r="KZ67" s="2936"/>
      <c r="LA67" s="2936"/>
      <c r="LB67" s="2936"/>
      <c r="LC67" s="2936"/>
      <c r="LD67" s="2936"/>
      <c r="LE67" s="2936"/>
      <c r="LF67" s="2936"/>
      <c r="LG67" s="2936"/>
      <c r="LH67" s="2936"/>
      <c r="LI67" s="2936"/>
      <c r="LJ67" s="2936"/>
      <c r="LK67" s="2936"/>
      <c r="LL67" s="2936"/>
      <c r="LM67" s="2936"/>
      <c r="LN67" s="2936"/>
      <c r="LO67" s="2936"/>
      <c r="LP67" s="2936"/>
      <c r="LQ67" s="2936"/>
      <c r="LR67" s="2936"/>
      <c r="LS67" s="2936"/>
      <c r="LT67" s="2936"/>
      <c r="LU67" s="2936"/>
      <c r="LV67" s="2936"/>
      <c r="LW67" s="2936"/>
      <c r="LX67" s="2936"/>
      <c r="LY67" s="2936"/>
      <c r="LZ67" s="2936"/>
      <c r="MA67" s="2936"/>
      <c r="MB67" s="2936"/>
      <c r="MC67" s="2936"/>
      <c r="MD67" s="2936"/>
      <c r="ME67" s="2936"/>
      <c r="MF67" s="2936"/>
      <c r="MG67" s="2936"/>
      <c r="MH67" s="2936"/>
      <c r="MI67" s="2936"/>
      <c r="MJ67" s="2936"/>
      <c r="MK67" s="2936"/>
      <c r="ML67" s="2936"/>
      <c r="MM67" s="2936"/>
      <c r="MN67" s="2936"/>
      <c r="MO67" s="2936"/>
      <c r="MP67" s="2936"/>
      <c r="MQ67" s="2936"/>
      <c r="MR67" s="2936"/>
      <c r="MS67" s="2936"/>
      <c r="MT67" s="2936"/>
      <c r="MU67" s="2936"/>
      <c r="MV67" s="2936"/>
      <c r="MW67" s="2936"/>
      <c r="MX67" s="2936"/>
      <c r="MY67" s="2936"/>
      <c r="MZ67" s="2936"/>
      <c r="NA67" s="2936"/>
      <c r="NB67" s="2936"/>
      <c r="NC67" s="2936"/>
      <c r="ND67" s="2936"/>
      <c r="NE67" s="2936"/>
      <c r="NF67" s="2936"/>
      <c r="NG67" s="2936"/>
      <c r="NH67" s="2936"/>
      <c r="NI67" s="2936"/>
      <c r="NJ67" s="2936"/>
      <c r="NK67" s="2936"/>
      <c r="NL67" s="2936"/>
      <c r="NM67" s="2936"/>
      <c r="NN67" s="2936"/>
      <c r="NO67" s="2936"/>
      <c r="NP67" s="2936"/>
      <c r="NQ67" s="2936"/>
      <c r="NR67" s="2936"/>
      <c r="NS67" s="2936"/>
      <c r="NT67" s="2936"/>
      <c r="NU67" s="2936"/>
      <c r="NV67" s="2936"/>
      <c r="NW67" s="2936"/>
      <c r="NX67" s="2936"/>
      <c r="NY67" s="2936"/>
      <c r="NZ67" s="2936"/>
      <c r="OA67" s="2936"/>
      <c r="OB67" s="2936"/>
      <c r="OC67" s="2936"/>
      <c r="OD67" s="2936"/>
      <c r="OE67" s="2936"/>
      <c r="OF67" s="2936"/>
      <c r="OG67" s="2936"/>
      <c r="OH67" s="2936"/>
      <c r="OI67" s="2936"/>
      <c r="OJ67" s="2936"/>
      <c r="OK67" s="2936"/>
      <c r="OL67" s="2936"/>
      <c r="OM67" s="2936"/>
      <c r="ON67" s="2936"/>
      <c r="OO67" s="2936"/>
      <c r="OP67" s="2936"/>
      <c r="OQ67" s="2936"/>
      <c r="OR67" s="2936"/>
      <c r="OS67" s="2936"/>
      <c r="OT67" s="2936"/>
      <c r="OU67" s="2936"/>
      <c r="OV67" s="2936"/>
      <c r="OW67" s="2936"/>
      <c r="OX67" s="2936"/>
      <c r="OY67" s="2936"/>
      <c r="OZ67" s="2936"/>
      <c r="PA67" s="2936"/>
      <c r="PB67" s="2936"/>
      <c r="PC67" s="2936"/>
      <c r="PD67" s="2936"/>
      <c r="PE67" s="2936"/>
      <c r="PF67" s="2936"/>
      <c r="PG67" s="2936"/>
      <c r="PH67" s="2936"/>
      <c r="PI67" s="2936"/>
      <c r="PJ67" s="2936"/>
      <c r="PK67" s="2936"/>
      <c r="PL67" s="2936"/>
      <c r="PM67" s="2936"/>
      <c r="PN67" s="2936"/>
      <c r="PO67" s="2936"/>
      <c r="PP67" s="2936"/>
      <c r="PQ67" s="2936"/>
      <c r="PR67" s="2936"/>
      <c r="PS67" s="2936"/>
      <c r="PT67" s="2936"/>
      <c r="PU67" s="2936"/>
      <c r="PV67" s="2936"/>
      <c r="PW67" s="2936"/>
      <c r="PX67" s="2936"/>
      <c r="PY67" s="2936"/>
      <c r="PZ67" s="2936"/>
      <c r="QA67" s="2936"/>
      <c r="QB67" s="2936"/>
      <c r="QC67" s="2936"/>
      <c r="QD67" s="2936"/>
      <c r="QE67" s="2936"/>
      <c r="QF67" s="2936"/>
      <c r="QG67" s="2936"/>
      <c r="QH67" s="2936"/>
      <c r="QI67" s="2936"/>
      <c r="QJ67" s="2936"/>
      <c r="QK67" s="2936"/>
      <c r="QL67" s="2936"/>
      <c r="QM67" s="2936"/>
      <c r="QN67" s="2936"/>
      <c r="QO67" s="2936"/>
      <c r="QP67" s="2936"/>
      <c r="QQ67" s="2936"/>
      <c r="QR67" s="2936"/>
      <c r="QS67" s="2936"/>
      <c r="QT67" s="2936"/>
      <c r="QU67" s="2936"/>
      <c r="QV67" s="2936"/>
      <c r="QW67" s="2936"/>
      <c r="QX67" s="2936"/>
      <c r="QY67" s="2936"/>
      <c r="QZ67" s="2936"/>
      <c r="RA67" s="2936"/>
      <c r="RB67" s="2936"/>
      <c r="RC67" s="2936"/>
      <c r="RD67" s="2936"/>
      <c r="RE67" s="2936"/>
      <c r="RF67" s="2936"/>
      <c r="RG67" s="2936"/>
      <c r="RH67" s="2936"/>
      <c r="RI67" s="2936"/>
      <c r="RJ67" s="2936"/>
      <c r="RK67" s="2936"/>
      <c r="RL67" s="2936"/>
      <c r="RM67" s="2936"/>
      <c r="RN67" s="2936"/>
      <c r="RO67" s="2936"/>
      <c r="RP67" s="2936"/>
      <c r="RQ67" s="2936"/>
      <c r="RR67" s="2936"/>
      <c r="RS67" s="2936"/>
      <c r="RT67" s="2936"/>
      <c r="RU67" s="2936"/>
      <c r="RV67" s="2936"/>
      <c r="RW67" s="2936"/>
      <c r="RX67" s="2936"/>
      <c r="RY67" s="2936"/>
      <c r="RZ67" s="2936"/>
      <c r="SA67" s="2936"/>
      <c r="SB67" s="2936"/>
      <c r="SC67" s="2936"/>
      <c r="SD67" s="2936"/>
      <c r="SE67" s="2936"/>
      <c r="SF67" s="2936"/>
      <c r="SG67" s="2936"/>
      <c r="SH67" s="2936"/>
      <c r="SI67" s="2936"/>
      <c r="SJ67" s="2936"/>
      <c r="SK67" s="2936"/>
      <c r="SL67" s="2936"/>
      <c r="SM67" s="2936"/>
      <c r="SN67" s="2936"/>
      <c r="SO67" s="2936"/>
      <c r="SP67" s="2936"/>
      <c r="SQ67" s="2936"/>
      <c r="SR67" s="2936"/>
      <c r="SS67" s="2936"/>
      <c r="ST67" s="2936"/>
      <c r="SU67" s="2936"/>
      <c r="SV67" s="2936"/>
      <c r="SW67" s="2936"/>
      <c r="SX67" s="2936"/>
      <c r="SY67" s="2936"/>
      <c r="SZ67" s="2936"/>
      <c r="TA67" s="2936"/>
      <c r="TB67" s="2936"/>
      <c r="TC67" s="2936"/>
      <c r="TD67" s="2936"/>
      <c r="TE67" s="2936"/>
      <c r="TF67" s="2936"/>
      <c r="TG67" s="2936"/>
      <c r="TH67" s="2936"/>
      <c r="TI67" s="2936"/>
      <c r="TJ67" s="2936"/>
      <c r="TK67" s="2936"/>
      <c r="TL67" s="2936"/>
      <c r="TM67" s="2936"/>
      <c r="TN67" s="2936"/>
      <c r="TO67" s="2936"/>
      <c r="TP67" s="2936"/>
      <c r="TQ67" s="2936"/>
      <c r="TR67" s="2936"/>
      <c r="TS67" s="2936"/>
      <c r="TT67" s="2936"/>
      <c r="TU67" s="2936"/>
      <c r="TV67" s="2936"/>
      <c r="TW67" s="2936"/>
      <c r="TX67" s="2936"/>
      <c r="TY67" s="2936"/>
      <c r="TZ67" s="2936"/>
      <c r="UA67" s="2936"/>
      <c r="UB67" s="2936"/>
      <c r="UC67" s="2936"/>
      <c r="UD67" s="2936"/>
      <c r="UE67" s="2936"/>
      <c r="UF67" s="2936"/>
      <c r="UG67" s="2936"/>
      <c r="UH67" s="2936"/>
      <c r="UI67" s="2936"/>
      <c r="UJ67" s="2936"/>
      <c r="UK67" s="2936"/>
      <c r="UL67" s="2936"/>
      <c r="UM67" s="2936"/>
      <c r="UN67" s="2936"/>
      <c r="UO67" s="2936"/>
      <c r="UP67" s="2936"/>
      <c r="UQ67" s="2936"/>
      <c r="UR67" s="2936"/>
      <c r="US67" s="2936"/>
      <c r="UT67" s="2936"/>
      <c r="UU67" s="2936"/>
      <c r="UV67" s="2936"/>
      <c r="UW67" s="2936"/>
      <c r="UX67" s="2936"/>
      <c r="UY67" s="2936"/>
      <c r="UZ67" s="2936"/>
      <c r="VA67" s="2936"/>
      <c r="VB67" s="2936"/>
      <c r="VC67" s="2936"/>
      <c r="VD67" s="2936"/>
      <c r="VE67" s="2936"/>
      <c r="VF67" s="2936"/>
      <c r="VG67" s="2936"/>
      <c r="VH67" s="2936"/>
      <c r="VI67" s="2936"/>
      <c r="VJ67" s="2936"/>
      <c r="VK67" s="2936"/>
      <c r="VL67" s="2936"/>
      <c r="VM67" s="2936"/>
      <c r="VN67" s="2936"/>
      <c r="VO67" s="2936"/>
      <c r="VP67" s="2936"/>
      <c r="VQ67" s="2936"/>
      <c r="VR67" s="2936"/>
      <c r="VS67" s="2936"/>
      <c r="VT67" s="2936"/>
      <c r="VU67" s="2936"/>
      <c r="VV67" s="2936"/>
      <c r="VW67" s="2936"/>
      <c r="VX67" s="2936"/>
      <c r="VY67" s="2936"/>
      <c r="VZ67" s="2936"/>
      <c r="WA67" s="2936"/>
      <c r="WB67" s="2936"/>
      <c r="WC67" s="2936"/>
      <c r="WD67" s="2936"/>
      <c r="WE67" s="2936"/>
      <c r="WF67" s="2936"/>
      <c r="WG67" s="2936"/>
      <c r="WH67" s="2936"/>
      <c r="WI67" s="2936"/>
      <c r="WJ67" s="2936"/>
      <c r="WK67" s="2936"/>
      <c r="WL67" s="2936"/>
      <c r="WM67" s="2936"/>
      <c r="WN67" s="2936"/>
      <c r="WO67" s="2936"/>
      <c r="WP67" s="2936"/>
      <c r="WQ67" s="2936"/>
      <c r="WR67" s="2936"/>
      <c r="WS67" s="2936"/>
      <c r="WT67" s="2936"/>
      <c r="WU67" s="2936"/>
      <c r="WV67" s="2936"/>
      <c r="WW67" s="2936"/>
      <c r="WX67" s="2936"/>
      <c r="WY67" s="2936"/>
      <c r="WZ67" s="2936"/>
      <c r="XA67" s="2936"/>
      <c r="XB67" s="2936"/>
      <c r="XC67" s="2936"/>
      <c r="XD67" s="2936"/>
      <c r="XE67" s="2936"/>
      <c r="XF67" s="2936"/>
      <c r="XG67" s="2936"/>
      <c r="XH67" s="2936"/>
      <c r="XI67" s="2936"/>
      <c r="XJ67" s="2936"/>
      <c r="XK67" s="2936"/>
      <c r="XL67" s="2936"/>
      <c r="XM67" s="2936"/>
      <c r="XN67" s="2936"/>
      <c r="XO67" s="2936"/>
      <c r="XP67" s="2936"/>
      <c r="XQ67" s="2936"/>
      <c r="XR67" s="2936"/>
      <c r="XS67" s="2936"/>
      <c r="XT67" s="2936"/>
      <c r="XU67" s="2936"/>
      <c r="XV67" s="2936"/>
      <c r="XW67" s="2936"/>
      <c r="XX67" s="2936"/>
      <c r="XY67" s="2936"/>
      <c r="XZ67" s="2936"/>
      <c r="YA67" s="2936"/>
      <c r="YB67" s="2936"/>
      <c r="YC67" s="2936"/>
      <c r="YD67" s="2936"/>
      <c r="YE67" s="2936"/>
      <c r="YF67" s="2936"/>
      <c r="YG67" s="2936"/>
      <c r="YH67" s="2936"/>
      <c r="YI67" s="2936"/>
      <c r="YJ67" s="2936"/>
      <c r="YK67" s="2936"/>
      <c r="YL67" s="2936"/>
      <c r="YM67" s="2936"/>
      <c r="YN67" s="2936"/>
      <c r="YO67" s="2936"/>
      <c r="YP67" s="2936"/>
      <c r="YQ67" s="2936"/>
      <c r="YR67" s="2936"/>
      <c r="YS67" s="2936"/>
      <c r="YT67" s="2936"/>
      <c r="YU67" s="2936"/>
      <c r="YV67" s="2936"/>
      <c r="YW67" s="2936"/>
      <c r="YX67" s="2936"/>
      <c r="YY67" s="2936"/>
      <c r="YZ67" s="2936"/>
      <c r="ZA67" s="2936"/>
      <c r="ZB67" s="2936"/>
      <c r="ZC67" s="2936"/>
      <c r="ZD67" s="2936"/>
      <c r="ZE67" s="2936"/>
      <c r="ZF67" s="2936"/>
      <c r="ZG67" s="2936"/>
      <c r="ZH67" s="2936"/>
      <c r="ZI67" s="2936"/>
      <c r="ZJ67" s="2936"/>
      <c r="ZK67" s="2936"/>
      <c r="ZL67" s="2936"/>
      <c r="ZM67" s="2936"/>
      <c r="ZN67" s="2936"/>
      <c r="ZO67" s="2936"/>
      <c r="ZP67" s="2936"/>
      <c r="ZQ67" s="2936"/>
      <c r="ZR67" s="2936"/>
      <c r="ZS67" s="2936"/>
      <c r="ZT67" s="2936"/>
      <c r="ZU67" s="2936"/>
      <c r="ZV67" s="2936"/>
      <c r="ZW67" s="2936"/>
      <c r="ZX67" s="2936"/>
      <c r="ZY67" s="2936"/>
      <c r="ZZ67" s="2936"/>
      <c r="AAA67" s="2936"/>
      <c r="AAB67" s="2936"/>
      <c r="AAC67" s="2936"/>
      <c r="AAD67" s="2936"/>
      <c r="AAE67" s="2936"/>
      <c r="AAF67" s="2936"/>
      <c r="AAG67" s="2936"/>
      <c r="AAH67" s="2936"/>
      <c r="AAI67" s="2936"/>
      <c r="AAJ67" s="2936"/>
      <c r="AAK67" s="2936"/>
      <c r="AAL67" s="2936"/>
      <c r="AAM67" s="2936"/>
      <c r="AAN67" s="2936"/>
      <c r="AAO67" s="2936"/>
      <c r="AAP67" s="2936"/>
      <c r="AAQ67" s="2936"/>
      <c r="AAR67" s="2936"/>
      <c r="AAS67" s="2936"/>
      <c r="AAT67" s="2936"/>
      <c r="AAU67" s="2936"/>
      <c r="AAV67" s="2936"/>
      <c r="AAW67" s="2936"/>
      <c r="AAX67" s="2936"/>
      <c r="AAY67" s="2936"/>
      <c r="AAZ67" s="2936"/>
      <c r="ABA67" s="2936"/>
      <c r="ABB67" s="2936"/>
      <c r="ABC67" s="2936"/>
      <c r="ABD67" s="2936"/>
      <c r="ABE67" s="2936"/>
      <c r="ABF67" s="2936"/>
      <c r="ABG67" s="2936"/>
      <c r="ABH67" s="2936"/>
      <c r="ABI67" s="2936"/>
      <c r="ABJ67" s="2936"/>
      <c r="ABK67" s="2936"/>
      <c r="ABL67" s="2936"/>
      <c r="ABM67" s="2936"/>
      <c r="ABN67" s="2936"/>
      <c r="ABO67" s="2936"/>
      <c r="ABP67" s="2936"/>
      <c r="ABQ67" s="2936"/>
      <c r="ABR67" s="2936"/>
      <c r="ABS67" s="2936"/>
      <c r="ABT67" s="2936"/>
      <c r="ABU67" s="2936"/>
      <c r="ABV67" s="2936"/>
      <c r="ABW67" s="2936"/>
      <c r="ABX67" s="2936"/>
      <c r="ABY67" s="2936"/>
      <c r="ABZ67" s="2936"/>
      <c r="ACA67" s="2936"/>
      <c r="ACB67" s="2936"/>
      <c r="ACC67" s="2936"/>
      <c r="ACD67" s="2936"/>
      <c r="ACE67" s="2936"/>
      <c r="ACF67" s="2936"/>
      <c r="ACG67" s="2936"/>
      <c r="ACH67" s="2936"/>
      <c r="ACI67" s="2936"/>
      <c r="ACJ67" s="2936"/>
      <c r="ACK67" s="2936"/>
      <c r="ACL67" s="2936"/>
      <c r="ACM67" s="2936"/>
      <c r="ACN67" s="2936"/>
      <c r="ACO67" s="2936"/>
      <c r="ACP67" s="2936"/>
      <c r="ACQ67" s="2936"/>
      <c r="ACR67" s="2936"/>
      <c r="ACS67" s="2936"/>
      <c r="ACT67" s="2936"/>
      <c r="ACU67" s="2936"/>
      <c r="ACV67" s="2936"/>
      <c r="ACW67" s="2936"/>
      <c r="ACX67" s="2936"/>
      <c r="ACY67" s="2936"/>
      <c r="ACZ67" s="2936"/>
      <c r="ADA67" s="2936"/>
      <c r="ADB67" s="2936"/>
      <c r="ADC67" s="2936"/>
      <c r="ADD67" s="2936"/>
      <c r="ADE67" s="2936"/>
      <c r="ADF67" s="2936"/>
      <c r="ADG67" s="2936"/>
      <c r="ADH67" s="2936"/>
      <c r="ADI67" s="2936"/>
      <c r="ADJ67" s="2936"/>
      <c r="ADK67" s="2936"/>
      <c r="ADL67" s="2936"/>
      <c r="ADM67" s="2936"/>
      <c r="ADN67" s="2936"/>
      <c r="ADO67" s="2936"/>
      <c r="ADP67" s="2936"/>
      <c r="ADQ67" s="2936"/>
      <c r="ADR67" s="2936"/>
      <c r="ADS67" s="2936"/>
      <c r="ADT67" s="2936"/>
      <c r="ADU67" s="2936"/>
      <c r="ADV67" s="2936"/>
      <c r="ADW67" s="2936"/>
      <c r="ADX67" s="2936"/>
      <c r="ADY67" s="2936"/>
      <c r="ADZ67" s="2936"/>
      <c r="AEA67" s="2936"/>
      <c r="AEB67" s="2936"/>
      <c r="AEC67" s="2936"/>
      <c r="AED67" s="2936"/>
      <c r="AEE67" s="2936"/>
      <c r="AEF67" s="2936"/>
      <c r="AEG67" s="2936"/>
      <c r="AEH67" s="2936"/>
      <c r="AEI67" s="2936"/>
      <c r="AEJ67" s="2936"/>
      <c r="AEK67" s="2936"/>
      <c r="AEL67" s="2936"/>
      <c r="AEM67" s="2936"/>
      <c r="AEN67" s="2936"/>
      <c r="AEO67" s="2936"/>
      <c r="AEP67" s="2936"/>
      <c r="AEQ67" s="2936"/>
      <c r="AER67" s="2936"/>
      <c r="AES67" s="2936"/>
      <c r="AET67" s="2936"/>
      <c r="AEU67" s="2936"/>
      <c r="AEV67" s="2936"/>
      <c r="AEW67" s="2936"/>
      <c r="AEX67" s="2936"/>
      <c r="AEY67" s="2936"/>
      <c r="AEZ67" s="2936"/>
      <c r="AFA67" s="2936"/>
      <c r="AFB67" s="2936"/>
      <c r="AFC67" s="2936"/>
      <c r="AFD67" s="2936"/>
      <c r="AFE67" s="2936"/>
      <c r="AFF67" s="2936"/>
      <c r="AFG67" s="2936"/>
      <c r="AFH67" s="2936"/>
      <c r="AFI67" s="2936"/>
      <c r="AFJ67" s="2936"/>
      <c r="AFK67" s="2936"/>
      <c r="AFL67" s="2936"/>
      <c r="AFM67" s="2936"/>
      <c r="AFN67" s="2936"/>
      <c r="AFO67" s="2936"/>
      <c r="AFP67" s="2936"/>
      <c r="AFQ67" s="2936"/>
      <c r="AFR67" s="2936"/>
      <c r="AFS67" s="2936"/>
      <c r="AFT67" s="2936"/>
      <c r="AFU67" s="2936"/>
      <c r="AFV67" s="2936"/>
      <c r="AFW67" s="2936"/>
      <c r="AFX67" s="2936"/>
      <c r="AFY67" s="2936"/>
      <c r="AFZ67" s="2936"/>
      <c r="AGA67" s="2936"/>
      <c r="AGB67" s="2936"/>
      <c r="AGC67" s="2936"/>
      <c r="AGD67" s="2936"/>
      <c r="AGE67" s="2936"/>
      <c r="AGF67" s="2936"/>
      <c r="AGG67" s="2936"/>
      <c r="AGH67" s="2936"/>
      <c r="AGI67" s="2936"/>
      <c r="AGJ67" s="2936"/>
      <c r="AGK67" s="2936"/>
      <c r="AGL67" s="2936"/>
      <c r="AGM67" s="2936"/>
      <c r="AGN67" s="2936"/>
      <c r="AGO67" s="2936"/>
      <c r="AGP67" s="2936"/>
      <c r="AGQ67" s="2936"/>
      <c r="AGR67" s="2936"/>
      <c r="AGS67" s="2936"/>
      <c r="AGT67" s="2936"/>
      <c r="AGU67" s="2936"/>
      <c r="AGV67" s="2936"/>
      <c r="AGW67" s="2936"/>
      <c r="AGX67" s="2936"/>
      <c r="AGY67" s="2936"/>
      <c r="AGZ67" s="2936"/>
      <c r="AHA67" s="2936"/>
      <c r="AHB67" s="2936"/>
      <c r="AHC67" s="2936"/>
      <c r="AHD67" s="2936"/>
      <c r="AHE67" s="2936"/>
      <c r="AHF67" s="2936"/>
      <c r="AHG67" s="2936"/>
      <c r="AHH67" s="2936"/>
      <c r="AHI67" s="2936"/>
      <c r="AHJ67" s="2936"/>
      <c r="AHK67" s="2936"/>
      <c r="AHL67" s="2936"/>
      <c r="AHM67" s="2936"/>
      <c r="AHN67" s="2936"/>
      <c r="AHO67" s="2936"/>
      <c r="AHP67" s="2936"/>
      <c r="AHQ67" s="2936"/>
      <c r="AHR67" s="2936"/>
      <c r="AHS67" s="2936"/>
      <c r="AHT67" s="2936"/>
      <c r="AHU67" s="2936"/>
      <c r="AHV67" s="2936"/>
      <c r="AHW67" s="2936"/>
      <c r="AHX67" s="2936"/>
      <c r="AHY67" s="2936"/>
      <c r="AHZ67" s="2936"/>
      <c r="AIA67" s="2936"/>
      <c r="AIB67" s="2936"/>
      <c r="AIC67" s="2936"/>
      <c r="AID67" s="2936"/>
      <c r="AIE67" s="2936"/>
      <c r="AIF67" s="2936"/>
      <c r="AIG67" s="2936"/>
      <c r="AIH67" s="2936"/>
      <c r="AII67" s="2936"/>
      <c r="AIJ67" s="2936"/>
      <c r="AIK67" s="2936"/>
      <c r="AIL67" s="2936"/>
      <c r="AIM67" s="2936"/>
      <c r="AIN67" s="2936"/>
      <c r="AIO67" s="2936"/>
      <c r="AIP67" s="2936"/>
      <c r="AIQ67" s="2936"/>
      <c r="AIR67" s="2936"/>
      <c r="AIS67" s="2936"/>
      <c r="AIT67" s="2936"/>
      <c r="AIU67" s="2936"/>
      <c r="AIV67" s="2936"/>
      <c r="AIW67" s="2936"/>
      <c r="AIX67" s="2936"/>
      <c r="AIY67" s="2936"/>
      <c r="AIZ67" s="2936"/>
      <c r="AJA67" s="2936"/>
      <c r="AJB67" s="2936"/>
      <c r="AJC67" s="2936"/>
      <c r="AJD67" s="2936"/>
      <c r="AJE67" s="2936"/>
      <c r="AJF67" s="2936"/>
      <c r="AJG67" s="2936"/>
      <c r="AJH67" s="2936"/>
      <c r="AJI67" s="2936"/>
      <c r="AJJ67" s="2936"/>
      <c r="AJK67" s="2936"/>
      <c r="AJL67" s="2936"/>
      <c r="AJM67" s="2936"/>
      <c r="AJN67" s="2936"/>
      <c r="AJO67" s="2936"/>
      <c r="AJP67" s="2936"/>
      <c r="AJQ67" s="2936"/>
      <c r="AJR67" s="2936"/>
      <c r="AJS67" s="2936"/>
      <c r="AJT67" s="2936"/>
      <c r="AJU67" s="2936"/>
      <c r="AJV67" s="2936"/>
      <c r="AJW67" s="2936"/>
      <c r="AJX67" s="2936"/>
      <c r="AJY67" s="2936"/>
      <c r="AJZ67" s="2936"/>
      <c r="AKA67" s="2936"/>
      <c r="AKB67" s="2936"/>
      <c r="AKC67" s="2936"/>
      <c r="AKD67" s="2936"/>
      <c r="AKE67" s="2936"/>
      <c r="AKF67" s="2936"/>
      <c r="AKG67" s="2936"/>
      <c r="AKH67" s="2936"/>
      <c r="AKI67" s="2936"/>
      <c r="AKJ67" s="2936"/>
      <c r="AKK67" s="2936"/>
      <c r="AKL67" s="2936"/>
      <c r="AKM67" s="2936"/>
      <c r="AKN67" s="2936"/>
      <c r="AKO67" s="2936"/>
      <c r="AKP67" s="2936"/>
      <c r="AKQ67" s="2936"/>
      <c r="AKR67" s="2936"/>
      <c r="AKS67" s="2936"/>
      <c r="AKT67" s="2936"/>
      <c r="AKU67" s="2936"/>
      <c r="AKV67" s="2936"/>
      <c r="AKW67" s="2936"/>
      <c r="AKX67" s="2936"/>
      <c r="AKY67" s="2936"/>
      <c r="AKZ67" s="2936"/>
      <c r="ALA67" s="2936"/>
      <c r="ALB67" s="2936"/>
      <c r="ALC67" s="2936"/>
      <c r="ALD67" s="2936"/>
      <c r="ALE67" s="2936"/>
      <c r="ALF67" s="2936"/>
      <c r="ALG67" s="2936"/>
      <c r="ALH67" s="2936"/>
      <c r="ALI67" s="2936"/>
      <c r="ALJ67" s="2936"/>
      <c r="ALK67" s="2936"/>
      <c r="ALL67" s="2936"/>
      <c r="ALM67" s="2936"/>
      <c r="ALN67" s="2936"/>
      <c r="ALO67" s="2936"/>
      <c r="ALP67" s="2936"/>
      <c r="ALQ67" s="2936"/>
      <c r="ALR67" s="2936"/>
      <c r="ALS67" s="2936"/>
      <c r="ALT67" s="2936"/>
      <c r="ALU67" s="2936"/>
      <c r="ALV67" s="2936"/>
      <c r="ALW67" s="2936"/>
      <c r="ALX67" s="2936"/>
      <c r="ALY67" s="2936"/>
      <c r="ALZ67" s="2936"/>
      <c r="AMA67" s="2936"/>
      <c r="AMB67" s="2936"/>
      <c r="AMC67" s="2936"/>
      <c r="AMD67" s="2936"/>
      <c r="AME67" s="2936"/>
      <c r="AMF67" s="2936"/>
      <c r="AMG67" s="2936"/>
      <c r="AMH67" s="2936"/>
      <c r="AMI67" s="2936"/>
      <c r="AMJ67" s="2936"/>
      <c r="AMK67" s="2936"/>
      <c r="AML67" s="2936"/>
      <c r="AMM67" s="2936"/>
      <c r="AMN67" s="2936"/>
      <c r="AMO67" s="2936"/>
      <c r="AMP67" s="2936"/>
      <c r="AMQ67" s="2936"/>
      <c r="AMR67" s="2936"/>
      <c r="AMS67" s="2936"/>
      <c r="AMT67" s="2936"/>
      <c r="AMU67" s="2936"/>
      <c r="AMV67" s="2936"/>
      <c r="AMW67" s="2936"/>
      <c r="AMX67" s="2936"/>
      <c r="AMY67" s="2936"/>
      <c r="AMZ67" s="2936"/>
      <c r="ANA67" s="2936"/>
      <c r="ANB67" s="2936"/>
      <c r="ANC67" s="2936"/>
      <c r="AND67" s="2936"/>
      <c r="ANE67" s="2936"/>
      <c r="ANF67" s="2936"/>
      <c r="ANG67" s="2936"/>
      <c r="ANH67" s="2936"/>
      <c r="ANI67" s="2936"/>
      <c r="ANJ67" s="2936"/>
      <c r="ANK67" s="2936"/>
      <c r="ANL67" s="2936"/>
      <c r="ANM67" s="2936"/>
      <c r="ANN67" s="2936"/>
      <c r="ANO67" s="2936"/>
      <c r="ANP67" s="2936"/>
      <c r="ANQ67" s="2936"/>
      <c r="ANR67" s="2936"/>
      <c r="ANS67" s="2936"/>
      <c r="ANT67" s="2936"/>
      <c r="ANU67" s="2936"/>
      <c r="ANV67" s="2936"/>
      <c r="ANW67" s="2936"/>
      <c r="ANX67" s="2936"/>
      <c r="ANY67" s="2936"/>
      <c r="ANZ67" s="2936"/>
      <c r="AOA67" s="2936"/>
      <c r="AOB67" s="2936"/>
      <c r="AOC67" s="2936"/>
      <c r="AOD67" s="2936"/>
      <c r="AOE67" s="2936"/>
      <c r="AOF67" s="2936"/>
      <c r="AOG67" s="2936"/>
      <c r="AOH67" s="2936"/>
      <c r="AOI67" s="2936"/>
      <c r="AOJ67" s="2936"/>
      <c r="AOK67" s="2936"/>
      <c r="AOL67" s="2936"/>
      <c r="AOM67" s="2936"/>
      <c r="AON67" s="2936"/>
      <c r="AOO67" s="2936"/>
      <c r="AOP67" s="2936"/>
      <c r="AOQ67" s="2936"/>
      <c r="AOR67" s="2936"/>
      <c r="AOS67" s="2936"/>
      <c r="AOT67" s="2936"/>
      <c r="AOU67" s="2936"/>
      <c r="AOV67" s="2936"/>
      <c r="AOW67" s="2936"/>
      <c r="AOX67" s="2936"/>
      <c r="AOY67" s="2936"/>
      <c r="AOZ67" s="2936"/>
      <c r="APA67" s="2936"/>
      <c r="APB67" s="2936"/>
      <c r="APC67" s="2936"/>
      <c r="APD67" s="2936"/>
      <c r="APE67" s="2936"/>
      <c r="APF67" s="2936"/>
      <c r="APG67" s="2936"/>
      <c r="APH67" s="2936"/>
      <c r="API67" s="2936"/>
      <c r="APJ67" s="2936"/>
      <c r="APK67" s="2936"/>
      <c r="APL67" s="2936"/>
      <c r="APM67" s="2936"/>
      <c r="APN67" s="2936"/>
      <c r="APO67" s="2936"/>
      <c r="APP67" s="2936"/>
      <c r="APQ67" s="2936"/>
      <c r="APR67" s="2936"/>
      <c r="APS67" s="2936"/>
      <c r="APT67" s="2936"/>
      <c r="APU67" s="2936"/>
      <c r="APV67" s="2936"/>
      <c r="APW67" s="2936"/>
      <c r="APX67" s="2936"/>
      <c r="APY67" s="2936"/>
      <c r="APZ67" s="2936"/>
      <c r="AQA67" s="2936"/>
      <c r="AQB67" s="2936"/>
      <c r="AQC67" s="2936"/>
      <c r="AQD67" s="2936"/>
      <c r="AQE67" s="2936"/>
      <c r="AQF67" s="2936"/>
      <c r="AQG67" s="2936"/>
      <c r="AQH67" s="2936"/>
      <c r="AQI67" s="2936"/>
      <c r="AQJ67" s="2936"/>
      <c r="AQK67" s="2936"/>
      <c r="AQL67" s="2936"/>
      <c r="AQM67" s="2936"/>
      <c r="AQN67" s="2936"/>
      <c r="AQO67" s="2936"/>
      <c r="AQP67" s="2936"/>
      <c r="AQQ67" s="2936"/>
      <c r="AQR67" s="2936"/>
      <c r="AQS67" s="2936"/>
      <c r="AQT67" s="2936"/>
      <c r="AQU67" s="2936"/>
      <c r="AQV67" s="2936"/>
      <c r="AQW67" s="2936"/>
      <c r="AQX67" s="2936"/>
      <c r="AQY67" s="2936"/>
      <c r="AQZ67" s="2936"/>
      <c r="ARA67" s="2936"/>
      <c r="ARB67" s="2936"/>
      <c r="ARC67" s="2936"/>
      <c r="ARD67" s="2936"/>
      <c r="ARE67" s="2936"/>
      <c r="ARF67" s="2936"/>
      <c r="ARG67" s="2936"/>
      <c r="ARH67" s="2936"/>
      <c r="ARI67" s="2936"/>
      <c r="ARJ67" s="2936"/>
      <c r="ARK67" s="2936"/>
      <c r="ARL67" s="2936"/>
      <c r="ARM67" s="2936"/>
      <c r="ARN67" s="2936"/>
      <c r="ARO67" s="2936"/>
      <c r="ARP67" s="2936"/>
      <c r="ARQ67" s="2936"/>
      <c r="ARR67" s="2936"/>
      <c r="ARS67" s="2936"/>
      <c r="ART67" s="2936"/>
      <c r="ARU67" s="2936"/>
      <c r="ARV67" s="2936"/>
      <c r="ARW67" s="2936"/>
      <c r="ARX67" s="2936"/>
      <c r="ARY67" s="2936"/>
      <c r="ARZ67" s="2936"/>
      <c r="ASA67" s="2936"/>
      <c r="ASB67" s="2936"/>
      <c r="ASC67" s="2936"/>
      <c r="ASD67" s="2936"/>
      <c r="ASE67" s="2936"/>
      <c r="ASF67" s="2936"/>
      <c r="ASG67" s="2936"/>
      <c r="ASH67" s="2936"/>
      <c r="ASI67" s="2936"/>
      <c r="ASJ67" s="2936"/>
      <c r="ASK67" s="2936"/>
      <c r="ASL67" s="2936"/>
      <c r="ASM67" s="2936"/>
      <c r="ASN67" s="2936"/>
      <c r="ASO67" s="2936"/>
      <c r="ASP67" s="2936"/>
      <c r="ASQ67" s="2936"/>
      <c r="ASR67" s="2936"/>
      <c r="ASS67" s="2936"/>
      <c r="AST67" s="2936"/>
      <c r="ASU67" s="2936"/>
      <c r="ASV67" s="2936"/>
      <c r="ASW67" s="2936"/>
      <c r="ASX67" s="2936"/>
      <c r="ASY67" s="2936"/>
      <c r="ASZ67" s="2936"/>
      <c r="ATA67" s="2936"/>
      <c r="ATB67" s="2936"/>
      <c r="ATC67" s="2936"/>
      <c r="ATD67" s="2936"/>
      <c r="ATE67" s="2936"/>
      <c r="ATF67" s="2936"/>
      <c r="ATG67" s="2936"/>
      <c r="ATH67" s="2936"/>
      <c r="ATI67" s="2936"/>
      <c r="ATJ67" s="2936"/>
      <c r="ATK67" s="2936"/>
      <c r="ATL67" s="2936"/>
      <c r="ATM67" s="2936"/>
      <c r="ATN67" s="2936"/>
      <c r="ATO67" s="2936"/>
      <c r="ATP67" s="2936"/>
      <c r="ATQ67" s="2936"/>
      <c r="ATR67" s="2936"/>
      <c r="ATS67" s="2936"/>
      <c r="ATT67" s="2936"/>
      <c r="ATU67" s="2936"/>
      <c r="ATV67" s="2936"/>
      <c r="ATW67" s="2936"/>
      <c r="ATX67" s="2936"/>
      <c r="ATY67" s="2936"/>
      <c r="ATZ67" s="2936"/>
      <c r="AUA67" s="2936"/>
      <c r="AUB67" s="2936"/>
      <c r="AUC67" s="2936"/>
      <c r="AUD67" s="2936"/>
      <c r="AUE67" s="2936"/>
      <c r="AUF67" s="2936"/>
      <c r="AUG67" s="2936"/>
      <c r="AUH67" s="2936"/>
      <c r="AUI67" s="2936"/>
      <c r="AUJ67" s="2936"/>
      <c r="AUK67" s="2936"/>
      <c r="AUL67" s="2936"/>
      <c r="AUM67" s="2936"/>
      <c r="AUN67" s="2936"/>
      <c r="AUO67" s="2936"/>
      <c r="AUP67" s="2936"/>
      <c r="AUQ67" s="2936"/>
      <c r="AUR67" s="2936"/>
      <c r="AUS67" s="2936"/>
      <c r="AUT67" s="2936"/>
      <c r="AUU67" s="2936"/>
      <c r="AUV67" s="2936"/>
      <c r="AUW67" s="2936"/>
      <c r="AUX67" s="2936"/>
      <c r="AUY67" s="2936"/>
      <c r="AUZ67" s="2936"/>
      <c r="AVA67" s="2936"/>
      <c r="AVB67" s="2936"/>
      <c r="AVC67" s="2936"/>
      <c r="AVD67" s="2936"/>
      <c r="AVE67" s="2936"/>
      <c r="AVF67" s="2936"/>
      <c r="AVG67" s="2936"/>
      <c r="AVH67" s="2936"/>
      <c r="AVI67" s="2936"/>
      <c r="AVJ67" s="2936"/>
      <c r="AVK67" s="2936"/>
      <c r="AVL67" s="2936"/>
      <c r="AVM67" s="2936"/>
      <c r="AVN67" s="2936"/>
      <c r="AVO67" s="2936"/>
      <c r="AVP67" s="2936"/>
      <c r="AVQ67" s="2936"/>
      <c r="AVR67" s="2936"/>
      <c r="AVS67" s="2936"/>
      <c r="AVT67" s="2936"/>
      <c r="AVU67" s="2936"/>
      <c r="AVV67" s="2936"/>
      <c r="AVW67" s="2936"/>
      <c r="AVX67" s="2936"/>
      <c r="AVY67" s="2936"/>
      <c r="AVZ67" s="2936"/>
      <c r="AWA67" s="2936"/>
      <c r="AWB67" s="2936"/>
      <c r="AWC67" s="2936"/>
      <c r="AWD67" s="2936"/>
      <c r="AWE67" s="2936"/>
      <c r="AWF67" s="2936"/>
      <c r="AWG67" s="2936"/>
      <c r="AWH67" s="2936"/>
      <c r="AWI67" s="2936"/>
      <c r="AWJ67" s="2936"/>
      <c r="AWK67" s="2936"/>
      <c r="AWL67" s="2936"/>
      <c r="AWM67" s="2936"/>
      <c r="AWN67" s="2936"/>
      <c r="AWO67" s="2936"/>
      <c r="AWP67" s="2936"/>
      <c r="AWQ67" s="2936"/>
      <c r="AWR67" s="2936"/>
      <c r="AWS67" s="2936"/>
      <c r="AWT67" s="2936"/>
      <c r="AWU67" s="2936"/>
      <c r="AWV67" s="2936"/>
      <c r="AWW67" s="2936"/>
      <c r="AWX67" s="2936"/>
      <c r="AWY67" s="2936"/>
      <c r="AWZ67" s="2936"/>
      <c r="AXA67" s="2936"/>
      <c r="AXB67" s="2936"/>
      <c r="AXC67" s="2936"/>
      <c r="AXD67" s="2936"/>
      <c r="AXE67" s="2936"/>
      <c r="AXF67" s="2936"/>
      <c r="AXG67" s="2936"/>
      <c r="AXH67" s="2936"/>
      <c r="AXI67" s="2936"/>
      <c r="AXJ67" s="2936"/>
      <c r="AXK67" s="2936"/>
      <c r="AXL67" s="2936"/>
      <c r="AXM67" s="2936"/>
      <c r="AXN67" s="2936"/>
      <c r="AXO67" s="2936"/>
      <c r="AXP67" s="2936"/>
      <c r="AXQ67" s="2936"/>
      <c r="AXR67" s="2936"/>
      <c r="AXS67" s="2936"/>
      <c r="AXT67" s="2936"/>
      <c r="AXU67" s="2936"/>
      <c r="AXV67" s="2936"/>
      <c r="AXW67" s="2936"/>
      <c r="AXX67" s="2936"/>
      <c r="AXY67" s="2936"/>
      <c r="AXZ67" s="2936"/>
      <c r="AYA67" s="2936"/>
      <c r="AYB67" s="2936"/>
      <c r="AYC67" s="2936"/>
      <c r="AYD67" s="2936"/>
      <c r="AYE67" s="2936"/>
      <c r="AYF67" s="2936"/>
      <c r="AYG67" s="2936"/>
      <c r="AYH67" s="2936"/>
      <c r="AYI67" s="2936"/>
      <c r="AYJ67" s="2936"/>
      <c r="AYK67" s="2936"/>
      <c r="AYL67" s="2936"/>
      <c r="AYM67" s="2936"/>
      <c r="AYN67" s="2936"/>
      <c r="AYO67" s="2936"/>
      <c r="AYP67" s="2936"/>
      <c r="AYQ67" s="2936"/>
      <c r="AYR67" s="2936"/>
      <c r="AYS67" s="2936"/>
      <c r="AYT67" s="2936"/>
      <c r="AYU67" s="2936"/>
      <c r="AYV67" s="2936"/>
      <c r="AYW67" s="2936"/>
      <c r="AYX67" s="2936"/>
      <c r="AYY67" s="2936"/>
      <c r="AYZ67" s="2936"/>
      <c r="AZA67" s="2936"/>
      <c r="AZB67" s="2936"/>
      <c r="AZC67" s="2936"/>
      <c r="AZD67" s="2936"/>
      <c r="AZE67" s="2936"/>
      <c r="AZF67" s="2936"/>
      <c r="AZG67" s="2936"/>
      <c r="AZH67" s="2936"/>
      <c r="AZI67" s="2936"/>
      <c r="AZJ67" s="2936"/>
      <c r="AZK67" s="2936"/>
      <c r="AZL67" s="2936"/>
      <c r="AZM67" s="2936"/>
      <c r="AZN67" s="2936"/>
      <c r="AZO67" s="2936"/>
      <c r="AZP67" s="2936"/>
      <c r="AZQ67" s="2936"/>
      <c r="AZR67" s="2936"/>
      <c r="AZS67" s="2936"/>
      <c r="AZT67" s="2936"/>
      <c r="AZU67" s="2936"/>
      <c r="AZV67" s="2936"/>
      <c r="AZW67" s="2936"/>
      <c r="AZX67" s="2936"/>
      <c r="AZY67" s="2936"/>
      <c r="AZZ67" s="2936"/>
      <c r="BAA67" s="2936"/>
      <c r="BAB67" s="2936"/>
      <c r="BAC67" s="2936"/>
      <c r="BAD67" s="2936"/>
      <c r="BAE67" s="2936"/>
      <c r="BAF67" s="2936"/>
      <c r="BAG67" s="2936"/>
      <c r="BAH67" s="2936"/>
      <c r="BAI67" s="2936"/>
      <c r="BAJ67" s="2936"/>
      <c r="BAK67" s="2936"/>
      <c r="BAL67" s="2936"/>
      <c r="BAM67" s="2936"/>
      <c r="BAN67" s="2936"/>
      <c r="BAO67" s="2936"/>
      <c r="BAP67" s="2936"/>
      <c r="BAQ67" s="2936"/>
      <c r="BAR67" s="2936"/>
      <c r="BAS67" s="2936"/>
      <c r="BAT67" s="2936"/>
      <c r="BAU67" s="2936"/>
      <c r="BAV67" s="2936"/>
      <c r="BAW67" s="2936"/>
      <c r="BAX67" s="2936"/>
      <c r="BAY67" s="2936"/>
      <c r="BAZ67" s="2936"/>
      <c r="BBA67" s="2936"/>
      <c r="BBB67" s="2936"/>
      <c r="BBC67" s="2936"/>
      <c r="BBD67" s="2936"/>
      <c r="BBE67" s="2936"/>
      <c r="BBF67" s="2936"/>
      <c r="BBG67" s="2936"/>
      <c r="BBH67" s="2936"/>
      <c r="BBI67" s="2936"/>
      <c r="BBJ67" s="2936"/>
      <c r="BBK67" s="2936"/>
      <c r="BBL67" s="2936"/>
      <c r="BBM67" s="2936"/>
      <c r="BBN67" s="2936"/>
      <c r="BBO67" s="2936"/>
      <c r="BBP67" s="2936"/>
      <c r="BBQ67" s="2936"/>
      <c r="BBR67" s="2936"/>
      <c r="BBS67" s="2936"/>
      <c r="BBT67" s="2936"/>
      <c r="BBU67" s="2936"/>
      <c r="BBV67" s="2936"/>
      <c r="BBW67" s="2936"/>
      <c r="BBX67" s="2936"/>
      <c r="BBY67" s="2936"/>
      <c r="BBZ67" s="2936"/>
      <c r="BCA67" s="2936"/>
      <c r="BCB67" s="2936"/>
      <c r="BCC67" s="2936"/>
      <c r="BCD67" s="2936"/>
      <c r="BCE67" s="2936"/>
      <c r="BCF67" s="2936"/>
      <c r="BCG67" s="2936"/>
      <c r="BCH67" s="2936"/>
      <c r="BCI67" s="2936"/>
      <c r="BCJ67" s="2936"/>
      <c r="BCK67" s="2936"/>
      <c r="BCL67" s="2936"/>
      <c r="BCM67" s="2936"/>
      <c r="BCN67" s="2936"/>
      <c r="BCO67" s="2936"/>
      <c r="BCP67" s="2936"/>
      <c r="BCQ67" s="2936"/>
      <c r="BCR67" s="2936"/>
      <c r="BCS67" s="2936"/>
      <c r="BCT67" s="2936"/>
      <c r="BCU67" s="2936"/>
      <c r="BCV67" s="2936"/>
      <c r="BCW67" s="2936"/>
      <c r="BCX67" s="2936"/>
      <c r="BCY67" s="2936"/>
      <c r="BCZ67" s="2936"/>
      <c r="BDA67" s="2936"/>
      <c r="BDB67" s="2936"/>
      <c r="BDC67" s="2936"/>
      <c r="BDD67" s="2936"/>
      <c r="BDE67" s="2936"/>
      <c r="BDF67" s="2936"/>
      <c r="BDG67" s="2936"/>
      <c r="BDH67" s="2936"/>
      <c r="BDI67" s="2936"/>
      <c r="BDJ67" s="2936"/>
      <c r="BDK67" s="2936"/>
      <c r="BDL67" s="2936"/>
      <c r="BDM67" s="2936"/>
      <c r="BDN67" s="2936"/>
      <c r="BDO67" s="2936"/>
      <c r="BDP67" s="2936"/>
      <c r="BDQ67" s="2936"/>
      <c r="BDR67" s="2936"/>
      <c r="BDS67" s="2936"/>
      <c r="BDT67" s="2936"/>
      <c r="BDU67" s="2936"/>
      <c r="BDV67" s="2936"/>
      <c r="BDW67" s="2936"/>
      <c r="BDX67" s="2936"/>
      <c r="BDY67" s="2936"/>
      <c r="BDZ67" s="2936"/>
      <c r="BEA67" s="2936"/>
      <c r="BEB67" s="2936"/>
      <c r="BEC67" s="2936"/>
      <c r="BED67" s="2936"/>
      <c r="BEE67" s="2936"/>
      <c r="BEF67" s="2936"/>
      <c r="BEG67" s="2936"/>
      <c r="BEH67" s="2936"/>
      <c r="BEI67" s="2936"/>
      <c r="BEJ67" s="2936"/>
      <c r="BEK67" s="2936"/>
      <c r="BEL67" s="2936"/>
      <c r="BEM67" s="2936"/>
      <c r="BEN67" s="2936"/>
      <c r="BEO67" s="2936"/>
      <c r="BEP67" s="2936"/>
      <c r="BEQ67" s="2936"/>
      <c r="BER67" s="2936"/>
      <c r="BES67" s="2936"/>
      <c r="BET67" s="2936"/>
      <c r="BEU67" s="2936"/>
      <c r="BEV67" s="2936"/>
      <c r="BEW67" s="2936"/>
      <c r="BEX67" s="2936"/>
      <c r="BEY67" s="2936"/>
      <c r="BEZ67" s="2936"/>
      <c r="BFA67" s="2936"/>
      <c r="BFB67" s="2936"/>
      <c r="BFC67" s="2936"/>
      <c r="BFD67" s="2936"/>
      <c r="BFE67" s="2936"/>
      <c r="BFF67" s="2936"/>
      <c r="BFG67" s="2936"/>
      <c r="BFH67" s="2936"/>
      <c r="BFI67" s="2936"/>
      <c r="BFJ67" s="2936"/>
      <c r="BFK67" s="2936"/>
      <c r="BFL67" s="2936"/>
      <c r="BFM67" s="2936"/>
      <c r="BFN67" s="2936"/>
      <c r="BFO67" s="2936"/>
      <c r="BFP67" s="2936"/>
      <c r="BFQ67" s="2936"/>
      <c r="BFR67" s="2936"/>
      <c r="BFS67" s="2936"/>
      <c r="BFT67" s="2936"/>
      <c r="BFU67" s="2936"/>
      <c r="BFV67" s="2936"/>
      <c r="BFW67" s="2936"/>
      <c r="BFX67" s="2936"/>
      <c r="BFY67" s="2936"/>
      <c r="BFZ67" s="2936"/>
      <c r="BGA67" s="2936"/>
      <c r="BGB67" s="2936"/>
      <c r="BGC67" s="2936"/>
      <c r="BGD67" s="2936"/>
      <c r="BGE67" s="2936"/>
      <c r="BGF67" s="2936"/>
      <c r="BGG67" s="2936"/>
      <c r="BGH67" s="2936"/>
      <c r="BGI67" s="2936"/>
      <c r="BGJ67" s="2936"/>
      <c r="BGK67" s="2936"/>
      <c r="BGL67" s="2936"/>
      <c r="BGM67" s="2936"/>
      <c r="BGN67" s="2936"/>
      <c r="BGO67" s="2936"/>
      <c r="BGP67" s="2936"/>
      <c r="BGQ67" s="2936"/>
      <c r="BGR67" s="2936"/>
      <c r="BGS67" s="2936"/>
      <c r="BGT67" s="2936"/>
      <c r="BGU67" s="2936"/>
      <c r="BGV67" s="2936"/>
      <c r="BGW67" s="2936"/>
      <c r="BGX67" s="2936"/>
      <c r="BGY67" s="2936"/>
      <c r="BGZ67" s="2936"/>
      <c r="BHA67" s="2936"/>
      <c r="BHB67" s="2936"/>
      <c r="BHC67" s="2936"/>
      <c r="BHD67" s="2936"/>
      <c r="BHE67" s="2936"/>
      <c r="BHF67" s="2936"/>
      <c r="BHG67" s="2936"/>
      <c r="BHH67" s="2936"/>
      <c r="BHI67" s="2936"/>
      <c r="BHJ67" s="2936"/>
      <c r="BHK67" s="2936"/>
      <c r="BHL67" s="2936"/>
      <c r="BHM67" s="2936"/>
      <c r="BHN67" s="2936"/>
      <c r="BHO67" s="2936"/>
      <c r="BHP67" s="2936"/>
      <c r="BHQ67" s="2936"/>
      <c r="BHR67" s="2936"/>
      <c r="BHS67" s="2936"/>
      <c r="BHT67" s="2936"/>
      <c r="BHU67" s="2936"/>
      <c r="BHV67" s="2936"/>
      <c r="BHW67" s="2936"/>
      <c r="BHX67" s="2936"/>
      <c r="BHY67" s="2936"/>
      <c r="BHZ67" s="2936"/>
      <c r="BIA67" s="2936"/>
      <c r="BIB67" s="2936"/>
      <c r="BIC67" s="2936"/>
      <c r="BID67" s="2936"/>
      <c r="BIE67" s="2936"/>
      <c r="BIF67" s="2936"/>
      <c r="BIG67" s="2936"/>
      <c r="BIH67" s="2936"/>
      <c r="BII67" s="2936"/>
      <c r="BIJ67" s="2936"/>
      <c r="BIK67" s="2936"/>
      <c r="BIL67" s="2936"/>
      <c r="BIM67" s="2936"/>
      <c r="BIN67" s="2936"/>
      <c r="BIO67" s="2936"/>
      <c r="BIP67" s="2936"/>
      <c r="BIQ67" s="2936"/>
      <c r="BIR67" s="2936"/>
      <c r="BIS67" s="2936"/>
      <c r="BIT67" s="2936"/>
      <c r="BIU67" s="2936"/>
      <c r="BIV67" s="2936"/>
      <c r="BIW67" s="2936"/>
      <c r="BIX67" s="2936"/>
      <c r="BIY67" s="2936"/>
      <c r="BIZ67" s="2936"/>
      <c r="BJA67" s="2936"/>
      <c r="BJB67" s="2936"/>
      <c r="BJC67" s="2936"/>
      <c r="BJD67" s="2936"/>
      <c r="BJE67" s="2936"/>
      <c r="BJF67" s="2936"/>
      <c r="BJG67" s="2936"/>
      <c r="BJH67" s="2936"/>
      <c r="BJI67" s="2936"/>
      <c r="BJJ67" s="2936"/>
      <c r="BJK67" s="2936"/>
      <c r="BJL67" s="2936"/>
      <c r="BJM67" s="2936"/>
      <c r="BJN67" s="2936"/>
      <c r="BJO67" s="2936"/>
      <c r="BJP67" s="2936"/>
      <c r="BJQ67" s="2936"/>
      <c r="BJR67" s="2936"/>
      <c r="BJS67" s="2936"/>
      <c r="BJT67" s="2936"/>
      <c r="BJU67" s="2936"/>
      <c r="BJV67" s="2936"/>
      <c r="BJW67" s="2936"/>
      <c r="BJX67" s="2936"/>
      <c r="BJY67" s="2936"/>
      <c r="BJZ67" s="2936"/>
      <c r="BKA67" s="2936"/>
      <c r="BKB67" s="2936"/>
      <c r="BKC67" s="2936"/>
      <c r="BKD67" s="2936"/>
      <c r="BKE67" s="2936"/>
      <c r="BKF67" s="2936"/>
      <c r="BKG67" s="2936"/>
      <c r="BKH67" s="2936"/>
      <c r="BKI67" s="2936"/>
      <c r="BKJ67" s="2936"/>
      <c r="BKK67" s="2936"/>
      <c r="BKL67" s="2936"/>
      <c r="BKM67" s="2936"/>
      <c r="BKN67" s="2936"/>
      <c r="BKO67" s="2936"/>
      <c r="BKP67" s="2936"/>
      <c r="BKQ67" s="2936"/>
      <c r="BKR67" s="2936"/>
      <c r="BKS67" s="2936"/>
      <c r="BKT67" s="2936"/>
      <c r="BKU67" s="2936"/>
      <c r="BKV67" s="2936"/>
      <c r="BKW67" s="2936"/>
      <c r="BKX67" s="2936"/>
      <c r="BKY67" s="2936"/>
      <c r="BKZ67" s="2936"/>
      <c r="BLA67" s="2936"/>
      <c r="BLB67" s="2936"/>
      <c r="BLC67" s="2936"/>
      <c r="BLD67" s="2936"/>
      <c r="BLE67" s="2936"/>
      <c r="BLF67" s="2936"/>
      <c r="BLG67" s="2936"/>
      <c r="BLH67" s="2936"/>
      <c r="BLI67" s="2936"/>
      <c r="BLJ67" s="2936"/>
      <c r="BLK67" s="2936"/>
      <c r="BLL67" s="2936"/>
      <c r="BLM67" s="2936"/>
      <c r="BLN67" s="2936"/>
      <c r="BLO67" s="2936"/>
      <c r="BLP67" s="2936"/>
      <c r="BLQ67" s="2936"/>
      <c r="BLR67" s="2936"/>
      <c r="BLS67" s="2936"/>
      <c r="BLT67" s="2936"/>
      <c r="BLU67" s="2936"/>
      <c r="BLV67" s="2936"/>
      <c r="BLW67" s="2936"/>
      <c r="BLX67" s="2936"/>
      <c r="BLY67" s="2936"/>
      <c r="BLZ67" s="2936"/>
      <c r="BMA67" s="2936"/>
      <c r="BMB67" s="2936"/>
      <c r="BMC67" s="2936"/>
      <c r="BMD67" s="2936"/>
      <c r="BME67" s="2936"/>
      <c r="BMF67" s="2936"/>
      <c r="BMG67" s="2936"/>
      <c r="BMH67" s="2936"/>
      <c r="BMI67" s="2936"/>
      <c r="BMJ67" s="2936"/>
      <c r="BMK67" s="2936"/>
      <c r="BML67" s="2936"/>
      <c r="BMM67" s="2936"/>
      <c r="BMN67" s="2936"/>
      <c r="BMO67" s="2936"/>
      <c r="BMP67" s="2936"/>
      <c r="BMQ67" s="2936"/>
      <c r="BMR67" s="2936"/>
      <c r="BMS67" s="2936"/>
      <c r="BMT67" s="2936"/>
      <c r="BMU67" s="2936"/>
      <c r="BMV67" s="2936"/>
      <c r="BMW67" s="2936"/>
      <c r="BMX67" s="2936"/>
      <c r="BMY67" s="2936"/>
      <c r="BMZ67" s="2936"/>
      <c r="BNA67" s="2936"/>
      <c r="BNB67" s="2936"/>
      <c r="BNC67" s="2936"/>
      <c r="BND67" s="2936"/>
      <c r="BNE67" s="2936"/>
      <c r="BNF67" s="2936"/>
      <c r="BNG67" s="2936"/>
      <c r="BNH67" s="2936"/>
      <c r="BNI67" s="2936"/>
      <c r="BNJ67" s="2936"/>
      <c r="BNK67" s="2936"/>
      <c r="BNL67" s="2936"/>
      <c r="BNM67" s="2936"/>
      <c r="BNN67" s="2936"/>
      <c r="BNO67" s="2936"/>
      <c r="BNP67" s="2936"/>
      <c r="BNQ67" s="2936"/>
      <c r="BNR67" s="2936"/>
      <c r="BNS67" s="2936"/>
      <c r="BNT67" s="2936"/>
      <c r="BNU67" s="2936"/>
      <c r="BNV67" s="2936"/>
      <c r="BNW67" s="2936"/>
      <c r="BNX67" s="2936"/>
      <c r="BNY67" s="2936"/>
      <c r="BNZ67" s="2936"/>
      <c r="BOA67" s="2936"/>
      <c r="BOB67" s="2936"/>
      <c r="BOC67" s="2936"/>
      <c r="BOD67" s="2936"/>
      <c r="BOE67" s="2936"/>
      <c r="BOF67" s="2936"/>
      <c r="BOG67" s="2936"/>
      <c r="BOH67" s="2936"/>
      <c r="BOI67" s="2936"/>
      <c r="BOJ67" s="2936"/>
      <c r="BOK67" s="2936"/>
      <c r="BOL67" s="2936"/>
      <c r="BOM67" s="2936"/>
      <c r="BON67" s="2936"/>
      <c r="BOO67" s="2936"/>
      <c r="BOP67" s="2936"/>
      <c r="BOQ67" s="2936"/>
      <c r="BOR67" s="2936"/>
      <c r="BOS67" s="2936"/>
      <c r="BOT67" s="2936"/>
      <c r="BOU67" s="2936"/>
      <c r="BOV67" s="2936"/>
      <c r="BOW67" s="2936"/>
      <c r="BOX67" s="2936"/>
      <c r="BOY67" s="2936"/>
      <c r="BOZ67" s="2936"/>
      <c r="BPA67" s="2936"/>
      <c r="BPB67" s="2936"/>
      <c r="BPC67" s="2936"/>
      <c r="BPD67" s="2936"/>
      <c r="BPE67" s="2936"/>
      <c r="BPF67" s="2936"/>
      <c r="BPG67" s="2936"/>
      <c r="BPH67" s="2936"/>
      <c r="BPI67" s="2936"/>
      <c r="BPJ67" s="2936"/>
      <c r="BPK67" s="2936"/>
      <c r="BPL67" s="2936"/>
      <c r="BPM67" s="2936"/>
      <c r="BPN67" s="2936"/>
      <c r="BPO67" s="2936"/>
      <c r="BPP67" s="2936"/>
      <c r="BPQ67" s="2936"/>
      <c r="BPR67" s="2936"/>
      <c r="BPS67" s="2936"/>
      <c r="BPT67" s="2936"/>
      <c r="BPU67" s="2936"/>
      <c r="BPV67" s="2936"/>
      <c r="BPW67" s="2936"/>
      <c r="BPX67" s="2936"/>
      <c r="BPY67" s="2936"/>
      <c r="BPZ67" s="2936"/>
      <c r="BQA67" s="2936"/>
      <c r="BQB67" s="2936"/>
      <c r="BQC67" s="2936"/>
      <c r="BQD67" s="2936"/>
      <c r="BQE67" s="2936"/>
      <c r="BQF67" s="2936"/>
      <c r="BQG67" s="2936"/>
      <c r="BQH67" s="2936"/>
      <c r="BQI67" s="2936"/>
      <c r="BQJ67" s="2936"/>
      <c r="BQK67" s="2936"/>
      <c r="BQL67" s="2936"/>
      <c r="BQM67" s="2936"/>
      <c r="BQN67" s="2936"/>
      <c r="BQO67" s="2936"/>
      <c r="BQP67" s="2936"/>
      <c r="BQQ67" s="2936"/>
      <c r="BQR67" s="2936"/>
      <c r="BQS67" s="2936"/>
      <c r="BQT67" s="2936"/>
      <c r="BQU67" s="2936"/>
      <c r="BQV67" s="2936"/>
      <c r="BQW67" s="2936"/>
      <c r="BQX67" s="2936"/>
      <c r="BQY67" s="2936"/>
      <c r="BQZ67" s="2936"/>
      <c r="BRA67" s="2936"/>
      <c r="BRB67" s="2936"/>
      <c r="BRC67" s="2936"/>
      <c r="BRD67" s="2936"/>
      <c r="BRE67" s="2936"/>
      <c r="BRF67" s="2936"/>
      <c r="BRG67" s="2936"/>
      <c r="BRH67" s="2936"/>
      <c r="BRI67" s="2936"/>
      <c r="BRJ67" s="2936"/>
      <c r="BRK67" s="2936"/>
      <c r="BRL67" s="2936"/>
      <c r="BRM67" s="2936"/>
      <c r="BRN67" s="2936"/>
      <c r="BRO67" s="2936"/>
      <c r="BRP67" s="2936"/>
      <c r="BRQ67" s="2936"/>
      <c r="BRR67" s="2936"/>
      <c r="BRS67" s="2936"/>
      <c r="BRT67" s="2936"/>
      <c r="BRU67" s="2936"/>
      <c r="BRV67" s="2936"/>
      <c r="BRW67" s="2936"/>
      <c r="BRX67" s="2936"/>
      <c r="BRY67" s="2936"/>
      <c r="BRZ67" s="2936"/>
      <c r="BSA67" s="2936"/>
      <c r="BSB67" s="2936"/>
      <c r="BSC67" s="2936"/>
      <c r="BSD67" s="2936"/>
      <c r="BSE67" s="2936"/>
      <c r="BSF67" s="2936"/>
      <c r="BSG67" s="2936"/>
      <c r="BSH67" s="2936"/>
      <c r="BSI67" s="2936"/>
      <c r="BSJ67" s="2936"/>
      <c r="BSK67" s="2936"/>
      <c r="BSL67" s="2936"/>
      <c r="BSM67" s="2936"/>
      <c r="BSN67" s="2936"/>
      <c r="BSO67" s="2936"/>
      <c r="BSP67" s="2936"/>
      <c r="BSQ67" s="2936"/>
      <c r="BSR67" s="2936"/>
      <c r="BSS67" s="2936"/>
      <c r="BST67" s="2936"/>
      <c r="BSU67" s="2936"/>
      <c r="BSV67" s="2936"/>
      <c r="BSW67" s="2936"/>
      <c r="BSX67" s="2936"/>
      <c r="BSY67" s="2936"/>
      <c r="BSZ67" s="2936"/>
      <c r="BTA67" s="2936"/>
      <c r="BTB67" s="2936"/>
      <c r="BTC67" s="2936"/>
      <c r="BTD67" s="2936"/>
      <c r="BTE67" s="2936"/>
      <c r="BTF67" s="2936"/>
      <c r="BTG67" s="2936"/>
      <c r="BTH67" s="2936"/>
      <c r="BTI67" s="2936"/>
      <c r="BTJ67" s="2936"/>
      <c r="BTK67" s="2936"/>
      <c r="BTL67" s="2936"/>
      <c r="BTM67" s="2936"/>
      <c r="BTN67" s="2936"/>
      <c r="BTO67" s="2936"/>
      <c r="BTP67" s="2936"/>
      <c r="BTQ67" s="2936"/>
      <c r="BTR67" s="2936"/>
      <c r="BTS67" s="2936"/>
      <c r="BTT67" s="2936"/>
      <c r="BTU67" s="2936"/>
      <c r="BTV67" s="2936"/>
      <c r="BTW67" s="2936"/>
      <c r="BTX67" s="2936"/>
      <c r="BTY67" s="2936"/>
      <c r="BTZ67" s="2936"/>
      <c r="BUA67" s="2936"/>
      <c r="BUB67" s="2936"/>
      <c r="BUC67" s="2936"/>
      <c r="BUD67" s="2936"/>
      <c r="BUE67" s="2936"/>
      <c r="BUF67" s="2936"/>
      <c r="BUG67" s="2936"/>
      <c r="BUH67" s="2936"/>
      <c r="BUI67" s="2936"/>
      <c r="BUJ67" s="2936"/>
      <c r="BUK67" s="2936"/>
      <c r="BUL67" s="2936"/>
      <c r="BUM67" s="2936"/>
      <c r="BUN67" s="2936"/>
      <c r="BUO67" s="2936"/>
      <c r="BUP67" s="2936"/>
      <c r="BUQ67" s="2936"/>
      <c r="BUR67" s="2936"/>
      <c r="BUS67" s="2936"/>
      <c r="BUT67" s="2936"/>
      <c r="BUU67" s="2936"/>
      <c r="BUV67" s="2936"/>
      <c r="BUW67" s="2936"/>
      <c r="BUX67" s="2936"/>
      <c r="BUY67" s="2936"/>
      <c r="BUZ67" s="2936"/>
      <c r="BVA67" s="2936"/>
      <c r="BVB67" s="2936"/>
      <c r="BVC67" s="2936"/>
      <c r="BVD67" s="2936"/>
      <c r="BVE67" s="2936"/>
      <c r="BVF67" s="2936"/>
      <c r="BVG67" s="2936"/>
      <c r="BVH67" s="2936"/>
      <c r="BVI67" s="2936"/>
      <c r="BVJ67" s="2936"/>
      <c r="BVK67" s="2936"/>
      <c r="BVL67" s="2936"/>
      <c r="BVM67" s="2936"/>
      <c r="BVN67" s="2936"/>
      <c r="BVO67" s="2936"/>
      <c r="BVP67" s="2936"/>
      <c r="BVQ67" s="2936"/>
      <c r="BVR67" s="2936"/>
      <c r="BVS67" s="2936"/>
      <c r="BVT67" s="2936"/>
      <c r="BVU67" s="2936"/>
      <c r="BVV67" s="2936"/>
      <c r="BVW67" s="2936"/>
      <c r="BVX67" s="2936"/>
      <c r="BVY67" s="2936"/>
      <c r="BVZ67" s="2936"/>
      <c r="BWA67" s="2936"/>
      <c r="BWB67" s="2936"/>
      <c r="BWC67" s="2936"/>
      <c r="BWD67" s="2936"/>
      <c r="BWE67" s="2936"/>
      <c r="BWF67" s="2936"/>
      <c r="BWG67" s="2936"/>
      <c r="BWH67" s="2936"/>
      <c r="BWI67" s="2936"/>
      <c r="BWJ67" s="2936"/>
      <c r="BWK67" s="2936"/>
      <c r="BWL67" s="2936"/>
      <c r="BWM67" s="2936"/>
      <c r="BWN67" s="2936"/>
      <c r="BWO67" s="2936"/>
      <c r="BWP67" s="2936"/>
      <c r="BWQ67" s="2936"/>
      <c r="BWR67" s="2936"/>
      <c r="BWS67" s="2936"/>
      <c r="BWT67" s="2936"/>
      <c r="BWU67" s="2936"/>
      <c r="BWV67" s="2936"/>
      <c r="BWW67" s="2936"/>
      <c r="BWX67" s="2936"/>
      <c r="BWY67" s="2936"/>
      <c r="BWZ67" s="2936"/>
      <c r="BXA67" s="2936"/>
      <c r="BXB67" s="2936"/>
      <c r="BXC67" s="2936"/>
      <c r="BXD67" s="2936"/>
      <c r="BXE67" s="2936"/>
      <c r="BXF67" s="2936"/>
      <c r="BXG67" s="2936"/>
      <c r="BXH67" s="2936"/>
      <c r="BXI67" s="2936"/>
      <c r="BXJ67" s="2936"/>
      <c r="BXK67" s="2936"/>
      <c r="BXL67" s="2936"/>
      <c r="BXM67" s="2936"/>
      <c r="BXN67" s="2936"/>
      <c r="BXO67" s="2936"/>
      <c r="BXP67" s="2936"/>
      <c r="BXQ67" s="2936"/>
      <c r="BXR67" s="2936"/>
      <c r="BXS67" s="2936"/>
      <c r="BXT67" s="2936"/>
      <c r="BXU67" s="2936"/>
      <c r="BXV67" s="2936"/>
      <c r="BXW67" s="2936"/>
      <c r="BXX67" s="2936"/>
      <c r="BXY67" s="2936"/>
      <c r="BXZ67" s="2936"/>
      <c r="BYA67" s="2936"/>
      <c r="BYB67" s="2936"/>
      <c r="BYC67" s="2936"/>
      <c r="BYD67" s="2936"/>
      <c r="BYE67" s="2936"/>
      <c r="BYF67" s="2936"/>
      <c r="BYG67" s="2936"/>
      <c r="BYH67" s="2936"/>
      <c r="BYI67" s="2936"/>
      <c r="BYJ67" s="2936"/>
      <c r="BYK67" s="2936"/>
      <c r="BYL67" s="2936"/>
      <c r="BYM67" s="2936"/>
      <c r="BYN67" s="2936"/>
      <c r="BYO67" s="2936"/>
      <c r="BYP67" s="2936"/>
      <c r="BYQ67" s="2936"/>
      <c r="BYR67" s="2936"/>
      <c r="BYS67" s="2936"/>
      <c r="BYT67" s="2936"/>
      <c r="BYU67" s="2936"/>
      <c r="BYV67" s="2936"/>
      <c r="BYW67" s="2936"/>
      <c r="BYX67" s="2936"/>
      <c r="BYY67" s="2936"/>
      <c r="BYZ67" s="2936"/>
      <c r="BZA67" s="2936"/>
      <c r="BZB67" s="2936"/>
      <c r="BZC67" s="2936"/>
      <c r="BZD67" s="2936"/>
      <c r="BZE67" s="2936"/>
      <c r="BZF67" s="2936"/>
      <c r="BZG67" s="2936"/>
      <c r="BZH67" s="2936"/>
      <c r="BZI67" s="2936"/>
      <c r="BZJ67" s="2936"/>
      <c r="BZK67" s="2936"/>
      <c r="BZL67" s="2936"/>
      <c r="BZM67" s="2936"/>
      <c r="BZN67" s="2936"/>
      <c r="BZO67" s="2936"/>
      <c r="BZP67" s="2936"/>
      <c r="BZQ67" s="2936"/>
      <c r="BZR67" s="2936"/>
      <c r="BZS67" s="2936"/>
      <c r="BZT67" s="2936"/>
      <c r="BZU67" s="2936"/>
      <c r="BZV67" s="2936"/>
      <c r="BZW67" s="2936"/>
      <c r="BZX67" s="2936"/>
      <c r="BZY67" s="2936"/>
      <c r="BZZ67" s="2936"/>
      <c r="CAA67" s="2936"/>
      <c r="CAB67" s="2936"/>
      <c r="CAC67" s="2936"/>
      <c r="CAD67" s="2936"/>
      <c r="CAE67" s="2936"/>
      <c r="CAF67" s="2936"/>
      <c r="CAG67" s="2936"/>
      <c r="CAH67" s="2936"/>
      <c r="CAI67" s="2936"/>
      <c r="CAJ67" s="2936"/>
      <c r="CAK67" s="2936"/>
      <c r="CAL67" s="2936"/>
      <c r="CAM67" s="2936"/>
      <c r="CAN67" s="2936"/>
      <c r="CAO67" s="2936"/>
      <c r="CAP67" s="2936"/>
      <c r="CAQ67" s="2936"/>
      <c r="CAR67" s="2936"/>
      <c r="CAS67" s="2936"/>
      <c r="CAT67" s="2936"/>
      <c r="CAU67" s="2936"/>
      <c r="CAV67" s="2936"/>
      <c r="CAW67" s="2936"/>
      <c r="CAX67" s="2936"/>
      <c r="CAY67" s="2936"/>
      <c r="CAZ67" s="2936"/>
      <c r="CBA67" s="2936"/>
      <c r="CBB67" s="2936"/>
      <c r="CBC67" s="2936"/>
      <c r="CBD67" s="2936"/>
      <c r="CBE67" s="2936"/>
      <c r="CBF67" s="2936"/>
      <c r="CBG67" s="2936"/>
      <c r="CBH67" s="2936"/>
      <c r="CBI67" s="2936"/>
      <c r="CBJ67" s="2936"/>
      <c r="CBK67" s="2936"/>
      <c r="CBL67" s="2936"/>
      <c r="CBM67" s="2936"/>
      <c r="CBN67" s="2936"/>
      <c r="CBO67" s="2936"/>
      <c r="CBP67" s="2936"/>
      <c r="CBQ67" s="2936"/>
      <c r="CBR67" s="2936"/>
      <c r="CBS67" s="2936"/>
      <c r="CBT67" s="2936"/>
      <c r="CBU67" s="2936"/>
      <c r="CBV67" s="2936"/>
      <c r="CBW67" s="2936"/>
      <c r="CBX67" s="2936"/>
      <c r="CBY67" s="2936"/>
      <c r="CBZ67" s="2936"/>
      <c r="CCA67" s="2936"/>
      <c r="CCB67" s="2936"/>
      <c r="CCC67" s="2936"/>
      <c r="CCD67" s="2936"/>
      <c r="CCE67" s="2936"/>
      <c r="CCF67" s="2936"/>
      <c r="CCG67" s="2936"/>
      <c r="CCH67" s="2936"/>
      <c r="CCI67" s="2936"/>
      <c r="CCJ67" s="2936"/>
      <c r="CCK67" s="2936"/>
      <c r="CCL67" s="2936"/>
      <c r="CCM67" s="2936"/>
      <c r="CCN67" s="2936"/>
      <c r="CCO67" s="2936"/>
      <c r="CCP67" s="2936"/>
      <c r="CCQ67" s="2936"/>
      <c r="CCR67" s="2936"/>
      <c r="CCS67" s="2936"/>
      <c r="CCT67" s="2936"/>
      <c r="CCU67" s="2936"/>
      <c r="CCV67" s="2936"/>
      <c r="CCW67" s="2936"/>
      <c r="CCX67" s="2936"/>
      <c r="CCY67" s="2936"/>
      <c r="CCZ67" s="2936"/>
      <c r="CDA67" s="2936"/>
      <c r="CDB67" s="2936"/>
      <c r="CDC67" s="2936"/>
      <c r="CDD67" s="2936"/>
      <c r="CDE67" s="2936"/>
      <c r="CDF67" s="2936"/>
      <c r="CDG67" s="2936"/>
      <c r="CDH67" s="2936"/>
      <c r="CDI67" s="2936"/>
      <c r="CDJ67" s="2936"/>
      <c r="CDK67" s="2936"/>
      <c r="CDL67" s="2936"/>
      <c r="CDM67" s="2936"/>
      <c r="CDN67" s="2936"/>
      <c r="CDO67" s="2936"/>
      <c r="CDP67" s="2936"/>
      <c r="CDQ67" s="2936"/>
      <c r="CDR67" s="2936"/>
      <c r="CDS67" s="2936"/>
      <c r="CDT67" s="2936"/>
      <c r="CDU67" s="2936"/>
      <c r="CDV67" s="2936"/>
      <c r="CDW67" s="2936"/>
      <c r="CDX67" s="2936"/>
      <c r="CDY67" s="2936"/>
      <c r="CDZ67" s="2936"/>
      <c r="CEA67" s="2936"/>
      <c r="CEB67" s="2936"/>
      <c r="CEC67" s="2936"/>
      <c r="CED67" s="2936"/>
      <c r="CEE67" s="2936"/>
      <c r="CEF67" s="2936"/>
      <c r="CEG67" s="2936"/>
      <c r="CEH67" s="2936"/>
      <c r="CEI67" s="2936"/>
      <c r="CEJ67" s="2936"/>
      <c r="CEK67" s="2936"/>
      <c r="CEL67" s="2936"/>
      <c r="CEM67" s="2936"/>
      <c r="CEN67" s="2936"/>
      <c r="CEO67" s="2936"/>
      <c r="CEP67" s="2936"/>
      <c r="CEQ67" s="2936"/>
      <c r="CER67" s="2936"/>
      <c r="CES67" s="2936"/>
      <c r="CET67" s="2936"/>
      <c r="CEU67" s="2936"/>
      <c r="CEV67" s="2936"/>
      <c r="CEW67" s="2936"/>
      <c r="CEX67" s="2936"/>
      <c r="CEY67" s="2936"/>
      <c r="CEZ67" s="2936"/>
      <c r="CFA67" s="2936"/>
      <c r="CFB67" s="2936"/>
      <c r="CFC67" s="2936"/>
      <c r="CFD67" s="2936"/>
      <c r="CFE67" s="2936"/>
      <c r="CFF67" s="2936"/>
      <c r="CFG67" s="2936"/>
      <c r="CFH67" s="2936"/>
      <c r="CFI67" s="2936"/>
      <c r="CFJ67" s="2936"/>
      <c r="CFK67" s="2936"/>
      <c r="CFL67" s="2936"/>
      <c r="CFM67" s="2936"/>
      <c r="CFN67" s="2936"/>
      <c r="CFO67" s="2936"/>
      <c r="CFP67" s="2936"/>
      <c r="CFQ67" s="2936"/>
      <c r="CFR67" s="2936"/>
      <c r="CFS67" s="2936"/>
      <c r="CFT67" s="2936"/>
      <c r="CFU67" s="2936"/>
      <c r="CFV67" s="2936"/>
      <c r="CFW67" s="2936"/>
      <c r="CFX67" s="2936"/>
      <c r="CFY67" s="2936"/>
      <c r="CFZ67" s="2936"/>
      <c r="CGA67" s="2936"/>
      <c r="CGB67" s="2936"/>
      <c r="CGC67" s="2936"/>
      <c r="CGD67" s="2936"/>
      <c r="CGE67" s="2936"/>
      <c r="CGF67" s="2936"/>
      <c r="CGG67" s="2936"/>
      <c r="CGH67" s="2936"/>
      <c r="CGI67" s="2936"/>
      <c r="CGJ67" s="2936"/>
      <c r="CGK67" s="2936"/>
      <c r="CGL67" s="2936"/>
      <c r="CGM67" s="2936"/>
      <c r="CGN67" s="2936"/>
      <c r="CGO67" s="2936"/>
      <c r="CGP67" s="2936"/>
      <c r="CGQ67" s="2936"/>
      <c r="CGR67" s="2936"/>
      <c r="CGS67" s="2936"/>
      <c r="CGT67" s="2936"/>
      <c r="CGU67" s="2936"/>
      <c r="CGV67" s="2936"/>
      <c r="CGW67" s="2936"/>
      <c r="CGX67" s="2936"/>
      <c r="CGY67" s="2936"/>
      <c r="CGZ67" s="2936"/>
      <c r="CHA67" s="2936"/>
      <c r="CHB67" s="2936"/>
      <c r="CHC67" s="2936"/>
      <c r="CHD67" s="2936"/>
      <c r="CHE67" s="2936"/>
      <c r="CHF67" s="2936"/>
      <c r="CHG67" s="2936"/>
      <c r="CHH67" s="2936"/>
      <c r="CHI67" s="2936"/>
      <c r="CHJ67" s="2936"/>
      <c r="CHK67" s="2936"/>
      <c r="CHL67" s="2936"/>
      <c r="CHM67" s="2936"/>
      <c r="CHN67" s="2936"/>
      <c r="CHO67" s="2936"/>
      <c r="CHP67" s="2936"/>
      <c r="CHQ67" s="2936"/>
      <c r="CHR67" s="2936"/>
      <c r="CHS67" s="2936"/>
      <c r="CHT67" s="2936"/>
      <c r="CHU67" s="2936"/>
      <c r="CHV67" s="2936"/>
      <c r="CHW67" s="2936"/>
      <c r="CHX67" s="2936"/>
      <c r="CHY67" s="2936"/>
      <c r="CHZ67" s="2936"/>
      <c r="CIA67" s="2936"/>
      <c r="CIB67" s="2936"/>
      <c r="CIC67" s="2936"/>
      <c r="CID67" s="2936"/>
      <c r="CIE67" s="2936"/>
      <c r="CIF67" s="2936"/>
      <c r="CIG67" s="2936"/>
      <c r="CIH67" s="2936"/>
      <c r="CII67" s="2936"/>
      <c r="CIJ67" s="2936"/>
      <c r="CIK67" s="2936"/>
      <c r="CIL67" s="2936"/>
      <c r="CIM67" s="2936"/>
      <c r="CIN67" s="2936"/>
      <c r="CIO67" s="2936"/>
      <c r="CIP67" s="2936"/>
      <c r="CIQ67" s="2936"/>
      <c r="CIR67" s="2936"/>
      <c r="CIS67" s="2936"/>
      <c r="CIT67" s="2936"/>
      <c r="CIU67" s="2936"/>
      <c r="CIV67" s="2936"/>
      <c r="CIW67" s="2936"/>
      <c r="CIX67" s="2936"/>
      <c r="CIY67" s="2936"/>
      <c r="CIZ67" s="2936"/>
      <c r="CJA67" s="2936"/>
      <c r="CJB67" s="2936"/>
      <c r="CJC67" s="2936"/>
      <c r="CJD67" s="2936"/>
      <c r="CJE67" s="2936"/>
      <c r="CJF67" s="2936"/>
      <c r="CJG67" s="2936"/>
      <c r="CJH67" s="2936"/>
      <c r="CJI67" s="2936"/>
      <c r="CJJ67" s="2936"/>
      <c r="CJK67" s="2936"/>
      <c r="CJL67" s="2936"/>
      <c r="CJM67" s="2936"/>
      <c r="CJN67" s="2936"/>
      <c r="CJO67" s="2936"/>
      <c r="CJP67" s="2936"/>
      <c r="CJQ67" s="2936"/>
      <c r="CJR67" s="2936"/>
      <c r="CJS67" s="2936"/>
      <c r="CJT67" s="2936"/>
      <c r="CJU67" s="2936"/>
      <c r="CJV67" s="2936"/>
      <c r="CJW67" s="2936"/>
      <c r="CJX67" s="2936"/>
      <c r="CJY67" s="2936"/>
      <c r="CJZ67" s="2936"/>
      <c r="CKA67" s="2936"/>
      <c r="CKB67" s="2936"/>
      <c r="CKC67" s="2936"/>
      <c r="CKD67" s="2936"/>
      <c r="CKE67" s="2936"/>
      <c r="CKF67" s="2936"/>
      <c r="CKG67" s="2936"/>
      <c r="CKH67" s="2936"/>
      <c r="CKI67" s="2936"/>
      <c r="CKJ67" s="2936"/>
      <c r="CKK67" s="2936"/>
      <c r="CKL67" s="2936"/>
      <c r="CKM67" s="2936"/>
      <c r="CKN67" s="2936"/>
      <c r="CKO67" s="2936"/>
      <c r="CKP67" s="2936"/>
      <c r="CKQ67" s="2936"/>
      <c r="CKR67" s="2936"/>
      <c r="CKS67" s="2936"/>
      <c r="CKT67" s="2936"/>
      <c r="CKU67" s="2936"/>
      <c r="CKV67" s="2936"/>
      <c r="CKW67" s="2936"/>
      <c r="CKX67" s="2936"/>
      <c r="CKY67" s="2936"/>
      <c r="CKZ67" s="2936"/>
      <c r="CLA67" s="2936"/>
      <c r="CLB67" s="2936"/>
      <c r="CLC67" s="2936"/>
      <c r="CLD67" s="2936"/>
      <c r="CLE67" s="2936"/>
      <c r="CLF67" s="2936"/>
      <c r="CLG67" s="2936"/>
      <c r="CLH67" s="2936"/>
      <c r="CLI67" s="2936"/>
      <c r="CLJ67" s="2936"/>
      <c r="CLK67" s="2936"/>
      <c r="CLL67" s="2936"/>
      <c r="CLM67" s="2936"/>
      <c r="CLN67" s="2936"/>
      <c r="CLO67" s="2936"/>
      <c r="CLP67" s="2936"/>
      <c r="CLQ67" s="2936"/>
      <c r="CLR67" s="2936"/>
      <c r="CLS67" s="2936"/>
      <c r="CLT67" s="2936"/>
      <c r="CLU67" s="2936"/>
      <c r="CLV67" s="2936"/>
      <c r="CLW67" s="2936"/>
      <c r="CLX67" s="2936"/>
      <c r="CLY67" s="2936"/>
      <c r="CLZ67" s="2936"/>
      <c r="CMA67" s="2936"/>
      <c r="CMB67" s="2936"/>
      <c r="CMC67" s="2936"/>
      <c r="CMD67" s="2936"/>
      <c r="CME67" s="2936"/>
      <c r="CMF67" s="2936"/>
      <c r="CMG67" s="2936"/>
      <c r="CMH67" s="2936"/>
      <c r="CMI67" s="2936"/>
      <c r="CMJ67" s="2936"/>
      <c r="CMK67" s="2936"/>
      <c r="CML67" s="2936"/>
      <c r="CMM67" s="2936"/>
      <c r="CMN67" s="2936"/>
      <c r="CMO67" s="2936"/>
      <c r="CMP67" s="2936"/>
      <c r="CMQ67" s="2936"/>
      <c r="CMR67" s="2936"/>
      <c r="CMS67" s="2936"/>
      <c r="CMT67" s="2936"/>
      <c r="CMU67" s="2936"/>
      <c r="CMV67" s="2936"/>
      <c r="CMW67" s="2936"/>
      <c r="CMX67" s="2936"/>
      <c r="CMY67" s="2936"/>
      <c r="CMZ67" s="2936"/>
      <c r="CNA67" s="2936"/>
      <c r="CNB67" s="2936"/>
      <c r="CNC67" s="2936"/>
      <c r="CND67" s="2936"/>
      <c r="CNE67" s="2936"/>
      <c r="CNF67" s="2936"/>
      <c r="CNG67" s="2936"/>
      <c r="CNH67" s="2936"/>
      <c r="CNI67" s="2936"/>
      <c r="CNJ67" s="2936"/>
      <c r="CNK67" s="2936"/>
      <c r="CNL67" s="2936"/>
      <c r="CNM67" s="2936"/>
      <c r="CNN67" s="2936"/>
      <c r="CNO67" s="2936"/>
      <c r="CNP67" s="2936"/>
      <c r="CNQ67" s="2936"/>
      <c r="CNR67" s="2936"/>
      <c r="CNS67" s="2936"/>
      <c r="CNT67" s="2936"/>
      <c r="CNU67" s="2936"/>
      <c r="CNV67" s="2936"/>
      <c r="CNW67" s="2936"/>
      <c r="CNX67" s="2936"/>
      <c r="CNY67" s="2936"/>
      <c r="CNZ67" s="2936"/>
      <c r="COA67" s="2936"/>
      <c r="COB67" s="2936"/>
      <c r="COC67" s="2936"/>
      <c r="COD67" s="2936"/>
      <c r="COE67" s="2936"/>
      <c r="COF67" s="2936"/>
      <c r="COG67" s="2936"/>
      <c r="COH67" s="2936"/>
      <c r="COI67" s="2936"/>
      <c r="COJ67" s="2936"/>
      <c r="COK67" s="2936"/>
      <c r="COL67" s="2936"/>
      <c r="COM67" s="2936"/>
      <c r="CON67" s="2936"/>
      <c r="COO67" s="2936"/>
      <c r="COP67" s="2936"/>
      <c r="COQ67" s="2936"/>
      <c r="COR67" s="2936"/>
      <c r="COS67" s="2936"/>
      <c r="COT67" s="2936"/>
      <c r="COU67" s="2936"/>
      <c r="COV67" s="2936"/>
      <c r="COW67" s="2936"/>
      <c r="COX67" s="2936"/>
      <c r="COY67" s="2936"/>
      <c r="COZ67" s="2936"/>
      <c r="CPA67" s="2936"/>
      <c r="CPB67" s="2936"/>
      <c r="CPC67" s="2936"/>
      <c r="CPD67" s="2936"/>
      <c r="CPE67" s="2936"/>
      <c r="CPF67" s="2936"/>
      <c r="CPG67" s="2936"/>
      <c r="CPH67" s="2936"/>
      <c r="CPI67" s="2936"/>
      <c r="CPJ67" s="2936"/>
      <c r="CPK67" s="2936"/>
      <c r="CPL67" s="2936"/>
      <c r="CPM67" s="2936"/>
      <c r="CPN67" s="2936"/>
      <c r="CPO67" s="2936"/>
      <c r="CPP67" s="2936"/>
      <c r="CPQ67" s="2936"/>
      <c r="CPR67" s="2936"/>
      <c r="CPS67" s="2936"/>
      <c r="CPT67" s="2936"/>
      <c r="CPU67" s="2936"/>
      <c r="CPV67" s="2936"/>
      <c r="CPW67" s="2936"/>
      <c r="CPX67" s="2936"/>
      <c r="CPY67" s="2936"/>
      <c r="CPZ67" s="2936"/>
      <c r="CQA67" s="2936"/>
      <c r="CQB67" s="2936"/>
      <c r="CQC67" s="2936"/>
      <c r="CQD67" s="2936"/>
      <c r="CQE67" s="2936"/>
      <c r="CQF67" s="2936"/>
      <c r="CQG67" s="2936"/>
      <c r="CQH67" s="2936"/>
      <c r="CQI67" s="2936"/>
      <c r="CQJ67" s="2936"/>
      <c r="CQK67" s="2936"/>
      <c r="CQL67" s="2936"/>
      <c r="CQM67" s="2936"/>
      <c r="CQN67" s="2936"/>
      <c r="CQO67" s="2936"/>
      <c r="CQP67" s="2936"/>
      <c r="CQQ67" s="2936"/>
      <c r="CQR67" s="2936"/>
      <c r="CQS67" s="2936"/>
      <c r="CQT67" s="2936"/>
      <c r="CQU67" s="2936"/>
      <c r="CQV67" s="2936"/>
      <c r="CQW67" s="2936"/>
      <c r="CQX67" s="2936"/>
      <c r="CQY67" s="2936"/>
      <c r="CQZ67" s="2936"/>
      <c r="CRA67" s="2936"/>
      <c r="CRB67" s="2936"/>
      <c r="CRC67" s="2936"/>
      <c r="CRD67" s="2936"/>
      <c r="CRE67" s="2936"/>
      <c r="CRF67" s="2936"/>
      <c r="CRG67" s="2936"/>
      <c r="CRH67" s="2936"/>
      <c r="CRI67" s="2936"/>
      <c r="CRJ67" s="2936"/>
      <c r="CRK67" s="2936"/>
      <c r="CRL67" s="2936"/>
      <c r="CRM67" s="2936"/>
      <c r="CRN67" s="2936"/>
      <c r="CRO67" s="2936"/>
      <c r="CRP67" s="2936"/>
      <c r="CRQ67" s="2936"/>
      <c r="CRR67" s="2936"/>
      <c r="CRS67" s="2936"/>
      <c r="CRT67" s="2936"/>
      <c r="CRU67" s="2936"/>
      <c r="CRV67" s="2936"/>
      <c r="CRW67" s="2936"/>
      <c r="CRX67" s="2936"/>
      <c r="CRY67" s="2936"/>
      <c r="CRZ67" s="2936"/>
      <c r="CSA67" s="2936"/>
      <c r="CSB67" s="2936"/>
      <c r="CSC67" s="2936"/>
      <c r="CSD67" s="2936"/>
      <c r="CSE67" s="2936"/>
      <c r="CSF67" s="2936"/>
      <c r="CSG67" s="2936"/>
      <c r="CSH67" s="2936"/>
      <c r="CSI67" s="2936"/>
      <c r="CSJ67" s="2936"/>
      <c r="CSK67" s="2936"/>
      <c r="CSL67" s="2936"/>
      <c r="CSM67" s="2936"/>
      <c r="CSN67" s="2936"/>
      <c r="CSO67" s="2936"/>
      <c r="CSP67" s="2936"/>
      <c r="CSQ67" s="2936"/>
      <c r="CSR67" s="2936"/>
      <c r="CSS67" s="2936"/>
      <c r="CST67" s="2936"/>
      <c r="CSU67" s="2936"/>
      <c r="CSV67" s="2936"/>
      <c r="CSW67" s="2936"/>
      <c r="CSX67" s="2936"/>
      <c r="CSY67" s="2936"/>
      <c r="CSZ67" s="2936"/>
      <c r="CTA67" s="2936"/>
      <c r="CTB67" s="2936"/>
      <c r="CTC67" s="2936"/>
      <c r="CTD67" s="2936"/>
      <c r="CTE67" s="2936"/>
      <c r="CTF67" s="2936"/>
      <c r="CTG67" s="2936"/>
      <c r="CTH67" s="2936"/>
      <c r="CTI67" s="2936"/>
      <c r="CTJ67" s="2936"/>
      <c r="CTK67" s="2936"/>
      <c r="CTL67" s="2936"/>
      <c r="CTM67" s="2936"/>
      <c r="CTN67" s="2936"/>
      <c r="CTO67" s="2936"/>
      <c r="CTP67" s="2936"/>
      <c r="CTQ67" s="2936"/>
      <c r="CTR67" s="2936"/>
      <c r="CTS67" s="2936"/>
      <c r="CTT67" s="2936"/>
      <c r="CTU67" s="2936"/>
      <c r="CTV67" s="2936"/>
      <c r="CTW67" s="2936"/>
      <c r="CTX67" s="2936"/>
      <c r="CTY67" s="2936"/>
      <c r="CTZ67" s="2936"/>
      <c r="CUA67" s="2936"/>
      <c r="CUB67" s="2936"/>
      <c r="CUC67" s="2936"/>
      <c r="CUD67" s="2936"/>
      <c r="CUE67" s="2936"/>
      <c r="CUF67" s="2936"/>
      <c r="CUG67" s="2936"/>
      <c r="CUH67" s="2936"/>
      <c r="CUI67" s="2936"/>
      <c r="CUJ67" s="2936"/>
      <c r="CUK67" s="2936"/>
      <c r="CUL67" s="2936"/>
      <c r="CUM67" s="2936"/>
      <c r="CUN67" s="2936"/>
      <c r="CUO67" s="2936"/>
      <c r="CUP67" s="2936"/>
      <c r="CUQ67" s="2936"/>
      <c r="CUR67" s="2936"/>
      <c r="CUS67" s="2936"/>
      <c r="CUT67" s="2936"/>
      <c r="CUU67" s="2936"/>
      <c r="CUV67" s="2936"/>
      <c r="CUW67" s="2936"/>
      <c r="CUX67" s="2936"/>
      <c r="CUY67" s="2936"/>
      <c r="CUZ67" s="2936"/>
      <c r="CVA67" s="2936"/>
      <c r="CVB67" s="2936"/>
      <c r="CVC67" s="2936"/>
      <c r="CVD67" s="2936"/>
      <c r="CVE67" s="2936"/>
      <c r="CVF67" s="2936"/>
      <c r="CVG67" s="2936"/>
      <c r="CVH67" s="2936"/>
      <c r="CVI67" s="2936"/>
      <c r="CVJ67" s="2936"/>
      <c r="CVK67" s="2936"/>
      <c r="CVL67" s="2936"/>
      <c r="CVM67" s="2936"/>
      <c r="CVN67" s="2936"/>
      <c r="CVO67" s="2936"/>
      <c r="CVP67" s="2936"/>
      <c r="CVQ67" s="2936"/>
      <c r="CVR67" s="2936"/>
      <c r="CVS67" s="2936"/>
      <c r="CVT67" s="2936"/>
      <c r="CVU67" s="2936"/>
      <c r="CVV67" s="2936"/>
      <c r="CVW67" s="2936"/>
      <c r="CVX67" s="2936"/>
      <c r="CVY67" s="2936"/>
      <c r="CVZ67" s="2936"/>
      <c r="CWA67" s="2936"/>
      <c r="CWB67" s="2936"/>
      <c r="CWC67" s="2936"/>
      <c r="CWD67" s="2936"/>
      <c r="CWE67" s="2936"/>
      <c r="CWF67" s="2936"/>
      <c r="CWG67" s="2936"/>
      <c r="CWH67" s="2936"/>
      <c r="CWI67" s="2936"/>
      <c r="CWJ67" s="2936"/>
      <c r="CWK67" s="2936"/>
      <c r="CWL67" s="2936"/>
      <c r="CWM67" s="2936"/>
      <c r="CWN67" s="2936"/>
      <c r="CWO67" s="2936"/>
      <c r="CWP67" s="2936"/>
      <c r="CWQ67" s="2936"/>
      <c r="CWR67" s="2936"/>
      <c r="CWS67" s="2936"/>
      <c r="CWT67" s="2936"/>
      <c r="CWU67" s="2936"/>
      <c r="CWV67" s="2936"/>
      <c r="CWW67" s="2936"/>
      <c r="CWX67" s="2936"/>
      <c r="CWY67" s="2936"/>
      <c r="CWZ67" s="2936"/>
      <c r="CXA67" s="2936"/>
      <c r="CXB67" s="2936"/>
      <c r="CXC67" s="2936"/>
      <c r="CXD67" s="2936"/>
      <c r="CXE67" s="2936"/>
      <c r="CXF67" s="2936"/>
      <c r="CXG67" s="2936"/>
      <c r="CXH67" s="2936"/>
      <c r="CXI67" s="2936"/>
      <c r="CXJ67" s="2936"/>
      <c r="CXK67" s="2936"/>
      <c r="CXL67" s="2936"/>
      <c r="CXM67" s="2936"/>
      <c r="CXN67" s="2936"/>
      <c r="CXO67" s="2936"/>
      <c r="CXP67" s="2936"/>
      <c r="CXQ67" s="2936"/>
      <c r="CXR67" s="2936"/>
      <c r="CXS67" s="2936"/>
      <c r="CXT67" s="2936"/>
      <c r="CXU67" s="2936"/>
      <c r="CXV67" s="2936"/>
      <c r="CXW67" s="2936"/>
      <c r="CXX67" s="2936"/>
      <c r="CXY67" s="2936"/>
      <c r="CXZ67" s="2936"/>
      <c r="CYA67" s="2936"/>
      <c r="CYB67" s="2936"/>
      <c r="CYC67" s="2936"/>
      <c r="CYD67" s="2936"/>
      <c r="CYE67" s="2936"/>
      <c r="CYF67" s="2936"/>
      <c r="CYG67" s="2936"/>
      <c r="CYH67" s="2936"/>
      <c r="CYI67" s="2936"/>
      <c r="CYJ67" s="2936"/>
      <c r="CYK67" s="2936"/>
      <c r="CYL67" s="2936"/>
      <c r="CYM67" s="2936"/>
      <c r="CYN67" s="2936"/>
      <c r="CYO67" s="2936"/>
      <c r="CYP67" s="2936"/>
      <c r="CYQ67" s="2936"/>
      <c r="CYR67" s="2936"/>
      <c r="CYS67" s="2936"/>
      <c r="CYT67" s="2936"/>
      <c r="CYU67" s="2936"/>
      <c r="CYV67" s="2936"/>
      <c r="CYW67" s="2936"/>
      <c r="CYX67" s="2936"/>
      <c r="CYY67" s="2936"/>
      <c r="CYZ67" s="2936"/>
      <c r="CZA67" s="2936"/>
      <c r="CZB67" s="2936"/>
      <c r="CZC67" s="2936"/>
      <c r="CZD67" s="2936"/>
      <c r="CZE67" s="2936"/>
      <c r="CZF67" s="2936"/>
      <c r="CZG67" s="2936"/>
      <c r="CZH67" s="2936"/>
      <c r="CZI67" s="2936"/>
      <c r="CZJ67" s="2936"/>
      <c r="CZK67" s="2936"/>
      <c r="CZL67" s="2936"/>
      <c r="CZM67" s="2936"/>
      <c r="CZN67" s="2936"/>
      <c r="CZO67" s="2936"/>
      <c r="CZP67" s="2936"/>
      <c r="CZQ67" s="2936"/>
      <c r="CZR67" s="2936"/>
      <c r="CZS67" s="2936"/>
      <c r="CZT67" s="2936"/>
      <c r="CZU67" s="2936"/>
      <c r="CZV67" s="2936"/>
      <c r="CZW67" s="2936"/>
      <c r="CZX67" s="2936"/>
      <c r="CZY67" s="2936"/>
      <c r="CZZ67" s="2936"/>
      <c r="DAA67" s="2936"/>
      <c r="DAB67" s="2936"/>
      <c r="DAC67" s="2936"/>
      <c r="DAD67" s="2936"/>
      <c r="DAE67" s="2936"/>
      <c r="DAF67" s="2936"/>
      <c r="DAG67" s="2936"/>
      <c r="DAH67" s="2936"/>
      <c r="DAI67" s="2936"/>
      <c r="DAJ67" s="2936"/>
      <c r="DAK67" s="2936"/>
      <c r="DAL67" s="2936"/>
      <c r="DAM67" s="2936"/>
      <c r="DAN67" s="2936"/>
      <c r="DAO67" s="2936"/>
      <c r="DAP67" s="2936"/>
      <c r="DAQ67" s="2936"/>
      <c r="DAR67" s="2936"/>
      <c r="DAS67" s="2936"/>
      <c r="DAT67" s="2936"/>
      <c r="DAU67" s="2936"/>
      <c r="DAV67" s="2936"/>
      <c r="DAW67" s="2936"/>
      <c r="DAX67" s="2936"/>
      <c r="DAY67" s="2936"/>
      <c r="DAZ67" s="2936"/>
      <c r="DBA67" s="2936"/>
      <c r="DBB67" s="2936"/>
      <c r="DBC67" s="2936"/>
      <c r="DBD67" s="2936"/>
      <c r="DBE67" s="2936"/>
      <c r="DBF67" s="2936"/>
      <c r="DBG67" s="2936"/>
      <c r="DBH67" s="2936"/>
      <c r="DBI67" s="2936"/>
      <c r="DBJ67" s="2936"/>
      <c r="DBK67" s="2936"/>
      <c r="DBL67" s="2936"/>
      <c r="DBM67" s="2936"/>
      <c r="DBN67" s="2936"/>
      <c r="DBO67" s="2936"/>
      <c r="DBP67" s="2936"/>
      <c r="DBQ67" s="2936"/>
      <c r="DBR67" s="2936"/>
      <c r="DBS67" s="2936"/>
      <c r="DBT67" s="2936"/>
      <c r="DBU67" s="2936"/>
      <c r="DBV67" s="2936"/>
      <c r="DBW67" s="2936"/>
      <c r="DBX67" s="2936"/>
      <c r="DBY67" s="2936"/>
      <c r="DBZ67" s="2936"/>
      <c r="DCA67" s="2936"/>
      <c r="DCB67" s="2936"/>
      <c r="DCC67" s="2936"/>
      <c r="DCD67" s="2936"/>
      <c r="DCE67" s="2936"/>
      <c r="DCF67" s="2936"/>
      <c r="DCG67" s="2936"/>
      <c r="DCH67" s="2936"/>
      <c r="DCI67" s="2936"/>
      <c r="DCJ67" s="2936"/>
      <c r="DCK67" s="2936"/>
      <c r="DCL67" s="2936"/>
      <c r="DCM67" s="2936"/>
      <c r="DCN67" s="2936"/>
      <c r="DCO67" s="2936"/>
      <c r="DCP67" s="2936"/>
      <c r="DCQ67" s="2936"/>
      <c r="DCR67" s="2936"/>
      <c r="DCS67" s="2936"/>
      <c r="DCT67" s="2936"/>
      <c r="DCU67" s="2936"/>
      <c r="DCV67" s="2936"/>
      <c r="DCW67" s="2936"/>
      <c r="DCX67" s="2936"/>
      <c r="DCY67" s="2936"/>
      <c r="DCZ67" s="2936"/>
      <c r="DDA67" s="2936"/>
      <c r="DDB67" s="2936"/>
      <c r="DDC67" s="2936"/>
      <c r="DDD67" s="2936"/>
      <c r="DDE67" s="2936"/>
      <c r="DDF67" s="2936"/>
      <c r="DDG67" s="2936"/>
      <c r="DDH67" s="2936"/>
      <c r="DDI67" s="2936"/>
      <c r="DDJ67" s="2936"/>
      <c r="DDK67" s="2936"/>
      <c r="DDL67" s="2936"/>
      <c r="DDM67" s="2936"/>
      <c r="DDN67" s="2936"/>
      <c r="DDO67" s="2936"/>
      <c r="DDP67" s="2936"/>
      <c r="DDQ67" s="2936"/>
      <c r="DDR67" s="2936"/>
      <c r="DDS67" s="2936"/>
      <c r="DDT67" s="2936"/>
      <c r="DDU67" s="2936"/>
      <c r="DDV67" s="2936"/>
      <c r="DDW67" s="2936"/>
      <c r="DDX67" s="2936"/>
      <c r="DDY67" s="2936"/>
      <c r="DDZ67" s="2936"/>
      <c r="DEA67" s="2936"/>
      <c r="DEB67" s="2936"/>
      <c r="DEC67" s="2936"/>
      <c r="DED67" s="2936"/>
      <c r="DEE67" s="2936"/>
      <c r="DEF67" s="2936"/>
      <c r="DEG67" s="2936"/>
      <c r="DEH67" s="2936"/>
      <c r="DEI67" s="2936"/>
      <c r="DEJ67" s="2936"/>
      <c r="DEK67" s="2936"/>
      <c r="DEL67" s="2936"/>
      <c r="DEM67" s="2936"/>
      <c r="DEN67" s="2936"/>
      <c r="DEO67" s="2936"/>
      <c r="DEP67" s="2936"/>
      <c r="DEQ67" s="2936"/>
      <c r="DER67" s="2936"/>
      <c r="DES67" s="2936"/>
      <c r="DET67" s="2936"/>
      <c r="DEU67" s="2936"/>
      <c r="DEV67" s="2936"/>
      <c r="DEW67" s="2936"/>
      <c r="DEX67" s="2936"/>
      <c r="DEY67" s="2936"/>
      <c r="DEZ67" s="2936"/>
      <c r="DFA67" s="2936"/>
      <c r="DFB67" s="2936"/>
      <c r="DFC67" s="2936"/>
      <c r="DFD67" s="2936"/>
      <c r="DFE67" s="2936"/>
      <c r="DFF67" s="2936"/>
      <c r="DFG67" s="2936"/>
      <c r="DFH67" s="2936"/>
      <c r="DFI67" s="2936"/>
      <c r="DFJ67" s="2936"/>
      <c r="DFK67" s="2936"/>
      <c r="DFL67" s="2936"/>
      <c r="DFM67" s="2936"/>
      <c r="DFN67" s="2936"/>
      <c r="DFO67" s="2936"/>
      <c r="DFP67" s="2936"/>
      <c r="DFQ67" s="2936"/>
      <c r="DFR67" s="2936"/>
      <c r="DFS67" s="2936"/>
      <c r="DFT67" s="2936"/>
      <c r="DFU67" s="2936"/>
      <c r="DFV67" s="2936"/>
      <c r="DFW67" s="2936"/>
      <c r="DFX67" s="2936"/>
      <c r="DFY67" s="2936"/>
      <c r="DFZ67" s="2936"/>
      <c r="DGA67" s="2936"/>
      <c r="DGB67" s="2936"/>
      <c r="DGC67" s="2936"/>
      <c r="DGD67" s="2936"/>
      <c r="DGE67" s="2936"/>
      <c r="DGF67" s="2936"/>
      <c r="DGG67" s="2936"/>
      <c r="DGH67" s="2936"/>
      <c r="DGI67" s="2936"/>
      <c r="DGJ67" s="2936"/>
      <c r="DGK67" s="2936"/>
      <c r="DGL67" s="2936"/>
      <c r="DGM67" s="2936"/>
      <c r="DGN67" s="2936"/>
      <c r="DGO67" s="2936"/>
      <c r="DGP67" s="2936"/>
      <c r="DGQ67" s="2936"/>
      <c r="DGR67" s="2936"/>
      <c r="DGS67" s="2936"/>
      <c r="DGT67" s="2936"/>
      <c r="DGU67" s="2936"/>
      <c r="DGV67" s="2936"/>
      <c r="DGW67" s="2936"/>
      <c r="DGX67" s="2936"/>
      <c r="DGY67" s="2936"/>
      <c r="DGZ67" s="2936"/>
      <c r="DHA67" s="2936"/>
      <c r="DHB67" s="2936"/>
      <c r="DHC67" s="2936"/>
      <c r="DHD67" s="2936"/>
      <c r="DHE67" s="2936"/>
      <c r="DHF67" s="2936"/>
      <c r="DHG67" s="2936"/>
      <c r="DHH67" s="2936"/>
      <c r="DHI67" s="2936"/>
      <c r="DHJ67" s="2936"/>
      <c r="DHK67" s="2936"/>
      <c r="DHL67" s="2936"/>
      <c r="DHM67" s="2936"/>
      <c r="DHN67" s="2936"/>
      <c r="DHO67" s="2936"/>
      <c r="DHP67" s="2936"/>
      <c r="DHQ67" s="2936"/>
      <c r="DHR67" s="2936"/>
      <c r="DHS67" s="2936"/>
      <c r="DHT67" s="2936"/>
      <c r="DHU67" s="2936"/>
      <c r="DHV67" s="2936"/>
      <c r="DHW67" s="2936"/>
      <c r="DHX67" s="2936"/>
      <c r="DHY67" s="2936"/>
      <c r="DHZ67" s="2936"/>
      <c r="DIA67" s="2936"/>
      <c r="DIB67" s="2936"/>
      <c r="DIC67" s="2936"/>
      <c r="DID67" s="2936"/>
      <c r="DIE67" s="2936"/>
      <c r="DIF67" s="2936"/>
      <c r="DIG67" s="2936"/>
      <c r="DIH67" s="2936"/>
      <c r="DII67" s="2936"/>
      <c r="DIJ67" s="2936"/>
      <c r="DIK67" s="2936"/>
      <c r="DIL67" s="2936"/>
      <c r="DIM67" s="2936"/>
      <c r="DIN67" s="2936"/>
      <c r="DIO67" s="2936"/>
      <c r="DIP67" s="2936"/>
      <c r="DIQ67" s="2936"/>
      <c r="DIR67" s="2936"/>
      <c r="DIS67" s="2936"/>
      <c r="DIT67" s="2936"/>
      <c r="DIU67" s="2936"/>
      <c r="DIV67" s="2936"/>
      <c r="DIW67" s="2936"/>
      <c r="DIX67" s="2936"/>
      <c r="DIY67" s="2936"/>
      <c r="DIZ67" s="2936"/>
      <c r="DJA67" s="2936"/>
      <c r="DJB67" s="2936"/>
      <c r="DJC67" s="2936"/>
      <c r="DJD67" s="2936"/>
      <c r="DJE67" s="2936"/>
      <c r="DJF67" s="2936"/>
      <c r="DJG67" s="2936"/>
      <c r="DJH67" s="2936"/>
      <c r="DJI67" s="2936"/>
      <c r="DJJ67" s="2936"/>
      <c r="DJK67" s="2936"/>
      <c r="DJL67" s="2936"/>
      <c r="DJM67" s="2936"/>
      <c r="DJN67" s="2936"/>
      <c r="DJO67" s="2936"/>
      <c r="DJP67" s="2936"/>
      <c r="DJQ67" s="2936"/>
      <c r="DJR67" s="2936"/>
      <c r="DJS67" s="2936"/>
      <c r="DJT67" s="2936"/>
      <c r="DJU67" s="2936"/>
      <c r="DJV67" s="2936"/>
      <c r="DJW67" s="2936"/>
      <c r="DJX67" s="2936"/>
      <c r="DJY67" s="2936"/>
      <c r="DJZ67" s="2936"/>
      <c r="DKA67" s="2936"/>
      <c r="DKB67" s="2936"/>
      <c r="DKC67" s="2936"/>
      <c r="DKD67" s="2936"/>
      <c r="DKE67" s="2936"/>
      <c r="DKF67" s="2936"/>
      <c r="DKG67" s="2936"/>
      <c r="DKH67" s="2936"/>
      <c r="DKI67" s="2936"/>
      <c r="DKJ67" s="2936"/>
      <c r="DKK67" s="2936"/>
      <c r="DKL67" s="2936"/>
      <c r="DKM67" s="2936"/>
      <c r="DKN67" s="2936"/>
      <c r="DKO67" s="2936"/>
      <c r="DKP67" s="2936"/>
      <c r="DKQ67" s="2936"/>
      <c r="DKR67" s="2936"/>
      <c r="DKS67" s="2936"/>
      <c r="DKT67" s="2936"/>
      <c r="DKU67" s="2936"/>
      <c r="DKV67" s="2936"/>
      <c r="DKW67" s="2936"/>
      <c r="DKX67" s="2936"/>
      <c r="DKY67" s="2936"/>
      <c r="DKZ67" s="2936"/>
      <c r="DLA67" s="2936"/>
      <c r="DLB67" s="2936"/>
      <c r="DLC67" s="2936"/>
      <c r="DLD67" s="2936"/>
      <c r="DLE67" s="2936"/>
      <c r="DLF67" s="2936"/>
      <c r="DLG67" s="2936"/>
      <c r="DLH67" s="2936"/>
      <c r="DLI67" s="2936"/>
      <c r="DLJ67" s="2936"/>
      <c r="DLK67" s="2936"/>
      <c r="DLL67" s="2936"/>
      <c r="DLM67" s="2936"/>
      <c r="DLN67" s="2936"/>
      <c r="DLO67" s="2936"/>
      <c r="DLP67" s="2936"/>
      <c r="DLQ67" s="2936"/>
      <c r="DLR67" s="2936"/>
      <c r="DLS67" s="2936"/>
      <c r="DLT67" s="2936"/>
      <c r="DLU67" s="2936"/>
      <c r="DLV67" s="2936"/>
      <c r="DLW67" s="2936"/>
      <c r="DLX67" s="2936"/>
      <c r="DLY67" s="2936"/>
      <c r="DLZ67" s="2936"/>
      <c r="DMA67" s="2936"/>
      <c r="DMB67" s="2936"/>
      <c r="DMC67" s="2936"/>
      <c r="DMD67" s="2936"/>
      <c r="DME67" s="2936"/>
      <c r="DMF67" s="2936"/>
      <c r="DMG67" s="2936"/>
      <c r="DMH67" s="2936"/>
      <c r="DMI67" s="2936"/>
      <c r="DMJ67" s="2936"/>
      <c r="DMK67" s="2936"/>
      <c r="DML67" s="2936"/>
      <c r="DMM67" s="2936"/>
      <c r="DMN67" s="2936"/>
      <c r="DMO67" s="2936"/>
      <c r="DMP67" s="2936"/>
      <c r="DMQ67" s="2936"/>
      <c r="DMR67" s="2936"/>
      <c r="DMS67" s="2936"/>
      <c r="DMT67" s="2936"/>
      <c r="DMU67" s="2936"/>
      <c r="DMV67" s="2936"/>
      <c r="DMW67" s="2936"/>
      <c r="DMX67" s="2936"/>
      <c r="DMY67" s="2936"/>
      <c r="DMZ67" s="2936"/>
      <c r="DNA67" s="2936"/>
      <c r="DNB67" s="2936"/>
      <c r="DNC67" s="2936"/>
      <c r="DND67" s="2936"/>
      <c r="DNE67" s="2936"/>
      <c r="DNF67" s="2936"/>
      <c r="DNG67" s="2936"/>
      <c r="DNH67" s="2936"/>
      <c r="DNI67" s="2936"/>
      <c r="DNJ67" s="2936"/>
      <c r="DNK67" s="2936"/>
      <c r="DNL67" s="2936"/>
      <c r="DNM67" s="2936"/>
      <c r="DNN67" s="2936"/>
      <c r="DNO67" s="2936"/>
      <c r="DNP67" s="2936"/>
      <c r="DNQ67" s="2936"/>
      <c r="DNR67" s="2936"/>
      <c r="DNS67" s="2936"/>
      <c r="DNT67" s="2936"/>
      <c r="DNU67" s="2936"/>
      <c r="DNV67" s="2936"/>
      <c r="DNW67" s="2936"/>
      <c r="DNX67" s="2936"/>
      <c r="DNY67" s="2936"/>
      <c r="DNZ67" s="2936"/>
      <c r="DOA67" s="2936"/>
      <c r="DOB67" s="2936"/>
      <c r="DOC67" s="2936"/>
      <c r="DOD67" s="2936"/>
      <c r="DOE67" s="2936"/>
      <c r="DOF67" s="2936"/>
      <c r="DOG67" s="2936"/>
      <c r="DOH67" s="2936"/>
      <c r="DOI67" s="2936"/>
      <c r="DOJ67" s="2936"/>
      <c r="DOK67" s="2936"/>
      <c r="DOL67" s="2936"/>
      <c r="DOM67" s="2936"/>
      <c r="DON67" s="2936"/>
      <c r="DOO67" s="2936"/>
      <c r="DOP67" s="2936"/>
      <c r="DOQ67" s="2936"/>
      <c r="DOR67" s="2936"/>
      <c r="DOS67" s="2936"/>
      <c r="DOT67" s="2936"/>
      <c r="DOU67" s="2936"/>
      <c r="DOV67" s="2936"/>
      <c r="DOW67" s="2936"/>
      <c r="DOX67" s="2936"/>
      <c r="DOY67" s="2936"/>
      <c r="DOZ67" s="2936"/>
      <c r="DPA67" s="2936"/>
      <c r="DPB67" s="2936"/>
      <c r="DPC67" s="2936"/>
      <c r="DPD67" s="2936"/>
      <c r="DPE67" s="2936"/>
      <c r="DPF67" s="2936"/>
      <c r="DPG67" s="2936"/>
      <c r="DPH67" s="2936"/>
      <c r="DPI67" s="2936"/>
      <c r="DPJ67" s="2936"/>
      <c r="DPK67" s="2936"/>
      <c r="DPL67" s="2936"/>
      <c r="DPM67" s="2936"/>
      <c r="DPN67" s="2936"/>
      <c r="DPO67" s="2936"/>
      <c r="DPP67" s="2936"/>
      <c r="DPQ67" s="2936"/>
      <c r="DPR67" s="2936"/>
      <c r="DPS67" s="2936"/>
      <c r="DPT67" s="2936"/>
      <c r="DPU67" s="2936"/>
      <c r="DPV67" s="2936"/>
      <c r="DPW67" s="2936"/>
      <c r="DPX67" s="2936"/>
      <c r="DPY67" s="2936"/>
      <c r="DPZ67" s="2936"/>
      <c r="DQA67" s="2936"/>
      <c r="DQB67" s="2936"/>
      <c r="DQC67" s="2936"/>
      <c r="DQD67" s="2936"/>
      <c r="DQE67" s="2936"/>
      <c r="DQF67" s="2936"/>
      <c r="DQG67" s="2936"/>
      <c r="DQH67" s="2936"/>
      <c r="DQI67" s="2936"/>
      <c r="DQJ67" s="2936"/>
      <c r="DQK67" s="2936"/>
      <c r="DQL67" s="2936"/>
      <c r="DQM67" s="2936"/>
      <c r="DQN67" s="2936"/>
      <c r="DQO67" s="2936"/>
      <c r="DQP67" s="2936"/>
      <c r="DQQ67" s="2936"/>
      <c r="DQR67" s="2936"/>
      <c r="DQS67" s="2936"/>
      <c r="DQT67" s="2936"/>
      <c r="DQU67" s="2936"/>
      <c r="DQV67" s="2936"/>
      <c r="DQW67" s="2936"/>
      <c r="DQX67" s="2936"/>
      <c r="DQY67" s="2936"/>
      <c r="DQZ67" s="2936"/>
      <c r="DRA67" s="2936"/>
      <c r="DRB67" s="2936"/>
      <c r="DRC67" s="2936"/>
      <c r="DRD67" s="2936"/>
      <c r="DRE67" s="2936"/>
      <c r="DRF67" s="2936"/>
      <c r="DRG67" s="2936"/>
      <c r="DRH67" s="2936"/>
      <c r="DRI67" s="2936"/>
      <c r="DRJ67" s="2936"/>
      <c r="DRK67" s="2936"/>
      <c r="DRL67" s="2936"/>
      <c r="DRM67" s="2936"/>
      <c r="DRN67" s="2936"/>
      <c r="DRO67" s="2936"/>
      <c r="DRP67" s="2936"/>
      <c r="DRQ67" s="2936"/>
      <c r="DRR67" s="2936"/>
      <c r="DRS67" s="2936"/>
      <c r="DRT67" s="2936"/>
      <c r="DRU67" s="2936"/>
      <c r="DRV67" s="2936"/>
      <c r="DRW67" s="2936"/>
      <c r="DRX67" s="2936"/>
      <c r="DRY67" s="2936"/>
      <c r="DRZ67" s="2936"/>
      <c r="DSA67" s="2936"/>
      <c r="DSB67" s="2936"/>
      <c r="DSC67" s="2936"/>
      <c r="DSD67" s="2936"/>
      <c r="DSE67" s="2936"/>
      <c r="DSF67" s="2936"/>
      <c r="DSG67" s="2936"/>
      <c r="DSH67" s="2936"/>
      <c r="DSI67" s="2936"/>
      <c r="DSJ67" s="2936"/>
      <c r="DSK67" s="2936"/>
      <c r="DSL67" s="2936"/>
      <c r="DSM67" s="2936"/>
      <c r="DSN67" s="2936"/>
      <c r="DSO67" s="2936"/>
      <c r="DSP67" s="2936"/>
      <c r="DSQ67" s="2936"/>
      <c r="DSR67" s="2936"/>
      <c r="DSS67" s="2936"/>
      <c r="DST67" s="2936"/>
      <c r="DSU67" s="2936"/>
      <c r="DSV67" s="2936"/>
      <c r="DSW67" s="2936"/>
      <c r="DSX67" s="2936"/>
      <c r="DSY67" s="2936"/>
      <c r="DSZ67" s="2936"/>
      <c r="DTA67" s="2936"/>
      <c r="DTB67" s="2936"/>
      <c r="DTC67" s="2936"/>
      <c r="DTD67" s="2936"/>
      <c r="DTE67" s="2936"/>
      <c r="DTF67" s="2936"/>
      <c r="DTG67" s="2936"/>
      <c r="DTH67" s="2936"/>
      <c r="DTI67" s="2936"/>
      <c r="DTJ67" s="2936"/>
      <c r="DTK67" s="2936"/>
      <c r="DTL67" s="2936"/>
      <c r="DTM67" s="2936"/>
      <c r="DTN67" s="2936"/>
      <c r="DTO67" s="2936"/>
      <c r="DTP67" s="2936"/>
      <c r="DTQ67" s="2936"/>
      <c r="DTR67" s="2936"/>
      <c r="DTS67" s="2936"/>
      <c r="DTT67" s="2936"/>
      <c r="DTU67" s="2936"/>
      <c r="DTV67" s="2936"/>
      <c r="DTW67" s="2936"/>
      <c r="DTX67" s="2936"/>
      <c r="DTY67" s="2936"/>
      <c r="DTZ67" s="2936"/>
      <c r="DUA67" s="2936"/>
      <c r="DUB67" s="2936"/>
      <c r="DUC67" s="2936"/>
      <c r="DUD67" s="2936"/>
      <c r="DUE67" s="2936"/>
      <c r="DUF67" s="2936"/>
      <c r="DUG67" s="2936"/>
      <c r="DUH67" s="2936"/>
      <c r="DUI67" s="2936"/>
      <c r="DUJ67" s="2936"/>
      <c r="DUK67" s="2936"/>
      <c r="DUL67" s="2936"/>
      <c r="DUM67" s="2936"/>
      <c r="DUN67" s="2936"/>
      <c r="DUO67" s="2936"/>
      <c r="DUP67" s="2936"/>
      <c r="DUQ67" s="2936"/>
      <c r="DUR67" s="2936"/>
      <c r="DUS67" s="2936"/>
      <c r="DUT67" s="2936"/>
      <c r="DUU67" s="2936"/>
      <c r="DUV67" s="2936"/>
      <c r="DUW67" s="2936"/>
      <c r="DUX67" s="2936"/>
      <c r="DUY67" s="2936"/>
      <c r="DUZ67" s="2936"/>
      <c r="DVA67" s="2936"/>
      <c r="DVB67" s="2936"/>
      <c r="DVC67" s="2936"/>
      <c r="DVD67" s="2936"/>
      <c r="DVE67" s="2936"/>
      <c r="DVF67" s="2936"/>
      <c r="DVG67" s="2936"/>
      <c r="DVH67" s="2936"/>
      <c r="DVI67" s="2936"/>
      <c r="DVJ67" s="2936"/>
      <c r="DVK67" s="2936"/>
      <c r="DVL67" s="2936"/>
      <c r="DVM67" s="2936"/>
      <c r="DVN67" s="2936"/>
      <c r="DVO67" s="2936"/>
      <c r="DVP67" s="2936"/>
      <c r="DVQ67" s="2936"/>
      <c r="DVR67" s="2936"/>
      <c r="DVS67" s="2936"/>
      <c r="DVT67" s="2936"/>
      <c r="DVU67" s="2936"/>
      <c r="DVV67" s="2936"/>
      <c r="DVW67" s="2936"/>
      <c r="DVX67" s="2936"/>
      <c r="DVY67" s="2936"/>
      <c r="DVZ67" s="2936"/>
      <c r="DWA67" s="2936"/>
      <c r="DWB67" s="2936"/>
      <c r="DWC67" s="2936"/>
      <c r="DWD67" s="2936"/>
      <c r="DWE67" s="2936"/>
      <c r="DWF67" s="2936"/>
      <c r="DWG67" s="2936"/>
      <c r="DWH67" s="2936"/>
      <c r="DWI67" s="2936"/>
      <c r="DWJ67" s="2936"/>
      <c r="DWK67" s="2936"/>
      <c r="DWL67" s="2936"/>
      <c r="DWM67" s="2936"/>
      <c r="DWN67" s="2936"/>
      <c r="DWO67" s="2936"/>
      <c r="DWP67" s="2936"/>
      <c r="DWQ67" s="2936"/>
      <c r="DWR67" s="2936"/>
      <c r="DWS67" s="2936"/>
      <c r="DWT67" s="2936"/>
      <c r="DWU67" s="2936"/>
      <c r="DWV67" s="2936"/>
      <c r="DWW67" s="2936"/>
      <c r="DWX67" s="2936"/>
      <c r="DWY67" s="2936"/>
      <c r="DWZ67" s="2936"/>
      <c r="DXA67" s="2936"/>
      <c r="DXB67" s="2936"/>
      <c r="DXC67" s="2936"/>
      <c r="DXD67" s="2936"/>
      <c r="DXE67" s="2936"/>
      <c r="DXF67" s="2936"/>
      <c r="DXG67" s="2936"/>
      <c r="DXH67" s="2936"/>
      <c r="DXI67" s="2936"/>
      <c r="DXJ67" s="2936"/>
      <c r="DXK67" s="2936"/>
      <c r="DXL67" s="2936"/>
      <c r="DXM67" s="2936"/>
      <c r="DXN67" s="2936"/>
      <c r="DXO67" s="2936"/>
      <c r="DXP67" s="2936"/>
      <c r="DXQ67" s="2936"/>
      <c r="DXR67" s="2936"/>
      <c r="DXS67" s="2936"/>
      <c r="DXT67" s="2936"/>
      <c r="DXU67" s="2936"/>
      <c r="DXV67" s="2936"/>
      <c r="DXW67" s="2936"/>
      <c r="DXX67" s="2936"/>
      <c r="DXY67" s="2936"/>
      <c r="DXZ67" s="2936"/>
      <c r="DYA67" s="2936"/>
      <c r="DYB67" s="2936"/>
      <c r="DYC67" s="2936"/>
      <c r="DYD67" s="2936"/>
      <c r="DYE67" s="2936"/>
      <c r="DYF67" s="2936"/>
      <c r="DYG67" s="2936"/>
      <c r="DYH67" s="2936"/>
      <c r="DYI67" s="2936"/>
      <c r="DYJ67" s="2936"/>
      <c r="DYK67" s="2936"/>
      <c r="DYL67" s="2936"/>
      <c r="DYM67" s="2936"/>
      <c r="DYN67" s="2936"/>
      <c r="DYO67" s="2936"/>
      <c r="DYP67" s="2936"/>
      <c r="DYQ67" s="2936"/>
      <c r="DYR67" s="2936"/>
      <c r="DYS67" s="2936"/>
      <c r="DYT67" s="2936"/>
      <c r="DYU67" s="2936"/>
      <c r="DYV67" s="2936"/>
      <c r="DYW67" s="2936"/>
      <c r="DYX67" s="2936"/>
      <c r="DYY67" s="2936"/>
      <c r="DYZ67" s="2936"/>
      <c r="DZA67" s="2936"/>
      <c r="DZB67" s="2936"/>
      <c r="DZC67" s="2936"/>
      <c r="DZD67" s="2936"/>
      <c r="DZE67" s="2936"/>
      <c r="DZF67" s="2936"/>
      <c r="DZG67" s="2936"/>
      <c r="DZH67" s="2936"/>
      <c r="DZI67" s="2936"/>
      <c r="DZJ67" s="2936"/>
      <c r="DZK67" s="2936"/>
      <c r="DZL67" s="2936"/>
      <c r="DZM67" s="2936"/>
      <c r="DZN67" s="2936"/>
      <c r="DZO67" s="2936"/>
      <c r="DZP67" s="2936"/>
      <c r="DZQ67" s="2936"/>
      <c r="DZR67" s="2936"/>
      <c r="DZS67" s="2936"/>
      <c r="DZT67" s="2936"/>
      <c r="DZU67" s="2936"/>
      <c r="DZV67" s="2936"/>
      <c r="DZW67" s="2936"/>
      <c r="DZX67" s="2936"/>
      <c r="DZY67" s="2936"/>
      <c r="DZZ67" s="2936"/>
      <c r="EAA67" s="2936"/>
      <c r="EAB67" s="2936"/>
      <c r="EAC67" s="2936"/>
      <c r="EAD67" s="2936"/>
      <c r="EAE67" s="2936"/>
      <c r="EAF67" s="2936"/>
      <c r="EAG67" s="2936"/>
      <c r="EAH67" s="2936"/>
      <c r="EAI67" s="2936"/>
      <c r="EAJ67" s="2936"/>
      <c r="EAK67" s="2936"/>
      <c r="EAL67" s="2936"/>
      <c r="EAM67" s="2936"/>
      <c r="EAN67" s="2936"/>
      <c r="EAO67" s="2936"/>
      <c r="EAP67" s="2936"/>
      <c r="EAQ67" s="2936"/>
      <c r="EAR67" s="2936"/>
      <c r="EAS67" s="2936"/>
      <c r="EAT67" s="2936"/>
      <c r="EAU67" s="2936"/>
      <c r="EAV67" s="2936"/>
      <c r="EAW67" s="2936"/>
      <c r="EAX67" s="2936"/>
      <c r="EAY67" s="2936"/>
      <c r="EAZ67" s="2936"/>
      <c r="EBA67" s="2936"/>
      <c r="EBB67" s="2936"/>
      <c r="EBC67" s="2936"/>
      <c r="EBD67" s="2936"/>
      <c r="EBE67" s="2936"/>
      <c r="EBF67" s="2936"/>
      <c r="EBG67" s="2936"/>
      <c r="EBH67" s="2936"/>
      <c r="EBI67" s="2936"/>
      <c r="EBJ67" s="2936"/>
      <c r="EBK67" s="2936"/>
      <c r="EBL67" s="2936"/>
      <c r="EBM67" s="2936"/>
      <c r="EBN67" s="2936"/>
      <c r="EBO67" s="2936"/>
      <c r="EBP67" s="2936"/>
      <c r="EBQ67" s="2936"/>
      <c r="EBR67" s="2936"/>
      <c r="EBS67" s="2936"/>
      <c r="EBT67" s="2936"/>
      <c r="EBU67" s="2936"/>
      <c r="EBV67" s="2936"/>
      <c r="EBW67" s="2936"/>
      <c r="EBX67" s="2936"/>
      <c r="EBY67" s="2936"/>
      <c r="EBZ67" s="2936"/>
      <c r="ECA67" s="2936"/>
      <c r="ECB67" s="2936"/>
      <c r="ECC67" s="2936"/>
      <c r="ECD67" s="2936"/>
      <c r="ECE67" s="2936"/>
      <c r="ECF67" s="2936"/>
      <c r="ECG67" s="2936"/>
      <c r="ECH67" s="2936"/>
      <c r="ECI67" s="2936"/>
      <c r="ECJ67" s="2936"/>
      <c r="ECK67" s="2936"/>
      <c r="ECL67" s="2936"/>
      <c r="ECM67" s="2936"/>
      <c r="ECN67" s="2936"/>
      <c r="ECO67" s="2936"/>
      <c r="ECP67" s="2936"/>
      <c r="ECQ67" s="2936"/>
      <c r="ECR67" s="2936"/>
      <c r="ECS67" s="2936"/>
      <c r="ECT67" s="2936"/>
      <c r="ECU67" s="2936"/>
      <c r="ECV67" s="2936"/>
      <c r="ECW67" s="2936"/>
      <c r="ECX67" s="2936"/>
      <c r="ECY67" s="2936"/>
      <c r="ECZ67" s="2936"/>
      <c r="EDA67" s="2936"/>
      <c r="EDB67" s="2936"/>
      <c r="EDC67" s="2936"/>
      <c r="EDD67" s="2936"/>
      <c r="EDE67" s="2936"/>
      <c r="EDF67" s="2936"/>
      <c r="EDG67" s="2936"/>
      <c r="EDH67" s="2936"/>
      <c r="EDI67" s="2936"/>
      <c r="EDJ67" s="2936"/>
      <c r="EDK67" s="2936"/>
      <c r="EDL67" s="2936"/>
      <c r="EDM67" s="2936"/>
      <c r="EDN67" s="2936"/>
      <c r="EDO67" s="2936"/>
      <c r="EDP67" s="2936"/>
      <c r="EDQ67" s="2936"/>
      <c r="EDR67" s="2936"/>
      <c r="EDS67" s="2936"/>
      <c r="EDT67" s="2936"/>
      <c r="EDU67" s="2936"/>
      <c r="EDV67" s="2936"/>
      <c r="EDW67" s="2936"/>
      <c r="EDX67" s="2936"/>
      <c r="EDY67" s="2936"/>
      <c r="EDZ67" s="2936"/>
      <c r="EEA67" s="2936"/>
      <c r="EEB67" s="2936"/>
      <c r="EEC67" s="2936"/>
      <c r="EED67" s="2936"/>
      <c r="EEE67" s="2936"/>
      <c r="EEF67" s="2936"/>
      <c r="EEG67" s="2936"/>
      <c r="EEH67" s="2936"/>
      <c r="EEI67" s="2936"/>
      <c r="EEJ67" s="2936"/>
      <c r="EEK67" s="2936"/>
      <c r="EEL67" s="2936"/>
      <c r="EEM67" s="2936"/>
      <c r="EEN67" s="2936"/>
      <c r="EEO67" s="2936"/>
      <c r="EEP67" s="2936"/>
      <c r="EEQ67" s="2936"/>
      <c r="EER67" s="2936"/>
      <c r="EES67" s="2936"/>
      <c r="EET67" s="2936"/>
      <c r="EEU67" s="2936"/>
      <c r="EEV67" s="2936"/>
      <c r="EEW67" s="2936"/>
      <c r="EEX67" s="2936"/>
      <c r="EEY67" s="2936"/>
      <c r="EEZ67" s="2936"/>
      <c r="EFA67" s="2936"/>
      <c r="EFB67" s="2936"/>
      <c r="EFC67" s="2936"/>
      <c r="EFD67" s="2936"/>
      <c r="EFE67" s="2936"/>
      <c r="EFF67" s="2936"/>
      <c r="EFG67" s="2936"/>
      <c r="EFH67" s="2936"/>
      <c r="EFI67" s="2936"/>
      <c r="EFJ67" s="2936"/>
      <c r="EFK67" s="2936"/>
      <c r="EFL67" s="2936"/>
      <c r="EFM67" s="2936"/>
      <c r="EFN67" s="2936"/>
      <c r="EFO67" s="2936"/>
      <c r="EFP67" s="2936"/>
      <c r="EFQ67" s="2936"/>
      <c r="EFR67" s="2936"/>
      <c r="EFS67" s="2936"/>
      <c r="EFT67" s="2936"/>
      <c r="EFU67" s="2936"/>
      <c r="EFV67" s="2936"/>
      <c r="EFW67" s="2936"/>
      <c r="EFX67" s="2936"/>
      <c r="EFY67" s="2936"/>
      <c r="EFZ67" s="2936"/>
      <c r="EGA67" s="2936"/>
      <c r="EGB67" s="2936"/>
      <c r="EGC67" s="2936"/>
      <c r="EGD67" s="2936"/>
      <c r="EGE67" s="2936"/>
      <c r="EGF67" s="2936"/>
      <c r="EGG67" s="2936"/>
      <c r="EGH67" s="2936"/>
      <c r="EGI67" s="2936"/>
      <c r="EGJ67" s="2936"/>
      <c r="EGK67" s="2936"/>
      <c r="EGL67" s="2936"/>
      <c r="EGM67" s="2936"/>
      <c r="EGN67" s="2936"/>
      <c r="EGO67" s="2936"/>
      <c r="EGP67" s="2936"/>
      <c r="EGQ67" s="2936"/>
      <c r="EGR67" s="2936"/>
      <c r="EGS67" s="2936"/>
      <c r="EGT67" s="2936"/>
      <c r="EGU67" s="2936"/>
      <c r="EGV67" s="2936"/>
      <c r="EGW67" s="2936"/>
      <c r="EGX67" s="2936"/>
      <c r="EGY67" s="2936"/>
      <c r="EGZ67" s="2936"/>
      <c r="EHA67" s="2936"/>
      <c r="EHB67" s="2936"/>
      <c r="EHC67" s="2936"/>
      <c r="EHD67" s="2936"/>
      <c r="EHE67" s="2936"/>
      <c r="EHF67" s="2936"/>
      <c r="EHG67" s="2936"/>
      <c r="EHH67" s="2936"/>
      <c r="EHI67" s="2936"/>
      <c r="EHJ67" s="2936"/>
      <c r="EHK67" s="2936"/>
      <c r="EHL67" s="2936"/>
      <c r="EHM67" s="2936"/>
      <c r="EHN67" s="2936"/>
      <c r="EHO67" s="2936"/>
      <c r="EHP67" s="2936"/>
      <c r="EHQ67" s="2936"/>
      <c r="EHR67" s="2936"/>
      <c r="EHS67" s="2936"/>
      <c r="EHT67" s="2936"/>
      <c r="EHU67" s="2936"/>
      <c r="EHV67" s="2936"/>
      <c r="EHW67" s="2936"/>
      <c r="EHX67" s="2936"/>
      <c r="EHY67" s="2936"/>
      <c r="EHZ67" s="2936"/>
      <c r="EIA67" s="2936"/>
      <c r="EIB67" s="2936"/>
      <c r="EIC67" s="2936"/>
      <c r="EID67" s="2936"/>
      <c r="EIE67" s="2936"/>
      <c r="EIF67" s="2936"/>
      <c r="EIG67" s="2936"/>
      <c r="EIH67" s="2936"/>
      <c r="EII67" s="2936"/>
      <c r="EIJ67" s="2936"/>
      <c r="EIK67" s="2936"/>
      <c r="EIL67" s="2936"/>
      <c r="EIM67" s="2936"/>
      <c r="EIN67" s="2936"/>
      <c r="EIO67" s="2936"/>
      <c r="EIP67" s="2936"/>
      <c r="EIQ67" s="2936"/>
      <c r="EIR67" s="2936"/>
      <c r="EIS67" s="2936"/>
      <c r="EIT67" s="2936"/>
      <c r="EIU67" s="2936"/>
      <c r="EIV67" s="2936"/>
      <c r="EIW67" s="2936"/>
      <c r="EIX67" s="2936"/>
      <c r="EIY67" s="2936"/>
      <c r="EIZ67" s="2936"/>
      <c r="EJA67" s="2936"/>
      <c r="EJB67" s="2936"/>
      <c r="EJC67" s="2936"/>
      <c r="EJD67" s="2936"/>
      <c r="EJE67" s="2936"/>
      <c r="EJF67" s="2936"/>
      <c r="EJG67" s="2936"/>
      <c r="EJH67" s="2936"/>
      <c r="EJI67" s="2936"/>
      <c r="EJJ67" s="2936"/>
      <c r="EJK67" s="2936"/>
      <c r="EJL67" s="2936"/>
      <c r="EJM67" s="2936"/>
      <c r="EJN67" s="2936"/>
      <c r="EJO67" s="2936"/>
      <c r="EJP67" s="2936"/>
      <c r="EJQ67" s="2936"/>
      <c r="EJR67" s="2936"/>
      <c r="EJS67" s="2936"/>
      <c r="EJT67" s="2936"/>
      <c r="EJU67" s="2936"/>
      <c r="EJV67" s="2936"/>
      <c r="EJW67" s="2936"/>
      <c r="EJX67" s="2936"/>
      <c r="EJY67" s="2936"/>
      <c r="EJZ67" s="2936"/>
      <c r="EKA67" s="2936"/>
      <c r="EKB67" s="2936"/>
      <c r="EKC67" s="2936"/>
      <c r="EKD67" s="2936"/>
      <c r="EKE67" s="2936"/>
      <c r="EKF67" s="2936"/>
      <c r="EKG67" s="2936"/>
      <c r="EKH67" s="2936"/>
      <c r="EKI67" s="2936"/>
      <c r="EKJ67" s="2936"/>
      <c r="EKK67" s="2936"/>
      <c r="EKL67" s="2936"/>
      <c r="EKM67" s="2936"/>
      <c r="EKN67" s="2936"/>
      <c r="EKO67" s="2936"/>
      <c r="EKP67" s="2936"/>
      <c r="EKQ67" s="2936"/>
      <c r="EKR67" s="2936"/>
      <c r="EKS67" s="2936"/>
      <c r="EKT67" s="2936"/>
      <c r="EKU67" s="2936"/>
      <c r="EKV67" s="2936"/>
      <c r="EKW67" s="2936"/>
      <c r="EKX67" s="2936"/>
      <c r="EKY67" s="2936"/>
      <c r="EKZ67" s="2936"/>
      <c r="ELA67" s="2936"/>
      <c r="ELB67" s="2936"/>
      <c r="ELC67" s="2936"/>
      <c r="ELD67" s="2936"/>
      <c r="ELE67" s="2936"/>
      <c r="ELF67" s="2936"/>
      <c r="ELG67" s="2936"/>
      <c r="ELH67" s="2936"/>
      <c r="ELI67" s="2936"/>
      <c r="ELJ67" s="2936"/>
      <c r="ELK67" s="2936"/>
      <c r="ELL67" s="2936"/>
      <c r="ELM67" s="2936"/>
      <c r="ELN67" s="2936"/>
      <c r="ELO67" s="2936"/>
      <c r="ELP67" s="2936"/>
      <c r="ELQ67" s="2936"/>
      <c r="ELR67" s="2936"/>
      <c r="ELS67" s="2936"/>
      <c r="ELT67" s="2936"/>
      <c r="ELU67" s="2936"/>
      <c r="ELV67" s="2936"/>
      <c r="ELW67" s="2936"/>
      <c r="ELX67" s="2936"/>
      <c r="ELY67" s="2936"/>
      <c r="ELZ67" s="2936"/>
      <c r="EMA67" s="2936"/>
      <c r="EMB67" s="2936"/>
      <c r="EMC67" s="2936"/>
      <c r="EMD67" s="2936"/>
      <c r="EME67" s="2936"/>
      <c r="EMF67" s="2936"/>
      <c r="EMG67" s="2936"/>
      <c r="EMH67" s="2936"/>
      <c r="EMI67" s="2936"/>
      <c r="EMJ67" s="2936"/>
      <c r="EMK67" s="2936"/>
      <c r="EML67" s="2936"/>
      <c r="EMM67" s="2936"/>
      <c r="EMN67" s="2936"/>
      <c r="EMO67" s="2936"/>
      <c r="EMP67" s="2936"/>
      <c r="EMQ67" s="2936"/>
      <c r="EMR67" s="2936"/>
      <c r="EMS67" s="2936"/>
      <c r="EMT67" s="2936"/>
      <c r="EMU67" s="2936"/>
      <c r="EMV67" s="2936"/>
      <c r="EMW67" s="2936"/>
      <c r="EMX67" s="2936"/>
      <c r="EMY67" s="2936"/>
      <c r="EMZ67" s="2936"/>
      <c r="ENA67" s="2936"/>
      <c r="ENB67" s="2936"/>
      <c r="ENC67" s="2936"/>
      <c r="END67" s="2936"/>
      <c r="ENE67" s="2936"/>
      <c r="ENF67" s="2936"/>
      <c r="ENG67" s="2936"/>
      <c r="ENH67" s="2936"/>
      <c r="ENI67" s="2936"/>
      <c r="ENJ67" s="2936"/>
      <c r="ENK67" s="2936"/>
      <c r="ENL67" s="2936"/>
      <c r="ENM67" s="2936"/>
      <c r="ENN67" s="2936"/>
      <c r="ENO67" s="2936"/>
      <c r="ENP67" s="2936"/>
      <c r="ENQ67" s="2936"/>
      <c r="ENR67" s="2936"/>
      <c r="ENS67" s="2936"/>
      <c r="ENT67" s="2936"/>
      <c r="ENU67" s="2936"/>
      <c r="ENV67" s="2936"/>
      <c r="ENW67" s="2936"/>
      <c r="ENX67" s="2936"/>
      <c r="ENY67" s="2936"/>
      <c r="ENZ67" s="2936"/>
      <c r="EOA67" s="2936"/>
      <c r="EOB67" s="2936"/>
      <c r="EOC67" s="2936"/>
      <c r="EOD67" s="2936"/>
      <c r="EOE67" s="2936"/>
      <c r="EOF67" s="2936"/>
      <c r="EOG67" s="2936"/>
      <c r="EOH67" s="2936"/>
      <c r="EOI67" s="2936"/>
      <c r="EOJ67" s="2936"/>
      <c r="EOK67" s="2936"/>
      <c r="EOL67" s="2936"/>
      <c r="EOM67" s="2936"/>
      <c r="EON67" s="2936"/>
      <c r="EOO67" s="2936"/>
      <c r="EOP67" s="2936"/>
      <c r="EOQ67" s="2936"/>
      <c r="EOR67" s="2936"/>
      <c r="EOS67" s="2936"/>
      <c r="EOT67" s="2936"/>
      <c r="EOU67" s="2936"/>
      <c r="EOV67" s="2936"/>
      <c r="EOW67" s="2936"/>
      <c r="EOX67" s="2936"/>
      <c r="EOY67" s="2936"/>
      <c r="EOZ67" s="2936"/>
      <c r="EPA67" s="2936"/>
      <c r="EPB67" s="2936"/>
      <c r="EPC67" s="2936"/>
      <c r="EPD67" s="2936"/>
      <c r="EPE67" s="2936"/>
      <c r="EPF67" s="2936"/>
      <c r="EPG67" s="2936"/>
      <c r="EPH67" s="2936"/>
      <c r="EPI67" s="2936"/>
      <c r="EPJ67" s="2936"/>
      <c r="EPK67" s="2936"/>
      <c r="EPL67" s="2936"/>
      <c r="EPM67" s="2936"/>
      <c r="EPN67" s="2936"/>
      <c r="EPO67" s="2936"/>
      <c r="EPP67" s="2936"/>
      <c r="EPQ67" s="2936"/>
      <c r="EPR67" s="2936"/>
      <c r="EPS67" s="2936"/>
      <c r="EPT67" s="2936"/>
      <c r="EPU67" s="2936"/>
      <c r="EPV67" s="2936"/>
      <c r="EPW67" s="2936"/>
      <c r="EPX67" s="2936"/>
      <c r="EPY67" s="2936"/>
      <c r="EPZ67" s="2936"/>
      <c r="EQA67" s="2936"/>
      <c r="EQB67" s="2936"/>
      <c r="EQC67" s="2936"/>
      <c r="EQD67" s="2936"/>
      <c r="EQE67" s="2936"/>
      <c r="EQF67" s="2936"/>
      <c r="EQG67" s="2936"/>
      <c r="EQH67" s="2936"/>
      <c r="EQI67" s="2936"/>
      <c r="EQJ67" s="2936"/>
      <c r="EQK67" s="2936"/>
      <c r="EQL67" s="2936"/>
      <c r="EQM67" s="2936"/>
      <c r="EQN67" s="2936"/>
      <c r="EQO67" s="2936"/>
      <c r="EQP67" s="2936"/>
      <c r="EQQ67" s="2936"/>
      <c r="EQR67" s="2936"/>
      <c r="EQS67" s="2936"/>
      <c r="EQT67" s="2936"/>
      <c r="EQU67" s="2936"/>
      <c r="EQV67" s="2936"/>
      <c r="EQW67" s="2936"/>
      <c r="EQX67" s="2936"/>
      <c r="EQY67" s="2936"/>
      <c r="EQZ67" s="2936"/>
      <c r="ERA67" s="2936"/>
      <c r="ERB67" s="2936"/>
      <c r="ERC67" s="2936"/>
      <c r="ERD67" s="2936"/>
      <c r="ERE67" s="2936"/>
      <c r="ERF67" s="2936"/>
      <c r="ERG67" s="2936"/>
      <c r="ERH67" s="2936"/>
      <c r="ERI67" s="2936"/>
      <c r="ERJ67" s="2936"/>
      <c r="ERK67" s="2936"/>
      <c r="ERL67" s="2936"/>
      <c r="ERM67" s="2936"/>
      <c r="ERN67" s="2936"/>
      <c r="ERO67" s="2936"/>
      <c r="ERP67" s="2936"/>
      <c r="ERQ67" s="2936"/>
      <c r="ERR67" s="2936"/>
      <c r="ERS67" s="2936"/>
      <c r="ERT67" s="2936"/>
      <c r="ERU67" s="2936"/>
      <c r="ERV67" s="2936"/>
      <c r="ERW67" s="2936"/>
      <c r="ERX67" s="2936"/>
      <c r="ERY67" s="2936"/>
      <c r="ERZ67" s="2936"/>
      <c r="ESA67" s="2936"/>
      <c r="ESB67" s="2936"/>
      <c r="ESC67" s="2936"/>
      <c r="ESD67" s="2936"/>
      <c r="ESE67" s="2936"/>
      <c r="ESF67" s="2936"/>
      <c r="ESG67" s="2936"/>
      <c r="ESH67" s="2936"/>
      <c r="ESI67" s="2936"/>
      <c r="ESJ67" s="2936"/>
      <c r="ESK67" s="2936"/>
      <c r="ESL67" s="2936"/>
      <c r="ESM67" s="2936"/>
      <c r="ESN67" s="2936"/>
      <c r="ESO67" s="2936"/>
      <c r="ESP67" s="2936"/>
      <c r="ESQ67" s="2936"/>
      <c r="ESR67" s="2936"/>
      <c r="ESS67" s="2936"/>
      <c r="EST67" s="2936"/>
      <c r="ESU67" s="2936"/>
      <c r="ESV67" s="2936"/>
      <c r="ESW67" s="2936"/>
      <c r="ESX67" s="2936"/>
      <c r="ESY67" s="2936"/>
      <c r="ESZ67" s="2936"/>
      <c r="ETA67" s="2936"/>
      <c r="ETB67" s="2936"/>
      <c r="ETC67" s="2936"/>
      <c r="ETD67" s="2936"/>
      <c r="ETE67" s="2936"/>
      <c r="ETF67" s="2936"/>
      <c r="ETG67" s="2936"/>
      <c r="ETH67" s="2936"/>
      <c r="ETI67" s="2936"/>
      <c r="ETJ67" s="2936"/>
      <c r="ETK67" s="2936"/>
      <c r="ETL67" s="2936"/>
      <c r="ETM67" s="2936"/>
      <c r="ETN67" s="2936"/>
      <c r="ETO67" s="2936"/>
      <c r="ETP67" s="2936"/>
      <c r="ETQ67" s="2936"/>
      <c r="ETR67" s="2936"/>
      <c r="ETS67" s="2936"/>
      <c r="ETT67" s="2936"/>
      <c r="ETU67" s="2936"/>
      <c r="ETV67" s="2936"/>
      <c r="ETW67" s="2936"/>
      <c r="ETX67" s="2936"/>
      <c r="ETY67" s="2936"/>
      <c r="ETZ67" s="2936"/>
      <c r="EUA67" s="2936"/>
      <c r="EUB67" s="2936"/>
      <c r="EUC67" s="2936"/>
      <c r="EUD67" s="2936"/>
      <c r="EUE67" s="2936"/>
      <c r="EUF67" s="2936"/>
      <c r="EUG67" s="2936"/>
      <c r="EUH67" s="2936"/>
      <c r="EUI67" s="2936"/>
      <c r="EUJ67" s="2936"/>
      <c r="EUK67" s="2936"/>
      <c r="EUL67" s="2936"/>
      <c r="EUM67" s="2936"/>
      <c r="EUN67" s="2936"/>
      <c r="EUO67" s="2936"/>
      <c r="EUP67" s="2936"/>
      <c r="EUQ67" s="2936"/>
      <c r="EUR67" s="2936"/>
      <c r="EUS67" s="2936"/>
      <c r="EUT67" s="2936"/>
      <c r="EUU67" s="2936"/>
      <c r="EUV67" s="2936"/>
      <c r="EUW67" s="2936"/>
      <c r="EUX67" s="2936"/>
      <c r="EUY67" s="2936"/>
      <c r="EUZ67" s="2936"/>
      <c r="EVA67" s="2936"/>
      <c r="EVB67" s="2936"/>
      <c r="EVC67" s="2936"/>
      <c r="EVD67" s="2936"/>
      <c r="EVE67" s="2936"/>
      <c r="EVF67" s="2936"/>
      <c r="EVG67" s="2936"/>
      <c r="EVH67" s="2936"/>
      <c r="EVI67" s="2936"/>
      <c r="EVJ67" s="2936"/>
      <c r="EVK67" s="2936"/>
      <c r="EVL67" s="2936"/>
      <c r="EVM67" s="2936"/>
      <c r="EVN67" s="2936"/>
      <c r="EVO67" s="2936"/>
      <c r="EVP67" s="2936"/>
      <c r="EVQ67" s="2936"/>
      <c r="EVR67" s="2936"/>
      <c r="EVS67" s="2936"/>
      <c r="EVT67" s="2936"/>
      <c r="EVU67" s="2936"/>
      <c r="EVV67" s="2936"/>
      <c r="EVW67" s="2936"/>
      <c r="EVX67" s="2936"/>
      <c r="EVY67" s="2936"/>
      <c r="EVZ67" s="2936"/>
      <c r="EWA67" s="2936"/>
      <c r="EWB67" s="2936"/>
      <c r="EWC67" s="2936"/>
      <c r="EWD67" s="2936"/>
      <c r="EWE67" s="2936"/>
      <c r="EWF67" s="2936"/>
      <c r="EWG67" s="2936"/>
      <c r="EWH67" s="2936"/>
      <c r="EWI67" s="2936"/>
      <c r="EWJ67" s="2936"/>
      <c r="EWK67" s="2936"/>
      <c r="EWL67" s="2936"/>
      <c r="EWM67" s="2936"/>
      <c r="EWN67" s="2936"/>
      <c r="EWO67" s="2936"/>
      <c r="EWP67" s="2936"/>
      <c r="EWQ67" s="2936"/>
      <c r="EWR67" s="2936"/>
      <c r="EWS67" s="2936"/>
      <c r="EWT67" s="2936"/>
      <c r="EWU67" s="2936"/>
      <c r="EWV67" s="2936"/>
      <c r="EWW67" s="2936"/>
      <c r="EWX67" s="2936"/>
      <c r="EWY67" s="2936"/>
      <c r="EWZ67" s="2936"/>
      <c r="EXA67" s="2936"/>
      <c r="EXB67" s="2936"/>
      <c r="EXC67" s="2936"/>
      <c r="EXD67" s="2936"/>
      <c r="EXE67" s="2936"/>
      <c r="EXF67" s="2936"/>
      <c r="EXG67" s="2936"/>
      <c r="EXH67" s="2936"/>
      <c r="EXI67" s="2936"/>
      <c r="EXJ67" s="2936"/>
      <c r="EXK67" s="2936"/>
      <c r="EXL67" s="2936"/>
      <c r="EXM67" s="2936"/>
      <c r="EXN67" s="2936"/>
      <c r="EXO67" s="2936"/>
      <c r="EXP67" s="2936"/>
      <c r="EXQ67" s="2936"/>
      <c r="EXR67" s="2936"/>
      <c r="EXS67" s="2936"/>
      <c r="EXT67" s="2936"/>
      <c r="EXU67" s="2936"/>
      <c r="EXV67" s="2936"/>
      <c r="EXW67" s="2936"/>
      <c r="EXX67" s="2936"/>
      <c r="EXY67" s="2936"/>
      <c r="EXZ67" s="2936"/>
      <c r="EYA67" s="2936"/>
      <c r="EYB67" s="2936"/>
      <c r="EYC67" s="2936"/>
      <c r="EYD67" s="2936"/>
      <c r="EYE67" s="2936"/>
      <c r="EYF67" s="2936"/>
      <c r="EYG67" s="2936"/>
      <c r="EYH67" s="2936"/>
      <c r="EYI67" s="2936"/>
      <c r="EYJ67" s="2936"/>
      <c r="EYK67" s="2936"/>
      <c r="EYL67" s="2936"/>
      <c r="EYM67" s="2936"/>
      <c r="EYN67" s="2936"/>
      <c r="EYO67" s="2936"/>
      <c r="EYP67" s="2936"/>
      <c r="EYQ67" s="2936"/>
      <c r="EYR67" s="2936"/>
      <c r="EYS67" s="2936"/>
      <c r="EYT67" s="2936"/>
      <c r="EYU67" s="2936"/>
      <c r="EYV67" s="2936"/>
      <c r="EYW67" s="2936"/>
      <c r="EYX67" s="2936"/>
      <c r="EYY67" s="2936"/>
      <c r="EYZ67" s="2936"/>
      <c r="EZA67" s="2936"/>
      <c r="EZB67" s="2936"/>
      <c r="EZC67" s="2936"/>
      <c r="EZD67" s="2936"/>
      <c r="EZE67" s="2936"/>
      <c r="EZF67" s="2936"/>
      <c r="EZG67" s="2936"/>
      <c r="EZH67" s="2936"/>
      <c r="EZI67" s="2936"/>
      <c r="EZJ67" s="2936"/>
      <c r="EZK67" s="2936"/>
      <c r="EZL67" s="2936"/>
      <c r="EZM67" s="2936"/>
      <c r="EZN67" s="2936"/>
      <c r="EZO67" s="2936"/>
      <c r="EZP67" s="2936"/>
      <c r="EZQ67" s="2936"/>
      <c r="EZR67" s="2936"/>
      <c r="EZS67" s="2936"/>
      <c r="EZT67" s="2936"/>
      <c r="EZU67" s="2936"/>
      <c r="EZV67" s="2936"/>
      <c r="EZW67" s="2936"/>
      <c r="EZX67" s="2936"/>
      <c r="EZY67" s="2936"/>
      <c r="EZZ67" s="2936"/>
      <c r="FAA67" s="2936"/>
      <c r="FAB67" s="2936"/>
      <c r="FAC67" s="2936"/>
      <c r="FAD67" s="2936"/>
      <c r="FAE67" s="2936"/>
      <c r="FAF67" s="2936"/>
      <c r="FAG67" s="2936"/>
      <c r="FAH67" s="2936"/>
      <c r="FAI67" s="2936"/>
      <c r="FAJ67" s="2936"/>
      <c r="FAK67" s="2936"/>
      <c r="FAL67" s="2936"/>
      <c r="FAM67" s="2936"/>
      <c r="FAN67" s="2936"/>
      <c r="FAO67" s="2936"/>
      <c r="FAP67" s="2936"/>
      <c r="FAQ67" s="2936"/>
      <c r="FAR67" s="2936"/>
      <c r="FAS67" s="2936"/>
      <c r="FAT67" s="2936"/>
      <c r="FAU67" s="2936"/>
      <c r="FAV67" s="2936"/>
      <c r="FAW67" s="2936"/>
      <c r="FAX67" s="2936"/>
      <c r="FAY67" s="2936"/>
      <c r="FAZ67" s="2936"/>
      <c r="FBA67" s="2936"/>
      <c r="FBB67" s="2936"/>
      <c r="FBC67" s="2936"/>
      <c r="FBD67" s="2936"/>
      <c r="FBE67" s="2936"/>
      <c r="FBF67" s="2936"/>
      <c r="FBG67" s="2936"/>
      <c r="FBH67" s="2936"/>
      <c r="FBI67" s="2936"/>
      <c r="FBJ67" s="2936"/>
      <c r="FBK67" s="2936"/>
      <c r="FBL67" s="2936"/>
      <c r="FBM67" s="2936"/>
      <c r="FBN67" s="2936"/>
      <c r="FBO67" s="2936"/>
      <c r="FBP67" s="2936"/>
      <c r="FBQ67" s="2936"/>
      <c r="FBR67" s="2936"/>
      <c r="FBS67" s="2936"/>
      <c r="FBT67" s="2936"/>
      <c r="FBU67" s="2936"/>
      <c r="FBV67" s="2936"/>
      <c r="FBW67" s="2936"/>
      <c r="FBX67" s="2936"/>
      <c r="FBY67" s="2936"/>
      <c r="FBZ67" s="2936"/>
      <c r="FCA67" s="2936"/>
      <c r="FCB67" s="2936"/>
      <c r="FCC67" s="2936"/>
      <c r="FCD67" s="2936"/>
      <c r="FCE67" s="2936"/>
      <c r="FCF67" s="2936"/>
      <c r="FCG67" s="2936"/>
      <c r="FCH67" s="2936"/>
      <c r="FCI67" s="2936"/>
      <c r="FCJ67" s="2936"/>
      <c r="FCK67" s="2936"/>
      <c r="FCL67" s="2936"/>
      <c r="FCM67" s="2936"/>
      <c r="FCN67" s="2936"/>
      <c r="FCO67" s="2936"/>
      <c r="FCP67" s="2936"/>
      <c r="FCQ67" s="2936"/>
      <c r="FCR67" s="2936"/>
      <c r="FCS67" s="2936"/>
      <c r="FCT67" s="2936"/>
      <c r="FCU67" s="2936"/>
      <c r="FCV67" s="2936"/>
      <c r="FCW67" s="2936"/>
      <c r="FCX67" s="2936"/>
      <c r="FCY67" s="2936"/>
      <c r="FCZ67" s="2936"/>
      <c r="FDA67" s="2936"/>
      <c r="FDB67" s="2936"/>
      <c r="FDC67" s="2936"/>
      <c r="FDD67" s="2936"/>
      <c r="FDE67" s="2936"/>
      <c r="FDF67" s="2936"/>
      <c r="FDG67" s="2936"/>
      <c r="FDH67" s="2936"/>
      <c r="FDI67" s="2936"/>
      <c r="FDJ67" s="2936"/>
      <c r="FDK67" s="2936"/>
      <c r="FDL67" s="2936"/>
      <c r="FDM67" s="2936"/>
      <c r="FDN67" s="2936"/>
      <c r="FDO67" s="2936"/>
      <c r="FDP67" s="2936"/>
      <c r="FDQ67" s="2936"/>
      <c r="FDR67" s="2936"/>
      <c r="FDS67" s="2936"/>
      <c r="FDT67" s="2936"/>
      <c r="FDU67" s="2936"/>
      <c r="FDV67" s="2936"/>
      <c r="FDW67" s="2936"/>
      <c r="FDX67" s="2936"/>
      <c r="FDY67" s="2936"/>
      <c r="FDZ67" s="2936"/>
      <c r="FEA67" s="2936"/>
      <c r="FEB67" s="2936"/>
      <c r="FEC67" s="2936"/>
      <c r="FED67" s="2936"/>
      <c r="FEE67" s="2936"/>
      <c r="FEF67" s="2936"/>
      <c r="FEG67" s="2936"/>
      <c r="FEH67" s="2936"/>
      <c r="FEI67" s="2936"/>
      <c r="FEJ67" s="2936"/>
      <c r="FEK67" s="2936"/>
      <c r="FEL67" s="2936"/>
      <c r="FEM67" s="2936"/>
      <c r="FEN67" s="2936"/>
      <c r="FEO67" s="2936"/>
      <c r="FEP67" s="2936"/>
      <c r="FEQ67" s="2936"/>
      <c r="FER67" s="2936"/>
      <c r="FES67" s="2936"/>
      <c r="FET67" s="2936"/>
      <c r="FEU67" s="2936"/>
      <c r="FEV67" s="2936"/>
      <c r="FEW67" s="2936"/>
      <c r="FEX67" s="2936"/>
      <c r="FEY67" s="2936"/>
      <c r="FEZ67" s="2936"/>
      <c r="FFA67" s="2936"/>
      <c r="FFB67" s="2936"/>
      <c r="FFC67" s="2936"/>
      <c r="FFD67" s="2936"/>
      <c r="FFE67" s="2936"/>
      <c r="FFF67" s="2936"/>
      <c r="FFG67" s="2936"/>
      <c r="FFH67" s="2936"/>
      <c r="FFI67" s="2936"/>
      <c r="FFJ67" s="2936"/>
      <c r="FFK67" s="2936"/>
      <c r="FFL67" s="2936"/>
      <c r="FFM67" s="2936"/>
      <c r="FFN67" s="2936"/>
      <c r="FFO67" s="2936"/>
      <c r="FFP67" s="2936"/>
      <c r="FFQ67" s="2936"/>
      <c r="FFR67" s="2936"/>
      <c r="FFS67" s="2936"/>
      <c r="FFT67" s="2936"/>
      <c r="FFU67" s="2936"/>
      <c r="FFV67" s="2936"/>
      <c r="FFW67" s="2936"/>
      <c r="FFX67" s="2936"/>
      <c r="FFY67" s="2936"/>
      <c r="FFZ67" s="2936"/>
      <c r="FGA67" s="2936"/>
      <c r="FGB67" s="2936"/>
      <c r="FGC67" s="2936"/>
      <c r="FGD67" s="2936"/>
      <c r="FGE67" s="2936"/>
      <c r="FGF67" s="2936"/>
      <c r="FGG67" s="2936"/>
      <c r="FGH67" s="2936"/>
      <c r="FGI67" s="2936"/>
      <c r="FGJ67" s="2936"/>
      <c r="FGK67" s="2936"/>
      <c r="FGL67" s="2936"/>
      <c r="FGM67" s="2936"/>
      <c r="FGN67" s="2936"/>
      <c r="FGO67" s="2936"/>
      <c r="FGP67" s="2936"/>
      <c r="FGQ67" s="2936"/>
      <c r="FGR67" s="2936"/>
      <c r="FGS67" s="2936"/>
      <c r="FGT67" s="2936"/>
      <c r="FGU67" s="2936"/>
      <c r="FGV67" s="2936"/>
      <c r="FGW67" s="2936"/>
      <c r="FGX67" s="2936"/>
      <c r="FGY67" s="2936"/>
      <c r="FGZ67" s="2936"/>
      <c r="FHA67" s="2936"/>
      <c r="FHB67" s="2936"/>
      <c r="FHC67" s="2936"/>
      <c r="FHD67" s="2936"/>
      <c r="FHE67" s="2936"/>
      <c r="FHF67" s="2936"/>
      <c r="FHG67" s="2936"/>
      <c r="FHH67" s="2936"/>
      <c r="FHI67" s="2936"/>
      <c r="FHJ67" s="2936"/>
      <c r="FHK67" s="2936"/>
      <c r="FHL67" s="2936"/>
      <c r="FHM67" s="2936"/>
      <c r="FHN67" s="2936"/>
      <c r="FHO67" s="2936"/>
      <c r="FHP67" s="2936"/>
      <c r="FHQ67" s="2936"/>
      <c r="FHR67" s="2936"/>
      <c r="FHS67" s="2936"/>
      <c r="FHT67" s="2936"/>
      <c r="FHU67" s="2936"/>
      <c r="FHV67" s="2936"/>
      <c r="FHW67" s="2936"/>
      <c r="FHX67" s="2936"/>
      <c r="FHY67" s="2936"/>
      <c r="FHZ67" s="2936"/>
      <c r="FIA67" s="2936"/>
      <c r="FIB67" s="2936"/>
      <c r="FIC67" s="2936"/>
      <c r="FID67" s="2936"/>
      <c r="FIE67" s="2936"/>
      <c r="FIF67" s="2936"/>
      <c r="FIG67" s="2936"/>
      <c r="FIH67" s="2936"/>
      <c r="FII67" s="2936"/>
      <c r="FIJ67" s="2936"/>
      <c r="FIK67" s="2936"/>
      <c r="FIL67" s="2936"/>
      <c r="FIM67" s="2936"/>
      <c r="FIN67" s="2936"/>
      <c r="FIO67" s="2936"/>
      <c r="FIP67" s="2936"/>
      <c r="FIQ67" s="2936"/>
      <c r="FIR67" s="2936"/>
      <c r="FIS67" s="2936"/>
      <c r="FIT67" s="2936"/>
      <c r="FIU67" s="2936"/>
      <c r="FIV67" s="2936"/>
      <c r="FIW67" s="2936"/>
      <c r="FIX67" s="2936"/>
      <c r="FIY67" s="2936"/>
      <c r="FIZ67" s="2936"/>
      <c r="FJA67" s="2936"/>
      <c r="FJB67" s="2936"/>
      <c r="FJC67" s="2936"/>
      <c r="FJD67" s="2936"/>
      <c r="FJE67" s="2936"/>
      <c r="FJF67" s="2936"/>
      <c r="FJG67" s="2936"/>
      <c r="FJH67" s="2936"/>
      <c r="FJI67" s="2936"/>
      <c r="FJJ67" s="2936"/>
      <c r="FJK67" s="2936"/>
      <c r="FJL67" s="2936"/>
      <c r="FJM67" s="2936"/>
      <c r="FJN67" s="2936"/>
      <c r="FJO67" s="2936"/>
      <c r="FJP67" s="2936"/>
      <c r="FJQ67" s="2936"/>
      <c r="FJR67" s="2936"/>
      <c r="FJS67" s="2936"/>
      <c r="FJT67" s="2936"/>
      <c r="FJU67" s="2936"/>
      <c r="FJV67" s="2936"/>
      <c r="FJW67" s="2936"/>
      <c r="FJX67" s="2936"/>
      <c r="FJY67" s="2936"/>
      <c r="FJZ67" s="2936"/>
      <c r="FKA67" s="2936"/>
      <c r="FKB67" s="2936"/>
      <c r="FKC67" s="2936"/>
      <c r="FKD67" s="2936"/>
      <c r="FKE67" s="2936"/>
      <c r="FKF67" s="2936"/>
      <c r="FKG67" s="2936"/>
      <c r="FKH67" s="2936"/>
      <c r="FKI67" s="2936"/>
      <c r="FKJ67" s="2936"/>
      <c r="FKK67" s="2936"/>
      <c r="FKL67" s="2936"/>
      <c r="FKM67" s="2936"/>
      <c r="FKN67" s="2936"/>
      <c r="FKO67" s="2936"/>
      <c r="FKP67" s="2936"/>
      <c r="FKQ67" s="2936"/>
      <c r="FKR67" s="2936"/>
      <c r="FKS67" s="2936"/>
      <c r="FKT67" s="2936"/>
      <c r="FKU67" s="2936"/>
      <c r="FKV67" s="2936"/>
      <c r="FKW67" s="2936"/>
      <c r="FKX67" s="2936"/>
      <c r="FKY67" s="2936"/>
      <c r="FKZ67" s="2936"/>
      <c r="FLA67" s="2936"/>
      <c r="FLB67" s="2936"/>
      <c r="FLC67" s="2936"/>
      <c r="FLD67" s="2936"/>
      <c r="FLE67" s="2936"/>
      <c r="FLF67" s="2936"/>
      <c r="FLG67" s="2936"/>
      <c r="FLH67" s="2936"/>
      <c r="FLI67" s="2936"/>
      <c r="FLJ67" s="2936"/>
      <c r="FLK67" s="2936"/>
      <c r="FLL67" s="2936"/>
      <c r="FLM67" s="2936"/>
      <c r="FLN67" s="2936"/>
      <c r="FLO67" s="2936"/>
      <c r="FLP67" s="2936"/>
      <c r="FLQ67" s="2936"/>
      <c r="FLR67" s="2936"/>
      <c r="FLS67" s="2936"/>
      <c r="FLT67" s="2936"/>
      <c r="FLU67" s="2936"/>
      <c r="FLV67" s="2936"/>
      <c r="FLW67" s="2936"/>
      <c r="FLX67" s="2936"/>
      <c r="FLY67" s="2936"/>
      <c r="FLZ67" s="2936"/>
      <c r="FMA67" s="2936"/>
      <c r="FMB67" s="2936"/>
      <c r="FMC67" s="2936"/>
      <c r="FMD67" s="2936"/>
      <c r="FME67" s="2936"/>
      <c r="FMF67" s="2936"/>
      <c r="FMG67" s="2936"/>
      <c r="FMH67" s="2936"/>
      <c r="FMI67" s="2936"/>
      <c r="FMJ67" s="2936"/>
      <c r="FMK67" s="2936"/>
      <c r="FML67" s="2936"/>
      <c r="FMM67" s="2936"/>
      <c r="FMN67" s="2936"/>
      <c r="FMO67" s="2936"/>
      <c r="FMP67" s="2936"/>
      <c r="FMQ67" s="2936"/>
      <c r="FMR67" s="2936"/>
      <c r="FMS67" s="2936"/>
      <c r="FMT67" s="2936"/>
      <c r="FMU67" s="2936"/>
      <c r="FMV67" s="2936"/>
      <c r="FMW67" s="2936"/>
      <c r="FMX67" s="2936"/>
      <c r="FMY67" s="2936"/>
      <c r="FMZ67" s="2936"/>
      <c r="FNA67" s="2936"/>
      <c r="FNB67" s="2936"/>
      <c r="FNC67" s="2936"/>
      <c r="FND67" s="2936"/>
      <c r="FNE67" s="2936"/>
      <c r="FNF67" s="2936"/>
      <c r="FNG67" s="2936"/>
      <c r="FNH67" s="2936"/>
      <c r="FNI67" s="2936"/>
      <c r="FNJ67" s="2936"/>
      <c r="FNK67" s="2936"/>
      <c r="FNL67" s="2936"/>
      <c r="FNM67" s="2936"/>
      <c r="FNN67" s="2936"/>
      <c r="FNO67" s="2936"/>
      <c r="FNP67" s="2936"/>
      <c r="FNQ67" s="2936"/>
      <c r="FNR67" s="2936"/>
      <c r="FNS67" s="2936"/>
      <c r="FNT67" s="2936"/>
      <c r="FNU67" s="2936"/>
      <c r="FNV67" s="2936"/>
      <c r="FNW67" s="2936"/>
      <c r="FNX67" s="2936"/>
      <c r="FNY67" s="2936"/>
      <c r="FNZ67" s="2936"/>
      <c r="FOA67" s="2936"/>
      <c r="FOB67" s="2936"/>
      <c r="FOC67" s="2936"/>
      <c r="FOD67" s="2936"/>
      <c r="FOE67" s="2936"/>
      <c r="FOF67" s="2936"/>
      <c r="FOG67" s="2936"/>
      <c r="FOH67" s="2936"/>
      <c r="FOI67" s="2936"/>
      <c r="FOJ67" s="2936"/>
      <c r="FOK67" s="2936"/>
      <c r="FOL67" s="2936"/>
      <c r="FOM67" s="2936"/>
      <c r="FON67" s="2936"/>
      <c r="FOO67" s="2936"/>
      <c r="FOP67" s="2936"/>
      <c r="FOQ67" s="2936"/>
      <c r="FOR67" s="2936"/>
      <c r="FOS67" s="2936"/>
      <c r="FOT67" s="2936"/>
      <c r="FOU67" s="2936"/>
      <c r="FOV67" s="2936"/>
      <c r="FOW67" s="2936"/>
      <c r="FOX67" s="2936"/>
      <c r="FOY67" s="2936"/>
      <c r="FOZ67" s="2936"/>
      <c r="FPA67" s="2936"/>
      <c r="FPB67" s="2936"/>
      <c r="FPC67" s="2936"/>
      <c r="FPD67" s="2936"/>
      <c r="FPE67" s="2936"/>
      <c r="FPF67" s="2936"/>
      <c r="FPG67" s="2936"/>
      <c r="FPH67" s="2936"/>
      <c r="FPI67" s="2936"/>
      <c r="FPJ67" s="2936"/>
      <c r="FPK67" s="2936"/>
      <c r="FPL67" s="2936"/>
      <c r="FPM67" s="2936"/>
      <c r="FPN67" s="2936"/>
      <c r="FPO67" s="2936"/>
      <c r="FPP67" s="2936"/>
      <c r="FPQ67" s="2936"/>
      <c r="FPR67" s="2936"/>
      <c r="FPS67" s="2936"/>
      <c r="FPT67" s="2936"/>
      <c r="FPU67" s="2936"/>
      <c r="FPV67" s="2936"/>
      <c r="FPW67" s="2936"/>
      <c r="FPX67" s="2936"/>
      <c r="FPY67" s="2936"/>
      <c r="FPZ67" s="2936"/>
      <c r="FQA67" s="2936"/>
      <c r="FQB67" s="2936"/>
      <c r="FQC67" s="2936"/>
      <c r="FQD67" s="2936"/>
      <c r="FQE67" s="2936"/>
      <c r="FQF67" s="2936"/>
      <c r="FQG67" s="2936"/>
      <c r="FQH67" s="2936"/>
      <c r="FQI67" s="2936"/>
      <c r="FQJ67" s="2936"/>
      <c r="FQK67" s="2936"/>
      <c r="FQL67" s="2936"/>
      <c r="FQM67" s="2936"/>
      <c r="FQN67" s="2936"/>
      <c r="FQO67" s="2936"/>
      <c r="FQP67" s="2936"/>
      <c r="FQQ67" s="2936"/>
      <c r="FQR67" s="2936"/>
      <c r="FQS67" s="2936"/>
      <c r="FQT67" s="2936"/>
      <c r="FQU67" s="2936"/>
      <c r="FQV67" s="2936"/>
      <c r="FQW67" s="2936"/>
      <c r="FQX67" s="2936"/>
      <c r="FQY67" s="2936"/>
      <c r="FQZ67" s="2936"/>
      <c r="FRA67" s="2936"/>
      <c r="FRB67" s="2936"/>
      <c r="FRC67" s="2936"/>
      <c r="FRD67" s="2936"/>
      <c r="FRE67" s="2936"/>
      <c r="FRF67" s="2936"/>
      <c r="FRG67" s="2936"/>
      <c r="FRH67" s="2936"/>
      <c r="FRI67" s="2936"/>
      <c r="FRJ67" s="2936"/>
      <c r="FRK67" s="2936"/>
      <c r="FRL67" s="2936"/>
      <c r="FRM67" s="2936"/>
      <c r="FRN67" s="2936"/>
      <c r="FRO67" s="2936"/>
      <c r="FRP67" s="2936"/>
      <c r="FRQ67" s="2936"/>
      <c r="FRR67" s="2936"/>
      <c r="FRS67" s="2936"/>
      <c r="FRT67" s="2936"/>
      <c r="FRU67" s="2936"/>
      <c r="FRV67" s="2936"/>
      <c r="FRW67" s="2936"/>
      <c r="FRX67" s="2936"/>
      <c r="FRY67" s="2936"/>
      <c r="FRZ67" s="2936"/>
      <c r="FSA67" s="2936"/>
      <c r="FSB67" s="2936"/>
      <c r="FSC67" s="2936"/>
      <c r="FSD67" s="2936"/>
      <c r="FSE67" s="2936"/>
      <c r="FSF67" s="2936"/>
      <c r="FSG67" s="2936"/>
      <c r="FSH67" s="2936"/>
      <c r="FSI67" s="2936"/>
      <c r="FSJ67" s="2936"/>
      <c r="FSK67" s="2936"/>
      <c r="FSL67" s="2936"/>
      <c r="FSM67" s="2936"/>
      <c r="FSN67" s="2936"/>
      <c r="FSO67" s="2936"/>
      <c r="FSP67" s="2936"/>
      <c r="FSQ67" s="2936"/>
      <c r="FSR67" s="2936"/>
      <c r="FSS67" s="2936"/>
      <c r="FST67" s="2936"/>
      <c r="FSU67" s="2936"/>
      <c r="FSV67" s="2936"/>
      <c r="FSW67" s="2936"/>
      <c r="FSX67" s="2936"/>
      <c r="FSY67" s="2936"/>
      <c r="FSZ67" s="2936"/>
      <c r="FTA67" s="2936"/>
      <c r="FTB67" s="2936"/>
      <c r="FTC67" s="2936"/>
      <c r="FTD67" s="2936"/>
      <c r="FTE67" s="2936"/>
      <c r="FTF67" s="2936"/>
      <c r="FTG67" s="2936"/>
      <c r="FTH67" s="2936"/>
      <c r="FTI67" s="2936"/>
      <c r="FTJ67" s="2936"/>
      <c r="FTK67" s="2936"/>
      <c r="FTL67" s="2936"/>
      <c r="FTM67" s="2936"/>
      <c r="FTN67" s="2936"/>
      <c r="FTO67" s="2936"/>
      <c r="FTP67" s="2936"/>
      <c r="FTQ67" s="2936"/>
      <c r="FTR67" s="2936"/>
      <c r="FTS67" s="2936"/>
      <c r="FTT67" s="2936"/>
      <c r="FTU67" s="2936"/>
      <c r="FTV67" s="2936"/>
      <c r="FTW67" s="2936"/>
      <c r="FTX67" s="2936"/>
      <c r="FTY67" s="2936"/>
      <c r="FTZ67" s="2936"/>
      <c r="FUA67" s="2936"/>
      <c r="FUB67" s="2936"/>
      <c r="FUC67" s="2936"/>
      <c r="FUD67" s="2936"/>
      <c r="FUE67" s="2936"/>
      <c r="FUF67" s="2936"/>
      <c r="FUG67" s="2936"/>
      <c r="FUH67" s="2936"/>
      <c r="FUI67" s="2936"/>
      <c r="FUJ67" s="2936"/>
      <c r="FUK67" s="2936"/>
      <c r="FUL67" s="2936"/>
      <c r="FUM67" s="2936"/>
      <c r="FUN67" s="2936"/>
      <c r="FUO67" s="2936"/>
      <c r="FUP67" s="2936"/>
      <c r="FUQ67" s="2936"/>
      <c r="FUR67" s="2936"/>
      <c r="FUS67" s="2936"/>
      <c r="FUT67" s="2936"/>
      <c r="FUU67" s="2936"/>
      <c r="FUV67" s="2936"/>
      <c r="FUW67" s="2936"/>
      <c r="FUX67" s="2936"/>
      <c r="FUY67" s="2936"/>
      <c r="FUZ67" s="2936"/>
      <c r="FVA67" s="2936"/>
      <c r="FVB67" s="2936"/>
      <c r="FVC67" s="2936"/>
      <c r="FVD67" s="2936"/>
      <c r="FVE67" s="2936"/>
      <c r="FVF67" s="2936"/>
      <c r="FVG67" s="2936"/>
      <c r="FVH67" s="2936"/>
      <c r="FVI67" s="2936"/>
      <c r="FVJ67" s="2936"/>
      <c r="FVK67" s="2936"/>
      <c r="FVL67" s="2936"/>
      <c r="FVM67" s="2936"/>
      <c r="FVN67" s="2936"/>
      <c r="FVO67" s="2936"/>
      <c r="FVP67" s="2936"/>
      <c r="FVQ67" s="2936"/>
      <c r="FVR67" s="2936"/>
      <c r="FVS67" s="2936"/>
      <c r="FVT67" s="2936"/>
      <c r="FVU67" s="2936"/>
      <c r="FVV67" s="2936"/>
      <c r="FVW67" s="2936"/>
      <c r="FVX67" s="2936"/>
      <c r="FVY67" s="2936"/>
      <c r="FVZ67" s="2936"/>
      <c r="FWA67" s="2936"/>
      <c r="FWB67" s="2936"/>
      <c r="FWC67" s="2936"/>
      <c r="FWD67" s="2936"/>
      <c r="FWE67" s="2936"/>
      <c r="FWF67" s="2936"/>
      <c r="FWG67" s="2936"/>
      <c r="FWH67" s="2936"/>
      <c r="FWI67" s="2936"/>
      <c r="FWJ67" s="2936"/>
      <c r="FWK67" s="2936"/>
      <c r="FWL67" s="2936"/>
      <c r="FWM67" s="2936"/>
      <c r="FWN67" s="2936"/>
      <c r="FWO67" s="2936"/>
      <c r="FWP67" s="2936"/>
      <c r="FWQ67" s="2936"/>
      <c r="FWR67" s="2936"/>
      <c r="FWS67" s="2936"/>
      <c r="FWT67" s="2936"/>
      <c r="FWU67" s="2936"/>
      <c r="FWV67" s="2936"/>
      <c r="FWW67" s="2936"/>
      <c r="FWX67" s="2936"/>
      <c r="FWY67" s="2936"/>
      <c r="FWZ67" s="2936"/>
      <c r="FXA67" s="2936"/>
      <c r="FXB67" s="2936"/>
      <c r="FXC67" s="2936"/>
      <c r="FXD67" s="2936"/>
      <c r="FXE67" s="2936"/>
      <c r="FXF67" s="2936"/>
      <c r="FXG67" s="2936"/>
      <c r="FXH67" s="2936"/>
      <c r="FXI67" s="2936"/>
      <c r="FXJ67" s="2936"/>
      <c r="FXK67" s="2936"/>
      <c r="FXL67" s="2936"/>
      <c r="FXM67" s="2936"/>
      <c r="FXN67" s="2936"/>
      <c r="FXO67" s="2936"/>
      <c r="FXP67" s="2936"/>
      <c r="FXQ67" s="2936"/>
      <c r="FXR67" s="2936"/>
      <c r="FXS67" s="2936"/>
      <c r="FXT67" s="2936"/>
      <c r="FXU67" s="2936"/>
      <c r="FXV67" s="2936"/>
      <c r="FXW67" s="2936"/>
      <c r="FXX67" s="2936"/>
      <c r="FXY67" s="2936"/>
      <c r="FXZ67" s="2936"/>
      <c r="FYA67" s="2936"/>
      <c r="FYB67" s="2936"/>
      <c r="FYC67" s="2936"/>
      <c r="FYD67" s="2936"/>
      <c r="FYE67" s="2936"/>
      <c r="FYF67" s="2936"/>
      <c r="FYG67" s="2936"/>
      <c r="FYH67" s="2936"/>
      <c r="FYI67" s="2936"/>
      <c r="FYJ67" s="2936"/>
      <c r="FYK67" s="2936"/>
      <c r="FYL67" s="2936"/>
      <c r="FYM67" s="2936"/>
      <c r="FYN67" s="2936"/>
      <c r="FYO67" s="2936"/>
      <c r="FYP67" s="2936"/>
      <c r="FYQ67" s="2936"/>
      <c r="FYR67" s="2936"/>
      <c r="FYS67" s="2936"/>
      <c r="FYT67" s="2936"/>
      <c r="FYU67" s="2936"/>
      <c r="FYV67" s="2936"/>
      <c r="FYW67" s="2936"/>
      <c r="FYX67" s="2936"/>
      <c r="FYY67" s="2936"/>
      <c r="FYZ67" s="2936"/>
      <c r="FZA67" s="2936"/>
      <c r="FZB67" s="2936"/>
      <c r="FZC67" s="2936"/>
      <c r="FZD67" s="2936"/>
      <c r="FZE67" s="2936"/>
      <c r="FZF67" s="2936"/>
      <c r="FZG67" s="2936"/>
      <c r="FZH67" s="2936"/>
      <c r="FZI67" s="2936"/>
      <c r="FZJ67" s="2936"/>
      <c r="FZK67" s="2936"/>
      <c r="FZL67" s="2936"/>
      <c r="FZM67" s="2936"/>
      <c r="FZN67" s="2936"/>
      <c r="FZO67" s="2936"/>
      <c r="FZP67" s="2936"/>
      <c r="FZQ67" s="2936"/>
      <c r="FZR67" s="2936"/>
      <c r="FZS67" s="2936"/>
      <c r="FZT67" s="2936"/>
      <c r="FZU67" s="2936"/>
      <c r="FZV67" s="2936"/>
      <c r="FZW67" s="2936"/>
      <c r="FZX67" s="2936"/>
      <c r="FZY67" s="2936"/>
      <c r="FZZ67" s="2936"/>
      <c r="GAA67" s="2936"/>
      <c r="GAB67" s="2936"/>
      <c r="GAC67" s="2936"/>
      <c r="GAD67" s="2936"/>
      <c r="GAE67" s="2936"/>
      <c r="GAF67" s="2936"/>
      <c r="GAG67" s="2936"/>
      <c r="GAH67" s="2936"/>
      <c r="GAI67" s="2936"/>
      <c r="GAJ67" s="2936"/>
      <c r="GAK67" s="2936"/>
      <c r="GAL67" s="2936"/>
      <c r="GAM67" s="2936"/>
      <c r="GAN67" s="2936"/>
      <c r="GAO67" s="2936"/>
      <c r="GAP67" s="2936"/>
      <c r="GAQ67" s="2936"/>
      <c r="GAR67" s="2936"/>
      <c r="GAS67" s="2936"/>
      <c r="GAT67" s="2936"/>
      <c r="GAU67" s="2936"/>
      <c r="GAV67" s="2936"/>
      <c r="GAW67" s="2936"/>
      <c r="GAX67" s="2936"/>
      <c r="GAY67" s="2936"/>
      <c r="GAZ67" s="2936"/>
      <c r="GBA67" s="2936"/>
      <c r="GBB67" s="2936"/>
      <c r="GBC67" s="2936"/>
      <c r="GBD67" s="2936"/>
      <c r="GBE67" s="2936"/>
      <c r="GBF67" s="2936"/>
      <c r="GBG67" s="2936"/>
      <c r="GBH67" s="2936"/>
      <c r="GBI67" s="2936"/>
      <c r="GBJ67" s="2936"/>
      <c r="GBK67" s="2936"/>
      <c r="GBL67" s="2936"/>
      <c r="GBM67" s="2936"/>
      <c r="GBN67" s="2936"/>
      <c r="GBO67" s="2936"/>
      <c r="GBP67" s="2936"/>
      <c r="GBQ67" s="2936"/>
      <c r="GBR67" s="2936"/>
      <c r="GBS67" s="2936"/>
      <c r="GBT67" s="2936"/>
      <c r="GBU67" s="2936"/>
      <c r="GBV67" s="2936"/>
      <c r="GBW67" s="2936"/>
      <c r="GBX67" s="2936"/>
      <c r="GBY67" s="2936"/>
      <c r="GBZ67" s="2936"/>
      <c r="GCA67" s="2936"/>
      <c r="GCB67" s="2936"/>
      <c r="GCC67" s="2936"/>
      <c r="GCD67" s="2936"/>
      <c r="GCE67" s="2936"/>
      <c r="GCF67" s="2936"/>
      <c r="GCG67" s="2936"/>
      <c r="GCH67" s="2936"/>
      <c r="GCI67" s="2936"/>
      <c r="GCJ67" s="2936"/>
      <c r="GCK67" s="2936"/>
      <c r="GCL67" s="2936"/>
      <c r="GCM67" s="2936"/>
      <c r="GCN67" s="2936"/>
      <c r="GCO67" s="2936"/>
      <c r="GCP67" s="2936"/>
      <c r="GCQ67" s="2936"/>
      <c r="GCR67" s="2936"/>
      <c r="GCS67" s="2936"/>
      <c r="GCT67" s="2936"/>
      <c r="GCU67" s="2936"/>
      <c r="GCV67" s="2936"/>
      <c r="GCW67" s="2936"/>
      <c r="GCX67" s="2936"/>
      <c r="GCY67" s="2936"/>
      <c r="GCZ67" s="2936"/>
      <c r="GDA67" s="2936"/>
      <c r="GDB67" s="2936"/>
      <c r="GDC67" s="2936"/>
      <c r="GDD67" s="2936"/>
      <c r="GDE67" s="2936"/>
      <c r="GDF67" s="2936"/>
      <c r="GDG67" s="2936"/>
      <c r="GDH67" s="2936"/>
      <c r="GDI67" s="2936"/>
      <c r="GDJ67" s="2936"/>
      <c r="GDK67" s="2936"/>
      <c r="GDL67" s="2936"/>
      <c r="GDM67" s="2936"/>
      <c r="GDN67" s="2936"/>
      <c r="GDO67" s="2936"/>
      <c r="GDP67" s="2936"/>
      <c r="GDQ67" s="2936"/>
      <c r="GDR67" s="2936"/>
      <c r="GDS67" s="2936"/>
      <c r="GDT67" s="2936"/>
      <c r="GDU67" s="2936"/>
      <c r="GDV67" s="2936"/>
      <c r="GDW67" s="2936"/>
      <c r="GDX67" s="2936"/>
      <c r="GDY67" s="2936"/>
      <c r="GDZ67" s="2936"/>
      <c r="GEA67" s="2936"/>
      <c r="GEB67" s="2936"/>
      <c r="GEC67" s="2936"/>
      <c r="GED67" s="2936"/>
      <c r="GEE67" s="2936"/>
      <c r="GEF67" s="2936"/>
      <c r="GEG67" s="2936"/>
      <c r="GEH67" s="2936"/>
      <c r="GEI67" s="2936"/>
      <c r="GEJ67" s="2936"/>
      <c r="GEK67" s="2936"/>
      <c r="GEL67" s="2936"/>
      <c r="GEM67" s="2936"/>
      <c r="GEN67" s="2936"/>
      <c r="GEO67" s="2936"/>
      <c r="GEP67" s="2936"/>
      <c r="GEQ67" s="2936"/>
      <c r="GER67" s="2936"/>
      <c r="GES67" s="2936"/>
      <c r="GET67" s="2936"/>
      <c r="GEU67" s="2936"/>
      <c r="GEV67" s="2936"/>
      <c r="GEW67" s="2936"/>
      <c r="GEX67" s="2936"/>
      <c r="GEY67" s="2936"/>
      <c r="GEZ67" s="2936"/>
      <c r="GFA67" s="2936"/>
      <c r="GFB67" s="2936"/>
      <c r="GFC67" s="2936"/>
      <c r="GFD67" s="2936"/>
      <c r="GFE67" s="2936"/>
      <c r="GFF67" s="2936"/>
      <c r="GFG67" s="2936"/>
      <c r="GFH67" s="2936"/>
      <c r="GFI67" s="2936"/>
      <c r="GFJ67" s="2936"/>
      <c r="GFK67" s="2936"/>
      <c r="GFL67" s="2936"/>
      <c r="GFM67" s="2936"/>
      <c r="GFN67" s="2936"/>
      <c r="GFO67" s="2936"/>
      <c r="GFP67" s="2936"/>
      <c r="GFQ67" s="2936"/>
      <c r="GFR67" s="2936"/>
      <c r="GFS67" s="2936"/>
      <c r="GFT67" s="2936"/>
      <c r="GFU67" s="2936"/>
      <c r="GFV67" s="2936"/>
      <c r="GFW67" s="2936"/>
      <c r="GFX67" s="2936"/>
      <c r="GFY67" s="2936"/>
      <c r="GFZ67" s="2936"/>
      <c r="GGA67" s="2936"/>
      <c r="GGB67" s="2936"/>
      <c r="GGC67" s="2936"/>
      <c r="GGD67" s="2936"/>
      <c r="GGE67" s="2936"/>
      <c r="GGF67" s="2936"/>
      <c r="GGG67" s="2936"/>
      <c r="GGH67" s="2936"/>
      <c r="GGI67" s="2936"/>
      <c r="GGJ67" s="2936"/>
      <c r="GGK67" s="2936"/>
      <c r="GGL67" s="2936"/>
      <c r="GGM67" s="2936"/>
      <c r="GGN67" s="2936"/>
      <c r="GGO67" s="2936"/>
      <c r="GGP67" s="2936"/>
      <c r="GGQ67" s="2936"/>
      <c r="GGR67" s="2936"/>
      <c r="GGS67" s="2936"/>
      <c r="GGT67" s="2936"/>
      <c r="GGU67" s="2936"/>
      <c r="GGV67" s="2936"/>
      <c r="GGW67" s="2936"/>
      <c r="GGX67" s="2936"/>
      <c r="GGY67" s="2936"/>
      <c r="GGZ67" s="2936"/>
      <c r="GHA67" s="2936"/>
      <c r="GHB67" s="2936"/>
      <c r="GHC67" s="2936"/>
      <c r="GHD67" s="2936"/>
      <c r="GHE67" s="2936"/>
      <c r="GHF67" s="2936"/>
      <c r="GHG67" s="2936"/>
      <c r="GHH67" s="2936"/>
      <c r="GHI67" s="2936"/>
      <c r="GHJ67" s="2936"/>
      <c r="GHK67" s="2936"/>
      <c r="GHL67" s="2936"/>
      <c r="GHM67" s="2936"/>
      <c r="GHN67" s="2936"/>
      <c r="GHO67" s="2936"/>
      <c r="GHP67" s="2936"/>
      <c r="GHQ67" s="2936"/>
      <c r="GHR67" s="2936"/>
      <c r="GHS67" s="2936"/>
      <c r="GHT67" s="2936"/>
      <c r="GHU67" s="2936"/>
      <c r="GHV67" s="2936"/>
      <c r="GHW67" s="2936"/>
      <c r="GHX67" s="2936"/>
      <c r="GHY67" s="2936"/>
      <c r="GHZ67" s="2936"/>
      <c r="GIA67" s="2936"/>
      <c r="GIB67" s="2936"/>
      <c r="GIC67" s="2936"/>
      <c r="GID67" s="2936"/>
      <c r="GIE67" s="2936"/>
      <c r="GIF67" s="2936"/>
      <c r="GIG67" s="2936"/>
      <c r="GIH67" s="2936"/>
      <c r="GII67" s="2936"/>
      <c r="GIJ67" s="2936"/>
      <c r="GIK67" s="2936"/>
      <c r="GIL67" s="2936"/>
      <c r="GIM67" s="2936"/>
      <c r="GIN67" s="2936"/>
      <c r="GIO67" s="2936"/>
      <c r="GIP67" s="2936"/>
      <c r="GIQ67" s="2936"/>
      <c r="GIR67" s="2936"/>
      <c r="GIS67" s="2936"/>
      <c r="GIT67" s="2936"/>
      <c r="GIU67" s="2936"/>
      <c r="GIV67" s="2936"/>
      <c r="GIW67" s="2936"/>
      <c r="GIX67" s="2936"/>
      <c r="GIY67" s="2936"/>
      <c r="GIZ67" s="2936"/>
      <c r="GJA67" s="2936"/>
      <c r="GJB67" s="2936"/>
      <c r="GJC67" s="2936"/>
      <c r="GJD67" s="2936"/>
      <c r="GJE67" s="2936"/>
      <c r="GJF67" s="2936"/>
      <c r="GJG67" s="2936"/>
      <c r="GJH67" s="2936"/>
      <c r="GJI67" s="2936"/>
      <c r="GJJ67" s="2936"/>
      <c r="GJK67" s="2936"/>
      <c r="GJL67" s="2936"/>
      <c r="GJM67" s="2936"/>
      <c r="GJN67" s="2936"/>
      <c r="GJO67" s="2936"/>
      <c r="GJP67" s="2936"/>
      <c r="GJQ67" s="2936"/>
      <c r="GJR67" s="2936"/>
      <c r="GJS67" s="2936"/>
      <c r="GJT67" s="2936"/>
      <c r="GJU67" s="2936"/>
      <c r="GJV67" s="2936"/>
      <c r="GJW67" s="2936"/>
      <c r="GJX67" s="2936"/>
      <c r="GJY67" s="2936"/>
      <c r="GJZ67" s="2936"/>
      <c r="GKA67" s="2936"/>
      <c r="GKB67" s="2936"/>
      <c r="GKC67" s="2936"/>
      <c r="GKD67" s="2936"/>
      <c r="GKE67" s="2936"/>
      <c r="GKF67" s="2936"/>
      <c r="GKG67" s="2936"/>
      <c r="GKH67" s="2936"/>
      <c r="GKI67" s="2936"/>
      <c r="GKJ67" s="2936"/>
      <c r="GKK67" s="2936"/>
      <c r="GKL67" s="2936"/>
      <c r="GKM67" s="2936"/>
      <c r="GKN67" s="2936"/>
      <c r="GKO67" s="2936"/>
      <c r="GKP67" s="2936"/>
      <c r="GKQ67" s="2936"/>
      <c r="GKR67" s="2936"/>
      <c r="GKS67" s="2936"/>
      <c r="GKT67" s="2936"/>
      <c r="GKU67" s="2936"/>
      <c r="GKV67" s="2936"/>
      <c r="GKW67" s="2936"/>
      <c r="GKX67" s="2936"/>
      <c r="GKY67" s="2936"/>
      <c r="GKZ67" s="2936"/>
      <c r="GLA67" s="2936"/>
      <c r="GLB67" s="2936"/>
      <c r="GLC67" s="2936"/>
      <c r="GLD67" s="2936"/>
      <c r="GLE67" s="2936"/>
      <c r="GLF67" s="2936"/>
      <c r="GLG67" s="2936"/>
      <c r="GLH67" s="2936"/>
      <c r="GLI67" s="2936"/>
      <c r="GLJ67" s="2936"/>
      <c r="GLK67" s="2936"/>
      <c r="GLL67" s="2936"/>
      <c r="GLM67" s="2936"/>
      <c r="GLN67" s="2936"/>
      <c r="GLO67" s="2936"/>
      <c r="GLP67" s="2936"/>
      <c r="GLQ67" s="2936"/>
      <c r="GLR67" s="2936"/>
      <c r="GLS67" s="2936"/>
      <c r="GLT67" s="2936"/>
      <c r="GLU67" s="2936"/>
      <c r="GLV67" s="2936"/>
      <c r="GLW67" s="2936"/>
      <c r="GLX67" s="2936"/>
      <c r="GLY67" s="2936"/>
      <c r="GLZ67" s="2936"/>
      <c r="GMA67" s="2936"/>
      <c r="GMB67" s="2936"/>
      <c r="GMC67" s="2936"/>
      <c r="GMD67" s="2936"/>
      <c r="GME67" s="2936"/>
      <c r="GMF67" s="2936"/>
      <c r="GMG67" s="2936"/>
      <c r="GMH67" s="2936"/>
      <c r="GMI67" s="2936"/>
      <c r="GMJ67" s="2936"/>
      <c r="GMK67" s="2936"/>
      <c r="GML67" s="2936"/>
      <c r="GMM67" s="2936"/>
      <c r="GMN67" s="2936"/>
      <c r="GMO67" s="2936"/>
      <c r="GMP67" s="2936"/>
      <c r="GMQ67" s="2936"/>
      <c r="GMR67" s="2936"/>
      <c r="GMS67" s="2936"/>
      <c r="GMT67" s="2936"/>
      <c r="GMU67" s="2936"/>
      <c r="GMV67" s="2936"/>
      <c r="GMW67" s="2936"/>
      <c r="GMX67" s="2936"/>
      <c r="GMY67" s="2936"/>
      <c r="GMZ67" s="2936"/>
      <c r="GNA67" s="2936"/>
      <c r="GNB67" s="2936"/>
      <c r="GNC67" s="2936"/>
      <c r="GND67" s="2936"/>
      <c r="GNE67" s="2936"/>
      <c r="GNF67" s="2936"/>
      <c r="GNG67" s="2936"/>
      <c r="GNH67" s="2936"/>
      <c r="GNI67" s="2936"/>
      <c r="GNJ67" s="2936"/>
      <c r="GNK67" s="2936"/>
      <c r="GNL67" s="2936"/>
      <c r="GNM67" s="2936"/>
      <c r="GNN67" s="2936"/>
      <c r="GNO67" s="2936"/>
      <c r="GNP67" s="2936"/>
      <c r="GNQ67" s="2936"/>
      <c r="GNR67" s="2936"/>
      <c r="GNS67" s="2936"/>
      <c r="GNT67" s="2936"/>
      <c r="GNU67" s="2936"/>
      <c r="GNV67" s="2936"/>
      <c r="GNW67" s="2936"/>
      <c r="GNX67" s="2936"/>
      <c r="GNY67" s="2936"/>
      <c r="GNZ67" s="2936"/>
      <c r="GOA67" s="2936"/>
      <c r="GOB67" s="2936"/>
      <c r="GOC67" s="2936"/>
      <c r="GOD67" s="2936"/>
      <c r="GOE67" s="2936"/>
      <c r="GOF67" s="2936"/>
      <c r="GOG67" s="2936"/>
      <c r="GOH67" s="2936"/>
      <c r="GOI67" s="2936"/>
      <c r="GOJ67" s="2936"/>
      <c r="GOK67" s="2936"/>
      <c r="GOL67" s="2936"/>
      <c r="GOM67" s="2936"/>
      <c r="GON67" s="2936"/>
      <c r="GOO67" s="2936"/>
      <c r="GOP67" s="2936"/>
      <c r="GOQ67" s="2936"/>
      <c r="GOR67" s="2936"/>
      <c r="GOS67" s="2936"/>
      <c r="GOT67" s="2936"/>
      <c r="GOU67" s="2936"/>
      <c r="GOV67" s="2936"/>
      <c r="GOW67" s="2936"/>
      <c r="GOX67" s="2936"/>
      <c r="GOY67" s="2936"/>
      <c r="GOZ67" s="2936"/>
      <c r="GPA67" s="2936"/>
      <c r="GPB67" s="2936"/>
      <c r="GPC67" s="2936"/>
      <c r="GPD67" s="2936"/>
      <c r="GPE67" s="2936"/>
      <c r="GPF67" s="2936"/>
      <c r="GPG67" s="2936"/>
      <c r="GPH67" s="2936"/>
      <c r="GPI67" s="2936"/>
      <c r="GPJ67" s="2936"/>
      <c r="GPK67" s="2936"/>
      <c r="GPL67" s="2936"/>
      <c r="GPM67" s="2936"/>
      <c r="GPN67" s="2936"/>
      <c r="GPO67" s="2936"/>
      <c r="GPP67" s="2936"/>
      <c r="GPQ67" s="2936"/>
      <c r="GPR67" s="2936"/>
      <c r="GPS67" s="2936"/>
      <c r="GPT67" s="2936"/>
      <c r="GPU67" s="2936"/>
      <c r="GPV67" s="2936"/>
      <c r="GPW67" s="2936"/>
      <c r="GPX67" s="2936"/>
      <c r="GPY67" s="2936"/>
      <c r="GPZ67" s="2936"/>
      <c r="GQA67" s="2936"/>
      <c r="GQB67" s="2936"/>
      <c r="GQC67" s="2936"/>
      <c r="GQD67" s="2936"/>
      <c r="GQE67" s="2936"/>
      <c r="GQF67" s="2936"/>
      <c r="GQG67" s="2936"/>
      <c r="GQH67" s="2936"/>
      <c r="GQI67" s="2936"/>
      <c r="GQJ67" s="2936"/>
      <c r="GQK67" s="2936"/>
      <c r="GQL67" s="2936"/>
      <c r="GQM67" s="2936"/>
      <c r="GQN67" s="2936"/>
      <c r="GQO67" s="2936"/>
      <c r="GQP67" s="2936"/>
      <c r="GQQ67" s="2936"/>
      <c r="GQR67" s="2936"/>
      <c r="GQS67" s="2936"/>
      <c r="GQT67" s="2936"/>
      <c r="GQU67" s="2936"/>
      <c r="GQV67" s="2936"/>
      <c r="GQW67" s="2936"/>
      <c r="GQX67" s="2936"/>
      <c r="GQY67" s="2936"/>
      <c r="GQZ67" s="2936"/>
      <c r="GRA67" s="2936"/>
      <c r="GRB67" s="2936"/>
      <c r="GRC67" s="2936"/>
      <c r="GRD67" s="2936"/>
      <c r="GRE67" s="2936"/>
      <c r="GRF67" s="2936"/>
      <c r="GRG67" s="2936"/>
      <c r="GRH67" s="2936"/>
      <c r="GRI67" s="2936"/>
      <c r="GRJ67" s="2936"/>
      <c r="GRK67" s="2936"/>
      <c r="GRL67" s="2936"/>
      <c r="GRM67" s="2936"/>
      <c r="GRN67" s="2936"/>
      <c r="GRO67" s="2936"/>
      <c r="GRP67" s="2936"/>
      <c r="GRQ67" s="2936"/>
      <c r="GRR67" s="2936"/>
      <c r="GRS67" s="2936"/>
      <c r="GRT67" s="2936"/>
      <c r="GRU67" s="2936"/>
      <c r="GRV67" s="2936"/>
      <c r="GRW67" s="2936"/>
      <c r="GRX67" s="2936"/>
      <c r="GRY67" s="2936"/>
      <c r="GRZ67" s="2936"/>
      <c r="GSA67" s="2936"/>
      <c r="GSB67" s="2936"/>
      <c r="GSC67" s="2936"/>
      <c r="GSD67" s="2936"/>
      <c r="GSE67" s="2936"/>
      <c r="GSF67" s="2936"/>
      <c r="GSG67" s="2936"/>
      <c r="GSH67" s="2936"/>
      <c r="GSI67" s="2936"/>
      <c r="GSJ67" s="2936"/>
      <c r="GSK67" s="2936"/>
      <c r="GSL67" s="2936"/>
      <c r="GSM67" s="2936"/>
      <c r="GSN67" s="2936"/>
      <c r="GSO67" s="2936"/>
      <c r="GSP67" s="2936"/>
      <c r="GSQ67" s="2936"/>
      <c r="GSR67" s="2936"/>
      <c r="GSS67" s="2936"/>
      <c r="GST67" s="2936"/>
      <c r="GSU67" s="2936"/>
      <c r="GSV67" s="2936"/>
      <c r="GSW67" s="2936"/>
      <c r="GSX67" s="2936"/>
      <c r="GSY67" s="2936"/>
      <c r="GSZ67" s="2936"/>
      <c r="GTA67" s="2936"/>
      <c r="GTB67" s="2936"/>
      <c r="GTC67" s="2936"/>
      <c r="GTD67" s="2936"/>
      <c r="GTE67" s="2936"/>
      <c r="GTF67" s="2936"/>
      <c r="GTG67" s="2936"/>
      <c r="GTH67" s="2936"/>
      <c r="GTI67" s="2936"/>
      <c r="GTJ67" s="2936"/>
      <c r="GTK67" s="2936"/>
      <c r="GTL67" s="2936"/>
      <c r="GTM67" s="2936"/>
      <c r="GTN67" s="2936"/>
      <c r="GTO67" s="2936"/>
      <c r="GTP67" s="2936"/>
      <c r="GTQ67" s="2936"/>
      <c r="GTR67" s="2936"/>
      <c r="GTS67" s="2936"/>
      <c r="GTT67" s="2936"/>
      <c r="GTU67" s="2936"/>
      <c r="GTV67" s="2936"/>
      <c r="GTW67" s="2936"/>
      <c r="GTX67" s="2936"/>
      <c r="GTY67" s="2936"/>
      <c r="GTZ67" s="2936"/>
      <c r="GUA67" s="2936"/>
      <c r="GUB67" s="2936"/>
      <c r="GUC67" s="2936"/>
      <c r="GUD67" s="2936"/>
      <c r="GUE67" s="2936"/>
      <c r="GUF67" s="2936"/>
      <c r="GUG67" s="2936"/>
      <c r="GUH67" s="2936"/>
      <c r="GUI67" s="2936"/>
      <c r="GUJ67" s="2936"/>
      <c r="GUK67" s="2936"/>
      <c r="GUL67" s="2936"/>
      <c r="GUM67" s="2936"/>
      <c r="GUN67" s="2936"/>
      <c r="GUO67" s="2936"/>
      <c r="GUP67" s="2936"/>
      <c r="GUQ67" s="2936"/>
      <c r="GUR67" s="2936"/>
      <c r="GUS67" s="2936"/>
      <c r="GUT67" s="2936"/>
      <c r="GUU67" s="2936"/>
      <c r="GUV67" s="2936"/>
      <c r="GUW67" s="2936"/>
      <c r="GUX67" s="2936"/>
      <c r="GUY67" s="2936"/>
      <c r="GUZ67" s="2936"/>
      <c r="GVA67" s="2936"/>
      <c r="GVB67" s="2936"/>
      <c r="GVC67" s="2936"/>
      <c r="GVD67" s="2936"/>
      <c r="GVE67" s="2936"/>
      <c r="GVF67" s="2936"/>
      <c r="GVG67" s="2936"/>
      <c r="GVH67" s="2936"/>
      <c r="GVI67" s="2936"/>
      <c r="GVJ67" s="2936"/>
      <c r="GVK67" s="2936"/>
      <c r="GVL67" s="2936"/>
      <c r="GVM67" s="2936"/>
      <c r="GVN67" s="2936"/>
      <c r="GVO67" s="2936"/>
      <c r="GVP67" s="2936"/>
      <c r="GVQ67" s="2936"/>
      <c r="GVR67" s="2936"/>
      <c r="GVS67" s="2936"/>
      <c r="GVT67" s="2936"/>
      <c r="GVU67" s="2936"/>
      <c r="GVV67" s="2936"/>
      <c r="GVW67" s="2936"/>
      <c r="GVX67" s="2936"/>
      <c r="GVY67" s="2936"/>
      <c r="GVZ67" s="2936"/>
      <c r="GWA67" s="2936"/>
      <c r="GWB67" s="2936"/>
      <c r="GWC67" s="2936"/>
      <c r="GWD67" s="2936"/>
      <c r="GWE67" s="2936"/>
      <c r="GWF67" s="2936"/>
      <c r="GWG67" s="2936"/>
      <c r="GWH67" s="2936"/>
      <c r="GWI67" s="2936"/>
      <c r="GWJ67" s="2936"/>
      <c r="GWK67" s="2936"/>
      <c r="GWL67" s="2936"/>
      <c r="GWM67" s="2936"/>
      <c r="GWN67" s="2936"/>
      <c r="GWO67" s="2936"/>
      <c r="GWP67" s="2936"/>
      <c r="GWQ67" s="2936"/>
      <c r="GWR67" s="2936"/>
      <c r="GWS67" s="2936"/>
      <c r="GWT67" s="2936"/>
      <c r="GWU67" s="2936"/>
      <c r="GWV67" s="2936"/>
      <c r="GWW67" s="2936"/>
      <c r="GWX67" s="2936"/>
      <c r="GWY67" s="2936"/>
      <c r="GWZ67" s="2936"/>
      <c r="GXA67" s="2936"/>
      <c r="GXB67" s="2936"/>
      <c r="GXC67" s="2936"/>
      <c r="GXD67" s="2936"/>
      <c r="GXE67" s="2936"/>
      <c r="GXF67" s="2936"/>
      <c r="GXG67" s="2936"/>
      <c r="GXH67" s="2936"/>
      <c r="GXI67" s="2936"/>
      <c r="GXJ67" s="2936"/>
      <c r="GXK67" s="2936"/>
      <c r="GXL67" s="2936"/>
      <c r="GXM67" s="2936"/>
      <c r="GXN67" s="2936"/>
      <c r="GXO67" s="2936"/>
      <c r="GXP67" s="2936"/>
      <c r="GXQ67" s="2936"/>
      <c r="GXR67" s="2936"/>
      <c r="GXS67" s="2936"/>
      <c r="GXT67" s="2936"/>
      <c r="GXU67" s="2936"/>
      <c r="GXV67" s="2936"/>
      <c r="GXW67" s="2936"/>
      <c r="GXX67" s="2936"/>
      <c r="GXY67" s="2936"/>
      <c r="GXZ67" s="2936"/>
      <c r="GYA67" s="2936"/>
      <c r="GYB67" s="2936"/>
      <c r="GYC67" s="2936"/>
      <c r="GYD67" s="2936"/>
      <c r="GYE67" s="2936"/>
      <c r="GYF67" s="2936"/>
      <c r="GYG67" s="2936"/>
      <c r="GYH67" s="2936"/>
      <c r="GYI67" s="2936"/>
      <c r="GYJ67" s="2936"/>
      <c r="GYK67" s="2936"/>
      <c r="GYL67" s="2936"/>
      <c r="GYM67" s="2936"/>
      <c r="GYN67" s="2936"/>
      <c r="GYO67" s="2936"/>
      <c r="GYP67" s="2936"/>
      <c r="GYQ67" s="2936"/>
      <c r="GYR67" s="2936"/>
      <c r="GYS67" s="2936"/>
      <c r="GYT67" s="2936"/>
      <c r="GYU67" s="2936"/>
      <c r="GYV67" s="2936"/>
      <c r="GYW67" s="2936"/>
      <c r="GYX67" s="2936"/>
      <c r="GYY67" s="2936"/>
      <c r="GYZ67" s="2936"/>
      <c r="GZA67" s="2936"/>
      <c r="GZB67" s="2936"/>
      <c r="GZC67" s="2936"/>
      <c r="GZD67" s="2936"/>
      <c r="GZE67" s="2936"/>
      <c r="GZF67" s="2936"/>
      <c r="GZG67" s="2936"/>
      <c r="GZH67" s="2936"/>
      <c r="GZI67" s="2936"/>
      <c r="GZJ67" s="2936"/>
      <c r="GZK67" s="2936"/>
      <c r="GZL67" s="2936"/>
      <c r="GZM67" s="2936"/>
      <c r="GZN67" s="2936"/>
      <c r="GZO67" s="2936"/>
      <c r="GZP67" s="2936"/>
      <c r="GZQ67" s="2936"/>
      <c r="GZR67" s="2936"/>
      <c r="GZS67" s="2936"/>
      <c r="GZT67" s="2936"/>
      <c r="GZU67" s="2936"/>
      <c r="GZV67" s="2936"/>
      <c r="GZW67" s="2936"/>
      <c r="GZX67" s="2936"/>
      <c r="GZY67" s="2936"/>
      <c r="GZZ67" s="2936"/>
      <c r="HAA67" s="2936"/>
      <c r="HAB67" s="2936"/>
      <c r="HAC67" s="2936"/>
      <c r="HAD67" s="2936"/>
      <c r="HAE67" s="2936"/>
      <c r="HAF67" s="2936"/>
      <c r="HAG67" s="2936"/>
      <c r="HAH67" s="2936"/>
      <c r="HAI67" s="2936"/>
      <c r="HAJ67" s="2936"/>
      <c r="HAK67" s="2936"/>
      <c r="HAL67" s="2936"/>
      <c r="HAM67" s="2936"/>
      <c r="HAN67" s="2936"/>
      <c r="HAO67" s="2936"/>
      <c r="HAP67" s="2936"/>
      <c r="HAQ67" s="2936"/>
      <c r="HAR67" s="2936"/>
      <c r="HAS67" s="2936"/>
      <c r="HAT67" s="2936"/>
      <c r="HAU67" s="2936"/>
      <c r="HAV67" s="2936"/>
      <c r="HAW67" s="2936"/>
      <c r="HAX67" s="2936"/>
      <c r="HAY67" s="2936"/>
      <c r="HAZ67" s="2936"/>
      <c r="HBA67" s="2936"/>
      <c r="HBB67" s="2936"/>
      <c r="HBC67" s="2936"/>
      <c r="HBD67" s="2936"/>
      <c r="HBE67" s="2936"/>
      <c r="HBF67" s="2936"/>
      <c r="HBG67" s="2936"/>
      <c r="HBH67" s="2936"/>
      <c r="HBI67" s="2936"/>
      <c r="HBJ67" s="2936"/>
      <c r="HBK67" s="2936"/>
      <c r="HBL67" s="2936"/>
      <c r="HBM67" s="2936"/>
      <c r="HBN67" s="2936"/>
      <c r="HBO67" s="2936"/>
      <c r="HBP67" s="2936"/>
      <c r="HBQ67" s="2936"/>
      <c r="HBR67" s="2936"/>
      <c r="HBS67" s="2936"/>
      <c r="HBT67" s="2936"/>
      <c r="HBU67" s="2936"/>
      <c r="HBV67" s="2936"/>
      <c r="HBW67" s="2936"/>
      <c r="HBX67" s="2936"/>
      <c r="HBY67" s="2936"/>
      <c r="HBZ67" s="2936"/>
      <c r="HCA67" s="2936"/>
      <c r="HCB67" s="2936"/>
      <c r="HCC67" s="2936"/>
      <c r="HCD67" s="2936"/>
      <c r="HCE67" s="2936"/>
      <c r="HCF67" s="2936"/>
      <c r="HCG67" s="2936"/>
      <c r="HCH67" s="2936"/>
      <c r="HCI67" s="2936"/>
      <c r="HCJ67" s="2936"/>
      <c r="HCK67" s="2936"/>
      <c r="HCL67" s="2936"/>
      <c r="HCM67" s="2936"/>
      <c r="HCN67" s="2936"/>
      <c r="HCO67" s="2936"/>
      <c r="HCP67" s="2936"/>
      <c r="HCQ67" s="2936"/>
      <c r="HCR67" s="2936"/>
      <c r="HCS67" s="2936"/>
      <c r="HCT67" s="2936"/>
      <c r="HCU67" s="2936"/>
      <c r="HCV67" s="2936"/>
      <c r="HCW67" s="2936"/>
      <c r="HCX67" s="2936"/>
      <c r="HCY67" s="2936"/>
      <c r="HCZ67" s="2936"/>
      <c r="HDA67" s="2936"/>
      <c r="HDB67" s="2936"/>
      <c r="HDC67" s="2936"/>
      <c r="HDD67" s="2936"/>
      <c r="HDE67" s="2936"/>
      <c r="HDF67" s="2936"/>
      <c r="HDG67" s="2936"/>
      <c r="HDH67" s="2936"/>
      <c r="HDI67" s="2936"/>
      <c r="HDJ67" s="2936"/>
      <c r="HDK67" s="2936"/>
      <c r="HDL67" s="2936"/>
      <c r="HDM67" s="2936"/>
      <c r="HDN67" s="2936"/>
      <c r="HDO67" s="2936"/>
      <c r="HDP67" s="2936"/>
      <c r="HDQ67" s="2936"/>
      <c r="HDR67" s="2936"/>
      <c r="HDS67" s="2936"/>
      <c r="HDT67" s="2936"/>
      <c r="HDU67" s="2936"/>
      <c r="HDV67" s="2936"/>
      <c r="HDW67" s="2936"/>
      <c r="HDX67" s="2936"/>
      <c r="HDY67" s="2936"/>
      <c r="HDZ67" s="2936"/>
      <c r="HEA67" s="2936"/>
      <c r="HEB67" s="2936"/>
      <c r="HEC67" s="2936"/>
      <c r="HED67" s="2936"/>
      <c r="HEE67" s="2936"/>
      <c r="HEF67" s="2936"/>
      <c r="HEG67" s="2936"/>
      <c r="HEH67" s="2936"/>
      <c r="HEI67" s="2936"/>
      <c r="HEJ67" s="2936"/>
      <c r="HEK67" s="2936"/>
      <c r="HEL67" s="2936"/>
      <c r="HEM67" s="2936"/>
      <c r="HEN67" s="2936"/>
      <c r="HEO67" s="2936"/>
      <c r="HEP67" s="2936"/>
      <c r="HEQ67" s="2936"/>
      <c r="HER67" s="2936"/>
      <c r="HES67" s="2936"/>
      <c r="HET67" s="2936"/>
      <c r="HEU67" s="2936"/>
      <c r="HEV67" s="2936"/>
      <c r="HEW67" s="2936"/>
      <c r="HEX67" s="2936"/>
      <c r="HEY67" s="2936"/>
      <c r="HEZ67" s="2936"/>
      <c r="HFA67" s="2936"/>
      <c r="HFB67" s="2936"/>
      <c r="HFC67" s="2936"/>
      <c r="HFD67" s="2936"/>
      <c r="HFE67" s="2936"/>
      <c r="HFF67" s="2936"/>
      <c r="HFG67" s="2936"/>
      <c r="HFH67" s="2936"/>
      <c r="HFI67" s="2936"/>
      <c r="HFJ67" s="2936"/>
      <c r="HFK67" s="2936"/>
      <c r="HFL67" s="2936"/>
      <c r="HFM67" s="2936"/>
      <c r="HFN67" s="2936"/>
      <c r="HFO67" s="2936"/>
      <c r="HFP67" s="2936"/>
      <c r="HFQ67" s="2936"/>
      <c r="HFR67" s="2936"/>
      <c r="HFS67" s="2936"/>
      <c r="HFT67" s="2936"/>
      <c r="HFU67" s="2936"/>
      <c r="HFV67" s="2936"/>
      <c r="HFW67" s="2936"/>
      <c r="HFX67" s="2936"/>
      <c r="HFY67" s="2936"/>
      <c r="HFZ67" s="2936"/>
      <c r="HGA67" s="2936"/>
      <c r="HGB67" s="2936"/>
      <c r="HGC67" s="2936"/>
      <c r="HGD67" s="2936"/>
      <c r="HGE67" s="2936"/>
      <c r="HGF67" s="2936"/>
      <c r="HGG67" s="2936"/>
      <c r="HGH67" s="2936"/>
      <c r="HGI67" s="2936"/>
      <c r="HGJ67" s="2936"/>
      <c r="HGK67" s="2936"/>
      <c r="HGL67" s="2936"/>
      <c r="HGM67" s="2936"/>
      <c r="HGN67" s="2936"/>
      <c r="HGO67" s="2936"/>
      <c r="HGP67" s="2936"/>
      <c r="HGQ67" s="2936"/>
      <c r="HGR67" s="2936"/>
      <c r="HGS67" s="2936"/>
      <c r="HGT67" s="2936"/>
      <c r="HGU67" s="2936"/>
      <c r="HGV67" s="2936"/>
      <c r="HGW67" s="2936"/>
      <c r="HGX67" s="2936"/>
      <c r="HGY67" s="2936"/>
      <c r="HGZ67" s="2936"/>
      <c r="HHA67" s="2936"/>
      <c r="HHB67" s="2936"/>
      <c r="HHC67" s="2936"/>
      <c r="HHD67" s="2936"/>
      <c r="HHE67" s="2936"/>
      <c r="HHF67" s="2936"/>
      <c r="HHG67" s="2936"/>
      <c r="HHH67" s="2936"/>
      <c r="HHI67" s="2936"/>
      <c r="HHJ67" s="2936"/>
      <c r="HHK67" s="2936"/>
      <c r="HHL67" s="2936"/>
      <c r="HHM67" s="2936"/>
      <c r="HHN67" s="2936"/>
      <c r="HHO67" s="2936"/>
      <c r="HHP67" s="2936"/>
      <c r="HHQ67" s="2936"/>
      <c r="HHR67" s="2936"/>
      <c r="HHS67" s="2936"/>
      <c r="HHT67" s="2936"/>
      <c r="HHU67" s="2936"/>
      <c r="HHV67" s="2936"/>
      <c r="HHW67" s="2936"/>
      <c r="HHX67" s="2936"/>
      <c r="HHY67" s="2936"/>
      <c r="HHZ67" s="2936"/>
      <c r="HIA67" s="2936"/>
      <c r="HIB67" s="2936"/>
      <c r="HIC67" s="2936"/>
      <c r="HID67" s="2936"/>
      <c r="HIE67" s="2936"/>
      <c r="HIF67" s="2936"/>
      <c r="HIG67" s="2936"/>
      <c r="HIH67" s="2936"/>
      <c r="HII67" s="2936"/>
      <c r="HIJ67" s="2936"/>
      <c r="HIK67" s="2936"/>
      <c r="HIL67" s="2936"/>
      <c r="HIM67" s="2936"/>
      <c r="HIN67" s="2936"/>
      <c r="HIO67" s="2936"/>
      <c r="HIP67" s="2936"/>
      <c r="HIQ67" s="2936"/>
      <c r="HIR67" s="2936"/>
      <c r="HIS67" s="2936"/>
      <c r="HIT67" s="2936"/>
      <c r="HIU67" s="2936"/>
      <c r="HIV67" s="2936"/>
      <c r="HIW67" s="2936"/>
      <c r="HIX67" s="2936"/>
      <c r="HIY67" s="2936"/>
      <c r="HIZ67" s="2936"/>
      <c r="HJA67" s="2936"/>
      <c r="HJB67" s="2936"/>
      <c r="HJC67" s="2936"/>
      <c r="HJD67" s="2936"/>
      <c r="HJE67" s="2936"/>
      <c r="HJF67" s="2936"/>
      <c r="HJG67" s="2936"/>
      <c r="HJH67" s="2936"/>
      <c r="HJI67" s="2936"/>
      <c r="HJJ67" s="2936"/>
      <c r="HJK67" s="2936"/>
      <c r="HJL67" s="2936"/>
      <c r="HJM67" s="2936"/>
      <c r="HJN67" s="2936"/>
      <c r="HJO67" s="2936"/>
      <c r="HJP67" s="2936"/>
      <c r="HJQ67" s="2936"/>
      <c r="HJR67" s="2936"/>
      <c r="HJS67" s="2936"/>
      <c r="HJT67" s="2936"/>
      <c r="HJU67" s="2936"/>
      <c r="HJV67" s="2936"/>
      <c r="HJW67" s="2936"/>
      <c r="HJX67" s="2936"/>
      <c r="HJY67" s="2936"/>
      <c r="HJZ67" s="2936"/>
      <c r="HKA67" s="2936"/>
      <c r="HKB67" s="2936"/>
      <c r="HKC67" s="2936"/>
      <c r="HKD67" s="2936"/>
      <c r="HKE67" s="2936"/>
      <c r="HKF67" s="2936"/>
      <c r="HKG67" s="2936"/>
      <c r="HKH67" s="2936"/>
      <c r="HKI67" s="2936"/>
      <c r="HKJ67" s="2936"/>
      <c r="HKK67" s="2936"/>
      <c r="HKL67" s="2936"/>
      <c r="HKM67" s="2936"/>
      <c r="HKN67" s="2936"/>
      <c r="HKO67" s="2936"/>
      <c r="HKP67" s="2936"/>
      <c r="HKQ67" s="2936"/>
      <c r="HKR67" s="2936"/>
      <c r="HKS67" s="2936"/>
      <c r="HKT67" s="2936"/>
      <c r="HKU67" s="2936"/>
      <c r="HKV67" s="2936"/>
      <c r="HKW67" s="2936"/>
      <c r="HKX67" s="2936"/>
      <c r="HKY67" s="2936"/>
      <c r="HKZ67" s="2936"/>
      <c r="HLA67" s="2936"/>
      <c r="HLB67" s="2936"/>
      <c r="HLC67" s="2936"/>
      <c r="HLD67" s="2936"/>
      <c r="HLE67" s="2936"/>
      <c r="HLF67" s="2936"/>
      <c r="HLG67" s="2936"/>
      <c r="HLH67" s="2936"/>
      <c r="HLI67" s="2936"/>
      <c r="HLJ67" s="2936"/>
      <c r="HLK67" s="2936"/>
      <c r="HLL67" s="2936"/>
      <c r="HLM67" s="2936"/>
      <c r="HLN67" s="2936"/>
      <c r="HLO67" s="2936"/>
      <c r="HLP67" s="2936"/>
      <c r="HLQ67" s="2936"/>
      <c r="HLR67" s="2936"/>
      <c r="HLS67" s="2936"/>
      <c r="HLT67" s="2936"/>
      <c r="HLU67" s="2936"/>
      <c r="HLV67" s="2936"/>
      <c r="HLW67" s="2936"/>
      <c r="HLX67" s="2936"/>
      <c r="HLY67" s="2936"/>
      <c r="HLZ67" s="2936"/>
      <c r="HMA67" s="2936"/>
      <c r="HMB67" s="2936"/>
      <c r="HMC67" s="2936"/>
      <c r="HMD67" s="2936"/>
      <c r="HME67" s="2936"/>
      <c r="HMF67" s="2936"/>
      <c r="HMG67" s="2936"/>
      <c r="HMH67" s="2936"/>
      <c r="HMI67" s="2936"/>
      <c r="HMJ67" s="2936"/>
      <c r="HMK67" s="2936"/>
      <c r="HML67" s="2936"/>
      <c r="HMM67" s="2936"/>
      <c r="HMN67" s="2936"/>
      <c r="HMO67" s="2936"/>
      <c r="HMP67" s="2936"/>
      <c r="HMQ67" s="2936"/>
      <c r="HMR67" s="2936"/>
      <c r="HMS67" s="2936"/>
      <c r="HMT67" s="2936"/>
      <c r="HMU67" s="2936"/>
      <c r="HMV67" s="2936"/>
      <c r="HMW67" s="2936"/>
      <c r="HMX67" s="2936"/>
      <c r="HMY67" s="2936"/>
      <c r="HMZ67" s="2936"/>
      <c r="HNA67" s="2936"/>
      <c r="HNB67" s="2936"/>
      <c r="HNC67" s="2936"/>
      <c r="HND67" s="2936"/>
      <c r="HNE67" s="2936"/>
      <c r="HNF67" s="2936"/>
      <c r="HNG67" s="2936"/>
      <c r="HNH67" s="2936"/>
      <c r="HNI67" s="2936"/>
      <c r="HNJ67" s="2936"/>
      <c r="HNK67" s="2936"/>
      <c r="HNL67" s="2936"/>
      <c r="HNM67" s="2936"/>
      <c r="HNN67" s="2936"/>
      <c r="HNO67" s="2936"/>
      <c r="HNP67" s="2936"/>
      <c r="HNQ67" s="2936"/>
      <c r="HNR67" s="2936"/>
      <c r="HNS67" s="2936"/>
      <c r="HNT67" s="2936"/>
      <c r="HNU67" s="2936"/>
      <c r="HNV67" s="2936"/>
      <c r="HNW67" s="2936"/>
      <c r="HNX67" s="2936"/>
      <c r="HNY67" s="2936"/>
      <c r="HNZ67" s="2936"/>
      <c r="HOA67" s="2936"/>
      <c r="HOB67" s="2936"/>
      <c r="HOC67" s="2936"/>
      <c r="HOD67" s="2936"/>
      <c r="HOE67" s="2936"/>
      <c r="HOF67" s="2936"/>
      <c r="HOG67" s="2936"/>
      <c r="HOH67" s="2936"/>
      <c r="HOI67" s="2936"/>
      <c r="HOJ67" s="2936"/>
      <c r="HOK67" s="2936"/>
      <c r="HOL67" s="2936"/>
      <c r="HOM67" s="2936"/>
      <c r="HON67" s="2936"/>
      <c r="HOO67" s="2936"/>
      <c r="HOP67" s="2936"/>
      <c r="HOQ67" s="2936"/>
      <c r="HOR67" s="2936"/>
      <c r="HOS67" s="2936"/>
      <c r="HOT67" s="2936"/>
      <c r="HOU67" s="2936"/>
      <c r="HOV67" s="2936"/>
      <c r="HOW67" s="2936"/>
      <c r="HOX67" s="2936"/>
      <c r="HOY67" s="2936"/>
      <c r="HOZ67" s="2936"/>
      <c r="HPA67" s="2936"/>
      <c r="HPB67" s="2936"/>
      <c r="HPC67" s="2936"/>
      <c r="HPD67" s="2936"/>
      <c r="HPE67" s="2936"/>
      <c r="HPF67" s="2936"/>
      <c r="HPG67" s="2936"/>
      <c r="HPH67" s="2936"/>
      <c r="HPI67" s="2936"/>
      <c r="HPJ67" s="2936"/>
      <c r="HPK67" s="2936"/>
      <c r="HPL67" s="2936"/>
      <c r="HPM67" s="2936"/>
      <c r="HPN67" s="2936"/>
      <c r="HPO67" s="2936"/>
      <c r="HPP67" s="2936"/>
      <c r="HPQ67" s="2936"/>
      <c r="HPR67" s="2936"/>
      <c r="HPS67" s="2936"/>
      <c r="HPT67" s="2936"/>
      <c r="HPU67" s="2936"/>
      <c r="HPV67" s="2936"/>
      <c r="HPW67" s="2936"/>
      <c r="HPX67" s="2936"/>
      <c r="HPY67" s="2936"/>
      <c r="HPZ67" s="2936"/>
      <c r="HQA67" s="2936"/>
      <c r="HQB67" s="2936"/>
      <c r="HQC67" s="2936"/>
      <c r="HQD67" s="2936"/>
      <c r="HQE67" s="2936"/>
      <c r="HQF67" s="2936"/>
      <c r="HQG67" s="2936"/>
      <c r="HQH67" s="2936"/>
      <c r="HQI67" s="2936"/>
      <c r="HQJ67" s="2936"/>
      <c r="HQK67" s="2936"/>
      <c r="HQL67" s="2936"/>
      <c r="HQM67" s="2936"/>
      <c r="HQN67" s="2936"/>
      <c r="HQO67" s="2936"/>
      <c r="HQP67" s="2936"/>
      <c r="HQQ67" s="2936"/>
      <c r="HQR67" s="2936"/>
      <c r="HQS67" s="2936"/>
      <c r="HQT67" s="2936"/>
      <c r="HQU67" s="2936"/>
      <c r="HQV67" s="2936"/>
      <c r="HQW67" s="2936"/>
      <c r="HQX67" s="2936"/>
      <c r="HQY67" s="2936"/>
      <c r="HQZ67" s="2936"/>
      <c r="HRA67" s="2936"/>
      <c r="HRB67" s="2936"/>
      <c r="HRC67" s="2936"/>
      <c r="HRD67" s="2936"/>
      <c r="HRE67" s="2936"/>
      <c r="HRF67" s="2936"/>
      <c r="HRG67" s="2936"/>
      <c r="HRH67" s="2936"/>
      <c r="HRI67" s="2936"/>
      <c r="HRJ67" s="2936"/>
      <c r="HRK67" s="2936"/>
      <c r="HRL67" s="2936"/>
      <c r="HRM67" s="2936"/>
      <c r="HRN67" s="2936"/>
      <c r="HRO67" s="2936"/>
      <c r="HRP67" s="2936"/>
      <c r="HRQ67" s="2936"/>
      <c r="HRR67" s="2936"/>
      <c r="HRS67" s="2936"/>
      <c r="HRT67" s="2936"/>
      <c r="HRU67" s="2936"/>
      <c r="HRV67" s="2936"/>
      <c r="HRW67" s="2936"/>
      <c r="HRX67" s="2936"/>
      <c r="HRY67" s="2936"/>
      <c r="HRZ67" s="2936"/>
      <c r="HSA67" s="2936"/>
      <c r="HSB67" s="2936"/>
      <c r="HSC67" s="2936"/>
      <c r="HSD67" s="2936"/>
      <c r="HSE67" s="2936"/>
      <c r="HSF67" s="2936"/>
      <c r="HSG67" s="2936"/>
      <c r="HSH67" s="2936"/>
      <c r="HSI67" s="2936"/>
      <c r="HSJ67" s="2936"/>
      <c r="HSK67" s="2936"/>
      <c r="HSL67" s="2936"/>
      <c r="HSM67" s="2936"/>
      <c r="HSN67" s="2936"/>
      <c r="HSO67" s="2936"/>
      <c r="HSP67" s="2936"/>
      <c r="HSQ67" s="2936"/>
      <c r="HSR67" s="2936"/>
      <c r="HSS67" s="2936"/>
      <c r="HST67" s="2936"/>
      <c r="HSU67" s="2936"/>
      <c r="HSV67" s="2936"/>
      <c r="HSW67" s="2936"/>
      <c r="HSX67" s="2936"/>
      <c r="HSY67" s="2936"/>
      <c r="HSZ67" s="2936"/>
      <c r="HTA67" s="2936"/>
      <c r="HTB67" s="2936"/>
      <c r="HTC67" s="2936"/>
      <c r="HTD67" s="2936"/>
      <c r="HTE67" s="2936"/>
      <c r="HTF67" s="2936"/>
      <c r="HTG67" s="2936"/>
      <c r="HTH67" s="2936"/>
      <c r="HTI67" s="2936"/>
      <c r="HTJ67" s="2936"/>
      <c r="HTK67" s="2936"/>
      <c r="HTL67" s="2936"/>
      <c r="HTM67" s="2936"/>
      <c r="HTN67" s="2936"/>
      <c r="HTO67" s="2936"/>
      <c r="HTP67" s="2936"/>
      <c r="HTQ67" s="2936"/>
      <c r="HTR67" s="2936"/>
      <c r="HTS67" s="2936"/>
      <c r="HTT67" s="2936"/>
      <c r="HTU67" s="2936"/>
      <c r="HTV67" s="2936"/>
      <c r="HTW67" s="2936"/>
      <c r="HTX67" s="2936"/>
      <c r="HTY67" s="2936"/>
      <c r="HTZ67" s="2936"/>
      <c r="HUA67" s="2936"/>
      <c r="HUB67" s="2936"/>
      <c r="HUC67" s="2936"/>
      <c r="HUD67" s="2936"/>
      <c r="HUE67" s="2936"/>
      <c r="HUF67" s="2936"/>
      <c r="HUG67" s="2936"/>
      <c r="HUH67" s="2936"/>
      <c r="HUI67" s="2936"/>
      <c r="HUJ67" s="2936"/>
      <c r="HUK67" s="2936"/>
      <c r="HUL67" s="2936"/>
      <c r="HUM67" s="2936"/>
      <c r="HUN67" s="2936"/>
      <c r="HUO67" s="2936"/>
      <c r="HUP67" s="2936"/>
      <c r="HUQ67" s="2936"/>
      <c r="HUR67" s="2936"/>
      <c r="HUS67" s="2936"/>
      <c r="HUT67" s="2936"/>
      <c r="HUU67" s="2936"/>
      <c r="HUV67" s="2936"/>
      <c r="HUW67" s="2936"/>
      <c r="HUX67" s="2936"/>
      <c r="HUY67" s="2936"/>
      <c r="HUZ67" s="2936"/>
      <c r="HVA67" s="2936"/>
      <c r="HVB67" s="2936"/>
      <c r="HVC67" s="2936"/>
      <c r="HVD67" s="2936"/>
      <c r="HVE67" s="2936"/>
      <c r="HVF67" s="2936"/>
      <c r="HVG67" s="2936"/>
      <c r="HVH67" s="2936"/>
      <c r="HVI67" s="2936"/>
      <c r="HVJ67" s="2936"/>
      <c r="HVK67" s="2936"/>
      <c r="HVL67" s="2936"/>
      <c r="HVM67" s="2936"/>
      <c r="HVN67" s="2936"/>
      <c r="HVO67" s="2936"/>
      <c r="HVP67" s="2936"/>
      <c r="HVQ67" s="2936"/>
      <c r="HVR67" s="2936"/>
      <c r="HVS67" s="2936"/>
      <c r="HVT67" s="2936"/>
      <c r="HVU67" s="2936"/>
      <c r="HVV67" s="2936"/>
      <c r="HVW67" s="2936"/>
      <c r="HVX67" s="2936"/>
      <c r="HVY67" s="2936"/>
      <c r="HVZ67" s="2936"/>
      <c r="HWA67" s="2936"/>
      <c r="HWB67" s="2936"/>
      <c r="HWC67" s="2936"/>
      <c r="HWD67" s="2936"/>
      <c r="HWE67" s="2936"/>
      <c r="HWF67" s="2936"/>
      <c r="HWG67" s="2936"/>
      <c r="HWH67" s="2936"/>
      <c r="HWI67" s="2936"/>
      <c r="HWJ67" s="2936"/>
      <c r="HWK67" s="2936"/>
      <c r="HWL67" s="2936"/>
      <c r="HWM67" s="2936"/>
      <c r="HWN67" s="2936"/>
      <c r="HWO67" s="2936"/>
      <c r="HWP67" s="2936"/>
      <c r="HWQ67" s="2936"/>
      <c r="HWR67" s="2936"/>
      <c r="HWS67" s="2936"/>
      <c r="HWT67" s="2936"/>
      <c r="HWU67" s="2936"/>
      <c r="HWV67" s="2936"/>
      <c r="HWW67" s="2936"/>
      <c r="HWX67" s="2936"/>
      <c r="HWY67" s="2936"/>
      <c r="HWZ67" s="2936"/>
      <c r="HXA67" s="2936"/>
      <c r="HXB67" s="2936"/>
      <c r="HXC67" s="2936"/>
      <c r="HXD67" s="2936"/>
      <c r="HXE67" s="2936"/>
      <c r="HXF67" s="2936"/>
      <c r="HXG67" s="2936"/>
      <c r="HXH67" s="2936"/>
      <c r="HXI67" s="2936"/>
      <c r="HXJ67" s="2936"/>
      <c r="HXK67" s="2936"/>
      <c r="HXL67" s="2936"/>
      <c r="HXM67" s="2936"/>
      <c r="HXN67" s="2936"/>
      <c r="HXO67" s="2936"/>
      <c r="HXP67" s="2936"/>
      <c r="HXQ67" s="2936"/>
      <c r="HXR67" s="2936"/>
      <c r="HXS67" s="2936"/>
      <c r="HXT67" s="2936"/>
      <c r="HXU67" s="2936"/>
      <c r="HXV67" s="2936"/>
      <c r="HXW67" s="2936"/>
      <c r="HXX67" s="2936"/>
      <c r="HXY67" s="2936"/>
      <c r="HXZ67" s="2936"/>
      <c r="HYA67" s="2936"/>
      <c r="HYB67" s="2936"/>
      <c r="HYC67" s="2936"/>
      <c r="HYD67" s="2936"/>
      <c r="HYE67" s="2936"/>
      <c r="HYF67" s="2936"/>
      <c r="HYG67" s="2936"/>
      <c r="HYH67" s="2936"/>
      <c r="HYI67" s="2936"/>
      <c r="HYJ67" s="2936"/>
      <c r="HYK67" s="2936"/>
      <c r="HYL67" s="2936"/>
      <c r="HYM67" s="2936"/>
      <c r="HYN67" s="2936"/>
      <c r="HYO67" s="2936"/>
      <c r="HYP67" s="2936"/>
      <c r="HYQ67" s="2936"/>
      <c r="HYR67" s="2936"/>
      <c r="HYS67" s="2936"/>
      <c r="HYT67" s="2936"/>
      <c r="HYU67" s="2936"/>
      <c r="HYV67" s="2936"/>
      <c r="HYW67" s="2936"/>
      <c r="HYX67" s="2936"/>
      <c r="HYY67" s="2936"/>
      <c r="HYZ67" s="2936"/>
      <c r="HZA67" s="2936"/>
      <c r="HZB67" s="2936"/>
      <c r="HZC67" s="2936"/>
      <c r="HZD67" s="2936"/>
      <c r="HZE67" s="2936"/>
      <c r="HZF67" s="2936"/>
      <c r="HZG67" s="2936"/>
      <c r="HZH67" s="2936"/>
      <c r="HZI67" s="2936"/>
      <c r="HZJ67" s="2936"/>
      <c r="HZK67" s="2936"/>
      <c r="HZL67" s="2936"/>
      <c r="HZM67" s="2936"/>
      <c r="HZN67" s="2936"/>
      <c r="HZO67" s="2936"/>
      <c r="HZP67" s="2936"/>
      <c r="HZQ67" s="2936"/>
      <c r="HZR67" s="2936"/>
      <c r="HZS67" s="2936"/>
      <c r="HZT67" s="2936"/>
      <c r="HZU67" s="2936"/>
      <c r="HZV67" s="2936"/>
      <c r="HZW67" s="2936"/>
      <c r="HZX67" s="2936"/>
      <c r="HZY67" s="2936"/>
      <c r="HZZ67" s="2936"/>
      <c r="IAA67" s="2936"/>
      <c r="IAB67" s="2936"/>
      <c r="IAC67" s="2936"/>
      <c r="IAD67" s="2936"/>
      <c r="IAE67" s="2936"/>
      <c r="IAF67" s="2936"/>
      <c r="IAG67" s="2936"/>
      <c r="IAH67" s="2936"/>
      <c r="IAI67" s="2936"/>
      <c r="IAJ67" s="2936"/>
      <c r="IAK67" s="2936"/>
      <c r="IAL67" s="2936"/>
      <c r="IAM67" s="2936"/>
      <c r="IAN67" s="2936"/>
      <c r="IAO67" s="2936"/>
      <c r="IAP67" s="2936"/>
      <c r="IAQ67" s="2936"/>
      <c r="IAR67" s="2936"/>
      <c r="IAS67" s="2936"/>
      <c r="IAT67" s="2936"/>
      <c r="IAU67" s="2936"/>
      <c r="IAV67" s="2936"/>
      <c r="IAW67" s="2936"/>
      <c r="IAX67" s="2936"/>
      <c r="IAY67" s="2936"/>
      <c r="IAZ67" s="2936"/>
      <c r="IBA67" s="2936"/>
      <c r="IBB67" s="2936"/>
      <c r="IBC67" s="2936"/>
      <c r="IBD67" s="2936"/>
      <c r="IBE67" s="2936"/>
      <c r="IBF67" s="2936"/>
      <c r="IBG67" s="2936"/>
      <c r="IBH67" s="2936"/>
      <c r="IBI67" s="2936"/>
      <c r="IBJ67" s="2936"/>
      <c r="IBK67" s="2936"/>
      <c r="IBL67" s="2936"/>
      <c r="IBM67" s="2936"/>
      <c r="IBN67" s="2936"/>
      <c r="IBO67" s="2936"/>
      <c r="IBP67" s="2936"/>
      <c r="IBQ67" s="2936"/>
      <c r="IBR67" s="2936"/>
      <c r="IBS67" s="2936"/>
      <c r="IBT67" s="2936"/>
      <c r="IBU67" s="2936"/>
      <c r="IBV67" s="2936"/>
      <c r="IBW67" s="2936"/>
      <c r="IBX67" s="2936"/>
      <c r="IBY67" s="2936"/>
      <c r="IBZ67" s="2936"/>
      <c r="ICA67" s="2936"/>
      <c r="ICB67" s="2936"/>
      <c r="ICC67" s="2936"/>
      <c r="ICD67" s="2936"/>
      <c r="ICE67" s="2936"/>
      <c r="ICF67" s="2936"/>
      <c r="ICG67" s="2936"/>
      <c r="ICH67" s="2936"/>
      <c r="ICI67" s="2936"/>
      <c r="ICJ67" s="2936"/>
      <c r="ICK67" s="2936"/>
      <c r="ICL67" s="2936"/>
      <c r="ICM67" s="2936"/>
      <c r="ICN67" s="2936"/>
      <c r="ICO67" s="2936"/>
      <c r="ICP67" s="2936"/>
      <c r="ICQ67" s="2936"/>
      <c r="ICR67" s="2936"/>
      <c r="ICS67" s="2936"/>
      <c r="ICT67" s="2936"/>
      <c r="ICU67" s="2936"/>
      <c r="ICV67" s="2936"/>
      <c r="ICW67" s="2936"/>
      <c r="ICX67" s="2936"/>
      <c r="ICY67" s="2936"/>
      <c r="ICZ67" s="2936"/>
      <c r="IDA67" s="2936"/>
      <c r="IDB67" s="2936"/>
      <c r="IDC67" s="2936"/>
      <c r="IDD67" s="2936"/>
      <c r="IDE67" s="2936"/>
      <c r="IDF67" s="2936"/>
      <c r="IDG67" s="2936"/>
      <c r="IDH67" s="2936"/>
      <c r="IDI67" s="2936"/>
      <c r="IDJ67" s="2936"/>
      <c r="IDK67" s="2936"/>
      <c r="IDL67" s="2936"/>
      <c r="IDM67" s="2936"/>
      <c r="IDN67" s="2936"/>
      <c r="IDO67" s="2936"/>
      <c r="IDP67" s="2936"/>
      <c r="IDQ67" s="2936"/>
      <c r="IDR67" s="2936"/>
      <c r="IDS67" s="2936"/>
      <c r="IDT67" s="2936"/>
      <c r="IDU67" s="2936"/>
      <c r="IDV67" s="2936"/>
      <c r="IDW67" s="2936"/>
      <c r="IDX67" s="2936"/>
      <c r="IDY67" s="2936"/>
      <c r="IDZ67" s="2936"/>
      <c r="IEA67" s="2936"/>
      <c r="IEB67" s="2936"/>
      <c r="IEC67" s="2936"/>
      <c r="IED67" s="2936"/>
      <c r="IEE67" s="2936"/>
      <c r="IEF67" s="2936"/>
      <c r="IEG67" s="2936"/>
      <c r="IEH67" s="2936"/>
      <c r="IEI67" s="2936"/>
      <c r="IEJ67" s="2936"/>
      <c r="IEK67" s="2936"/>
      <c r="IEL67" s="2936"/>
      <c r="IEM67" s="2936"/>
      <c r="IEN67" s="2936"/>
      <c r="IEO67" s="2936"/>
      <c r="IEP67" s="2936"/>
      <c r="IEQ67" s="2936"/>
      <c r="IER67" s="2936"/>
      <c r="IES67" s="2936"/>
      <c r="IET67" s="2936"/>
      <c r="IEU67" s="2936"/>
      <c r="IEV67" s="2936"/>
      <c r="IEW67" s="2936"/>
      <c r="IEX67" s="2936"/>
      <c r="IEY67" s="2936"/>
      <c r="IEZ67" s="2936"/>
      <c r="IFA67" s="2936"/>
      <c r="IFB67" s="2936"/>
      <c r="IFC67" s="2936"/>
      <c r="IFD67" s="2936"/>
      <c r="IFE67" s="2936"/>
      <c r="IFF67" s="2936"/>
      <c r="IFG67" s="2936"/>
      <c r="IFH67" s="2936"/>
      <c r="IFI67" s="2936"/>
      <c r="IFJ67" s="2936"/>
      <c r="IFK67" s="2936"/>
      <c r="IFL67" s="2936"/>
      <c r="IFM67" s="2936"/>
      <c r="IFN67" s="2936"/>
      <c r="IFO67" s="2936"/>
      <c r="IFP67" s="2936"/>
      <c r="IFQ67" s="2936"/>
      <c r="IFR67" s="2936"/>
      <c r="IFS67" s="2936"/>
      <c r="IFT67" s="2936"/>
      <c r="IFU67" s="2936"/>
      <c r="IFV67" s="2936"/>
      <c r="IFW67" s="2936"/>
      <c r="IFX67" s="2936"/>
      <c r="IFY67" s="2936"/>
      <c r="IFZ67" s="2936"/>
      <c r="IGA67" s="2936"/>
      <c r="IGB67" s="2936"/>
      <c r="IGC67" s="2936"/>
      <c r="IGD67" s="2936"/>
      <c r="IGE67" s="2936"/>
      <c r="IGF67" s="2936"/>
      <c r="IGG67" s="2936"/>
      <c r="IGH67" s="2936"/>
      <c r="IGI67" s="2936"/>
      <c r="IGJ67" s="2936"/>
      <c r="IGK67" s="2936"/>
      <c r="IGL67" s="2936"/>
      <c r="IGM67" s="2936"/>
      <c r="IGN67" s="2936"/>
      <c r="IGO67" s="2936"/>
      <c r="IGP67" s="2936"/>
      <c r="IGQ67" s="2936"/>
      <c r="IGR67" s="2936"/>
      <c r="IGS67" s="2936"/>
      <c r="IGT67" s="2936"/>
      <c r="IGU67" s="2936"/>
      <c r="IGV67" s="2936"/>
      <c r="IGW67" s="2936"/>
      <c r="IGX67" s="2936"/>
      <c r="IGY67" s="2936"/>
      <c r="IGZ67" s="2936"/>
      <c r="IHA67" s="2936"/>
      <c r="IHB67" s="2936"/>
      <c r="IHC67" s="2936"/>
      <c r="IHD67" s="2936"/>
      <c r="IHE67" s="2936"/>
      <c r="IHF67" s="2936"/>
      <c r="IHG67" s="2936"/>
      <c r="IHH67" s="2936"/>
      <c r="IHI67" s="2936"/>
      <c r="IHJ67" s="2936"/>
      <c r="IHK67" s="2936"/>
      <c r="IHL67" s="2936"/>
      <c r="IHM67" s="2936"/>
      <c r="IHN67" s="2936"/>
      <c r="IHO67" s="2936"/>
      <c r="IHP67" s="2936"/>
      <c r="IHQ67" s="2936"/>
      <c r="IHR67" s="2936"/>
      <c r="IHS67" s="2936"/>
      <c r="IHT67" s="2936"/>
      <c r="IHU67" s="2936"/>
      <c r="IHV67" s="2936"/>
      <c r="IHW67" s="2936"/>
      <c r="IHX67" s="2936"/>
      <c r="IHY67" s="2936"/>
      <c r="IHZ67" s="2936"/>
      <c r="IIA67" s="2936"/>
      <c r="IIB67" s="2936"/>
      <c r="IIC67" s="2936"/>
      <c r="IID67" s="2936"/>
      <c r="IIE67" s="2936"/>
      <c r="IIF67" s="2936"/>
      <c r="IIG67" s="2936"/>
      <c r="IIH67" s="2936"/>
      <c r="III67" s="2936"/>
      <c r="IIJ67" s="2936"/>
      <c r="IIK67" s="2936"/>
      <c r="IIL67" s="2936"/>
      <c r="IIM67" s="2936"/>
      <c r="IIN67" s="2936"/>
      <c r="IIO67" s="2936"/>
      <c r="IIP67" s="2936"/>
      <c r="IIQ67" s="2936"/>
      <c r="IIR67" s="2936"/>
      <c r="IIS67" s="2936"/>
      <c r="IIT67" s="2936"/>
      <c r="IIU67" s="2936"/>
      <c r="IIV67" s="2936"/>
      <c r="IIW67" s="2936"/>
      <c r="IIX67" s="2936"/>
      <c r="IIY67" s="2936"/>
      <c r="IIZ67" s="2936"/>
      <c r="IJA67" s="2936"/>
      <c r="IJB67" s="2936"/>
      <c r="IJC67" s="2936"/>
      <c r="IJD67" s="2936"/>
      <c r="IJE67" s="2936"/>
      <c r="IJF67" s="2936"/>
      <c r="IJG67" s="2936"/>
      <c r="IJH67" s="2936"/>
      <c r="IJI67" s="2936"/>
      <c r="IJJ67" s="2936"/>
      <c r="IJK67" s="2936"/>
      <c r="IJL67" s="2936"/>
      <c r="IJM67" s="2936"/>
      <c r="IJN67" s="2936"/>
      <c r="IJO67" s="2936"/>
      <c r="IJP67" s="2936"/>
      <c r="IJQ67" s="2936"/>
      <c r="IJR67" s="2936"/>
      <c r="IJS67" s="2936"/>
      <c r="IJT67" s="2936"/>
      <c r="IJU67" s="2936"/>
      <c r="IJV67" s="2936"/>
      <c r="IJW67" s="2936"/>
      <c r="IJX67" s="2936"/>
      <c r="IJY67" s="2936"/>
      <c r="IJZ67" s="2936"/>
      <c r="IKA67" s="2936"/>
      <c r="IKB67" s="2936"/>
      <c r="IKC67" s="2936"/>
      <c r="IKD67" s="2936"/>
      <c r="IKE67" s="2936"/>
      <c r="IKF67" s="2936"/>
      <c r="IKG67" s="2936"/>
      <c r="IKH67" s="2936"/>
      <c r="IKI67" s="2936"/>
      <c r="IKJ67" s="2936"/>
      <c r="IKK67" s="2936"/>
      <c r="IKL67" s="2936"/>
      <c r="IKM67" s="2936"/>
      <c r="IKN67" s="2936"/>
      <c r="IKO67" s="2936"/>
      <c r="IKP67" s="2936"/>
      <c r="IKQ67" s="2936"/>
      <c r="IKR67" s="2936"/>
      <c r="IKS67" s="2936"/>
      <c r="IKT67" s="2936"/>
      <c r="IKU67" s="2936"/>
      <c r="IKV67" s="2936"/>
      <c r="IKW67" s="2936"/>
      <c r="IKX67" s="2936"/>
      <c r="IKY67" s="2936"/>
      <c r="IKZ67" s="2936"/>
      <c r="ILA67" s="2936"/>
      <c r="ILB67" s="2936"/>
      <c r="ILC67" s="2936"/>
      <c r="ILD67" s="2936"/>
      <c r="ILE67" s="2936"/>
      <c r="ILF67" s="2936"/>
      <c r="ILG67" s="2936"/>
      <c r="ILH67" s="2936"/>
      <c r="ILI67" s="2936"/>
      <c r="ILJ67" s="2936"/>
      <c r="ILK67" s="2936"/>
      <c r="ILL67" s="2936"/>
      <c r="ILM67" s="2936"/>
      <c r="ILN67" s="2936"/>
      <c r="ILO67" s="2936"/>
      <c r="ILP67" s="2936"/>
      <c r="ILQ67" s="2936"/>
      <c r="ILR67" s="2936"/>
      <c r="ILS67" s="2936"/>
      <c r="ILT67" s="2936"/>
      <c r="ILU67" s="2936"/>
      <c r="ILV67" s="2936"/>
      <c r="ILW67" s="2936"/>
      <c r="ILX67" s="2936"/>
      <c r="ILY67" s="2936"/>
      <c r="ILZ67" s="2936"/>
      <c r="IMA67" s="2936"/>
      <c r="IMB67" s="2936"/>
      <c r="IMC67" s="2936"/>
      <c r="IMD67" s="2936"/>
      <c r="IME67" s="2936"/>
      <c r="IMF67" s="2936"/>
      <c r="IMG67" s="2936"/>
      <c r="IMH67" s="2936"/>
      <c r="IMI67" s="2936"/>
      <c r="IMJ67" s="2936"/>
      <c r="IMK67" s="2936"/>
      <c r="IML67" s="2936"/>
      <c r="IMM67" s="2936"/>
      <c r="IMN67" s="2936"/>
      <c r="IMO67" s="2936"/>
      <c r="IMP67" s="2936"/>
      <c r="IMQ67" s="2936"/>
      <c r="IMR67" s="2936"/>
      <c r="IMS67" s="2936"/>
      <c r="IMT67" s="2936"/>
      <c r="IMU67" s="2936"/>
      <c r="IMV67" s="2936"/>
      <c r="IMW67" s="2936"/>
      <c r="IMX67" s="2936"/>
      <c r="IMY67" s="2936"/>
      <c r="IMZ67" s="2936"/>
      <c r="INA67" s="2936"/>
      <c r="INB67" s="2936"/>
      <c r="INC67" s="2936"/>
      <c r="IND67" s="2936"/>
      <c r="INE67" s="2936"/>
      <c r="INF67" s="2936"/>
      <c r="ING67" s="2936"/>
      <c r="INH67" s="2936"/>
      <c r="INI67" s="2936"/>
      <c r="INJ67" s="2936"/>
      <c r="INK67" s="2936"/>
      <c r="INL67" s="2936"/>
      <c r="INM67" s="2936"/>
      <c r="INN67" s="2936"/>
      <c r="INO67" s="2936"/>
      <c r="INP67" s="2936"/>
      <c r="INQ67" s="2936"/>
      <c r="INR67" s="2936"/>
      <c r="INS67" s="2936"/>
      <c r="INT67" s="2936"/>
      <c r="INU67" s="2936"/>
      <c r="INV67" s="2936"/>
      <c r="INW67" s="2936"/>
      <c r="INX67" s="2936"/>
      <c r="INY67" s="2936"/>
      <c r="INZ67" s="2936"/>
      <c r="IOA67" s="2936"/>
      <c r="IOB67" s="2936"/>
      <c r="IOC67" s="2936"/>
      <c r="IOD67" s="2936"/>
      <c r="IOE67" s="2936"/>
      <c r="IOF67" s="2936"/>
      <c r="IOG67" s="2936"/>
      <c r="IOH67" s="2936"/>
      <c r="IOI67" s="2936"/>
      <c r="IOJ67" s="2936"/>
      <c r="IOK67" s="2936"/>
      <c r="IOL67" s="2936"/>
      <c r="IOM67" s="2936"/>
      <c r="ION67" s="2936"/>
      <c r="IOO67" s="2936"/>
      <c r="IOP67" s="2936"/>
      <c r="IOQ67" s="2936"/>
      <c r="IOR67" s="2936"/>
      <c r="IOS67" s="2936"/>
      <c r="IOT67" s="2936"/>
      <c r="IOU67" s="2936"/>
      <c r="IOV67" s="2936"/>
      <c r="IOW67" s="2936"/>
      <c r="IOX67" s="2936"/>
      <c r="IOY67" s="2936"/>
      <c r="IOZ67" s="2936"/>
      <c r="IPA67" s="2936"/>
      <c r="IPB67" s="2936"/>
      <c r="IPC67" s="2936"/>
      <c r="IPD67" s="2936"/>
      <c r="IPE67" s="2936"/>
      <c r="IPF67" s="2936"/>
      <c r="IPG67" s="2936"/>
      <c r="IPH67" s="2936"/>
      <c r="IPI67" s="2936"/>
      <c r="IPJ67" s="2936"/>
      <c r="IPK67" s="2936"/>
      <c r="IPL67" s="2936"/>
      <c r="IPM67" s="2936"/>
      <c r="IPN67" s="2936"/>
      <c r="IPO67" s="2936"/>
      <c r="IPP67" s="2936"/>
      <c r="IPQ67" s="2936"/>
      <c r="IPR67" s="2936"/>
      <c r="IPS67" s="2936"/>
      <c r="IPT67" s="2936"/>
      <c r="IPU67" s="2936"/>
      <c r="IPV67" s="2936"/>
      <c r="IPW67" s="2936"/>
      <c r="IPX67" s="2936"/>
      <c r="IPY67" s="2936"/>
      <c r="IPZ67" s="2936"/>
      <c r="IQA67" s="2936"/>
      <c r="IQB67" s="2936"/>
      <c r="IQC67" s="2936"/>
      <c r="IQD67" s="2936"/>
      <c r="IQE67" s="2936"/>
      <c r="IQF67" s="2936"/>
      <c r="IQG67" s="2936"/>
      <c r="IQH67" s="2936"/>
      <c r="IQI67" s="2936"/>
      <c r="IQJ67" s="2936"/>
      <c r="IQK67" s="2936"/>
      <c r="IQL67" s="2936"/>
      <c r="IQM67" s="2936"/>
      <c r="IQN67" s="2936"/>
      <c r="IQO67" s="2936"/>
      <c r="IQP67" s="2936"/>
      <c r="IQQ67" s="2936"/>
      <c r="IQR67" s="2936"/>
      <c r="IQS67" s="2936"/>
      <c r="IQT67" s="2936"/>
      <c r="IQU67" s="2936"/>
      <c r="IQV67" s="2936"/>
      <c r="IQW67" s="2936"/>
      <c r="IQX67" s="2936"/>
      <c r="IQY67" s="2936"/>
      <c r="IQZ67" s="2936"/>
      <c r="IRA67" s="2936"/>
      <c r="IRB67" s="2936"/>
      <c r="IRC67" s="2936"/>
      <c r="IRD67" s="2936"/>
      <c r="IRE67" s="2936"/>
      <c r="IRF67" s="2936"/>
      <c r="IRG67" s="2936"/>
      <c r="IRH67" s="2936"/>
      <c r="IRI67" s="2936"/>
      <c r="IRJ67" s="2936"/>
      <c r="IRK67" s="2936"/>
      <c r="IRL67" s="2936"/>
      <c r="IRM67" s="2936"/>
      <c r="IRN67" s="2936"/>
      <c r="IRO67" s="2936"/>
      <c r="IRP67" s="2936"/>
      <c r="IRQ67" s="2936"/>
      <c r="IRR67" s="2936"/>
      <c r="IRS67" s="2936"/>
      <c r="IRT67" s="2936"/>
      <c r="IRU67" s="2936"/>
      <c r="IRV67" s="2936"/>
      <c r="IRW67" s="2936"/>
      <c r="IRX67" s="2936"/>
      <c r="IRY67" s="2936"/>
      <c r="IRZ67" s="2936"/>
      <c r="ISA67" s="2936"/>
      <c r="ISB67" s="2936"/>
      <c r="ISC67" s="2936"/>
      <c r="ISD67" s="2936"/>
      <c r="ISE67" s="2936"/>
      <c r="ISF67" s="2936"/>
      <c r="ISG67" s="2936"/>
      <c r="ISH67" s="2936"/>
      <c r="ISI67" s="2936"/>
      <c r="ISJ67" s="2936"/>
      <c r="ISK67" s="2936"/>
      <c r="ISL67" s="2936"/>
      <c r="ISM67" s="2936"/>
      <c r="ISN67" s="2936"/>
      <c r="ISO67" s="2936"/>
      <c r="ISP67" s="2936"/>
      <c r="ISQ67" s="2936"/>
      <c r="ISR67" s="2936"/>
      <c r="ISS67" s="2936"/>
      <c r="IST67" s="2936"/>
      <c r="ISU67" s="2936"/>
      <c r="ISV67" s="2936"/>
      <c r="ISW67" s="2936"/>
      <c r="ISX67" s="2936"/>
      <c r="ISY67" s="2936"/>
      <c r="ISZ67" s="2936"/>
      <c r="ITA67" s="2936"/>
      <c r="ITB67" s="2936"/>
      <c r="ITC67" s="2936"/>
      <c r="ITD67" s="2936"/>
      <c r="ITE67" s="2936"/>
      <c r="ITF67" s="2936"/>
      <c r="ITG67" s="2936"/>
      <c r="ITH67" s="2936"/>
      <c r="ITI67" s="2936"/>
      <c r="ITJ67" s="2936"/>
      <c r="ITK67" s="2936"/>
      <c r="ITL67" s="2936"/>
      <c r="ITM67" s="2936"/>
      <c r="ITN67" s="2936"/>
      <c r="ITO67" s="2936"/>
      <c r="ITP67" s="2936"/>
      <c r="ITQ67" s="2936"/>
      <c r="ITR67" s="2936"/>
      <c r="ITS67" s="2936"/>
      <c r="ITT67" s="2936"/>
      <c r="ITU67" s="2936"/>
      <c r="ITV67" s="2936"/>
      <c r="ITW67" s="2936"/>
      <c r="ITX67" s="2936"/>
      <c r="ITY67" s="2936"/>
      <c r="ITZ67" s="2936"/>
      <c r="IUA67" s="2936"/>
      <c r="IUB67" s="2936"/>
      <c r="IUC67" s="2936"/>
      <c r="IUD67" s="2936"/>
      <c r="IUE67" s="2936"/>
      <c r="IUF67" s="2936"/>
      <c r="IUG67" s="2936"/>
      <c r="IUH67" s="2936"/>
      <c r="IUI67" s="2936"/>
      <c r="IUJ67" s="2936"/>
      <c r="IUK67" s="2936"/>
      <c r="IUL67" s="2936"/>
      <c r="IUM67" s="2936"/>
      <c r="IUN67" s="2936"/>
      <c r="IUO67" s="2936"/>
      <c r="IUP67" s="2936"/>
      <c r="IUQ67" s="2936"/>
      <c r="IUR67" s="2936"/>
      <c r="IUS67" s="2936"/>
      <c r="IUT67" s="2936"/>
      <c r="IUU67" s="2936"/>
      <c r="IUV67" s="2936"/>
      <c r="IUW67" s="2936"/>
      <c r="IUX67" s="2936"/>
      <c r="IUY67" s="2936"/>
      <c r="IUZ67" s="2936"/>
      <c r="IVA67" s="2936"/>
      <c r="IVB67" s="2936"/>
      <c r="IVC67" s="2936"/>
      <c r="IVD67" s="2936"/>
      <c r="IVE67" s="2936"/>
      <c r="IVF67" s="2936"/>
      <c r="IVG67" s="2936"/>
      <c r="IVH67" s="2936"/>
      <c r="IVI67" s="2936"/>
      <c r="IVJ67" s="2936"/>
      <c r="IVK67" s="2936"/>
      <c r="IVL67" s="2936"/>
      <c r="IVM67" s="2936"/>
      <c r="IVN67" s="2936"/>
      <c r="IVO67" s="2936"/>
      <c r="IVP67" s="2936"/>
      <c r="IVQ67" s="2936"/>
      <c r="IVR67" s="2936"/>
      <c r="IVS67" s="2936"/>
      <c r="IVT67" s="2936"/>
      <c r="IVU67" s="2936"/>
      <c r="IVV67" s="2936"/>
      <c r="IVW67" s="2936"/>
      <c r="IVX67" s="2936"/>
      <c r="IVY67" s="2936"/>
      <c r="IVZ67" s="2936"/>
      <c r="IWA67" s="2936"/>
      <c r="IWB67" s="2936"/>
      <c r="IWC67" s="2936"/>
      <c r="IWD67" s="2936"/>
      <c r="IWE67" s="2936"/>
      <c r="IWF67" s="2936"/>
      <c r="IWG67" s="2936"/>
      <c r="IWH67" s="2936"/>
      <c r="IWI67" s="2936"/>
      <c r="IWJ67" s="2936"/>
      <c r="IWK67" s="2936"/>
      <c r="IWL67" s="2936"/>
      <c r="IWM67" s="2936"/>
      <c r="IWN67" s="2936"/>
      <c r="IWO67" s="2936"/>
      <c r="IWP67" s="2936"/>
      <c r="IWQ67" s="2936"/>
      <c r="IWR67" s="2936"/>
      <c r="IWS67" s="2936"/>
      <c r="IWT67" s="2936"/>
      <c r="IWU67" s="2936"/>
      <c r="IWV67" s="2936"/>
      <c r="IWW67" s="2936"/>
      <c r="IWX67" s="2936"/>
      <c r="IWY67" s="2936"/>
      <c r="IWZ67" s="2936"/>
      <c r="IXA67" s="2936"/>
      <c r="IXB67" s="2936"/>
      <c r="IXC67" s="2936"/>
      <c r="IXD67" s="2936"/>
      <c r="IXE67" s="2936"/>
      <c r="IXF67" s="2936"/>
      <c r="IXG67" s="2936"/>
      <c r="IXH67" s="2936"/>
      <c r="IXI67" s="2936"/>
      <c r="IXJ67" s="2936"/>
      <c r="IXK67" s="2936"/>
      <c r="IXL67" s="2936"/>
      <c r="IXM67" s="2936"/>
      <c r="IXN67" s="2936"/>
      <c r="IXO67" s="2936"/>
      <c r="IXP67" s="2936"/>
      <c r="IXQ67" s="2936"/>
      <c r="IXR67" s="2936"/>
      <c r="IXS67" s="2936"/>
      <c r="IXT67" s="2936"/>
      <c r="IXU67" s="2936"/>
      <c r="IXV67" s="2936"/>
      <c r="IXW67" s="2936"/>
      <c r="IXX67" s="2936"/>
      <c r="IXY67" s="2936"/>
      <c r="IXZ67" s="2936"/>
      <c r="IYA67" s="2936"/>
      <c r="IYB67" s="2936"/>
      <c r="IYC67" s="2936"/>
      <c r="IYD67" s="2936"/>
      <c r="IYE67" s="2936"/>
      <c r="IYF67" s="2936"/>
      <c r="IYG67" s="2936"/>
      <c r="IYH67" s="2936"/>
      <c r="IYI67" s="2936"/>
      <c r="IYJ67" s="2936"/>
      <c r="IYK67" s="2936"/>
      <c r="IYL67" s="2936"/>
      <c r="IYM67" s="2936"/>
      <c r="IYN67" s="2936"/>
      <c r="IYO67" s="2936"/>
      <c r="IYP67" s="2936"/>
      <c r="IYQ67" s="2936"/>
      <c r="IYR67" s="2936"/>
      <c r="IYS67" s="2936"/>
      <c r="IYT67" s="2936"/>
      <c r="IYU67" s="2936"/>
      <c r="IYV67" s="2936"/>
      <c r="IYW67" s="2936"/>
      <c r="IYX67" s="2936"/>
      <c r="IYY67" s="2936"/>
      <c r="IYZ67" s="2936"/>
      <c r="IZA67" s="2936"/>
      <c r="IZB67" s="2936"/>
      <c r="IZC67" s="2936"/>
      <c r="IZD67" s="2936"/>
      <c r="IZE67" s="2936"/>
      <c r="IZF67" s="2936"/>
      <c r="IZG67" s="2936"/>
      <c r="IZH67" s="2936"/>
      <c r="IZI67" s="2936"/>
      <c r="IZJ67" s="2936"/>
      <c r="IZK67" s="2936"/>
      <c r="IZL67" s="2936"/>
      <c r="IZM67" s="2936"/>
      <c r="IZN67" s="2936"/>
      <c r="IZO67" s="2936"/>
      <c r="IZP67" s="2936"/>
      <c r="IZQ67" s="2936"/>
      <c r="IZR67" s="2936"/>
      <c r="IZS67" s="2936"/>
      <c r="IZT67" s="2936"/>
      <c r="IZU67" s="2936"/>
      <c r="IZV67" s="2936"/>
      <c r="IZW67" s="2936"/>
      <c r="IZX67" s="2936"/>
      <c r="IZY67" s="2936"/>
      <c r="IZZ67" s="2936"/>
      <c r="JAA67" s="2936"/>
      <c r="JAB67" s="2936"/>
      <c r="JAC67" s="2936"/>
      <c r="JAD67" s="2936"/>
      <c r="JAE67" s="2936"/>
      <c r="JAF67" s="2936"/>
      <c r="JAG67" s="2936"/>
      <c r="JAH67" s="2936"/>
      <c r="JAI67" s="2936"/>
      <c r="JAJ67" s="2936"/>
      <c r="JAK67" s="2936"/>
      <c r="JAL67" s="2936"/>
      <c r="JAM67" s="2936"/>
      <c r="JAN67" s="2936"/>
      <c r="JAO67" s="2936"/>
      <c r="JAP67" s="2936"/>
      <c r="JAQ67" s="2936"/>
      <c r="JAR67" s="2936"/>
      <c r="JAS67" s="2936"/>
      <c r="JAT67" s="2936"/>
      <c r="JAU67" s="2936"/>
      <c r="JAV67" s="2936"/>
      <c r="JAW67" s="2936"/>
      <c r="JAX67" s="2936"/>
      <c r="JAY67" s="2936"/>
      <c r="JAZ67" s="2936"/>
      <c r="JBA67" s="2936"/>
      <c r="JBB67" s="2936"/>
      <c r="JBC67" s="2936"/>
      <c r="JBD67" s="2936"/>
      <c r="JBE67" s="2936"/>
      <c r="JBF67" s="2936"/>
      <c r="JBG67" s="2936"/>
      <c r="JBH67" s="2936"/>
      <c r="JBI67" s="2936"/>
      <c r="JBJ67" s="2936"/>
      <c r="JBK67" s="2936"/>
      <c r="JBL67" s="2936"/>
      <c r="JBM67" s="2936"/>
      <c r="JBN67" s="2936"/>
      <c r="JBO67" s="2936"/>
      <c r="JBP67" s="2936"/>
      <c r="JBQ67" s="2936"/>
      <c r="JBR67" s="2936"/>
      <c r="JBS67" s="2936"/>
      <c r="JBT67" s="2936"/>
      <c r="JBU67" s="2936"/>
      <c r="JBV67" s="2936"/>
      <c r="JBW67" s="2936"/>
      <c r="JBX67" s="2936"/>
      <c r="JBY67" s="2936"/>
      <c r="JBZ67" s="2936"/>
      <c r="JCA67" s="2936"/>
      <c r="JCB67" s="2936"/>
      <c r="JCC67" s="2936"/>
      <c r="JCD67" s="2936"/>
      <c r="JCE67" s="2936"/>
      <c r="JCF67" s="2936"/>
      <c r="JCG67" s="2936"/>
      <c r="JCH67" s="2936"/>
      <c r="JCI67" s="2936"/>
      <c r="JCJ67" s="2936"/>
      <c r="JCK67" s="2936"/>
      <c r="JCL67" s="2936"/>
      <c r="JCM67" s="2936"/>
      <c r="JCN67" s="2936"/>
      <c r="JCO67" s="2936"/>
      <c r="JCP67" s="2936"/>
      <c r="JCQ67" s="2936"/>
      <c r="JCR67" s="2936"/>
      <c r="JCS67" s="2936"/>
      <c r="JCT67" s="2936"/>
      <c r="JCU67" s="2936"/>
      <c r="JCV67" s="2936"/>
      <c r="JCW67" s="2936"/>
      <c r="JCX67" s="2936"/>
      <c r="JCY67" s="2936"/>
      <c r="JCZ67" s="2936"/>
      <c r="JDA67" s="2936"/>
      <c r="JDB67" s="2936"/>
      <c r="JDC67" s="2936"/>
      <c r="JDD67" s="2936"/>
      <c r="JDE67" s="2936"/>
      <c r="JDF67" s="2936"/>
      <c r="JDG67" s="2936"/>
      <c r="JDH67" s="2936"/>
      <c r="JDI67" s="2936"/>
      <c r="JDJ67" s="2936"/>
      <c r="JDK67" s="2936"/>
      <c r="JDL67" s="2936"/>
      <c r="JDM67" s="2936"/>
      <c r="JDN67" s="2936"/>
      <c r="JDO67" s="2936"/>
      <c r="JDP67" s="2936"/>
      <c r="JDQ67" s="2936"/>
      <c r="JDR67" s="2936"/>
      <c r="JDS67" s="2936"/>
      <c r="JDT67" s="2936"/>
      <c r="JDU67" s="2936"/>
      <c r="JDV67" s="2936"/>
      <c r="JDW67" s="2936"/>
      <c r="JDX67" s="2936"/>
      <c r="JDY67" s="2936"/>
      <c r="JDZ67" s="2936"/>
      <c r="JEA67" s="2936"/>
      <c r="JEB67" s="2936"/>
      <c r="JEC67" s="2936"/>
      <c r="JED67" s="2936"/>
      <c r="JEE67" s="2936"/>
      <c r="JEF67" s="2936"/>
      <c r="JEG67" s="2936"/>
      <c r="JEH67" s="2936"/>
      <c r="JEI67" s="2936"/>
      <c r="JEJ67" s="2936"/>
      <c r="JEK67" s="2936"/>
      <c r="JEL67" s="2936"/>
      <c r="JEM67" s="2936"/>
      <c r="JEN67" s="2936"/>
      <c r="JEO67" s="2936"/>
      <c r="JEP67" s="2936"/>
      <c r="JEQ67" s="2936"/>
      <c r="JER67" s="2936"/>
      <c r="JES67" s="2936"/>
      <c r="JET67" s="2936"/>
      <c r="JEU67" s="2936"/>
      <c r="JEV67" s="2936"/>
      <c r="JEW67" s="2936"/>
      <c r="JEX67" s="2936"/>
      <c r="JEY67" s="2936"/>
      <c r="JEZ67" s="2936"/>
      <c r="JFA67" s="2936"/>
      <c r="JFB67" s="2936"/>
      <c r="JFC67" s="2936"/>
      <c r="JFD67" s="2936"/>
      <c r="JFE67" s="2936"/>
      <c r="JFF67" s="2936"/>
      <c r="JFG67" s="2936"/>
      <c r="JFH67" s="2936"/>
      <c r="JFI67" s="2936"/>
      <c r="JFJ67" s="2936"/>
      <c r="JFK67" s="2936"/>
      <c r="JFL67" s="2936"/>
      <c r="JFM67" s="2936"/>
      <c r="JFN67" s="2936"/>
      <c r="JFO67" s="2936"/>
      <c r="JFP67" s="2936"/>
      <c r="JFQ67" s="2936"/>
      <c r="JFR67" s="2936"/>
      <c r="JFS67" s="2936"/>
      <c r="JFT67" s="2936"/>
      <c r="JFU67" s="2936"/>
      <c r="JFV67" s="2936"/>
      <c r="JFW67" s="2936"/>
      <c r="JFX67" s="2936"/>
      <c r="JFY67" s="2936"/>
      <c r="JFZ67" s="2936"/>
      <c r="JGA67" s="2936"/>
      <c r="JGB67" s="2936"/>
      <c r="JGC67" s="2936"/>
      <c r="JGD67" s="2936"/>
      <c r="JGE67" s="2936"/>
      <c r="JGF67" s="2936"/>
      <c r="JGG67" s="2936"/>
      <c r="JGH67" s="2936"/>
      <c r="JGI67" s="2936"/>
      <c r="JGJ67" s="2936"/>
      <c r="JGK67" s="2936"/>
      <c r="JGL67" s="2936"/>
      <c r="JGM67" s="2936"/>
      <c r="JGN67" s="2936"/>
      <c r="JGO67" s="2936"/>
      <c r="JGP67" s="2936"/>
      <c r="JGQ67" s="2936"/>
      <c r="JGR67" s="2936"/>
      <c r="JGS67" s="2936"/>
      <c r="JGT67" s="2936"/>
      <c r="JGU67" s="2936"/>
      <c r="JGV67" s="2936"/>
      <c r="JGW67" s="2936"/>
      <c r="JGX67" s="2936"/>
      <c r="JGY67" s="2936"/>
      <c r="JGZ67" s="2936"/>
      <c r="JHA67" s="2936"/>
      <c r="JHB67" s="2936"/>
      <c r="JHC67" s="2936"/>
      <c r="JHD67" s="2936"/>
      <c r="JHE67" s="2936"/>
      <c r="JHF67" s="2936"/>
      <c r="JHG67" s="2936"/>
      <c r="JHH67" s="2936"/>
      <c r="JHI67" s="2936"/>
      <c r="JHJ67" s="2936"/>
      <c r="JHK67" s="2936"/>
      <c r="JHL67" s="2936"/>
      <c r="JHM67" s="2936"/>
      <c r="JHN67" s="2936"/>
      <c r="JHO67" s="2936"/>
      <c r="JHP67" s="2936"/>
      <c r="JHQ67" s="2936"/>
      <c r="JHR67" s="2936"/>
      <c r="JHS67" s="2936"/>
      <c r="JHT67" s="2936"/>
      <c r="JHU67" s="2936"/>
      <c r="JHV67" s="2936"/>
      <c r="JHW67" s="2936"/>
      <c r="JHX67" s="2936"/>
      <c r="JHY67" s="2936"/>
      <c r="JHZ67" s="2936"/>
      <c r="JIA67" s="2936"/>
      <c r="JIB67" s="2936"/>
      <c r="JIC67" s="2936"/>
      <c r="JID67" s="2936"/>
      <c r="JIE67" s="2936"/>
      <c r="JIF67" s="2936"/>
      <c r="JIG67" s="2936"/>
      <c r="JIH67" s="2936"/>
      <c r="JII67" s="2936"/>
      <c r="JIJ67" s="2936"/>
      <c r="JIK67" s="2936"/>
      <c r="JIL67" s="2936"/>
      <c r="JIM67" s="2936"/>
      <c r="JIN67" s="2936"/>
      <c r="JIO67" s="2936"/>
      <c r="JIP67" s="2936"/>
      <c r="JIQ67" s="2936"/>
      <c r="JIR67" s="2936"/>
      <c r="JIS67" s="2936"/>
      <c r="JIT67" s="2936"/>
      <c r="JIU67" s="2936"/>
      <c r="JIV67" s="2936"/>
      <c r="JIW67" s="2936"/>
      <c r="JIX67" s="2936"/>
      <c r="JIY67" s="2936"/>
      <c r="JIZ67" s="2936"/>
      <c r="JJA67" s="2936"/>
      <c r="JJB67" s="2936"/>
      <c r="JJC67" s="2936"/>
      <c r="JJD67" s="2936"/>
      <c r="JJE67" s="2936"/>
      <c r="JJF67" s="2936"/>
      <c r="JJG67" s="2936"/>
      <c r="JJH67" s="2936"/>
      <c r="JJI67" s="2936"/>
      <c r="JJJ67" s="2936"/>
      <c r="JJK67" s="2936"/>
      <c r="JJL67" s="2936"/>
      <c r="JJM67" s="2936"/>
      <c r="JJN67" s="2936"/>
      <c r="JJO67" s="2936"/>
      <c r="JJP67" s="2936"/>
      <c r="JJQ67" s="2936"/>
      <c r="JJR67" s="2936"/>
      <c r="JJS67" s="2936"/>
      <c r="JJT67" s="2936"/>
      <c r="JJU67" s="2936"/>
      <c r="JJV67" s="2936"/>
      <c r="JJW67" s="2936"/>
      <c r="JJX67" s="2936"/>
      <c r="JJY67" s="2936"/>
      <c r="JJZ67" s="2936"/>
      <c r="JKA67" s="2936"/>
      <c r="JKB67" s="2936"/>
      <c r="JKC67" s="2936"/>
      <c r="JKD67" s="2936"/>
      <c r="JKE67" s="2936"/>
      <c r="JKF67" s="2936"/>
      <c r="JKG67" s="2936"/>
      <c r="JKH67" s="2936"/>
      <c r="JKI67" s="2936"/>
      <c r="JKJ67" s="2936"/>
      <c r="JKK67" s="2936"/>
      <c r="JKL67" s="2936"/>
      <c r="JKM67" s="2936"/>
      <c r="JKN67" s="2936"/>
      <c r="JKO67" s="2936"/>
      <c r="JKP67" s="2936"/>
      <c r="JKQ67" s="2936"/>
      <c r="JKR67" s="2936"/>
      <c r="JKS67" s="2936"/>
      <c r="JKT67" s="2936"/>
      <c r="JKU67" s="2936"/>
      <c r="JKV67" s="2936"/>
      <c r="JKW67" s="2936"/>
      <c r="JKX67" s="2936"/>
      <c r="JKY67" s="2936"/>
      <c r="JKZ67" s="2936"/>
      <c r="JLA67" s="2936"/>
      <c r="JLB67" s="2936"/>
      <c r="JLC67" s="2936"/>
      <c r="JLD67" s="2936"/>
      <c r="JLE67" s="2936"/>
      <c r="JLF67" s="2936"/>
      <c r="JLG67" s="2936"/>
      <c r="JLH67" s="2936"/>
      <c r="JLI67" s="2936"/>
      <c r="JLJ67" s="2936"/>
      <c r="JLK67" s="2936"/>
      <c r="JLL67" s="2936"/>
      <c r="JLM67" s="2936"/>
      <c r="JLN67" s="2936"/>
      <c r="JLO67" s="2936"/>
      <c r="JLP67" s="2936"/>
      <c r="JLQ67" s="2936"/>
      <c r="JLR67" s="2936"/>
      <c r="JLS67" s="2936"/>
      <c r="JLT67" s="2936"/>
      <c r="JLU67" s="2936"/>
      <c r="JLV67" s="2936"/>
      <c r="JLW67" s="2936"/>
      <c r="JLX67" s="2936"/>
      <c r="JLY67" s="2936"/>
      <c r="JLZ67" s="2936"/>
      <c r="JMA67" s="2936"/>
      <c r="JMB67" s="2936"/>
      <c r="JMC67" s="2936"/>
      <c r="JMD67" s="2936"/>
      <c r="JME67" s="2936"/>
      <c r="JMF67" s="2936"/>
      <c r="JMG67" s="2936"/>
      <c r="JMH67" s="2936"/>
      <c r="JMI67" s="2936"/>
      <c r="JMJ67" s="2936"/>
      <c r="JMK67" s="2936"/>
      <c r="JML67" s="2936"/>
      <c r="JMM67" s="2936"/>
      <c r="JMN67" s="2936"/>
      <c r="JMO67" s="2936"/>
      <c r="JMP67" s="2936"/>
      <c r="JMQ67" s="2936"/>
      <c r="JMR67" s="2936"/>
      <c r="JMS67" s="2936"/>
      <c r="JMT67" s="2936"/>
      <c r="JMU67" s="2936"/>
      <c r="JMV67" s="2936"/>
      <c r="JMW67" s="2936"/>
      <c r="JMX67" s="2936"/>
      <c r="JMY67" s="2936"/>
      <c r="JMZ67" s="2936"/>
      <c r="JNA67" s="2936"/>
      <c r="JNB67" s="2936"/>
      <c r="JNC67" s="2936"/>
      <c r="JND67" s="2936"/>
      <c r="JNE67" s="2936"/>
      <c r="JNF67" s="2936"/>
      <c r="JNG67" s="2936"/>
      <c r="JNH67" s="2936"/>
      <c r="JNI67" s="2936"/>
      <c r="JNJ67" s="2936"/>
      <c r="JNK67" s="2936"/>
      <c r="JNL67" s="2936"/>
      <c r="JNM67" s="2936"/>
      <c r="JNN67" s="2936"/>
      <c r="JNO67" s="2936"/>
      <c r="JNP67" s="2936"/>
      <c r="JNQ67" s="2936"/>
      <c r="JNR67" s="2936"/>
      <c r="JNS67" s="2936"/>
      <c r="JNT67" s="2936"/>
      <c r="JNU67" s="2936"/>
      <c r="JNV67" s="2936"/>
      <c r="JNW67" s="2936"/>
      <c r="JNX67" s="2936"/>
      <c r="JNY67" s="2936"/>
      <c r="JNZ67" s="2936"/>
      <c r="JOA67" s="2936"/>
      <c r="JOB67" s="2936"/>
      <c r="JOC67" s="2936"/>
      <c r="JOD67" s="2936"/>
      <c r="JOE67" s="2936"/>
      <c r="JOF67" s="2936"/>
      <c r="JOG67" s="2936"/>
      <c r="JOH67" s="2936"/>
      <c r="JOI67" s="2936"/>
      <c r="JOJ67" s="2936"/>
      <c r="JOK67" s="2936"/>
      <c r="JOL67" s="2936"/>
      <c r="JOM67" s="2936"/>
      <c r="JON67" s="2936"/>
      <c r="JOO67" s="2936"/>
      <c r="JOP67" s="2936"/>
      <c r="JOQ67" s="2936"/>
      <c r="JOR67" s="2936"/>
      <c r="JOS67" s="2936"/>
      <c r="JOT67" s="2936"/>
      <c r="JOU67" s="2936"/>
      <c r="JOV67" s="2936"/>
      <c r="JOW67" s="2936"/>
      <c r="JOX67" s="2936"/>
      <c r="JOY67" s="2936"/>
      <c r="JOZ67" s="2936"/>
      <c r="JPA67" s="2936"/>
      <c r="JPB67" s="2936"/>
      <c r="JPC67" s="2936"/>
      <c r="JPD67" s="2936"/>
      <c r="JPE67" s="2936"/>
      <c r="JPF67" s="2936"/>
      <c r="JPG67" s="2936"/>
      <c r="JPH67" s="2936"/>
      <c r="JPI67" s="2936"/>
      <c r="JPJ67" s="2936"/>
      <c r="JPK67" s="2936"/>
      <c r="JPL67" s="2936"/>
      <c r="JPM67" s="2936"/>
      <c r="JPN67" s="2936"/>
      <c r="JPO67" s="2936"/>
      <c r="JPP67" s="2936"/>
      <c r="JPQ67" s="2936"/>
      <c r="JPR67" s="2936"/>
      <c r="JPS67" s="2936"/>
      <c r="JPT67" s="2936"/>
      <c r="JPU67" s="2936"/>
      <c r="JPV67" s="2936"/>
      <c r="JPW67" s="2936"/>
      <c r="JPX67" s="2936"/>
      <c r="JPY67" s="2936"/>
      <c r="JPZ67" s="2936"/>
      <c r="JQA67" s="2936"/>
      <c r="JQB67" s="2936"/>
      <c r="JQC67" s="2936"/>
      <c r="JQD67" s="2936"/>
      <c r="JQE67" s="2936"/>
      <c r="JQF67" s="2936"/>
      <c r="JQG67" s="2936"/>
      <c r="JQH67" s="2936"/>
      <c r="JQI67" s="2936"/>
      <c r="JQJ67" s="2936"/>
      <c r="JQK67" s="2936"/>
      <c r="JQL67" s="2936"/>
      <c r="JQM67" s="2936"/>
      <c r="JQN67" s="2936"/>
      <c r="JQO67" s="2936"/>
      <c r="JQP67" s="2936"/>
      <c r="JQQ67" s="2936"/>
      <c r="JQR67" s="2936"/>
      <c r="JQS67" s="2936"/>
      <c r="JQT67" s="2936"/>
      <c r="JQU67" s="2936"/>
      <c r="JQV67" s="2936"/>
      <c r="JQW67" s="2936"/>
      <c r="JQX67" s="2936"/>
      <c r="JQY67" s="2936"/>
      <c r="JQZ67" s="2936"/>
      <c r="JRA67" s="2936"/>
      <c r="JRB67" s="2936"/>
      <c r="JRC67" s="2936"/>
      <c r="JRD67" s="2936"/>
      <c r="JRE67" s="2936"/>
      <c r="JRF67" s="2936"/>
      <c r="JRG67" s="2936"/>
      <c r="JRH67" s="2936"/>
      <c r="JRI67" s="2936"/>
      <c r="JRJ67" s="2936"/>
      <c r="JRK67" s="2936"/>
      <c r="JRL67" s="2936"/>
      <c r="JRM67" s="2936"/>
      <c r="JRN67" s="2936"/>
      <c r="JRO67" s="2936"/>
      <c r="JRP67" s="2936"/>
      <c r="JRQ67" s="2936"/>
      <c r="JRR67" s="2936"/>
      <c r="JRS67" s="2936"/>
      <c r="JRT67" s="2936"/>
      <c r="JRU67" s="2936"/>
      <c r="JRV67" s="2936"/>
      <c r="JRW67" s="2936"/>
      <c r="JRX67" s="2936"/>
      <c r="JRY67" s="2936"/>
      <c r="JRZ67" s="2936"/>
      <c r="JSA67" s="2936"/>
      <c r="JSB67" s="2936"/>
      <c r="JSC67" s="2936"/>
      <c r="JSD67" s="2936"/>
      <c r="JSE67" s="2936"/>
      <c r="JSF67" s="2936"/>
      <c r="JSG67" s="2936"/>
      <c r="JSH67" s="2936"/>
      <c r="JSI67" s="2936"/>
      <c r="JSJ67" s="2936"/>
      <c r="JSK67" s="2936"/>
      <c r="JSL67" s="2936"/>
      <c r="JSM67" s="2936"/>
      <c r="JSN67" s="2936"/>
      <c r="JSO67" s="2936"/>
      <c r="JSP67" s="2936"/>
      <c r="JSQ67" s="2936"/>
      <c r="JSR67" s="2936"/>
      <c r="JSS67" s="2936"/>
      <c r="JST67" s="2936"/>
      <c r="JSU67" s="2936"/>
      <c r="JSV67" s="2936"/>
      <c r="JSW67" s="2936"/>
      <c r="JSX67" s="2936"/>
      <c r="JSY67" s="2936"/>
      <c r="JSZ67" s="2936"/>
      <c r="JTA67" s="2936"/>
      <c r="JTB67" s="2936"/>
      <c r="JTC67" s="2936"/>
      <c r="JTD67" s="2936"/>
      <c r="JTE67" s="2936"/>
      <c r="JTF67" s="2936"/>
      <c r="JTG67" s="2936"/>
      <c r="JTH67" s="2936"/>
      <c r="JTI67" s="2936"/>
      <c r="JTJ67" s="2936"/>
      <c r="JTK67" s="2936"/>
      <c r="JTL67" s="2936"/>
      <c r="JTM67" s="2936"/>
      <c r="JTN67" s="2936"/>
      <c r="JTO67" s="2936"/>
      <c r="JTP67" s="2936"/>
      <c r="JTQ67" s="2936"/>
      <c r="JTR67" s="2936"/>
      <c r="JTS67" s="2936"/>
      <c r="JTT67" s="2936"/>
      <c r="JTU67" s="2936"/>
      <c r="JTV67" s="2936"/>
      <c r="JTW67" s="2936"/>
      <c r="JTX67" s="2936"/>
      <c r="JTY67" s="2936"/>
      <c r="JTZ67" s="2936"/>
      <c r="JUA67" s="2936"/>
      <c r="JUB67" s="2936"/>
      <c r="JUC67" s="2936"/>
      <c r="JUD67" s="2936"/>
      <c r="JUE67" s="2936"/>
      <c r="JUF67" s="2936"/>
      <c r="JUG67" s="2936"/>
      <c r="JUH67" s="2936"/>
      <c r="JUI67" s="2936"/>
      <c r="JUJ67" s="2936"/>
      <c r="JUK67" s="2936"/>
      <c r="JUL67" s="2936"/>
      <c r="JUM67" s="2936"/>
      <c r="JUN67" s="2936"/>
      <c r="JUO67" s="2936"/>
      <c r="JUP67" s="2936"/>
      <c r="JUQ67" s="2936"/>
      <c r="JUR67" s="2936"/>
      <c r="JUS67" s="2936"/>
      <c r="JUT67" s="2936"/>
      <c r="JUU67" s="2936"/>
      <c r="JUV67" s="2936"/>
      <c r="JUW67" s="2936"/>
      <c r="JUX67" s="2936"/>
      <c r="JUY67" s="2936"/>
      <c r="JUZ67" s="2936"/>
      <c r="JVA67" s="2936"/>
      <c r="JVB67" s="2936"/>
      <c r="JVC67" s="2936"/>
      <c r="JVD67" s="2936"/>
      <c r="JVE67" s="2936"/>
      <c r="JVF67" s="2936"/>
      <c r="JVG67" s="2936"/>
      <c r="JVH67" s="2936"/>
      <c r="JVI67" s="2936"/>
      <c r="JVJ67" s="2936"/>
      <c r="JVK67" s="2936"/>
      <c r="JVL67" s="2936"/>
      <c r="JVM67" s="2936"/>
      <c r="JVN67" s="2936"/>
      <c r="JVO67" s="2936"/>
      <c r="JVP67" s="2936"/>
      <c r="JVQ67" s="2936"/>
      <c r="JVR67" s="2936"/>
      <c r="JVS67" s="2936"/>
      <c r="JVT67" s="2936"/>
      <c r="JVU67" s="2936"/>
      <c r="JVV67" s="2936"/>
      <c r="JVW67" s="2936"/>
      <c r="JVX67" s="2936"/>
      <c r="JVY67" s="2936"/>
      <c r="JVZ67" s="2936"/>
      <c r="JWA67" s="2936"/>
      <c r="JWB67" s="2936"/>
      <c r="JWC67" s="2936"/>
      <c r="JWD67" s="2936"/>
      <c r="JWE67" s="2936"/>
      <c r="JWF67" s="2936"/>
      <c r="JWG67" s="2936"/>
      <c r="JWH67" s="2936"/>
      <c r="JWI67" s="2936"/>
      <c r="JWJ67" s="2936"/>
      <c r="JWK67" s="2936"/>
      <c r="JWL67" s="2936"/>
      <c r="JWM67" s="2936"/>
      <c r="JWN67" s="2936"/>
      <c r="JWO67" s="2936"/>
      <c r="JWP67" s="2936"/>
      <c r="JWQ67" s="2936"/>
      <c r="JWR67" s="2936"/>
      <c r="JWS67" s="2936"/>
      <c r="JWT67" s="2936"/>
      <c r="JWU67" s="2936"/>
      <c r="JWV67" s="2936"/>
      <c r="JWW67" s="2936"/>
      <c r="JWX67" s="2936"/>
      <c r="JWY67" s="2936"/>
      <c r="JWZ67" s="2936"/>
      <c r="JXA67" s="2936"/>
      <c r="JXB67" s="2936"/>
      <c r="JXC67" s="2936"/>
      <c r="JXD67" s="2936"/>
      <c r="JXE67" s="2936"/>
      <c r="JXF67" s="2936"/>
      <c r="JXG67" s="2936"/>
      <c r="JXH67" s="2936"/>
      <c r="JXI67" s="2936"/>
      <c r="JXJ67" s="2936"/>
      <c r="JXK67" s="2936"/>
      <c r="JXL67" s="2936"/>
      <c r="JXM67" s="2936"/>
      <c r="JXN67" s="2936"/>
      <c r="JXO67" s="2936"/>
      <c r="JXP67" s="2936"/>
      <c r="JXQ67" s="2936"/>
      <c r="JXR67" s="2936"/>
      <c r="JXS67" s="2936"/>
      <c r="JXT67" s="2936"/>
      <c r="JXU67" s="2936"/>
      <c r="JXV67" s="2936"/>
      <c r="JXW67" s="2936"/>
      <c r="JXX67" s="2936"/>
      <c r="JXY67" s="2936"/>
      <c r="JXZ67" s="2936"/>
      <c r="JYA67" s="2936"/>
      <c r="JYB67" s="2936"/>
      <c r="JYC67" s="2936"/>
      <c r="JYD67" s="2936"/>
      <c r="JYE67" s="2936"/>
      <c r="JYF67" s="2936"/>
      <c r="JYG67" s="2936"/>
      <c r="JYH67" s="2936"/>
      <c r="JYI67" s="2936"/>
      <c r="JYJ67" s="2936"/>
      <c r="JYK67" s="2936"/>
      <c r="JYL67" s="2936"/>
      <c r="JYM67" s="2936"/>
      <c r="JYN67" s="2936"/>
      <c r="JYO67" s="2936"/>
      <c r="JYP67" s="2936"/>
      <c r="JYQ67" s="2936"/>
      <c r="JYR67" s="2936"/>
      <c r="JYS67" s="2936"/>
      <c r="JYT67" s="2936"/>
      <c r="JYU67" s="2936"/>
      <c r="JYV67" s="2936"/>
      <c r="JYW67" s="2936"/>
      <c r="JYX67" s="2936"/>
      <c r="JYY67" s="2936"/>
      <c r="JYZ67" s="2936"/>
      <c r="JZA67" s="2936"/>
      <c r="JZB67" s="2936"/>
      <c r="JZC67" s="2936"/>
      <c r="JZD67" s="2936"/>
      <c r="JZE67" s="2936"/>
      <c r="JZF67" s="2936"/>
      <c r="JZG67" s="2936"/>
      <c r="JZH67" s="2936"/>
      <c r="JZI67" s="2936"/>
      <c r="JZJ67" s="2936"/>
      <c r="JZK67" s="2936"/>
      <c r="JZL67" s="2936"/>
      <c r="JZM67" s="2936"/>
      <c r="JZN67" s="2936"/>
      <c r="JZO67" s="2936"/>
      <c r="JZP67" s="2936"/>
      <c r="JZQ67" s="2936"/>
      <c r="JZR67" s="2936"/>
      <c r="JZS67" s="2936"/>
      <c r="JZT67" s="2936"/>
      <c r="JZU67" s="2936"/>
      <c r="JZV67" s="2936"/>
      <c r="JZW67" s="2936"/>
      <c r="JZX67" s="2936"/>
      <c r="JZY67" s="2936"/>
      <c r="JZZ67" s="2936"/>
      <c r="KAA67" s="2936"/>
      <c r="KAB67" s="2936"/>
      <c r="KAC67" s="2936"/>
      <c r="KAD67" s="2936"/>
      <c r="KAE67" s="2936"/>
      <c r="KAF67" s="2936"/>
      <c r="KAG67" s="2936"/>
      <c r="KAH67" s="2936"/>
      <c r="KAI67" s="2936"/>
      <c r="KAJ67" s="2936"/>
      <c r="KAK67" s="2936"/>
      <c r="KAL67" s="2936"/>
      <c r="KAM67" s="2936"/>
      <c r="KAN67" s="2936"/>
      <c r="KAO67" s="2936"/>
      <c r="KAP67" s="2936"/>
      <c r="KAQ67" s="2936"/>
      <c r="KAR67" s="2936"/>
      <c r="KAS67" s="2936"/>
      <c r="KAT67" s="2936"/>
      <c r="KAU67" s="2936"/>
      <c r="KAV67" s="2936"/>
      <c r="KAW67" s="2936"/>
      <c r="KAX67" s="2936"/>
      <c r="KAY67" s="2936"/>
      <c r="KAZ67" s="2936"/>
      <c r="KBA67" s="2936"/>
      <c r="KBB67" s="2936"/>
      <c r="KBC67" s="2936"/>
      <c r="KBD67" s="2936"/>
      <c r="KBE67" s="2936"/>
      <c r="KBF67" s="2936"/>
      <c r="KBG67" s="2936"/>
      <c r="KBH67" s="2936"/>
      <c r="KBI67" s="2936"/>
      <c r="KBJ67" s="2936"/>
      <c r="KBK67" s="2936"/>
      <c r="KBL67" s="2936"/>
      <c r="KBM67" s="2936"/>
      <c r="KBN67" s="2936"/>
      <c r="KBO67" s="2936"/>
      <c r="KBP67" s="2936"/>
      <c r="KBQ67" s="2936"/>
      <c r="KBR67" s="2936"/>
      <c r="KBS67" s="2936"/>
      <c r="KBT67" s="2936"/>
      <c r="KBU67" s="2936"/>
      <c r="KBV67" s="2936"/>
      <c r="KBW67" s="2936"/>
      <c r="KBX67" s="2936"/>
      <c r="KBY67" s="2936"/>
      <c r="KBZ67" s="2936"/>
      <c r="KCA67" s="2936"/>
      <c r="KCB67" s="2936"/>
      <c r="KCC67" s="2936"/>
      <c r="KCD67" s="2936"/>
      <c r="KCE67" s="2936"/>
      <c r="KCF67" s="2936"/>
      <c r="KCG67" s="2936"/>
      <c r="KCH67" s="2936"/>
      <c r="KCI67" s="2936"/>
      <c r="KCJ67" s="2936"/>
      <c r="KCK67" s="2936"/>
      <c r="KCL67" s="2936"/>
      <c r="KCM67" s="2936"/>
      <c r="KCN67" s="2936"/>
      <c r="KCO67" s="2936"/>
      <c r="KCP67" s="2936"/>
      <c r="KCQ67" s="2936"/>
      <c r="KCR67" s="2936"/>
      <c r="KCS67" s="2936"/>
      <c r="KCT67" s="2936"/>
      <c r="KCU67" s="2936"/>
      <c r="KCV67" s="2936"/>
      <c r="KCW67" s="2936"/>
      <c r="KCX67" s="2936"/>
      <c r="KCY67" s="2936"/>
      <c r="KCZ67" s="2936"/>
      <c r="KDA67" s="2936"/>
      <c r="KDB67" s="2936"/>
      <c r="KDC67" s="2936"/>
      <c r="KDD67" s="2936"/>
      <c r="KDE67" s="2936"/>
      <c r="KDF67" s="2936"/>
      <c r="KDG67" s="2936"/>
      <c r="KDH67" s="2936"/>
      <c r="KDI67" s="2936"/>
      <c r="KDJ67" s="2936"/>
      <c r="KDK67" s="2936"/>
      <c r="KDL67" s="2936"/>
      <c r="KDM67" s="2936"/>
      <c r="KDN67" s="2936"/>
      <c r="KDO67" s="2936"/>
      <c r="KDP67" s="2936"/>
      <c r="KDQ67" s="2936"/>
      <c r="KDR67" s="2936"/>
      <c r="KDS67" s="2936"/>
      <c r="KDT67" s="2936"/>
      <c r="KDU67" s="2936"/>
      <c r="KDV67" s="2936"/>
      <c r="KDW67" s="2936"/>
      <c r="KDX67" s="2936"/>
      <c r="KDY67" s="2936"/>
      <c r="KDZ67" s="2936"/>
      <c r="KEA67" s="2936"/>
      <c r="KEB67" s="2936"/>
      <c r="KEC67" s="2936"/>
      <c r="KED67" s="2936"/>
      <c r="KEE67" s="2936"/>
      <c r="KEF67" s="2936"/>
      <c r="KEG67" s="2936"/>
      <c r="KEH67" s="2936"/>
      <c r="KEI67" s="2936"/>
      <c r="KEJ67" s="2936"/>
      <c r="KEK67" s="2936"/>
      <c r="KEL67" s="2936"/>
      <c r="KEM67" s="2936"/>
      <c r="KEN67" s="2936"/>
      <c r="KEO67" s="2936"/>
      <c r="KEP67" s="2936"/>
      <c r="KEQ67" s="2936"/>
      <c r="KER67" s="2936"/>
      <c r="KES67" s="2936"/>
      <c r="KET67" s="2936"/>
      <c r="KEU67" s="2936"/>
      <c r="KEV67" s="2936"/>
      <c r="KEW67" s="2936"/>
      <c r="KEX67" s="2936"/>
      <c r="KEY67" s="2936"/>
      <c r="KEZ67" s="2936"/>
      <c r="KFA67" s="2936"/>
      <c r="KFB67" s="2936"/>
      <c r="KFC67" s="2936"/>
      <c r="KFD67" s="2936"/>
      <c r="KFE67" s="2936"/>
      <c r="KFF67" s="2936"/>
      <c r="KFG67" s="2936"/>
      <c r="KFH67" s="2936"/>
      <c r="KFI67" s="2936"/>
      <c r="KFJ67" s="2936"/>
      <c r="KFK67" s="2936"/>
      <c r="KFL67" s="2936"/>
      <c r="KFM67" s="2936"/>
      <c r="KFN67" s="2936"/>
      <c r="KFO67" s="2936"/>
      <c r="KFP67" s="2936"/>
      <c r="KFQ67" s="2936"/>
      <c r="KFR67" s="2936"/>
      <c r="KFS67" s="2936"/>
      <c r="KFT67" s="2936"/>
      <c r="KFU67" s="2936"/>
      <c r="KFV67" s="2936"/>
      <c r="KFW67" s="2936"/>
      <c r="KFX67" s="2936"/>
      <c r="KFY67" s="2936"/>
      <c r="KFZ67" s="2936"/>
      <c r="KGA67" s="2936"/>
      <c r="KGB67" s="2936"/>
      <c r="KGC67" s="2936"/>
      <c r="KGD67" s="2936"/>
      <c r="KGE67" s="2936"/>
      <c r="KGF67" s="2936"/>
      <c r="KGG67" s="2936"/>
      <c r="KGH67" s="2936"/>
      <c r="KGI67" s="2936"/>
      <c r="KGJ67" s="2936"/>
      <c r="KGK67" s="2936"/>
      <c r="KGL67" s="2936"/>
      <c r="KGM67" s="2936"/>
      <c r="KGN67" s="2936"/>
      <c r="KGO67" s="2936"/>
      <c r="KGP67" s="2936"/>
      <c r="KGQ67" s="2936"/>
      <c r="KGR67" s="2936"/>
      <c r="KGS67" s="2936"/>
      <c r="KGT67" s="2936"/>
      <c r="KGU67" s="2936"/>
      <c r="KGV67" s="2936"/>
      <c r="KGW67" s="2936"/>
      <c r="KGX67" s="2936"/>
      <c r="KGY67" s="2936"/>
      <c r="KGZ67" s="2936"/>
      <c r="KHA67" s="2936"/>
      <c r="KHB67" s="2936"/>
      <c r="KHC67" s="2936"/>
      <c r="KHD67" s="2936"/>
      <c r="KHE67" s="2936"/>
      <c r="KHF67" s="2936"/>
      <c r="KHG67" s="2936"/>
      <c r="KHH67" s="2936"/>
      <c r="KHI67" s="2936"/>
      <c r="KHJ67" s="2936"/>
      <c r="KHK67" s="2936"/>
      <c r="KHL67" s="2936"/>
      <c r="KHM67" s="2936"/>
      <c r="KHN67" s="2936"/>
      <c r="KHO67" s="2936"/>
      <c r="KHP67" s="2936"/>
      <c r="KHQ67" s="2936"/>
      <c r="KHR67" s="2936"/>
      <c r="KHS67" s="2936"/>
      <c r="KHT67" s="2936"/>
      <c r="KHU67" s="2936"/>
      <c r="KHV67" s="2936"/>
      <c r="KHW67" s="2936"/>
      <c r="KHX67" s="2936"/>
      <c r="KHY67" s="2936"/>
      <c r="KHZ67" s="2936"/>
      <c r="KIA67" s="2936"/>
      <c r="KIB67" s="2936"/>
      <c r="KIC67" s="2936"/>
      <c r="KID67" s="2936"/>
      <c r="KIE67" s="2936"/>
      <c r="KIF67" s="2936"/>
      <c r="KIG67" s="2936"/>
      <c r="KIH67" s="2936"/>
      <c r="KII67" s="2936"/>
      <c r="KIJ67" s="2936"/>
      <c r="KIK67" s="2936"/>
      <c r="KIL67" s="2936"/>
      <c r="KIM67" s="2936"/>
      <c r="KIN67" s="2936"/>
      <c r="KIO67" s="2936"/>
      <c r="KIP67" s="2936"/>
      <c r="KIQ67" s="2936"/>
      <c r="KIR67" s="2936"/>
      <c r="KIS67" s="2936"/>
      <c r="KIT67" s="2936"/>
      <c r="KIU67" s="2936"/>
      <c r="KIV67" s="2936"/>
      <c r="KIW67" s="2936"/>
      <c r="KIX67" s="2936"/>
      <c r="KIY67" s="2936"/>
      <c r="KIZ67" s="2936"/>
      <c r="KJA67" s="2936"/>
      <c r="KJB67" s="2936"/>
      <c r="KJC67" s="2936"/>
      <c r="KJD67" s="2936"/>
      <c r="KJE67" s="2936"/>
      <c r="KJF67" s="2936"/>
      <c r="KJG67" s="2936"/>
      <c r="KJH67" s="2936"/>
      <c r="KJI67" s="2936"/>
      <c r="KJJ67" s="2936"/>
      <c r="KJK67" s="2936"/>
      <c r="KJL67" s="2936"/>
      <c r="KJM67" s="2936"/>
      <c r="KJN67" s="2936"/>
      <c r="KJO67" s="2936"/>
      <c r="KJP67" s="2936"/>
      <c r="KJQ67" s="2936"/>
      <c r="KJR67" s="2936"/>
      <c r="KJS67" s="2936"/>
      <c r="KJT67" s="2936"/>
      <c r="KJU67" s="2936"/>
      <c r="KJV67" s="2936"/>
      <c r="KJW67" s="2936"/>
      <c r="KJX67" s="2936"/>
      <c r="KJY67" s="2936"/>
      <c r="KJZ67" s="2936"/>
      <c r="KKA67" s="2936"/>
      <c r="KKB67" s="2936"/>
      <c r="KKC67" s="2936"/>
      <c r="KKD67" s="2936"/>
      <c r="KKE67" s="2936"/>
      <c r="KKF67" s="2936"/>
      <c r="KKG67" s="2936"/>
      <c r="KKH67" s="2936"/>
      <c r="KKI67" s="2936"/>
      <c r="KKJ67" s="2936"/>
      <c r="KKK67" s="2936"/>
      <c r="KKL67" s="2936"/>
      <c r="KKM67" s="2936"/>
      <c r="KKN67" s="2936"/>
      <c r="KKO67" s="2936"/>
      <c r="KKP67" s="2936"/>
      <c r="KKQ67" s="2936"/>
      <c r="KKR67" s="2936"/>
      <c r="KKS67" s="2936"/>
      <c r="KKT67" s="2936"/>
      <c r="KKU67" s="2936"/>
      <c r="KKV67" s="2936"/>
      <c r="KKW67" s="2936"/>
      <c r="KKX67" s="2936"/>
      <c r="KKY67" s="2936"/>
      <c r="KKZ67" s="2936"/>
      <c r="KLA67" s="2936"/>
      <c r="KLB67" s="2936"/>
      <c r="KLC67" s="2936"/>
      <c r="KLD67" s="2936"/>
      <c r="KLE67" s="2936"/>
      <c r="KLF67" s="2936"/>
      <c r="KLG67" s="2936"/>
      <c r="KLH67" s="2936"/>
      <c r="KLI67" s="2936"/>
      <c r="KLJ67" s="2936"/>
      <c r="KLK67" s="2936"/>
      <c r="KLL67" s="2936"/>
      <c r="KLM67" s="2936"/>
      <c r="KLN67" s="2936"/>
      <c r="KLO67" s="2936"/>
      <c r="KLP67" s="2936"/>
      <c r="KLQ67" s="2936"/>
      <c r="KLR67" s="2936"/>
      <c r="KLS67" s="2936"/>
      <c r="KLT67" s="2936"/>
      <c r="KLU67" s="2936"/>
      <c r="KLV67" s="2936"/>
      <c r="KLW67" s="2936"/>
      <c r="KLX67" s="2936"/>
      <c r="KLY67" s="2936"/>
      <c r="KLZ67" s="2936"/>
      <c r="KMA67" s="2936"/>
      <c r="KMB67" s="2936"/>
      <c r="KMC67" s="2936"/>
      <c r="KMD67" s="2936"/>
      <c r="KME67" s="2936"/>
      <c r="KMF67" s="2936"/>
      <c r="KMG67" s="2936"/>
      <c r="KMH67" s="2936"/>
      <c r="KMI67" s="2936"/>
      <c r="KMJ67" s="2936"/>
      <c r="KMK67" s="2936"/>
      <c r="KML67" s="2936"/>
      <c r="KMM67" s="2936"/>
      <c r="KMN67" s="2936"/>
      <c r="KMO67" s="2936"/>
      <c r="KMP67" s="2936"/>
      <c r="KMQ67" s="2936"/>
      <c r="KMR67" s="2936"/>
      <c r="KMS67" s="2936"/>
      <c r="KMT67" s="2936"/>
      <c r="KMU67" s="2936"/>
      <c r="KMV67" s="2936"/>
      <c r="KMW67" s="2936"/>
      <c r="KMX67" s="2936"/>
      <c r="KMY67" s="2936"/>
      <c r="KMZ67" s="2936"/>
      <c r="KNA67" s="2936"/>
      <c r="KNB67" s="2936"/>
      <c r="KNC67" s="2936"/>
      <c r="KND67" s="2936"/>
      <c r="KNE67" s="2936"/>
      <c r="KNF67" s="2936"/>
      <c r="KNG67" s="2936"/>
      <c r="KNH67" s="2936"/>
      <c r="KNI67" s="2936"/>
      <c r="KNJ67" s="2936"/>
      <c r="KNK67" s="2936"/>
      <c r="KNL67" s="2936"/>
      <c r="KNM67" s="2936"/>
      <c r="KNN67" s="2936"/>
      <c r="KNO67" s="2936"/>
      <c r="KNP67" s="2936"/>
      <c r="KNQ67" s="2936"/>
      <c r="KNR67" s="2936"/>
      <c r="KNS67" s="2936"/>
      <c r="KNT67" s="2936"/>
      <c r="KNU67" s="2936"/>
      <c r="KNV67" s="2936"/>
      <c r="KNW67" s="2936"/>
      <c r="KNX67" s="2936"/>
      <c r="KNY67" s="2936"/>
      <c r="KNZ67" s="2936"/>
      <c r="KOA67" s="2936"/>
      <c r="KOB67" s="2936"/>
      <c r="KOC67" s="2936"/>
      <c r="KOD67" s="2936"/>
      <c r="KOE67" s="2936"/>
      <c r="KOF67" s="2936"/>
      <c r="KOG67" s="2936"/>
      <c r="KOH67" s="2936"/>
      <c r="KOI67" s="2936"/>
      <c r="KOJ67" s="2936"/>
      <c r="KOK67" s="2936"/>
      <c r="KOL67" s="2936"/>
      <c r="KOM67" s="2936"/>
      <c r="KON67" s="2936"/>
      <c r="KOO67" s="2936"/>
      <c r="KOP67" s="2936"/>
      <c r="KOQ67" s="2936"/>
      <c r="KOR67" s="2936"/>
      <c r="KOS67" s="2936"/>
      <c r="KOT67" s="2936"/>
      <c r="KOU67" s="2936"/>
      <c r="KOV67" s="2936"/>
      <c r="KOW67" s="2936"/>
      <c r="KOX67" s="2936"/>
      <c r="KOY67" s="2936"/>
      <c r="KOZ67" s="2936"/>
      <c r="KPA67" s="2936"/>
      <c r="KPB67" s="2936"/>
      <c r="KPC67" s="2936"/>
      <c r="KPD67" s="2936"/>
      <c r="KPE67" s="2936"/>
      <c r="KPF67" s="2936"/>
      <c r="KPG67" s="2936"/>
      <c r="KPH67" s="2936"/>
      <c r="KPI67" s="2936"/>
      <c r="KPJ67" s="2936"/>
      <c r="KPK67" s="2936"/>
      <c r="KPL67" s="2936"/>
      <c r="KPM67" s="2936"/>
      <c r="KPN67" s="2936"/>
      <c r="KPO67" s="2936"/>
      <c r="KPP67" s="2936"/>
      <c r="KPQ67" s="2936"/>
      <c r="KPR67" s="2936"/>
      <c r="KPS67" s="2936"/>
      <c r="KPT67" s="2936"/>
      <c r="KPU67" s="2936"/>
      <c r="KPV67" s="2936"/>
      <c r="KPW67" s="2936"/>
      <c r="KPX67" s="2936"/>
      <c r="KPY67" s="2936"/>
      <c r="KPZ67" s="2936"/>
      <c r="KQA67" s="2936"/>
      <c r="KQB67" s="2936"/>
      <c r="KQC67" s="2936"/>
      <c r="KQD67" s="2936"/>
      <c r="KQE67" s="2936"/>
      <c r="KQF67" s="2936"/>
      <c r="KQG67" s="2936"/>
      <c r="KQH67" s="2936"/>
      <c r="KQI67" s="2936"/>
      <c r="KQJ67" s="2936"/>
      <c r="KQK67" s="2936"/>
      <c r="KQL67" s="2936"/>
      <c r="KQM67" s="2936"/>
      <c r="KQN67" s="2936"/>
      <c r="KQO67" s="2936"/>
      <c r="KQP67" s="2936"/>
      <c r="KQQ67" s="2936"/>
      <c r="KQR67" s="2936"/>
      <c r="KQS67" s="2936"/>
      <c r="KQT67" s="2936"/>
      <c r="KQU67" s="2936"/>
      <c r="KQV67" s="2936"/>
      <c r="KQW67" s="2936"/>
      <c r="KQX67" s="2936"/>
      <c r="KQY67" s="2936"/>
      <c r="KQZ67" s="2936"/>
      <c r="KRA67" s="2936"/>
      <c r="KRB67" s="2936"/>
      <c r="KRC67" s="2936"/>
      <c r="KRD67" s="2936"/>
      <c r="KRE67" s="2936"/>
      <c r="KRF67" s="2936"/>
      <c r="KRG67" s="2936"/>
      <c r="KRH67" s="2936"/>
      <c r="KRI67" s="2936"/>
      <c r="KRJ67" s="2936"/>
      <c r="KRK67" s="2936"/>
      <c r="KRL67" s="2936"/>
      <c r="KRM67" s="2936"/>
      <c r="KRN67" s="2936"/>
      <c r="KRO67" s="2936"/>
      <c r="KRP67" s="2936"/>
      <c r="KRQ67" s="2936"/>
      <c r="KRR67" s="2936"/>
      <c r="KRS67" s="2936"/>
      <c r="KRT67" s="2936"/>
      <c r="KRU67" s="2936"/>
      <c r="KRV67" s="2936"/>
      <c r="KRW67" s="2936"/>
      <c r="KRX67" s="2936"/>
      <c r="KRY67" s="2936"/>
      <c r="KRZ67" s="2936"/>
      <c r="KSA67" s="2936"/>
      <c r="KSB67" s="2936"/>
      <c r="KSC67" s="2936"/>
      <c r="KSD67" s="2936"/>
      <c r="KSE67" s="2936"/>
      <c r="KSF67" s="2936"/>
      <c r="KSG67" s="2936"/>
      <c r="KSH67" s="2936"/>
      <c r="KSI67" s="2936"/>
      <c r="KSJ67" s="2936"/>
      <c r="KSK67" s="2936"/>
      <c r="KSL67" s="2936"/>
      <c r="KSM67" s="2936"/>
      <c r="KSN67" s="2936"/>
      <c r="KSO67" s="2936"/>
      <c r="KSP67" s="2936"/>
      <c r="KSQ67" s="2936"/>
      <c r="KSR67" s="2936"/>
      <c r="KSS67" s="2936"/>
      <c r="KST67" s="2936"/>
      <c r="KSU67" s="2936"/>
      <c r="KSV67" s="2936"/>
      <c r="KSW67" s="2936"/>
      <c r="KSX67" s="2936"/>
      <c r="KSY67" s="2936"/>
      <c r="KSZ67" s="2936"/>
      <c r="KTA67" s="2936"/>
      <c r="KTB67" s="2936"/>
      <c r="KTC67" s="2936"/>
      <c r="KTD67" s="2936"/>
      <c r="KTE67" s="2936"/>
      <c r="KTF67" s="2936"/>
      <c r="KTG67" s="2936"/>
      <c r="KTH67" s="2936"/>
      <c r="KTI67" s="2936"/>
      <c r="KTJ67" s="2936"/>
      <c r="KTK67" s="2936"/>
      <c r="KTL67" s="2936"/>
      <c r="KTM67" s="2936"/>
      <c r="KTN67" s="2936"/>
      <c r="KTO67" s="2936"/>
      <c r="KTP67" s="2936"/>
      <c r="KTQ67" s="2936"/>
      <c r="KTR67" s="2936"/>
      <c r="KTS67" s="2936"/>
      <c r="KTT67" s="2936"/>
      <c r="KTU67" s="2936"/>
      <c r="KTV67" s="2936"/>
      <c r="KTW67" s="2936"/>
      <c r="KTX67" s="2936"/>
      <c r="KTY67" s="2936"/>
      <c r="KTZ67" s="2936"/>
      <c r="KUA67" s="2936"/>
      <c r="KUB67" s="2936"/>
      <c r="KUC67" s="2936"/>
      <c r="KUD67" s="2936"/>
      <c r="KUE67" s="2936"/>
      <c r="KUF67" s="2936"/>
      <c r="KUG67" s="2936"/>
      <c r="KUH67" s="2936"/>
      <c r="KUI67" s="2936"/>
      <c r="KUJ67" s="2936"/>
      <c r="KUK67" s="2936"/>
      <c r="KUL67" s="2936"/>
      <c r="KUM67" s="2936"/>
      <c r="KUN67" s="2936"/>
      <c r="KUO67" s="2936"/>
      <c r="KUP67" s="2936"/>
      <c r="KUQ67" s="2936"/>
      <c r="KUR67" s="2936"/>
      <c r="KUS67" s="2936"/>
      <c r="KUT67" s="2936"/>
      <c r="KUU67" s="2936"/>
      <c r="KUV67" s="2936"/>
      <c r="KUW67" s="2936"/>
      <c r="KUX67" s="2936"/>
      <c r="KUY67" s="2936"/>
      <c r="KUZ67" s="2936"/>
      <c r="KVA67" s="2936"/>
      <c r="KVB67" s="2936"/>
      <c r="KVC67" s="2936"/>
      <c r="KVD67" s="2936"/>
      <c r="KVE67" s="2936"/>
      <c r="KVF67" s="2936"/>
      <c r="KVG67" s="2936"/>
      <c r="KVH67" s="2936"/>
      <c r="KVI67" s="2936"/>
      <c r="KVJ67" s="2936"/>
      <c r="KVK67" s="2936"/>
      <c r="KVL67" s="2936"/>
      <c r="KVM67" s="2936"/>
      <c r="KVN67" s="2936"/>
      <c r="KVO67" s="2936"/>
      <c r="KVP67" s="2936"/>
      <c r="KVQ67" s="2936"/>
      <c r="KVR67" s="2936"/>
      <c r="KVS67" s="2936"/>
      <c r="KVT67" s="2936"/>
      <c r="KVU67" s="2936"/>
      <c r="KVV67" s="2936"/>
      <c r="KVW67" s="2936"/>
      <c r="KVX67" s="2936"/>
      <c r="KVY67" s="2936"/>
      <c r="KVZ67" s="2936"/>
      <c r="KWA67" s="2936"/>
      <c r="KWB67" s="2936"/>
      <c r="KWC67" s="2936"/>
      <c r="KWD67" s="2936"/>
      <c r="KWE67" s="2936"/>
      <c r="KWF67" s="2936"/>
      <c r="KWG67" s="2936"/>
      <c r="KWH67" s="2936"/>
      <c r="KWI67" s="2936"/>
      <c r="KWJ67" s="2936"/>
      <c r="KWK67" s="2936"/>
      <c r="KWL67" s="2936"/>
      <c r="KWM67" s="2936"/>
      <c r="KWN67" s="2936"/>
      <c r="KWO67" s="2936"/>
      <c r="KWP67" s="2936"/>
      <c r="KWQ67" s="2936"/>
      <c r="KWR67" s="2936"/>
      <c r="KWS67" s="2936"/>
      <c r="KWT67" s="2936"/>
      <c r="KWU67" s="2936"/>
      <c r="KWV67" s="2936"/>
      <c r="KWW67" s="2936"/>
      <c r="KWX67" s="2936"/>
      <c r="KWY67" s="2936"/>
      <c r="KWZ67" s="2936"/>
      <c r="KXA67" s="2936"/>
      <c r="KXB67" s="2936"/>
      <c r="KXC67" s="2936"/>
      <c r="KXD67" s="2936"/>
      <c r="KXE67" s="2936"/>
      <c r="KXF67" s="2936"/>
      <c r="KXG67" s="2936"/>
      <c r="KXH67" s="2936"/>
      <c r="KXI67" s="2936"/>
      <c r="KXJ67" s="2936"/>
      <c r="KXK67" s="2936"/>
      <c r="KXL67" s="2936"/>
      <c r="KXM67" s="2936"/>
      <c r="KXN67" s="2936"/>
      <c r="KXO67" s="2936"/>
      <c r="KXP67" s="2936"/>
      <c r="KXQ67" s="2936"/>
      <c r="KXR67" s="2936"/>
      <c r="KXS67" s="2936"/>
      <c r="KXT67" s="2936"/>
      <c r="KXU67" s="2936"/>
      <c r="KXV67" s="2936"/>
      <c r="KXW67" s="2936"/>
      <c r="KXX67" s="2936"/>
      <c r="KXY67" s="2936"/>
      <c r="KXZ67" s="2936"/>
      <c r="KYA67" s="2936"/>
      <c r="KYB67" s="2936"/>
      <c r="KYC67" s="2936"/>
      <c r="KYD67" s="2936"/>
      <c r="KYE67" s="2936"/>
      <c r="KYF67" s="2936"/>
      <c r="KYG67" s="2936"/>
      <c r="KYH67" s="2936"/>
      <c r="KYI67" s="2936"/>
      <c r="KYJ67" s="2936"/>
      <c r="KYK67" s="2936"/>
      <c r="KYL67" s="2936"/>
      <c r="KYM67" s="2936"/>
      <c r="KYN67" s="2936"/>
      <c r="KYO67" s="2936"/>
      <c r="KYP67" s="2936"/>
      <c r="KYQ67" s="2936"/>
      <c r="KYR67" s="2936"/>
      <c r="KYS67" s="2936"/>
      <c r="KYT67" s="2936"/>
      <c r="KYU67" s="2936"/>
      <c r="KYV67" s="2936"/>
      <c r="KYW67" s="2936"/>
      <c r="KYX67" s="2936"/>
      <c r="KYY67" s="2936"/>
      <c r="KYZ67" s="2936"/>
      <c r="KZA67" s="2936"/>
      <c r="KZB67" s="2936"/>
      <c r="KZC67" s="2936"/>
      <c r="KZD67" s="2936"/>
      <c r="KZE67" s="2936"/>
      <c r="KZF67" s="2936"/>
      <c r="KZG67" s="2936"/>
      <c r="KZH67" s="2936"/>
      <c r="KZI67" s="2936"/>
      <c r="KZJ67" s="2936"/>
      <c r="KZK67" s="2936"/>
      <c r="KZL67" s="2936"/>
      <c r="KZM67" s="2936"/>
      <c r="KZN67" s="2936"/>
      <c r="KZO67" s="2936"/>
      <c r="KZP67" s="2936"/>
      <c r="KZQ67" s="2936"/>
      <c r="KZR67" s="2936"/>
      <c r="KZS67" s="2936"/>
      <c r="KZT67" s="2936"/>
      <c r="KZU67" s="2936"/>
      <c r="KZV67" s="2936"/>
      <c r="KZW67" s="2936"/>
      <c r="KZX67" s="2936"/>
      <c r="KZY67" s="2936"/>
      <c r="KZZ67" s="2936"/>
      <c r="LAA67" s="2936"/>
      <c r="LAB67" s="2936"/>
      <c r="LAC67" s="2936"/>
      <c r="LAD67" s="2936"/>
      <c r="LAE67" s="2936"/>
      <c r="LAF67" s="2936"/>
      <c r="LAG67" s="2936"/>
      <c r="LAH67" s="2936"/>
      <c r="LAI67" s="2936"/>
      <c r="LAJ67" s="2936"/>
      <c r="LAK67" s="2936"/>
      <c r="LAL67" s="2936"/>
      <c r="LAM67" s="2936"/>
      <c r="LAN67" s="2936"/>
      <c r="LAO67" s="2936"/>
      <c r="LAP67" s="2936"/>
      <c r="LAQ67" s="2936"/>
      <c r="LAR67" s="2936"/>
      <c r="LAS67" s="2936"/>
      <c r="LAT67" s="2936"/>
      <c r="LAU67" s="2936"/>
      <c r="LAV67" s="2936"/>
      <c r="LAW67" s="2936"/>
      <c r="LAX67" s="2936"/>
      <c r="LAY67" s="2936"/>
      <c r="LAZ67" s="2936"/>
      <c r="LBA67" s="2936"/>
      <c r="LBB67" s="2936"/>
      <c r="LBC67" s="2936"/>
      <c r="LBD67" s="2936"/>
      <c r="LBE67" s="2936"/>
      <c r="LBF67" s="2936"/>
      <c r="LBG67" s="2936"/>
      <c r="LBH67" s="2936"/>
      <c r="LBI67" s="2936"/>
      <c r="LBJ67" s="2936"/>
      <c r="LBK67" s="2936"/>
      <c r="LBL67" s="2936"/>
      <c r="LBM67" s="2936"/>
      <c r="LBN67" s="2936"/>
      <c r="LBO67" s="2936"/>
      <c r="LBP67" s="2936"/>
      <c r="LBQ67" s="2936"/>
      <c r="LBR67" s="2936"/>
      <c r="LBS67" s="2936"/>
      <c r="LBT67" s="2936"/>
      <c r="LBU67" s="2936"/>
      <c r="LBV67" s="2936"/>
      <c r="LBW67" s="2936"/>
      <c r="LBX67" s="2936"/>
      <c r="LBY67" s="2936"/>
      <c r="LBZ67" s="2936"/>
      <c r="LCA67" s="2936"/>
      <c r="LCB67" s="2936"/>
      <c r="LCC67" s="2936"/>
      <c r="LCD67" s="2936"/>
      <c r="LCE67" s="2936"/>
      <c r="LCF67" s="2936"/>
      <c r="LCG67" s="2936"/>
      <c r="LCH67" s="2936"/>
      <c r="LCI67" s="2936"/>
      <c r="LCJ67" s="2936"/>
      <c r="LCK67" s="2936"/>
      <c r="LCL67" s="2936"/>
      <c r="LCM67" s="2936"/>
      <c r="LCN67" s="2936"/>
      <c r="LCO67" s="2936"/>
      <c r="LCP67" s="2936"/>
      <c r="LCQ67" s="2936"/>
      <c r="LCR67" s="2936"/>
      <c r="LCS67" s="2936"/>
      <c r="LCT67" s="2936"/>
      <c r="LCU67" s="2936"/>
      <c r="LCV67" s="2936"/>
      <c r="LCW67" s="2936"/>
      <c r="LCX67" s="2936"/>
      <c r="LCY67" s="2936"/>
      <c r="LCZ67" s="2936"/>
      <c r="LDA67" s="2936"/>
      <c r="LDB67" s="2936"/>
      <c r="LDC67" s="2936"/>
      <c r="LDD67" s="2936"/>
      <c r="LDE67" s="2936"/>
      <c r="LDF67" s="2936"/>
      <c r="LDG67" s="2936"/>
      <c r="LDH67" s="2936"/>
      <c r="LDI67" s="2936"/>
      <c r="LDJ67" s="2936"/>
      <c r="LDK67" s="2936"/>
      <c r="LDL67" s="2936"/>
      <c r="LDM67" s="2936"/>
      <c r="LDN67" s="2936"/>
      <c r="LDO67" s="2936"/>
      <c r="LDP67" s="2936"/>
      <c r="LDQ67" s="2936"/>
      <c r="LDR67" s="2936"/>
      <c r="LDS67" s="2936"/>
      <c r="LDT67" s="2936"/>
      <c r="LDU67" s="2936"/>
      <c r="LDV67" s="2936"/>
      <c r="LDW67" s="2936"/>
      <c r="LDX67" s="2936"/>
      <c r="LDY67" s="2936"/>
      <c r="LDZ67" s="2936"/>
      <c r="LEA67" s="2936"/>
      <c r="LEB67" s="2936"/>
      <c r="LEC67" s="2936"/>
      <c r="LED67" s="2936"/>
      <c r="LEE67" s="2936"/>
      <c r="LEF67" s="2936"/>
      <c r="LEG67" s="2936"/>
      <c r="LEH67" s="2936"/>
      <c r="LEI67" s="2936"/>
      <c r="LEJ67" s="2936"/>
      <c r="LEK67" s="2936"/>
      <c r="LEL67" s="2936"/>
      <c r="LEM67" s="2936"/>
      <c r="LEN67" s="2936"/>
      <c r="LEO67" s="2936"/>
      <c r="LEP67" s="2936"/>
      <c r="LEQ67" s="2936"/>
      <c r="LER67" s="2936"/>
      <c r="LES67" s="2936"/>
      <c r="LET67" s="2936"/>
      <c r="LEU67" s="2936"/>
      <c r="LEV67" s="2936"/>
      <c r="LEW67" s="2936"/>
      <c r="LEX67" s="2936"/>
      <c r="LEY67" s="2936"/>
      <c r="LEZ67" s="2936"/>
      <c r="LFA67" s="2936"/>
      <c r="LFB67" s="2936"/>
      <c r="LFC67" s="2936"/>
      <c r="LFD67" s="2936"/>
      <c r="LFE67" s="2936"/>
      <c r="LFF67" s="2936"/>
      <c r="LFG67" s="2936"/>
      <c r="LFH67" s="2936"/>
      <c r="LFI67" s="2936"/>
      <c r="LFJ67" s="2936"/>
      <c r="LFK67" s="2936"/>
      <c r="LFL67" s="2936"/>
      <c r="LFM67" s="2936"/>
      <c r="LFN67" s="2936"/>
      <c r="LFO67" s="2936"/>
      <c r="LFP67" s="2936"/>
      <c r="LFQ67" s="2936"/>
      <c r="LFR67" s="2936"/>
      <c r="LFS67" s="2936"/>
      <c r="LFT67" s="2936"/>
      <c r="LFU67" s="2936"/>
      <c r="LFV67" s="2936"/>
      <c r="LFW67" s="2936"/>
      <c r="LFX67" s="2936"/>
      <c r="LFY67" s="2936"/>
      <c r="LFZ67" s="2936"/>
      <c r="LGA67" s="2936"/>
      <c r="LGB67" s="2936"/>
      <c r="LGC67" s="2936"/>
      <c r="LGD67" s="2936"/>
      <c r="LGE67" s="2936"/>
      <c r="LGF67" s="2936"/>
      <c r="LGG67" s="2936"/>
      <c r="LGH67" s="2936"/>
      <c r="LGI67" s="2936"/>
      <c r="LGJ67" s="2936"/>
      <c r="LGK67" s="2936"/>
      <c r="LGL67" s="2936"/>
      <c r="LGM67" s="2936"/>
      <c r="LGN67" s="2936"/>
      <c r="LGO67" s="2936"/>
      <c r="LGP67" s="2936"/>
      <c r="LGQ67" s="2936"/>
      <c r="LGR67" s="2936"/>
      <c r="LGS67" s="2936"/>
      <c r="LGT67" s="2936"/>
      <c r="LGU67" s="2936"/>
      <c r="LGV67" s="2936"/>
      <c r="LGW67" s="2936"/>
      <c r="LGX67" s="2936"/>
      <c r="LGY67" s="2936"/>
      <c r="LGZ67" s="2936"/>
      <c r="LHA67" s="2936"/>
      <c r="LHB67" s="2936"/>
      <c r="LHC67" s="2936"/>
      <c r="LHD67" s="2936"/>
      <c r="LHE67" s="2936"/>
      <c r="LHF67" s="2936"/>
      <c r="LHG67" s="2936"/>
      <c r="LHH67" s="2936"/>
      <c r="LHI67" s="2936"/>
      <c r="LHJ67" s="2936"/>
      <c r="LHK67" s="2936"/>
      <c r="LHL67" s="2936"/>
      <c r="LHM67" s="2936"/>
      <c r="LHN67" s="2936"/>
      <c r="LHO67" s="2936"/>
      <c r="LHP67" s="2936"/>
      <c r="LHQ67" s="2936"/>
      <c r="LHR67" s="2936"/>
      <c r="LHS67" s="2936"/>
      <c r="LHT67" s="2936"/>
      <c r="LHU67" s="2936"/>
      <c r="LHV67" s="2936"/>
      <c r="LHW67" s="2936"/>
      <c r="LHX67" s="2936"/>
      <c r="LHY67" s="2936"/>
      <c r="LHZ67" s="2936"/>
      <c r="LIA67" s="2936"/>
      <c r="LIB67" s="2936"/>
      <c r="LIC67" s="2936"/>
      <c r="LID67" s="2936"/>
      <c r="LIE67" s="2936"/>
      <c r="LIF67" s="2936"/>
      <c r="LIG67" s="2936"/>
      <c r="LIH67" s="2936"/>
      <c r="LII67" s="2936"/>
      <c r="LIJ67" s="2936"/>
      <c r="LIK67" s="2936"/>
      <c r="LIL67" s="2936"/>
      <c r="LIM67" s="2936"/>
      <c r="LIN67" s="2936"/>
      <c r="LIO67" s="2936"/>
      <c r="LIP67" s="2936"/>
      <c r="LIQ67" s="2936"/>
      <c r="LIR67" s="2936"/>
      <c r="LIS67" s="2936"/>
      <c r="LIT67" s="2936"/>
      <c r="LIU67" s="2936"/>
      <c r="LIV67" s="2936"/>
      <c r="LIW67" s="2936"/>
      <c r="LIX67" s="2936"/>
      <c r="LIY67" s="2936"/>
      <c r="LIZ67" s="2936"/>
      <c r="LJA67" s="2936"/>
      <c r="LJB67" s="2936"/>
      <c r="LJC67" s="2936"/>
      <c r="LJD67" s="2936"/>
      <c r="LJE67" s="2936"/>
      <c r="LJF67" s="2936"/>
      <c r="LJG67" s="2936"/>
      <c r="LJH67" s="2936"/>
      <c r="LJI67" s="2936"/>
      <c r="LJJ67" s="2936"/>
      <c r="LJK67" s="2936"/>
      <c r="LJL67" s="2936"/>
      <c r="LJM67" s="2936"/>
      <c r="LJN67" s="2936"/>
      <c r="LJO67" s="2936"/>
      <c r="LJP67" s="2936"/>
      <c r="LJQ67" s="2936"/>
      <c r="LJR67" s="2936"/>
      <c r="LJS67" s="2936"/>
      <c r="LJT67" s="2936"/>
      <c r="LJU67" s="2936"/>
      <c r="LJV67" s="2936"/>
      <c r="LJW67" s="2936"/>
      <c r="LJX67" s="2936"/>
      <c r="LJY67" s="2936"/>
      <c r="LJZ67" s="2936"/>
      <c r="LKA67" s="2936"/>
      <c r="LKB67" s="2936"/>
      <c r="LKC67" s="2936"/>
      <c r="LKD67" s="2936"/>
      <c r="LKE67" s="2936"/>
      <c r="LKF67" s="2936"/>
      <c r="LKG67" s="2936"/>
      <c r="LKH67" s="2936"/>
      <c r="LKI67" s="2936"/>
      <c r="LKJ67" s="2936"/>
      <c r="LKK67" s="2936"/>
      <c r="LKL67" s="2936"/>
      <c r="LKM67" s="2936"/>
      <c r="LKN67" s="2936"/>
      <c r="LKO67" s="2936"/>
      <c r="LKP67" s="2936"/>
      <c r="LKQ67" s="2936"/>
      <c r="LKR67" s="2936"/>
      <c r="LKS67" s="2936"/>
      <c r="LKT67" s="2936"/>
      <c r="LKU67" s="2936"/>
      <c r="LKV67" s="2936"/>
      <c r="LKW67" s="2936"/>
      <c r="LKX67" s="2936"/>
      <c r="LKY67" s="2936"/>
      <c r="LKZ67" s="2936"/>
      <c r="LLA67" s="2936"/>
      <c r="LLB67" s="2936"/>
      <c r="LLC67" s="2936"/>
      <c r="LLD67" s="2936"/>
      <c r="LLE67" s="2936"/>
      <c r="LLF67" s="2936"/>
      <c r="LLG67" s="2936"/>
      <c r="LLH67" s="2936"/>
      <c r="LLI67" s="2936"/>
      <c r="LLJ67" s="2936"/>
      <c r="LLK67" s="2936"/>
      <c r="LLL67" s="2936"/>
      <c r="LLM67" s="2936"/>
      <c r="LLN67" s="2936"/>
      <c r="LLO67" s="2936"/>
      <c r="LLP67" s="2936"/>
      <c r="LLQ67" s="2936"/>
      <c r="LLR67" s="2936"/>
      <c r="LLS67" s="2936"/>
      <c r="LLT67" s="2936"/>
      <c r="LLU67" s="2936"/>
      <c r="LLV67" s="2936"/>
      <c r="LLW67" s="2936"/>
      <c r="LLX67" s="2936"/>
      <c r="LLY67" s="2936"/>
      <c r="LLZ67" s="2936"/>
      <c r="LMA67" s="2936"/>
      <c r="LMB67" s="2936"/>
      <c r="LMC67" s="2936"/>
      <c r="LMD67" s="2936"/>
      <c r="LME67" s="2936"/>
      <c r="LMF67" s="2936"/>
      <c r="LMG67" s="2936"/>
      <c r="LMH67" s="2936"/>
      <c r="LMI67" s="2936"/>
      <c r="LMJ67" s="2936"/>
      <c r="LMK67" s="2936"/>
      <c r="LML67" s="2936"/>
      <c r="LMM67" s="2936"/>
      <c r="LMN67" s="2936"/>
      <c r="LMO67" s="2936"/>
      <c r="LMP67" s="2936"/>
      <c r="LMQ67" s="2936"/>
      <c r="LMR67" s="2936"/>
      <c r="LMS67" s="2936"/>
      <c r="LMT67" s="2936"/>
      <c r="LMU67" s="2936"/>
      <c r="LMV67" s="2936"/>
      <c r="LMW67" s="2936"/>
      <c r="LMX67" s="2936"/>
      <c r="LMY67" s="2936"/>
      <c r="LMZ67" s="2936"/>
      <c r="LNA67" s="2936"/>
      <c r="LNB67" s="2936"/>
      <c r="LNC67" s="2936"/>
      <c r="LND67" s="2936"/>
      <c r="LNE67" s="2936"/>
      <c r="LNF67" s="2936"/>
      <c r="LNG67" s="2936"/>
      <c r="LNH67" s="2936"/>
      <c r="LNI67" s="2936"/>
      <c r="LNJ67" s="2936"/>
      <c r="LNK67" s="2936"/>
      <c r="LNL67" s="2936"/>
      <c r="LNM67" s="2936"/>
      <c r="LNN67" s="2936"/>
      <c r="LNO67" s="2936"/>
      <c r="LNP67" s="2936"/>
      <c r="LNQ67" s="2936"/>
      <c r="LNR67" s="2936"/>
      <c r="LNS67" s="2936"/>
      <c r="LNT67" s="2936"/>
      <c r="LNU67" s="2936"/>
      <c r="LNV67" s="2936"/>
      <c r="LNW67" s="2936"/>
      <c r="LNX67" s="2936"/>
      <c r="LNY67" s="2936"/>
      <c r="LNZ67" s="2936"/>
      <c r="LOA67" s="2936"/>
      <c r="LOB67" s="2936"/>
      <c r="LOC67" s="2936"/>
      <c r="LOD67" s="2936"/>
      <c r="LOE67" s="2936"/>
      <c r="LOF67" s="2936"/>
      <c r="LOG67" s="2936"/>
      <c r="LOH67" s="2936"/>
      <c r="LOI67" s="2936"/>
      <c r="LOJ67" s="2936"/>
      <c r="LOK67" s="2936"/>
      <c r="LOL67" s="2936"/>
      <c r="LOM67" s="2936"/>
      <c r="LON67" s="2936"/>
      <c r="LOO67" s="2936"/>
      <c r="LOP67" s="2936"/>
      <c r="LOQ67" s="2936"/>
      <c r="LOR67" s="2936"/>
      <c r="LOS67" s="2936"/>
      <c r="LOT67" s="2936"/>
      <c r="LOU67" s="2936"/>
      <c r="LOV67" s="2936"/>
      <c r="LOW67" s="2936"/>
      <c r="LOX67" s="2936"/>
      <c r="LOY67" s="2936"/>
      <c r="LOZ67" s="2936"/>
      <c r="LPA67" s="2936"/>
      <c r="LPB67" s="2936"/>
      <c r="LPC67" s="2936"/>
      <c r="LPD67" s="2936"/>
      <c r="LPE67" s="2936"/>
      <c r="LPF67" s="2936"/>
      <c r="LPG67" s="2936"/>
      <c r="LPH67" s="2936"/>
      <c r="LPI67" s="2936"/>
      <c r="LPJ67" s="2936"/>
      <c r="LPK67" s="2936"/>
      <c r="LPL67" s="2936"/>
      <c r="LPM67" s="2936"/>
      <c r="LPN67" s="2936"/>
      <c r="LPO67" s="2936"/>
      <c r="LPP67" s="2936"/>
      <c r="LPQ67" s="2936"/>
      <c r="LPR67" s="2936"/>
      <c r="LPS67" s="2936"/>
      <c r="LPT67" s="2936"/>
      <c r="LPU67" s="2936"/>
      <c r="LPV67" s="2936"/>
      <c r="LPW67" s="2936"/>
      <c r="LPX67" s="2936"/>
      <c r="LPY67" s="2936"/>
      <c r="LPZ67" s="2936"/>
      <c r="LQA67" s="2936"/>
      <c r="LQB67" s="2936"/>
      <c r="LQC67" s="2936"/>
      <c r="LQD67" s="2936"/>
      <c r="LQE67" s="2936"/>
      <c r="LQF67" s="2936"/>
      <c r="LQG67" s="2936"/>
      <c r="LQH67" s="2936"/>
      <c r="LQI67" s="2936"/>
      <c r="LQJ67" s="2936"/>
      <c r="LQK67" s="2936"/>
      <c r="LQL67" s="2936"/>
      <c r="LQM67" s="2936"/>
      <c r="LQN67" s="2936"/>
      <c r="LQO67" s="2936"/>
      <c r="LQP67" s="2936"/>
      <c r="LQQ67" s="2936"/>
      <c r="LQR67" s="2936"/>
      <c r="LQS67" s="2936"/>
      <c r="LQT67" s="2936"/>
      <c r="LQU67" s="2936"/>
      <c r="LQV67" s="2936"/>
      <c r="LQW67" s="2936"/>
      <c r="LQX67" s="2936"/>
      <c r="LQY67" s="2936"/>
      <c r="LQZ67" s="2936"/>
      <c r="LRA67" s="2936"/>
      <c r="LRB67" s="2936"/>
      <c r="LRC67" s="2936"/>
      <c r="LRD67" s="2936"/>
      <c r="LRE67" s="2936"/>
      <c r="LRF67" s="2936"/>
      <c r="LRG67" s="2936"/>
      <c r="LRH67" s="2936"/>
      <c r="LRI67" s="2936"/>
      <c r="LRJ67" s="2936"/>
      <c r="LRK67" s="2936"/>
      <c r="LRL67" s="2936"/>
      <c r="LRM67" s="2936"/>
      <c r="LRN67" s="2936"/>
      <c r="LRO67" s="2936"/>
      <c r="LRP67" s="2936"/>
      <c r="LRQ67" s="2936"/>
      <c r="LRR67" s="2936"/>
      <c r="LRS67" s="2936"/>
      <c r="LRT67" s="2936"/>
      <c r="LRU67" s="2936"/>
      <c r="LRV67" s="2936"/>
      <c r="LRW67" s="2936"/>
      <c r="LRX67" s="2936"/>
      <c r="LRY67" s="2936"/>
      <c r="LRZ67" s="2936"/>
      <c r="LSA67" s="2936"/>
      <c r="LSB67" s="2936"/>
      <c r="LSC67" s="2936"/>
      <c r="LSD67" s="2936"/>
      <c r="LSE67" s="2936"/>
      <c r="LSF67" s="2936"/>
      <c r="LSG67" s="2936"/>
      <c r="LSH67" s="2936"/>
      <c r="LSI67" s="2936"/>
      <c r="LSJ67" s="2936"/>
      <c r="LSK67" s="2936"/>
      <c r="LSL67" s="2936"/>
      <c r="LSM67" s="2936"/>
      <c r="LSN67" s="2936"/>
      <c r="LSO67" s="2936"/>
      <c r="LSP67" s="2936"/>
      <c r="LSQ67" s="2936"/>
      <c r="LSR67" s="2936"/>
      <c r="LSS67" s="2936"/>
      <c r="LST67" s="2936"/>
      <c r="LSU67" s="2936"/>
      <c r="LSV67" s="2936"/>
      <c r="LSW67" s="2936"/>
      <c r="LSX67" s="2936"/>
      <c r="LSY67" s="2936"/>
      <c r="LSZ67" s="2936"/>
      <c r="LTA67" s="2936"/>
      <c r="LTB67" s="2936"/>
      <c r="LTC67" s="2936"/>
      <c r="LTD67" s="2936"/>
      <c r="LTE67" s="2936"/>
      <c r="LTF67" s="2936"/>
      <c r="LTG67" s="2936"/>
      <c r="LTH67" s="2936"/>
      <c r="LTI67" s="2936"/>
      <c r="LTJ67" s="2936"/>
      <c r="LTK67" s="2936"/>
      <c r="LTL67" s="2936"/>
      <c r="LTM67" s="2936"/>
      <c r="LTN67" s="2936"/>
      <c r="LTO67" s="2936"/>
      <c r="LTP67" s="2936"/>
      <c r="LTQ67" s="2936"/>
      <c r="LTR67" s="2936"/>
      <c r="LTS67" s="2936"/>
      <c r="LTT67" s="2936"/>
      <c r="LTU67" s="2936"/>
      <c r="LTV67" s="2936"/>
      <c r="LTW67" s="2936"/>
      <c r="LTX67" s="2936"/>
      <c r="LTY67" s="2936"/>
      <c r="LTZ67" s="2936"/>
      <c r="LUA67" s="2936"/>
      <c r="LUB67" s="2936"/>
      <c r="LUC67" s="2936"/>
      <c r="LUD67" s="2936"/>
      <c r="LUE67" s="2936"/>
      <c r="LUF67" s="2936"/>
      <c r="LUG67" s="2936"/>
      <c r="LUH67" s="2936"/>
      <c r="LUI67" s="2936"/>
      <c r="LUJ67" s="2936"/>
      <c r="LUK67" s="2936"/>
      <c r="LUL67" s="2936"/>
      <c r="LUM67" s="2936"/>
      <c r="LUN67" s="2936"/>
      <c r="LUO67" s="2936"/>
      <c r="LUP67" s="2936"/>
      <c r="LUQ67" s="2936"/>
      <c r="LUR67" s="2936"/>
      <c r="LUS67" s="2936"/>
      <c r="LUT67" s="2936"/>
      <c r="LUU67" s="2936"/>
      <c r="LUV67" s="2936"/>
      <c r="LUW67" s="2936"/>
      <c r="LUX67" s="2936"/>
      <c r="LUY67" s="2936"/>
      <c r="LUZ67" s="2936"/>
      <c r="LVA67" s="2936"/>
      <c r="LVB67" s="2936"/>
      <c r="LVC67" s="2936"/>
      <c r="LVD67" s="2936"/>
      <c r="LVE67" s="2936"/>
      <c r="LVF67" s="2936"/>
      <c r="LVG67" s="2936"/>
      <c r="LVH67" s="2936"/>
      <c r="LVI67" s="2936"/>
      <c r="LVJ67" s="2936"/>
      <c r="LVK67" s="2936"/>
      <c r="LVL67" s="2936"/>
      <c r="LVM67" s="2936"/>
      <c r="LVN67" s="2936"/>
      <c r="LVO67" s="2936"/>
      <c r="LVP67" s="2936"/>
      <c r="LVQ67" s="2936"/>
      <c r="LVR67" s="2936"/>
      <c r="LVS67" s="2936"/>
      <c r="LVT67" s="2936"/>
      <c r="LVU67" s="2936"/>
      <c r="LVV67" s="2936"/>
      <c r="LVW67" s="2936"/>
      <c r="LVX67" s="2936"/>
      <c r="LVY67" s="2936"/>
      <c r="LVZ67" s="2936"/>
      <c r="LWA67" s="2936"/>
      <c r="LWB67" s="2936"/>
      <c r="LWC67" s="2936"/>
      <c r="LWD67" s="2936"/>
      <c r="LWE67" s="2936"/>
      <c r="LWF67" s="2936"/>
      <c r="LWG67" s="2936"/>
      <c r="LWH67" s="2936"/>
      <c r="LWI67" s="2936"/>
      <c r="LWJ67" s="2936"/>
      <c r="LWK67" s="2936"/>
      <c r="LWL67" s="2936"/>
      <c r="LWM67" s="2936"/>
      <c r="LWN67" s="2936"/>
      <c r="LWO67" s="2936"/>
      <c r="LWP67" s="2936"/>
      <c r="LWQ67" s="2936"/>
      <c r="LWR67" s="2936"/>
      <c r="LWS67" s="2936"/>
      <c r="LWT67" s="2936"/>
      <c r="LWU67" s="2936"/>
      <c r="LWV67" s="2936"/>
      <c r="LWW67" s="2936"/>
      <c r="LWX67" s="2936"/>
      <c r="LWY67" s="2936"/>
      <c r="LWZ67" s="2936"/>
      <c r="LXA67" s="2936"/>
      <c r="LXB67" s="2936"/>
      <c r="LXC67" s="2936"/>
      <c r="LXD67" s="2936"/>
      <c r="LXE67" s="2936"/>
      <c r="LXF67" s="2936"/>
      <c r="LXG67" s="2936"/>
      <c r="LXH67" s="2936"/>
      <c r="LXI67" s="2936"/>
      <c r="LXJ67" s="2936"/>
      <c r="LXK67" s="2936"/>
      <c r="LXL67" s="2936"/>
      <c r="LXM67" s="2936"/>
      <c r="LXN67" s="2936"/>
      <c r="LXO67" s="2936"/>
      <c r="LXP67" s="2936"/>
      <c r="LXQ67" s="2936"/>
      <c r="LXR67" s="2936"/>
      <c r="LXS67" s="2936"/>
      <c r="LXT67" s="2936"/>
      <c r="LXU67" s="2936"/>
      <c r="LXV67" s="2936"/>
      <c r="LXW67" s="2936"/>
      <c r="LXX67" s="2936"/>
      <c r="LXY67" s="2936"/>
      <c r="LXZ67" s="2936"/>
      <c r="LYA67" s="2936"/>
      <c r="LYB67" s="2936"/>
      <c r="LYC67" s="2936"/>
      <c r="LYD67" s="2936"/>
      <c r="LYE67" s="2936"/>
      <c r="LYF67" s="2936"/>
      <c r="LYG67" s="2936"/>
      <c r="LYH67" s="2936"/>
      <c r="LYI67" s="2936"/>
      <c r="LYJ67" s="2936"/>
      <c r="LYK67" s="2936"/>
      <c r="LYL67" s="2936"/>
      <c r="LYM67" s="2936"/>
      <c r="LYN67" s="2936"/>
      <c r="LYO67" s="2936"/>
      <c r="LYP67" s="2936"/>
      <c r="LYQ67" s="2936"/>
      <c r="LYR67" s="2936"/>
      <c r="LYS67" s="2936"/>
      <c r="LYT67" s="2936"/>
      <c r="LYU67" s="2936"/>
      <c r="LYV67" s="2936"/>
      <c r="LYW67" s="2936"/>
      <c r="LYX67" s="2936"/>
      <c r="LYY67" s="2936"/>
      <c r="LYZ67" s="2936"/>
      <c r="LZA67" s="2936"/>
      <c r="LZB67" s="2936"/>
      <c r="LZC67" s="2936"/>
      <c r="LZD67" s="2936"/>
      <c r="LZE67" s="2936"/>
      <c r="LZF67" s="2936"/>
      <c r="LZG67" s="2936"/>
      <c r="LZH67" s="2936"/>
      <c r="LZI67" s="2936"/>
      <c r="LZJ67" s="2936"/>
      <c r="LZK67" s="2936"/>
      <c r="LZL67" s="2936"/>
      <c r="LZM67" s="2936"/>
      <c r="LZN67" s="2936"/>
      <c r="LZO67" s="2936"/>
      <c r="LZP67" s="2936"/>
      <c r="LZQ67" s="2936"/>
      <c r="LZR67" s="2936"/>
      <c r="LZS67" s="2936"/>
      <c r="LZT67" s="2936"/>
      <c r="LZU67" s="2936"/>
      <c r="LZV67" s="2936"/>
      <c r="LZW67" s="2936"/>
      <c r="LZX67" s="2936"/>
      <c r="LZY67" s="2936"/>
      <c r="LZZ67" s="2936"/>
      <c r="MAA67" s="2936"/>
      <c r="MAB67" s="2936"/>
      <c r="MAC67" s="2936"/>
      <c r="MAD67" s="2936"/>
      <c r="MAE67" s="2936"/>
      <c r="MAF67" s="2936"/>
      <c r="MAG67" s="2936"/>
      <c r="MAH67" s="2936"/>
      <c r="MAI67" s="2936"/>
      <c r="MAJ67" s="2936"/>
      <c r="MAK67" s="2936"/>
      <c r="MAL67" s="2936"/>
      <c r="MAM67" s="2936"/>
      <c r="MAN67" s="2936"/>
      <c r="MAO67" s="2936"/>
      <c r="MAP67" s="2936"/>
      <c r="MAQ67" s="2936"/>
      <c r="MAR67" s="2936"/>
      <c r="MAS67" s="2936"/>
      <c r="MAT67" s="2936"/>
      <c r="MAU67" s="2936"/>
      <c r="MAV67" s="2936"/>
      <c r="MAW67" s="2936"/>
      <c r="MAX67" s="2936"/>
      <c r="MAY67" s="2936"/>
      <c r="MAZ67" s="2936"/>
      <c r="MBA67" s="2936"/>
      <c r="MBB67" s="2936"/>
      <c r="MBC67" s="2936"/>
      <c r="MBD67" s="2936"/>
      <c r="MBE67" s="2936"/>
      <c r="MBF67" s="2936"/>
      <c r="MBG67" s="2936"/>
      <c r="MBH67" s="2936"/>
      <c r="MBI67" s="2936"/>
      <c r="MBJ67" s="2936"/>
      <c r="MBK67" s="2936"/>
      <c r="MBL67" s="2936"/>
      <c r="MBM67" s="2936"/>
      <c r="MBN67" s="2936"/>
      <c r="MBO67" s="2936"/>
      <c r="MBP67" s="2936"/>
      <c r="MBQ67" s="2936"/>
      <c r="MBR67" s="2936"/>
      <c r="MBS67" s="2936"/>
      <c r="MBT67" s="2936"/>
      <c r="MBU67" s="2936"/>
      <c r="MBV67" s="2936"/>
      <c r="MBW67" s="2936"/>
      <c r="MBX67" s="2936"/>
      <c r="MBY67" s="2936"/>
      <c r="MBZ67" s="2936"/>
      <c r="MCA67" s="2936"/>
      <c r="MCB67" s="2936"/>
      <c r="MCC67" s="2936"/>
      <c r="MCD67" s="2936"/>
      <c r="MCE67" s="2936"/>
      <c r="MCF67" s="2936"/>
      <c r="MCG67" s="2936"/>
      <c r="MCH67" s="2936"/>
      <c r="MCI67" s="2936"/>
      <c r="MCJ67" s="2936"/>
      <c r="MCK67" s="2936"/>
      <c r="MCL67" s="2936"/>
      <c r="MCM67" s="2936"/>
      <c r="MCN67" s="2936"/>
      <c r="MCO67" s="2936"/>
      <c r="MCP67" s="2936"/>
      <c r="MCQ67" s="2936"/>
      <c r="MCR67" s="2936"/>
      <c r="MCS67" s="2936"/>
      <c r="MCT67" s="2936"/>
      <c r="MCU67" s="2936"/>
      <c r="MCV67" s="2936"/>
      <c r="MCW67" s="2936"/>
      <c r="MCX67" s="2936"/>
      <c r="MCY67" s="2936"/>
      <c r="MCZ67" s="2936"/>
      <c r="MDA67" s="2936"/>
      <c r="MDB67" s="2936"/>
      <c r="MDC67" s="2936"/>
      <c r="MDD67" s="2936"/>
      <c r="MDE67" s="2936"/>
      <c r="MDF67" s="2936"/>
      <c r="MDG67" s="2936"/>
      <c r="MDH67" s="2936"/>
      <c r="MDI67" s="2936"/>
      <c r="MDJ67" s="2936"/>
      <c r="MDK67" s="2936"/>
      <c r="MDL67" s="2936"/>
      <c r="MDM67" s="2936"/>
      <c r="MDN67" s="2936"/>
      <c r="MDO67" s="2936"/>
      <c r="MDP67" s="2936"/>
      <c r="MDQ67" s="2936"/>
      <c r="MDR67" s="2936"/>
      <c r="MDS67" s="2936"/>
      <c r="MDT67" s="2936"/>
      <c r="MDU67" s="2936"/>
      <c r="MDV67" s="2936"/>
      <c r="MDW67" s="2936"/>
      <c r="MDX67" s="2936"/>
      <c r="MDY67" s="2936"/>
      <c r="MDZ67" s="2936"/>
      <c r="MEA67" s="2936"/>
      <c r="MEB67" s="2936"/>
      <c r="MEC67" s="2936"/>
      <c r="MED67" s="2936"/>
      <c r="MEE67" s="2936"/>
      <c r="MEF67" s="2936"/>
      <c r="MEG67" s="2936"/>
      <c r="MEH67" s="2936"/>
      <c r="MEI67" s="2936"/>
      <c r="MEJ67" s="2936"/>
      <c r="MEK67" s="2936"/>
      <c r="MEL67" s="2936"/>
      <c r="MEM67" s="2936"/>
      <c r="MEN67" s="2936"/>
      <c r="MEO67" s="2936"/>
      <c r="MEP67" s="2936"/>
      <c r="MEQ67" s="2936"/>
      <c r="MER67" s="2936"/>
      <c r="MES67" s="2936"/>
      <c r="MET67" s="2936"/>
      <c r="MEU67" s="2936"/>
      <c r="MEV67" s="2936"/>
      <c r="MEW67" s="2936"/>
      <c r="MEX67" s="2936"/>
      <c r="MEY67" s="2936"/>
      <c r="MEZ67" s="2936"/>
      <c r="MFA67" s="2936"/>
      <c r="MFB67" s="2936"/>
      <c r="MFC67" s="2936"/>
      <c r="MFD67" s="2936"/>
      <c r="MFE67" s="2936"/>
      <c r="MFF67" s="2936"/>
      <c r="MFG67" s="2936"/>
      <c r="MFH67" s="2936"/>
      <c r="MFI67" s="2936"/>
      <c r="MFJ67" s="2936"/>
      <c r="MFK67" s="2936"/>
      <c r="MFL67" s="2936"/>
      <c r="MFM67" s="2936"/>
      <c r="MFN67" s="2936"/>
      <c r="MFO67" s="2936"/>
      <c r="MFP67" s="2936"/>
      <c r="MFQ67" s="2936"/>
      <c r="MFR67" s="2936"/>
      <c r="MFS67" s="2936"/>
      <c r="MFT67" s="2936"/>
      <c r="MFU67" s="2936"/>
      <c r="MFV67" s="2936"/>
      <c r="MFW67" s="2936"/>
      <c r="MFX67" s="2936"/>
      <c r="MFY67" s="2936"/>
      <c r="MFZ67" s="2936"/>
      <c r="MGA67" s="2936"/>
      <c r="MGB67" s="2936"/>
      <c r="MGC67" s="2936"/>
      <c r="MGD67" s="2936"/>
      <c r="MGE67" s="2936"/>
      <c r="MGF67" s="2936"/>
      <c r="MGG67" s="2936"/>
      <c r="MGH67" s="2936"/>
      <c r="MGI67" s="2936"/>
      <c r="MGJ67" s="2936"/>
      <c r="MGK67" s="2936"/>
      <c r="MGL67" s="2936"/>
      <c r="MGM67" s="2936"/>
      <c r="MGN67" s="2936"/>
      <c r="MGO67" s="2936"/>
      <c r="MGP67" s="2936"/>
      <c r="MGQ67" s="2936"/>
      <c r="MGR67" s="2936"/>
      <c r="MGS67" s="2936"/>
      <c r="MGT67" s="2936"/>
      <c r="MGU67" s="2936"/>
      <c r="MGV67" s="2936"/>
      <c r="MGW67" s="2936"/>
      <c r="MGX67" s="2936"/>
      <c r="MGY67" s="2936"/>
      <c r="MGZ67" s="2936"/>
      <c r="MHA67" s="2936"/>
      <c r="MHB67" s="2936"/>
      <c r="MHC67" s="2936"/>
      <c r="MHD67" s="2936"/>
      <c r="MHE67" s="2936"/>
      <c r="MHF67" s="2936"/>
      <c r="MHG67" s="2936"/>
      <c r="MHH67" s="2936"/>
      <c r="MHI67" s="2936"/>
      <c r="MHJ67" s="2936"/>
      <c r="MHK67" s="2936"/>
      <c r="MHL67" s="2936"/>
      <c r="MHM67" s="2936"/>
      <c r="MHN67" s="2936"/>
      <c r="MHO67" s="2936"/>
      <c r="MHP67" s="2936"/>
      <c r="MHQ67" s="2936"/>
      <c r="MHR67" s="2936"/>
      <c r="MHS67" s="2936"/>
      <c r="MHT67" s="2936"/>
      <c r="MHU67" s="2936"/>
      <c r="MHV67" s="2936"/>
      <c r="MHW67" s="2936"/>
      <c r="MHX67" s="2936"/>
      <c r="MHY67" s="2936"/>
      <c r="MHZ67" s="2936"/>
      <c r="MIA67" s="2936"/>
      <c r="MIB67" s="2936"/>
      <c r="MIC67" s="2936"/>
      <c r="MID67" s="2936"/>
      <c r="MIE67" s="2936"/>
      <c r="MIF67" s="2936"/>
      <c r="MIG67" s="2936"/>
      <c r="MIH67" s="2936"/>
      <c r="MII67" s="2936"/>
      <c r="MIJ67" s="2936"/>
      <c r="MIK67" s="2936"/>
      <c r="MIL67" s="2936"/>
      <c r="MIM67" s="2936"/>
      <c r="MIN67" s="2936"/>
      <c r="MIO67" s="2936"/>
      <c r="MIP67" s="2936"/>
      <c r="MIQ67" s="2936"/>
      <c r="MIR67" s="2936"/>
      <c r="MIS67" s="2936"/>
      <c r="MIT67" s="2936"/>
      <c r="MIU67" s="2936"/>
      <c r="MIV67" s="2936"/>
      <c r="MIW67" s="2936"/>
      <c r="MIX67" s="2936"/>
      <c r="MIY67" s="2936"/>
      <c r="MIZ67" s="2936"/>
      <c r="MJA67" s="2936"/>
      <c r="MJB67" s="2936"/>
      <c r="MJC67" s="2936"/>
      <c r="MJD67" s="2936"/>
      <c r="MJE67" s="2936"/>
      <c r="MJF67" s="2936"/>
      <c r="MJG67" s="2936"/>
      <c r="MJH67" s="2936"/>
      <c r="MJI67" s="2936"/>
      <c r="MJJ67" s="2936"/>
      <c r="MJK67" s="2936"/>
      <c r="MJL67" s="2936"/>
      <c r="MJM67" s="2936"/>
      <c r="MJN67" s="2936"/>
      <c r="MJO67" s="2936"/>
      <c r="MJP67" s="2936"/>
      <c r="MJQ67" s="2936"/>
      <c r="MJR67" s="2936"/>
      <c r="MJS67" s="2936"/>
      <c r="MJT67" s="2936"/>
      <c r="MJU67" s="2936"/>
      <c r="MJV67" s="2936"/>
      <c r="MJW67" s="2936"/>
      <c r="MJX67" s="2936"/>
      <c r="MJY67" s="2936"/>
      <c r="MJZ67" s="2936"/>
      <c r="MKA67" s="2936"/>
      <c r="MKB67" s="2936"/>
      <c r="MKC67" s="2936"/>
      <c r="MKD67" s="2936"/>
      <c r="MKE67" s="2936"/>
      <c r="MKF67" s="2936"/>
      <c r="MKG67" s="2936"/>
      <c r="MKH67" s="2936"/>
      <c r="MKI67" s="2936"/>
      <c r="MKJ67" s="2936"/>
      <c r="MKK67" s="2936"/>
      <c r="MKL67" s="2936"/>
      <c r="MKM67" s="2936"/>
      <c r="MKN67" s="2936"/>
      <c r="MKO67" s="2936"/>
      <c r="MKP67" s="2936"/>
      <c r="MKQ67" s="2936"/>
      <c r="MKR67" s="2936"/>
      <c r="MKS67" s="2936"/>
      <c r="MKT67" s="2936"/>
      <c r="MKU67" s="2936"/>
      <c r="MKV67" s="2936"/>
      <c r="MKW67" s="2936"/>
      <c r="MKX67" s="2936"/>
      <c r="MKY67" s="2936"/>
      <c r="MKZ67" s="2936"/>
      <c r="MLA67" s="2936"/>
      <c r="MLB67" s="2936"/>
      <c r="MLC67" s="2936"/>
      <c r="MLD67" s="2936"/>
      <c r="MLE67" s="2936"/>
      <c r="MLF67" s="2936"/>
      <c r="MLG67" s="2936"/>
      <c r="MLH67" s="2936"/>
      <c r="MLI67" s="2936"/>
      <c r="MLJ67" s="2936"/>
      <c r="MLK67" s="2936"/>
      <c r="MLL67" s="2936"/>
      <c r="MLM67" s="2936"/>
      <c r="MLN67" s="2936"/>
      <c r="MLO67" s="2936"/>
      <c r="MLP67" s="2936"/>
      <c r="MLQ67" s="2936"/>
      <c r="MLR67" s="2936"/>
      <c r="MLS67" s="2936"/>
      <c r="MLT67" s="2936"/>
      <c r="MLU67" s="2936"/>
      <c r="MLV67" s="2936"/>
      <c r="MLW67" s="2936"/>
      <c r="MLX67" s="2936"/>
      <c r="MLY67" s="2936"/>
      <c r="MLZ67" s="2936"/>
      <c r="MMA67" s="2936"/>
      <c r="MMB67" s="2936"/>
      <c r="MMC67" s="2936"/>
      <c r="MMD67" s="2936"/>
      <c r="MME67" s="2936"/>
      <c r="MMF67" s="2936"/>
      <c r="MMG67" s="2936"/>
      <c r="MMH67" s="2936"/>
      <c r="MMI67" s="2936"/>
      <c r="MMJ67" s="2936"/>
      <c r="MMK67" s="2936"/>
      <c r="MML67" s="2936"/>
      <c r="MMM67" s="2936"/>
      <c r="MMN67" s="2936"/>
      <c r="MMO67" s="2936"/>
      <c r="MMP67" s="2936"/>
      <c r="MMQ67" s="2936"/>
      <c r="MMR67" s="2936"/>
      <c r="MMS67" s="2936"/>
      <c r="MMT67" s="2936"/>
      <c r="MMU67" s="2936"/>
      <c r="MMV67" s="2936"/>
      <c r="MMW67" s="2936"/>
      <c r="MMX67" s="2936"/>
      <c r="MMY67" s="2936"/>
      <c r="MMZ67" s="2936"/>
      <c r="MNA67" s="2936"/>
      <c r="MNB67" s="2936"/>
      <c r="MNC67" s="2936"/>
      <c r="MND67" s="2936"/>
      <c r="MNE67" s="2936"/>
      <c r="MNF67" s="2936"/>
      <c r="MNG67" s="2936"/>
      <c r="MNH67" s="2936"/>
      <c r="MNI67" s="2936"/>
      <c r="MNJ67" s="2936"/>
      <c r="MNK67" s="2936"/>
      <c r="MNL67" s="2936"/>
      <c r="MNM67" s="2936"/>
      <c r="MNN67" s="2936"/>
      <c r="MNO67" s="2936"/>
      <c r="MNP67" s="2936"/>
      <c r="MNQ67" s="2936"/>
      <c r="MNR67" s="2936"/>
      <c r="MNS67" s="2936"/>
      <c r="MNT67" s="2936"/>
      <c r="MNU67" s="2936"/>
      <c r="MNV67" s="2936"/>
      <c r="MNW67" s="2936"/>
      <c r="MNX67" s="2936"/>
      <c r="MNY67" s="2936"/>
      <c r="MNZ67" s="2936"/>
      <c r="MOA67" s="2936"/>
      <c r="MOB67" s="2936"/>
      <c r="MOC67" s="2936"/>
      <c r="MOD67" s="2936"/>
      <c r="MOE67" s="2936"/>
      <c r="MOF67" s="2936"/>
      <c r="MOG67" s="2936"/>
      <c r="MOH67" s="2936"/>
      <c r="MOI67" s="2936"/>
      <c r="MOJ67" s="2936"/>
      <c r="MOK67" s="2936"/>
      <c r="MOL67" s="2936"/>
      <c r="MOM67" s="2936"/>
      <c r="MON67" s="2936"/>
      <c r="MOO67" s="2936"/>
      <c r="MOP67" s="2936"/>
      <c r="MOQ67" s="2936"/>
      <c r="MOR67" s="2936"/>
      <c r="MOS67" s="2936"/>
      <c r="MOT67" s="2936"/>
      <c r="MOU67" s="2936"/>
      <c r="MOV67" s="2936"/>
      <c r="MOW67" s="2936"/>
      <c r="MOX67" s="2936"/>
      <c r="MOY67" s="2936"/>
      <c r="MOZ67" s="2936"/>
      <c r="MPA67" s="2936"/>
      <c r="MPB67" s="2936"/>
      <c r="MPC67" s="2936"/>
      <c r="MPD67" s="2936"/>
      <c r="MPE67" s="2936"/>
      <c r="MPF67" s="2936"/>
      <c r="MPG67" s="2936"/>
      <c r="MPH67" s="2936"/>
      <c r="MPI67" s="2936"/>
      <c r="MPJ67" s="2936"/>
      <c r="MPK67" s="2936"/>
      <c r="MPL67" s="2936"/>
      <c r="MPM67" s="2936"/>
      <c r="MPN67" s="2936"/>
      <c r="MPO67" s="2936"/>
      <c r="MPP67" s="2936"/>
      <c r="MPQ67" s="2936"/>
      <c r="MPR67" s="2936"/>
      <c r="MPS67" s="2936"/>
      <c r="MPT67" s="2936"/>
      <c r="MPU67" s="2936"/>
      <c r="MPV67" s="2936"/>
      <c r="MPW67" s="2936"/>
      <c r="MPX67" s="2936"/>
      <c r="MPY67" s="2936"/>
      <c r="MPZ67" s="2936"/>
      <c r="MQA67" s="2936"/>
      <c r="MQB67" s="2936"/>
      <c r="MQC67" s="2936"/>
      <c r="MQD67" s="2936"/>
      <c r="MQE67" s="2936"/>
      <c r="MQF67" s="2936"/>
      <c r="MQG67" s="2936"/>
      <c r="MQH67" s="2936"/>
      <c r="MQI67" s="2936"/>
      <c r="MQJ67" s="2936"/>
      <c r="MQK67" s="2936"/>
      <c r="MQL67" s="2936"/>
      <c r="MQM67" s="2936"/>
      <c r="MQN67" s="2936"/>
      <c r="MQO67" s="2936"/>
      <c r="MQP67" s="2936"/>
      <c r="MQQ67" s="2936"/>
      <c r="MQR67" s="2936"/>
      <c r="MQS67" s="2936"/>
      <c r="MQT67" s="2936"/>
      <c r="MQU67" s="2936"/>
      <c r="MQV67" s="2936"/>
      <c r="MQW67" s="2936"/>
      <c r="MQX67" s="2936"/>
      <c r="MQY67" s="2936"/>
      <c r="MQZ67" s="2936"/>
      <c r="MRA67" s="2936"/>
      <c r="MRB67" s="2936"/>
      <c r="MRC67" s="2936"/>
      <c r="MRD67" s="2936"/>
      <c r="MRE67" s="2936"/>
      <c r="MRF67" s="2936"/>
      <c r="MRG67" s="2936"/>
      <c r="MRH67" s="2936"/>
      <c r="MRI67" s="2936"/>
      <c r="MRJ67" s="2936"/>
      <c r="MRK67" s="2936"/>
      <c r="MRL67" s="2936"/>
      <c r="MRM67" s="2936"/>
      <c r="MRN67" s="2936"/>
      <c r="MRO67" s="2936"/>
      <c r="MRP67" s="2936"/>
      <c r="MRQ67" s="2936"/>
      <c r="MRR67" s="2936"/>
      <c r="MRS67" s="2936"/>
      <c r="MRT67" s="2936"/>
      <c r="MRU67" s="2936"/>
      <c r="MRV67" s="2936"/>
      <c r="MRW67" s="2936"/>
      <c r="MRX67" s="2936"/>
      <c r="MRY67" s="2936"/>
      <c r="MRZ67" s="2936"/>
      <c r="MSA67" s="2936"/>
      <c r="MSB67" s="2936"/>
      <c r="MSC67" s="2936"/>
      <c r="MSD67" s="2936"/>
      <c r="MSE67" s="2936"/>
      <c r="MSF67" s="2936"/>
      <c r="MSG67" s="2936"/>
      <c r="MSH67" s="2936"/>
      <c r="MSI67" s="2936"/>
      <c r="MSJ67" s="2936"/>
      <c r="MSK67" s="2936"/>
      <c r="MSL67" s="2936"/>
      <c r="MSM67" s="2936"/>
      <c r="MSN67" s="2936"/>
      <c r="MSO67" s="2936"/>
      <c r="MSP67" s="2936"/>
      <c r="MSQ67" s="2936"/>
      <c r="MSR67" s="2936"/>
      <c r="MSS67" s="2936"/>
      <c r="MST67" s="2936"/>
      <c r="MSU67" s="2936"/>
      <c r="MSV67" s="2936"/>
      <c r="MSW67" s="2936"/>
      <c r="MSX67" s="2936"/>
      <c r="MSY67" s="2936"/>
      <c r="MSZ67" s="2936"/>
      <c r="MTA67" s="2936"/>
      <c r="MTB67" s="2936"/>
      <c r="MTC67" s="2936"/>
      <c r="MTD67" s="2936"/>
      <c r="MTE67" s="2936"/>
      <c r="MTF67" s="2936"/>
      <c r="MTG67" s="2936"/>
      <c r="MTH67" s="2936"/>
      <c r="MTI67" s="2936"/>
      <c r="MTJ67" s="2936"/>
      <c r="MTK67" s="2936"/>
      <c r="MTL67" s="2936"/>
      <c r="MTM67" s="2936"/>
      <c r="MTN67" s="2936"/>
      <c r="MTO67" s="2936"/>
      <c r="MTP67" s="2936"/>
      <c r="MTQ67" s="2936"/>
      <c r="MTR67" s="2936"/>
      <c r="MTS67" s="2936"/>
      <c r="MTT67" s="2936"/>
      <c r="MTU67" s="2936"/>
      <c r="MTV67" s="2936"/>
      <c r="MTW67" s="2936"/>
      <c r="MTX67" s="2936"/>
      <c r="MTY67" s="2936"/>
      <c r="MTZ67" s="2936"/>
      <c r="MUA67" s="2936"/>
      <c r="MUB67" s="2936"/>
      <c r="MUC67" s="2936"/>
      <c r="MUD67" s="2936"/>
      <c r="MUE67" s="2936"/>
      <c r="MUF67" s="2936"/>
      <c r="MUG67" s="2936"/>
      <c r="MUH67" s="2936"/>
      <c r="MUI67" s="2936"/>
      <c r="MUJ67" s="2936"/>
      <c r="MUK67" s="2936"/>
      <c r="MUL67" s="2936"/>
      <c r="MUM67" s="2936"/>
      <c r="MUN67" s="2936"/>
      <c r="MUO67" s="2936"/>
      <c r="MUP67" s="2936"/>
      <c r="MUQ67" s="2936"/>
      <c r="MUR67" s="2936"/>
      <c r="MUS67" s="2936"/>
      <c r="MUT67" s="2936"/>
      <c r="MUU67" s="2936"/>
      <c r="MUV67" s="2936"/>
      <c r="MUW67" s="2936"/>
      <c r="MUX67" s="2936"/>
      <c r="MUY67" s="2936"/>
      <c r="MUZ67" s="2936"/>
      <c r="MVA67" s="2936"/>
      <c r="MVB67" s="2936"/>
      <c r="MVC67" s="2936"/>
      <c r="MVD67" s="2936"/>
      <c r="MVE67" s="2936"/>
      <c r="MVF67" s="2936"/>
      <c r="MVG67" s="2936"/>
      <c r="MVH67" s="2936"/>
      <c r="MVI67" s="2936"/>
      <c r="MVJ67" s="2936"/>
      <c r="MVK67" s="2936"/>
      <c r="MVL67" s="2936"/>
      <c r="MVM67" s="2936"/>
      <c r="MVN67" s="2936"/>
      <c r="MVO67" s="2936"/>
      <c r="MVP67" s="2936"/>
      <c r="MVQ67" s="2936"/>
      <c r="MVR67" s="2936"/>
      <c r="MVS67" s="2936"/>
      <c r="MVT67" s="2936"/>
      <c r="MVU67" s="2936"/>
      <c r="MVV67" s="2936"/>
      <c r="MVW67" s="2936"/>
      <c r="MVX67" s="2936"/>
      <c r="MVY67" s="2936"/>
      <c r="MVZ67" s="2936"/>
      <c r="MWA67" s="2936"/>
      <c r="MWB67" s="2936"/>
      <c r="MWC67" s="2936"/>
      <c r="MWD67" s="2936"/>
      <c r="MWE67" s="2936"/>
      <c r="MWF67" s="2936"/>
      <c r="MWG67" s="2936"/>
      <c r="MWH67" s="2936"/>
      <c r="MWI67" s="2936"/>
      <c r="MWJ67" s="2936"/>
      <c r="MWK67" s="2936"/>
      <c r="MWL67" s="2936"/>
      <c r="MWM67" s="2936"/>
      <c r="MWN67" s="2936"/>
      <c r="MWO67" s="2936"/>
      <c r="MWP67" s="2936"/>
      <c r="MWQ67" s="2936"/>
      <c r="MWR67" s="2936"/>
      <c r="MWS67" s="2936"/>
      <c r="MWT67" s="2936"/>
      <c r="MWU67" s="2936"/>
      <c r="MWV67" s="2936"/>
      <c r="MWW67" s="2936"/>
      <c r="MWX67" s="2936"/>
      <c r="MWY67" s="2936"/>
      <c r="MWZ67" s="2936"/>
      <c r="MXA67" s="2936"/>
      <c r="MXB67" s="2936"/>
      <c r="MXC67" s="2936"/>
      <c r="MXD67" s="2936"/>
      <c r="MXE67" s="2936"/>
      <c r="MXF67" s="2936"/>
      <c r="MXG67" s="2936"/>
      <c r="MXH67" s="2936"/>
      <c r="MXI67" s="2936"/>
      <c r="MXJ67" s="2936"/>
      <c r="MXK67" s="2936"/>
      <c r="MXL67" s="2936"/>
      <c r="MXM67" s="2936"/>
      <c r="MXN67" s="2936"/>
      <c r="MXO67" s="2936"/>
      <c r="MXP67" s="2936"/>
      <c r="MXQ67" s="2936"/>
      <c r="MXR67" s="2936"/>
      <c r="MXS67" s="2936"/>
      <c r="MXT67" s="2936"/>
      <c r="MXU67" s="2936"/>
      <c r="MXV67" s="2936"/>
      <c r="MXW67" s="2936"/>
      <c r="MXX67" s="2936"/>
      <c r="MXY67" s="2936"/>
      <c r="MXZ67" s="2936"/>
      <c r="MYA67" s="2936"/>
      <c r="MYB67" s="2936"/>
      <c r="MYC67" s="2936"/>
      <c r="MYD67" s="2936"/>
      <c r="MYE67" s="2936"/>
      <c r="MYF67" s="2936"/>
      <c r="MYG67" s="2936"/>
      <c r="MYH67" s="2936"/>
      <c r="MYI67" s="2936"/>
      <c r="MYJ67" s="2936"/>
      <c r="MYK67" s="2936"/>
      <c r="MYL67" s="2936"/>
      <c r="MYM67" s="2936"/>
      <c r="MYN67" s="2936"/>
      <c r="MYO67" s="2936"/>
      <c r="MYP67" s="2936"/>
      <c r="MYQ67" s="2936"/>
      <c r="MYR67" s="2936"/>
      <c r="MYS67" s="2936"/>
      <c r="MYT67" s="2936"/>
      <c r="MYU67" s="2936"/>
      <c r="MYV67" s="2936"/>
      <c r="MYW67" s="2936"/>
      <c r="MYX67" s="2936"/>
      <c r="MYY67" s="2936"/>
      <c r="MYZ67" s="2936"/>
      <c r="MZA67" s="2936"/>
      <c r="MZB67" s="2936"/>
      <c r="MZC67" s="2936"/>
      <c r="MZD67" s="2936"/>
      <c r="MZE67" s="2936"/>
      <c r="MZF67" s="2936"/>
      <c r="MZG67" s="2936"/>
      <c r="MZH67" s="2936"/>
      <c r="MZI67" s="2936"/>
      <c r="MZJ67" s="2936"/>
      <c r="MZK67" s="2936"/>
      <c r="MZL67" s="2936"/>
      <c r="MZM67" s="2936"/>
      <c r="MZN67" s="2936"/>
      <c r="MZO67" s="2936"/>
      <c r="MZP67" s="2936"/>
      <c r="MZQ67" s="2936"/>
      <c r="MZR67" s="2936"/>
      <c r="MZS67" s="2936"/>
      <c r="MZT67" s="2936"/>
      <c r="MZU67" s="2936"/>
      <c r="MZV67" s="2936"/>
      <c r="MZW67" s="2936"/>
      <c r="MZX67" s="2936"/>
      <c r="MZY67" s="2936"/>
      <c r="MZZ67" s="2936"/>
      <c r="NAA67" s="2936"/>
      <c r="NAB67" s="2936"/>
      <c r="NAC67" s="2936"/>
      <c r="NAD67" s="2936"/>
      <c r="NAE67" s="2936"/>
      <c r="NAF67" s="2936"/>
      <c r="NAG67" s="2936"/>
      <c r="NAH67" s="2936"/>
      <c r="NAI67" s="2936"/>
      <c r="NAJ67" s="2936"/>
      <c r="NAK67" s="2936"/>
      <c r="NAL67" s="2936"/>
      <c r="NAM67" s="2936"/>
      <c r="NAN67" s="2936"/>
      <c r="NAO67" s="2936"/>
      <c r="NAP67" s="2936"/>
      <c r="NAQ67" s="2936"/>
      <c r="NAR67" s="2936"/>
      <c r="NAS67" s="2936"/>
      <c r="NAT67" s="2936"/>
      <c r="NAU67" s="2936"/>
      <c r="NAV67" s="2936"/>
      <c r="NAW67" s="2936"/>
      <c r="NAX67" s="2936"/>
      <c r="NAY67" s="2936"/>
      <c r="NAZ67" s="2936"/>
      <c r="NBA67" s="2936"/>
      <c r="NBB67" s="2936"/>
      <c r="NBC67" s="2936"/>
      <c r="NBD67" s="2936"/>
      <c r="NBE67" s="2936"/>
      <c r="NBF67" s="2936"/>
      <c r="NBG67" s="2936"/>
      <c r="NBH67" s="2936"/>
      <c r="NBI67" s="2936"/>
      <c r="NBJ67" s="2936"/>
      <c r="NBK67" s="2936"/>
      <c r="NBL67" s="2936"/>
      <c r="NBM67" s="2936"/>
      <c r="NBN67" s="2936"/>
      <c r="NBO67" s="2936"/>
      <c r="NBP67" s="2936"/>
      <c r="NBQ67" s="2936"/>
      <c r="NBR67" s="2936"/>
      <c r="NBS67" s="2936"/>
      <c r="NBT67" s="2936"/>
      <c r="NBU67" s="2936"/>
      <c r="NBV67" s="2936"/>
      <c r="NBW67" s="2936"/>
      <c r="NBX67" s="2936"/>
      <c r="NBY67" s="2936"/>
      <c r="NBZ67" s="2936"/>
      <c r="NCA67" s="2936"/>
      <c r="NCB67" s="2936"/>
      <c r="NCC67" s="2936"/>
      <c r="NCD67" s="2936"/>
      <c r="NCE67" s="2936"/>
      <c r="NCF67" s="2936"/>
      <c r="NCG67" s="2936"/>
      <c r="NCH67" s="2936"/>
      <c r="NCI67" s="2936"/>
      <c r="NCJ67" s="2936"/>
      <c r="NCK67" s="2936"/>
      <c r="NCL67" s="2936"/>
      <c r="NCM67" s="2936"/>
      <c r="NCN67" s="2936"/>
      <c r="NCO67" s="2936"/>
      <c r="NCP67" s="2936"/>
      <c r="NCQ67" s="2936"/>
      <c r="NCR67" s="2936"/>
      <c r="NCS67" s="2936"/>
      <c r="NCT67" s="2936"/>
      <c r="NCU67" s="2936"/>
      <c r="NCV67" s="2936"/>
      <c r="NCW67" s="2936"/>
      <c r="NCX67" s="2936"/>
      <c r="NCY67" s="2936"/>
      <c r="NCZ67" s="2936"/>
      <c r="NDA67" s="2936"/>
      <c r="NDB67" s="2936"/>
      <c r="NDC67" s="2936"/>
      <c r="NDD67" s="2936"/>
      <c r="NDE67" s="2936"/>
      <c r="NDF67" s="2936"/>
      <c r="NDG67" s="2936"/>
      <c r="NDH67" s="2936"/>
      <c r="NDI67" s="2936"/>
      <c r="NDJ67" s="2936"/>
      <c r="NDK67" s="2936"/>
      <c r="NDL67" s="2936"/>
      <c r="NDM67" s="2936"/>
      <c r="NDN67" s="2936"/>
      <c r="NDO67" s="2936"/>
      <c r="NDP67" s="2936"/>
      <c r="NDQ67" s="2936"/>
      <c r="NDR67" s="2936"/>
      <c r="NDS67" s="2936"/>
      <c r="NDT67" s="2936"/>
      <c r="NDU67" s="2936"/>
      <c r="NDV67" s="2936"/>
      <c r="NDW67" s="2936"/>
      <c r="NDX67" s="2936"/>
      <c r="NDY67" s="2936"/>
      <c r="NDZ67" s="2936"/>
      <c r="NEA67" s="2936"/>
      <c r="NEB67" s="2936"/>
      <c r="NEC67" s="2936"/>
      <c r="NED67" s="2936"/>
      <c r="NEE67" s="2936"/>
      <c r="NEF67" s="2936"/>
      <c r="NEG67" s="2936"/>
      <c r="NEH67" s="2936"/>
      <c r="NEI67" s="2936"/>
      <c r="NEJ67" s="2936"/>
      <c r="NEK67" s="2936"/>
      <c r="NEL67" s="2936"/>
      <c r="NEM67" s="2936"/>
      <c r="NEN67" s="2936"/>
      <c r="NEO67" s="2936"/>
      <c r="NEP67" s="2936"/>
      <c r="NEQ67" s="2936"/>
      <c r="NER67" s="2936"/>
      <c r="NES67" s="2936"/>
      <c r="NET67" s="2936"/>
      <c r="NEU67" s="2936"/>
      <c r="NEV67" s="2936"/>
      <c r="NEW67" s="2936"/>
      <c r="NEX67" s="2936"/>
      <c r="NEY67" s="2936"/>
      <c r="NEZ67" s="2936"/>
      <c r="NFA67" s="2936"/>
      <c r="NFB67" s="2936"/>
      <c r="NFC67" s="2936"/>
      <c r="NFD67" s="2936"/>
      <c r="NFE67" s="2936"/>
      <c r="NFF67" s="2936"/>
      <c r="NFG67" s="2936"/>
      <c r="NFH67" s="2936"/>
      <c r="NFI67" s="2936"/>
      <c r="NFJ67" s="2936"/>
      <c r="NFK67" s="2936"/>
      <c r="NFL67" s="2936"/>
      <c r="NFM67" s="2936"/>
      <c r="NFN67" s="2936"/>
      <c r="NFO67" s="2936"/>
      <c r="NFP67" s="2936"/>
      <c r="NFQ67" s="2936"/>
      <c r="NFR67" s="2936"/>
      <c r="NFS67" s="2936"/>
      <c r="NFT67" s="2936"/>
      <c r="NFU67" s="2936"/>
      <c r="NFV67" s="2936"/>
      <c r="NFW67" s="2936"/>
      <c r="NFX67" s="2936"/>
      <c r="NFY67" s="2936"/>
      <c r="NFZ67" s="2936"/>
      <c r="NGA67" s="2936"/>
      <c r="NGB67" s="2936"/>
      <c r="NGC67" s="2936"/>
      <c r="NGD67" s="2936"/>
      <c r="NGE67" s="2936"/>
      <c r="NGF67" s="2936"/>
      <c r="NGG67" s="2936"/>
      <c r="NGH67" s="2936"/>
      <c r="NGI67" s="2936"/>
      <c r="NGJ67" s="2936"/>
      <c r="NGK67" s="2936"/>
      <c r="NGL67" s="2936"/>
      <c r="NGM67" s="2936"/>
      <c r="NGN67" s="2936"/>
      <c r="NGO67" s="2936"/>
      <c r="NGP67" s="2936"/>
      <c r="NGQ67" s="2936"/>
      <c r="NGR67" s="2936"/>
      <c r="NGS67" s="2936"/>
      <c r="NGT67" s="2936"/>
      <c r="NGU67" s="2936"/>
      <c r="NGV67" s="2936"/>
      <c r="NGW67" s="2936"/>
      <c r="NGX67" s="2936"/>
      <c r="NGY67" s="2936"/>
      <c r="NGZ67" s="2936"/>
      <c r="NHA67" s="2936"/>
      <c r="NHB67" s="2936"/>
      <c r="NHC67" s="2936"/>
      <c r="NHD67" s="2936"/>
      <c r="NHE67" s="2936"/>
      <c r="NHF67" s="2936"/>
      <c r="NHG67" s="2936"/>
      <c r="NHH67" s="2936"/>
      <c r="NHI67" s="2936"/>
      <c r="NHJ67" s="2936"/>
      <c r="NHK67" s="2936"/>
      <c r="NHL67" s="2936"/>
      <c r="NHM67" s="2936"/>
      <c r="NHN67" s="2936"/>
      <c r="NHO67" s="2936"/>
      <c r="NHP67" s="2936"/>
      <c r="NHQ67" s="2936"/>
      <c r="NHR67" s="2936"/>
      <c r="NHS67" s="2936"/>
      <c r="NHT67" s="2936"/>
      <c r="NHU67" s="2936"/>
      <c r="NHV67" s="2936"/>
      <c r="NHW67" s="2936"/>
      <c r="NHX67" s="2936"/>
      <c r="NHY67" s="2936"/>
      <c r="NHZ67" s="2936"/>
      <c r="NIA67" s="2936"/>
      <c r="NIB67" s="2936"/>
      <c r="NIC67" s="2936"/>
      <c r="NID67" s="2936"/>
      <c r="NIE67" s="2936"/>
      <c r="NIF67" s="2936"/>
      <c r="NIG67" s="2936"/>
      <c r="NIH67" s="2936"/>
      <c r="NII67" s="2936"/>
      <c r="NIJ67" s="2936"/>
      <c r="NIK67" s="2936"/>
      <c r="NIL67" s="2936"/>
      <c r="NIM67" s="2936"/>
      <c r="NIN67" s="2936"/>
      <c r="NIO67" s="2936"/>
      <c r="NIP67" s="2936"/>
      <c r="NIQ67" s="2936"/>
      <c r="NIR67" s="2936"/>
      <c r="NIS67" s="2936"/>
      <c r="NIT67" s="2936"/>
      <c r="NIU67" s="2936"/>
      <c r="NIV67" s="2936"/>
      <c r="NIW67" s="2936"/>
      <c r="NIX67" s="2936"/>
      <c r="NIY67" s="2936"/>
      <c r="NIZ67" s="2936"/>
      <c r="NJA67" s="2936"/>
      <c r="NJB67" s="2936"/>
      <c r="NJC67" s="2936"/>
      <c r="NJD67" s="2936"/>
      <c r="NJE67" s="2936"/>
      <c r="NJF67" s="2936"/>
      <c r="NJG67" s="2936"/>
      <c r="NJH67" s="2936"/>
      <c r="NJI67" s="2936"/>
      <c r="NJJ67" s="2936"/>
      <c r="NJK67" s="2936"/>
      <c r="NJL67" s="2936"/>
      <c r="NJM67" s="2936"/>
      <c r="NJN67" s="2936"/>
      <c r="NJO67" s="2936"/>
      <c r="NJP67" s="2936"/>
      <c r="NJQ67" s="2936"/>
      <c r="NJR67" s="2936"/>
      <c r="NJS67" s="2936"/>
      <c r="NJT67" s="2936"/>
      <c r="NJU67" s="2936"/>
      <c r="NJV67" s="2936"/>
      <c r="NJW67" s="2936"/>
      <c r="NJX67" s="2936"/>
      <c r="NJY67" s="2936"/>
      <c r="NJZ67" s="2936"/>
      <c r="NKA67" s="2936"/>
      <c r="NKB67" s="2936"/>
      <c r="NKC67" s="2936"/>
      <c r="NKD67" s="2936"/>
      <c r="NKE67" s="2936"/>
      <c r="NKF67" s="2936"/>
      <c r="NKG67" s="2936"/>
      <c r="NKH67" s="2936"/>
      <c r="NKI67" s="2936"/>
      <c r="NKJ67" s="2936"/>
      <c r="NKK67" s="2936"/>
      <c r="NKL67" s="2936"/>
      <c r="NKM67" s="2936"/>
      <c r="NKN67" s="2936"/>
      <c r="NKO67" s="2936"/>
      <c r="NKP67" s="2936"/>
      <c r="NKQ67" s="2936"/>
      <c r="NKR67" s="2936"/>
      <c r="NKS67" s="2936"/>
      <c r="NKT67" s="2936"/>
      <c r="NKU67" s="2936"/>
      <c r="NKV67" s="2936"/>
      <c r="NKW67" s="2936"/>
      <c r="NKX67" s="2936"/>
      <c r="NKY67" s="2936"/>
      <c r="NKZ67" s="2936"/>
      <c r="NLA67" s="2936"/>
      <c r="NLB67" s="2936"/>
      <c r="NLC67" s="2936"/>
      <c r="NLD67" s="2936"/>
      <c r="NLE67" s="2936"/>
      <c r="NLF67" s="2936"/>
      <c r="NLG67" s="2936"/>
      <c r="NLH67" s="2936"/>
      <c r="NLI67" s="2936"/>
      <c r="NLJ67" s="2936"/>
      <c r="NLK67" s="2936"/>
      <c r="NLL67" s="2936"/>
      <c r="NLM67" s="2936"/>
      <c r="NLN67" s="2936"/>
      <c r="NLO67" s="2936"/>
      <c r="NLP67" s="2936"/>
      <c r="NLQ67" s="2936"/>
      <c r="NLR67" s="2936"/>
      <c r="NLS67" s="2936"/>
      <c r="NLT67" s="2936"/>
      <c r="NLU67" s="2936"/>
      <c r="NLV67" s="2936"/>
      <c r="NLW67" s="2936"/>
      <c r="NLX67" s="2936"/>
      <c r="NLY67" s="2936"/>
      <c r="NLZ67" s="2936"/>
      <c r="NMA67" s="2936"/>
      <c r="NMB67" s="2936"/>
      <c r="NMC67" s="2936"/>
      <c r="NMD67" s="2936"/>
      <c r="NME67" s="2936"/>
      <c r="NMF67" s="2936"/>
      <c r="NMG67" s="2936"/>
      <c r="NMH67" s="2936"/>
      <c r="NMI67" s="2936"/>
      <c r="NMJ67" s="2936"/>
      <c r="NMK67" s="2936"/>
      <c r="NML67" s="2936"/>
      <c r="NMM67" s="2936"/>
      <c r="NMN67" s="2936"/>
      <c r="NMO67" s="2936"/>
      <c r="NMP67" s="2936"/>
      <c r="NMQ67" s="2936"/>
      <c r="NMR67" s="2936"/>
      <c r="NMS67" s="2936"/>
      <c r="NMT67" s="2936"/>
      <c r="NMU67" s="2936"/>
      <c r="NMV67" s="2936"/>
      <c r="NMW67" s="2936"/>
      <c r="NMX67" s="2936"/>
      <c r="NMY67" s="2936"/>
      <c r="NMZ67" s="2936"/>
      <c r="NNA67" s="2936"/>
      <c r="NNB67" s="2936"/>
      <c r="NNC67" s="2936"/>
      <c r="NND67" s="2936"/>
      <c r="NNE67" s="2936"/>
      <c r="NNF67" s="2936"/>
      <c r="NNG67" s="2936"/>
      <c r="NNH67" s="2936"/>
      <c r="NNI67" s="2936"/>
      <c r="NNJ67" s="2936"/>
      <c r="NNK67" s="2936"/>
      <c r="NNL67" s="2936"/>
      <c r="NNM67" s="2936"/>
      <c r="NNN67" s="2936"/>
      <c r="NNO67" s="2936"/>
      <c r="NNP67" s="2936"/>
      <c r="NNQ67" s="2936"/>
      <c r="NNR67" s="2936"/>
      <c r="NNS67" s="2936"/>
      <c r="NNT67" s="2936"/>
      <c r="NNU67" s="2936"/>
      <c r="NNV67" s="2936"/>
      <c r="NNW67" s="2936"/>
      <c r="NNX67" s="2936"/>
      <c r="NNY67" s="2936"/>
      <c r="NNZ67" s="2936"/>
      <c r="NOA67" s="2936"/>
      <c r="NOB67" s="2936"/>
      <c r="NOC67" s="2936"/>
      <c r="NOD67" s="2936"/>
      <c r="NOE67" s="2936"/>
      <c r="NOF67" s="2936"/>
      <c r="NOG67" s="2936"/>
      <c r="NOH67" s="2936"/>
      <c r="NOI67" s="2936"/>
      <c r="NOJ67" s="2936"/>
      <c r="NOK67" s="2936"/>
      <c r="NOL67" s="2936"/>
      <c r="NOM67" s="2936"/>
      <c r="NON67" s="2936"/>
      <c r="NOO67" s="2936"/>
      <c r="NOP67" s="2936"/>
      <c r="NOQ67" s="2936"/>
      <c r="NOR67" s="2936"/>
      <c r="NOS67" s="2936"/>
      <c r="NOT67" s="2936"/>
      <c r="NOU67" s="2936"/>
      <c r="NOV67" s="2936"/>
      <c r="NOW67" s="2936"/>
      <c r="NOX67" s="2936"/>
      <c r="NOY67" s="2936"/>
      <c r="NOZ67" s="2936"/>
      <c r="NPA67" s="2936"/>
      <c r="NPB67" s="2936"/>
      <c r="NPC67" s="2936"/>
      <c r="NPD67" s="2936"/>
      <c r="NPE67" s="2936"/>
      <c r="NPF67" s="2936"/>
      <c r="NPG67" s="2936"/>
      <c r="NPH67" s="2936"/>
      <c r="NPI67" s="2936"/>
      <c r="NPJ67" s="2936"/>
      <c r="NPK67" s="2936"/>
      <c r="NPL67" s="2936"/>
      <c r="NPM67" s="2936"/>
      <c r="NPN67" s="2936"/>
      <c r="NPO67" s="2936"/>
      <c r="NPP67" s="2936"/>
      <c r="NPQ67" s="2936"/>
      <c r="NPR67" s="2936"/>
      <c r="NPS67" s="2936"/>
      <c r="NPT67" s="2936"/>
      <c r="NPU67" s="2936"/>
      <c r="NPV67" s="2936"/>
      <c r="NPW67" s="2936"/>
      <c r="NPX67" s="2936"/>
      <c r="NPY67" s="2936"/>
      <c r="NPZ67" s="2936"/>
      <c r="NQA67" s="2936"/>
      <c r="NQB67" s="2936"/>
      <c r="NQC67" s="2936"/>
      <c r="NQD67" s="2936"/>
      <c r="NQE67" s="2936"/>
      <c r="NQF67" s="2936"/>
      <c r="NQG67" s="2936"/>
      <c r="NQH67" s="2936"/>
      <c r="NQI67" s="2936"/>
      <c r="NQJ67" s="2936"/>
      <c r="NQK67" s="2936"/>
      <c r="NQL67" s="2936"/>
      <c r="NQM67" s="2936"/>
      <c r="NQN67" s="2936"/>
      <c r="NQO67" s="2936"/>
      <c r="NQP67" s="2936"/>
      <c r="NQQ67" s="2936"/>
      <c r="NQR67" s="2936"/>
      <c r="NQS67" s="2936"/>
      <c r="NQT67" s="2936"/>
      <c r="NQU67" s="2936"/>
      <c r="NQV67" s="2936"/>
      <c r="NQW67" s="2936"/>
      <c r="NQX67" s="2936"/>
      <c r="NQY67" s="2936"/>
      <c r="NQZ67" s="2936"/>
      <c r="NRA67" s="2936"/>
      <c r="NRB67" s="2936"/>
      <c r="NRC67" s="2936"/>
      <c r="NRD67" s="2936"/>
      <c r="NRE67" s="2936"/>
      <c r="NRF67" s="2936"/>
      <c r="NRG67" s="2936"/>
      <c r="NRH67" s="2936"/>
      <c r="NRI67" s="2936"/>
      <c r="NRJ67" s="2936"/>
      <c r="NRK67" s="2936"/>
      <c r="NRL67" s="2936"/>
      <c r="NRM67" s="2936"/>
      <c r="NRN67" s="2936"/>
      <c r="NRO67" s="2936"/>
      <c r="NRP67" s="2936"/>
      <c r="NRQ67" s="2936"/>
      <c r="NRR67" s="2936"/>
      <c r="NRS67" s="2936"/>
      <c r="NRT67" s="2936"/>
      <c r="NRU67" s="2936"/>
      <c r="NRV67" s="2936"/>
      <c r="NRW67" s="2936"/>
      <c r="NRX67" s="2936"/>
      <c r="NRY67" s="2936"/>
      <c r="NRZ67" s="2936"/>
      <c r="NSA67" s="2936"/>
      <c r="NSB67" s="2936"/>
      <c r="NSC67" s="2936"/>
      <c r="NSD67" s="2936"/>
      <c r="NSE67" s="2936"/>
      <c r="NSF67" s="2936"/>
      <c r="NSG67" s="2936"/>
      <c r="NSH67" s="2936"/>
      <c r="NSI67" s="2936"/>
      <c r="NSJ67" s="2936"/>
      <c r="NSK67" s="2936"/>
      <c r="NSL67" s="2936"/>
      <c r="NSM67" s="2936"/>
      <c r="NSN67" s="2936"/>
      <c r="NSO67" s="2936"/>
      <c r="NSP67" s="2936"/>
      <c r="NSQ67" s="2936"/>
      <c r="NSR67" s="2936"/>
      <c r="NSS67" s="2936"/>
      <c r="NST67" s="2936"/>
      <c r="NSU67" s="2936"/>
      <c r="NSV67" s="2936"/>
      <c r="NSW67" s="2936"/>
      <c r="NSX67" s="2936"/>
      <c r="NSY67" s="2936"/>
      <c r="NSZ67" s="2936"/>
      <c r="NTA67" s="2936"/>
      <c r="NTB67" s="2936"/>
      <c r="NTC67" s="2936"/>
      <c r="NTD67" s="2936"/>
      <c r="NTE67" s="2936"/>
      <c r="NTF67" s="2936"/>
      <c r="NTG67" s="2936"/>
      <c r="NTH67" s="2936"/>
      <c r="NTI67" s="2936"/>
      <c r="NTJ67" s="2936"/>
      <c r="NTK67" s="2936"/>
      <c r="NTL67" s="2936"/>
      <c r="NTM67" s="2936"/>
      <c r="NTN67" s="2936"/>
      <c r="NTO67" s="2936"/>
      <c r="NTP67" s="2936"/>
      <c r="NTQ67" s="2936"/>
      <c r="NTR67" s="2936"/>
      <c r="NTS67" s="2936"/>
      <c r="NTT67" s="2936"/>
      <c r="NTU67" s="2936"/>
      <c r="NTV67" s="2936"/>
      <c r="NTW67" s="2936"/>
      <c r="NTX67" s="2936"/>
      <c r="NTY67" s="2936"/>
      <c r="NTZ67" s="2936"/>
      <c r="NUA67" s="2936"/>
      <c r="NUB67" s="2936"/>
      <c r="NUC67" s="2936"/>
      <c r="NUD67" s="2936"/>
      <c r="NUE67" s="2936"/>
      <c r="NUF67" s="2936"/>
      <c r="NUG67" s="2936"/>
      <c r="NUH67" s="2936"/>
      <c r="NUI67" s="2936"/>
      <c r="NUJ67" s="2936"/>
      <c r="NUK67" s="2936"/>
      <c r="NUL67" s="2936"/>
      <c r="NUM67" s="2936"/>
      <c r="NUN67" s="2936"/>
      <c r="NUO67" s="2936"/>
      <c r="NUP67" s="2936"/>
      <c r="NUQ67" s="2936"/>
      <c r="NUR67" s="2936"/>
      <c r="NUS67" s="2936"/>
      <c r="NUT67" s="2936"/>
      <c r="NUU67" s="2936"/>
      <c r="NUV67" s="2936"/>
      <c r="NUW67" s="2936"/>
      <c r="NUX67" s="2936"/>
      <c r="NUY67" s="2936"/>
      <c r="NUZ67" s="2936"/>
      <c r="NVA67" s="2936"/>
      <c r="NVB67" s="2936"/>
      <c r="NVC67" s="2936"/>
      <c r="NVD67" s="2936"/>
      <c r="NVE67" s="2936"/>
      <c r="NVF67" s="2936"/>
      <c r="NVG67" s="2936"/>
      <c r="NVH67" s="2936"/>
      <c r="NVI67" s="2936"/>
      <c r="NVJ67" s="2936"/>
      <c r="NVK67" s="2936"/>
      <c r="NVL67" s="2936"/>
      <c r="NVM67" s="2936"/>
      <c r="NVN67" s="2936"/>
      <c r="NVO67" s="2936"/>
      <c r="NVP67" s="2936"/>
      <c r="NVQ67" s="2936"/>
      <c r="NVR67" s="2936"/>
      <c r="NVS67" s="2936"/>
      <c r="NVT67" s="2936"/>
      <c r="NVU67" s="2936"/>
      <c r="NVV67" s="2936"/>
      <c r="NVW67" s="2936"/>
      <c r="NVX67" s="2936"/>
      <c r="NVY67" s="2936"/>
      <c r="NVZ67" s="2936"/>
      <c r="NWA67" s="2936"/>
      <c r="NWB67" s="2936"/>
      <c r="NWC67" s="2936"/>
      <c r="NWD67" s="2936"/>
      <c r="NWE67" s="2936"/>
      <c r="NWF67" s="2936"/>
      <c r="NWG67" s="2936"/>
      <c r="NWH67" s="2936"/>
      <c r="NWI67" s="2936"/>
      <c r="NWJ67" s="2936"/>
      <c r="NWK67" s="2936"/>
      <c r="NWL67" s="2936"/>
      <c r="NWM67" s="2936"/>
      <c r="NWN67" s="2936"/>
      <c r="NWO67" s="2936"/>
      <c r="NWP67" s="2936"/>
      <c r="NWQ67" s="2936"/>
      <c r="NWR67" s="2936"/>
      <c r="NWS67" s="2936"/>
      <c r="NWT67" s="2936"/>
      <c r="NWU67" s="2936"/>
      <c r="NWV67" s="2936"/>
      <c r="NWW67" s="2936"/>
      <c r="NWX67" s="2936"/>
      <c r="NWY67" s="2936"/>
      <c r="NWZ67" s="2936"/>
      <c r="NXA67" s="2936"/>
      <c r="NXB67" s="2936"/>
      <c r="NXC67" s="2936"/>
      <c r="NXD67" s="2936"/>
      <c r="NXE67" s="2936"/>
      <c r="NXF67" s="2936"/>
      <c r="NXG67" s="2936"/>
      <c r="NXH67" s="2936"/>
      <c r="NXI67" s="2936"/>
      <c r="NXJ67" s="2936"/>
      <c r="NXK67" s="2936"/>
      <c r="NXL67" s="2936"/>
      <c r="NXM67" s="2936"/>
      <c r="NXN67" s="2936"/>
      <c r="NXO67" s="2936"/>
      <c r="NXP67" s="2936"/>
      <c r="NXQ67" s="2936"/>
      <c r="NXR67" s="2936"/>
      <c r="NXS67" s="2936"/>
      <c r="NXT67" s="2936"/>
      <c r="NXU67" s="2936"/>
      <c r="NXV67" s="2936"/>
      <c r="NXW67" s="2936"/>
      <c r="NXX67" s="2936"/>
      <c r="NXY67" s="2936"/>
      <c r="NXZ67" s="2936"/>
      <c r="NYA67" s="2936"/>
      <c r="NYB67" s="2936"/>
      <c r="NYC67" s="2936"/>
      <c r="NYD67" s="2936"/>
      <c r="NYE67" s="2936"/>
      <c r="NYF67" s="2936"/>
      <c r="NYG67" s="2936"/>
      <c r="NYH67" s="2936"/>
      <c r="NYI67" s="2936"/>
      <c r="NYJ67" s="2936"/>
      <c r="NYK67" s="2936"/>
      <c r="NYL67" s="2936"/>
      <c r="NYM67" s="2936"/>
      <c r="NYN67" s="2936"/>
      <c r="NYO67" s="2936"/>
      <c r="NYP67" s="2936"/>
      <c r="NYQ67" s="2936"/>
      <c r="NYR67" s="2936"/>
      <c r="NYS67" s="2936"/>
      <c r="NYT67" s="2936"/>
      <c r="NYU67" s="2936"/>
      <c r="NYV67" s="2936"/>
      <c r="NYW67" s="2936"/>
      <c r="NYX67" s="2936"/>
      <c r="NYY67" s="2936"/>
      <c r="NYZ67" s="2936"/>
      <c r="NZA67" s="2936"/>
      <c r="NZB67" s="2936"/>
      <c r="NZC67" s="2936"/>
      <c r="NZD67" s="2936"/>
      <c r="NZE67" s="2936"/>
      <c r="NZF67" s="2936"/>
      <c r="NZG67" s="2936"/>
      <c r="NZH67" s="2936"/>
      <c r="NZI67" s="2936"/>
      <c r="NZJ67" s="2936"/>
      <c r="NZK67" s="2936"/>
      <c r="NZL67" s="2936"/>
      <c r="NZM67" s="2936"/>
      <c r="NZN67" s="2936"/>
      <c r="NZO67" s="2936"/>
      <c r="NZP67" s="2936"/>
      <c r="NZQ67" s="2936"/>
      <c r="NZR67" s="2936"/>
      <c r="NZS67" s="2936"/>
      <c r="NZT67" s="2936"/>
      <c r="NZU67" s="2936"/>
      <c r="NZV67" s="2936"/>
      <c r="NZW67" s="2936"/>
      <c r="NZX67" s="2936"/>
      <c r="NZY67" s="2936"/>
      <c r="NZZ67" s="2936"/>
      <c r="OAA67" s="2936"/>
      <c r="OAB67" s="2936"/>
      <c r="OAC67" s="2936"/>
      <c r="OAD67" s="2936"/>
      <c r="OAE67" s="2936"/>
      <c r="OAF67" s="2936"/>
      <c r="OAG67" s="2936"/>
      <c r="OAH67" s="2936"/>
      <c r="OAI67" s="2936"/>
      <c r="OAJ67" s="2936"/>
      <c r="OAK67" s="2936"/>
      <c r="OAL67" s="2936"/>
      <c r="OAM67" s="2936"/>
      <c r="OAN67" s="2936"/>
      <c r="OAO67" s="2936"/>
      <c r="OAP67" s="2936"/>
      <c r="OAQ67" s="2936"/>
      <c r="OAR67" s="2936"/>
      <c r="OAS67" s="2936"/>
      <c r="OAT67" s="2936"/>
      <c r="OAU67" s="2936"/>
      <c r="OAV67" s="2936"/>
      <c r="OAW67" s="2936"/>
      <c r="OAX67" s="2936"/>
      <c r="OAY67" s="2936"/>
      <c r="OAZ67" s="2936"/>
      <c r="OBA67" s="2936"/>
      <c r="OBB67" s="2936"/>
      <c r="OBC67" s="2936"/>
      <c r="OBD67" s="2936"/>
      <c r="OBE67" s="2936"/>
      <c r="OBF67" s="2936"/>
      <c r="OBG67" s="2936"/>
      <c r="OBH67" s="2936"/>
      <c r="OBI67" s="2936"/>
      <c r="OBJ67" s="2936"/>
      <c r="OBK67" s="2936"/>
      <c r="OBL67" s="2936"/>
      <c r="OBM67" s="2936"/>
      <c r="OBN67" s="2936"/>
      <c r="OBO67" s="2936"/>
      <c r="OBP67" s="2936"/>
      <c r="OBQ67" s="2936"/>
      <c r="OBR67" s="2936"/>
      <c r="OBS67" s="2936"/>
      <c r="OBT67" s="2936"/>
      <c r="OBU67" s="2936"/>
      <c r="OBV67" s="2936"/>
      <c r="OBW67" s="2936"/>
      <c r="OBX67" s="2936"/>
      <c r="OBY67" s="2936"/>
      <c r="OBZ67" s="2936"/>
      <c r="OCA67" s="2936"/>
      <c r="OCB67" s="2936"/>
      <c r="OCC67" s="2936"/>
      <c r="OCD67" s="2936"/>
      <c r="OCE67" s="2936"/>
      <c r="OCF67" s="2936"/>
      <c r="OCG67" s="2936"/>
      <c r="OCH67" s="2936"/>
      <c r="OCI67" s="2936"/>
      <c r="OCJ67" s="2936"/>
      <c r="OCK67" s="2936"/>
      <c r="OCL67" s="2936"/>
      <c r="OCM67" s="2936"/>
      <c r="OCN67" s="2936"/>
      <c r="OCO67" s="2936"/>
      <c r="OCP67" s="2936"/>
      <c r="OCQ67" s="2936"/>
      <c r="OCR67" s="2936"/>
      <c r="OCS67" s="2936"/>
      <c r="OCT67" s="2936"/>
      <c r="OCU67" s="2936"/>
      <c r="OCV67" s="2936"/>
      <c r="OCW67" s="2936"/>
      <c r="OCX67" s="2936"/>
      <c r="OCY67" s="2936"/>
      <c r="OCZ67" s="2936"/>
      <c r="ODA67" s="2936"/>
      <c r="ODB67" s="2936"/>
      <c r="ODC67" s="2936"/>
      <c r="ODD67" s="2936"/>
      <c r="ODE67" s="2936"/>
      <c r="ODF67" s="2936"/>
      <c r="ODG67" s="2936"/>
      <c r="ODH67" s="2936"/>
      <c r="ODI67" s="2936"/>
      <c r="ODJ67" s="2936"/>
      <c r="ODK67" s="2936"/>
      <c r="ODL67" s="2936"/>
      <c r="ODM67" s="2936"/>
      <c r="ODN67" s="2936"/>
      <c r="ODO67" s="2936"/>
      <c r="ODP67" s="2936"/>
      <c r="ODQ67" s="2936"/>
      <c r="ODR67" s="2936"/>
      <c r="ODS67" s="2936"/>
      <c r="ODT67" s="2936"/>
      <c r="ODU67" s="2936"/>
      <c r="ODV67" s="2936"/>
      <c r="ODW67" s="2936"/>
      <c r="ODX67" s="2936"/>
      <c r="ODY67" s="2936"/>
      <c r="ODZ67" s="2936"/>
      <c r="OEA67" s="2936"/>
      <c r="OEB67" s="2936"/>
      <c r="OEC67" s="2936"/>
      <c r="OED67" s="2936"/>
      <c r="OEE67" s="2936"/>
      <c r="OEF67" s="2936"/>
      <c r="OEG67" s="2936"/>
      <c r="OEH67" s="2936"/>
      <c r="OEI67" s="2936"/>
      <c r="OEJ67" s="2936"/>
      <c r="OEK67" s="2936"/>
      <c r="OEL67" s="2936"/>
      <c r="OEM67" s="2936"/>
      <c r="OEN67" s="2936"/>
      <c r="OEO67" s="2936"/>
      <c r="OEP67" s="2936"/>
      <c r="OEQ67" s="2936"/>
      <c r="OER67" s="2936"/>
      <c r="OES67" s="2936"/>
      <c r="OET67" s="2936"/>
      <c r="OEU67" s="2936"/>
      <c r="OEV67" s="2936"/>
      <c r="OEW67" s="2936"/>
      <c r="OEX67" s="2936"/>
      <c r="OEY67" s="2936"/>
      <c r="OEZ67" s="2936"/>
      <c r="OFA67" s="2936"/>
      <c r="OFB67" s="2936"/>
      <c r="OFC67" s="2936"/>
      <c r="OFD67" s="2936"/>
      <c r="OFE67" s="2936"/>
      <c r="OFF67" s="2936"/>
      <c r="OFG67" s="2936"/>
      <c r="OFH67" s="2936"/>
      <c r="OFI67" s="2936"/>
      <c r="OFJ67" s="2936"/>
      <c r="OFK67" s="2936"/>
      <c r="OFL67" s="2936"/>
      <c r="OFM67" s="2936"/>
      <c r="OFN67" s="2936"/>
      <c r="OFO67" s="2936"/>
      <c r="OFP67" s="2936"/>
      <c r="OFQ67" s="2936"/>
      <c r="OFR67" s="2936"/>
      <c r="OFS67" s="2936"/>
      <c r="OFT67" s="2936"/>
      <c r="OFU67" s="2936"/>
      <c r="OFV67" s="2936"/>
      <c r="OFW67" s="2936"/>
      <c r="OFX67" s="2936"/>
      <c r="OFY67" s="2936"/>
      <c r="OFZ67" s="2936"/>
      <c r="OGA67" s="2936"/>
      <c r="OGB67" s="2936"/>
      <c r="OGC67" s="2936"/>
      <c r="OGD67" s="2936"/>
      <c r="OGE67" s="2936"/>
      <c r="OGF67" s="2936"/>
      <c r="OGG67" s="2936"/>
      <c r="OGH67" s="2936"/>
      <c r="OGI67" s="2936"/>
      <c r="OGJ67" s="2936"/>
      <c r="OGK67" s="2936"/>
      <c r="OGL67" s="2936"/>
      <c r="OGM67" s="2936"/>
      <c r="OGN67" s="2936"/>
      <c r="OGO67" s="2936"/>
      <c r="OGP67" s="2936"/>
      <c r="OGQ67" s="2936"/>
      <c r="OGR67" s="2936"/>
      <c r="OGS67" s="2936"/>
      <c r="OGT67" s="2936"/>
      <c r="OGU67" s="2936"/>
      <c r="OGV67" s="2936"/>
      <c r="OGW67" s="2936"/>
      <c r="OGX67" s="2936"/>
      <c r="OGY67" s="2936"/>
      <c r="OGZ67" s="2936"/>
      <c r="OHA67" s="2936"/>
      <c r="OHB67" s="2936"/>
      <c r="OHC67" s="2936"/>
      <c r="OHD67" s="2936"/>
      <c r="OHE67" s="2936"/>
      <c r="OHF67" s="2936"/>
      <c r="OHG67" s="2936"/>
      <c r="OHH67" s="2936"/>
      <c r="OHI67" s="2936"/>
      <c r="OHJ67" s="2936"/>
      <c r="OHK67" s="2936"/>
      <c r="OHL67" s="2936"/>
      <c r="OHM67" s="2936"/>
      <c r="OHN67" s="2936"/>
      <c r="OHO67" s="2936"/>
      <c r="OHP67" s="2936"/>
      <c r="OHQ67" s="2936"/>
      <c r="OHR67" s="2936"/>
      <c r="OHS67" s="2936"/>
      <c r="OHT67" s="2936"/>
      <c r="OHU67" s="2936"/>
      <c r="OHV67" s="2936"/>
      <c r="OHW67" s="2936"/>
      <c r="OHX67" s="2936"/>
      <c r="OHY67" s="2936"/>
      <c r="OHZ67" s="2936"/>
      <c r="OIA67" s="2936"/>
      <c r="OIB67" s="2936"/>
      <c r="OIC67" s="2936"/>
      <c r="OID67" s="2936"/>
      <c r="OIE67" s="2936"/>
      <c r="OIF67" s="2936"/>
      <c r="OIG67" s="2936"/>
      <c r="OIH67" s="2936"/>
      <c r="OII67" s="2936"/>
      <c r="OIJ67" s="2936"/>
      <c r="OIK67" s="2936"/>
      <c r="OIL67" s="2936"/>
      <c r="OIM67" s="2936"/>
      <c r="OIN67" s="2936"/>
      <c r="OIO67" s="2936"/>
      <c r="OIP67" s="2936"/>
      <c r="OIQ67" s="2936"/>
      <c r="OIR67" s="2936"/>
      <c r="OIS67" s="2936"/>
      <c r="OIT67" s="2936"/>
      <c r="OIU67" s="2936"/>
      <c r="OIV67" s="2936"/>
      <c r="OIW67" s="2936"/>
      <c r="OIX67" s="2936"/>
      <c r="OIY67" s="2936"/>
      <c r="OIZ67" s="2936"/>
      <c r="OJA67" s="2936"/>
      <c r="OJB67" s="2936"/>
      <c r="OJC67" s="2936"/>
      <c r="OJD67" s="2936"/>
      <c r="OJE67" s="2936"/>
      <c r="OJF67" s="2936"/>
      <c r="OJG67" s="2936"/>
      <c r="OJH67" s="2936"/>
      <c r="OJI67" s="2936"/>
      <c r="OJJ67" s="2936"/>
      <c r="OJK67" s="2936"/>
      <c r="OJL67" s="2936"/>
      <c r="OJM67" s="2936"/>
      <c r="OJN67" s="2936"/>
      <c r="OJO67" s="2936"/>
      <c r="OJP67" s="2936"/>
      <c r="OJQ67" s="2936"/>
      <c r="OJR67" s="2936"/>
      <c r="OJS67" s="2936"/>
      <c r="OJT67" s="2936"/>
      <c r="OJU67" s="2936"/>
      <c r="OJV67" s="2936"/>
      <c r="OJW67" s="2936"/>
      <c r="OJX67" s="2936"/>
      <c r="OJY67" s="2936"/>
      <c r="OJZ67" s="2936"/>
      <c r="OKA67" s="2936"/>
      <c r="OKB67" s="2936"/>
      <c r="OKC67" s="2936"/>
      <c r="OKD67" s="2936"/>
      <c r="OKE67" s="2936"/>
      <c r="OKF67" s="2936"/>
      <c r="OKG67" s="2936"/>
      <c r="OKH67" s="2936"/>
      <c r="OKI67" s="2936"/>
      <c r="OKJ67" s="2936"/>
      <c r="OKK67" s="2936"/>
      <c r="OKL67" s="2936"/>
      <c r="OKM67" s="2936"/>
      <c r="OKN67" s="2936"/>
      <c r="OKO67" s="2936"/>
      <c r="OKP67" s="2936"/>
      <c r="OKQ67" s="2936"/>
      <c r="OKR67" s="2936"/>
      <c r="OKS67" s="2936"/>
      <c r="OKT67" s="2936"/>
      <c r="OKU67" s="2936"/>
      <c r="OKV67" s="2936"/>
      <c r="OKW67" s="2936"/>
      <c r="OKX67" s="2936"/>
      <c r="OKY67" s="2936"/>
      <c r="OKZ67" s="2936"/>
      <c r="OLA67" s="2936"/>
      <c r="OLB67" s="2936"/>
      <c r="OLC67" s="2936"/>
      <c r="OLD67" s="2936"/>
      <c r="OLE67" s="2936"/>
      <c r="OLF67" s="2936"/>
      <c r="OLG67" s="2936"/>
      <c r="OLH67" s="2936"/>
      <c r="OLI67" s="2936"/>
      <c r="OLJ67" s="2936"/>
      <c r="OLK67" s="2936"/>
      <c r="OLL67" s="2936"/>
      <c r="OLM67" s="2936"/>
      <c r="OLN67" s="2936"/>
      <c r="OLO67" s="2936"/>
      <c r="OLP67" s="2936"/>
      <c r="OLQ67" s="2936"/>
      <c r="OLR67" s="2936"/>
      <c r="OLS67" s="2936"/>
      <c r="OLT67" s="2936"/>
      <c r="OLU67" s="2936"/>
      <c r="OLV67" s="2936"/>
      <c r="OLW67" s="2936"/>
      <c r="OLX67" s="2936"/>
      <c r="OLY67" s="2936"/>
      <c r="OLZ67" s="2936"/>
      <c r="OMA67" s="2936"/>
      <c r="OMB67" s="2936"/>
      <c r="OMC67" s="2936"/>
      <c r="OMD67" s="2936"/>
      <c r="OME67" s="2936"/>
      <c r="OMF67" s="2936"/>
      <c r="OMG67" s="2936"/>
      <c r="OMH67" s="2936"/>
      <c r="OMI67" s="2936"/>
      <c r="OMJ67" s="2936"/>
      <c r="OMK67" s="2936"/>
      <c r="OML67" s="2936"/>
      <c r="OMM67" s="2936"/>
      <c r="OMN67" s="2936"/>
      <c r="OMO67" s="2936"/>
      <c r="OMP67" s="2936"/>
      <c r="OMQ67" s="2936"/>
      <c r="OMR67" s="2936"/>
      <c r="OMS67" s="2936"/>
      <c r="OMT67" s="2936"/>
      <c r="OMU67" s="2936"/>
      <c r="OMV67" s="2936"/>
      <c r="OMW67" s="2936"/>
      <c r="OMX67" s="2936"/>
      <c r="OMY67" s="2936"/>
      <c r="OMZ67" s="2936"/>
      <c r="ONA67" s="2936"/>
      <c r="ONB67" s="2936"/>
      <c r="ONC67" s="2936"/>
      <c r="OND67" s="2936"/>
      <c r="ONE67" s="2936"/>
      <c r="ONF67" s="2936"/>
      <c r="ONG67" s="2936"/>
      <c r="ONH67" s="2936"/>
      <c r="ONI67" s="2936"/>
      <c r="ONJ67" s="2936"/>
      <c r="ONK67" s="2936"/>
      <c r="ONL67" s="2936"/>
      <c r="ONM67" s="2936"/>
      <c r="ONN67" s="2936"/>
      <c r="ONO67" s="2936"/>
      <c r="ONP67" s="2936"/>
      <c r="ONQ67" s="2936"/>
      <c r="ONR67" s="2936"/>
      <c r="ONS67" s="2936"/>
      <c r="ONT67" s="2936"/>
      <c r="ONU67" s="2936"/>
      <c r="ONV67" s="2936"/>
      <c r="ONW67" s="2936"/>
      <c r="ONX67" s="2936"/>
      <c r="ONY67" s="2936"/>
      <c r="ONZ67" s="2936"/>
      <c r="OOA67" s="2936"/>
      <c r="OOB67" s="2936"/>
      <c r="OOC67" s="2936"/>
      <c r="OOD67" s="2936"/>
      <c r="OOE67" s="2936"/>
      <c r="OOF67" s="2936"/>
      <c r="OOG67" s="2936"/>
      <c r="OOH67" s="2936"/>
      <c r="OOI67" s="2936"/>
      <c r="OOJ67" s="2936"/>
      <c r="OOK67" s="2936"/>
      <c r="OOL67" s="2936"/>
      <c r="OOM67" s="2936"/>
      <c r="OON67" s="2936"/>
      <c r="OOO67" s="2936"/>
      <c r="OOP67" s="2936"/>
      <c r="OOQ67" s="2936"/>
      <c r="OOR67" s="2936"/>
      <c r="OOS67" s="2936"/>
      <c r="OOT67" s="2936"/>
      <c r="OOU67" s="2936"/>
      <c r="OOV67" s="2936"/>
      <c r="OOW67" s="2936"/>
      <c r="OOX67" s="2936"/>
      <c r="OOY67" s="2936"/>
      <c r="OOZ67" s="2936"/>
      <c r="OPA67" s="2936"/>
      <c r="OPB67" s="2936"/>
      <c r="OPC67" s="2936"/>
      <c r="OPD67" s="2936"/>
      <c r="OPE67" s="2936"/>
      <c r="OPF67" s="2936"/>
      <c r="OPG67" s="2936"/>
      <c r="OPH67" s="2936"/>
      <c r="OPI67" s="2936"/>
      <c r="OPJ67" s="2936"/>
      <c r="OPK67" s="2936"/>
      <c r="OPL67" s="2936"/>
      <c r="OPM67" s="2936"/>
      <c r="OPN67" s="2936"/>
      <c r="OPO67" s="2936"/>
      <c r="OPP67" s="2936"/>
      <c r="OPQ67" s="2936"/>
      <c r="OPR67" s="2936"/>
      <c r="OPS67" s="2936"/>
      <c r="OPT67" s="2936"/>
      <c r="OPU67" s="2936"/>
      <c r="OPV67" s="2936"/>
      <c r="OPW67" s="2936"/>
      <c r="OPX67" s="2936"/>
      <c r="OPY67" s="2936"/>
      <c r="OPZ67" s="2936"/>
      <c r="OQA67" s="2936"/>
      <c r="OQB67" s="2936"/>
      <c r="OQC67" s="2936"/>
      <c r="OQD67" s="2936"/>
      <c r="OQE67" s="2936"/>
      <c r="OQF67" s="2936"/>
      <c r="OQG67" s="2936"/>
      <c r="OQH67" s="2936"/>
      <c r="OQI67" s="2936"/>
      <c r="OQJ67" s="2936"/>
      <c r="OQK67" s="2936"/>
      <c r="OQL67" s="2936"/>
      <c r="OQM67" s="2936"/>
      <c r="OQN67" s="2936"/>
      <c r="OQO67" s="2936"/>
      <c r="OQP67" s="2936"/>
      <c r="OQQ67" s="2936"/>
      <c r="OQR67" s="2936"/>
      <c r="OQS67" s="2936"/>
      <c r="OQT67" s="2936"/>
      <c r="OQU67" s="2936"/>
      <c r="OQV67" s="2936"/>
      <c r="OQW67" s="2936"/>
      <c r="OQX67" s="2936"/>
      <c r="OQY67" s="2936"/>
      <c r="OQZ67" s="2936"/>
      <c r="ORA67" s="2936"/>
      <c r="ORB67" s="2936"/>
      <c r="ORC67" s="2936"/>
      <c r="ORD67" s="2936"/>
      <c r="ORE67" s="2936"/>
      <c r="ORF67" s="2936"/>
      <c r="ORG67" s="2936"/>
      <c r="ORH67" s="2936"/>
      <c r="ORI67" s="2936"/>
      <c r="ORJ67" s="2936"/>
      <c r="ORK67" s="2936"/>
      <c r="ORL67" s="2936"/>
      <c r="ORM67" s="2936"/>
      <c r="ORN67" s="2936"/>
      <c r="ORO67" s="2936"/>
      <c r="ORP67" s="2936"/>
      <c r="ORQ67" s="2936"/>
      <c r="ORR67" s="2936"/>
      <c r="ORS67" s="2936"/>
      <c r="ORT67" s="2936"/>
      <c r="ORU67" s="2936"/>
      <c r="ORV67" s="2936"/>
      <c r="ORW67" s="2936"/>
      <c r="ORX67" s="2936"/>
      <c r="ORY67" s="2936"/>
      <c r="ORZ67" s="2936"/>
      <c r="OSA67" s="2936"/>
      <c r="OSB67" s="2936"/>
      <c r="OSC67" s="2936"/>
      <c r="OSD67" s="2936"/>
      <c r="OSE67" s="2936"/>
      <c r="OSF67" s="2936"/>
      <c r="OSG67" s="2936"/>
      <c r="OSH67" s="2936"/>
      <c r="OSI67" s="2936"/>
      <c r="OSJ67" s="2936"/>
      <c r="OSK67" s="2936"/>
      <c r="OSL67" s="2936"/>
      <c r="OSM67" s="2936"/>
      <c r="OSN67" s="2936"/>
      <c r="OSO67" s="2936"/>
      <c r="OSP67" s="2936"/>
      <c r="OSQ67" s="2936"/>
      <c r="OSR67" s="2936"/>
      <c r="OSS67" s="2936"/>
      <c r="OST67" s="2936"/>
      <c r="OSU67" s="2936"/>
      <c r="OSV67" s="2936"/>
      <c r="OSW67" s="2936"/>
      <c r="OSX67" s="2936"/>
      <c r="OSY67" s="2936"/>
      <c r="OSZ67" s="2936"/>
      <c r="OTA67" s="2936"/>
      <c r="OTB67" s="2936"/>
      <c r="OTC67" s="2936"/>
      <c r="OTD67" s="2936"/>
      <c r="OTE67" s="2936"/>
      <c r="OTF67" s="2936"/>
      <c r="OTG67" s="2936"/>
      <c r="OTH67" s="2936"/>
      <c r="OTI67" s="2936"/>
      <c r="OTJ67" s="2936"/>
      <c r="OTK67" s="2936"/>
      <c r="OTL67" s="2936"/>
      <c r="OTM67" s="2936"/>
      <c r="OTN67" s="2936"/>
      <c r="OTO67" s="2936"/>
      <c r="OTP67" s="2936"/>
      <c r="OTQ67" s="2936"/>
      <c r="OTR67" s="2936"/>
      <c r="OTS67" s="2936"/>
      <c r="OTT67" s="2936"/>
      <c r="OTU67" s="2936"/>
      <c r="OTV67" s="2936"/>
      <c r="OTW67" s="2936"/>
      <c r="OTX67" s="2936"/>
      <c r="OTY67" s="2936"/>
      <c r="OTZ67" s="2936"/>
      <c r="OUA67" s="2936"/>
      <c r="OUB67" s="2936"/>
      <c r="OUC67" s="2936"/>
      <c r="OUD67" s="2936"/>
      <c r="OUE67" s="2936"/>
      <c r="OUF67" s="2936"/>
      <c r="OUG67" s="2936"/>
      <c r="OUH67" s="2936"/>
      <c r="OUI67" s="2936"/>
      <c r="OUJ67" s="2936"/>
      <c r="OUK67" s="2936"/>
      <c r="OUL67" s="2936"/>
      <c r="OUM67" s="2936"/>
      <c r="OUN67" s="2936"/>
      <c r="OUO67" s="2936"/>
      <c r="OUP67" s="2936"/>
      <c r="OUQ67" s="2936"/>
      <c r="OUR67" s="2936"/>
      <c r="OUS67" s="2936"/>
      <c r="OUT67" s="2936"/>
      <c r="OUU67" s="2936"/>
      <c r="OUV67" s="2936"/>
      <c r="OUW67" s="2936"/>
      <c r="OUX67" s="2936"/>
      <c r="OUY67" s="2936"/>
      <c r="OUZ67" s="2936"/>
      <c r="OVA67" s="2936"/>
      <c r="OVB67" s="2936"/>
      <c r="OVC67" s="2936"/>
      <c r="OVD67" s="2936"/>
      <c r="OVE67" s="2936"/>
      <c r="OVF67" s="2936"/>
      <c r="OVG67" s="2936"/>
      <c r="OVH67" s="2936"/>
      <c r="OVI67" s="2936"/>
      <c r="OVJ67" s="2936"/>
      <c r="OVK67" s="2936"/>
      <c r="OVL67" s="2936"/>
      <c r="OVM67" s="2936"/>
      <c r="OVN67" s="2936"/>
      <c r="OVO67" s="2936"/>
      <c r="OVP67" s="2936"/>
      <c r="OVQ67" s="2936"/>
      <c r="OVR67" s="2936"/>
      <c r="OVS67" s="2936"/>
      <c r="OVT67" s="2936"/>
      <c r="OVU67" s="2936"/>
      <c r="OVV67" s="2936"/>
      <c r="OVW67" s="2936"/>
      <c r="OVX67" s="2936"/>
      <c r="OVY67" s="2936"/>
      <c r="OVZ67" s="2936"/>
      <c r="OWA67" s="2936"/>
      <c r="OWB67" s="2936"/>
      <c r="OWC67" s="2936"/>
      <c r="OWD67" s="2936"/>
      <c r="OWE67" s="2936"/>
      <c r="OWF67" s="2936"/>
      <c r="OWG67" s="2936"/>
      <c r="OWH67" s="2936"/>
      <c r="OWI67" s="2936"/>
      <c r="OWJ67" s="2936"/>
      <c r="OWK67" s="2936"/>
      <c r="OWL67" s="2936"/>
      <c r="OWM67" s="2936"/>
      <c r="OWN67" s="2936"/>
      <c r="OWO67" s="2936"/>
      <c r="OWP67" s="2936"/>
      <c r="OWQ67" s="2936"/>
      <c r="OWR67" s="2936"/>
      <c r="OWS67" s="2936"/>
      <c r="OWT67" s="2936"/>
      <c r="OWU67" s="2936"/>
      <c r="OWV67" s="2936"/>
      <c r="OWW67" s="2936"/>
      <c r="OWX67" s="2936"/>
      <c r="OWY67" s="2936"/>
      <c r="OWZ67" s="2936"/>
      <c r="OXA67" s="2936"/>
      <c r="OXB67" s="2936"/>
      <c r="OXC67" s="2936"/>
      <c r="OXD67" s="2936"/>
      <c r="OXE67" s="2936"/>
      <c r="OXF67" s="2936"/>
      <c r="OXG67" s="2936"/>
      <c r="OXH67" s="2936"/>
      <c r="OXI67" s="2936"/>
      <c r="OXJ67" s="2936"/>
      <c r="OXK67" s="2936"/>
      <c r="OXL67" s="2936"/>
      <c r="OXM67" s="2936"/>
      <c r="OXN67" s="2936"/>
      <c r="OXO67" s="2936"/>
      <c r="OXP67" s="2936"/>
      <c r="OXQ67" s="2936"/>
      <c r="OXR67" s="2936"/>
      <c r="OXS67" s="2936"/>
      <c r="OXT67" s="2936"/>
      <c r="OXU67" s="2936"/>
      <c r="OXV67" s="2936"/>
      <c r="OXW67" s="2936"/>
      <c r="OXX67" s="2936"/>
      <c r="OXY67" s="2936"/>
      <c r="OXZ67" s="2936"/>
      <c r="OYA67" s="2936"/>
      <c r="OYB67" s="2936"/>
      <c r="OYC67" s="2936"/>
      <c r="OYD67" s="2936"/>
      <c r="OYE67" s="2936"/>
      <c r="OYF67" s="2936"/>
      <c r="OYG67" s="2936"/>
      <c r="OYH67" s="2936"/>
      <c r="OYI67" s="2936"/>
      <c r="OYJ67" s="2936"/>
      <c r="OYK67" s="2936"/>
      <c r="OYL67" s="2936"/>
      <c r="OYM67" s="2936"/>
      <c r="OYN67" s="2936"/>
      <c r="OYO67" s="2936"/>
      <c r="OYP67" s="2936"/>
      <c r="OYQ67" s="2936"/>
      <c r="OYR67" s="2936"/>
      <c r="OYS67" s="2936"/>
      <c r="OYT67" s="2936"/>
      <c r="OYU67" s="2936"/>
      <c r="OYV67" s="2936"/>
      <c r="OYW67" s="2936"/>
      <c r="OYX67" s="2936"/>
      <c r="OYY67" s="2936"/>
      <c r="OYZ67" s="2936"/>
      <c r="OZA67" s="2936"/>
      <c r="OZB67" s="2936"/>
      <c r="OZC67" s="2936"/>
      <c r="OZD67" s="2936"/>
      <c r="OZE67" s="2936"/>
      <c r="OZF67" s="2936"/>
      <c r="OZG67" s="2936"/>
      <c r="OZH67" s="2936"/>
      <c r="OZI67" s="2936"/>
      <c r="OZJ67" s="2936"/>
      <c r="OZK67" s="2936"/>
      <c r="OZL67" s="2936"/>
      <c r="OZM67" s="2936"/>
      <c r="OZN67" s="2936"/>
      <c r="OZO67" s="2936"/>
      <c r="OZP67" s="2936"/>
      <c r="OZQ67" s="2936"/>
      <c r="OZR67" s="2936"/>
      <c r="OZS67" s="2936"/>
      <c r="OZT67" s="2936"/>
      <c r="OZU67" s="2936"/>
      <c r="OZV67" s="2936"/>
      <c r="OZW67" s="2936"/>
      <c r="OZX67" s="2936"/>
      <c r="OZY67" s="2936"/>
      <c r="OZZ67" s="2936"/>
      <c r="PAA67" s="2936"/>
      <c r="PAB67" s="2936"/>
      <c r="PAC67" s="2936"/>
      <c r="PAD67" s="2936"/>
      <c r="PAE67" s="2936"/>
      <c r="PAF67" s="2936"/>
      <c r="PAG67" s="2936"/>
      <c r="PAH67" s="2936"/>
      <c r="PAI67" s="2936"/>
      <c r="PAJ67" s="2936"/>
      <c r="PAK67" s="2936"/>
      <c r="PAL67" s="2936"/>
      <c r="PAM67" s="2936"/>
      <c r="PAN67" s="2936"/>
      <c r="PAO67" s="2936"/>
      <c r="PAP67" s="2936"/>
      <c r="PAQ67" s="2936"/>
      <c r="PAR67" s="2936"/>
      <c r="PAS67" s="2936"/>
      <c r="PAT67" s="2936"/>
      <c r="PAU67" s="2936"/>
      <c r="PAV67" s="2936"/>
      <c r="PAW67" s="2936"/>
      <c r="PAX67" s="2936"/>
      <c r="PAY67" s="2936"/>
      <c r="PAZ67" s="2936"/>
      <c r="PBA67" s="2936"/>
      <c r="PBB67" s="2936"/>
      <c r="PBC67" s="2936"/>
      <c r="PBD67" s="2936"/>
      <c r="PBE67" s="2936"/>
      <c r="PBF67" s="2936"/>
      <c r="PBG67" s="2936"/>
      <c r="PBH67" s="2936"/>
      <c r="PBI67" s="2936"/>
      <c r="PBJ67" s="2936"/>
      <c r="PBK67" s="2936"/>
      <c r="PBL67" s="2936"/>
      <c r="PBM67" s="2936"/>
      <c r="PBN67" s="2936"/>
      <c r="PBO67" s="2936"/>
      <c r="PBP67" s="2936"/>
      <c r="PBQ67" s="2936"/>
      <c r="PBR67" s="2936"/>
      <c r="PBS67" s="2936"/>
      <c r="PBT67" s="2936"/>
      <c r="PBU67" s="2936"/>
      <c r="PBV67" s="2936"/>
      <c r="PBW67" s="2936"/>
      <c r="PBX67" s="2936"/>
      <c r="PBY67" s="2936"/>
      <c r="PBZ67" s="2936"/>
      <c r="PCA67" s="2936"/>
      <c r="PCB67" s="2936"/>
      <c r="PCC67" s="2936"/>
      <c r="PCD67" s="2936"/>
      <c r="PCE67" s="2936"/>
      <c r="PCF67" s="2936"/>
      <c r="PCG67" s="2936"/>
      <c r="PCH67" s="2936"/>
      <c r="PCI67" s="2936"/>
      <c r="PCJ67" s="2936"/>
      <c r="PCK67" s="2936"/>
      <c r="PCL67" s="2936"/>
      <c r="PCM67" s="2936"/>
      <c r="PCN67" s="2936"/>
      <c r="PCO67" s="2936"/>
      <c r="PCP67" s="2936"/>
      <c r="PCQ67" s="2936"/>
      <c r="PCR67" s="2936"/>
      <c r="PCS67" s="2936"/>
      <c r="PCT67" s="2936"/>
      <c r="PCU67" s="2936"/>
      <c r="PCV67" s="2936"/>
      <c r="PCW67" s="2936"/>
      <c r="PCX67" s="2936"/>
      <c r="PCY67" s="2936"/>
      <c r="PCZ67" s="2936"/>
      <c r="PDA67" s="2936"/>
      <c r="PDB67" s="2936"/>
      <c r="PDC67" s="2936"/>
      <c r="PDD67" s="2936"/>
      <c r="PDE67" s="2936"/>
      <c r="PDF67" s="2936"/>
      <c r="PDG67" s="2936"/>
      <c r="PDH67" s="2936"/>
      <c r="PDI67" s="2936"/>
      <c r="PDJ67" s="2936"/>
      <c r="PDK67" s="2936"/>
      <c r="PDL67" s="2936"/>
      <c r="PDM67" s="2936"/>
      <c r="PDN67" s="2936"/>
      <c r="PDO67" s="2936"/>
      <c r="PDP67" s="2936"/>
      <c r="PDQ67" s="2936"/>
      <c r="PDR67" s="2936"/>
      <c r="PDS67" s="2936"/>
      <c r="PDT67" s="2936"/>
      <c r="PDU67" s="2936"/>
      <c r="PDV67" s="2936"/>
      <c r="PDW67" s="2936"/>
      <c r="PDX67" s="2936"/>
      <c r="PDY67" s="2936"/>
      <c r="PDZ67" s="2936"/>
      <c r="PEA67" s="2936"/>
      <c r="PEB67" s="2936"/>
      <c r="PEC67" s="2936"/>
      <c r="PED67" s="2936"/>
      <c r="PEE67" s="2936"/>
      <c r="PEF67" s="2936"/>
      <c r="PEG67" s="2936"/>
      <c r="PEH67" s="2936"/>
      <c r="PEI67" s="2936"/>
      <c r="PEJ67" s="2936"/>
      <c r="PEK67" s="2936"/>
      <c r="PEL67" s="2936"/>
      <c r="PEM67" s="2936"/>
      <c r="PEN67" s="2936"/>
      <c r="PEO67" s="2936"/>
      <c r="PEP67" s="2936"/>
      <c r="PEQ67" s="2936"/>
      <c r="PER67" s="2936"/>
      <c r="PES67" s="2936"/>
      <c r="PET67" s="2936"/>
      <c r="PEU67" s="2936"/>
      <c r="PEV67" s="2936"/>
      <c r="PEW67" s="2936"/>
      <c r="PEX67" s="2936"/>
      <c r="PEY67" s="2936"/>
      <c r="PEZ67" s="2936"/>
      <c r="PFA67" s="2936"/>
      <c r="PFB67" s="2936"/>
      <c r="PFC67" s="2936"/>
      <c r="PFD67" s="2936"/>
      <c r="PFE67" s="2936"/>
      <c r="PFF67" s="2936"/>
      <c r="PFG67" s="2936"/>
      <c r="PFH67" s="2936"/>
      <c r="PFI67" s="2936"/>
      <c r="PFJ67" s="2936"/>
      <c r="PFK67" s="2936"/>
      <c r="PFL67" s="2936"/>
      <c r="PFM67" s="2936"/>
      <c r="PFN67" s="2936"/>
      <c r="PFO67" s="2936"/>
      <c r="PFP67" s="2936"/>
      <c r="PFQ67" s="2936"/>
      <c r="PFR67" s="2936"/>
      <c r="PFS67" s="2936"/>
      <c r="PFT67" s="2936"/>
      <c r="PFU67" s="2936"/>
      <c r="PFV67" s="2936"/>
      <c r="PFW67" s="2936"/>
      <c r="PFX67" s="2936"/>
      <c r="PFY67" s="2936"/>
      <c r="PFZ67" s="2936"/>
      <c r="PGA67" s="2936"/>
      <c r="PGB67" s="2936"/>
      <c r="PGC67" s="2936"/>
      <c r="PGD67" s="2936"/>
      <c r="PGE67" s="2936"/>
      <c r="PGF67" s="2936"/>
      <c r="PGG67" s="2936"/>
      <c r="PGH67" s="2936"/>
      <c r="PGI67" s="2936"/>
      <c r="PGJ67" s="2936"/>
      <c r="PGK67" s="2936"/>
      <c r="PGL67" s="2936"/>
      <c r="PGM67" s="2936"/>
      <c r="PGN67" s="2936"/>
      <c r="PGO67" s="2936"/>
      <c r="PGP67" s="2936"/>
      <c r="PGQ67" s="2936"/>
      <c r="PGR67" s="2936"/>
      <c r="PGS67" s="2936"/>
      <c r="PGT67" s="2936"/>
      <c r="PGU67" s="2936"/>
      <c r="PGV67" s="2936"/>
      <c r="PGW67" s="2936"/>
      <c r="PGX67" s="2936"/>
      <c r="PGY67" s="2936"/>
      <c r="PGZ67" s="2936"/>
      <c r="PHA67" s="2936"/>
      <c r="PHB67" s="2936"/>
      <c r="PHC67" s="2936"/>
      <c r="PHD67" s="2936"/>
      <c r="PHE67" s="2936"/>
      <c r="PHF67" s="2936"/>
      <c r="PHG67" s="2936"/>
      <c r="PHH67" s="2936"/>
      <c r="PHI67" s="2936"/>
      <c r="PHJ67" s="2936"/>
      <c r="PHK67" s="2936"/>
      <c r="PHL67" s="2936"/>
      <c r="PHM67" s="2936"/>
      <c r="PHN67" s="2936"/>
      <c r="PHO67" s="2936"/>
      <c r="PHP67" s="2936"/>
      <c r="PHQ67" s="2936"/>
      <c r="PHR67" s="2936"/>
      <c r="PHS67" s="2936"/>
      <c r="PHT67" s="2936"/>
      <c r="PHU67" s="2936"/>
      <c r="PHV67" s="2936"/>
      <c r="PHW67" s="2936"/>
      <c r="PHX67" s="2936"/>
      <c r="PHY67" s="2936"/>
      <c r="PHZ67" s="2936"/>
      <c r="PIA67" s="2936"/>
      <c r="PIB67" s="2936"/>
      <c r="PIC67" s="2936"/>
      <c r="PID67" s="2936"/>
      <c r="PIE67" s="2936"/>
      <c r="PIF67" s="2936"/>
      <c r="PIG67" s="2936"/>
      <c r="PIH67" s="2936"/>
      <c r="PII67" s="2936"/>
      <c r="PIJ67" s="2936"/>
      <c r="PIK67" s="2936"/>
      <c r="PIL67" s="2936"/>
      <c r="PIM67" s="2936"/>
      <c r="PIN67" s="2936"/>
      <c r="PIO67" s="2936"/>
      <c r="PIP67" s="2936"/>
      <c r="PIQ67" s="2936"/>
      <c r="PIR67" s="2936"/>
      <c r="PIS67" s="2936"/>
      <c r="PIT67" s="2936"/>
      <c r="PIU67" s="2936"/>
      <c r="PIV67" s="2936"/>
      <c r="PIW67" s="2936"/>
      <c r="PIX67" s="2936"/>
      <c r="PIY67" s="2936"/>
      <c r="PIZ67" s="2936"/>
      <c r="PJA67" s="2936"/>
      <c r="PJB67" s="2936"/>
      <c r="PJC67" s="2936"/>
      <c r="PJD67" s="2936"/>
      <c r="PJE67" s="2936"/>
      <c r="PJF67" s="2936"/>
      <c r="PJG67" s="2936"/>
      <c r="PJH67" s="2936"/>
      <c r="PJI67" s="2936"/>
      <c r="PJJ67" s="2936"/>
      <c r="PJK67" s="2936"/>
      <c r="PJL67" s="2936"/>
      <c r="PJM67" s="2936"/>
      <c r="PJN67" s="2936"/>
      <c r="PJO67" s="2936"/>
      <c r="PJP67" s="2936"/>
      <c r="PJQ67" s="2936"/>
      <c r="PJR67" s="2936"/>
      <c r="PJS67" s="2936"/>
      <c r="PJT67" s="2936"/>
      <c r="PJU67" s="2936"/>
      <c r="PJV67" s="2936"/>
      <c r="PJW67" s="2936"/>
      <c r="PJX67" s="2936"/>
      <c r="PJY67" s="2936"/>
      <c r="PJZ67" s="2936"/>
      <c r="PKA67" s="2936"/>
      <c r="PKB67" s="2936"/>
      <c r="PKC67" s="2936"/>
      <c r="PKD67" s="2936"/>
      <c r="PKE67" s="2936"/>
      <c r="PKF67" s="2936"/>
      <c r="PKG67" s="2936"/>
      <c r="PKH67" s="2936"/>
      <c r="PKI67" s="2936"/>
      <c r="PKJ67" s="2936"/>
      <c r="PKK67" s="2936"/>
      <c r="PKL67" s="2936"/>
      <c r="PKM67" s="2936"/>
      <c r="PKN67" s="2936"/>
      <c r="PKO67" s="2936"/>
      <c r="PKP67" s="2936"/>
      <c r="PKQ67" s="2936"/>
      <c r="PKR67" s="2936"/>
      <c r="PKS67" s="2936"/>
      <c r="PKT67" s="2936"/>
      <c r="PKU67" s="2936"/>
      <c r="PKV67" s="2936"/>
      <c r="PKW67" s="2936"/>
      <c r="PKX67" s="2936"/>
      <c r="PKY67" s="2936"/>
      <c r="PKZ67" s="2936"/>
      <c r="PLA67" s="2936"/>
      <c r="PLB67" s="2936"/>
      <c r="PLC67" s="2936"/>
      <c r="PLD67" s="2936"/>
      <c r="PLE67" s="2936"/>
      <c r="PLF67" s="2936"/>
      <c r="PLG67" s="2936"/>
      <c r="PLH67" s="2936"/>
      <c r="PLI67" s="2936"/>
      <c r="PLJ67" s="2936"/>
      <c r="PLK67" s="2936"/>
      <c r="PLL67" s="2936"/>
      <c r="PLM67" s="2936"/>
      <c r="PLN67" s="2936"/>
      <c r="PLO67" s="2936"/>
      <c r="PLP67" s="2936"/>
      <c r="PLQ67" s="2936"/>
      <c r="PLR67" s="2936"/>
      <c r="PLS67" s="2936"/>
      <c r="PLT67" s="2936"/>
      <c r="PLU67" s="2936"/>
      <c r="PLV67" s="2936"/>
      <c r="PLW67" s="2936"/>
      <c r="PLX67" s="2936"/>
      <c r="PLY67" s="2936"/>
      <c r="PLZ67" s="2936"/>
      <c r="PMA67" s="2936"/>
      <c r="PMB67" s="2936"/>
      <c r="PMC67" s="2936"/>
      <c r="PMD67" s="2936"/>
      <c r="PME67" s="2936"/>
      <c r="PMF67" s="2936"/>
      <c r="PMG67" s="2936"/>
      <c r="PMH67" s="2936"/>
      <c r="PMI67" s="2936"/>
      <c r="PMJ67" s="2936"/>
      <c r="PMK67" s="2936"/>
      <c r="PML67" s="2936"/>
      <c r="PMM67" s="2936"/>
      <c r="PMN67" s="2936"/>
      <c r="PMO67" s="2936"/>
      <c r="PMP67" s="2936"/>
      <c r="PMQ67" s="2936"/>
      <c r="PMR67" s="2936"/>
      <c r="PMS67" s="2936"/>
      <c r="PMT67" s="2936"/>
      <c r="PMU67" s="2936"/>
      <c r="PMV67" s="2936"/>
      <c r="PMW67" s="2936"/>
      <c r="PMX67" s="2936"/>
      <c r="PMY67" s="2936"/>
      <c r="PMZ67" s="2936"/>
      <c r="PNA67" s="2936"/>
      <c r="PNB67" s="2936"/>
      <c r="PNC67" s="2936"/>
      <c r="PND67" s="2936"/>
      <c r="PNE67" s="2936"/>
      <c r="PNF67" s="2936"/>
      <c r="PNG67" s="2936"/>
      <c r="PNH67" s="2936"/>
      <c r="PNI67" s="2936"/>
      <c r="PNJ67" s="2936"/>
      <c r="PNK67" s="2936"/>
      <c r="PNL67" s="2936"/>
      <c r="PNM67" s="2936"/>
      <c r="PNN67" s="2936"/>
      <c r="PNO67" s="2936"/>
      <c r="PNP67" s="2936"/>
      <c r="PNQ67" s="2936"/>
      <c r="PNR67" s="2936"/>
      <c r="PNS67" s="2936"/>
      <c r="PNT67" s="2936"/>
      <c r="PNU67" s="2936"/>
      <c r="PNV67" s="2936"/>
      <c r="PNW67" s="2936"/>
      <c r="PNX67" s="2936"/>
      <c r="PNY67" s="2936"/>
      <c r="PNZ67" s="2936"/>
      <c r="POA67" s="2936"/>
      <c r="POB67" s="2936"/>
      <c r="POC67" s="2936"/>
      <c r="POD67" s="2936"/>
      <c r="POE67" s="2936"/>
      <c r="POF67" s="2936"/>
      <c r="POG67" s="2936"/>
      <c r="POH67" s="2936"/>
      <c r="POI67" s="2936"/>
      <c r="POJ67" s="2936"/>
      <c r="POK67" s="2936"/>
      <c r="POL67" s="2936"/>
      <c r="POM67" s="2936"/>
      <c r="PON67" s="2936"/>
      <c r="POO67" s="2936"/>
      <c r="POP67" s="2936"/>
      <c r="POQ67" s="2936"/>
      <c r="POR67" s="2936"/>
      <c r="POS67" s="2936"/>
      <c r="POT67" s="2936"/>
      <c r="POU67" s="2936"/>
      <c r="POV67" s="2936"/>
      <c r="POW67" s="2936"/>
      <c r="POX67" s="2936"/>
      <c r="POY67" s="2936"/>
      <c r="POZ67" s="2936"/>
      <c r="PPA67" s="2936"/>
      <c r="PPB67" s="2936"/>
      <c r="PPC67" s="2936"/>
      <c r="PPD67" s="2936"/>
      <c r="PPE67" s="2936"/>
      <c r="PPF67" s="2936"/>
      <c r="PPG67" s="2936"/>
      <c r="PPH67" s="2936"/>
      <c r="PPI67" s="2936"/>
      <c r="PPJ67" s="2936"/>
      <c r="PPK67" s="2936"/>
      <c r="PPL67" s="2936"/>
      <c r="PPM67" s="2936"/>
      <c r="PPN67" s="2936"/>
      <c r="PPO67" s="2936"/>
      <c r="PPP67" s="2936"/>
      <c r="PPQ67" s="2936"/>
      <c r="PPR67" s="2936"/>
      <c r="PPS67" s="2936"/>
      <c r="PPT67" s="2936"/>
      <c r="PPU67" s="2936"/>
      <c r="PPV67" s="2936"/>
      <c r="PPW67" s="2936"/>
      <c r="PPX67" s="2936"/>
      <c r="PPY67" s="2936"/>
      <c r="PPZ67" s="2936"/>
      <c r="PQA67" s="2936"/>
      <c r="PQB67" s="2936"/>
      <c r="PQC67" s="2936"/>
      <c r="PQD67" s="2936"/>
      <c r="PQE67" s="2936"/>
      <c r="PQF67" s="2936"/>
      <c r="PQG67" s="2936"/>
      <c r="PQH67" s="2936"/>
      <c r="PQI67" s="2936"/>
      <c r="PQJ67" s="2936"/>
      <c r="PQK67" s="2936"/>
      <c r="PQL67" s="2936"/>
      <c r="PQM67" s="2936"/>
      <c r="PQN67" s="2936"/>
      <c r="PQO67" s="2936"/>
      <c r="PQP67" s="2936"/>
      <c r="PQQ67" s="2936"/>
      <c r="PQR67" s="2936"/>
      <c r="PQS67" s="2936"/>
      <c r="PQT67" s="2936"/>
      <c r="PQU67" s="2936"/>
      <c r="PQV67" s="2936"/>
      <c r="PQW67" s="2936"/>
      <c r="PQX67" s="2936"/>
      <c r="PQY67" s="2936"/>
      <c r="PQZ67" s="2936"/>
      <c r="PRA67" s="2936"/>
      <c r="PRB67" s="2936"/>
      <c r="PRC67" s="2936"/>
      <c r="PRD67" s="2936"/>
      <c r="PRE67" s="2936"/>
      <c r="PRF67" s="2936"/>
      <c r="PRG67" s="2936"/>
      <c r="PRH67" s="2936"/>
      <c r="PRI67" s="2936"/>
      <c r="PRJ67" s="2936"/>
      <c r="PRK67" s="2936"/>
      <c r="PRL67" s="2936"/>
      <c r="PRM67" s="2936"/>
      <c r="PRN67" s="2936"/>
      <c r="PRO67" s="2936"/>
      <c r="PRP67" s="2936"/>
      <c r="PRQ67" s="2936"/>
      <c r="PRR67" s="2936"/>
      <c r="PRS67" s="2936"/>
      <c r="PRT67" s="2936"/>
      <c r="PRU67" s="2936"/>
      <c r="PRV67" s="2936"/>
      <c r="PRW67" s="2936"/>
      <c r="PRX67" s="2936"/>
      <c r="PRY67" s="2936"/>
      <c r="PRZ67" s="2936"/>
      <c r="PSA67" s="2936"/>
      <c r="PSB67" s="2936"/>
      <c r="PSC67" s="2936"/>
      <c r="PSD67" s="2936"/>
      <c r="PSE67" s="2936"/>
      <c r="PSF67" s="2936"/>
      <c r="PSG67" s="2936"/>
      <c r="PSH67" s="2936"/>
      <c r="PSI67" s="2936"/>
      <c r="PSJ67" s="2936"/>
      <c r="PSK67" s="2936"/>
      <c r="PSL67" s="2936"/>
      <c r="PSM67" s="2936"/>
      <c r="PSN67" s="2936"/>
      <c r="PSO67" s="2936"/>
      <c r="PSP67" s="2936"/>
      <c r="PSQ67" s="2936"/>
      <c r="PSR67" s="2936"/>
      <c r="PSS67" s="2936"/>
      <c r="PST67" s="2936"/>
      <c r="PSU67" s="2936"/>
      <c r="PSV67" s="2936"/>
      <c r="PSW67" s="2936"/>
      <c r="PSX67" s="2936"/>
      <c r="PSY67" s="2936"/>
      <c r="PSZ67" s="2936"/>
      <c r="PTA67" s="2936"/>
      <c r="PTB67" s="2936"/>
      <c r="PTC67" s="2936"/>
      <c r="PTD67" s="2936"/>
      <c r="PTE67" s="2936"/>
      <c r="PTF67" s="2936"/>
      <c r="PTG67" s="2936"/>
      <c r="PTH67" s="2936"/>
      <c r="PTI67" s="2936"/>
      <c r="PTJ67" s="2936"/>
      <c r="PTK67" s="2936"/>
      <c r="PTL67" s="2936"/>
      <c r="PTM67" s="2936"/>
      <c r="PTN67" s="2936"/>
      <c r="PTO67" s="2936"/>
      <c r="PTP67" s="2936"/>
      <c r="PTQ67" s="2936"/>
      <c r="PTR67" s="2936"/>
      <c r="PTS67" s="2936"/>
      <c r="PTT67" s="2936"/>
      <c r="PTU67" s="2936"/>
      <c r="PTV67" s="2936"/>
      <c r="PTW67" s="2936"/>
      <c r="PTX67" s="2936"/>
      <c r="PTY67" s="2936"/>
      <c r="PTZ67" s="2936"/>
      <c r="PUA67" s="2936"/>
      <c r="PUB67" s="2936"/>
      <c r="PUC67" s="2936"/>
      <c r="PUD67" s="2936"/>
      <c r="PUE67" s="2936"/>
      <c r="PUF67" s="2936"/>
      <c r="PUG67" s="2936"/>
      <c r="PUH67" s="2936"/>
      <c r="PUI67" s="2936"/>
      <c r="PUJ67" s="2936"/>
      <c r="PUK67" s="2936"/>
      <c r="PUL67" s="2936"/>
      <c r="PUM67" s="2936"/>
      <c r="PUN67" s="2936"/>
      <c r="PUO67" s="2936"/>
      <c r="PUP67" s="2936"/>
      <c r="PUQ67" s="2936"/>
      <c r="PUR67" s="2936"/>
      <c r="PUS67" s="2936"/>
      <c r="PUT67" s="2936"/>
      <c r="PUU67" s="2936"/>
      <c r="PUV67" s="2936"/>
      <c r="PUW67" s="2936"/>
      <c r="PUX67" s="2936"/>
      <c r="PUY67" s="2936"/>
      <c r="PUZ67" s="2936"/>
      <c r="PVA67" s="2936"/>
      <c r="PVB67" s="2936"/>
      <c r="PVC67" s="2936"/>
      <c r="PVD67" s="2936"/>
      <c r="PVE67" s="2936"/>
      <c r="PVF67" s="2936"/>
      <c r="PVG67" s="2936"/>
      <c r="PVH67" s="2936"/>
      <c r="PVI67" s="2936"/>
      <c r="PVJ67" s="2936"/>
      <c r="PVK67" s="2936"/>
      <c r="PVL67" s="2936"/>
      <c r="PVM67" s="2936"/>
      <c r="PVN67" s="2936"/>
      <c r="PVO67" s="2936"/>
      <c r="PVP67" s="2936"/>
      <c r="PVQ67" s="2936"/>
      <c r="PVR67" s="2936"/>
      <c r="PVS67" s="2936"/>
      <c r="PVT67" s="2936"/>
      <c r="PVU67" s="2936"/>
      <c r="PVV67" s="2936"/>
      <c r="PVW67" s="2936"/>
      <c r="PVX67" s="2936"/>
      <c r="PVY67" s="2936"/>
      <c r="PVZ67" s="2936"/>
      <c r="PWA67" s="2936"/>
      <c r="PWB67" s="2936"/>
      <c r="PWC67" s="2936"/>
      <c r="PWD67" s="2936"/>
      <c r="PWE67" s="2936"/>
      <c r="PWF67" s="2936"/>
      <c r="PWG67" s="2936"/>
      <c r="PWH67" s="2936"/>
      <c r="PWI67" s="2936"/>
      <c r="PWJ67" s="2936"/>
      <c r="PWK67" s="2936"/>
      <c r="PWL67" s="2936"/>
      <c r="PWM67" s="2936"/>
      <c r="PWN67" s="2936"/>
      <c r="PWO67" s="2936"/>
      <c r="PWP67" s="2936"/>
      <c r="PWQ67" s="2936"/>
      <c r="PWR67" s="2936"/>
      <c r="PWS67" s="2936"/>
      <c r="PWT67" s="2936"/>
      <c r="PWU67" s="2936"/>
      <c r="PWV67" s="2936"/>
      <c r="PWW67" s="2936"/>
      <c r="PWX67" s="2936"/>
      <c r="PWY67" s="2936"/>
      <c r="PWZ67" s="2936"/>
      <c r="PXA67" s="2936"/>
      <c r="PXB67" s="2936"/>
      <c r="PXC67" s="2936"/>
      <c r="PXD67" s="2936"/>
      <c r="PXE67" s="2936"/>
      <c r="PXF67" s="2936"/>
      <c r="PXG67" s="2936"/>
      <c r="PXH67" s="2936"/>
      <c r="PXI67" s="2936"/>
      <c r="PXJ67" s="2936"/>
      <c r="PXK67" s="2936"/>
      <c r="PXL67" s="2936"/>
      <c r="PXM67" s="2936"/>
      <c r="PXN67" s="2936"/>
      <c r="PXO67" s="2936"/>
      <c r="PXP67" s="2936"/>
      <c r="PXQ67" s="2936"/>
      <c r="PXR67" s="2936"/>
      <c r="PXS67" s="2936"/>
      <c r="PXT67" s="2936"/>
      <c r="PXU67" s="2936"/>
      <c r="PXV67" s="2936"/>
      <c r="PXW67" s="2936"/>
      <c r="PXX67" s="2936"/>
      <c r="PXY67" s="2936"/>
      <c r="PXZ67" s="2936"/>
      <c r="PYA67" s="2936"/>
      <c r="PYB67" s="2936"/>
      <c r="PYC67" s="2936"/>
      <c r="PYD67" s="2936"/>
      <c r="PYE67" s="2936"/>
      <c r="PYF67" s="2936"/>
      <c r="PYG67" s="2936"/>
      <c r="PYH67" s="2936"/>
      <c r="PYI67" s="2936"/>
      <c r="PYJ67" s="2936"/>
      <c r="PYK67" s="2936"/>
      <c r="PYL67" s="2936"/>
      <c r="PYM67" s="2936"/>
      <c r="PYN67" s="2936"/>
      <c r="PYO67" s="2936"/>
      <c r="PYP67" s="2936"/>
      <c r="PYQ67" s="2936"/>
      <c r="PYR67" s="2936"/>
      <c r="PYS67" s="2936"/>
      <c r="PYT67" s="2936"/>
      <c r="PYU67" s="2936"/>
      <c r="PYV67" s="2936"/>
      <c r="PYW67" s="2936"/>
      <c r="PYX67" s="2936"/>
      <c r="PYY67" s="2936"/>
      <c r="PYZ67" s="2936"/>
      <c r="PZA67" s="2936"/>
      <c r="PZB67" s="2936"/>
      <c r="PZC67" s="2936"/>
      <c r="PZD67" s="2936"/>
      <c r="PZE67" s="2936"/>
      <c r="PZF67" s="2936"/>
      <c r="PZG67" s="2936"/>
      <c r="PZH67" s="2936"/>
      <c r="PZI67" s="2936"/>
      <c r="PZJ67" s="2936"/>
      <c r="PZK67" s="2936"/>
      <c r="PZL67" s="2936"/>
      <c r="PZM67" s="2936"/>
      <c r="PZN67" s="2936"/>
      <c r="PZO67" s="2936"/>
      <c r="PZP67" s="2936"/>
      <c r="PZQ67" s="2936"/>
      <c r="PZR67" s="2936"/>
      <c r="PZS67" s="2936"/>
      <c r="PZT67" s="2936"/>
      <c r="PZU67" s="2936"/>
      <c r="PZV67" s="2936"/>
      <c r="PZW67" s="2936"/>
      <c r="PZX67" s="2936"/>
      <c r="PZY67" s="2936"/>
      <c r="PZZ67" s="2936"/>
      <c r="QAA67" s="2936"/>
      <c r="QAB67" s="2936"/>
      <c r="QAC67" s="2936"/>
      <c r="QAD67" s="2936"/>
      <c r="QAE67" s="2936"/>
      <c r="QAF67" s="2936"/>
      <c r="QAG67" s="2936"/>
      <c r="QAH67" s="2936"/>
      <c r="QAI67" s="2936"/>
      <c r="QAJ67" s="2936"/>
      <c r="QAK67" s="2936"/>
      <c r="QAL67" s="2936"/>
      <c r="QAM67" s="2936"/>
      <c r="QAN67" s="2936"/>
      <c r="QAO67" s="2936"/>
      <c r="QAP67" s="2936"/>
      <c r="QAQ67" s="2936"/>
      <c r="QAR67" s="2936"/>
      <c r="QAS67" s="2936"/>
      <c r="QAT67" s="2936"/>
      <c r="QAU67" s="2936"/>
      <c r="QAV67" s="2936"/>
      <c r="QAW67" s="2936"/>
      <c r="QAX67" s="2936"/>
      <c r="QAY67" s="2936"/>
      <c r="QAZ67" s="2936"/>
      <c r="QBA67" s="2936"/>
      <c r="QBB67" s="2936"/>
      <c r="QBC67" s="2936"/>
      <c r="QBD67" s="2936"/>
      <c r="QBE67" s="2936"/>
      <c r="QBF67" s="2936"/>
      <c r="QBG67" s="2936"/>
      <c r="QBH67" s="2936"/>
      <c r="QBI67" s="2936"/>
      <c r="QBJ67" s="2936"/>
      <c r="QBK67" s="2936"/>
      <c r="QBL67" s="2936"/>
      <c r="QBM67" s="2936"/>
      <c r="QBN67" s="2936"/>
      <c r="QBO67" s="2936"/>
      <c r="QBP67" s="2936"/>
      <c r="QBQ67" s="2936"/>
      <c r="QBR67" s="2936"/>
      <c r="QBS67" s="2936"/>
      <c r="QBT67" s="2936"/>
      <c r="QBU67" s="2936"/>
      <c r="QBV67" s="2936"/>
      <c r="QBW67" s="2936"/>
      <c r="QBX67" s="2936"/>
      <c r="QBY67" s="2936"/>
      <c r="QBZ67" s="2936"/>
      <c r="QCA67" s="2936"/>
      <c r="QCB67" s="2936"/>
      <c r="QCC67" s="2936"/>
      <c r="QCD67" s="2936"/>
      <c r="QCE67" s="2936"/>
      <c r="QCF67" s="2936"/>
      <c r="QCG67" s="2936"/>
      <c r="QCH67" s="2936"/>
      <c r="QCI67" s="2936"/>
      <c r="QCJ67" s="2936"/>
      <c r="QCK67" s="2936"/>
      <c r="QCL67" s="2936"/>
      <c r="QCM67" s="2936"/>
      <c r="QCN67" s="2936"/>
      <c r="QCO67" s="2936"/>
      <c r="QCP67" s="2936"/>
      <c r="QCQ67" s="2936"/>
      <c r="QCR67" s="2936"/>
      <c r="QCS67" s="2936"/>
      <c r="QCT67" s="2936"/>
      <c r="QCU67" s="2936"/>
      <c r="QCV67" s="2936"/>
      <c r="QCW67" s="2936"/>
      <c r="QCX67" s="2936"/>
      <c r="QCY67" s="2936"/>
      <c r="QCZ67" s="2936"/>
      <c r="QDA67" s="2936"/>
      <c r="QDB67" s="2936"/>
      <c r="QDC67" s="2936"/>
      <c r="QDD67" s="2936"/>
      <c r="QDE67" s="2936"/>
      <c r="QDF67" s="2936"/>
      <c r="QDG67" s="2936"/>
      <c r="QDH67" s="2936"/>
      <c r="QDI67" s="2936"/>
      <c r="QDJ67" s="2936"/>
      <c r="QDK67" s="2936"/>
      <c r="QDL67" s="2936"/>
      <c r="QDM67" s="2936"/>
      <c r="QDN67" s="2936"/>
      <c r="QDO67" s="2936"/>
      <c r="QDP67" s="2936"/>
      <c r="QDQ67" s="2936"/>
      <c r="QDR67" s="2936"/>
      <c r="QDS67" s="2936"/>
      <c r="QDT67" s="2936"/>
      <c r="QDU67" s="2936"/>
      <c r="QDV67" s="2936"/>
      <c r="QDW67" s="2936"/>
      <c r="QDX67" s="2936"/>
      <c r="QDY67" s="2936"/>
      <c r="QDZ67" s="2936"/>
      <c r="QEA67" s="2936"/>
      <c r="QEB67" s="2936"/>
      <c r="QEC67" s="2936"/>
      <c r="QED67" s="2936"/>
      <c r="QEE67" s="2936"/>
      <c r="QEF67" s="2936"/>
      <c r="QEG67" s="2936"/>
      <c r="QEH67" s="2936"/>
      <c r="QEI67" s="2936"/>
      <c r="QEJ67" s="2936"/>
      <c r="QEK67" s="2936"/>
      <c r="QEL67" s="2936"/>
      <c r="QEM67" s="2936"/>
      <c r="QEN67" s="2936"/>
      <c r="QEO67" s="2936"/>
      <c r="QEP67" s="2936"/>
      <c r="QEQ67" s="2936"/>
      <c r="QER67" s="2936"/>
      <c r="QES67" s="2936"/>
      <c r="QET67" s="2936"/>
      <c r="QEU67" s="2936"/>
      <c r="QEV67" s="2936"/>
      <c r="QEW67" s="2936"/>
      <c r="QEX67" s="2936"/>
      <c r="QEY67" s="2936"/>
      <c r="QEZ67" s="2936"/>
      <c r="QFA67" s="2936"/>
      <c r="QFB67" s="2936"/>
      <c r="QFC67" s="2936"/>
      <c r="QFD67" s="2936"/>
      <c r="QFE67" s="2936"/>
      <c r="QFF67" s="2936"/>
      <c r="QFG67" s="2936"/>
      <c r="QFH67" s="2936"/>
      <c r="QFI67" s="2936"/>
      <c r="QFJ67" s="2936"/>
      <c r="QFK67" s="2936"/>
      <c r="QFL67" s="2936"/>
      <c r="QFM67" s="2936"/>
      <c r="QFN67" s="2936"/>
      <c r="QFO67" s="2936"/>
      <c r="QFP67" s="2936"/>
      <c r="QFQ67" s="2936"/>
      <c r="QFR67" s="2936"/>
      <c r="QFS67" s="2936"/>
      <c r="QFT67" s="2936"/>
      <c r="QFU67" s="2936"/>
      <c r="QFV67" s="2936"/>
      <c r="QFW67" s="2936"/>
      <c r="QFX67" s="2936"/>
      <c r="QFY67" s="2936"/>
      <c r="QFZ67" s="2936"/>
      <c r="QGA67" s="2936"/>
      <c r="QGB67" s="2936"/>
      <c r="QGC67" s="2936"/>
      <c r="QGD67" s="2936"/>
      <c r="QGE67" s="2936"/>
      <c r="QGF67" s="2936"/>
      <c r="QGG67" s="2936"/>
      <c r="QGH67" s="2936"/>
      <c r="QGI67" s="2936"/>
      <c r="QGJ67" s="2936"/>
      <c r="QGK67" s="2936"/>
      <c r="QGL67" s="2936"/>
      <c r="QGM67" s="2936"/>
      <c r="QGN67" s="2936"/>
      <c r="QGO67" s="2936"/>
      <c r="QGP67" s="2936"/>
      <c r="QGQ67" s="2936"/>
      <c r="QGR67" s="2936"/>
      <c r="QGS67" s="2936"/>
      <c r="QGT67" s="2936"/>
      <c r="QGU67" s="2936"/>
      <c r="QGV67" s="2936"/>
      <c r="QGW67" s="2936"/>
      <c r="QGX67" s="2936"/>
      <c r="QGY67" s="2936"/>
      <c r="QGZ67" s="2936"/>
      <c r="QHA67" s="2936"/>
      <c r="QHB67" s="2936"/>
      <c r="QHC67" s="2936"/>
      <c r="QHD67" s="2936"/>
      <c r="QHE67" s="2936"/>
      <c r="QHF67" s="2936"/>
      <c r="QHG67" s="2936"/>
      <c r="QHH67" s="2936"/>
      <c r="QHI67" s="2936"/>
      <c r="QHJ67" s="2936"/>
      <c r="QHK67" s="2936"/>
      <c r="QHL67" s="2936"/>
      <c r="QHM67" s="2936"/>
      <c r="QHN67" s="2936"/>
      <c r="QHO67" s="2936"/>
      <c r="QHP67" s="2936"/>
      <c r="QHQ67" s="2936"/>
      <c r="QHR67" s="2936"/>
      <c r="QHS67" s="2936"/>
      <c r="QHT67" s="2936"/>
      <c r="QHU67" s="2936"/>
      <c r="QHV67" s="2936"/>
      <c r="QHW67" s="2936"/>
      <c r="QHX67" s="2936"/>
      <c r="QHY67" s="2936"/>
      <c r="QHZ67" s="2936"/>
      <c r="QIA67" s="2936"/>
      <c r="QIB67" s="2936"/>
      <c r="QIC67" s="2936"/>
      <c r="QID67" s="2936"/>
      <c r="QIE67" s="2936"/>
      <c r="QIF67" s="2936"/>
      <c r="QIG67" s="2936"/>
      <c r="QIH67" s="2936"/>
      <c r="QII67" s="2936"/>
      <c r="QIJ67" s="2936"/>
      <c r="QIK67" s="2936"/>
      <c r="QIL67" s="2936"/>
      <c r="QIM67" s="2936"/>
      <c r="QIN67" s="2936"/>
      <c r="QIO67" s="2936"/>
      <c r="QIP67" s="2936"/>
      <c r="QIQ67" s="2936"/>
      <c r="QIR67" s="2936"/>
      <c r="QIS67" s="2936"/>
      <c r="QIT67" s="2936"/>
      <c r="QIU67" s="2936"/>
      <c r="QIV67" s="2936"/>
      <c r="QIW67" s="2936"/>
      <c r="QIX67" s="2936"/>
      <c r="QIY67" s="2936"/>
      <c r="QIZ67" s="2936"/>
      <c r="QJA67" s="2936"/>
      <c r="QJB67" s="2936"/>
      <c r="QJC67" s="2936"/>
      <c r="QJD67" s="2936"/>
      <c r="QJE67" s="2936"/>
      <c r="QJF67" s="2936"/>
      <c r="QJG67" s="2936"/>
      <c r="QJH67" s="2936"/>
      <c r="QJI67" s="2936"/>
      <c r="QJJ67" s="2936"/>
      <c r="QJK67" s="2936"/>
      <c r="QJL67" s="2936"/>
      <c r="QJM67" s="2936"/>
      <c r="QJN67" s="2936"/>
      <c r="QJO67" s="2936"/>
      <c r="QJP67" s="2936"/>
      <c r="QJQ67" s="2936"/>
      <c r="QJR67" s="2936"/>
      <c r="QJS67" s="2936"/>
      <c r="QJT67" s="2936"/>
      <c r="QJU67" s="2936"/>
      <c r="QJV67" s="2936"/>
      <c r="QJW67" s="2936"/>
      <c r="QJX67" s="2936"/>
      <c r="QJY67" s="2936"/>
      <c r="QJZ67" s="2936"/>
      <c r="QKA67" s="2936"/>
      <c r="QKB67" s="2936"/>
      <c r="QKC67" s="2936"/>
      <c r="QKD67" s="2936"/>
      <c r="QKE67" s="2936"/>
      <c r="QKF67" s="2936"/>
      <c r="QKG67" s="2936"/>
      <c r="QKH67" s="2936"/>
      <c r="QKI67" s="2936"/>
      <c r="QKJ67" s="2936"/>
      <c r="QKK67" s="2936"/>
      <c r="QKL67" s="2936"/>
      <c r="QKM67" s="2936"/>
      <c r="QKN67" s="2936"/>
      <c r="QKO67" s="2936"/>
      <c r="QKP67" s="2936"/>
      <c r="QKQ67" s="2936"/>
      <c r="QKR67" s="2936"/>
      <c r="QKS67" s="2936"/>
      <c r="QKT67" s="2936"/>
      <c r="QKU67" s="2936"/>
      <c r="QKV67" s="2936"/>
      <c r="QKW67" s="2936"/>
      <c r="QKX67" s="2936"/>
      <c r="QKY67" s="2936"/>
      <c r="QKZ67" s="2936"/>
      <c r="QLA67" s="2936"/>
      <c r="QLB67" s="2936"/>
      <c r="QLC67" s="2936"/>
      <c r="QLD67" s="2936"/>
      <c r="QLE67" s="2936"/>
      <c r="QLF67" s="2936"/>
      <c r="QLG67" s="2936"/>
      <c r="QLH67" s="2936"/>
      <c r="QLI67" s="2936"/>
      <c r="QLJ67" s="2936"/>
      <c r="QLK67" s="2936"/>
      <c r="QLL67" s="2936"/>
      <c r="QLM67" s="2936"/>
      <c r="QLN67" s="2936"/>
      <c r="QLO67" s="2936"/>
      <c r="QLP67" s="2936"/>
      <c r="QLQ67" s="2936"/>
      <c r="QLR67" s="2936"/>
      <c r="QLS67" s="2936"/>
      <c r="QLT67" s="2936"/>
      <c r="QLU67" s="2936"/>
      <c r="QLV67" s="2936"/>
      <c r="QLW67" s="2936"/>
      <c r="QLX67" s="2936"/>
      <c r="QLY67" s="2936"/>
      <c r="QLZ67" s="2936"/>
      <c r="QMA67" s="2936"/>
      <c r="QMB67" s="2936"/>
      <c r="QMC67" s="2936"/>
      <c r="QMD67" s="2936"/>
      <c r="QME67" s="2936"/>
      <c r="QMF67" s="2936"/>
      <c r="QMG67" s="2936"/>
      <c r="QMH67" s="2936"/>
      <c r="QMI67" s="2936"/>
      <c r="QMJ67" s="2936"/>
      <c r="QMK67" s="2936"/>
      <c r="QML67" s="2936"/>
      <c r="QMM67" s="2936"/>
      <c r="QMN67" s="2936"/>
      <c r="QMO67" s="2936"/>
      <c r="QMP67" s="2936"/>
      <c r="QMQ67" s="2936"/>
      <c r="QMR67" s="2936"/>
      <c r="QMS67" s="2936"/>
      <c r="QMT67" s="2936"/>
      <c r="QMU67" s="2936"/>
      <c r="QMV67" s="2936"/>
      <c r="QMW67" s="2936"/>
      <c r="QMX67" s="2936"/>
      <c r="QMY67" s="2936"/>
      <c r="QMZ67" s="2936"/>
      <c r="QNA67" s="2936"/>
      <c r="QNB67" s="2936"/>
      <c r="QNC67" s="2936"/>
      <c r="QND67" s="2936"/>
      <c r="QNE67" s="2936"/>
      <c r="QNF67" s="2936"/>
      <c r="QNG67" s="2936"/>
      <c r="QNH67" s="2936"/>
      <c r="QNI67" s="2936"/>
      <c r="QNJ67" s="2936"/>
      <c r="QNK67" s="2936"/>
      <c r="QNL67" s="2936"/>
      <c r="QNM67" s="2936"/>
      <c r="QNN67" s="2936"/>
      <c r="QNO67" s="2936"/>
      <c r="QNP67" s="2936"/>
      <c r="QNQ67" s="2936"/>
      <c r="QNR67" s="2936"/>
      <c r="QNS67" s="2936"/>
      <c r="QNT67" s="2936"/>
      <c r="QNU67" s="2936"/>
      <c r="QNV67" s="2936"/>
      <c r="QNW67" s="2936"/>
      <c r="QNX67" s="2936"/>
      <c r="QNY67" s="2936"/>
      <c r="QNZ67" s="2936"/>
      <c r="QOA67" s="2936"/>
      <c r="QOB67" s="2936"/>
      <c r="QOC67" s="2936"/>
      <c r="QOD67" s="2936"/>
      <c r="QOE67" s="2936"/>
      <c r="QOF67" s="2936"/>
      <c r="QOG67" s="2936"/>
      <c r="QOH67" s="2936"/>
      <c r="QOI67" s="2936"/>
      <c r="QOJ67" s="2936"/>
      <c r="QOK67" s="2936"/>
      <c r="QOL67" s="2936"/>
      <c r="QOM67" s="2936"/>
      <c r="QON67" s="2936"/>
      <c r="QOO67" s="2936"/>
      <c r="QOP67" s="2936"/>
      <c r="QOQ67" s="2936"/>
      <c r="QOR67" s="2936"/>
      <c r="QOS67" s="2936"/>
      <c r="QOT67" s="2936"/>
      <c r="QOU67" s="2936"/>
      <c r="QOV67" s="2936"/>
      <c r="QOW67" s="2936"/>
      <c r="QOX67" s="2936"/>
      <c r="QOY67" s="2936"/>
      <c r="QOZ67" s="2936"/>
      <c r="QPA67" s="2936"/>
      <c r="QPB67" s="2936"/>
      <c r="QPC67" s="2936"/>
      <c r="QPD67" s="2936"/>
      <c r="QPE67" s="2936"/>
      <c r="QPF67" s="2936"/>
      <c r="QPG67" s="2936"/>
      <c r="QPH67" s="2936"/>
      <c r="QPI67" s="2936"/>
      <c r="QPJ67" s="2936"/>
      <c r="QPK67" s="2936"/>
      <c r="QPL67" s="2936"/>
      <c r="QPM67" s="2936"/>
      <c r="QPN67" s="2936"/>
      <c r="QPO67" s="2936"/>
      <c r="QPP67" s="2936"/>
      <c r="QPQ67" s="2936"/>
      <c r="QPR67" s="2936"/>
      <c r="QPS67" s="2936"/>
      <c r="QPT67" s="2936"/>
      <c r="QPU67" s="2936"/>
      <c r="QPV67" s="2936"/>
      <c r="QPW67" s="2936"/>
      <c r="QPX67" s="2936"/>
      <c r="QPY67" s="2936"/>
      <c r="QPZ67" s="2936"/>
      <c r="QQA67" s="2936"/>
      <c r="QQB67" s="2936"/>
      <c r="QQC67" s="2936"/>
      <c r="QQD67" s="2936"/>
      <c r="QQE67" s="2936"/>
      <c r="QQF67" s="2936"/>
      <c r="QQG67" s="2936"/>
      <c r="QQH67" s="2936"/>
      <c r="QQI67" s="2936"/>
      <c r="QQJ67" s="2936"/>
      <c r="QQK67" s="2936"/>
      <c r="QQL67" s="2936"/>
      <c r="QQM67" s="2936"/>
      <c r="QQN67" s="2936"/>
      <c r="QQO67" s="2936"/>
      <c r="QQP67" s="2936"/>
      <c r="QQQ67" s="2936"/>
      <c r="QQR67" s="2936"/>
      <c r="QQS67" s="2936"/>
      <c r="QQT67" s="2936"/>
      <c r="QQU67" s="2936"/>
      <c r="QQV67" s="2936"/>
      <c r="QQW67" s="2936"/>
      <c r="QQX67" s="2936"/>
      <c r="QQY67" s="2936"/>
      <c r="QQZ67" s="2936"/>
      <c r="QRA67" s="2936"/>
      <c r="QRB67" s="2936"/>
      <c r="QRC67" s="2936"/>
      <c r="QRD67" s="2936"/>
      <c r="QRE67" s="2936"/>
      <c r="QRF67" s="2936"/>
      <c r="QRG67" s="2936"/>
      <c r="QRH67" s="2936"/>
      <c r="QRI67" s="2936"/>
      <c r="QRJ67" s="2936"/>
      <c r="QRK67" s="2936"/>
      <c r="QRL67" s="2936"/>
      <c r="QRM67" s="2936"/>
      <c r="QRN67" s="2936"/>
      <c r="QRO67" s="2936"/>
      <c r="QRP67" s="2936"/>
      <c r="QRQ67" s="2936"/>
      <c r="QRR67" s="2936"/>
      <c r="QRS67" s="2936"/>
      <c r="QRT67" s="2936"/>
      <c r="QRU67" s="2936"/>
      <c r="QRV67" s="2936"/>
      <c r="QRW67" s="2936"/>
      <c r="QRX67" s="2936"/>
      <c r="QRY67" s="2936"/>
      <c r="QRZ67" s="2936"/>
      <c r="QSA67" s="2936"/>
      <c r="QSB67" s="2936"/>
      <c r="QSC67" s="2936"/>
      <c r="QSD67" s="2936"/>
      <c r="QSE67" s="2936"/>
      <c r="QSF67" s="2936"/>
      <c r="QSG67" s="2936"/>
      <c r="QSH67" s="2936"/>
      <c r="QSI67" s="2936"/>
      <c r="QSJ67" s="2936"/>
      <c r="QSK67" s="2936"/>
      <c r="QSL67" s="2936"/>
      <c r="QSM67" s="2936"/>
      <c r="QSN67" s="2936"/>
      <c r="QSO67" s="2936"/>
      <c r="QSP67" s="2936"/>
      <c r="QSQ67" s="2936"/>
      <c r="QSR67" s="2936"/>
      <c r="QSS67" s="2936"/>
      <c r="QST67" s="2936"/>
      <c r="QSU67" s="2936"/>
      <c r="QSV67" s="2936"/>
      <c r="QSW67" s="2936"/>
      <c r="QSX67" s="2936"/>
      <c r="QSY67" s="2936"/>
      <c r="QSZ67" s="2936"/>
      <c r="QTA67" s="2936"/>
      <c r="QTB67" s="2936"/>
      <c r="QTC67" s="2936"/>
      <c r="QTD67" s="2936"/>
      <c r="QTE67" s="2936"/>
      <c r="QTF67" s="2936"/>
      <c r="QTG67" s="2936"/>
      <c r="QTH67" s="2936"/>
      <c r="QTI67" s="2936"/>
      <c r="QTJ67" s="2936"/>
      <c r="QTK67" s="2936"/>
      <c r="QTL67" s="2936"/>
      <c r="QTM67" s="2936"/>
      <c r="QTN67" s="2936"/>
      <c r="QTO67" s="2936"/>
      <c r="QTP67" s="2936"/>
      <c r="QTQ67" s="2936"/>
      <c r="QTR67" s="2936"/>
      <c r="QTS67" s="2936"/>
      <c r="QTT67" s="2936"/>
      <c r="QTU67" s="2936"/>
      <c r="QTV67" s="2936"/>
      <c r="QTW67" s="2936"/>
      <c r="QTX67" s="2936"/>
      <c r="QTY67" s="2936"/>
      <c r="QTZ67" s="2936"/>
      <c r="QUA67" s="2936"/>
      <c r="QUB67" s="2936"/>
      <c r="QUC67" s="2936"/>
      <c r="QUD67" s="2936"/>
      <c r="QUE67" s="2936"/>
      <c r="QUF67" s="2936"/>
      <c r="QUG67" s="2936"/>
      <c r="QUH67" s="2936"/>
      <c r="QUI67" s="2936"/>
      <c r="QUJ67" s="2936"/>
      <c r="QUK67" s="2936"/>
      <c r="QUL67" s="2936"/>
      <c r="QUM67" s="2936"/>
      <c r="QUN67" s="2936"/>
      <c r="QUO67" s="2936"/>
      <c r="QUP67" s="2936"/>
      <c r="QUQ67" s="2936"/>
      <c r="QUR67" s="2936"/>
      <c r="QUS67" s="2936"/>
      <c r="QUT67" s="2936"/>
      <c r="QUU67" s="2936"/>
      <c r="QUV67" s="2936"/>
      <c r="QUW67" s="2936"/>
      <c r="QUX67" s="2936"/>
      <c r="QUY67" s="2936"/>
      <c r="QUZ67" s="2936"/>
      <c r="QVA67" s="2936"/>
      <c r="QVB67" s="2936"/>
      <c r="QVC67" s="2936"/>
      <c r="QVD67" s="2936"/>
      <c r="QVE67" s="2936"/>
      <c r="QVF67" s="2936"/>
      <c r="QVG67" s="2936"/>
      <c r="QVH67" s="2936"/>
      <c r="QVI67" s="2936"/>
      <c r="QVJ67" s="2936"/>
      <c r="QVK67" s="2936"/>
      <c r="QVL67" s="2936"/>
      <c r="QVM67" s="2936"/>
      <c r="QVN67" s="2936"/>
      <c r="QVO67" s="2936"/>
      <c r="QVP67" s="2936"/>
      <c r="QVQ67" s="2936"/>
      <c r="QVR67" s="2936"/>
      <c r="QVS67" s="2936"/>
      <c r="QVT67" s="2936"/>
      <c r="QVU67" s="2936"/>
      <c r="QVV67" s="2936"/>
      <c r="QVW67" s="2936"/>
      <c r="QVX67" s="2936"/>
      <c r="QVY67" s="2936"/>
      <c r="QVZ67" s="2936"/>
      <c r="QWA67" s="2936"/>
      <c r="QWB67" s="2936"/>
      <c r="QWC67" s="2936"/>
      <c r="QWD67" s="2936"/>
      <c r="QWE67" s="2936"/>
      <c r="QWF67" s="2936"/>
      <c r="QWG67" s="2936"/>
      <c r="QWH67" s="2936"/>
      <c r="QWI67" s="2936"/>
      <c r="QWJ67" s="2936"/>
      <c r="QWK67" s="2936"/>
      <c r="QWL67" s="2936"/>
      <c r="QWM67" s="2936"/>
      <c r="QWN67" s="2936"/>
      <c r="QWO67" s="2936"/>
      <c r="QWP67" s="2936"/>
      <c r="QWQ67" s="2936"/>
      <c r="QWR67" s="2936"/>
      <c r="QWS67" s="2936"/>
      <c r="QWT67" s="2936"/>
      <c r="QWU67" s="2936"/>
      <c r="QWV67" s="2936"/>
      <c r="QWW67" s="2936"/>
      <c r="QWX67" s="2936"/>
      <c r="QWY67" s="2936"/>
      <c r="QWZ67" s="2936"/>
      <c r="QXA67" s="2936"/>
      <c r="QXB67" s="2936"/>
      <c r="QXC67" s="2936"/>
      <c r="QXD67" s="2936"/>
      <c r="QXE67" s="2936"/>
      <c r="QXF67" s="2936"/>
      <c r="QXG67" s="2936"/>
      <c r="QXH67" s="2936"/>
      <c r="QXI67" s="2936"/>
      <c r="QXJ67" s="2936"/>
      <c r="QXK67" s="2936"/>
      <c r="QXL67" s="2936"/>
      <c r="QXM67" s="2936"/>
      <c r="QXN67" s="2936"/>
      <c r="QXO67" s="2936"/>
      <c r="QXP67" s="2936"/>
      <c r="QXQ67" s="2936"/>
      <c r="QXR67" s="2936"/>
      <c r="QXS67" s="2936"/>
      <c r="QXT67" s="2936"/>
      <c r="QXU67" s="2936"/>
      <c r="QXV67" s="2936"/>
      <c r="QXW67" s="2936"/>
      <c r="QXX67" s="2936"/>
      <c r="QXY67" s="2936"/>
      <c r="QXZ67" s="2936"/>
      <c r="QYA67" s="2936"/>
      <c r="QYB67" s="2936"/>
      <c r="QYC67" s="2936"/>
      <c r="QYD67" s="2936"/>
      <c r="QYE67" s="2936"/>
      <c r="QYF67" s="2936"/>
      <c r="QYG67" s="2936"/>
      <c r="QYH67" s="2936"/>
      <c r="QYI67" s="2936"/>
      <c r="QYJ67" s="2936"/>
      <c r="QYK67" s="2936"/>
      <c r="QYL67" s="2936"/>
      <c r="QYM67" s="2936"/>
      <c r="QYN67" s="2936"/>
      <c r="QYO67" s="2936"/>
      <c r="QYP67" s="2936"/>
      <c r="QYQ67" s="2936"/>
      <c r="QYR67" s="2936"/>
      <c r="QYS67" s="2936"/>
      <c r="QYT67" s="2936"/>
      <c r="QYU67" s="2936"/>
      <c r="QYV67" s="2936"/>
      <c r="QYW67" s="2936"/>
      <c r="QYX67" s="2936"/>
      <c r="QYY67" s="2936"/>
      <c r="QYZ67" s="2936"/>
      <c r="QZA67" s="2936"/>
      <c r="QZB67" s="2936"/>
      <c r="QZC67" s="2936"/>
      <c r="QZD67" s="2936"/>
      <c r="QZE67" s="2936"/>
      <c r="QZF67" s="2936"/>
      <c r="QZG67" s="2936"/>
      <c r="QZH67" s="2936"/>
      <c r="QZI67" s="2936"/>
      <c r="QZJ67" s="2936"/>
      <c r="QZK67" s="2936"/>
      <c r="QZL67" s="2936"/>
      <c r="QZM67" s="2936"/>
      <c r="QZN67" s="2936"/>
      <c r="QZO67" s="2936"/>
      <c r="QZP67" s="2936"/>
      <c r="QZQ67" s="2936"/>
      <c r="QZR67" s="2936"/>
      <c r="QZS67" s="2936"/>
      <c r="QZT67" s="2936"/>
      <c r="QZU67" s="2936"/>
      <c r="QZV67" s="2936"/>
      <c r="QZW67" s="2936"/>
      <c r="QZX67" s="2936"/>
      <c r="QZY67" s="2936"/>
      <c r="QZZ67" s="2936"/>
      <c r="RAA67" s="2936"/>
      <c r="RAB67" s="2936"/>
      <c r="RAC67" s="2936"/>
      <c r="RAD67" s="2936"/>
      <c r="RAE67" s="2936"/>
      <c r="RAF67" s="2936"/>
      <c r="RAG67" s="2936"/>
      <c r="RAH67" s="2936"/>
      <c r="RAI67" s="2936"/>
      <c r="RAJ67" s="2936"/>
      <c r="RAK67" s="2936"/>
      <c r="RAL67" s="2936"/>
      <c r="RAM67" s="2936"/>
      <c r="RAN67" s="2936"/>
      <c r="RAO67" s="2936"/>
      <c r="RAP67" s="2936"/>
      <c r="RAQ67" s="2936"/>
      <c r="RAR67" s="2936"/>
      <c r="RAS67" s="2936"/>
      <c r="RAT67" s="2936"/>
      <c r="RAU67" s="2936"/>
      <c r="RAV67" s="2936"/>
      <c r="RAW67" s="2936"/>
      <c r="RAX67" s="2936"/>
      <c r="RAY67" s="2936"/>
      <c r="RAZ67" s="2936"/>
      <c r="RBA67" s="2936"/>
      <c r="RBB67" s="2936"/>
      <c r="RBC67" s="2936"/>
      <c r="RBD67" s="2936"/>
      <c r="RBE67" s="2936"/>
      <c r="RBF67" s="2936"/>
      <c r="RBG67" s="2936"/>
      <c r="RBH67" s="2936"/>
      <c r="RBI67" s="2936"/>
      <c r="RBJ67" s="2936"/>
      <c r="RBK67" s="2936"/>
      <c r="RBL67" s="2936"/>
      <c r="RBM67" s="2936"/>
      <c r="RBN67" s="2936"/>
      <c r="RBO67" s="2936"/>
      <c r="RBP67" s="2936"/>
      <c r="RBQ67" s="2936"/>
      <c r="RBR67" s="2936"/>
      <c r="RBS67" s="2936"/>
      <c r="RBT67" s="2936"/>
      <c r="RBU67" s="2936"/>
      <c r="RBV67" s="2936"/>
      <c r="RBW67" s="2936"/>
      <c r="RBX67" s="2936"/>
      <c r="RBY67" s="2936"/>
      <c r="RBZ67" s="2936"/>
      <c r="RCA67" s="2936"/>
      <c r="RCB67" s="2936"/>
      <c r="RCC67" s="2936"/>
      <c r="RCD67" s="2936"/>
      <c r="RCE67" s="2936"/>
      <c r="RCF67" s="2936"/>
      <c r="RCG67" s="2936"/>
      <c r="RCH67" s="2936"/>
      <c r="RCI67" s="2936"/>
      <c r="RCJ67" s="2936"/>
      <c r="RCK67" s="2936"/>
      <c r="RCL67" s="2936"/>
      <c r="RCM67" s="2936"/>
      <c r="RCN67" s="2936"/>
      <c r="RCO67" s="2936"/>
      <c r="RCP67" s="2936"/>
      <c r="RCQ67" s="2936"/>
      <c r="RCR67" s="2936"/>
      <c r="RCS67" s="2936"/>
      <c r="RCT67" s="2936"/>
      <c r="RCU67" s="2936"/>
      <c r="RCV67" s="2936"/>
      <c r="RCW67" s="2936"/>
      <c r="RCX67" s="2936"/>
      <c r="RCY67" s="2936"/>
      <c r="RCZ67" s="2936"/>
      <c r="RDA67" s="2936"/>
      <c r="RDB67" s="2936"/>
      <c r="RDC67" s="2936"/>
      <c r="RDD67" s="2936"/>
      <c r="RDE67" s="2936"/>
      <c r="RDF67" s="2936"/>
      <c r="RDG67" s="2936"/>
      <c r="RDH67" s="2936"/>
      <c r="RDI67" s="2936"/>
      <c r="RDJ67" s="2936"/>
      <c r="RDK67" s="2936"/>
      <c r="RDL67" s="2936"/>
      <c r="RDM67" s="2936"/>
      <c r="RDN67" s="2936"/>
      <c r="RDO67" s="2936"/>
      <c r="RDP67" s="2936"/>
      <c r="RDQ67" s="2936"/>
      <c r="RDR67" s="2936"/>
      <c r="RDS67" s="2936"/>
      <c r="RDT67" s="2936"/>
      <c r="RDU67" s="2936"/>
      <c r="RDV67" s="2936"/>
      <c r="RDW67" s="2936"/>
      <c r="RDX67" s="2936"/>
      <c r="RDY67" s="2936"/>
      <c r="RDZ67" s="2936"/>
      <c r="REA67" s="2936"/>
      <c r="REB67" s="2936"/>
      <c r="REC67" s="2936"/>
      <c r="RED67" s="2936"/>
      <c r="REE67" s="2936"/>
      <c r="REF67" s="2936"/>
      <c r="REG67" s="2936"/>
      <c r="REH67" s="2936"/>
      <c r="REI67" s="2936"/>
      <c r="REJ67" s="2936"/>
      <c r="REK67" s="2936"/>
      <c r="REL67" s="2936"/>
      <c r="REM67" s="2936"/>
      <c r="REN67" s="2936"/>
      <c r="REO67" s="2936"/>
      <c r="REP67" s="2936"/>
      <c r="REQ67" s="2936"/>
      <c r="RER67" s="2936"/>
      <c r="RES67" s="2936"/>
      <c r="RET67" s="2936"/>
      <c r="REU67" s="2936"/>
      <c r="REV67" s="2936"/>
      <c r="REW67" s="2936"/>
      <c r="REX67" s="2936"/>
      <c r="REY67" s="2936"/>
      <c r="REZ67" s="2936"/>
      <c r="RFA67" s="2936"/>
      <c r="RFB67" s="2936"/>
      <c r="RFC67" s="2936"/>
      <c r="RFD67" s="2936"/>
      <c r="RFE67" s="2936"/>
      <c r="RFF67" s="2936"/>
      <c r="RFG67" s="2936"/>
      <c r="RFH67" s="2936"/>
      <c r="RFI67" s="2936"/>
      <c r="RFJ67" s="2936"/>
      <c r="RFK67" s="2936"/>
      <c r="RFL67" s="2936"/>
      <c r="RFM67" s="2936"/>
      <c r="RFN67" s="2936"/>
      <c r="RFO67" s="2936"/>
      <c r="RFP67" s="2936"/>
      <c r="RFQ67" s="2936"/>
      <c r="RFR67" s="2936"/>
      <c r="RFS67" s="2936"/>
      <c r="RFT67" s="2936"/>
      <c r="RFU67" s="2936"/>
      <c r="RFV67" s="2936"/>
      <c r="RFW67" s="2936"/>
      <c r="RFX67" s="2936"/>
      <c r="RFY67" s="2936"/>
      <c r="RFZ67" s="2936"/>
      <c r="RGA67" s="2936"/>
      <c r="RGB67" s="2936"/>
      <c r="RGC67" s="2936"/>
      <c r="RGD67" s="2936"/>
      <c r="RGE67" s="2936"/>
      <c r="RGF67" s="2936"/>
      <c r="RGG67" s="2936"/>
      <c r="RGH67" s="2936"/>
      <c r="RGI67" s="2936"/>
      <c r="RGJ67" s="2936"/>
      <c r="RGK67" s="2936"/>
      <c r="RGL67" s="2936"/>
      <c r="RGM67" s="2936"/>
      <c r="RGN67" s="2936"/>
      <c r="RGO67" s="2936"/>
      <c r="RGP67" s="2936"/>
      <c r="RGQ67" s="2936"/>
      <c r="RGR67" s="2936"/>
      <c r="RGS67" s="2936"/>
      <c r="RGT67" s="2936"/>
      <c r="RGU67" s="2936"/>
      <c r="RGV67" s="2936"/>
      <c r="RGW67" s="2936"/>
      <c r="RGX67" s="2936"/>
      <c r="RGY67" s="2936"/>
      <c r="RGZ67" s="2936"/>
      <c r="RHA67" s="2936"/>
      <c r="RHB67" s="2936"/>
      <c r="RHC67" s="2936"/>
      <c r="RHD67" s="2936"/>
      <c r="RHE67" s="2936"/>
      <c r="RHF67" s="2936"/>
      <c r="RHG67" s="2936"/>
      <c r="RHH67" s="2936"/>
      <c r="RHI67" s="2936"/>
      <c r="RHJ67" s="2936"/>
      <c r="RHK67" s="2936"/>
      <c r="RHL67" s="2936"/>
      <c r="RHM67" s="2936"/>
      <c r="RHN67" s="2936"/>
      <c r="RHO67" s="2936"/>
      <c r="RHP67" s="2936"/>
      <c r="RHQ67" s="2936"/>
      <c r="RHR67" s="2936"/>
      <c r="RHS67" s="2936"/>
      <c r="RHT67" s="2936"/>
      <c r="RHU67" s="2936"/>
      <c r="RHV67" s="2936"/>
      <c r="RHW67" s="2936"/>
      <c r="RHX67" s="2936"/>
      <c r="RHY67" s="2936"/>
      <c r="RHZ67" s="2936"/>
      <c r="RIA67" s="2936"/>
      <c r="RIB67" s="2936"/>
      <c r="RIC67" s="2936"/>
      <c r="RID67" s="2936"/>
      <c r="RIE67" s="2936"/>
      <c r="RIF67" s="2936"/>
      <c r="RIG67" s="2936"/>
      <c r="RIH67" s="2936"/>
      <c r="RII67" s="2936"/>
      <c r="RIJ67" s="2936"/>
      <c r="RIK67" s="2936"/>
      <c r="RIL67" s="2936"/>
      <c r="RIM67" s="2936"/>
      <c r="RIN67" s="2936"/>
      <c r="RIO67" s="2936"/>
      <c r="RIP67" s="2936"/>
      <c r="RIQ67" s="2936"/>
      <c r="RIR67" s="2936"/>
      <c r="RIS67" s="2936"/>
      <c r="RIT67" s="2936"/>
      <c r="RIU67" s="2936"/>
      <c r="RIV67" s="2936"/>
      <c r="RIW67" s="2936"/>
      <c r="RIX67" s="2936"/>
      <c r="RIY67" s="2936"/>
      <c r="RIZ67" s="2936"/>
      <c r="RJA67" s="2936"/>
      <c r="RJB67" s="2936"/>
      <c r="RJC67" s="2936"/>
      <c r="RJD67" s="2936"/>
      <c r="RJE67" s="2936"/>
      <c r="RJF67" s="2936"/>
      <c r="RJG67" s="2936"/>
      <c r="RJH67" s="2936"/>
      <c r="RJI67" s="2936"/>
      <c r="RJJ67" s="2936"/>
      <c r="RJK67" s="2936"/>
      <c r="RJL67" s="2936"/>
      <c r="RJM67" s="2936"/>
      <c r="RJN67" s="2936"/>
      <c r="RJO67" s="2936"/>
      <c r="RJP67" s="2936"/>
      <c r="RJQ67" s="2936"/>
      <c r="RJR67" s="2936"/>
      <c r="RJS67" s="2936"/>
      <c r="RJT67" s="2936"/>
      <c r="RJU67" s="2936"/>
      <c r="RJV67" s="2936"/>
      <c r="RJW67" s="2936"/>
      <c r="RJX67" s="2936"/>
      <c r="RJY67" s="2936"/>
      <c r="RJZ67" s="2936"/>
      <c r="RKA67" s="2936"/>
      <c r="RKB67" s="2936"/>
      <c r="RKC67" s="2936"/>
      <c r="RKD67" s="2936"/>
      <c r="RKE67" s="2936"/>
      <c r="RKF67" s="2936"/>
      <c r="RKG67" s="2936"/>
      <c r="RKH67" s="2936"/>
      <c r="RKI67" s="2936"/>
      <c r="RKJ67" s="2936"/>
      <c r="RKK67" s="2936"/>
      <c r="RKL67" s="2936"/>
      <c r="RKM67" s="2936"/>
      <c r="RKN67" s="2936"/>
      <c r="RKO67" s="2936"/>
      <c r="RKP67" s="2936"/>
      <c r="RKQ67" s="2936"/>
      <c r="RKR67" s="2936"/>
      <c r="RKS67" s="2936"/>
      <c r="RKT67" s="2936"/>
      <c r="RKU67" s="2936"/>
      <c r="RKV67" s="2936"/>
      <c r="RKW67" s="2936"/>
      <c r="RKX67" s="2936"/>
      <c r="RKY67" s="2936"/>
      <c r="RKZ67" s="2936"/>
      <c r="RLA67" s="2936"/>
      <c r="RLB67" s="2936"/>
      <c r="RLC67" s="2936"/>
      <c r="RLD67" s="2936"/>
      <c r="RLE67" s="2936"/>
      <c r="RLF67" s="2936"/>
      <c r="RLG67" s="2936"/>
      <c r="RLH67" s="2936"/>
      <c r="RLI67" s="2936"/>
      <c r="RLJ67" s="2936"/>
      <c r="RLK67" s="2936"/>
      <c r="RLL67" s="2936"/>
      <c r="RLM67" s="2936"/>
      <c r="RLN67" s="2936"/>
      <c r="RLO67" s="2936"/>
      <c r="RLP67" s="2936"/>
      <c r="RLQ67" s="2936"/>
      <c r="RLR67" s="2936"/>
      <c r="RLS67" s="2936"/>
      <c r="RLT67" s="2936"/>
      <c r="RLU67" s="2936"/>
      <c r="RLV67" s="2936"/>
      <c r="RLW67" s="2936"/>
      <c r="RLX67" s="2936"/>
      <c r="RLY67" s="2936"/>
      <c r="RLZ67" s="2936"/>
      <c r="RMA67" s="2936"/>
      <c r="RMB67" s="2936"/>
      <c r="RMC67" s="2936"/>
      <c r="RMD67" s="2936"/>
      <c r="RME67" s="2936"/>
      <c r="RMF67" s="2936"/>
      <c r="RMG67" s="2936"/>
      <c r="RMH67" s="2936"/>
      <c r="RMI67" s="2936"/>
      <c r="RMJ67" s="2936"/>
      <c r="RMK67" s="2936"/>
      <c r="RML67" s="2936"/>
      <c r="RMM67" s="2936"/>
      <c r="RMN67" s="2936"/>
      <c r="RMO67" s="2936"/>
      <c r="RMP67" s="2936"/>
      <c r="RMQ67" s="2936"/>
      <c r="RMR67" s="2936"/>
      <c r="RMS67" s="2936"/>
      <c r="RMT67" s="2936"/>
      <c r="RMU67" s="2936"/>
      <c r="RMV67" s="2936"/>
      <c r="RMW67" s="2936"/>
      <c r="RMX67" s="2936"/>
      <c r="RMY67" s="2936"/>
      <c r="RMZ67" s="2936"/>
      <c r="RNA67" s="2936"/>
      <c r="RNB67" s="2936"/>
      <c r="RNC67" s="2936"/>
      <c r="RND67" s="2936"/>
      <c r="RNE67" s="2936"/>
      <c r="RNF67" s="2936"/>
      <c r="RNG67" s="2936"/>
      <c r="RNH67" s="2936"/>
      <c r="RNI67" s="2936"/>
      <c r="RNJ67" s="2936"/>
      <c r="RNK67" s="2936"/>
      <c r="RNL67" s="2936"/>
      <c r="RNM67" s="2936"/>
      <c r="RNN67" s="2936"/>
      <c r="RNO67" s="2936"/>
      <c r="RNP67" s="2936"/>
      <c r="RNQ67" s="2936"/>
      <c r="RNR67" s="2936"/>
      <c r="RNS67" s="2936"/>
      <c r="RNT67" s="2936"/>
      <c r="RNU67" s="2936"/>
      <c r="RNV67" s="2936"/>
      <c r="RNW67" s="2936"/>
      <c r="RNX67" s="2936"/>
      <c r="RNY67" s="2936"/>
      <c r="RNZ67" s="2936"/>
      <c r="ROA67" s="2936"/>
      <c r="ROB67" s="2936"/>
      <c r="ROC67" s="2936"/>
      <c r="ROD67" s="2936"/>
      <c r="ROE67" s="2936"/>
      <c r="ROF67" s="2936"/>
      <c r="ROG67" s="2936"/>
      <c r="ROH67" s="2936"/>
      <c r="ROI67" s="2936"/>
      <c r="ROJ67" s="2936"/>
      <c r="ROK67" s="2936"/>
      <c r="ROL67" s="2936"/>
      <c r="ROM67" s="2936"/>
      <c r="RON67" s="2936"/>
      <c r="ROO67" s="2936"/>
      <c r="ROP67" s="2936"/>
      <c r="ROQ67" s="2936"/>
      <c r="ROR67" s="2936"/>
      <c r="ROS67" s="2936"/>
      <c r="ROT67" s="2936"/>
      <c r="ROU67" s="2936"/>
      <c r="ROV67" s="2936"/>
      <c r="ROW67" s="2936"/>
      <c r="ROX67" s="2936"/>
      <c r="ROY67" s="2936"/>
      <c r="ROZ67" s="2936"/>
      <c r="RPA67" s="2936"/>
      <c r="RPB67" s="2936"/>
      <c r="RPC67" s="2936"/>
      <c r="RPD67" s="2936"/>
      <c r="RPE67" s="2936"/>
      <c r="RPF67" s="2936"/>
      <c r="RPG67" s="2936"/>
      <c r="RPH67" s="2936"/>
      <c r="RPI67" s="2936"/>
      <c r="RPJ67" s="2936"/>
      <c r="RPK67" s="2936"/>
      <c r="RPL67" s="2936"/>
      <c r="RPM67" s="2936"/>
      <c r="RPN67" s="2936"/>
      <c r="RPO67" s="2936"/>
      <c r="RPP67" s="2936"/>
      <c r="RPQ67" s="2936"/>
      <c r="RPR67" s="2936"/>
      <c r="RPS67" s="2936"/>
      <c r="RPT67" s="2936"/>
      <c r="RPU67" s="2936"/>
      <c r="RPV67" s="2936"/>
      <c r="RPW67" s="2936"/>
      <c r="RPX67" s="2936"/>
      <c r="RPY67" s="2936"/>
      <c r="RPZ67" s="2936"/>
      <c r="RQA67" s="2936"/>
      <c r="RQB67" s="2936"/>
      <c r="RQC67" s="2936"/>
      <c r="RQD67" s="2936"/>
      <c r="RQE67" s="2936"/>
      <c r="RQF67" s="2936"/>
      <c r="RQG67" s="2936"/>
      <c r="RQH67" s="2936"/>
      <c r="RQI67" s="2936"/>
      <c r="RQJ67" s="2936"/>
      <c r="RQK67" s="2936"/>
      <c r="RQL67" s="2936"/>
      <c r="RQM67" s="2936"/>
      <c r="RQN67" s="2936"/>
      <c r="RQO67" s="2936"/>
      <c r="RQP67" s="2936"/>
      <c r="RQQ67" s="2936"/>
      <c r="RQR67" s="2936"/>
      <c r="RQS67" s="2936"/>
      <c r="RQT67" s="2936"/>
      <c r="RQU67" s="2936"/>
      <c r="RQV67" s="2936"/>
      <c r="RQW67" s="2936"/>
      <c r="RQX67" s="2936"/>
      <c r="RQY67" s="2936"/>
      <c r="RQZ67" s="2936"/>
      <c r="RRA67" s="2936"/>
      <c r="RRB67" s="2936"/>
      <c r="RRC67" s="2936"/>
      <c r="RRD67" s="2936"/>
      <c r="RRE67" s="2936"/>
      <c r="RRF67" s="2936"/>
      <c r="RRG67" s="2936"/>
      <c r="RRH67" s="2936"/>
      <c r="RRI67" s="2936"/>
      <c r="RRJ67" s="2936"/>
      <c r="RRK67" s="2936"/>
      <c r="RRL67" s="2936"/>
      <c r="RRM67" s="2936"/>
      <c r="RRN67" s="2936"/>
      <c r="RRO67" s="2936"/>
      <c r="RRP67" s="2936"/>
      <c r="RRQ67" s="2936"/>
      <c r="RRR67" s="2936"/>
      <c r="RRS67" s="2936"/>
      <c r="RRT67" s="2936"/>
      <c r="RRU67" s="2936"/>
      <c r="RRV67" s="2936"/>
      <c r="RRW67" s="2936"/>
      <c r="RRX67" s="2936"/>
      <c r="RRY67" s="2936"/>
      <c r="RRZ67" s="2936"/>
      <c r="RSA67" s="2936"/>
      <c r="RSB67" s="2936"/>
      <c r="RSC67" s="2936"/>
      <c r="RSD67" s="2936"/>
      <c r="RSE67" s="2936"/>
      <c r="RSF67" s="2936"/>
      <c r="RSG67" s="2936"/>
      <c r="RSH67" s="2936"/>
      <c r="RSI67" s="2936"/>
      <c r="RSJ67" s="2936"/>
      <c r="RSK67" s="2936"/>
      <c r="RSL67" s="2936"/>
      <c r="RSM67" s="2936"/>
      <c r="RSN67" s="2936"/>
      <c r="RSO67" s="2936"/>
      <c r="RSP67" s="2936"/>
      <c r="RSQ67" s="2936"/>
      <c r="RSR67" s="2936"/>
      <c r="RSS67" s="2936"/>
      <c r="RST67" s="2936"/>
      <c r="RSU67" s="2936"/>
      <c r="RSV67" s="2936"/>
      <c r="RSW67" s="2936"/>
      <c r="RSX67" s="2936"/>
      <c r="RSY67" s="2936"/>
      <c r="RSZ67" s="2936"/>
      <c r="RTA67" s="2936"/>
      <c r="RTB67" s="2936"/>
      <c r="RTC67" s="2936"/>
      <c r="RTD67" s="2936"/>
      <c r="RTE67" s="2936"/>
      <c r="RTF67" s="2936"/>
      <c r="RTG67" s="2936"/>
      <c r="RTH67" s="2936"/>
      <c r="RTI67" s="2936"/>
      <c r="RTJ67" s="2936"/>
      <c r="RTK67" s="2936"/>
      <c r="RTL67" s="2936"/>
      <c r="RTM67" s="2936"/>
      <c r="RTN67" s="2936"/>
      <c r="RTO67" s="2936"/>
      <c r="RTP67" s="2936"/>
      <c r="RTQ67" s="2936"/>
      <c r="RTR67" s="2936"/>
      <c r="RTS67" s="2936"/>
      <c r="RTT67" s="2936"/>
      <c r="RTU67" s="2936"/>
      <c r="RTV67" s="2936"/>
      <c r="RTW67" s="2936"/>
      <c r="RTX67" s="2936"/>
      <c r="RTY67" s="2936"/>
      <c r="RTZ67" s="2936"/>
      <c r="RUA67" s="2936"/>
      <c r="RUB67" s="2936"/>
      <c r="RUC67" s="2936"/>
      <c r="RUD67" s="2936"/>
      <c r="RUE67" s="2936"/>
      <c r="RUF67" s="2936"/>
      <c r="RUG67" s="2936"/>
      <c r="RUH67" s="2936"/>
      <c r="RUI67" s="2936"/>
      <c r="RUJ67" s="2936"/>
      <c r="RUK67" s="2936"/>
      <c r="RUL67" s="2936"/>
      <c r="RUM67" s="2936"/>
      <c r="RUN67" s="2936"/>
      <c r="RUO67" s="2936"/>
      <c r="RUP67" s="2936"/>
      <c r="RUQ67" s="2936"/>
      <c r="RUR67" s="2936"/>
      <c r="RUS67" s="2936"/>
      <c r="RUT67" s="2936"/>
      <c r="RUU67" s="2936"/>
      <c r="RUV67" s="2936"/>
      <c r="RUW67" s="2936"/>
      <c r="RUX67" s="2936"/>
      <c r="RUY67" s="2936"/>
      <c r="RUZ67" s="2936"/>
      <c r="RVA67" s="2936"/>
      <c r="RVB67" s="2936"/>
      <c r="RVC67" s="2936"/>
      <c r="RVD67" s="2936"/>
      <c r="RVE67" s="2936"/>
      <c r="RVF67" s="2936"/>
      <c r="RVG67" s="2936"/>
      <c r="RVH67" s="2936"/>
      <c r="RVI67" s="2936"/>
      <c r="RVJ67" s="2936"/>
      <c r="RVK67" s="2936"/>
      <c r="RVL67" s="2936"/>
      <c r="RVM67" s="2936"/>
      <c r="RVN67" s="2936"/>
      <c r="RVO67" s="2936"/>
      <c r="RVP67" s="2936"/>
      <c r="RVQ67" s="2936"/>
      <c r="RVR67" s="2936"/>
      <c r="RVS67" s="2936"/>
      <c r="RVT67" s="2936"/>
      <c r="RVU67" s="2936"/>
      <c r="RVV67" s="2936"/>
      <c r="RVW67" s="2936"/>
      <c r="RVX67" s="2936"/>
      <c r="RVY67" s="2936"/>
      <c r="RVZ67" s="2936"/>
      <c r="RWA67" s="2936"/>
      <c r="RWB67" s="2936"/>
      <c r="RWC67" s="2936"/>
      <c r="RWD67" s="2936"/>
      <c r="RWE67" s="2936"/>
      <c r="RWF67" s="2936"/>
      <c r="RWG67" s="2936"/>
      <c r="RWH67" s="2936"/>
      <c r="RWI67" s="2936"/>
      <c r="RWJ67" s="2936"/>
      <c r="RWK67" s="2936"/>
      <c r="RWL67" s="2936"/>
      <c r="RWM67" s="2936"/>
      <c r="RWN67" s="2936"/>
      <c r="RWO67" s="2936"/>
      <c r="RWP67" s="2936"/>
      <c r="RWQ67" s="2936"/>
      <c r="RWR67" s="2936"/>
      <c r="RWS67" s="2936"/>
      <c r="RWT67" s="2936"/>
      <c r="RWU67" s="2936"/>
      <c r="RWV67" s="2936"/>
      <c r="RWW67" s="2936"/>
      <c r="RWX67" s="2936"/>
      <c r="RWY67" s="2936"/>
      <c r="RWZ67" s="2936"/>
      <c r="RXA67" s="2936"/>
      <c r="RXB67" s="2936"/>
      <c r="RXC67" s="2936"/>
      <c r="RXD67" s="2936"/>
      <c r="RXE67" s="2936"/>
      <c r="RXF67" s="2936"/>
      <c r="RXG67" s="2936"/>
      <c r="RXH67" s="2936"/>
      <c r="RXI67" s="2936"/>
      <c r="RXJ67" s="2936"/>
      <c r="RXK67" s="2936"/>
      <c r="RXL67" s="2936"/>
      <c r="RXM67" s="2936"/>
      <c r="RXN67" s="2936"/>
      <c r="RXO67" s="2936"/>
      <c r="RXP67" s="2936"/>
      <c r="RXQ67" s="2936"/>
      <c r="RXR67" s="2936"/>
      <c r="RXS67" s="2936"/>
      <c r="RXT67" s="2936"/>
      <c r="RXU67" s="2936"/>
      <c r="RXV67" s="2936"/>
      <c r="RXW67" s="2936"/>
      <c r="RXX67" s="2936"/>
      <c r="RXY67" s="2936"/>
      <c r="RXZ67" s="2936"/>
      <c r="RYA67" s="2936"/>
      <c r="RYB67" s="2936"/>
      <c r="RYC67" s="2936"/>
      <c r="RYD67" s="2936"/>
      <c r="RYE67" s="2936"/>
      <c r="RYF67" s="2936"/>
      <c r="RYG67" s="2936"/>
      <c r="RYH67" s="2936"/>
      <c r="RYI67" s="2936"/>
      <c r="RYJ67" s="2936"/>
      <c r="RYK67" s="2936"/>
      <c r="RYL67" s="2936"/>
      <c r="RYM67" s="2936"/>
      <c r="RYN67" s="2936"/>
      <c r="RYO67" s="2936"/>
      <c r="RYP67" s="2936"/>
      <c r="RYQ67" s="2936"/>
      <c r="RYR67" s="2936"/>
      <c r="RYS67" s="2936"/>
      <c r="RYT67" s="2936"/>
      <c r="RYU67" s="2936"/>
      <c r="RYV67" s="2936"/>
      <c r="RYW67" s="2936"/>
      <c r="RYX67" s="2936"/>
      <c r="RYY67" s="2936"/>
      <c r="RYZ67" s="2936"/>
      <c r="RZA67" s="2936"/>
      <c r="RZB67" s="2936"/>
      <c r="RZC67" s="2936"/>
      <c r="RZD67" s="2936"/>
      <c r="RZE67" s="2936"/>
      <c r="RZF67" s="2936"/>
      <c r="RZG67" s="2936"/>
      <c r="RZH67" s="2936"/>
      <c r="RZI67" s="2936"/>
      <c r="RZJ67" s="2936"/>
      <c r="RZK67" s="2936"/>
      <c r="RZL67" s="2936"/>
      <c r="RZM67" s="2936"/>
      <c r="RZN67" s="2936"/>
      <c r="RZO67" s="2936"/>
      <c r="RZP67" s="2936"/>
      <c r="RZQ67" s="2936"/>
      <c r="RZR67" s="2936"/>
      <c r="RZS67" s="2936"/>
      <c r="RZT67" s="2936"/>
      <c r="RZU67" s="2936"/>
      <c r="RZV67" s="2936"/>
      <c r="RZW67" s="2936"/>
      <c r="RZX67" s="2936"/>
      <c r="RZY67" s="2936"/>
      <c r="RZZ67" s="2936"/>
      <c r="SAA67" s="2936"/>
      <c r="SAB67" s="2936"/>
      <c r="SAC67" s="2936"/>
      <c r="SAD67" s="2936"/>
      <c r="SAE67" s="2936"/>
      <c r="SAF67" s="2936"/>
      <c r="SAG67" s="2936"/>
      <c r="SAH67" s="2936"/>
      <c r="SAI67" s="2936"/>
      <c r="SAJ67" s="2936"/>
      <c r="SAK67" s="2936"/>
      <c r="SAL67" s="2936"/>
      <c r="SAM67" s="2936"/>
      <c r="SAN67" s="2936"/>
      <c r="SAO67" s="2936"/>
      <c r="SAP67" s="2936"/>
      <c r="SAQ67" s="2936"/>
      <c r="SAR67" s="2936"/>
      <c r="SAS67" s="2936"/>
      <c r="SAT67" s="2936"/>
      <c r="SAU67" s="2936"/>
      <c r="SAV67" s="2936"/>
      <c r="SAW67" s="2936"/>
      <c r="SAX67" s="2936"/>
      <c r="SAY67" s="2936"/>
      <c r="SAZ67" s="2936"/>
      <c r="SBA67" s="2936"/>
      <c r="SBB67" s="2936"/>
      <c r="SBC67" s="2936"/>
      <c r="SBD67" s="2936"/>
      <c r="SBE67" s="2936"/>
      <c r="SBF67" s="2936"/>
      <c r="SBG67" s="2936"/>
      <c r="SBH67" s="2936"/>
      <c r="SBI67" s="2936"/>
      <c r="SBJ67" s="2936"/>
      <c r="SBK67" s="2936"/>
      <c r="SBL67" s="2936"/>
      <c r="SBM67" s="2936"/>
      <c r="SBN67" s="2936"/>
      <c r="SBO67" s="2936"/>
      <c r="SBP67" s="2936"/>
      <c r="SBQ67" s="2936"/>
      <c r="SBR67" s="2936"/>
      <c r="SBS67" s="2936"/>
      <c r="SBT67" s="2936"/>
      <c r="SBU67" s="2936"/>
      <c r="SBV67" s="2936"/>
      <c r="SBW67" s="2936"/>
      <c r="SBX67" s="2936"/>
      <c r="SBY67" s="2936"/>
      <c r="SBZ67" s="2936"/>
      <c r="SCA67" s="2936"/>
      <c r="SCB67" s="2936"/>
      <c r="SCC67" s="2936"/>
      <c r="SCD67" s="2936"/>
      <c r="SCE67" s="2936"/>
      <c r="SCF67" s="2936"/>
      <c r="SCG67" s="2936"/>
      <c r="SCH67" s="2936"/>
      <c r="SCI67" s="2936"/>
      <c r="SCJ67" s="2936"/>
      <c r="SCK67" s="2936"/>
      <c r="SCL67" s="2936"/>
      <c r="SCM67" s="2936"/>
      <c r="SCN67" s="2936"/>
      <c r="SCO67" s="2936"/>
      <c r="SCP67" s="2936"/>
      <c r="SCQ67" s="2936"/>
      <c r="SCR67" s="2936"/>
      <c r="SCS67" s="2936"/>
      <c r="SCT67" s="2936"/>
      <c r="SCU67" s="2936"/>
      <c r="SCV67" s="2936"/>
      <c r="SCW67" s="2936"/>
      <c r="SCX67" s="2936"/>
      <c r="SCY67" s="2936"/>
      <c r="SCZ67" s="2936"/>
      <c r="SDA67" s="2936"/>
      <c r="SDB67" s="2936"/>
      <c r="SDC67" s="2936"/>
      <c r="SDD67" s="2936"/>
      <c r="SDE67" s="2936"/>
      <c r="SDF67" s="2936"/>
      <c r="SDG67" s="2936"/>
      <c r="SDH67" s="2936"/>
      <c r="SDI67" s="2936"/>
      <c r="SDJ67" s="2936"/>
      <c r="SDK67" s="2936"/>
      <c r="SDL67" s="2936"/>
      <c r="SDM67" s="2936"/>
      <c r="SDN67" s="2936"/>
      <c r="SDO67" s="2936"/>
      <c r="SDP67" s="2936"/>
      <c r="SDQ67" s="2936"/>
      <c r="SDR67" s="2936"/>
      <c r="SDS67" s="2936"/>
      <c r="SDT67" s="2936"/>
      <c r="SDU67" s="2936"/>
      <c r="SDV67" s="2936"/>
      <c r="SDW67" s="2936"/>
      <c r="SDX67" s="2936"/>
      <c r="SDY67" s="2936"/>
      <c r="SDZ67" s="2936"/>
      <c r="SEA67" s="2936"/>
      <c r="SEB67" s="2936"/>
      <c r="SEC67" s="2936"/>
      <c r="SED67" s="2936"/>
      <c r="SEE67" s="2936"/>
      <c r="SEF67" s="2936"/>
      <c r="SEG67" s="2936"/>
      <c r="SEH67" s="2936"/>
      <c r="SEI67" s="2936"/>
      <c r="SEJ67" s="2936"/>
      <c r="SEK67" s="2936"/>
      <c r="SEL67" s="2936"/>
      <c r="SEM67" s="2936"/>
      <c r="SEN67" s="2936"/>
      <c r="SEO67" s="2936"/>
      <c r="SEP67" s="2936"/>
      <c r="SEQ67" s="2936"/>
      <c r="SER67" s="2936"/>
      <c r="SES67" s="2936"/>
      <c r="SET67" s="2936"/>
      <c r="SEU67" s="2936"/>
      <c r="SEV67" s="2936"/>
      <c r="SEW67" s="2936"/>
      <c r="SEX67" s="2936"/>
      <c r="SEY67" s="2936"/>
      <c r="SEZ67" s="2936"/>
      <c r="SFA67" s="2936"/>
      <c r="SFB67" s="2936"/>
      <c r="SFC67" s="2936"/>
      <c r="SFD67" s="2936"/>
      <c r="SFE67" s="2936"/>
      <c r="SFF67" s="2936"/>
      <c r="SFG67" s="2936"/>
      <c r="SFH67" s="2936"/>
      <c r="SFI67" s="2936"/>
      <c r="SFJ67" s="2936"/>
      <c r="SFK67" s="2936"/>
      <c r="SFL67" s="2936"/>
      <c r="SFM67" s="2936"/>
      <c r="SFN67" s="2936"/>
      <c r="SFO67" s="2936"/>
      <c r="SFP67" s="2936"/>
      <c r="SFQ67" s="2936"/>
      <c r="SFR67" s="2936"/>
      <c r="SFS67" s="2936"/>
      <c r="SFT67" s="2936"/>
      <c r="SFU67" s="2936"/>
      <c r="SFV67" s="2936"/>
      <c r="SFW67" s="2936"/>
      <c r="SFX67" s="2936"/>
      <c r="SFY67" s="2936"/>
      <c r="SFZ67" s="2936"/>
      <c r="SGA67" s="2936"/>
      <c r="SGB67" s="2936"/>
      <c r="SGC67" s="2936"/>
      <c r="SGD67" s="2936"/>
      <c r="SGE67" s="2936"/>
      <c r="SGF67" s="2936"/>
      <c r="SGG67" s="2936"/>
      <c r="SGH67" s="2936"/>
      <c r="SGI67" s="2936"/>
      <c r="SGJ67" s="2936"/>
      <c r="SGK67" s="2936"/>
      <c r="SGL67" s="2936"/>
      <c r="SGM67" s="2936"/>
      <c r="SGN67" s="2936"/>
      <c r="SGO67" s="2936"/>
      <c r="SGP67" s="2936"/>
      <c r="SGQ67" s="2936"/>
      <c r="SGR67" s="2936"/>
      <c r="SGS67" s="2936"/>
      <c r="SGT67" s="2936"/>
      <c r="SGU67" s="2936"/>
      <c r="SGV67" s="2936"/>
      <c r="SGW67" s="2936"/>
      <c r="SGX67" s="2936"/>
      <c r="SGY67" s="2936"/>
      <c r="SGZ67" s="2936"/>
      <c r="SHA67" s="2936"/>
      <c r="SHB67" s="2936"/>
      <c r="SHC67" s="2936"/>
      <c r="SHD67" s="2936"/>
      <c r="SHE67" s="2936"/>
      <c r="SHF67" s="2936"/>
      <c r="SHG67" s="2936"/>
      <c r="SHH67" s="2936"/>
      <c r="SHI67" s="2936"/>
      <c r="SHJ67" s="2936"/>
      <c r="SHK67" s="2936"/>
      <c r="SHL67" s="2936"/>
      <c r="SHM67" s="2936"/>
      <c r="SHN67" s="2936"/>
      <c r="SHO67" s="2936"/>
      <c r="SHP67" s="2936"/>
      <c r="SHQ67" s="2936"/>
      <c r="SHR67" s="2936"/>
      <c r="SHS67" s="2936"/>
      <c r="SHT67" s="2936"/>
      <c r="SHU67" s="2936"/>
      <c r="SHV67" s="2936"/>
      <c r="SHW67" s="2936"/>
      <c r="SHX67" s="2936"/>
      <c r="SHY67" s="2936"/>
      <c r="SHZ67" s="2936"/>
      <c r="SIA67" s="2936"/>
      <c r="SIB67" s="2936"/>
      <c r="SIC67" s="2936"/>
      <c r="SID67" s="2936"/>
      <c r="SIE67" s="2936"/>
      <c r="SIF67" s="2936"/>
      <c r="SIG67" s="2936"/>
      <c r="SIH67" s="2936"/>
      <c r="SII67" s="2936"/>
      <c r="SIJ67" s="2936"/>
      <c r="SIK67" s="2936"/>
      <c r="SIL67" s="2936"/>
      <c r="SIM67" s="2936"/>
      <c r="SIN67" s="2936"/>
      <c r="SIO67" s="2936"/>
      <c r="SIP67" s="2936"/>
      <c r="SIQ67" s="2936"/>
      <c r="SIR67" s="2936"/>
      <c r="SIS67" s="2936"/>
      <c r="SIT67" s="2936"/>
      <c r="SIU67" s="2936"/>
      <c r="SIV67" s="2936"/>
      <c r="SIW67" s="2936"/>
      <c r="SIX67" s="2936"/>
      <c r="SIY67" s="2936"/>
      <c r="SIZ67" s="2936"/>
      <c r="SJA67" s="2936"/>
      <c r="SJB67" s="2936"/>
      <c r="SJC67" s="2936"/>
      <c r="SJD67" s="2936"/>
      <c r="SJE67" s="2936"/>
      <c r="SJF67" s="2936"/>
      <c r="SJG67" s="2936"/>
      <c r="SJH67" s="2936"/>
      <c r="SJI67" s="2936"/>
      <c r="SJJ67" s="2936"/>
      <c r="SJK67" s="2936"/>
      <c r="SJL67" s="2936"/>
      <c r="SJM67" s="2936"/>
      <c r="SJN67" s="2936"/>
      <c r="SJO67" s="2936"/>
      <c r="SJP67" s="2936"/>
      <c r="SJQ67" s="2936"/>
      <c r="SJR67" s="2936"/>
      <c r="SJS67" s="2936"/>
      <c r="SJT67" s="2936"/>
      <c r="SJU67" s="2936"/>
      <c r="SJV67" s="2936"/>
      <c r="SJW67" s="2936"/>
      <c r="SJX67" s="2936"/>
      <c r="SJY67" s="2936"/>
      <c r="SJZ67" s="2936"/>
      <c r="SKA67" s="2936"/>
      <c r="SKB67" s="2936"/>
      <c r="SKC67" s="2936"/>
      <c r="SKD67" s="2936"/>
      <c r="SKE67" s="2936"/>
      <c r="SKF67" s="2936"/>
      <c r="SKG67" s="2936"/>
      <c r="SKH67" s="2936"/>
      <c r="SKI67" s="2936"/>
      <c r="SKJ67" s="2936"/>
      <c r="SKK67" s="2936"/>
      <c r="SKL67" s="2936"/>
      <c r="SKM67" s="2936"/>
      <c r="SKN67" s="2936"/>
      <c r="SKO67" s="2936"/>
      <c r="SKP67" s="2936"/>
      <c r="SKQ67" s="2936"/>
      <c r="SKR67" s="2936"/>
      <c r="SKS67" s="2936"/>
      <c r="SKT67" s="2936"/>
      <c r="SKU67" s="2936"/>
      <c r="SKV67" s="2936"/>
      <c r="SKW67" s="2936"/>
      <c r="SKX67" s="2936"/>
      <c r="SKY67" s="2936"/>
      <c r="SKZ67" s="2936"/>
      <c r="SLA67" s="2936"/>
      <c r="SLB67" s="2936"/>
      <c r="SLC67" s="2936"/>
      <c r="SLD67" s="2936"/>
      <c r="SLE67" s="2936"/>
      <c r="SLF67" s="2936"/>
      <c r="SLG67" s="2936"/>
      <c r="SLH67" s="2936"/>
      <c r="SLI67" s="2936"/>
      <c r="SLJ67" s="2936"/>
      <c r="SLK67" s="2936"/>
      <c r="SLL67" s="2936"/>
      <c r="SLM67" s="2936"/>
      <c r="SLN67" s="2936"/>
      <c r="SLO67" s="2936"/>
      <c r="SLP67" s="2936"/>
      <c r="SLQ67" s="2936"/>
      <c r="SLR67" s="2936"/>
      <c r="SLS67" s="2936"/>
      <c r="SLT67" s="2936"/>
      <c r="SLU67" s="2936"/>
      <c r="SLV67" s="2936"/>
      <c r="SLW67" s="2936"/>
      <c r="SLX67" s="2936"/>
      <c r="SLY67" s="2936"/>
      <c r="SLZ67" s="2936"/>
      <c r="SMA67" s="2936"/>
      <c r="SMB67" s="2936"/>
      <c r="SMC67" s="2936"/>
      <c r="SMD67" s="2936"/>
      <c r="SME67" s="2936"/>
      <c r="SMF67" s="2936"/>
      <c r="SMG67" s="2936"/>
      <c r="SMH67" s="2936"/>
      <c r="SMI67" s="2936"/>
      <c r="SMJ67" s="2936"/>
      <c r="SMK67" s="2936"/>
      <c r="SML67" s="2936"/>
      <c r="SMM67" s="2936"/>
      <c r="SMN67" s="2936"/>
      <c r="SMO67" s="2936"/>
      <c r="SMP67" s="2936"/>
      <c r="SMQ67" s="2936"/>
      <c r="SMR67" s="2936"/>
      <c r="SMS67" s="2936"/>
      <c r="SMT67" s="2936"/>
      <c r="SMU67" s="2936"/>
      <c r="SMV67" s="2936"/>
      <c r="SMW67" s="2936"/>
      <c r="SMX67" s="2936"/>
      <c r="SMY67" s="2936"/>
      <c r="SMZ67" s="2936"/>
      <c r="SNA67" s="2936"/>
      <c r="SNB67" s="2936"/>
      <c r="SNC67" s="2936"/>
      <c r="SND67" s="2936"/>
      <c r="SNE67" s="2936"/>
      <c r="SNF67" s="2936"/>
      <c r="SNG67" s="2936"/>
      <c r="SNH67" s="2936"/>
      <c r="SNI67" s="2936"/>
      <c r="SNJ67" s="2936"/>
      <c r="SNK67" s="2936"/>
      <c r="SNL67" s="2936"/>
      <c r="SNM67" s="2936"/>
      <c r="SNN67" s="2936"/>
      <c r="SNO67" s="2936"/>
      <c r="SNP67" s="2936"/>
      <c r="SNQ67" s="2936"/>
      <c r="SNR67" s="2936"/>
      <c r="SNS67" s="2936"/>
      <c r="SNT67" s="2936"/>
      <c r="SNU67" s="2936"/>
      <c r="SNV67" s="2936"/>
      <c r="SNW67" s="2936"/>
      <c r="SNX67" s="2936"/>
      <c r="SNY67" s="2936"/>
      <c r="SNZ67" s="2936"/>
      <c r="SOA67" s="2936"/>
      <c r="SOB67" s="2936"/>
      <c r="SOC67" s="2936"/>
      <c r="SOD67" s="2936"/>
      <c r="SOE67" s="2936"/>
      <c r="SOF67" s="2936"/>
      <c r="SOG67" s="2936"/>
      <c r="SOH67" s="2936"/>
      <c r="SOI67" s="2936"/>
      <c r="SOJ67" s="2936"/>
      <c r="SOK67" s="2936"/>
      <c r="SOL67" s="2936"/>
      <c r="SOM67" s="2936"/>
      <c r="SON67" s="2936"/>
      <c r="SOO67" s="2936"/>
      <c r="SOP67" s="2936"/>
      <c r="SOQ67" s="2936"/>
      <c r="SOR67" s="2936"/>
      <c r="SOS67" s="2936"/>
      <c r="SOT67" s="2936"/>
      <c r="SOU67" s="2936"/>
      <c r="SOV67" s="2936"/>
      <c r="SOW67" s="2936"/>
      <c r="SOX67" s="2936"/>
      <c r="SOY67" s="2936"/>
      <c r="SOZ67" s="2936"/>
      <c r="SPA67" s="2936"/>
      <c r="SPB67" s="2936"/>
      <c r="SPC67" s="2936"/>
      <c r="SPD67" s="2936"/>
      <c r="SPE67" s="2936"/>
      <c r="SPF67" s="2936"/>
      <c r="SPG67" s="2936"/>
      <c r="SPH67" s="2936"/>
      <c r="SPI67" s="2936"/>
      <c r="SPJ67" s="2936"/>
      <c r="SPK67" s="2936"/>
      <c r="SPL67" s="2936"/>
      <c r="SPM67" s="2936"/>
      <c r="SPN67" s="2936"/>
      <c r="SPO67" s="2936"/>
      <c r="SPP67" s="2936"/>
      <c r="SPQ67" s="2936"/>
      <c r="SPR67" s="2936"/>
      <c r="SPS67" s="2936"/>
      <c r="SPT67" s="2936"/>
      <c r="SPU67" s="2936"/>
      <c r="SPV67" s="2936"/>
      <c r="SPW67" s="2936"/>
      <c r="SPX67" s="2936"/>
      <c r="SPY67" s="2936"/>
      <c r="SPZ67" s="2936"/>
      <c r="SQA67" s="2936"/>
      <c r="SQB67" s="2936"/>
      <c r="SQC67" s="2936"/>
      <c r="SQD67" s="2936"/>
      <c r="SQE67" s="2936"/>
      <c r="SQF67" s="2936"/>
      <c r="SQG67" s="2936"/>
      <c r="SQH67" s="2936"/>
      <c r="SQI67" s="2936"/>
      <c r="SQJ67" s="2936"/>
      <c r="SQK67" s="2936"/>
      <c r="SQL67" s="2936"/>
      <c r="SQM67" s="2936"/>
      <c r="SQN67" s="2936"/>
      <c r="SQO67" s="2936"/>
      <c r="SQP67" s="2936"/>
      <c r="SQQ67" s="2936"/>
      <c r="SQR67" s="2936"/>
      <c r="SQS67" s="2936"/>
      <c r="SQT67" s="2936"/>
      <c r="SQU67" s="2936"/>
      <c r="SQV67" s="2936"/>
      <c r="SQW67" s="2936"/>
      <c r="SQX67" s="2936"/>
      <c r="SQY67" s="2936"/>
      <c r="SQZ67" s="2936"/>
      <c r="SRA67" s="2936"/>
      <c r="SRB67" s="2936"/>
      <c r="SRC67" s="2936"/>
      <c r="SRD67" s="2936"/>
      <c r="SRE67" s="2936"/>
      <c r="SRF67" s="2936"/>
      <c r="SRG67" s="2936"/>
      <c r="SRH67" s="2936"/>
      <c r="SRI67" s="2936"/>
      <c r="SRJ67" s="2936"/>
      <c r="SRK67" s="2936"/>
      <c r="SRL67" s="2936"/>
      <c r="SRM67" s="2936"/>
      <c r="SRN67" s="2936"/>
      <c r="SRO67" s="2936"/>
      <c r="SRP67" s="2936"/>
      <c r="SRQ67" s="2936"/>
      <c r="SRR67" s="2936"/>
      <c r="SRS67" s="2936"/>
      <c r="SRT67" s="2936"/>
      <c r="SRU67" s="2936"/>
      <c r="SRV67" s="2936"/>
      <c r="SRW67" s="2936"/>
      <c r="SRX67" s="2936"/>
      <c r="SRY67" s="2936"/>
      <c r="SRZ67" s="2936"/>
      <c r="SSA67" s="2936"/>
      <c r="SSB67" s="2936"/>
      <c r="SSC67" s="2936"/>
      <c r="SSD67" s="2936"/>
      <c r="SSE67" s="2936"/>
      <c r="SSF67" s="2936"/>
      <c r="SSG67" s="2936"/>
      <c r="SSH67" s="2936"/>
      <c r="SSI67" s="2936"/>
      <c r="SSJ67" s="2936"/>
      <c r="SSK67" s="2936"/>
      <c r="SSL67" s="2936"/>
      <c r="SSM67" s="2936"/>
      <c r="SSN67" s="2936"/>
      <c r="SSO67" s="2936"/>
      <c r="SSP67" s="2936"/>
      <c r="SSQ67" s="2936"/>
      <c r="SSR67" s="2936"/>
      <c r="SSS67" s="2936"/>
      <c r="SST67" s="2936"/>
      <c r="SSU67" s="2936"/>
      <c r="SSV67" s="2936"/>
      <c r="SSW67" s="2936"/>
      <c r="SSX67" s="2936"/>
      <c r="SSY67" s="2936"/>
      <c r="SSZ67" s="2936"/>
      <c r="STA67" s="2936"/>
      <c r="STB67" s="2936"/>
      <c r="STC67" s="2936"/>
      <c r="STD67" s="2936"/>
      <c r="STE67" s="2936"/>
      <c r="STF67" s="2936"/>
      <c r="STG67" s="2936"/>
      <c r="STH67" s="2936"/>
      <c r="STI67" s="2936"/>
      <c r="STJ67" s="2936"/>
      <c r="STK67" s="2936"/>
      <c r="STL67" s="2936"/>
      <c r="STM67" s="2936"/>
      <c r="STN67" s="2936"/>
      <c r="STO67" s="2936"/>
      <c r="STP67" s="2936"/>
      <c r="STQ67" s="2936"/>
      <c r="STR67" s="2936"/>
      <c r="STS67" s="2936"/>
      <c r="STT67" s="2936"/>
      <c r="STU67" s="2936"/>
      <c r="STV67" s="2936"/>
      <c r="STW67" s="2936"/>
      <c r="STX67" s="2936"/>
      <c r="STY67" s="2936"/>
      <c r="STZ67" s="2936"/>
      <c r="SUA67" s="2936"/>
      <c r="SUB67" s="2936"/>
      <c r="SUC67" s="2936"/>
      <c r="SUD67" s="2936"/>
      <c r="SUE67" s="2936"/>
      <c r="SUF67" s="2936"/>
      <c r="SUG67" s="2936"/>
      <c r="SUH67" s="2936"/>
      <c r="SUI67" s="2936"/>
      <c r="SUJ67" s="2936"/>
      <c r="SUK67" s="2936"/>
      <c r="SUL67" s="2936"/>
      <c r="SUM67" s="2936"/>
      <c r="SUN67" s="2936"/>
      <c r="SUO67" s="2936"/>
      <c r="SUP67" s="2936"/>
      <c r="SUQ67" s="2936"/>
      <c r="SUR67" s="2936"/>
      <c r="SUS67" s="2936"/>
      <c r="SUT67" s="2936"/>
      <c r="SUU67" s="2936"/>
      <c r="SUV67" s="2936"/>
      <c r="SUW67" s="2936"/>
      <c r="SUX67" s="2936"/>
      <c r="SUY67" s="2936"/>
      <c r="SUZ67" s="2936"/>
      <c r="SVA67" s="2936"/>
      <c r="SVB67" s="2936"/>
      <c r="SVC67" s="2936"/>
      <c r="SVD67" s="2936"/>
      <c r="SVE67" s="2936"/>
      <c r="SVF67" s="2936"/>
      <c r="SVG67" s="2936"/>
      <c r="SVH67" s="2936"/>
      <c r="SVI67" s="2936"/>
      <c r="SVJ67" s="2936"/>
      <c r="SVK67" s="2936"/>
      <c r="SVL67" s="2936"/>
      <c r="SVM67" s="2936"/>
      <c r="SVN67" s="2936"/>
      <c r="SVO67" s="2936"/>
      <c r="SVP67" s="2936"/>
      <c r="SVQ67" s="2936"/>
      <c r="SVR67" s="2936"/>
      <c r="SVS67" s="2936"/>
      <c r="SVT67" s="2936"/>
      <c r="SVU67" s="2936"/>
      <c r="SVV67" s="2936"/>
      <c r="SVW67" s="2936"/>
      <c r="SVX67" s="2936"/>
      <c r="SVY67" s="2936"/>
      <c r="SVZ67" s="2936"/>
      <c r="SWA67" s="2936"/>
      <c r="SWB67" s="2936"/>
      <c r="SWC67" s="2936"/>
      <c r="SWD67" s="2936"/>
      <c r="SWE67" s="2936"/>
      <c r="SWF67" s="2936"/>
      <c r="SWG67" s="2936"/>
      <c r="SWH67" s="2936"/>
      <c r="SWI67" s="2936"/>
      <c r="SWJ67" s="2936"/>
      <c r="SWK67" s="2936"/>
      <c r="SWL67" s="2936"/>
      <c r="SWM67" s="2936"/>
      <c r="SWN67" s="2936"/>
      <c r="SWO67" s="2936"/>
      <c r="SWP67" s="2936"/>
      <c r="SWQ67" s="2936"/>
      <c r="SWR67" s="2936"/>
      <c r="SWS67" s="2936"/>
      <c r="SWT67" s="2936"/>
      <c r="SWU67" s="2936"/>
      <c r="SWV67" s="2936"/>
      <c r="SWW67" s="2936"/>
      <c r="SWX67" s="2936"/>
      <c r="SWY67" s="2936"/>
      <c r="SWZ67" s="2936"/>
      <c r="SXA67" s="2936"/>
      <c r="SXB67" s="2936"/>
      <c r="SXC67" s="2936"/>
      <c r="SXD67" s="2936"/>
      <c r="SXE67" s="2936"/>
      <c r="SXF67" s="2936"/>
      <c r="SXG67" s="2936"/>
      <c r="SXH67" s="2936"/>
      <c r="SXI67" s="2936"/>
      <c r="SXJ67" s="2936"/>
      <c r="SXK67" s="2936"/>
      <c r="SXL67" s="2936"/>
      <c r="SXM67" s="2936"/>
      <c r="SXN67" s="2936"/>
      <c r="SXO67" s="2936"/>
      <c r="SXP67" s="2936"/>
      <c r="SXQ67" s="2936"/>
      <c r="SXR67" s="2936"/>
      <c r="SXS67" s="2936"/>
      <c r="SXT67" s="2936"/>
      <c r="SXU67" s="2936"/>
      <c r="SXV67" s="2936"/>
      <c r="SXW67" s="2936"/>
      <c r="SXX67" s="2936"/>
      <c r="SXY67" s="2936"/>
      <c r="SXZ67" s="2936"/>
      <c r="SYA67" s="2936"/>
      <c r="SYB67" s="2936"/>
      <c r="SYC67" s="2936"/>
      <c r="SYD67" s="2936"/>
      <c r="SYE67" s="2936"/>
      <c r="SYF67" s="2936"/>
      <c r="SYG67" s="2936"/>
      <c r="SYH67" s="2936"/>
      <c r="SYI67" s="2936"/>
      <c r="SYJ67" s="2936"/>
      <c r="SYK67" s="2936"/>
      <c r="SYL67" s="2936"/>
      <c r="SYM67" s="2936"/>
      <c r="SYN67" s="2936"/>
      <c r="SYO67" s="2936"/>
      <c r="SYP67" s="2936"/>
      <c r="SYQ67" s="2936"/>
      <c r="SYR67" s="2936"/>
      <c r="SYS67" s="2936"/>
      <c r="SYT67" s="2936"/>
      <c r="SYU67" s="2936"/>
      <c r="SYV67" s="2936"/>
      <c r="SYW67" s="2936"/>
      <c r="SYX67" s="2936"/>
      <c r="SYY67" s="2936"/>
      <c r="SYZ67" s="2936"/>
      <c r="SZA67" s="2936"/>
      <c r="SZB67" s="2936"/>
      <c r="SZC67" s="2936"/>
      <c r="SZD67" s="2936"/>
      <c r="SZE67" s="2936"/>
      <c r="SZF67" s="2936"/>
      <c r="SZG67" s="2936"/>
      <c r="SZH67" s="2936"/>
      <c r="SZI67" s="2936"/>
      <c r="SZJ67" s="2936"/>
      <c r="SZK67" s="2936"/>
      <c r="SZL67" s="2936"/>
      <c r="SZM67" s="2936"/>
      <c r="SZN67" s="2936"/>
      <c r="SZO67" s="2936"/>
      <c r="SZP67" s="2936"/>
      <c r="SZQ67" s="2936"/>
      <c r="SZR67" s="2936"/>
      <c r="SZS67" s="2936"/>
      <c r="SZT67" s="2936"/>
      <c r="SZU67" s="2936"/>
      <c r="SZV67" s="2936"/>
      <c r="SZW67" s="2936"/>
      <c r="SZX67" s="2936"/>
      <c r="SZY67" s="2936"/>
      <c r="SZZ67" s="2936"/>
      <c r="TAA67" s="2936"/>
      <c r="TAB67" s="2936"/>
      <c r="TAC67" s="2936"/>
      <c r="TAD67" s="2936"/>
      <c r="TAE67" s="2936"/>
      <c r="TAF67" s="2936"/>
      <c r="TAG67" s="2936"/>
      <c r="TAH67" s="2936"/>
      <c r="TAI67" s="2936"/>
      <c r="TAJ67" s="2936"/>
      <c r="TAK67" s="2936"/>
      <c r="TAL67" s="2936"/>
      <c r="TAM67" s="2936"/>
      <c r="TAN67" s="2936"/>
      <c r="TAO67" s="2936"/>
      <c r="TAP67" s="2936"/>
      <c r="TAQ67" s="2936"/>
      <c r="TAR67" s="2936"/>
      <c r="TAS67" s="2936"/>
      <c r="TAT67" s="2936"/>
      <c r="TAU67" s="2936"/>
      <c r="TAV67" s="2936"/>
      <c r="TAW67" s="2936"/>
      <c r="TAX67" s="2936"/>
      <c r="TAY67" s="2936"/>
      <c r="TAZ67" s="2936"/>
      <c r="TBA67" s="2936"/>
      <c r="TBB67" s="2936"/>
      <c r="TBC67" s="2936"/>
      <c r="TBD67" s="2936"/>
      <c r="TBE67" s="2936"/>
      <c r="TBF67" s="2936"/>
      <c r="TBG67" s="2936"/>
      <c r="TBH67" s="2936"/>
      <c r="TBI67" s="2936"/>
      <c r="TBJ67" s="2936"/>
      <c r="TBK67" s="2936"/>
      <c r="TBL67" s="2936"/>
      <c r="TBM67" s="2936"/>
      <c r="TBN67" s="2936"/>
      <c r="TBO67" s="2936"/>
      <c r="TBP67" s="2936"/>
      <c r="TBQ67" s="2936"/>
      <c r="TBR67" s="2936"/>
      <c r="TBS67" s="2936"/>
      <c r="TBT67" s="2936"/>
      <c r="TBU67" s="2936"/>
      <c r="TBV67" s="2936"/>
      <c r="TBW67" s="2936"/>
      <c r="TBX67" s="2936"/>
      <c r="TBY67" s="2936"/>
      <c r="TBZ67" s="2936"/>
      <c r="TCA67" s="2936"/>
      <c r="TCB67" s="2936"/>
      <c r="TCC67" s="2936"/>
      <c r="TCD67" s="2936"/>
      <c r="TCE67" s="2936"/>
      <c r="TCF67" s="2936"/>
      <c r="TCG67" s="2936"/>
      <c r="TCH67" s="2936"/>
      <c r="TCI67" s="2936"/>
      <c r="TCJ67" s="2936"/>
      <c r="TCK67" s="2936"/>
      <c r="TCL67" s="2936"/>
      <c r="TCM67" s="2936"/>
      <c r="TCN67" s="2936"/>
      <c r="TCO67" s="2936"/>
      <c r="TCP67" s="2936"/>
      <c r="TCQ67" s="2936"/>
      <c r="TCR67" s="2936"/>
      <c r="TCS67" s="2936"/>
      <c r="TCT67" s="2936"/>
      <c r="TCU67" s="2936"/>
      <c r="TCV67" s="2936"/>
      <c r="TCW67" s="2936"/>
      <c r="TCX67" s="2936"/>
      <c r="TCY67" s="2936"/>
      <c r="TCZ67" s="2936"/>
      <c r="TDA67" s="2936"/>
      <c r="TDB67" s="2936"/>
      <c r="TDC67" s="2936"/>
      <c r="TDD67" s="2936"/>
      <c r="TDE67" s="2936"/>
      <c r="TDF67" s="2936"/>
      <c r="TDG67" s="2936"/>
      <c r="TDH67" s="2936"/>
      <c r="TDI67" s="2936"/>
      <c r="TDJ67" s="2936"/>
      <c r="TDK67" s="2936"/>
      <c r="TDL67" s="2936"/>
      <c r="TDM67" s="2936"/>
      <c r="TDN67" s="2936"/>
      <c r="TDO67" s="2936"/>
      <c r="TDP67" s="2936"/>
      <c r="TDQ67" s="2936"/>
      <c r="TDR67" s="2936"/>
      <c r="TDS67" s="2936"/>
      <c r="TDT67" s="2936"/>
      <c r="TDU67" s="2936"/>
      <c r="TDV67" s="2936"/>
      <c r="TDW67" s="2936"/>
      <c r="TDX67" s="2936"/>
      <c r="TDY67" s="2936"/>
      <c r="TDZ67" s="2936"/>
      <c r="TEA67" s="2936"/>
      <c r="TEB67" s="2936"/>
      <c r="TEC67" s="2936"/>
      <c r="TED67" s="2936"/>
      <c r="TEE67" s="2936"/>
      <c r="TEF67" s="2936"/>
      <c r="TEG67" s="2936"/>
      <c r="TEH67" s="2936"/>
      <c r="TEI67" s="2936"/>
      <c r="TEJ67" s="2936"/>
      <c r="TEK67" s="2936"/>
      <c r="TEL67" s="2936"/>
      <c r="TEM67" s="2936"/>
      <c r="TEN67" s="2936"/>
      <c r="TEO67" s="2936"/>
      <c r="TEP67" s="2936"/>
      <c r="TEQ67" s="2936"/>
      <c r="TER67" s="2936"/>
      <c r="TES67" s="2936"/>
      <c r="TET67" s="2936"/>
      <c r="TEU67" s="2936"/>
      <c r="TEV67" s="2936"/>
      <c r="TEW67" s="2936"/>
      <c r="TEX67" s="2936"/>
      <c r="TEY67" s="2936"/>
      <c r="TEZ67" s="2936"/>
      <c r="TFA67" s="2936"/>
      <c r="TFB67" s="2936"/>
      <c r="TFC67" s="2936"/>
      <c r="TFD67" s="2936"/>
      <c r="TFE67" s="2936"/>
      <c r="TFF67" s="2936"/>
      <c r="TFG67" s="2936"/>
      <c r="TFH67" s="2936"/>
      <c r="TFI67" s="2936"/>
      <c r="TFJ67" s="2936"/>
      <c r="TFK67" s="2936"/>
      <c r="TFL67" s="2936"/>
      <c r="TFM67" s="2936"/>
      <c r="TFN67" s="2936"/>
      <c r="TFO67" s="2936"/>
      <c r="TFP67" s="2936"/>
      <c r="TFQ67" s="2936"/>
      <c r="TFR67" s="2936"/>
      <c r="TFS67" s="2936"/>
      <c r="TFT67" s="2936"/>
      <c r="TFU67" s="2936"/>
      <c r="TFV67" s="2936"/>
      <c r="TFW67" s="2936"/>
      <c r="TFX67" s="2936"/>
      <c r="TFY67" s="2936"/>
      <c r="TFZ67" s="2936"/>
      <c r="TGA67" s="2936"/>
      <c r="TGB67" s="2936"/>
      <c r="TGC67" s="2936"/>
      <c r="TGD67" s="2936"/>
      <c r="TGE67" s="2936"/>
      <c r="TGF67" s="2936"/>
      <c r="TGG67" s="2936"/>
      <c r="TGH67" s="2936"/>
      <c r="TGI67" s="2936"/>
      <c r="TGJ67" s="2936"/>
      <c r="TGK67" s="2936"/>
      <c r="TGL67" s="2936"/>
      <c r="TGM67" s="2936"/>
      <c r="TGN67" s="2936"/>
      <c r="TGO67" s="2936"/>
      <c r="TGP67" s="2936"/>
      <c r="TGQ67" s="2936"/>
      <c r="TGR67" s="2936"/>
      <c r="TGS67" s="2936"/>
      <c r="TGT67" s="2936"/>
      <c r="TGU67" s="2936"/>
      <c r="TGV67" s="2936"/>
      <c r="TGW67" s="2936"/>
      <c r="TGX67" s="2936"/>
      <c r="TGY67" s="2936"/>
      <c r="TGZ67" s="2936"/>
      <c r="THA67" s="2936"/>
      <c r="THB67" s="2936"/>
      <c r="THC67" s="2936"/>
      <c r="THD67" s="2936"/>
      <c r="THE67" s="2936"/>
      <c r="THF67" s="2936"/>
      <c r="THG67" s="2936"/>
      <c r="THH67" s="2936"/>
      <c r="THI67" s="2936"/>
      <c r="THJ67" s="2936"/>
      <c r="THK67" s="2936"/>
      <c r="THL67" s="2936"/>
      <c r="THM67" s="2936"/>
      <c r="THN67" s="2936"/>
      <c r="THO67" s="2936"/>
      <c r="THP67" s="2936"/>
      <c r="THQ67" s="2936"/>
      <c r="THR67" s="2936"/>
      <c r="THS67" s="2936"/>
      <c r="THT67" s="2936"/>
      <c r="THU67" s="2936"/>
      <c r="THV67" s="2936"/>
      <c r="THW67" s="2936"/>
      <c r="THX67" s="2936"/>
      <c r="THY67" s="2936"/>
      <c r="THZ67" s="2936"/>
      <c r="TIA67" s="2936"/>
      <c r="TIB67" s="2936"/>
      <c r="TIC67" s="2936"/>
      <c r="TID67" s="2936"/>
      <c r="TIE67" s="2936"/>
      <c r="TIF67" s="2936"/>
      <c r="TIG67" s="2936"/>
      <c r="TIH67" s="2936"/>
      <c r="TII67" s="2936"/>
      <c r="TIJ67" s="2936"/>
      <c r="TIK67" s="2936"/>
      <c r="TIL67" s="2936"/>
      <c r="TIM67" s="2936"/>
      <c r="TIN67" s="2936"/>
      <c r="TIO67" s="2936"/>
      <c r="TIP67" s="2936"/>
      <c r="TIQ67" s="2936"/>
      <c r="TIR67" s="2936"/>
      <c r="TIS67" s="2936"/>
      <c r="TIT67" s="2936"/>
      <c r="TIU67" s="2936"/>
      <c r="TIV67" s="2936"/>
      <c r="TIW67" s="2936"/>
      <c r="TIX67" s="2936"/>
      <c r="TIY67" s="2936"/>
      <c r="TIZ67" s="2936"/>
      <c r="TJA67" s="2936"/>
      <c r="TJB67" s="2936"/>
      <c r="TJC67" s="2936"/>
      <c r="TJD67" s="2936"/>
      <c r="TJE67" s="2936"/>
      <c r="TJF67" s="2936"/>
      <c r="TJG67" s="2936"/>
      <c r="TJH67" s="2936"/>
      <c r="TJI67" s="2936"/>
      <c r="TJJ67" s="2936"/>
      <c r="TJK67" s="2936"/>
      <c r="TJL67" s="2936"/>
      <c r="TJM67" s="2936"/>
      <c r="TJN67" s="2936"/>
      <c r="TJO67" s="2936"/>
      <c r="TJP67" s="2936"/>
      <c r="TJQ67" s="2936"/>
      <c r="TJR67" s="2936"/>
      <c r="TJS67" s="2936"/>
      <c r="TJT67" s="2936"/>
      <c r="TJU67" s="2936"/>
      <c r="TJV67" s="2936"/>
      <c r="TJW67" s="2936"/>
      <c r="TJX67" s="2936"/>
      <c r="TJY67" s="2936"/>
      <c r="TJZ67" s="2936"/>
      <c r="TKA67" s="2936"/>
      <c r="TKB67" s="2936"/>
      <c r="TKC67" s="2936"/>
      <c r="TKD67" s="2936"/>
      <c r="TKE67" s="2936"/>
      <c r="TKF67" s="2936"/>
      <c r="TKG67" s="2936"/>
      <c r="TKH67" s="2936"/>
      <c r="TKI67" s="2936"/>
      <c r="TKJ67" s="2936"/>
      <c r="TKK67" s="2936"/>
      <c r="TKL67" s="2936"/>
      <c r="TKM67" s="2936"/>
      <c r="TKN67" s="2936"/>
      <c r="TKO67" s="2936"/>
      <c r="TKP67" s="2936"/>
      <c r="TKQ67" s="2936"/>
      <c r="TKR67" s="2936"/>
      <c r="TKS67" s="2936"/>
      <c r="TKT67" s="2936"/>
      <c r="TKU67" s="2936"/>
      <c r="TKV67" s="2936"/>
      <c r="TKW67" s="2936"/>
      <c r="TKX67" s="2936"/>
      <c r="TKY67" s="2936"/>
      <c r="TKZ67" s="2936"/>
      <c r="TLA67" s="2936"/>
      <c r="TLB67" s="2936"/>
      <c r="TLC67" s="2936"/>
      <c r="TLD67" s="2936"/>
      <c r="TLE67" s="2936"/>
      <c r="TLF67" s="2936"/>
      <c r="TLG67" s="2936"/>
      <c r="TLH67" s="2936"/>
      <c r="TLI67" s="2936"/>
      <c r="TLJ67" s="2936"/>
      <c r="TLK67" s="2936"/>
      <c r="TLL67" s="2936"/>
      <c r="TLM67" s="2936"/>
      <c r="TLN67" s="2936"/>
      <c r="TLO67" s="2936"/>
      <c r="TLP67" s="2936"/>
      <c r="TLQ67" s="2936"/>
      <c r="TLR67" s="2936"/>
      <c r="TLS67" s="2936"/>
      <c r="TLT67" s="2936"/>
      <c r="TLU67" s="2936"/>
      <c r="TLV67" s="2936"/>
      <c r="TLW67" s="2936"/>
      <c r="TLX67" s="2936"/>
      <c r="TLY67" s="2936"/>
      <c r="TLZ67" s="2936"/>
      <c r="TMA67" s="2936"/>
      <c r="TMB67" s="2936"/>
      <c r="TMC67" s="2936"/>
      <c r="TMD67" s="2936"/>
      <c r="TME67" s="2936"/>
      <c r="TMF67" s="2936"/>
      <c r="TMG67" s="2936"/>
      <c r="TMH67" s="2936"/>
      <c r="TMI67" s="2936"/>
      <c r="TMJ67" s="2936"/>
      <c r="TMK67" s="2936"/>
      <c r="TML67" s="2936"/>
      <c r="TMM67" s="2936"/>
      <c r="TMN67" s="2936"/>
      <c r="TMO67" s="2936"/>
      <c r="TMP67" s="2936"/>
      <c r="TMQ67" s="2936"/>
      <c r="TMR67" s="2936"/>
      <c r="TMS67" s="2936"/>
      <c r="TMT67" s="2936"/>
      <c r="TMU67" s="2936"/>
      <c r="TMV67" s="2936"/>
      <c r="TMW67" s="2936"/>
      <c r="TMX67" s="2936"/>
      <c r="TMY67" s="2936"/>
      <c r="TMZ67" s="2936"/>
      <c r="TNA67" s="2936"/>
      <c r="TNB67" s="2936"/>
      <c r="TNC67" s="2936"/>
      <c r="TND67" s="2936"/>
      <c r="TNE67" s="2936"/>
      <c r="TNF67" s="2936"/>
      <c r="TNG67" s="2936"/>
      <c r="TNH67" s="2936"/>
      <c r="TNI67" s="2936"/>
      <c r="TNJ67" s="2936"/>
      <c r="TNK67" s="2936"/>
      <c r="TNL67" s="2936"/>
      <c r="TNM67" s="2936"/>
      <c r="TNN67" s="2936"/>
      <c r="TNO67" s="2936"/>
      <c r="TNP67" s="2936"/>
      <c r="TNQ67" s="2936"/>
      <c r="TNR67" s="2936"/>
      <c r="TNS67" s="2936"/>
      <c r="TNT67" s="2936"/>
      <c r="TNU67" s="2936"/>
      <c r="TNV67" s="2936"/>
      <c r="TNW67" s="2936"/>
      <c r="TNX67" s="2936"/>
      <c r="TNY67" s="2936"/>
      <c r="TNZ67" s="2936"/>
      <c r="TOA67" s="2936"/>
      <c r="TOB67" s="2936"/>
      <c r="TOC67" s="2936"/>
      <c r="TOD67" s="2936"/>
      <c r="TOE67" s="2936"/>
      <c r="TOF67" s="2936"/>
      <c r="TOG67" s="2936"/>
      <c r="TOH67" s="2936"/>
      <c r="TOI67" s="2936"/>
      <c r="TOJ67" s="2936"/>
      <c r="TOK67" s="2936"/>
      <c r="TOL67" s="2936"/>
      <c r="TOM67" s="2936"/>
      <c r="TON67" s="2936"/>
      <c r="TOO67" s="2936"/>
      <c r="TOP67" s="2936"/>
      <c r="TOQ67" s="2936"/>
      <c r="TOR67" s="2936"/>
      <c r="TOS67" s="2936"/>
      <c r="TOT67" s="2936"/>
      <c r="TOU67" s="2936"/>
      <c r="TOV67" s="2936"/>
      <c r="TOW67" s="2936"/>
      <c r="TOX67" s="2936"/>
      <c r="TOY67" s="2936"/>
      <c r="TOZ67" s="2936"/>
      <c r="TPA67" s="2936"/>
      <c r="TPB67" s="2936"/>
      <c r="TPC67" s="2936"/>
      <c r="TPD67" s="2936"/>
      <c r="TPE67" s="2936"/>
      <c r="TPF67" s="2936"/>
      <c r="TPG67" s="2936"/>
      <c r="TPH67" s="2936"/>
      <c r="TPI67" s="2936"/>
      <c r="TPJ67" s="2936"/>
      <c r="TPK67" s="2936"/>
      <c r="TPL67" s="2936"/>
      <c r="TPM67" s="2936"/>
      <c r="TPN67" s="2936"/>
      <c r="TPO67" s="2936"/>
      <c r="TPP67" s="2936"/>
      <c r="TPQ67" s="2936"/>
      <c r="TPR67" s="2936"/>
      <c r="TPS67" s="2936"/>
      <c r="TPT67" s="2936"/>
      <c r="TPU67" s="2936"/>
      <c r="TPV67" s="2936"/>
      <c r="TPW67" s="2936"/>
      <c r="TPX67" s="2936"/>
      <c r="TPY67" s="2936"/>
      <c r="TPZ67" s="2936"/>
      <c r="TQA67" s="2936"/>
      <c r="TQB67" s="2936"/>
      <c r="TQC67" s="2936"/>
      <c r="TQD67" s="2936"/>
      <c r="TQE67" s="2936"/>
      <c r="TQF67" s="2936"/>
      <c r="TQG67" s="2936"/>
      <c r="TQH67" s="2936"/>
      <c r="TQI67" s="2936"/>
      <c r="TQJ67" s="2936"/>
      <c r="TQK67" s="2936"/>
      <c r="TQL67" s="2936"/>
      <c r="TQM67" s="2936"/>
      <c r="TQN67" s="2936"/>
      <c r="TQO67" s="2936"/>
      <c r="TQP67" s="2936"/>
      <c r="TQQ67" s="2936"/>
      <c r="TQR67" s="2936"/>
      <c r="TQS67" s="2936"/>
      <c r="TQT67" s="2936"/>
      <c r="TQU67" s="2936"/>
      <c r="TQV67" s="2936"/>
      <c r="TQW67" s="2936"/>
      <c r="TQX67" s="2936"/>
      <c r="TQY67" s="2936"/>
      <c r="TQZ67" s="2936"/>
      <c r="TRA67" s="2936"/>
      <c r="TRB67" s="2936"/>
      <c r="TRC67" s="2936"/>
      <c r="TRD67" s="2936"/>
      <c r="TRE67" s="2936"/>
      <c r="TRF67" s="2936"/>
      <c r="TRG67" s="2936"/>
      <c r="TRH67" s="2936"/>
      <c r="TRI67" s="2936"/>
      <c r="TRJ67" s="2936"/>
      <c r="TRK67" s="2936"/>
      <c r="TRL67" s="2936"/>
      <c r="TRM67" s="2936"/>
      <c r="TRN67" s="2936"/>
      <c r="TRO67" s="2936"/>
      <c r="TRP67" s="2936"/>
      <c r="TRQ67" s="2936"/>
      <c r="TRR67" s="2936"/>
      <c r="TRS67" s="2936"/>
      <c r="TRT67" s="2936"/>
      <c r="TRU67" s="2936"/>
      <c r="TRV67" s="2936"/>
      <c r="TRW67" s="2936"/>
      <c r="TRX67" s="2936"/>
      <c r="TRY67" s="2936"/>
      <c r="TRZ67" s="2936"/>
      <c r="TSA67" s="2936"/>
      <c r="TSB67" s="2936"/>
      <c r="TSC67" s="2936"/>
      <c r="TSD67" s="2936"/>
      <c r="TSE67" s="2936"/>
      <c r="TSF67" s="2936"/>
      <c r="TSG67" s="2936"/>
      <c r="TSH67" s="2936"/>
      <c r="TSI67" s="2936"/>
      <c r="TSJ67" s="2936"/>
      <c r="TSK67" s="2936"/>
      <c r="TSL67" s="2936"/>
      <c r="TSM67" s="2936"/>
      <c r="TSN67" s="2936"/>
      <c r="TSO67" s="2936"/>
      <c r="TSP67" s="2936"/>
      <c r="TSQ67" s="2936"/>
      <c r="TSR67" s="2936"/>
      <c r="TSS67" s="2936"/>
      <c r="TST67" s="2936"/>
      <c r="TSU67" s="2936"/>
      <c r="TSV67" s="2936"/>
      <c r="TSW67" s="2936"/>
      <c r="TSX67" s="2936"/>
      <c r="TSY67" s="2936"/>
      <c r="TSZ67" s="2936"/>
      <c r="TTA67" s="2936"/>
      <c r="TTB67" s="2936"/>
      <c r="TTC67" s="2936"/>
      <c r="TTD67" s="2936"/>
      <c r="TTE67" s="2936"/>
      <c r="TTF67" s="2936"/>
      <c r="TTG67" s="2936"/>
      <c r="TTH67" s="2936"/>
      <c r="TTI67" s="2936"/>
      <c r="TTJ67" s="2936"/>
      <c r="TTK67" s="2936"/>
      <c r="TTL67" s="2936"/>
      <c r="TTM67" s="2936"/>
      <c r="TTN67" s="2936"/>
      <c r="TTO67" s="2936"/>
      <c r="TTP67" s="2936"/>
      <c r="TTQ67" s="2936"/>
      <c r="TTR67" s="2936"/>
      <c r="TTS67" s="2936"/>
      <c r="TTT67" s="2936"/>
      <c r="TTU67" s="2936"/>
      <c r="TTV67" s="2936"/>
      <c r="TTW67" s="2936"/>
      <c r="TTX67" s="2936"/>
      <c r="TTY67" s="2936"/>
      <c r="TTZ67" s="2936"/>
      <c r="TUA67" s="2936"/>
      <c r="TUB67" s="2936"/>
      <c r="TUC67" s="2936"/>
      <c r="TUD67" s="2936"/>
      <c r="TUE67" s="2936"/>
      <c r="TUF67" s="2936"/>
      <c r="TUG67" s="2936"/>
      <c r="TUH67" s="2936"/>
      <c r="TUI67" s="2936"/>
      <c r="TUJ67" s="2936"/>
      <c r="TUK67" s="2936"/>
      <c r="TUL67" s="2936"/>
      <c r="TUM67" s="2936"/>
      <c r="TUN67" s="2936"/>
      <c r="TUO67" s="2936"/>
      <c r="TUP67" s="2936"/>
      <c r="TUQ67" s="2936"/>
      <c r="TUR67" s="2936"/>
      <c r="TUS67" s="2936"/>
      <c r="TUT67" s="2936"/>
      <c r="TUU67" s="2936"/>
      <c r="TUV67" s="2936"/>
      <c r="TUW67" s="2936"/>
      <c r="TUX67" s="2936"/>
      <c r="TUY67" s="2936"/>
      <c r="TUZ67" s="2936"/>
      <c r="TVA67" s="2936"/>
      <c r="TVB67" s="2936"/>
      <c r="TVC67" s="2936"/>
      <c r="TVD67" s="2936"/>
      <c r="TVE67" s="2936"/>
      <c r="TVF67" s="2936"/>
      <c r="TVG67" s="2936"/>
      <c r="TVH67" s="2936"/>
      <c r="TVI67" s="2936"/>
      <c r="TVJ67" s="2936"/>
      <c r="TVK67" s="2936"/>
      <c r="TVL67" s="2936"/>
      <c r="TVM67" s="2936"/>
      <c r="TVN67" s="2936"/>
      <c r="TVO67" s="2936"/>
      <c r="TVP67" s="2936"/>
      <c r="TVQ67" s="2936"/>
      <c r="TVR67" s="2936"/>
      <c r="TVS67" s="2936"/>
      <c r="TVT67" s="2936"/>
      <c r="TVU67" s="2936"/>
      <c r="TVV67" s="2936"/>
      <c r="TVW67" s="2936"/>
      <c r="TVX67" s="2936"/>
      <c r="TVY67" s="2936"/>
      <c r="TVZ67" s="2936"/>
      <c r="TWA67" s="2936"/>
      <c r="TWB67" s="2936"/>
      <c r="TWC67" s="2936"/>
      <c r="TWD67" s="2936"/>
      <c r="TWE67" s="2936"/>
      <c r="TWF67" s="2936"/>
      <c r="TWG67" s="2936"/>
      <c r="TWH67" s="2936"/>
      <c r="TWI67" s="2936"/>
      <c r="TWJ67" s="2936"/>
      <c r="TWK67" s="2936"/>
      <c r="TWL67" s="2936"/>
      <c r="TWM67" s="2936"/>
      <c r="TWN67" s="2936"/>
      <c r="TWO67" s="2936"/>
      <c r="TWP67" s="2936"/>
      <c r="TWQ67" s="2936"/>
      <c r="TWR67" s="2936"/>
      <c r="TWS67" s="2936"/>
      <c r="TWT67" s="2936"/>
      <c r="TWU67" s="2936"/>
      <c r="TWV67" s="2936"/>
      <c r="TWW67" s="2936"/>
      <c r="TWX67" s="2936"/>
      <c r="TWY67" s="2936"/>
      <c r="TWZ67" s="2936"/>
      <c r="TXA67" s="2936"/>
      <c r="TXB67" s="2936"/>
      <c r="TXC67" s="2936"/>
      <c r="TXD67" s="2936"/>
      <c r="TXE67" s="2936"/>
      <c r="TXF67" s="2936"/>
      <c r="TXG67" s="2936"/>
      <c r="TXH67" s="2936"/>
      <c r="TXI67" s="2936"/>
      <c r="TXJ67" s="2936"/>
      <c r="TXK67" s="2936"/>
      <c r="TXL67" s="2936"/>
      <c r="TXM67" s="2936"/>
      <c r="TXN67" s="2936"/>
      <c r="TXO67" s="2936"/>
      <c r="TXP67" s="2936"/>
      <c r="TXQ67" s="2936"/>
      <c r="TXR67" s="2936"/>
      <c r="TXS67" s="2936"/>
      <c r="TXT67" s="2936"/>
      <c r="TXU67" s="2936"/>
      <c r="TXV67" s="2936"/>
      <c r="TXW67" s="2936"/>
      <c r="TXX67" s="2936"/>
      <c r="TXY67" s="2936"/>
      <c r="TXZ67" s="2936"/>
      <c r="TYA67" s="2936"/>
      <c r="TYB67" s="2936"/>
      <c r="TYC67" s="2936"/>
      <c r="TYD67" s="2936"/>
      <c r="TYE67" s="2936"/>
      <c r="TYF67" s="2936"/>
      <c r="TYG67" s="2936"/>
      <c r="TYH67" s="2936"/>
      <c r="TYI67" s="2936"/>
      <c r="TYJ67" s="2936"/>
      <c r="TYK67" s="2936"/>
      <c r="TYL67" s="2936"/>
      <c r="TYM67" s="2936"/>
      <c r="TYN67" s="2936"/>
      <c r="TYO67" s="2936"/>
      <c r="TYP67" s="2936"/>
      <c r="TYQ67" s="2936"/>
      <c r="TYR67" s="2936"/>
      <c r="TYS67" s="2936"/>
      <c r="TYT67" s="2936"/>
      <c r="TYU67" s="2936"/>
      <c r="TYV67" s="2936"/>
      <c r="TYW67" s="2936"/>
      <c r="TYX67" s="2936"/>
      <c r="TYY67" s="2936"/>
      <c r="TYZ67" s="2936"/>
      <c r="TZA67" s="2936"/>
      <c r="TZB67" s="2936"/>
      <c r="TZC67" s="2936"/>
      <c r="TZD67" s="2936"/>
      <c r="TZE67" s="2936"/>
      <c r="TZF67" s="2936"/>
      <c r="TZG67" s="2936"/>
      <c r="TZH67" s="2936"/>
      <c r="TZI67" s="2936"/>
      <c r="TZJ67" s="2936"/>
      <c r="TZK67" s="2936"/>
      <c r="TZL67" s="2936"/>
      <c r="TZM67" s="2936"/>
      <c r="TZN67" s="2936"/>
      <c r="TZO67" s="2936"/>
      <c r="TZP67" s="2936"/>
      <c r="TZQ67" s="2936"/>
      <c r="TZR67" s="2936"/>
      <c r="TZS67" s="2936"/>
      <c r="TZT67" s="2936"/>
      <c r="TZU67" s="2936"/>
      <c r="TZV67" s="2936"/>
      <c r="TZW67" s="2936"/>
      <c r="TZX67" s="2936"/>
      <c r="TZY67" s="2936"/>
      <c r="TZZ67" s="2936"/>
      <c r="UAA67" s="2936"/>
      <c r="UAB67" s="2936"/>
      <c r="UAC67" s="2936"/>
      <c r="UAD67" s="2936"/>
      <c r="UAE67" s="2936"/>
      <c r="UAF67" s="2936"/>
      <c r="UAG67" s="2936"/>
      <c r="UAH67" s="2936"/>
      <c r="UAI67" s="2936"/>
      <c r="UAJ67" s="2936"/>
      <c r="UAK67" s="2936"/>
      <c r="UAL67" s="2936"/>
      <c r="UAM67" s="2936"/>
      <c r="UAN67" s="2936"/>
      <c r="UAO67" s="2936"/>
      <c r="UAP67" s="2936"/>
      <c r="UAQ67" s="2936"/>
      <c r="UAR67" s="2936"/>
      <c r="UAS67" s="2936"/>
      <c r="UAT67" s="2936"/>
      <c r="UAU67" s="2936"/>
      <c r="UAV67" s="2936"/>
      <c r="UAW67" s="2936"/>
      <c r="UAX67" s="2936"/>
      <c r="UAY67" s="2936"/>
      <c r="UAZ67" s="2936"/>
      <c r="UBA67" s="2936"/>
      <c r="UBB67" s="2936"/>
      <c r="UBC67" s="2936"/>
      <c r="UBD67" s="2936"/>
      <c r="UBE67" s="2936"/>
      <c r="UBF67" s="2936"/>
      <c r="UBG67" s="2936"/>
      <c r="UBH67" s="2936"/>
      <c r="UBI67" s="2936"/>
      <c r="UBJ67" s="2936"/>
      <c r="UBK67" s="2936"/>
      <c r="UBL67" s="2936"/>
      <c r="UBM67" s="2936"/>
      <c r="UBN67" s="2936"/>
      <c r="UBO67" s="2936"/>
      <c r="UBP67" s="2936"/>
      <c r="UBQ67" s="2936"/>
      <c r="UBR67" s="2936"/>
      <c r="UBS67" s="2936"/>
      <c r="UBT67" s="2936"/>
      <c r="UBU67" s="2936"/>
      <c r="UBV67" s="2936"/>
      <c r="UBW67" s="2936"/>
      <c r="UBX67" s="2936"/>
      <c r="UBY67" s="2936"/>
      <c r="UBZ67" s="2936"/>
      <c r="UCA67" s="2936"/>
      <c r="UCB67" s="2936"/>
      <c r="UCC67" s="2936"/>
      <c r="UCD67" s="2936"/>
      <c r="UCE67" s="2936"/>
      <c r="UCF67" s="2936"/>
      <c r="UCG67" s="2936"/>
      <c r="UCH67" s="2936"/>
      <c r="UCI67" s="2936"/>
      <c r="UCJ67" s="2936"/>
      <c r="UCK67" s="2936"/>
      <c r="UCL67" s="2936"/>
      <c r="UCM67" s="2936"/>
      <c r="UCN67" s="2936"/>
      <c r="UCO67" s="2936"/>
      <c r="UCP67" s="2936"/>
      <c r="UCQ67" s="2936"/>
      <c r="UCR67" s="2936"/>
      <c r="UCS67" s="2936"/>
      <c r="UCT67" s="2936"/>
      <c r="UCU67" s="2936"/>
      <c r="UCV67" s="2936"/>
      <c r="UCW67" s="2936"/>
      <c r="UCX67" s="2936"/>
      <c r="UCY67" s="2936"/>
      <c r="UCZ67" s="2936"/>
      <c r="UDA67" s="2936"/>
      <c r="UDB67" s="2936"/>
      <c r="UDC67" s="2936"/>
      <c r="UDD67" s="2936"/>
      <c r="UDE67" s="2936"/>
      <c r="UDF67" s="2936"/>
      <c r="UDG67" s="2936"/>
      <c r="UDH67" s="2936"/>
      <c r="UDI67" s="2936"/>
      <c r="UDJ67" s="2936"/>
      <c r="UDK67" s="2936"/>
      <c r="UDL67" s="2936"/>
      <c r="UDM67" s="2936"/>
      <c r="UDN67" s="2936"/>
      <c r="UDO67" s="2936"/>
      <c r="UDP67" s="2936"/>
      <c r="UDQ67" s="2936"/>
      <c r="UDR67" s="2936"/>
      <c r="UDS67" s="2936"/>
      <c r="UDT67" s="2936"/>
      <c r="UDU67" s="2936"/>
      <c r="UDV67" s="2936"/>
      <c r="UDW67" s="2936"/>
      <c r="UDX67" s="2936"/>
      <c r="UDY67" s="2936"/>
      <c r="UDZ67" s="2936"/>
      <c r="UEA67" s="2936"/>
      <c r="UEB67" s="2936"/>
      <c r="UEC67" s="2936"/>
      <c r="UED67" s="2936"/>
      <c r="UEE67" s="2936"/>
      <c r="UEF67" s="2936"/>
      <c r="UEG67" s="2936"/>
      <c r="UEH67" s="2936"/>
      <c r="UEI67" s="2936"/>
      <c r="UEJ67" s="2936"/>
      <c r="UEK67" s="2936"/>
      <c r="UEL67" s="2936"/>
      <c r="UEM67" s="2936"/>
      <c r="UEN67" s="2936"/>
      <c r="UEO67" s="2936"/>
      <c r="UEP67" s="2936"/>
      <c r="UEQ67" s="2936"/>
      <c r="UER67" s="2936"/>
      <c r="UES67" s="2936"/>
      <c r="UET67" s="2936"/>
      <c r="UEU67" s="2936"/>
      <c r="UEV67" s="2936"/>
      <c r="UEW67" s="2936"/>
      <c r="UEX67" s="2936"/>
      <c r="UEY67" s="2936"/>
      <c r="UEZ67" s="2936"/>
      <c r="UFA67" s="2936"/>
      <c r="UFB67" s="2936"/>
      <c r="UFC67" s="2936"/>
      <c r="UFD67" s="2936"/>
      <c r="UFE67" s="2936"/>
      <c r="UFF67" s="2936"/>
      <c r="UFG67" s="2936"/>
      <c r="UFH67" s="2936"/>
      <c r="UFI67" s="2936"/>
      <c r="UFJ67" s="2936"/>
      <c r="UFK67" s="2936"/>
      <c r="UFL67" s="2936"/>
      <c r="UFM67" s="2936"/>
      <c r="UFN67" s="2936"/>
      <c r="UFO67" s="2936"/>
      <c r="UFP67" s="2936"/>
      <c r="UFQ67" s="2936"/>
      <c r="UFR67" s="2936"/>
      <c r="UFS67" s="2936"/>
      <c r="UFT67" s="2936"/>
      <c r="UFU67" s="2936"/>
      <c r="UFV67" s="2936"/>
      <c r="UFW67" s="2936"/>
      <c r="UFX67" s="2936"/>
      <c r="UFY67" s="2936"/>
      <c r="UFZ67" s="2936"/>
      <c r="UGA67" s="2936"/>
      <c r="UGB67" s="2936"/>
      <c r="UGC67" s="2936"/>
      <c r="UGD67" s="2936"/>
      <c r="UGE67" s="2936"/>
      <c r="UGF67" s="2936"/>
      <c r="UGG67" s="2936"/>
      <c r="UGH67" s="2936"/>
      <c r="UGI67" s="2936"/>
      <c r="UGJ67" s="2936"/>
      <c r="UGK67" s="2936"/>
      <c r="UGL67" s="2936"/>
      <c r="UGM67" s="2936"/>
      <c r="UGN67" s="2936"/>
      <c r="UGO67" s="2936"/>
      <c r="UGP67" s="2936"/>
      <c r="UGQ67" s="2936"/>
      <c r="UGR67" s="2936"/>
      <c r="UGS67" s="2936"/>
      <c r="UGT67" s="2936"/>
      <c r="UGU67" s="2936"/>
      <c r="UGV67" s="2936"/>
      <c r="UGW67" s="2936"/>
      <c r="UGX67" s="2936"/>
      <c r="UGY67" s="2936"/>
      <c r="UGZ67" s="2936"/>
      <c r="UHA67" s="2936"/>
      <c r="UHB67" s="2936"/>
      <c r="UHC67" s="2936"/>
      <c r="UHD67" s="2936"/>
      <c r="UHE67" s="2936"/>
      <c r="UHF67" s="2936"/>
      <c r="UHG67" s="2936"/>
      <c r="UHH67" s="2936"/>
      <c r="UHI67" s="2936"/>
      <c r="UHJ67" s="2936"/>
      <c r="UHK67" s="2936"/>
      <c r="UHL67" s="2936"/>
      <c r="UHM67" s="2936"/>
      <c r="UHN67" s="2936"/>
      <c r="UHO67" s="2936"/>
      <c r="UHP67" s="2936"/>
      <c r="UHQ67" s="2936"/>
      <c r="UHR67" s="2936"/>
      <c r="UHS67" s="2936"/>
      <c r="UHT67" s="2936"/>
      <c r="UHU67" s="2936"/>
      <c r="UHV67" s="2936"/>
      <c r="UHW67" s="2936"/>
      <c r="UHX67" s="2936"/>
      <c r="UHY67" s="2936"/>
      <c r="UHZ67" s="2936"/>
      <c r="UIA67" s="2936"/>
      <c r="UIB67" s="2936"/>
      <c r="UIC67" s="2936"/>
      <c r="UID67" s="2936"/>
      <c r="UIE67" s="2936"/>
      <c r="UIF67" s="2936"/>
      <c r="UIG67" s="2936"/>
      <c r="UIH67" s="2936"/>
      <c r="UII67" s="2936"/>
      <c r="UIJ67" s="2936"/>
      <c r="UIK67" s="2936"/>
      <c r="UIL67" s="2936"/>
      <c r="UIM67" s="2936"/>
      <c r="UIN67" s="2936"/>
      <c r="UIO67" s="2936"/>
      <c r="UIP67" s="2936"/>
      <c r="UIQ67" s="2936"/>
      <c r="UIR67" s="2936"/>
      <c r="UIS67" s="2936"/>
      <c r="UIT67" s="2936"/>
      <c r="UIU67" s="2936"/>
      <c r="UIV67" s="2936"/>
      <c r="UIW67" s="2936"/>
      <c r="UIX67" s="2936"/>
      <c r="UIY67" s="2936"/>
      <c r="UIZ67" s="2936"/>
      <c r="UJA67" s="2936"/>
      <c r="UJB67" s="2936"/>
      <c r="UJC67" s="2936"/>
      <c r="UJD67" s="2936"/>
      <c r="UJE67" s="2936"/>
      <c r="UJF67" s="2936"/>
      <c r="UJG67" s="2936"/>
      <c r="UJH67" s="2936"/>
      <c r="UJI67" s="2936"/>
      <c r="UJJ67" s="2936"/>
      <c r="UJK67" s="2936"/>
      <c r="UJL67" s="2936"/>
      <c r="UJM67" s="2936"/>
      <c r="UJN67" s="2936"/>
      <c r="UJO67" s="2936"/>
      <c r="UJP67" s="2936"/>
      <c r="UJQ67" s="2936"/>
      <c r="UJR67" s="2936"/>
      <c r="UJS67" s="2936"/>
      <c r="UJT67" s="2936"/>
      <c r="UJU67" s="2936"/>
      <c r="UJV67" s="2936"/>
      <c r="UJW67" s="2936"/>
      <c r="UJX67" s="2936"/>
      <c r="UJY67" s="2936"/>
      <c r="UJZ67" s="2936"/>
      <c r="UKA67" s="2936"/>
      <c r="UKB67" s="2936"/>
      <c r="UKC67" s="2936"/>
      <c r="UKD67" s="2936"/>
      <c r="UKE67" s="2936"/>
      <c r="UKF67" s="2936"/>
      <c r="UKG67" s="2936"/>
      <c r="UKH67" s="2936"/>
      <c r="UKI67" s="2936"/>
      <c r="UKJ67" s="2936"/>
      <c r="UKK67" s="2936"/>
      <c r="UKL67" s="2936"/>
      <c r="UKM67" s="2936"/>
      <c r="UKN67" s="2936"/>
      <c r="UKO67" s="2936"/>
      <c r="UKP67" s="2936"/>
      <c r="UKQ67" s="2936"/>
      <c r="UKR67" s="2936"/>
      <c r="UKS67" s="2936"/>
      <c r="UKT67" s="2936"/>
      <c r="UKU67" s="2936"/>
      <c r="UKV67" s="2936"/>
      <c r="UKW67" s="2936"/>
      <c r="UKX67" s="2936"/>
      <c r="UKY67" s="2936"/>
      <c r="UKZ67" s="2936"/>
      <c r="ULA67" s="2936"/>
      <c r="ULB67" s="2936"/>
      <c r="ULC67" s="2936"/>
      <c r="ULD67" s="2936"/>
      <c r="ULE67" s="2936"/>
      <c r="ULF67" s="2936"/>
      <c r="ULG67" s="2936"/>
      <c r="ULH67" s="2936"/>
      <c r="ULI67" s="2936"/>
      <c r="ULJ67" s="2936"/>
      <c r="ULK67" s="2936"/>
      <c r="ULL67" s="2936"/>
      <c r="ULM67" s="2936"/>
      <c r="ULN67" s="2936"/>
      <c r="ULO67" s="2936"/>
      <c r="ULP67" s="2936"/>
      <c r="ULQ67" s="2936"/>
      <c r="ULR67" s="2936"/>
      <c r="ULS67" s="2936"/>
      <c r="ULT67" s="2936"/>
      <c r="ULU67" s="2936"/>
      <c r="ULV67" s="2936"/>
      <c r="ULW67" s="2936"/>
      <c r="ULX67" s="2936"/>
      <c r="ULY67" s="2936"/>
      <c r="ULZ67" s="2936"/>
      <c r="UMA67" s="2936"/>
      <c r="UMB67" s="2936"/>
      <c r="UMC67" s="2936"/>
      <c r="UMD67" s="2936"/>
      <c r="UME67" s="2936"/>
      <c r="UMF67" s="2936"/>
      <c r="UMG67" s="2936"/>
      <c r="UMH67" s="2936"/>
      <c r="UMI67" s="2936"/>
      <c r="UMJ67" s="2936"/>
      <c r="UMK67" s="2936"/>
      <c r="UML67" s="2936"/>
      <c r="UMM67" s="2936"/>
      <c r="UMN67" s="2936"/>
      <c r="UMO67" s="2936"/>
      <c r="UMP67" s="2936"/>
      <c r="UMQ67" s="2936"/>
      <c r="UMR67" s="2936"/>
      <c r="UMS67" s="2936"/>
      <c r="UMT67" s="2936"/>
      <c r="UMU67" s="2936"/>
      <c r="UMV67" s="2936"/>
      <c r="UMW67" s="2936"/>
      <c r="UMX67" s="2936"/>
      <c r="UMY67" s="2936"/>
      <c r="UMZ67" s="2936"/>
      <c r="UNA67" s="2936"/>
      <c r="UNB67" s="2936"/>
      <c r="UNC67" s="2936"/>
      <c r="UND67" s="2936"/>
      <c r="UNE67" s="2936"/>
      <c r="UNF67" s="2936"/>
      <c r="UNG67" s="2936"/>
      <c r="UNH67" s="2936"/>
      <c r="UNI67" s="2936"/>
      <c r="UNJ67" s="2936"/>
      <c r="UNK67" s="2936"/>
      <c r="UNL67" s="2936"/>
      <c r="UNM67" s="2936"/>
      <c r="UNN67" s="2936"/>
      <c r="UNO67" s="2936"/>
      <c r="UNP67" s="2936"/>
      <c r="UNQ67" s="2936"/>
      <c r="UNR67" s="2936"/>
      <c r="UNS67" s="2936"/>
      <c r="UNT67" s="2936"/>
      <c r="UNU67" s="2936"/>
      <c r="UNV67" s="2936"/>
      <c r="UNW67" s="2936"/>
      <c r="UNX67" s="2936"/>
      <c r="UNY67" s="2936"/>
      <c r="UNZ67" s="2936"/>
      <c r="UOA67" s="2936"/>
      <c r="UOB67" s="2936"/>
      <c r="UOC67" s="2936"/>
      <c r="UOD67" s="2936"/>
      <c r="UOE67" s="2936"/>
      <c r="UOF67" s="2936"/>
      <c r="UOG67" s="2936"/>
      <c r="UOH67" s="2936"/>
      <c r="UOI67" s="2936"/>
      <c r="UOJ67" s="2936"/>
      <c r="UOK67" s="2936"/>
      <c r="UOL67" s="2936"/>
      <c r="UOM67" s="2936"/>
      <c r="UON67" s="2936"/>
      <c r="UOO67" s="2936"/>
      <c r="UOP67" s="2936"/>
      <c r="UOQ67" s="2936"/>
      <c r="UOR67" s="2936"/>
      <c r="UOS67" s="2936"/>
      <c r="UOT67" s="2936"/>
      <c r="UOU67" s="2936"/>
      <c r="UOV67" s="2936"/>
      <c r="UOW67" s="2936"/>
      <c r="UOX67" s="2936"/>
      <c r="UOY67" s="2936"/>
      <c r="UOZ67" s="2936"/>
      <c r="UPA67" s="2936"/>
      <c r="UPB67" s="2936"/>
      <c r="UPC67" s="2936"/>
      <c r="UPD67" s="2936"/>
      <c r="UPE67" s="2936"/>
      <c r="UPF67" s="2936"/>
      <c r="UPG67" s="2936"/>
      <c r="UPH67" s="2936"/>
      <c r="UPI67" s="2936"/>
      <c r="UPJ67" s="2936"/>
      <c r="UPK67" s="2936"/>
      <c r="UPL67" s="2936"/>
      <c r="UPM67" s="2936"/>
      <c r="UPN67" s="2936"/>
      <c r="UPO67" s="2936"/>
      <c r="UPP67" s="2936"/>
      <c r="UPQ67" s="2936"/>
      <c r="UPR67" s="2936"/>
      <c r="UPS67" s="2936"/>
      <c r="UPT67" s="2936"/>
      <c r="UPU67" s="2936"/>
      <c r="UPV67" s="2936"/>
      <c r="UPW67" s="2936"/>
      <c r="UPX67" s="2936"/>
      <c r="UPY67" s="2936"/>
      <c r="UPZ67" s="2936"/>
      <c r="UQA67" s="2936"/>
      <c r="UQB67" s="2936"/>
      <c r="UQC67" s="2936"/>
      <c r="UQD67" s="2936"/>
      <c r="UQE67" s="2936"/>
      <c r="UQF67" s="2936"/>
      <c r="UQG67" s="2936"/>
      <c r="UQH67" s="2936"/>
      <c r="UQI67" s="2936"/>
      <c r="UQJ67" s="2936"/>
      <c r="UQK67" s="2936"/>
      <c r="UQL67" s="2936"/>
      <c r="UQM67" s="2936"/>
      <c r="UQN67" s="2936"/>
      <c r="UQO67" s="2936"/>
      <c r="UQP67" s="2936"/>
      <c r="UQQ67" s="2936"/>
      <c r="UQR67" s="2936"/>
      <c r="UQS67" s="2936"/>
      <c r="UQT67" s="2936"/>
      <c r="UQU67" s="2936"/>
      <c r="UQV67" s="2936"/>
      <c r="UQW67" s="2936"/>
      <c r="UQX67" s="2936"/>
      <c r="UQY67" s="2936"/>
      <c r="UQZ67" s="2936"/>
      <c r="URA67" s="2936"/>
      <c r="URB67" s="2936"/>
      <c r="URC67" s="2936"/>
      <c r="URD67" s="2936"/>
      <c r="URE67" s="2936"/>
      <c r="URF67" s="2936"/>
      <c r="URG67" s="2936"/>
      <c r="URH67" s="2936"/>
      <c r="URI67" s="2936"/>
      <c r="URJ67" s="2936"/>
      <c r="URK67" s="2936"/>
      <c r="URL67" s="2936"/>
      <c r="URM67" s="2936"/>
      <c r="URN67" s="2936"/>
      <c r="URO67" s="2936"/>
      <c r="URP67" s="2936"/>
      <c r="URQ67" s="2936"/>
      <c r="URR67" s="2936"/>
      <c r="URS67" s="2936"/>
      <c r="URT67" s="2936"/>
      <c r="URU67" s="2936"/>
      <c r="URV67" s="2936"/>
      <c r="URW67" s="2936"/>
      <c r="URX67" s="2936"/>
      <c r="URY67" s="2936"/>
      <c r="URZ67" s="2936"/>
      <c r="USA67" s="2936"/>
      <c r="USB67" s="2936"/>
      <c r="USC67" s="2936"/>
      <c r="USD67" s="2936"/>
      <c r="USE67" s="2936"/>
      <c r="USF67" s="2936"/>
      <c r="USG67" s="2936"/>
      <c r="USH67" s="2936"/>
      <c r="USI67" s="2936"/>
      <c r="USJ67" s="2936"/>
      <c r="USK67" s="2936"/>
      <c r="USL67" s="2936"/>
      <c r="USM67" s="2936"/>
      <c r="USN67" s="2936"/>
      <c r="USO67" s="2936"/>
      <c r="USP67" s="2936"/>
      <c r="USQ67" s="2936"/>
      <c r="USR67" s="2936"/>
      <c r="USS67" s="2936"/>
      <c r="UST67" s="2936"/>
      <c r="USU67" s="2936"/>
      <c r="USV67" s="2936"/>
      <c r="USW67" s="2936"/>
      <c r="USX67" s="2936"/>
      <c r="USY67" s="2936"/>
      <c r="USZ67" s="2936"/>
      <c r="UTA67" s="2936"/>
      <c r="UTB67" s="2936"/>
      <c r="UTC67" s="2936"/>
      <c r="UTD67" s="2936"/>
      <c r="UTE67" s="2936"/>
      <c r="UTF67" s="2936"/>
      <c r="UTG67" s="2936"/>
      <c r="UTH67" s="2936"/>
      <c r="UTI67" s="2936"/>
      <c r="UTJ67" s="2936"/>
      <c r="UTK67" s="2936"/>
      <c r="UTL67" s="2936"/>
      <c r="UTM67" s="2936"/>
      <c r="UTN67" s="2936"/>
      <c r="UTO67" s="2936"/>
      <c r="UTP67" s="2936"/>
      <c r="UTQ67" s="2936"/>
      <c r="UTR67" s="2936"/>
      <c r="UTS67" s="2936"/>
      <c r="UTT67" s="2936"/>
      <c r="UTU67" s="2936"/>
      <c r="UTV67" s="2936"/>
      <c r="UTW67" s="2936"/>
      <c r="UTX67" s="2936"/>
      <c r="UTY67" s="2936"/>
      <c r="UTZ67" s="2936"/>
      <c r="UUA67" s="2936"/>
      <c r="UUB67" s="2936"/>
      <c r="UUC67" s="2936"/>
      <c r="UUD67" s="2936"/>
      <c r="UUE67" s="2936"/>
      <c r="UUF67" s="2936"/>
      <c r="UUG67" s="2936"/>
      <c r="UUH67" s="2936"/>
      <c r="UUI67" s="2936"/>
      <c r="UUJ67" s="2936"/>
      <c r="UUK67" s="2936"/>
      <c r="UUL67" s="2936"/>
      <c r="UUM67" s="2936"/>
      <c r="UUN67" s="2936"/>
      <c r="UUO67" s="2936"/>
      <c r="UUP67" s="2936"/>
      <c r="UUQ67" s="2936"/>
      <c r="UUR67" s="2936"/>
      <c r="UUS67" s="2936"/>
      <c r="UUT67" s="2936"/>
      <c r="UUU67" s="2936"/>
      <c r="UUV67" s="2936"/>
      <c r="UUW67" s="2936"/>
      <c r="UUX67" s="2936"/>
      <c r="UUY67" s="2936"/>
      <c r="UUZ67" s="2936"/>
      <c r="UVA67" s="2936"/>
      <c r="UVB67" s="2936"/>
      <c r="UVC67" s="2936"/>
      <c r="UVD67" s="2936"/>
      <c r="UVE67" s="2936"/>
      <c r="UVF67" s="2936"/>
      <c r="UVG67" s="2936"/>
      <c r="UVH67" s="2936"/>
      <c r="UVI67" s="2936"/>
      <c r="UVJ67" s="2936"/>
      <c r="UVK67" s="2936"/>
      <c r="UVL67" s="2936"/>
      <c r="UVM67" s="2936"/>
      <c r="UVN67" s="2936"/>
      <c r="UVO67" s="2936"/>
      <c r="UVP67" s="2936"/>
      <c r="UVQ67" s="2936"/>
      <c r="UVR67" s="2936"/>
      <c r="UVS67" s="2936"/>
      <c r="UVT67" s="2936"/>
      <c r="UVU67" s="2936"/>
      <c r="UVV67" s="2936"/>
      <c r="UVW67" s="2936"/>
      <c r="UVX67" s="2936"/>
      <c r="UVY67" s="2936"/>
      <c r="UVZ67" s="2936"/>
      <c r="UWA67" s="2936"/>
      <c r="UWB67" s="2936"/>
      <c r="UWC67" s="2936"/>
      <c r="UWD67" s="2936"/>
      <c r="UWE67" s="2936"/>
      <c r="UWF67" s="2936"/>
      <c r="UWG67" s="2936"/>
      <c r="UWH67" s="2936"/>
      <c r="UWI67" s="2936"/>
      <c r="UWJ67" s="2936"/>
      <c r="UWK67" s="2936"/>
      <c r="UWL67" s="2936"/>
      <c r="UWM67" s="2936"/>
      <c r="UWN67" s="2936"/>
      <c r="UWO67" s="2936"/>
      <c r="UWP67" s="2936"/>
      <c r="UWQ67" s="2936"/>
      <c r="UWR67" s="2936"/>
      <c r="UWS67" s="2936"/>
      <c r="UWT67" s="2936"/>
      <c r="UWU67" s="2936"/>
      <c r="UWV67" s="2936"/>
      <c r="UWW67" s="2936"/>
      <c r="UWX67" s="2936"/>
      <c r="UWY67" s="2936"/>
      <c r="UWZ67" s="2936"/>
      <c r="UXA67" s="2936"/>
      <c r="UXB67" s="2936"/>
      <c r="UXC67" s="2936"/>
      <c r="UXD67" s="2936"/>
      <c r="UXE67" s="2936"/>
      <c r="UXF67" s="2936"/>
      <c r="UXG67" s="2936"/>
      <c r="UXH67" s="2936"/>
      <c r="UXI67" s="2936"/>
      <c r="UXJ67" s="2936"/>
      <c r="UXK67" s="2936"/>
      <c r="UXL67" s="2936"/>
      <c r="UXM67" s="2936"/>
      <c r="UXN67" s="2936"/>
      <c r="UXO67" s="2936"/>
      <c r="UXP67" s="2936"/>
      <c r="UXQ67" s="2936"/>
      <c r="UXR67" s="2936"/>
      <c r="UXS67" s="2936"/>
      <c r="UXT67" s="2936"/>
      <c r="UXU67" s="2936"/>
      <c r="UXV67" s="2936"/>
      <c r="UXW67" s="2936"/>
      <c r="UXX67" s="2936"/>
      <c r="UXY67" s="2936"/>
      <c r="UXZ67" s="2936"/>
      <c r="UYA67" s="2936"/>
      <c r="UYB67" s="2936"/>
      <c r="UYC67" s="2936"/>
      <c r="UYD67" s="2936"/>
      <c r="UYE67" s="2936"/>
      <c r="UYF67" s="2936"/>
      <c r="UYG67" s="2936"/>
      <c r="UYH67" s="2936"/>
      <c r="UYI67" s="2936"/>
      <c r="UYJ67" s="2936"/>
      <c r="UYK67" s="2936"/>
      <c r="UYL67" s="2936"/>
      <c r="UYM67" s="2936"/>
      <c r="UYN67" s="2936"/>
      <c r="UYO67" s="2936"/>
      <c r="UYP67" s="2936"/>
      <c r="UYQ67" s="2936"/>
      <c r="UYR67" s="2936"/>
      <c r="UYS67" s="2936"/>
      <c r="UYT67" s="2936"/>
      <c r="UYU67" s="2936"/>
      <c r="UYV67" s="2936"/>
      <c r="UYW67" s="2936"/>
      <c r="UYX67" s="2936"/>
      <c r="UYY67" s="2936"/>
      <c r="UYZ67" s="2936"/>
      <c r="UZA67" s="2936"/>
      <c r="UZB67" s="2936"/>
      <c r="UZC67" s="2936"/>
      <c r="UZD67" s="2936"/>
      <c r="UZE67" s="2936"/>
      <c r="UZF67" s="2936"/>
      <c r="UZG67" s="2936"/>
      <c r="UZH67" s="2936"/>
      <c r="UZI67" s="2936"/>
      <c r="UZJ67" s="2936"/>
      <c r="UZK67" s="2936"/>
      <c r="UZL67" s="2936"/>
      <c r="UZM67" s="2936"/>
      <c r="UZN67" s="2936"/>
      <c r="UZO67" s="2936"/>
      <c r="UZP67" s="2936"/>
      <c r="UZQ67" s="2936"/>
      <c r="UZR67" s="2936"/>
      <c r="UZS67" s="2936"/>
      <c r="UZT67" s="2936"/>
      <c r="UZU67" s="2936"/>
      <c r="UZV67" s="2936"/>
      <c r="UZW67" s="2936"/>
      <c r="UZX67" s="2936"/>
      <c r="UZY67" s="2936"/>
      <c r="UZZ67" s="2936"/>
      <c r="VAA67" s="2936"/>
      <c r="VAB67" s="2936"/>
      <c r="VAC67" s="2936"/>
      <c r="VAD67" s="2936"/>
      <c r="VAE67" s="2936"/>
      <c r="VAF67" s="2936"/>
      <c r="VAG67" s="2936"/>
      <c r="VAH67" s="2936"/>
      <c r="VAI67" s="2936"/>
      <c r="VAJ67" s="2936"/>
      <c r="VAK67" s="2936"/>
      <c r="VAL67" s="2936"/>
      <c r="VAM67" s="2936"/>
      <c r="VAN67" s="2936"/>
      <c r="VAO67" s="2936"/>
      <c r="VAP67" s="2936"/>
      <c r="VAQ67" s="2936"/>
      <c r="VAR67" s="2936"/>
      <c r="VAS67" s="2936"/>
      <c r="VAT67" s="2936"/>
      <c r="VAU67" s="2936"/>
      <c r="VAV67" s="2936"/>
      <c r="VAW67" s="2936"/>
      <c r="VAX67" s="2936"/>
      <c r="VAY67" s="2936"/>
      <c r="VAZ67" s="2936"/>
      <c r="VBA67" s="2936"/>
      <c r="VBB67" s="2936"/>
      <c r="VBC67" s="2936"/>
      <c r="VBD67" s="2936"/>
      <c r="VBE67" s="2936"/>
      <c r="VBF67" s="2936"/>
      <c r="VBG67" s="2936"/>
      <c r="VBH67" s="2936"/>
      <c r="VBI67" s="2936"/>
      <c r="VBJ67" s="2936"/>
      <c r="VBK67" s="2936"/>
      <c r="VBL67" s="2936"/>
      <c r="VBM67" s="2936"/>
      <c r="VBN67" s="2936"/>
      <c r="VBO67" s="2936"/>
      <c r="VBP67" s="2936"/>
      <c r="VBQ67" s="2936"/>
      <c r="VBR67" s="2936"/>
      <c r="VBS67" s="2936"/>
      <c r="VBT67" s="2936"/>
      <c r="VBU67" s="2936"/>
      <c r="VBV67" s="2936"/>
      <c r="VBW67" s="2936"/>
      <c r="VBX67" s="2936"/>
      <c r="VBY67" s="2936"/>
      <c r="VBZ67" s="2936"/>
      <c r="VCA67" s="2936"/>
      <c r="VCB67" s="2936"/>
      <c r="VCC67" s="2936"/>
      <c r="VCD67" s="2936"/>
      <c r="VCE67" s="2936"/>
      <c r="VCF67" s="2936"/>
      <c r="VCG67" s="2936"/>
      <c r="VCH67" s="2936"/>
      <c r="VCI67" s="2936"/>
      <c r="VCJ67" s="2936"/>
      <c r="VCK67" s="2936"/>
      <c r="VCL67" s="2936"/>
      <c r="VCM67" s="2936"/>
      <c r="VCN67" s="2936"/>
      <c r="VCO67" s="2936"/>
      <c r="VCP67" s="2936"/>
      <c r="VCQ67" s="2936"/>
      <c r="VCR67" s="2936"/>
      <c r="VCS67" s="2936"/>
      <c r="VCT67" s="2936"/>
      <c r="VCU67" s="2936"/>
      <c r="VCV67" s="2936"/>
      <c r="VCW67" s="2936"/>
      <c r="VCX67" s="2936"/>
      <c r="VCY67" s="2936"/>
      <c r="VCZ67" s="2936"/>
      <c r="VDA67" s="2936"/>
      <c r="VDB67" s="2936"/>
      <c r="VDC67" s="2936"/>
      <c r="VDD67" s="2936"/>
      <c r="VDE67" s="2936"/>
      <c r="VDF67" s="2936"/>
      <c r="VDG67" s="2936"/>
      <c r="VDH67" s="2936"/>
      <c r="VDI67" s="2936"/>
      <c r="VDJ67" s="2936"/>
      <c r="VDK67" s="2936"/>
      <c r="VDL67" s="2936"/>
      <c r="VDM67" s="2936"/>
      <c r="VDN67" s="2936"/>
      <c r="VDO67" s="2936"/>
      <c r="VDP67" s="2936"/>
      <c r="VDQ67" s="2936"/>
      <c r="VDR67" s="2936"/>
      <c r="VDS67" s="2936"/>
      <c r="VDT67" s="2936"/>
      <c r="VDU67" s="2936"/>
      <c r="VDV67" s="2936"/>
      <c r="VDW67" s="2936"/>
      <c r="VDX67" s="2936"/>
      <c r="VDY67" s="2936"/>
      <c r="VDZ67" s="2936"/>
      <c r="VEA67" s="2936"/>
      <c r="VEB67" s="2936"/>
      <c r="VEC67" s="2936"/>
      <c r="VED67" s="2936"/>
      <c r="VEE67" s="2936"/>
      <c r="VEF67" s="2936"/>
      <c r="VEG67" s="2936"/>
      <c r="VEH67" s="2936"/>
      <c r="VEI67" s="2936"/>
      <c r="VEJ67" s="2936"/>
      <c r="VEK67" s="2936"/>
      <c r="VEL67" s="2936"/>
      <c r="VEM67" s="2936"/>
      <c r="VEN67" s="2936"/>
      <c r="VEO67" s="2936"/>
      <c r="VEP67" s="2936"/>
      <c r="VEQ67" s="2936"/>
      <c r="VER67" s="2936"/>
      <c r="VES67" s="2936"/>
      <c r="VET67" s="2936"/>
      <c r="VEU67" s="2936"/>
      <c r="VEV67" s="2936"/>
      <c r="VEW67" s="2936"/>
      <c r="VEX67" s="2936"/>
      <c r="VEY67" s="2936"/>
      <c r="VEZ67" s="2936"/>
      <c r="VFA67" s="2936"/>
      <c r="VFB67" s="2936"/>
      <c r="VFC67" s="2936"/>
      <c r="VFD67" s="2936"/>
      <c r="VFE67" s="2936"/>
      <c r="VFF67" s="2936"/>
      <c r="VFG67" s="2936"/>
      <c r="VFH67" s="2936"/>
      <c r="VFI67" s="2936"/>
      <c r="VFJ67" s="2936"/>
      <c r="VFK67" s="2936"/>
      <c r="VFL67" s="2936"/>
      <c r="VFM67" s="2936"/>
      <c r="VFN67" s="2936"/>
      <c r="VFO67" s="2936"/>
      <c r="VFP67" s="2936"/>
      <c r="VFQ67" s="2936"/>
      <c r="VFR67" s="2936"/>
      <c r="VFS67" s="2936"/>
      <c r="VFT67" s="2936"/>
      <c r="VFU67" s="2936"/>
      <c r="VFV67" s="2936"/>
      <c r="VFW67" s="2936"/>
      <c r="VFX67" s="2936"/>
      <c r="VFY67" s="2936"/>
      <c r="VFZ67" s="2936"/>
      <c r="VGA67" s="2936"/>
      <c r="VGB67" s="2936"/>
      <c r="VGC67" s="2936"/>
      <c r="VGD67" s="2936"/>
      <c r="VGE67" s="2936"/>
      <c r="VGF67" s="2936"/>
      <c r="VGG67" s="2936"/>
      <c r="VGH67" s="2936"/>
      <c r="VGI67" s="2936"/>
      <c r="VGJ67" s="2936"/>
      <c r="VGK67" s="2936"/>
      <c r="VGL67" s="2936"/>
      <c r="VGM67" s="2936"/>
      <c r="VGN67" s="2936"/>
      <c r="VGO67" s="2936"/>
      <c r="VGP67" s="2936"/>
      <c r="VGQ67" s="2936"/>
      <c r="VGR67" s="2936"/>
      <c r="VGS67" s="2936"/>
      <c r="VGT67" s="2936"/>
      <c r="VGU67" s="2936"/>
      <c r="VGV67" s="2936"/>
      <c r="VGW67" s="2936"/>
      <c r="VGX67" s="2936"/>
      <c r="VGY67" s="2936"/>
      <c r="VGZ67" s="2936"/>
      <c r="VHA67" s="2936"/>
      <c r="VHB67" s="2936"/>
      <c r="VHC67" s="2936"/>
      <c r="VHD67" s="2936"/>
      <c r="VHE67" s="2936"/>
      <c r="VHF67" s="2936"/>
      <c r="VHG67" s="2936"/>
      <c r="VHH67" s="2936"/>
      <c r="VHI67" s="2936"/>
      <c r="VHJ67" s="2936"/>
      <c r="VHK67" s="2936"/>
      <c r="VHL67" s="2936"/>
      <c r="VHM67" s="2936"/>
      <c r="VHN67" s="2936"/>
      <c r="VHO67" s="2936"/>
      <c r="VHP67" s="2936"/>
      <c r="VHQ67" s="2936"/>
      <c r="VHR67" s="2936"/>
      <c r="VHS67" s="2936"/>
      <c r="VHT67" s="2936"/>
      <c r="VHU67" s="2936"/>
      <c r="VHV67" s="2936"/>
      <c r="VHW67" s="2936"/>
      <c r="VHX67" s="2936"/>
      <c r="VHY67" s="2936"/>
      <c r="VHZ67" s="2936"/>
      <c r="VIA67" s="2936"/>
      <c r="VIB67" s="2936"/>
      <c r="VIC67" s="2936"/>
      <c r="VID67" s="2936"/>
      <c r="VIE67" s="2936"/>
      <c r="VIF67" s="2936"/>
      <c r="VIG67" s="2936"/>
      <c r="VIH67" s="2936"/>
      <c r="VII67" s="2936"/>
      <c r="VIJ67" s="2936"/>
      <c r="VIK67" s="2936"/>
      <c r="VIL67" s="2936"/>
      <c r="VIM67" s="2936"/>
      <c r="VIN67" s="2936"/>
      <c r="VIO67" s="2936"/>
      <c r="VIP67" s="2936"/>
      <c r="VIQ67" s="2936"/>
      <c r="VIR67" s="2936"/>
      <c r="VIS67" s="2936"/>
      <c r="VIT67" s="2936"/>
      <c r="VIU67" s="2936"/>
      <c r="VIV67" s="2936"/>
      <c r="VIW67" s="2936"/>
      <c r="VIX67" s="2936"/>
      <c r="VIY67" s="2936"/>
      <c r="VIZ67" s="2936"/>
      <c r="VJA67" s="2936"/>
      <c r="VJB67" s="2936"/>
      <c r="VJC67" s="2936"/>
      <c r="VJD67" s="2936"/>
      <c r="VJE67" s="2936"/>
      <c r="VJF67" s="2936"/>
      <c r="VJG67" s="2936"/>
      <c r="VJH67" s="2936"/>
      <c r="VJI67" s="2936"/>
      <c r="VJJ67" s="2936"/>
      <c r="VJK67" s="2936"/>
      <c r="VJL67" s="2936"/>
      <c r="VJM67" s="2936"/>
      <c r="VJN67" s="2936"/>
      <c r="VJO67" s="2936"/>
      <c r="VJP67" s="2936"/>
      <c r="VJQ67" s="2936"/>
      <c r="VJR67" s="2936"/>
      <c r="VJS67" s="2936"/>
      <c r="VJT67" s="2936"/>
      <c r="VJU67" s="2936"/>
      <c r="VJV67" s="2936"/>
      <c r="VJW67" s="2936"/>
      <c r="VJX67" s="2936"/>
      <c r="VJY67" s="2936"/>
      <c r="VJZ67" s="2936"/>
      <c r="VKA67" s="2936"/>
      <c r="VKB67" s="2936"/>
      <c r="VKC67" s="2936"/>
      <c r="VKD67" s="2936"/>
      <c r="VKE67" s="2936"/>
      <c r="VKF67" s="2936"/>
      <c r="VKG67" s="2936"/>
      <c r="VKH67" s="2936"/>
      <c r="VKI67" s="2936"/>
      <c r="VKJ67" s="2936"/>
      <c r="VKK67" s="2936"/>
      <c r="VKL67" s="2936"/>
      <c r="VKM67" s="2936"/>
      <c r="VKN67" s="2936"/>
      <c r="VKO67" s="2936"/>
      <c r="VKP67" s="2936"/>
      <c r="VKQ67" s="2936"/>
      <c r="VKR67" s="2936"/>
      <c r="VKS67" s="2936"/>
      <c r="VKT67" s="2936"/>
      <c r="VKU67" s="2936"/>
      <c r="VKV67" s="2936"/>
      <c r="VKW67" s="2936"/>
      <c r="VKX67" s="2936"/>
      <c r="VKY67" s="2936"/>
      <c r="VKZ67" s="2936"/>
      <c r="VLA67" s="2936"/>
      <c r="VLB67" s="2936"/>
      <c r="VLC67" s="2936"/>
      <c r="VLD67" s="2936"/>
      <c r="VLE67" s="2936"/>
      <c r="VLF67" s="2936"/>
      <c r="VLG67" s="2936"/>
      <c r="VLH67" s="2936"/>
      <c r="VLI67" s="2936"/>
      <c r="VLJ67" s="2936"/>
      <c r="VLK67" s="2936"/>
      <c r="VLL67" s="2936"/>
      <c r="VLM67" s="2936"/>
      <c r="VLN67" s="2936"/>
      <c r="VLO67" s="2936"/>
      <c r="VLP67" s="2936"/>
      <c r="VLQ67" s="2936"/>
      <c r="VLR67" s="2936"/>
      <c r="VLS67" s="2936"/>
      <c r="VLT67" s="2936"/>
      <c r="VLU67" s="2936"/>
      <c r="VLV67" s="2936"/>
      <c r="VLW67" s="2936"/>
      <c r="VLX67" s="2936"/>
      <c r="VLY67" s="2936"/>
      <c r="VLZ67" s="2936"/>
      <c r="VMA67" s="2936"/>
      <c r="VMB67" s="2936"/>
      <c r="VMC67" s="2936"/>
      <c r="VMD67" s="2936"/>
      <c r="VME67" s="2936"/>
      <c r="VMF67" s="2936"/>
      <c r="VMG67" s="2936"/>
      <c r="VMH67" s="2936"/>
      <c r="VMI67" s="2936"/>
      <c r="VMJ67" s="2936"/>
      <c r="VMK67" s="2936"/>
      <c r="VML67" s="2936"/>
      <c r="VMM67" s="2936"/>
      <c r="VMN67" s="2936"/>
      <c r="VMO67" s="2936"/>
      <c r="VMP67" s="2936"/>
      <c r="VMQ67" s="2936"/>
      <c r="VMR67" s="2936"/>
      <c r="VMS67" s="2936"/>
      <c r="VMT67" s="2936"/>
      <c r="VMU67" s="2936"/>
      <c r="VMV67" s="2936"/>
      <c r="VMW67" s="2936"/>
      <c r="VMX67" s="2936"/>
      <c r="VMY67" s="2936"/>
      <c r="VMZ67" s="2936"/>
      <c r="VNA67" s="2936"/>
      <c r="VNB67" s="2936"/>
      <c r="VNC67" s="2936"/>
      <c r="VND67" s="2936"/>
      <c r="VNE67" s="2936"/>
      <c r="VNF67" s="2936"/>
      <c r="VNG67" s="2936"/>
      <c r="VNH67" s="2936"/>
      <c r="VNI67" s="2936"/>
      <c r="VNJ67" s="2936"/>
      <c r="VNK67" s="2936"/>
      <c r="VNL67" s="2936"/>
      <c r="VNM67" s="2936"/>
      <c r="VNN67" s="2936"/>
      <c r="VNO67" s="2936"/>
      <c r="VNP67" s="2936"/>
      <c r="VNQ67" s="2936"/>
      <c r="VNR67" s="2936"/>
      <c r="VNS67" s="2936"/>
      <c r="VNT67" s="2936"/>
      <c r="VNU67" s="2936"/>
      <c r="VNV67" s="2936"/>
      <c r="VNW67" s="2936"/>
      <c r="VNX67" s="2936"/>
      <c r="VNY67" s="2936"/>
      <c r="VNZ67" s="2936"/>
      <c r="VOA67" s="2936"/>
      <c r="VOB67" s="2936"/>
      <c r="VOC67" s="2936"/>
      <c r="VOD67" s="2936"/>
      <c r="VOE67" s="2936"/>
      <c r="VOF67" s="2936"/>
      <c r="VOG67" s="2936"/>
      <c r="VOH67" s="2936"/>
      <c r="VOI67" s="2936"/>
      <c r="VOJ67" s="2936"/>
      <c r="VOK67" s="2936"/>
      <c r="VOL67" s="2936"/>
      <c r="VOM67" s="2936"/>
      <c r="VON67" s="2936"/>
      <c r="VOO67" s="2936"/>
      <c r="VOP67" s="2936"/>
      <c r="VOQ67" s="2936"/>
      <c r="VOR67" s="2936"/>
      <c r="VOS67" s="2936"/>
      <c r="VOT67" s="2936"/>
      <c r="VOU67" s="2936"/>
      <c r="VOV67" s="2936"/>
      <c r="VOW67" s="2936"/>
      <c r="VOX67" s="2936"/>
      <c r="VOY67" s="2936"/>
      <c r="VOZ67" s="2936"/>
      <c r="VPA67" s="2936"/>
      <c r="VPB67" s="2936"/>
      <c r="VPC67" s="2936"/>
      <c r="VPD67" s="2936"/>
      <c r="VPE67" s="2936"/>
      <c r="VPF67" s="2936"/>
      <c r="VPG67" s="2936"/>
      <c r="VPH67" s="2936"/>
      <c r="VPI67" s="2936"/>
      <c r="VPJ67" s="2936"/>
      <c r="VPK67" s="2936"/>
      <c r="VPL67" s="2936"/>
      <c r="VPM67" s="2936"/>
      <c r="VPN67" s="2936"/>
      <c r="VPO67" s="2936"/>
      <c r="VPP67" s="2936"/>
      <c r="VPQ67" s="2936"/>
      <c r="VPR67" s="2936"/>
      <c r="VPS67" s="2936"/>
      <c r="VPT67" s="2936"/>
      <c r="VPU67" s="2936"/>
      <c r="VPV67" s="2936"/>
      <c r="VPW67" s="2936"/>
      <c r="VPX67" s="2936"/>
      <c r="VPY67" s="2936"/>
      <c r="VPZ67" s="2936"/>
      <c r="VQA67" s="2936"/>
      <c r="VQB67" s="2936"/>
      <c r="VQC67" s="2936"/>
      <c r="VQD67" s="2936"/>
      <c r="VQE67" s="2936"/>
      <c r="VQF67" s="2936"/>
      <c r="VQG67" s="2936"/>
      <c r="VQH67" s="2936"/>
      <c r="VQI67" s="2936"/>
      <c r="VQJ67" s="2936"/>
      <c r="VQK67" s="2936"/>
      <c r="VQL67" s="2936"/>
      <c r="VQM67" s="2936"/>
      <c r="VQN67" s="2936"/>
      <c r="VQO67" s="2936"/>
      <c r="VQP67" s="2936"/>
      <c r="VQQ67" s="2936"/>
      <c r="VQR67" s="2936"/>
      <c r="VQS67" s="2936"/>
      <c r="VQT67" s="2936"/>
      <c r="VQU67" s="2936"/>
      <c r="VQV67" s="2936"/>
      <c r="VQW67" s="2936"/>
      <c r="VQX67" s="2936"/>
      <c r="VQY67" s="2936"/>
      <c r="VQZ67" s="2936"/>
      <c r="VRA67" s="2936"/>
      <c r="VRB67" s="2936"/>
      <c r="VRC67" s="2936"/>
      <c r="VRD67" s="2936"/>
      <c r="VRE67" s="2936"/>
      <c r="VRF67" s="2936"/>
      <c r="VRG67" s="2936"/>
      <c r="VRH67" s="2936"/>
      <c r="VRI67" s="2936"/>
      <c r="VRJ67" s="2936"/>
      <c r="VRK67" s="2936"/>
      <c r="VRL67" s="2936"/>
      <c r="VRM67" s="2936"/>
      <c r="VRN67" s="2936"/>
      <c r="VRO67" s="2936"/>
      <c r="VRP67" s="2936"/>
      <c r="VRQ67" s="2936"/>
      <c r="VRR67" s="2936"/>
      <c r="VRS67" s="2936"/>
      <c r="VRT67" s="2936"/>
      <c r="VRU67" s="2936"/>
      <c r="VRV67" s="2936"/>
      <c r="VRW67" s="2936"/>
      <c r="VRX67" s="2936"/>
      <c r="VRY67" s="2936"/>
      <c r="VRZ67" s="2936"/>
      <c r="VSA67" s="2936"/>
      <c r="VSB67" s="2936"/>
      <c r="VSC67" s="2936"/>
      <c r="VSD67" s="2936"/>
      <c r="VSE67" s="2936"/>
      <c r="VSF67" s="2936"/>
      <c r="VSG67" s="2936"/>
      <c r="VSH67" s="2936"/>
      <c r="VSI67" s="2936"/>
      <c r="VSJ67" s="2936"/>
      <c r="VSK67" s="2936"/>
      <c r="VSL67" s="2936"/>
      <c r="VSM67" s="2936"/>
      <c r="VSN67" s="2936"/>
      <c r="VSO67" s="2936"/>
      <c r="VSP67" s="2936"/>
      <c r="VSQ67" s="2936"/>
      <c r="VSR67" s="2936"/>
      <c r="VSS67" s="2936"/>
      <c r="VST67" s="2936"/>
      <c r="VSU67" s="2936"/>
      <c r="VSV67" s="2936"/>
      <c r="VSW67" s="2936"/>
      <c r="VSX67" s="2936"/>
      <c r="VSY67" s="2936"/>
      <c r="VSZ67" s="2936"/>
      <c r="VTA67" s="2936"/>
      <c r="VTB67" s="2936"/>
      <c r="VTC67" s="2936"/>
      <c r="VTD67" s="2936"/>
      <c r="VTE67" s="2936"/>
      <c r="VTF67" s="2936"/>
      <c r="VTG67" s="2936"/>
      <c r="VTH67" s="2936"/>
      <c r="VTI67" s="2936"/>
      <c r="VTJ67" s="2936"/>
      <c r="VTK67" s="2936"/>
      <c r="VTL67" s="2936"/>
      <c r="VTM67" s="2936"/>
      <c r="VTN67" s="2936"/>
      <c r="VTO67" s="2936"/>
      <c r="VTP67" s="2936"/>
      <c r="VTQ67" s="2936"/>
      <c r="VTR67" s="2936"/>
      <c r="VTS67" s="2936"/>
      <c r="VTT67" s="2936"/>
      <c r="VTU67" s="2936"/>
      <c r="VTV67" s="2936"/>
      <c r="VTW67" s="2936"/>
      <c r="VTX67" s="2936"/>
      <c r="VTY67" s="2936"/>
      <c r="VTZ67" s="2936"/>
      <c r="VUA67" s="2936"/>
      <c r="VUB67" s="2936"/>
      <c r="VUC67" s="2936"/>
      <c r="VUD67" s="2936"/>
      <c r="VUE67" s="2936"/>
      <c r="VUF67" s="2936"/>
      <c r="VUG67" s="2936"/>
      <c r="VUH67" s="2936"/>
      <c r="VUI67" s="2936"/>
      <c r="VUJ67" s="2936"/>
      <c r="VUK67" s="2936"/>
      <c r="VUL67" s="2936"/>
      <c r="VUM67" s="2936"/>
      <c r="VUN67" s="2936"/>
      <c r="VUO67" s="2936"/>
      <c r="VUP67" s="2936"/>
      <c r="VUQ67" s="2936"/>
      <c r="VUR67" s="2936"/>
      <c r="VUS67" s="2936"/>
      <c r="VUT67" s="2936"/>
      <c r="VUU67" s="2936"/>
      <c r="VUV67" s="2936"/>
      <c r="VUW67" s="2936"/>
      <c r="VUX67" s="2936"/>
      <c r="VUY67" s="2936"/>
      <c r="VUZ67" s="2936"/>
      <c r="VVA67" s="2936"/>
      <c r="VVB67" s="2936"/>
      <c r="VVC67" s="2936"/>
      <c r="VVD67" s="2936"/>
      <c r="VVE67" s="2936"/>
      <c r="VVF67" s="2936"/>
      <c r="VVG67" s="2936"/>
      <c r="VVH67" s="2936"/>
      <c r="VVI67" s="2936"/>
      <c r="VVJ67" s="2936"/>
      <c r="VVK67" s="2936"/>
      <c r="VVL67" s="2936"/>
      <c r="VVM67" s="2936"/>
      <c r="VVN67" s="2936"/>
      <c r="VVO67" s="2936"/>
      <c r="VVP67" s="2936"/>
      <c r="VVQ67" s="2936"/>
      <c r="VVR67" s="2936"/>
      <c r="VVS67" s="2936"/>
      <c r="VVT67" s="2936"/>
      <c r="VVU67" s="2936"/>
      <c r="VVV67" s="2936"/>
      <c r="VVW67" s="2936"/>
      <c r="VVX67" s="2936"/>
      <c r="VVY67" s="2936"/>
      <c r="VVZ67" s="2936"/>
      <c r="VWA67" s="2936"/>
      <c r="VWB67" s="2936"/>
      <c r="VWC67" s="2936"/>
      <c r="VWD67" s="2936"/>
      <c r="VWE67" s="2936"/>
      <c r="VWF67" s="2936"/>
      <c r="VWG67" s="2936"/>
      <c r="VWH67" s="2936"/>
      <c r="VWI67" s="2936"/>
      <c r="VWJ67" s="2936"/>
      <c r="VWK67" s="2936"/>
      <c r="VWL67" s="2936"/>
      <c r="VWM67" s="2936"/>
      <c r="VWN67" s="2936"/>
      <c r="VWO67" s="2936"/>
      <c r="VWP67" s="2936"/>
      <c r="VWQ67" s="2936"/>
      <c r="VWR67" s="2936"/>
      <c r="VWS67" s="2936"/>
      <c r="VWT67" s="2936"/>
      <c r="VWU67" s="2936"/>
      <c r="VWV67" s="2936"/>
      <c r="VWW67" s="2936"/>
      <c r="VWX67" s="2936"/>
      <c r="VWY67" s="2936"/>
      <c r="VWZ67" s="2936"/>
      <c r="VXA67" s="2936"/>
      <c r="VXB67" s="2936"/>
      <c r="VXC67" s="2936"/>
      <c r="VXD67" s="2936"/>
      <c r="VXE67" s="2936"/>
      <c r="VXF67" s="2936"/>
      <c r="VXG67" s="2936"/>
      <c r="VXH67" s="2936"/>
      <c r="VXI67" s="2936"/>
      <c r="VXJ67" s="2936"/>
      <c r="VXK67" s="2936"/>
      <c r="VXL67" s="2936"/>
      <c r="VXM67" s="2936"/>
      <c r="VXN67" s="2936"/>
      <c r="VXO67" s="2936"/>
      <c r="VXP67" s="2936"/>
      <c r="VXQ67" s="2936"/>
      <c r="VXR67" s="2936"/>
      <c r="VXS67" s="2936"/>
      <c r="VXT67" s="2936"/>
      <c r="VXU67" s="2936"/>
      <c r="VXV67" s="2936"/>
      <c r="VXW67" s="2936"/>
      <c r="VXX67" s="2936"/>
      <c r="VXY67" s="2936"/>
      <c r="VXZ67" s="2936"/>
      <c r="VYA67" s="2936"/>
      <c r="VYB67" s="2936"/>
      <c r="VYC67" s="2936"/>
      <c r="VYD67" s="2936"/>
      <c r="VYE67" s="2936"/>
      <c r="VYF67" s="2936"/>
      <c r="VYG67" s="2936"/>
      <c r="VYH67" s="2936"/>
      <c r="VYI67" s="2936"/>
      <c r="VYJ67" s="2936"/>
      <c r="VYK67" s="2936"/>
      <c r="VYL67" s="2936"/>
      <c r="VYM67" s="2936"/>
      <c r="VYN67" s="2936"/>
      <c r="VYO67" s="2936"/>
      <c r="VYP67" s="2936"/>
      <c r="VYQ67" s="2936"/>
      <c r="VYR67" s="2936"/>
      <c r="VYS67" s="2936"/>
      <c r="VYT67" s="2936"/>
      <c r="VYU67" s="2936"/>
      <c r="VYV67" s="2936"/>
      <c r="VYW67" s="2936"/>
      <c r="VYX67" s="2936"/>
      <c r="VYY67" s="2936"/>
      <c r="VYZ67" s="2936"/>
      <c r="VZA67" s="2936"/>
      <c r="VZB67" s="2936"/>
      <c r="VZC67" s="2936"/>
      <c r="VZD67" s="2936"/>
      <c r="VZE67" s="2936"/>
      <c r="VZF67" s="2936"/>
      <c r="VZG67" s="2936"/>
      <c r="VZH67" s="2936"/>
      <c r="VZI67" s="2936"/>
      <c r="VZJ67" s="2936"/>
      <c r="VZK67" s="2936"/>
      <c r="VZL67" s="2936"/>
      <c r="VZM67" s="2936"/>
      <c r="VZN67" s="2936"/>
      <c r="VZO67" s="2936"/>
      <c r="VZP67" s="2936"/>
      <c r="VZQ67" s="2936"/>
      <c r="VZR67" s="2936"/>
      <c r="VZS67" s="2936"/>
      <c r="VZT67" s="2936"/>
      <c r="VZU67" s="2936"/>
      <c r="VZV67" s="2936"/>
      <c r="VZW67" s="2936"/>
      <c r="VZX67" s="2936"/>
      <c r="VZY67" s="2936"/>
      <c r="VZZ67" s="2936"/>
      <c r="WAA67" s="2936"/>
      <c r="WAB67" s="2936"/>
      <c r="WAC67" s="2936"/>
      <c r="WAD67" s="2936"/>
      <c r="WAE67" s="2936"/>
      <c r="WAF67" s="2936"/>
      <c r="WAG67" s="2936"/>
      <c r="WAH67" s="2936"/>
      <c r="WAI67" s="2936"/>
      <c r="WAJ67" s="2936"/>
      <c r="WAK67" s="2936"/>
      <c r="WAL67" s="2936"/>
      <c r="WAM67" s="2936"/>
      <c r="WAN67" s="2936"/>
      <c r="WAO67" s="2936"/>
      <c r="WAP67" s="2936"/>
      <c r="WAQ67" s="2936"/>
      <c r="WAR67" s="2936"/>
      <c r="WAS67" s="2936"/>
      <c r="WAT67" s="2936"/>
      <c r="WAU67" s="2936"/>
      <c r="WAV67" s="2936"/>
      <c r="WAW67" s="2936"/>
      <c r="WAX67" s="2936"/>
      <c r="WAY67" s="2936"/>
      <c r="WAZ67" s="2936"/>
      <c r="WBA67" s="2936"/>
      <c r="WBB67" s="2936"/>
      <c r="WBC67" s="2936"/>
      <c r="WBD67" s="2936"/>
      <c r="WBE67" s="2936"/>
      <c r="WBF67" s="2936"/>
      <c r="WBG67" s="2936"/>
      <c r="WBH67" s="2936"/>
      <c r="WBI67" s="2936"/>
      <c r="WBJ67" s="2936"/>
      <c r="WBK67" s="2936"/>
      <c r="WBL67" s="2936"/>
      <c r="WBM67" s="2936"/>
      <c r="WBN67" s="2936"/>
      <c r="WBO67" s="2936"/>
      <c r="WBP67" s="2936"/>
      <c r="WBQ67" s="2936"/>
      <c r="WBR67" s="2936"/>
      <c r="WBS67" s="2936"/>
      <c r="WBT67" s="2936"/>
      <c r="WBU67" s="2936"/>
      <c r="WBV67" s="2936"/>
      <c r="WBW67" s="2936"/>
      <c r="WBX67" s="2936"/>
      <c r="WBY67" s="2936"/>
      <c r="WBZ67" s="2936"/>
      <c r="WCA67" s="2936"/>
      <c r="WCB67" s="2936"/>
      <c r="WCC67" s="2936"/>
      <c r="WCD67" s="2936"/>
      <c r="WCE67" s="2936"/>
      <c r="WCF67" s="2936"/>
      <c r="WCG67" s="2936"/>
      <c r="WCH67" s="2936"/>
      <c r="WCI67" s="2936"/>
      <c r="WCJ67" s="2936"/>
      <c r="WCK67" s="2936"/>
      <c r="WCL67" s="2936"/>
      <c r="WCM67" s="2936"/>
      <c r="WCN67" s="2936"/>
      <c r="WCO67" s="2936"/>
      <c r="WCP67" s="2936"/>
      <c r="WCQ67" s="2936"/>
      <c r="WCR67" s="2936"/>
      <c r="WCS67" s="2936"/>
      <c r="WCT67" s="2936"/>
      <c r="WCU67" s="2936"/>
      <c r="WCV67" s="2936"/>
      <c r="WCW67" s="2936"/>
      <c r="WCX67" s="2936"/>
      <c r="WCY67" s="2936"/>
      <c r="WCZ67" s="2936"/>
      <c r="WDA67" s="2936"/>
      <c r="WDB67" s="2936"/>
      <c r="WDC67" s="2936"/>
      <c r="WDD67" s="2936"/>
      <c r="WDE67" s="2936"/>
      <c r="WDF67" s="2936"/>
      <c r="WDG67" s="2936"/>
      <c r="WDH67" s="2936"/>
      <c r="WDI67" s="2936"/>
      <c r="WDJ67" s="2936"/>
      <c r="WDK67" s="2936"/>
      <c r="WDL67" s="2936"/>
      <c r="WDM67" s="2936"/>
      <c r="WDN67" s="2936"/>
      <c r="WDO67" s="2936"/>
      <c r="WDP67" s="2936"/>
      <c r="WDQ67" s="2936"/>
      <c r="WDR67" s="2936"/>
      <c r="WDS67" s="2936"/>
      <c r="WDT67" s="2936"/>
      <c r="WDU67" s="2936"/>
      <c r="WDV67" s="2936"/>
      <c r="WDW67" s="2936"/>
      <c r="WDX67" s="2936"/>
      <c r="WDY67" s="2936"/>
      <c r="WDZ67" s="2936"/>
      <c r="WEA67" s="2936"/>
      <c r="WEB67" s="2936"/>
      <c r="WEC67" s="2936"/>
      <c r="WED67" s="2936"/>
      <c r="WEE67" s="2936"/>
      <c r="WEF67" s="2936"/>
      <c r="WEG67" s="2936"/>
      <c r="WEH67" s="2936"/>
      <c r="WEI67" s="2936"/>
      <c r="WEJ67" s="2936"/>
      <c r="WEK67" s="2936"/>
      <c r="WEL67" s="2936"/>
      <c r="WEM67" s="2936"/>
      <c r="WEN67" s="2936"/>
      <c r="WEO67" s="2936"/>
      <c r="WEP67" s="2936"/>
      <c r="WEQ67" s="2936"/>
      <c r="WER67" s="2936"/>
      <c r="WES67" s="2936"/>
      <c r="WET67" s="2936"/>
      <c r="WEU67" s="2936"/>
      <c r="WEV67" s="2936"/>
      <c r="WEW67" s="2936"/>
      <c r="WEX67" s="2936"/>
      <c r="WEY67" s="2936"/>
      <c r="WEZ67" s="2936"/>
      <c r="WFA67" s="2936"/>
      <c r="WFB67" s="2936"/>
      <c r="WFC67" s="2936"/>
      <c r="WFD67" s="2936"/>
      <c r="WFE67" s="2936"/>
      <c r="WFF67" s="2936"/>
      <c r="WFG67" s="2936"/>
      <c r="WFH67" s="2936"/>
      <c r="WFI67" s="2936"/>
      <c r="WFJ67" s="2936"/>
      <c r="WFK67" s="2936"/>
      <c r="WFL67" s="2936"/>
      <c r="WFM67" s="2936"/>
      <c r="WFN67" s="2936"/>
      <c r="WFO67" s="2936"/>
      <c r="WFP67" s="2936"/>
      <c r="WFQ67" s="2936"/>
      <c r="WFR67" s="2936"/>
      <c r="WFS67" s="2936"/>
      <c r="WFT67" s="2936"/>
      <c r="WFU67" s="2936"/>
      <c r="WFV67" s="2936"/>
      <c r="WFW67" s="2936"/>
      <c r="WFX67" s="2936"/>
      <c r="WFY67" s="2936"/>
      <c r="WFZ67" s="2936"/>
      <c r="WGA67" s="2936"/>
      <c r="WGB67" s="2936"/>
      <c r="WGC67" s="2936"/>
      <c r="WGD67" s="2936"/>
      <c r="WGE67" s="2936"/>
      <c r="WGF67" s="2936"/>
      <c r="WGG67" s="2936"/>
      <c r="WGH67" s="2936"/>
      <c r="WGI67" s="2936"/>
      <c r="WGJ67" s="2936"/>
      <c r="WGK67" s="2936"/>
      <c r="WGL67" s="2936"/>
      <c r="WGM67" s="2936"/>
      <c r="WGN67" s="2936"/>
      <c r="WGO67" s="2936"/>
      <c r="WGP67" s="2936"/>
      <c r="WGQ67" s="2936"/>
      <c r="WGR67" s="2936"/>
      <c r="WGS67" s="2936"/>
      <c r="WGT67" s="2936"/>
      <c r="WGU67" s="2936"/>
      <c r="WGV67" s="2936"/>
      <c r="WGW67" s="2936"/>
      <c r="WGX67" s="2936"/>
      <c r="WGY67" s="2936"/>
      <c r="WGZ67" s="2936"/>
      <c r="WHA67" s="2936"/>
      <c r="WHB67" s="2936"/>
      <c r="WHC67" s="2936"/>
      <c r="WHD67" s="2936"/>
      <c r="WHE67" s="2936"/>
      <c r="WHF67" s="2936"/>
      <c r="WHG67" s="2936"/>
      <c r="WHH67" s="2936"/>
      <c r="WHI67" s="2936"/>
      <c r="WHJ67" s="2936"/>
      <c r="WHK67" s="2936"/>
      <c r="WHL67" s="2936"/>
      <c r="WHM67" s="2936"/>
      <c r="WHN67" s="2936"/>
      <c r="WHO67" s="2936"/>
      <c r="WHP67" s="2936"/>
      <c r="WHQ67" s="2936"/>
      <c r="WHR67" s="2936"/>
      <c r="WHS67" s="2936"/>
      <c r="WHT67" s="2936"/>
      <c r="WHU67" s="2936"/>
      <c r="WHV67" s="2936"/>
      <c r="WHW67" s="2936"/>
      <c r="WHX67" s="2936"/>
      <c r="WHY67" s="2936"/>
      <c r="WHZ67" s="2936"/>
      <c r="WIA67" s="2936"/>
      <c r="WIB67" s="2936"/>
      <c r="WIC67" s="2936"/>
      <c r="WID67" s="2936"/>
      <c r="WIE67" s="2936"/>
      <c r="WIF67" s="2936"/>
      <c r="WIG67" s="2936"/>
      <c r="WIH67" s="2936"/>
      <c r="WII67" s="2936"/>
      <c r="WIJ67" s="2936"/>
      <c r="WIK67" s="2936"/>
      <c r="WIL67" s="2936"/>
      <c r="WIM67" s="2936"/>
      <c r="WIN67" s="2936"/>
      <c r="WIO67" s="2936"/>
      <c r="WIP67" s="2936"/>
      <c r="WIQ67" s="2936"/>
      <c r="WIR67" s="2936"/>
      <c r="WIS67" s="2936"/>
      <c r="WIT67" s="2936"/>
      <c r="WIU67" s="2936"/>
      <c r="WIV67" s="2936"/>
      <c r="WIW67" s="2936"/>
      <c r="WIX67" s="2936"/>
      <c r="WIY67" s="2936"/>
      <c r="WIZ67" s="2936"/>
      <c r="WJA67" s="2936"/>
      <c r="WJB67" s="2936"/>
      <c r="WJC67" s="2936"/>
      <c r="WJD67" s="2936"/>
      <c r="WJE67" s="2936"/>
      <c r="WJF67" s="2936"/>
      <c r="WJG67" s="2936"/>
      <c r="WJH67" s="2936"/>
      <c r="WJI67" s="2936"/>
      <c r="WJJ67" s="2936"/>
      <c r="WJK67" s="2936"/>
      <c r="WJL67" s="2936"/>
      <c r="WJM67" s="2936"/>
      <c r="WJN67" s="2936"/>
      <c r="WJO67" s="2936"/>
      <c r="WJP67" s="2936"/>
      <c r="WJQ67" s="2936"/>
      <c r="WJR67" s="2936"/>
      <c r="WJS67" s="2936"/>
      <c r="WJT67" s="2936"/>
      <c r="WJU67" s="2936"/>
      <c r="WJV67" s="2936"/>
      <c r="WJW67" s="2936"/>
      <c r="WJX67" s="2936"/>
      <c r="WJY67" s="2936"/>
      <c r="WJZ67" s="2936"/>
      <c r="WKA67" s="2936"/>
      <c r="WKB67" s="2936"/>
      <c r="WKC67" s="2936"/>
      <c r="WKD67" s="2936"/>
      <c r="WKE67" s="2936"/>
      <c r="WKF67" s="2936"/>
      <c r="WKG67" s="2936"/>
      <c r="WKH67" s="2936"/>
      <c r="WKI67" s="2936"/>
      <c r="WKJ67" s="2936"/>
      <c r="WKK67" s="2936"/>
      <c r="WKL67" s="2936"/>
      <c r="WKM67" s="2936"/>
      <c r="WKN67" s="2936"/>
      <c r="WKO67" s="2936"/>
      <c r="WKP67" s="2936"/>
      <c r="WKQ67" s="2936"/>
      <c r="WKR67" s="2936"/>
      <c r="WKS67" s="2936"/>
      <c r="WKT67" s="2936"/>
      <c r="WKU67" s="2936"/>
      <c r="WKV67" s="2936"/>
      <c r="WKW67" s="2936"/>
      <c r="WKX67" s="2936"/>
      <c r="WKY67" s="2936"/>
      <c r="WKZ67" s="2936"/>
      <c r="WLA67" s="2936"/>
      <c r="WLB67" s="2936"/>
      <c r="WLC67" s="2936"/>
      <c r="WLD67" s="2936"/>
      <c r="WLE67" s="2936"/>
      <c r="WLF67" s="2936"/>
      <c r="WLG67" s="2936"/>
      <c r="WLH67" s="2936"/>
      <c r="WLI67" s="2936"/>
      <c r="WLJ67" s="2936"/>
      <c r="WLK67" s="2936"/>
      <c r="WLL67" s="2936"/>
      <c r="WLM67" s="2936"/>
      <c r="WLN67" s="2936"/>
      <c r="WLO67" s="2936"/>
      <c r="WLP67" s="2936"/>
      <c r="WLQ67" s="2936"/>
      <c r="WLR67" s="2936"/>
      <c r="WLS67" s="2936"/>
      <c r="WLT67" s="2936"/>
      <c r="WLU67" s="2936"/>
      <c r="WLV67" s="2936"/>
      <c r="WLW67" s="2936"/>
      <c r="WLX67" s="2936"/>
      <c r="WLY67" s="2936"/>
      <c r="WLZ67" s="2936"/>
      <c r="WMA67" s="2936"/>
      <c r="WMB67" s="2936"/>
      <c r="WMC67" s="2936"/>
      <c r="WMD67" s="2936"/>
      <c r="WME67" s="2936"/>
      <c r="WMF67" s="2936"/>
      <c r="WMG67" s="2936"/>
      <c r="WMH67" s="2936"/>
      <c r="WMI67" s="2936"/>
      <c r="WMJ67" s="2936"/>
      <c r="WMK67" s="2936"/>
      <c r="WML67" s="2936"/>
      <c r="WMM67" s="2936"/>
      <c r="WMN67" s="2936"/>
      <c r="WMO67" s="2936"/>
      <c r="WMP67" s="2936"/>
      <c r="WMQ67" s="2936"/>
      <c r="WMR67" s="2936"/>
      <c r="WMS67" s="2936"/>
      <c r="WMT67" s="2936"/>
      <c r="WMU67" s="2936"/>
      <c r="WMV67" s="2936"/>
      <c r="WMW67" s="2936"/>
      <c r="WMX67" s="2936"/>
      <c r="WMY67" s="2936"/>
      <c r="WMZ67" s="2936"/>
      <c r="WNA67" s="2936"/>
      <c r="WNB67" s="2936"/>
      <c r="WNC67" s="2936"/>
      <c r="WND67" s="2936"/>
      <c r="WNE67" s="2936"/>
      <c r="WNF67" s="2936"/>
      <c r="WNG67" s="2936"/>
      <c r="WNH67" s="2936"/>
      <c r="WNI67" s="2936"/>
      <c r="WNJ67" s="2936"/>
      <c r="WNK67" s="2936"/>
      <c r="WNL67" s="2936"/>
      <c r="WNM67" s="2936"/>
      <c r="WNN67" s="2936"/>
      <c r="WNO67" s="2936"/>
      <c r="WNP67" s="2936"/>
      <c r="WNQ67" s="2936"/>
      <c r="WNR67" s="2936"/>
      <c r="WNS67" s="2936"/>
      <c r="WNT67" s="2936"/>
      <c r="WNU67" s="2936"/>
      <c r="WNV67" s="2936"/>
      <c r="WNW67" s="2936"/>
      <c r="WNX67" s="2936"/>
      <c r="WNY67" s="2936"/>
      <c r="WNZ67" s="2936"/>
      <c r="WOA67" s="2936"/>
      <c r="WOB67" s="2936"/>
      <c r="WOC67" s="2936"/>
      <c r="WOD67" s="2936"/>
      <c r="WOE67" s="2936"/>
      <c r="WOF67" s="2936"/>
      <c r="WOG67" s="2936"/>
      <c r="WOH67" s="2936"/>
      <c r="WOI67" s="2936"/>
      <c r="WOJ67" s="2936"/>
      <c r="WOK67" s="2936"/>
      <c r="WOL67" s="2936"/>
      <c r="WOM67" s="2936"/>
      <c r="WON67" s="2936"/>
      <c r="WOO67" s="2936"/>
      <c r="WOP67" s="2936"/>
      <c r="WOQ67" s="2936"/>
      <c r="WOR67" s="2936"/>
      <c r="WOS67" s="2936"/>
      <c r="WOT67" s="2936"/>
      <c r="WOU67" s="2936"/>
      <c r="WOV67" s="2936"/>
      <c r="WOW67" s="2936"/>
      <c r="WOX67" s="2936"/>
      <c r="WOY67" s="2936"/>
      <c r="WOZ67" s="2936"/>
      <c r="WPA67" s="2936"/>
      <c r="WPB67" s="2936"/>
      <c r="WPC67" s="2936"/>
      <c r="WPD67" s="2936"/>
      <c r="WPE67" s="2936"/>
      <c r="WPF67" s="2936"/>
      <c r="WPG67" s="2936"/>
      <c r="WPH67" s="2936"/>
      <c r="WPI67" s="2936"/>
      <c r="WPJ67" s="2936"/>
      <c r="WPK67" s="2936"/>
      <c r="WPL67" s="2936"/>
      <c r="WPM67" s="2936"/>
      <c r="WPN67" s="2936"/>
      <c r="WPO67" s="2936"/>
      <c r="WPP67" s="2936"/>
      <c r="WPQ67" s="2936"/>
      <c r="WPR67" s="2936"/>
      <c r="WPS67" s="2936"/>
      <c r="WPT67" s="2936"/>
      <c r="WPU67" s="2936"/>
      <c r="WPV67" s="2936"/>
      <c r="WPW67" s="2936"/>
      <c r="WPX67" s="2936"/>
      <c r="WPY67" s="2936"/>
      <c r="WPZ67" s="2936"/>
      <c r="WQA67" s="2936"/>
      <c r="WQB67" s="2936"/>
      <c r="WQC67" s="2936"/>
      <c r="WQD67" s="2936"/>
      <c r="WQE67" s="2936"/>
      <c r="WQF67" s="2936"/>
      <c r="WQG67" s="2936"/>
      <c r="WQH67" s="2936"/>
      <c r="WQI67" s="2936"/>
      <c r="WQJ67" s="2936"/>
      <c r="WQK67" s="2936"/>
      <c r="WQL67" s="2936"/>
      <c r="WQM67" s="2936"/>
      <c r="WQN67" s="2936"/>
      <c r="WQO67" s="2936"/>
      <c r="WQP67" s="2936"/>
      <c r="WQQ67" s="2936"/>
      <c r="WQR67" s="2936"/>
      <c r="WQS67" s="2936"/>
      <c r="WQT67" s="2936"/>
      <c r="WQU67" s="2936"/>
      <c r="WQV67" s="2936"/>
      <c r="WQW67" s="2936"/>
      <c r="WQX67" s="2936"/>
      <c r="WQY67" s="2936"/>
      <c r="WQZ67" s="2936"/>
      <c r="WRA67" s="2936"/>
      <c r="WRB67" s="2936"/>
      <c r="WRC67" s="2936"/>
      <c r="WRD67" s="2936"/>
      <c r="WRE67" s="2936"/>
      <c r="WRF67" s="2936"/>
      <c r="WRG67" s="2936"/>
      <c r="WRH67" s="2936"/>
      <c r="WRI67" s="2936"/>
      <c r="WRJ67" s="2936"/>
      <c r="WRK67" s="2936"/>
      <c r="WRL67" s="2936"/>
      <c r="WRM67" s="2936"/>
      <c r="WRN67" s="2936"/>
      <c r="WRO67" s="2936"/>
      <c r="WRP67" s="2936"/>
      <c r="WRQ67" s="2936"/>
      <c r="WRR67" s="2936"/>
      <c r="WRS67" s="2936"/>
      <c r="WRT67" s="2936"/>
      <c r="WRU67" s="2936"/>
      <c r="WRV67" s="2936"/>
      <c r="WRW67" s="2936"/>
      <c r="WRX67" s="2936"/>
      <c r="WRY67" s="2936"/>
      <c r="WRZ67" s="2936"/>
      <c r="WSA67" s="2936"/>
      <c r="WSB67" s="2936"/>
      <c r="WSC67" s="2936"/>
      <c r="WSD67" s="2936"/>
      <c r="WSE67" s="2936"/>
      <c r="WSF67" s="2936"/>
      <c r="WSG67" s="2936"/>
      <c r="WSH67" s="2936"/>
      <c r="WSI67" s="2936"/>
      <c r="WSJ67" s="2936"/>
      <c r="WSK67" s="2936"/>
      <c r="WSL67" s="2936"/>
      <c r="WSM67" s="2936"/>
      <c r="WSN67" s="2936"/>
      <c r="WSO67" s="2936"/>
      <c r="WSP67" s="2936"/>
      <c r="WSQ67" s="2936"/>
      <c r="WSR67" s="2936"/>
      <c r="WSS67" s="2936"/>
      <c r="WST67" s="2936"/>
      <c r="WSU67" s="2936"/>
      <c r="WSV67" s="2936"/>
      <c r="WSW67" s="2936"/>
      <c r="WSX67" s="2936"/>
      <c r="WSY67" s="2936"/>
      <c r="WSZ67" s="2936"/>
      <c r="WTA67" s="2936"/>
      <c r="WTB67" s="2936"/>
      <c r="WTC67" s="2936"/>
      <c r="WTD67" s="2936"/>
      <c r="WTE67" s="2936"/>
      <c r="WTF67" s="2936"/>
      <c r="WTG67" s="2936"/>
      <c r="WTH67" s="2936"/>
      <c r="WTI67" s="2936"/>
      <c r="WTJ67" s="2936"/>
      <c r="WTK67" s="2936"/>
      <c r="WTL67" s="2936"/>
      <c r="WTM67" s="2936"/>
      <c r="WTN67" s="2936"/>
      <c r="WTO67" s="2936"/>
      <c r="WTP67" s="2936"/>
      <c r="WTQ67" s="2936"/>
      <c r="WTR67" s="2936"/>
      <c r="WTS67" s="2936"/>
      <c r="WTT67" s="2936"/>
      <c r="WTU67" s="2936"/>
      <c r="WTV67" s="2936"/>
      <c r="WTW67" s="2936"/>
      <c r="WTX67" s="2936"/>
      <c r="WTY67" s="2936"/>
      <c r="WTZ67" s="2936"/>
      <c r="WUA67" s="2936"/>
      <c r="WUB67" s="2936"/>
      <c r="WUC67" s="2936"/>
      <c r="WUD67" s="2936"/>
      <c r="WUE67" s="2936"/>
      <c r="WUF67" s="2936"/>
      <c r="WUG67" s="2936"/>
      <c r="WUH67" s="2936"/>
      <c r="WUI67" s="2936"/>
      <c r="WUJ67" s="2936"/>
      <c r="WUK67" s="2936"/>
      <c r="WUL67" s="2936"/>
      <c r="WUM67" s="2936"/>
      <c r="WUN67" s="2936"/>
      <c r="WUO67" s="2936"/>
      <c r="WUP67" s="2936"/>
      <c r="WUQ67" s="2936"/>
      <c r="WUR67" s="2936"/>
      <c r="WUS67" s="2936"/>
      <c r="WUT67" s="2936"/>
      <c r="WUU67" s="2936"/>
      <c r="WUV67" s="2936"/>
      <c r="WUW67" s="2936"/>
      <c r="WUX67" s="2936"/>
      <c r="WUY67" s="2936"/>
      <c r="WUZ67" s="2936"/>
      <c r="WVA67" s="2936"/>
      <c r="WVB67" s="2936"/>
      <c r="WVC67" s="2936"/>
      <c r="WVD67" s="2936"/>
      <c r="WVE67" s="2936"/>
      <c r="WVF67" s="2936"/>
      <c r="WVG67" s="2936"/>
      <c r="WVH67" s="2936"/>
      <c r="WVI67" s="2936"/>
      <c r="WVJ67" s="2936"/>
      <c r="WVK67" s="2936"/>
      <c r="WVL67" s="2936"/>
      <c r="WVM67" s="2936"/>
      <c r="WVN67" s="2936"/>
      <c r="WVO67" s="2936"/>
      <c r="WVP67" s="2936"/>
      <c r="WVQ67" s="2936"/>
      <c r="WVR67" s="2936"/>
      <c r="WVS67" s="2936"/>
      <c r="WVT67" s="2936"/>
      <c r="WVU67" s="2936"/>
      <c r="WVV67" s="2936"/>
      <c r="WVW67" s="2936"/>
      <c r="WVX67" s="2936"/>
      <c r="WVY67" s="2936"/>
      <c r="WVZ67" s="2936"/>
      <c r="WWA67" s="2936"/>
      <c r="WWB67" s="2936"/>
      <c r="WWC67" s="2936"/>
      <c r="WWD67" s="2936"/>
      <c r="WWE67" s="2936"/>
      <c r="WWF67" s="2936"/>
      <c r="WWG67" s="2936"/>
      <c r="WWH67" s="2936"/>
      <c r="WWI67" s="2936"/>
      <c r="WWJ67" s="2936"/>
      <c r="WWK67" s="2936"/>
      <c r="WWL67" s="2936"/>
      <c r="WWM67" s="2936"/>
      <c r="WWN67" s="2936"/>
      <c r="WWO67" s="2936"/>
      <c r="WWP67" s="2936"/>
      <c r="WWQ67" s="2936"/>
      <c r="WWR67" s="2936"/>
      <c r="WWS67" s="2936"/>
      <c r="WWT67" s="2936"/>
      <c r="WWU67" s="2936"/>
      <c r="WWV67" s="2936"/>
      <c r="WWW67" s="2936"/>
      <c r="WWX67" s="2936"/>
      <c r="WWY67" s="2936"/>
      <c r="WWZ67" s="2936"/>
      <c r="WXA67" s="2936"/>
      <c r="WXB67" s="2936"/>
      <c r="WXC67" s="2936"/>
      <c r="WXD67" s="2936"/>
      <c r="WXE67" s="2936"/>
      <c r="WXF67" s="2936"/>
      <c r="WXG67" s="2936"/>
      <c r="WXH67" s="2936"/>
      <c r="WXI67" s="2936"/>
      <c r="WXJ67" s="2936"/>
      <c r="WXK67" s="2936"/>
      <c r="WXL67" s="2936"/>
      <c r="WXM67" s="2936"/>
      <c r="WXN67" s="2936"/>
      <c r="WXO67" s="2936"/>
      <c r="WXP67" s="2936"/>
      <c r="WXQ67" s="2936"/>
      <c r="WXR67" s="2936"/>
      <c r="WXS67" s="2936"/>
      <c r="WXT67" s="2936"/>
      <c r="WXU67" s="2936"/>
      <c r="WXV67" s="2936"/>
      <c r="WXW67" s="2936"/>
      <c r="WXX67" s="2936"/>
      <c r="WXY67" s="2936"/>
      <c r="WXZ67" s="2936"/>
      <c r="WYA67" s="2936"/>
      <c r="WYB67" s="2936"/>
      <c r="WYC67" s="2936"/>
      <c r="WYD67" s="2936"/>
      <c r="WYE67" s="2936"/>
      <c r="WYF67" s="2936"/>
      <c r="WYG67" s="2936"/>
      <c r="WYH67" s="2936"/>
      <c r="WYI67" s="2936"/>
      <c r="WYJ67" s="2936"/>
      <c r="WYK67" s="2936"/>
      <c r="WYL67" s="2936"/>
      <c r="WYM67" s="2936"/>
      <c r="WYN67" s="2936"/>
      <c r="WYO67" s="2936"/>
      <c r="WYP67" s="2936"/>
      <c r="WYQ67" s="2936"/>
      <c r="WYR67" s="2936"/>
      <c r="WYS67" s="2936"/>
      <c r="WYT67" s="2936"/>
      <c r="WYU67" s="2936"/>
      <c r="WYV67" s="2936"/>
      <c r="WYW67" s="2936"/>
      <c r="WYX67" s="2936"/>
      <c r="WYY67" s="2936"/>
      <c r="WYZ67" s="2936"/>
      <c r="WZA67" s="2936"/>
      <c r="WZB67" s="2936"/>
      <c r="WZC67" s="2936"/>
      <c r="WZD67" s="2936"/>
      <c r="WZE67" s="2936"/>
      <c r="WZF67" s="2936"/>
      <c r="WZG67" s="2936"/>
      <c r="WZH67" s="2936"/>
      <c r="WZI67" s="2936"/>
      <c r="WZJ67" s="2936"/>
      <c r="WZK67" s="2936"/>
      <c r="WZL67" s="2936"/>
      <c r="WZM67" s="2936"/>
      <c r="WZN67" s="2936"/>
      <c r="WZO67" s="2936"/>
      <c r="WZP67" s="2936"/>
      <c r="WZQ67" s="2936"/>
      <c r="WZR67" s="2936"/>
      <c r="WZS67" s="2936"/>
      <c r="WZT67" s="2936"/>
      <c r="WZU67" s="2936"/>
      <c r="WZV67" s="2936"/>
      <c r="WZW67" s="2936"/>
      <c r="WZX67" s="2936"/>
      <c r="WZY67" s="2936"/>
      <c r="WZZ67" s="2936"/>
      <c r="XAA67" s="2936"/>
      <c r="XAB67" s="2936"/>
      <c r="XAC67" s="2936"/>
      <c r="XAD67" s="2936"/>
      <c r="XAE67" s="2936"/>
      <c r="XAF67" s="2936"/>
      <c r="XAG67" s="2936"/>
      <c r="XAH67" s="2936"/>
      <c r="XAI67" s="2936"/>
      <c r="XAJ67" s="2936"/>
      <c r="XAK67" s="2936"/>
      <c r="XAL67" s="2936"/>
      <c r="XAM67" s="2936"/>
      <c r="XAN67" s="2936"/>
      <c r="XAO67" s="2936"/>
      <c r="XAP67" s="2936"/>
      <c r="XAQ67" s="2936"/>
      <c r="XAR67" s="2936"/>
      <c r="XAS67" s="2936"/>
      <c r="XAT67" s="2936"/>
      <c r="XAU67" s="2936"/>
      <c r="XAV67" s="2936"/>
      <c r="XAW67" s="2936"/>
      <c r="XAX67" s="2936"/>
      <c r="XAY67" s="2936"/>
      <c r="XAZ67" s="2936"/>
      <c r="XBA67" s="2936"/>
      <c r="XBB67" s="2936"/>
      <c r="XBC67" s="2936"/>
      <c r="XBD67" s="2936"/>
      <c r="XBE67" s="2936"/>
      <c r="XBF67" s="2936"/>
      <c r="XBG67" s="2936"/>
      <c r="XBH67" s="2936"/>
      <c r="XBI67" s="2936"/>
      <c r="XBJ67" s="2936"/>
      <c r="XBK67" s="2936"/>
      <c r="XBL67" s="2936"/>
      <c r="XBM67" s="2936"/>
      <c r="XBN67" s="2936"/>
      <c r="XBO67" s="2936"/>
      <c r="XBP67" s="2936"/>
      <c r="XBQ67" s="2936"/>
      <c r="XBR67" s="2936"/>
      <c r="XBS67" s="2936"/>
      <c r="XBT67" s="2936"/>
      <c r="XBU67" s="2936"/>
      <c r="XBV67" s="2936"/>
      <c r="XBW67" s="2936"/>
      <c r="XBX67" s="2936"/>
      <c r="XBY67" s="2936"/>
      <c r="XBZ67" s="2936"/>
      <c r="XCA67" s="2936"/>
      <c r="XCB67" s="2936"/>
      <c r="XCC67" s="2936"/>
      <c r="XCD67" s="2936"/>
      <c r="XCE67" s="2936"/>
      <c r="XCF67" s="2936"/>
      <c r="XCG67" s="2936"/>
      <c r="XCH67" s="2936"/>
      <c r="XCI67" s="2936"/>
      <c r="XCJ67" s="2936"/>
      <c r="XCK67" s="2936"/>
      <c r="XCL67" s="2936"/>
      <c r="XCM67" s="2936"/>
      <c r="XCN67" s="2936"/>
      <c r="XCO67" s="2936"/>
      <c r="XCP67" s="2936"/>
      <c r="XCQ67" s="2936"/>
      <c r="XCR67" s="2936"/>
      <c r="XCS67" s="2936"/>
      <c r="XCT67" s="2936"/>
      <c r="XCU67" s="2936"/>
      <c r="XCV67" s="2936"/>
      <c r="XCW67" s="2936"/>
      <c r="XCX67" s="2936"/>
      <c r="XCY67" s="2936"/>
      <c r="XCZ67" s="2936"/>
      <c r="XDA67" s="2936"/>
      <c r="XDB67" s="2936"/>
      <c r="XDC67" s="2936"/>
      <c r="XDD67" s="2936"/>
      <c r="XDE67" s="2936"/>
      <c r="XDF67" s="2936"/>
      <c r="XDG67" s="2936"/>
      <c r="XDH67" s="2936"/>
      <c r="XDI67" s="2936"/>
      <c r="XDJ67" s="2936"/>
      <c r="XDK67" s="2936"/>
      <c r="XDL67" s="2936"/>
      <c r="XDM67" s="2936"/>
      <c r="XDN67" s="2936"/>
      <c r="XDO67" s="2936"/>
      <c r="XDP67" s="2936"/>
      <c r="XDQ67" s="2936"/>
      <c r="XDR67" s="2936"/>
      <c r="XDS67" s="2936"/>
      <c r="XDT67" s="2936"/>
      <c r="XDU67" s="2936"/>
      <c r="XDV67" s="2936"/>
      <c r="XDW67" s="2936"/>
      <c r="XDX67" s="2936"/>
      <c r="XDY67" s="2936"/>
      <c r="XDZ67" s="2936"/>
      <c r="XEA67" s="2936"/>
      <c r="XEB67" s="2936"/>
      <c r="XEC67" s="2936"/>
      <c r="XED67" s="2936"/>
      <c r="XEE67" s="2936"/>
      <c r="XEF67" s="2936"/>
      <c r="XEG67" s="2936"/>
      <c r="XEH67" s="2936"/>
      <c r="XEI67" s="2936"/>
      <c r="XEJ67" s="2936"/>
      <c r="XEK67" s="2936"/>
      <c r="XEL67" s="2936"/>
      <c r="XEM67" s="2936"/>
      <c r="XEN67" s="2936"/>
      <c r="XEO67" s="2936"/>
      <c r="XEP67" s="2936"/>
      <c r="XEQ67" s="2936"/>
      <c r="XER67" s="2936"/>
      <c r="XES67" s="2936"/>
      <c r="XET67" s="2936"/>
      <c r="XEU67" s="2936"/>
      <c r="XEV67" s="2936"/>
      <c r="XEW67" s="2936"/>
      <c r="XEX67" s="2936"/>
      <c r="XEY67" s="2936"/>
      <c r="XEZ67" s="2936"/>
      <c r="XFA67" s="2936"/>
      <c r="XFB67" s="2936"/>
      <c r="XFC67" s="2936"/>
    </row>
    <row r="68" spans="1:16383" ht="12.75" customHeight="1" x14ac:dyDescent="0.25">
      <c r="A68" s="5" t="s">
        <v>1293</v>
      </c>
      <c r="B68" s="2936"/>
      <c r="C68" s="2936"/>
      <c r="D68" s="2936"/>
      <c r="F68" s="2936"/>
      <c r="G68" s="2936"/>
      <c r="H68" s="2936"/>
      <c r="I68" s="2936"/>
      <c r="J68" s="2936"/>
      <c r="K68" s="2936"/>
      <c r="L68" s="2936"/>
      <c r="M68" s="2936"/>
      <c r="N68" s="2936"/>
      <c r="O68" s="2936"/>
      <c r="P68" s="2936"/>
      <c r="Q68" s="2936"/>
      <c r="R68" s="2936"/>
      <c r="S68" s="2936"/>
      <c r="T68" s="2936"/>
      <c r="U68" s="2936"/>
      <c r="V68" s="2936"/>
      <c r="W68" s="2936"/>
      <c r="X68" s="2936"/>
      <c r="Y68" s="2936"/>
      <c r="Z68" s="2936"/>
      <c r="AA68" s="2936"/>
      <c r="AB68" s="2936"/>
      <c r="AC68" s="2936"/>
      <c r="AD68" s="2936"/>
      <c r="AE68" s="2936"/>
      <c r="AF68" s="2936"/>
      <c r="AG68" s="2936"/>
      <c r="AH68" s="2936"/>
      <c r="AI68" s="2936"/>
      <c r="AJ68" s="2936"/>
      <c r="AK68" s="2936"/>
      <c r="AL68" s="2936"/>
      <c r="AM68" s="2936"/>
      <c r="AN68" s="2936"/>
      <c r="AO68" s="2936"/>
      <c r="AP68" s="2936"/>
      <c r="AQ68" s="2936"/>
      <c r="AR68" s="2936"/>
      <c r="AS68" s="2936"/>
      <c r="AT68" s="2936"/>
      <c r="AU68" s="2936"/>
      <c r="AV68" s="2936"/>
      <c r="AW68" s="2936"/>
      <c r="AX68" s="2936"/>
      <c r="AY68" s="2936"/>
      <c r="AZ68" s="2936"/>
      <c r="BA68" s="2936"/>
      <c r="BB68" s="2936"/>
      <c r="BC68" s="2936"/>
      <c r="BD68" s="2936"/>
      <c r="BE68" s="2936"/>
      <c r="BF68" s="2936"/>
      <c r="BG68" s="2936"/>
      <c r="BH68" s="2936"/>
      <c r="BI68" s="2936"/>
      <c r="BJ68" s="2936"/>
      <c r="BK68" s="2936"/>
      <c r="BL68" s="2936"/>
      <c r="BM68" s="2936"/>
      <c r="BN68" s="2936"/>
      <c r="BO68" s="2936"/>
      <c r="BP68" s="2936"/>
      <c r="BQ68" s="2936"/>
      <c r="BR68" s="2936"/>
      <c r="BS68" s="2936"/>
      <c r="BT68" s="2936"/>
      <c r="BU68" s="2936"/>
      <c r="BV68" s="2936"/>
      <c r="BW68" s="2936"/>
      <c r="BX68" s="2936"/>
      <c r="BY68" s="2936"/>
      <c r="BZ68" s="2936"/>
      <c r="CA68" s="2936"/>
      <c r="CB68" s="2936"/>
      <c r="CC68" s="2936"/>
      <c r="CD68" s="2936"/>
      <c r="CE68" s="2936"/>
      <c r="CF68" s="2936"/>
      <c r="CG68" s="2936"/>
      <c r="CH68" s="2936"/>
      <c r="CI68" s="2936"/>
      <c r="CJ68" s="2936"/>
      <c r="CK68" s="2936"/>
      <c r="CL68" s="2936"/>
      <c r="CM68" s="2936"/>
      <c r="CN68" s="2936"/>
      <c r="CO68" s="2936"/>
      <c r="CP68" s="2936"/>
      <c r="CQ68" s="2936"/>
      <c r="CR68" s="2936"/>
      <c r="CS68" s="2936"/>
      <c r="CT68" s="2936"/>
      <c r="CU68" s="2936"/>
      <c r="CV68" s="2936"/>
      <c r="CW68" s="2936"/>
      <c r="CX68" s="2936"/>
      <c r="CY68" s="2936"/>
      <c r="CZ68" s="2936"/>
      <c r="DA68" s="2936"/>
      <c r="DB68" s="2936"/>
      <c r="DC68" s="2936"/>
      <c r="DD68" s="2936"/>
      <c r="DE68" s="2936"/>
      <c r="DF68" s="2936"/>
      <c r="DG68" s="2936"/>
      <c r="DH68" s="2936"/>
      <c r="DI68" s="2936"/>
      <c r="DJ68" s="2936"/>
      <c r="DK68" s="2936"/>
      <c r="DL68" s="2936"/>
      <c r="DM68" s="2936"/>
      <c r="DN68" s="2936"/>
      <c r="DO68" s="2936"/>
      <c r="DP68" s="2936"/>
      <c r="DQ68" s="2936"/>
      <c r="DR68" s="2936"/>
      <c r="DS68" s="2936"/>
      <c r="DT68" s="2936"/>
      <c r="DU68" s="2936"/>
      <c r="DV68" s="2936"/>
      <c r="DW68" s="2936"/>
      <c r="DX68" s="2936"/>
      <c r="DY68" s="2936"/>
      <c r="DZ68" s="2936"/>
      <c r="EA68" s="2936"/>
      <c r="EB68" s="2936"/>
      <c r="EC68" s="2936"/>
      <c r="ED68" s="2936"/>
      <c r="EE68" s="2936"/>
      <c r="EF68" s="2936"/>
      <c r="EG68" s="2936"/>
      <c r="EH68" s="2936"/>
      <c r="EI68" s="2936"/>
      <c r="EJ68" s="2936"/>
      <c r="EK68" s="2936"/>
      <c r="EL68" s="2936"/>
      <c r="EM68" s="2936"/>
      <c r="EN68" s="2936"/>
      <c r="EO68" s="2936"/>
      <c r="EP68" s="2936"/>
      <c r="EQ68" s="2936"/>
      <c r="ER68" s="2936"/>
      <c r="ES68" s="2936"/>
      <c r="ET68" s="2936"/>
      <c r="EU68" s="2936"/>
      <c r="EV68" s="2936"/>
      <c r="EW68" s="2936"/>
      <c r="EX68" s="2936"/>
      <c r="EY68" s="2936"/>
      <c r="EZ68" s="2936"/>
      <c r="FA68" s="2936"/>
      <c r="FB68" s="2936"/>
      <c r="FC68" s="2936"/>
      <c r="FD68" s="2936"/>
      <c r="FE68" s="2936"/>
      <c r="FF68" s="2936"/>
      <c r="FG68" s="2936"/>
      <c r="FH68" s="2936"/>
      <c r="FI68" s="2936"/>
      <c r="FJ68" s="2936"/>
      <c r="FK68" s="2936"/>
      <c r="FL68" s="2936"/>
      <c r="FM68" s="2936"/>
      <c r="FN68" s="2936"/>
      <c r="FO68" s="2936"/>
      <c r="FP68" s="2936"/>
      <c r="FQ68" s="2936"/>
      <c r="FR68" s="2936"/>
      <c r="FS68" s="2936"/>
      <c r="FT68" s="2936"/>
      <c r="FU68" s="2936"/>
      <c r="FV68" s="2936"/>
      <c r="FW68" s="2936"/>
      <c r="FX68" s="2936"/>
      <c r="FY68" s="2936"/>
      <c r="FZ68" s="2936"/>
      <c r="GA68" s="2936"/>
      <c r="GB68" s="2936"/>
      <c r="GC68" s="2936"/>
      <c r="GD68" s="2936"/>
      <c r="GE68" s="2936"/>
      <c r="GF68" s="2936"/>
      <c r="GG68" s="2936"/>
      <c r="GH68" s="2936"/>
      <c r="GI68" s="2936"/>
      <c r="GJ68" s="2936"/>
      <c r="GK68" s="2936"/>
      <c r="GL68" s="2936"/>
      <c r="GM68" s="2936"/>
      <c r="GN68" s="2936"/>
      <c r="GO68" s="2936"/>
      <c r="GP68" s="2936"/>
      <c r="GQ68" s="2936"/>
      <c r="GR68" s="2936"/>
      <c r="GS68" s="2936"/>
      <c r="GT68" s="2936"/>
      <c r="GU68" s="2936"/>
      <c r="GV68" s="2936"/>
      <c r="GW68" s="2936"/>
      <c r="GX68" s="2936"/>
      <c r="GY68" s="2936"/>
      <c r="GZ68" s="2936"/>
      <c r="HA68" s="2936"/>
      <c r="HB68" s="2936"/>
      <c r="HC68" s="2936"/>
      <c r="HD68" s="2936"/>
      <c r="HE68" s="2936"/>
      <c r="HF68" s="2936"/>
      <c r="HG68" s="2936"/>
      <c r="HH68" s="2936"/>
      <c r="HI68" s="2936"/>
      <c r="HJ68" s="2936"/>
      <c r="HK68" s="2936"/>
      <c r="HL68" s="2936"/>
      <c r="HM68" s="2936"/>
      <c r="HN68" s="2936"/>
      <c r="HO68" s="2936"/>
      <c r="HP68" s="2936"/>
      <c r="HQ68" s="2936"/>
      <c r="HR68" s="2936"/>
      <c r="HS68" s="2936"/>
      <c r="HT68" s="2936"/>
      <c r="HU68" s="2936"/>
      <c r="HV68" s="2936"/>
      <c r="HW68" s="2936"/>
      <c r="HX68" s="2936"/>
      <c r="HY68" s="2936"/>
      <c r="HZ68" s="2936"/>
      <c r="IA68" s="2936"/>
      <c r="IB68" s="2936"/>
      <c r="IC68" s="2936"/>
      <c r="ID68" s="2936"/>
      <c r="IE68" s="2936"/>
      <c r="IF68" s="2936"/>
      <c r="IG68" s="2936"/>
      <c r="IH68" s="2936"/>
      <c r="II68" s="2936"/>
      <c r="IJ68" s="2936"/>
      <c r="IK68" s="2936"/>
      <c r="IL68" s="2936"/>
      <c r="IM68" s="2936"/>
      <c r="IN68" s="2936"/>
      <c r="IO68" s="2936"/>
      <c r="IP68" s="2936"/>
      <c r="IQ68" s="2936"/>
      <c r="IR68" s="2936"/>
      <c r="IS68" s="2936"/>
      <c r="IT68" s="2936"/>
      <c r="IU68" s="2936"/>
      <c r="IV68" s="2936"/>
      <c r="IW68" s="2936"/>
      <c r="IX68" s="2936"/>
      <c r="IY68" s="2936"/>
      <c r="IZ68" s="2936"/>
      <c r="JA68" s="2936"/>
      <c r="JB68" s="2936"/>
      <c r="JC68" s="2936"/>
      <c r="JD68" s="2936"/>
      <c r="JE68" s="2936"/>
      <c r="JF68" s="2936"/>
      <c r="JG68" s="2936"/>
      <c r="JH68" s="2936"/>
      <c r="JI68" s="2936"/>
      <c r="JJ68" s="2936"/>
      <c r="JK68" s="2936"/>
      <c r="JL68" s="2936"/>
      <c r="JM68" s="2936"/>
      <c r="JN68" s="2936"/>
      <c r="JO68" s="2936"/>
      <c r="JP68" s="2936"/>
      <c r="JQ68" s="2936"/>
      <c r="JR68" s="2936"/>
      <c r="JS68" s="2936"/>
      <c r="JT68" s="2936"/>
      <c r="JU68" s="2936"/>
      <c r="JV68" s="2936"/>
      <c r="JW68" s="2936"/>
      <c r="JX68" s="2936"/>
      <c r="JY68" s="2936"/>
      <c r="JZ68" s="2936"/>
      <c r="KA68" s="2936"/>
      <c r="KB68" s="2936"/>
      <c r="KC68" s="2936"/>
      <c r="KD68" s="2936"/>
      <c r="KE68" s="2936"/>
      <c r="KF68" s="2936"/>
      <c r="KG68" s="2936"/>
      <c r="KH68" s="2936"/>
      <c r="KI68" s="2936"/>
      <c r="KJ68" s="2936"/>
      <c r="KK68" s="2936"/>
      <c r="KL68" s="2936"/>
      <c r="KM68" s="2936"/>
      <c r="KN68" s="2936"/>
      <c r="KO68" s="2936"/>
      <c r="KP68" s="2936"/>
      <c r="KQ68" s="2936"/>
      <c r="KR68" s="2936"/>
      <c r="KS68" s="2936"/>
      <c r="KT68" s="2936"/>
      <c r="KU68" s="2936"/>
      <c r="KV68" s="2936"/>
      <c r="KW68" s="2936"/>
      <c r="KX68" s="2936"/>
      <c r="KY68" s="2936"/>
      <c r="KZ68" s="2936"/>
      <c r="LA68" s="2936"/>
      <c r="LB68" s="2936"/>
      <c r="LC68" s="2936"/>
      <c r="LD68" s="2936"/>
      <c r="LE68" s="2936"/>
      <c r="LF68" s="2936"/>
      <c r="LG68" s="2936"/>
      <c r="LH68" s="2936"/>
      <c r="LI68" s="2936"/>
      <c r="LJ68" s="2936"/>
      <c r="LK68" s="2936"/>
      <c r="LL68" s="2936"/>
      <c r="LM68" s="2936"/>
      <c r="LN68" s="2936"/>
      <c r="LO68" s="2936"/>
      <c r="LP68" s="2936"/>
      <c r="LQ68" s="2936"/>
      <c r="LR68" s="2936"/>
      <c r="LS68" s="2936"/>
      <c r="LT68" s="2936"/>
      <c r="LU68" s="2936"/>
      <c r="LV68" s="2936"/>
      <c r="LW68" s="2936"/>
      <c r="LX68" s="2936"/>
      <c r="LY68" s="2936"/>
      <c r="LZ68" s="2936"/>
      <c r="MA68" s="2936"/>
      <c r="MB68" s="2936"/>
      <c r="MC68" s="2936"/>
      <c r="MD68" s="2936"/>
      <c r="ME68" s="2936"/>
      <c r="MF68" s="2936"/>
      <c r="MG68" s="2936"/>
      <c r="MH68" s="2936"/>
      <c r="MI68" s="2936"/>
      <c r="MJ68" s="2936"/>
      <c r="MK68" s="2936"/>
      <c r="ML68" s="2936"/>
      <c r="MM68" s="2936"/>
      <c r="MN68" s="2936"/>
      <c r="MO68" s="2936"/>
      <c r="MP68" s="2936"/>
      <c r="MQ68" s="2936"/>
      <c r="MR68" s="2936"/>
      <c r="MS68" s="2936"/>
      <c r="MT68" s="2936"/>
      <c r="MU68" s="2936"/>
      <c r="MV68" s="2936"/>
      <c r="MW68" s="2936"/>
      <c r="MX68" s="2936"/>
      <c r="MY68" s="2936"/>
      <c r="MZ68" s="2936"/>
      <c r="NA68" s="2936"/>
      <c r="NB68" s="2936"/>
      <c r="NC68" s="2936"/>
      <c r="ND68" s="2936"/>
      <c r="NE68" s="2936"/>
      <c r="NF68" s="2936"/>
      <c r="NG68" s="2936"/>
      <c r="NH68" s="2936"/>
      <c r="NI68" s="2936"/>
      <c r="NJ68" s="2936"/>
      <c r="NK68" s="2936"/>
      <c r="NL68" s="2936"/>
      <c r="NM68" s="2936"/>
      <c r="NN68" s="2936"/>
      <c r="NO68" s="2936"/>
      <c r="NP68" s="2936"/>
      <c r="NQ68" s="2936"/>
      <c r="NR68" s="2936"/>
      <c r="NS68" s="2936"/>
      <c r="NT68" s="2936"/>
      <c r="NU68" s="2936"/>
      <c r="NV68" s="2936"/>
      <c r="NW68" s="2936"/>
      <c r="NX68" s="2936"/>
      <c r="NY68" s="2936"/>
      <c r="NZ68" s="2936"/>
      <c r="OA68" s="2936"/>
      <c r="OB68" s="2936"/>
      <c r="OC68" s="2936"/>
      <c r="OD68" s="2936"/>
      <c r="OE68" s="2936"/>
      <c r="OF68" s="2936"/>
      <c r="OG68" s="2936"/>
      <c r="OH68" s="2936"/>
      <c r="OI68" s="2936"/>
      <c r="OJ68" s="2936"/>
      <c r="OK68" s="2936"/>
      <c r="OL68" s="2936"/>
      <c r="OM68" s="2936"/>
      <c r="ON68" s="2936"/>
      <c r="OO68" s="2936"/>
      <c r="OP68" s="2936"/>
      <c r="OQ68" s="2936"/>
      <c r="OR68" s="2936"/>
      <c r="OS68" s="2936"/>
      <c r="OT68" s="2936"/>
      <c r="OU68" s="2936"/>
      <c r="OV68" s="2936"/>
      <c r="OW68" s="2936"/>
      <c r="OX68" s="2936"/>
      <c r="OY68" s="2936"/>
      <c r="OZ68" s="2936"/>
      <c r="PA68" s="2936"/>
      <c r="PB68" s="2936"/>
      <c r="PC68" s="2936"/>
      <c r="PD68" s="2936"/>
      <c r="PE68" s="2936"/>
      <c r="PF68" s="2936"/>
      <c r="PG68" s="2936"/>
      <c r="PH68" s="2936"/>
      <c r="PI68" s="2936"/>
      <c r="PJ68" s="2936"/>
      <c r="PK68" s="2936"/>
      <c r="PL68" s="2936"/>
      <c r="PM68" s="2936"/>
      <c r="PN68" s="2936"/>
      <c r="PO68" s="2936"/>
      <c r="PP68" s="2936"/>
      <c r="PQ68" s="2936"/>
      <c r="PR68" s="2936"/>
      <c r="PS68" s="2936"/>
      <c r="PT68" s="2936"/>
      <c r="PU68" s="2936"/>
      <c r="PV68" s="2936"/>
      <c r="PW68" s="2936"/>
      <c r="PX68" s="2936"/>
      <c r="PY68" s="2936"/>
      <c r="PZ68" s="2936"/>
      <c r="QA68" s="2936"/>
      <c r="QB68" s="2936"/>
      <c r="QC68" s="2936"/>
      <c r="QD68" s="2936"/>
      <c r="QE68" s="2936"/>
      <c r="QF68" s="2936"/>
      <c r="QG68" s="2936"/>
      <c r="QH68" s="2936"/>
      <c r="QI68" s="2936"/>
      <c r="QJ68" s="2936"/>
      <c r="QK68" s="2936"/>
      <c r="QL68" s="2936"/>
      <c r="QM68" s="2936"/>
      <c r="QN68" s="2936"/>
      <c r="QO68" s="2936"/>
      <c r="QP68" s="2936"/>
      <c r="QQ68" s="2936"/>
      <c r="QR68" s="2936"/>
      <c r="QS68" s="2936"/>
      <c r="QT68" s="2936"/>
      <c r="QU68" s="2936"/>
      <c r="QV68" s="2936"/>
      <c r="QW68" s="2936"/>
      <c r="QX68" s="2936"/>
      <c r="QY68" s="2936"/>
      <c r="QZ68" s="2936"/>
      <c r="RA68" s="2936"/>
      <c r="RB68" s="2936"/>
      <c r="RC68" s="2936"/>
      <c r="RD68" s="2936"/>
      <c r="RE68" s="2936"/>
      <c r="RF68" s="2936"/>
      <c r="RG68" s="2936"/>
      <c r="RH68" s="2936"/>
      <c r="RI68" s="2936"/>
      <c r="RJ68" s="2936"/>
      <c r="RK68" s="2936"/>
      <c r="RL68" s="2936"/>
      <c r="RM68" s="2936"/>
      <c r="RN68" s="2936"/>
      <c r="RO68" s="2936"/>
      <c r="RP68" s="2936"/>
      <c r="RQ68" s="2936"/>
      <c r="RR68" s="2936"/>
      <c r="RS68" s="2936"/>
      <c r="RT68" s="2936"/>
      <c r="RU68" s="2936"/>
      <c r="RV68" s="2936"/>
      <c r="RW68" s="2936"/>
      <c r="RX68" s="2936"/>
      <c r="RY68" s="2936"/>
      <c r="RZ68" s="2936"/>
      <c r="SA68" s="2936"/>
      <c r="SB68" s="2936"/>
      <c r="SC68" s="2936"/>
      <c r="SD68" s="2936"/>
      <c r="SE68" s="2936"/>
      <c r="SF68" s="2936"/>
      <c r="SG68" s="2936"/>
      <c r="SH68" s="2936"/>
      <c r="SI68" s="2936"/>
      <c r="SJ68" s="2936"/>
      <c r="SK68" s="2936"/>
      <c r="SL68" s="2936"/>
      <c r="SM68" s="2936"/>
      <c r="SN68" s="2936"/>
      <c r="SO68" s="2936"/>
      <c r="SP68" s="2936"/>
      <c r="SQ68" s="2936"/>
      <c r="SR68" s="2936"/>
      <c r="SS68" s="2936"/>
      <c r="ST68" s="2936"/>
      <c r="SU68" s="2936"/>
      <c r="SV68" s="2936"/>
      <c r="SW68" s="2936"/>
      <c r="SX68" s="2936"/>
      <c r="SY68" s="2936"/>
      <c r="SZ68" s="2936"/>
      <c r="TA68" s="2936"/>
      <c r="TB68" s="2936"/>
      <c r="TC68" s="2936"/>
      <c r="TD68" s="2936"/>
      <c r="TE68" s="2936"/>
      <c r="TF68" s="2936"/>
      <c r="TG68" s="2936"/>
      <c r="TH68" s="2936"/>
      <c r="TI68" s="2936"/>
      <c r="TJ68" s="2936"/>
      <c r="TK68" s="2936"/>
      <c r="TL68" s="2936"/>
      <c r="TM68" s="2936"/>
      <c r="TN68" s="2936"/>
      <c r="TO68" s="2936"/>
      <c r="TP68" s="2936"/>
      <c r="TQ68" s="2936"/>
      <c r="TR68" s="2936"/>
      <c r="TS68" s="2936"/>
      <c r="TT68" s="2936"/>
      <c r="TU68" s="2936"/>
      <c r="TV68" s="2936"/>
      <c r="TW68" s="2936"/>
      <c r="TX68" s="2936"/>
      <c r="TY68" s="2936"/>
      <c r="TZ68" s="2936"/>
      <c r="UA68" s="2936"/>
      <c r="UB68" s="2936"/>
      <c r="UC68" s="2936"/>
      <c r="UD68" s="2936"/>
      <c r="UE68" s="2936"/>
      <c r="UF68" s="2936"/>
      <c r="UG68" s="2936"/>
      <c r="UH68" s="2936"/>
      <c r="UI68" s="2936"/>
      <c r="UJ68" s="2936"/>
      <c r="UK68" s="2936"/>
      <c r="UL68" s="2936"/>
      <c r="UM68" s="2936"/>
      <c r="UN68" s="2936"/>
      <c r="UO68" s="2936"/>
      <c r="UP68" s="2936"/>
      <c r="UQ68" s="2936"/>
      <c r="UR68" s="2936"/>
      <c r="US68" s="2936"/>
      <c r="UT68" s="2936"/>
      <c r="UU68" s="2936"/>
      <c r="UV68" s="2936"/>
      <c r="UW68" s="2936"/>
      <c r="UX68" s="2936"/>
      <c r="UY68" s="2936"/>
      <c r="UZ68" s="2936"/>
      <c r="VA68" s="2936"/>
      <c r="VB68" s="2936"/>
      <c r="VC68" s="2936"/>
      <c r="VD68" s="2936"/>
      <c r="VE68" s="2936"/>
      <c r="VF68" s="2936"/>
      <c r="VG68" s="2936"/>
      <c r="VH68" s="2936"/>
      <c r="VI68" s="2936"/>
      <c r="VJ68" s="2936"/>
      <c r="VK68" s="2936"/>
      <c r="VL68" s="2936"/>
      <c r="VM68" s="2936"/>
      <c r="VN68" s="2936"/>
      <c r="VO68" s="2936"/>
      <c r="VP68" s="2936"/>
      <c r="VQ68" s="2936"/>
      <c r="VR68" s="2936"/>
      <c r="VS68" s="2936"/>
      <c r="VT68" s="2936"/>
      <c r="VU68" s="2936"/>
      <c r="VV68" s="2936"/>
      <c r="VW68" s="2936"/>
      <c r="VX68" s="2936"/>
      <c r="VY68" s="2936"/>
      <c r="VZ68" s="2936"/>
      <c r="WA68" s="2936"/>
      <c r="WB68" s="2936"/>
      <c r="WC68" s="2936"/>
      <c r="WD68" s="2936"/>
      <c r="WE68" s="2936"/>
      <c r="WF68" s="2936"/>
      <c r="WG68" s="2936"/>
      <c r="WH68" s="2936"/>
      <c r="WI68" s="2936"/>
      <c r="WJ68" s="2936"/>
      <c r="WK68" s="2936"/>
      <c r="WL68" s="2936"/>
      <c r="WM68" s="2936"/>
      <c r="WN68" s="2936"/>
      <c r="WO68" s="2936"/>
      <c r="WP68" s="2936"/>
      <c r="WQ68" s="2936"/>
      <c r="WR68" s="2936"/>
      <c r="WS68" s="2936"/>
      <c r="WT68" s="2936"/>
      <c r="WU68" s="2936"/>
      <c r="WV68" s="2936"/>
      <c r="WW68" s="2936"/>
      <c r="WX68" s="2936"/>
      <c r="WY68" s="2936"/>
      <c r="WZ68" s="2936"/>
      <c r="XA68" s="2936"/>
      <c r="XB68" s="2936"/>
      <c r="XC68" s="2936"/>
      <c r="XD68" s="2936"/>
      <c r="XE68" s="2936"/>
      <c r="XF68" s="2936"/>
      <c r="XG68" s="2936"/>
      <c r="XH68" s="2936"/>
      <c r="XI68" s="2936"/>
      <c r="XJ68" s="2936"/>
      <c r="XK68" s="2936"/>
      <c r="XL68" s="2936"/>
      <c r="XM68" s="2936"/>
      <c r="XN68" s="2936"/>
      <c r="XO68" s="2936"/>
      <c r="XP68" s="2936"/>
      <c r="XQ68" s="2936"/>
      <c r="XR68" s="2936"/>
      <c r="XS68" s="2936"/>
      <c r="XT68" s="2936"/>
      <c r="XU68" s="2936"/>
      <c r="XV68" s="2936"/>
      <c r="XW68" s="2936"/>
      <c r="XX68" s="2936"/>
      <c r="XY68" s="2936"/>
      <c r="XZ68" s="2936"/>
      <c r="YA68" s="2936"/>
      <c r="YB68" s="2936"/>
      <c r="YC68" s="2936"/>
      <c r="YD68" s="2936"/>
      <c r="YE68" s="2936"/>
      <c r="YF68" s="2936"/>
      <c r="YG68" s="2936"/>
      <c r="YH68" s="2936"/>
      <c r="YI68" s="2936"/>
      <c r="YJ68" s="2936"/>
      <c r="YK68" s="2936"/>
      <c r="YL68" s="2936"/>
      <c r="YM68" s="2936"/>
      <c r="YN68" s="2936"/>
      <c r="YO68" s="2936"/>
      <c r="YP68" s="2936"/>
      <c r="YQ68" s="2936"/>
      <c r="YR68" s="2936"/>
      <c r="YS68" s="2936"/>
      <c r="YT68" s="2936"/>
      <c r="YU68" s="2936"/>
      <c r="YV68" s="2936"/>
      <c r="YW68" s="2936"/>
      <c r="YX68" s="2936"/>
      <c r="YY68" s="2936"/>
      <c r="YZ68" s="2936"/>
      <c r="ZA68" s="2936"/>
      <c r="ZB68" s="2936"/>
      <c r="ZC68" s="2936"/>
      <c r="ZD68" s="2936"/>
      <c r="ZE68" s="2936"/>
      <c r="ZF68" s="2936"/>
      <c r="ZG68" s="2936"/>
      <c r="ZH68" s="2936"/>
      <c r="ZI68" s="2936"/>
      <c r="ZJ68" s="2936"/>
      <c r="ZK68" s="2936"/>
      <c r="ZL68" s="2936"/>
      <c r="ZM68" s="2936"/>
      <c r="ZN68" s="2936"/>
      <c r="ZO68" s="2936"/>
      <c r="ZP68" s="2936"/>
      <c r="ZQ68" s="2936"/>
      <c r="ZR68" s="2936"/>
      <c r="ZS68" s="2936"/>
      <c r="ZT68" s="2936"/>
      <c r="ZU68" s="2936"/>
      <c r="ZV68" s="2936"/>
      <c r="ZW68" s="2936"/>
      <c r="ZX68" s="2936"/>
      <c r="ZY68" s="2936"/>
      <c r="ZZ68" s="2936"/>
      <c r="AAA68" s="2936"/>
      <c r="AAB68" s="2936"/>
      <c r="AAC68" s="2936"/>
      <c r="AAD68" s="2936"/>
      <c r="AAE68" s="2936"/>
      <c r="AAF68" s="2936"/>
      <c r="AAG68" s="2936"/>
      <c r="AAH68" s="2936"/>
      <c r="AAI68" s="2936"/>
      <c r="AAJ68" s="2936"/>
      <c r="AAK68" s="2936"/>
      <c r="AAL68" s="2936"/>
      <c r="AAM68" s="2936"/>
      <c r="AAN68" s="2936"/>
      <c r="AAO68" s="2936"/>
      <c r="AAP68" s="2936"/>
      <c r="AAQ68" s="2936"/>
      <c r="AAR68" s="2936"/>
      <c r="AAS68" s="2936"/>
      <c r="AAT68" s="2936"/>
      <c r="AAU68" s="2936"/>
      <c r="AAV68" s="2936"/>
      <c r="AAW68" s="2936"/>
      <c r="AAX68" s="2936"/>
      <c r="AAY68" s="2936"/>
      <c r="AAZ68" s="2936"/>
      <c r="ABA68" s="2936"/>
      <c r="ABB68" s="2936"/>
      <c r="ABC68" s="2936"/>
      <c r="ABD68" s="2936"/>
      <c r="ABE68" s="2936"/>
      <c r="ABF68" s="2936"/>
      <c r="ABG68" s="2936"/>
      <c r="ABH68" s="2936"/>
      <c r="ABI68" s="2936"/>
      <c r="ABJ68" s="2936"/>
      <c r="ABK68" s="2936"/>
      <c r="ABL68" s="2936"/>
      <c r="ABM68" s="2936"/>
      <c r="ABN68" s="2936"/>
      <c r="ABO68" s="2936"/>
      <c r="ABP68" s="2936"/>
      <c r="ABQ68" s="2936"/>
      <c r="ABR68" s="2936"/>
      <c r="ABS68" s="2936"/>
      <c r="ABT68" s="2936"/>
      <c r="ABU68" s="2936"/>
      <c r="ABV68" s="2936"/>
      <c r="ABW68" s="2936"/>
      <c r="ABX68" s="2936"/>
      <c r="ABY68" s="2936"/>
      <c r="ABZ68" s="2936"/>
      <c r="ACA68" s="2936"/>
      <c r="ACB68" s="2936"/>
      <c r="ACC68" s="2936"/>
      <c r="ACD68" s="2936"/>
      <c r="ACE68" s="2936"/>
      <c r="ACF68" s="2936"/>
      <c r="ACG68" s="2936"/>
      <c r="ACH68" s="2936"/>
      <c r="ACI68" s="2936"/>
      <c r="ACJ68" s="2936"/>
      <c r="ACK68" s="2936"/>
      <c r="ACL68" s="2936"/>
      <c r="ACM68" s="2936"/>
      <c r="ACN68" s="2936"/>
      <c r="ACO68" s="2936"/>
      <c r="ACP68" s="2936"/>
      <c r="ACQ68" s="2936"/>
      <c r="ACR68" s="2936"/>
      <c r="ACS68" s="2936"/>
      <c r="ACT68" s="2936"/>
      <c r="ACU68" s="2936"/>
      <c r="ACV68" s="2936"/>
      <c r="ACW68" s="2936"/>
      <c r="ACX68" s="2936"/>
      <c r="ACY68" s="2936"/>
      <c r="ACZ68" s="2936"/>
      <c r="ADA68" s="2936"/>
      <c r="ADB68" s="2936"/>
      <c r="ADC68" s="2936"/>
      <c r="ADD68" s="2936"/>
      <c r="ADE68" s="2936"/>
      <c r="ADF68" s="2936"/>
      <c r="ADG68" s="2936"/>
      <c r="ADH68" s="2936"/>
      <c r="ADI68" s="2936"/>
      <c r="ADJ68" s="2936"/>
      <c r="ADK68" s="2936"/>
      <c r="ADL68" s="2936"/>
      <c r="ADM68" s="2936"/>
      <c r="ADN68" s="2936"/>
      <c r="ADO68" s="2936"/>
      <c r="ADP68" s="2936"/>
      <c r="ADQ68" s="2936"/>
      <c r="ADR68" s="2936"/>
      <c r="ADS68" s="2936"/>
      <c r="ADT68" s="2936"/>
      <c r="ADU68" s="2936"/>
      <c r="ADV68" s="2936"/>
      <c r="ADW68" s="2936"/>
      <c r="ADX68" s="2936"/>
      <c r="ADY68" s="2936"/>
      <c r="ADZ68" s="2936"/>
      <c r="AEA68" s="2936"/>
      <c r="AEB68" s="2936"/>
      <c r="AEC68" s="2936"/>
      <c r="AED68" s="2936"/>
      <c r="AEE68" s="2936"/>
      <c r="AEF68" s="2936"/>
      <c r="AEG68" s="2936"/>
      <c r="AEH68" s="2936"/>
      <c r="AEI68" s="2936"/>
      <c r="AEJ68" s="2936"/>
      <c r="AEK68" s="2936"/>
      <c r="AEL68" s="2936"/>
      <c r="AEM68" s="2936"/>
      <c r="AEN68" s="2936"/>
      <c r="AEO68" s="2936"/>
      <c r="AEP68" s="2936"/>
      <c r="AEQ68" s="2936"/>
      <c r="AER68" s="2936"/>
      <c r="AES68" s="2936"/>
      <c r="AET68" s="2936"/>
      <c r="AEU68" s="2936"/>
      <c r="AEV68" s="2936"/>
      <c r="AEW68" s="2936"/>
      <c r="AEX68" s="2936"/>
      <c r="AEY68" s="2936"/>
      <c r="AEZ68" s="2936"/>
      <c r="AFA68" s="2936"/>
      <c r="AFB68" s="2936"/>
      <c r="AFC68" s="2936"/>
      <c r="AFD68" s="2936"/>
      <c r="AFE68" s="2936"/>
      <c r="AFF68" s="2936"/>
      <c r="AFG68" s="2936"/>
      <c r="AFH68" s="2936"/>
      <c r="AFI68" s="2936"/>
      <c r="AFJ68" s="2936"/>
      <c r="AFK68" s="2936"/>
      <c r="AFL68" s="2936"/>
      <c r="AFM68" s="2936"/>
      <c r="AFN68" s="2936"/>
      <c r="AFO68" s="2936"/>
      <c r="AFP68" s="2936"/>
      <c r="AFQ68" s="2936"/>
      <c r="AFR68" s="2936"/>
      <c r="AFS68" s="2936"/>
      <c r="AFT68" s="2936"/>
      <c r="AFU68" s="2936"/>
      <c r="AFV68" s="2936"/>
      <c r="AFW68" s="2936"/>
      <c r="AFX68" s="2936"/>
      <c r="AFY68" s="2936"/>
      <c r="AFZ68" s="2936"/>
      <c r="AGA68" s="2936"/>
      <c r="AGB68" s="2936"/>
      <c r="AGC68" s="2936"/>
      <c r="AGD68" s="2936"/>
      <c r="AGE68" s="2936"/>
      <c r="AGF68" s="2936"/>
      <c r="AGG68" s="2936"/>
      <c r="AGH68" s="2936"/>
      <c r="AGI68" s="2936"/>
      <c r="AGJ68" s="2936"/>
      <c r="AGK68" s="2936"/>
      <c r="AGL68" s="2936"/>
      <c r="AGM68" s="2936"/>
      <c r="AGN68" s="2936"/>
      <c r="AGO68" s="2936"/>
      <c r="AGP68" s="2936"/>
      <c r="AGQ68" s="2936"/>
      <c r="AGR68" s="2936"/>
      <c r="AGS68" s="2936"/>
      <c r="AGT68" s="2936"/>
      <c r="AGU68" s="2936"/>
      <c r="AGV68" s="2936"/>
      <c r="AGW68" s="2936"/>
      <c r="AGX68" s="2936"/>
      <c r="AGY68" s="2936"/>
      <c r="AGZ68" s="2936"/>
      <c r="AHA68" s="2936"/>
      <c r="AHB68" s="2936"/>
      <c r="AHC68" s="2936"/>
      <c r="AHD68" s="2936"/>
      <c r="AHE68" s="2936"/>
      <c r="AHF68" s="2936"/>
      <c r="AHG68" s="2936"/>
      <c r="AHH68" s="2936"/>
      <c r="AHI68" s="2936"/>
      <c r="AHJ68" s="2936"/>
      <c r="AHK68" s="2936"/>
      <c r="AHL68" s="2936"/>
      <c r="AHM68" s="2936"/>
      <c r="AHN68" s="2936"/>
      <c r="AHO68" s="2936"/>
      <c r="AHP68" s="2936"/>
      <c r="AHQ68" s="2936"/>
      <c r="AHR68" s="2936"/>
      <c r="AHS68" s="2936"/>
      <c r="AHT68" s="2936"/>
      <c r="AHU68" s="2936"/>
      <c r="AHV68" s="2936"/>
      <c r="AHW68" s="2936"/>
      <c r="AHX68" s="2936"/>
      <c r="AHY68" s="2936"/>
      <c r="AHZ68" s="2936"/>
      <c r="AIA68" s="2936"/>
      <c r="AIB68" s="2936"/>
      <c r="AIC68" s="2936"/>
      <c r="AID68" s="2936"/>
      <c r="AIE68" s="2936"/>
      <c r="AIF68" s="2936"/>
      <c r="AIG68" s="2936"/>
      <c r="AIH68" s="2936"/>
      <c r="AII68" s="2936"/>
      <c r="AIJ68" s="2936"/>
      <c r="AIK68" s="2936"/>
      <c r="AIL68" s="2936"/>
      <c r="AIM68" s="2936"/>
      <c r="AIN68" s="2936"/>
      <c r="AIO68" s="2936"/>
      <c r="AIP68" s="2936"/>
      <c r="AIQ68" s="2936"/>
      <c r="AIR68" s="2936"/>
      <c r="AIS68" s="2936"/>
      <c r="AIT68" s="2936"/>
      <c r="AIU68" s="2936"/>
      <c r="AIV68" s="2936"/>
      <c r="AIW68" s="2936"/>
      <c r="AIX68" s="2936"/>
      <c r="AIY68" s="2936"/>
      <c r="AIZ68" s="2936"/>
      <c r="AJA68" s="2936"/>
      <c r="AJB68" s="2936"/>
      <c r="AJC68" s="2936"/>
      <c r="AJD68" s="2936"/>
      <c r="AJE68" s="2936"/>
      <c r="AJF68" s="2936"/>
      <c r="AJG68" s="2936"/>
      <c r="AJH68" s="2936"/>
      <c r="AJI68" s="2936"/>
      <c r="AJJ68" s="2936"/>
      <c r="AJK68" s="2936"/>
      <c r="AJL68" s="2936"/>
      <c r="AJM68" s="2936"/>
      <c r="AJN68" s="2936"/>
      <c r="AJO68" s="2936"/>
      <c r="AJP68" s="2936"/>
      <c r="AJQ68" s="2936"/>
      <c r="AJR68" s="2936"/>
      <c r="AJS68" s="2936"/>
      <c r="AJT68" s="2936"/>
      <c r="AJU68" s="2936"/>
      <c r="AJV68" s="2936"/>
      <c r="AJW68" s="2936"/>
      <c r="AJX68" s="2936"/>
      <c r="AJY68" s="2936"/>
      <c r="AJZ68" s="2936"/>
      <c r="AKA68" s="2936"/>
      <c r="AKB68" s="2936"/>
      <c r="AKC68" s="2936"/>
      <c r="AKD68" s="2936"/>
      <c r="AKE68" s="2936"/>
      <c r="AKF68" s="2936"/>
      <c r="AKG68" s="2936"/>
      <c r="AKH68" s="2936"/>
      <c r="AKI68" s="2936"/>
      <c r="AKJ68" s="2936"/>
      <c r="AKK68" s="2936"/>
      <c r="AKL68" s="2936"/>
      <c r="AKM68" s="2936"/>
      <c r="AKN68" s="2936"/>
      <c r="AKO68" s="2936"/>
      <c r="AKP68" s="2936"/>
      <c r="AKQ68" s="2936"/>
      <c r="AKR68" s="2936"/>
      <c r="AKS68" s="2936"/>
      <c r="AKT68" s="2936"/>
      <c r="AKU68" s="2936"/>
      <c r="AKV68" s="2936"/>
      <c r="AKW68" s="2936"/>
      <c r="AKX68" s="2936"/>
      <c r="AKY68" s="2936"/>
      <c r="AKZ68" s="2936"/>
      <c r="ALA68" s="2936"/>
      <c r="ALB68" s="2936"/>
      <c r="ALC68" s="2936"/>
      <c r="ALD68" s="2936"/>
      <c r="ALE68" s="2936"/>
      <c r="ALF68" s="2936"/>
      <c r="ALG68" s="2936"/>
      <c r="ALH68" s="2936"/>
      <c r="ALI68" s="2936"/>
      <c r="ALJ68" s="2936"/>
      <c r="ALK68" s="2936"/>
      <c r="ALL68" s="2936"/>
      <c r="ALM68" s="2936"/>
      <c r="ALN68" s="2936"/>
      <c r="ALO68" s="2936"/>
      <c r="ALP68" s="2936"/>
      <c r="ALQ68" s="2936"/>
      <c r="ALR68" s="2936"/>
      <c r="ALS68" s="2936"/>
      <c r="ALT68" s="2936"/>
      <c r="ALU68" s="2936"/>
      <c r="ALV68" s="2936"/>
      <c r="ALW68" s="2936"/>
      <c r="ALX68" s="2936"/>
      <c r="ALY68" s="2936"/>
      <c r="ALZ68" s="2936"/>
      <c r="AMA68" s="2936"/>
      <c r="AMB68" s="2936"/>
      <c r="AMC68" s="2936"/>
      <c r="AMD68" s="2936"/>
      <c r="AME68" s="2936"/>
      <c r="AMF68" s="2936"/>
      <c r="AMG68" s="2936"/>
      <c r="AMH68" s="2936"/>
      <c r="AMI68" s="2936"/>
      <c r="AMJ68" s="2936"/>
      <c r="AMK68" s="2936"/>
      <c r="AML68" s="2936"/>
      <c r="AMM68" s="2936"/>
      <c r="AMN68" s="2936"/>
      <c r="AMO68" s="2936"/>
      <c r="AMP68" s="2936"/>
      <c r="AMQ68" s="2936"/>
      <c r="AMR68" s="2936"/>
      <c r="AMS68" s="2936"/>
      <c r="AMT68" s="2936"/>
      <c r="AMU68" s="2936"/>
      <c r="AMV68" s="2936"/>
      <c r="AMW68" s="2936"/>
      <c r="AMX68" s="2936"/>
      <c r="AMY68" s="2936"/>
      <c r="AMZ68" s="2936"/>
      <c r="ANA68" s="2936"/>
      <c r="ANB68" s="2936"/>
      <c r="ANC68" s="2936"/>
      <c r="AND68" s="2936"/>
      <c r="ANE68" s="2936"/>
      <c r="ANF68" s="2936"/>
      <c r="ANG68" s="2936"/>
      <c r="ANH68" s="2936"/>
      <c r="ANI68" s="2936"/>
      <c r="ANJ68" s="2936"/>
      <c r="ANK68" s="2936"/>
      <c r="ANL68" s="2936"/>
      <c r="ANM68" s="2936"/>
      <c r="ANN68" s="2936"/>
      <c r="ANO68" s="2936"/>
      <c r="ANP68" s="2936"/>
      <c r="ANQ68" s="2936"/>
      <c r="ANR68" s="2936"/>
      <c r="ANS68" s="2936"/>
      <c r="ANT68" s="2936"/>
      <c r="ANU68" s="2936"/>
      <c r="ANV68" s="2936"/>
      <c r="ANW68" s="2936"/>
      <c r="ANX68" s="2936"/>
      <c r="ANY68" s="2936"/>
      <c r="ANZ68" s="2936"/>
      <c r="AOA68" s="2936"/>
      <c r="AOB68" s="2936"/>
      <c r="AOC68" s="2936"/>
      <c r="AOD68" s="2936"/>
      <c r="AOE68" s="2936"/>
      <c r="AOF68" s="2936"/>
      <c r="AOG68" s="2936"/>
      <c r="AOH68" s="2936"/>
      <c r="AOI68" s="2936"/>
      <c r="AOJ68" s="2936"/>
      <c r="AOK68" s="2936"/>
      <c r="AOL68" s="2936"/>
      <c r="AOM68" s="2936"/>
      <c r="AON68" s="2936"/>
      <c r="AOO68" s="2936"/>
      <c r="AOP68" s="2936"/>
      <c r="AOQ68" s="2936"/>
      <c r="AOR68" s="2936"/>
      <c r="AOS68" s="2936"/>
      <c r="AOT68" s="2936"/>
      <c r="AOU68" s="2936"/>
      <c r="AOV68" s="2936"/>
      <c r="AOW68" s="2936"/>
      <c r="AOX68" s="2936"/>
      <c r="AOY68" s="2936"/>
      <c r="AOZ68" s="2936"/>
      <c r="APA68" s="2936"/>
      <c r="APB68" s="2936"/>
      <c r="APC68" s="2936"/>
      <c r="APD68" s="2936"/>
      <c r="APE68" s="2936"/>
      <c r="APF68" s="2936"/>
      <c r="APG68" s="2936"/>
      <c r="APH68" s="2936"/>
      <c r="API68" s="2936"/>
      <c r="APJ68" s="2936"/>
      <c r="APK68" s="2936"/>
      <c r="APL68" s="2936"/>
      <c r="APM68" s="2936"/>
      <c r="APN68" s="2936"/>
      <c r="APO68" s="2936"/>
      <c r="APP68" s="2936"/>
      <c r="APQ68" s="2936"/>
      <c r="APR68" s="2936"/>
      <c r="APS68" s="2936"/>
      <c r="APT68" s="2936"/>
      <c r="APU68" s="2936"/>
      <c r="APV68" s="2936"/>
      <c r="APW68" s="2936"/>
      <c r="APX68" s="2936"/>
      <c r="APY68" s="2936"/>
      <c r="APZ68" s="2936"/>
      <c r="AQA68" s="2936"/>
      <c r="AQB68" s="2936"/>
      <c r="AQC68" s="2936"/>
      <c r="AQD68" s="2936"/>
      <c r="AQE68" s="2936"/>
      <c r="AQF68" s="2936"/>
      <c r="AQG68" s="2936"/>
      <c r="AQH68" s="2936"/>
      <c r="AQI68" s="2936"/>
      <c r="AQJ68" s="2936"/>
      <c r="AQK68" s="2936"/>
      <c r="AQL68" s="2936"/>
      <c r="AQM68" s="2936"/>
      <c r="AQN68" s="2936"/>
      <c r="AQO68" s="2936"/>
      <c r="AQP68" s="2936"/>
      <c r="AQQ68" s="2936"/>
      <c r="AQR68" s="2936"/>
      <c r="AQS68" s="2936"/>
      <c r="AQT68" s="2936"/>
      <c r="AQU68" s="2936"/>
      <c r="AQV68" s="2936"/>
      <c r="AQW68" s="2936"/>
      <c r="AQX68" s="2936"/>
      <c r="AQY68" s="2936"/>
      <c r="AQZ68" s="2936"/>
      <c r="ARA68" s="2936"/>
      <c r="ARB68" s="2936"/>
      <c r="ARC68" s="2936"/>
      <c r="ARD68" s="2936"/>
      <c r="ARE68" s="2936"/>
      <c r="ARF68" s="2936"/>
      <c r="ARG68" s="2936"/>
      <c r="ARH68" s="2936"/>
      <c r="ARI68" s="2936"/>
      <c r="ARJ68" s="2936"/>
      <c r="ARK68" s="2936"/>
      <c r="ARL68" s="2936"/>
      <c r="ARM68" s="2936"/>
      <c r="ARN68" s="2936"/>
      <c r="ARO68" s="2936"/>
      <c r="ARP68" s="2936"/>
      <c r="ARQ68" s="2936"/>
      <c r="ARR68" s="2936"/>
      <c r="ARS68" s="2936"/>
      <c r="ART68" s="2936"/>
      <c r="ARU68" s="2936"/>
      <c r="ARV68" s="2936"/>
      <c r="ARW68" s="2936"/>
      <c r="ARX68" s="2936"/>
      <c r="ARY68" s="2936"/>
      <c r="ARZ68" s="2936"/>
      <c r="ASA68" s="2936"/>
      <c r="ASB68" s="2936"/>
      <c r="ASC68" s="2936"/>
      <c r="ASD68" s="2936"/>
      <c r="ASE68" s="2936"/>
      <c r="ASF68" s="2936"/>
      <c r="ASG68" s="2936"/>
      <c r="ASH68" s="2936"/>
      <c r="ASI68" s="2936"/>
      <c r="ASJ68" s="2936"/>
      <c r="ASK68" s="2936"/>
      <c r="ASL68" s="2936"/>
      <c r="ASM68" s="2936"/>
      <c r="ASN68" s="2936"/>
      <c r="ASO68" s="2936"/>
      <c r="ASP68" s="2936"/>
      <c r="ASQ68" s="2936"/>
      <c r="ASR68" s="2936"/>
      <c r="ASS68" s="2936"/>
      <c r="AST68" s="2936"/>
      <c r="ASU68" s="2936"/>
      <c r="ASV68" s="2936"/>
      <c r="ASW68" s="2936"/>
      <c r="ASX68" s="2936"/>
      <c r="ASY68" s="2936"/>
      <c r="ASZ68" s="2936"/>
      <c r="ATA68" s="2936"/>
      <c r="ATB68" s="2936"/>
      <c r="ATC68" s="2936"/>
      <c r="ATD68" s="2936"/>
      <c r="ATE68" s="2936"/>
      <c r="ATF68" s="2936"/>
      <c r="ATG68" s="2936"/>
      <c r="ATH68" s="2936"/>
      <c r="ATI68" s="2936"/>
      <c r="ATJ68" s="2936"/>
      <c r="ATK68" s="2936"/>
      <c r="ATL68" s="2936"/>
      <c r="ATM68" s="2936"/>
      <c r="ATN68" s="2936"/>
      <c r="ATO68" s="2936"/>
      <c r="ATP68" s="2936"/>
      <c r="ATQ68" s="2936"/>
      <c r="ATR68" s="2936"/>
      <c r="ATS68" s="2936"/>
      <c r="ATT68" s="2936"/>
      <c r="ATU68" s="2936"/>
      <c r="ATV68" s="2936"/>
      <c r="ATW68" s="2936"/>
      <c r="ATX68" s="2936"/>
      <c r="ATY68" s="2936"/>
      <c r="ATZ68" s="2936"/>
      <c r="AUA68" s="2936"/>
      <c r="AUB68" s="2936"/>
      <c r="AUC68" s="2936"/>
      <c r="AUD68" s="2936"/>
      <c r="AUE68" s="2936"/>
      <c r="AUF68" s="2936"/>
      <c r="AUG68" s="2936"/>
      <c r="AUH68" s="2936"/>
      <c r="AUI68" s="2936"/>
      <c r="AUJ68" s="2936"/>
      <c r="AUK68" s="2936"/>
      <c r="AUL68" s="2936"/>
      <c r="AUM68" s="2936"/>
      <c r="AUN68" s="2936"/>
      <c r="AUO68" s="2936"/>
      <c r="AUP68" s="2936"/>
      <c r="AUQ68" s="2936"/>
      <c r="AUR68" s="2936"/>
      <c r="AUS68" s="2936"/>
      <c r="AUT68" s="2936"/>
      <c r="AUU68" s="2936"/>
      <c r="AUV68" s="2936"/>
      <c r="AUW68" s="2936"/>
      <c r="AUX68" s="2936"/>
      <c r="AUY68" s="2936"/>
      <c r="AUZ68" s="2936"/>
      <c r="AVA68" s="2936"/>
      <c r="AVB68" s="2936"/>
      <c r="AVC68" s="2936"/>
      <c r="AVD68" s="2936"/>
      <c r="AVE68" s="2936"/>
      <c r="AVF68" s="2936"/>
      <c r="AVG68" s="2936"/>
      <c r="AVH68" s="2936"/>
      <c r="AVI68" s="2936"/>
      <c r="AVJ68" s="2936"/>
      <c r="AVK68" s="2936"/>
      <c r="AVL68" s="2936"/>
      <c r="AVM68" s="2936"/>
      <c r="AVN68" s="2936"/>
      <c r="AVO68" s="2936"/>
      <c r="AVP68" s="2936"/>
      <c r="AVQ68" s="2936"/>
      <c r="AVR68" s="2936"/>
      <c r="AVS68" s="2936"/>
      <c r="AVT68" s="2936"/>
      <c r="AVU68" s="2936"/>
      <c r="AVV68" s="2936"/>
      <c r="AVW68" s="2936"/>
      <c r="AVX68" s="2936"/>
      <c r="AVY68" s="2936"/>
      <c r="AVZ68" s="2936"/>
      <c r="AWA68" s="2936"/>
      <c r="AWB68" s="2936"/>
      <c r="AWC68" s="2936"/>
      <c r="AWD68" s="2936"/>
      <c r="AWE68" s="2936"/>
      <c r="AWF68" s="2936"/>
      <c r="AWG68" s="2936"/>
      <c r="AWH68" s="2936"/>
      <c r="AWI68" s="2936"/>
      <c r="AWJ68" s="2936"/>
      <c r="AWK68" s="2936"/>
      <c r="AWL68" s="2936"/>
      <c r="AWM68" s="2936"/>
      <c r="AWN68" s="2936"/>
      <c r="AWO68" s="2936"/>
      <c r="AWP68" s="2936"/>
      <c r="AWQ68" s="2936"/>
      <c r="AWR68" s="2936"/>
      <c r="AWS68" s="2936"/>
      <c r="AWT68" s="2936"/>
      <c r="AWU68" s="2936"/>
      <c r="AWV68" s="2936"/>
      <c r="AWW68" s="2936"/>
      <c r="AWX68" s="2936"/>
      <c r="AWY68" s="2936"/>
      <c r="AWZ68" s="2936"/>
      <c r="AXA68" s="2936"/>
      <c r="AXB68" s="2936"/>
      <c r="AXC68" s="2936"/>
      <c r="AXD68" s="2936"/>
      <c r="AXE68" s="2936"/>
      <c r="AXF68" s="2936"/>
      <c r="AXG68" s="2936"/>
      <c r="AXH68" s="2936"/>
      <c r="AXI68" s="2936"/>
      <c r="AXJ68" s="2936"/>
      <c r="AXK68" s="2936"/>
      <c r="AXL68" s="2936"/>
      <c r="AXM68" s="2936"/>
      <c r="AXN68" s="2936"/>
      <c r="AXO68" s="2936"/>
      <c r="AXP68" s="2936"/>
      <c r="AXQ68" s="2936"/>
      <c r="AXR68" s="2936"/>
      <c r="AXS68" s="2936"/>
      <c r="AXT68" s="2936"/>
      <c r="AXU68" s="2936"/>
      <c r="AXV68" s="2936"/>
      <c r="AXW68" s="2936"/>
      <c r="AXX68" s="2936"/>
      <c r="AXY68" s="2936"/>
      <c r="AXZ68" s="2936"/>
      <c r="AYA68" s="2936"/>
      <c r="AYB68" s="2936"/>
      <c r="AYC68" s="2936"/>
      <c r="AYD68" s="2936"/>
      <c r="AYE68" s="2936"/>
      <c r="AYF68" s="2936"/>
      <c r="AYG68" s="2936"/>
      <c r="AYH68" s="2936"/>
      <c r="AYI68" s="2936"/>
      <c r="AYJ68" s="2936"/>
      <c r="AYK68" s="2936"/>
      <c r="AYL68" s="2936"/>
      <c r="AYM68" s="2936"/>
      <c r="AYN68" s="2936"/>
      <c r="AYO68" s="2936"/>
      <c r="AYP68" s="2936"/>
      <c r="AYQ68" s="2936"/>
      <c r="AYR68" s="2936"/>
      <c r="AYS68" s="2936"/>
      <c r="AYT68" s="2936"/>
      <c r="AYU68" s="2936"/>
      <c r="AYV68" s="2936"/>
      <c r="AYW68" s="2936"/>
      <c r="AYX68" s="2936"/>
      <c r="AYY68" s="2936"/>
      <c r="AYZ68" s="2936"/>
      <c r="AZA68" s="2936"/>
      <c r="AZB68" s="2936"/>
      <c r="AZC68" s="2936"/>
      <c r="AZD68" s="2936"/>
      <c r="AZE68" s="2936"/>
      <c r="AZF68" s="2936"/>
      <c r="AZG68" s="2936"/>
      <c r="AZH68" s="2936"/>
      <c r="AZI68" s="2936"/>
      <c r="AZJ68" s="2936"/>
      <c r="AZK68" s="2936"/>
      <c r="AZL68" s="2936"/>
      <c r="AZM68" s="2936"/>
      <c r="AZN68" s="2936"/>
      <c r="AZO68" s="2936"/>
      <c r="AZP68" s="2936"/>
      <c r="AZQ68" s="2936"/>
      <c r="AZR68" s="2936"/>
      <c r="AZS68" s="2936"/>
      <c r="AZT68" s="2936"/>
      <c r="AZU68" s="2936"/>
      <c r="AZV68" s="2936"/>
      <c r="AZW68" s="2936"/>
      <c r="AZX68" s="2936"/>
      <c r="AZY68" s="2936"/>
      <c r="AZZ68" s="2936"/>
      <c r="BAA68" s="2936"/>
      <c r="BAB68" s="2936"/>
      <c r="BAC68" s="2936"/>
      <c r="BAD68" s="2936"/>
      <c r="BAE68" s="2936"/>
      <c r="BAF68" s="2936"/>
      <c r="BAG68" s="2936"/>
      <c r="BAH68" s="2936"/>
      <c r="BAI68" s="2936"/>
      <c r="BAJ68" s="2936"/>
      <c r="BAK68" s="2936"/>
      <c r="BAL68" s="2936"/>
      <c r="BAM68" s="2936"/>
      <c r="BAN68" s="2936"/>
      <c r="BAO68" s="2936"/>
      <c r="BAP68" s="2936"/>
      <c r="BAQ68" s="2936"/>
      <c r="BAR68" s="2936"/>
      <c r="BAS68" s="2936"/>
      <c r="BAT68" s="2936"/>
      <c r="BAU68" s="2936"/>
      <c r="BAV68" s="2936"/>
      <c r="BAW68" s="2936"/>
      <c r="BAX68" s="2936"/>
      <c r="BAY68" s="2936"/>
      <c r="BAZ68" s="2936"/>
      <c r="BBA68" s="2936"/>
      <c r="BBB68" s="2936"/>
      <c r="BBC68" s="2936"/>
      <c r="BBD68" s="2936"/>
      <c r="BBE68" s="2936"/>
      <c r="BBF68" s="2936"/>
      <c r="BBG68" s="2936"/>
      <c r="BBH68" s="2936"/>
      <c r="BBI68" s="2936"/>
      <c r="BBJ68" s="2936"/>
      <c r="BBK68" s="2936"/>
      <c r="BBL68" s="2936"/>
      <c r="BBM68" s="2936"/>
      <c r="BBN68" s="2936"/>
      <c r="BBO68" s="2936"/>
      <c r="BBP68" s="2936"/>
      <c r="BBQ68" s="2936"/>
      <c r="BBR68" s="2936"/>
      <c r="BBS68" s="2936"/>
      <c r="BBT68" s="2936"/>
      <c r="BBU68" s="2936"/>
      <c r="BBV68" s="2936"/>
      <c r="BBW68" s="2936"/>
      <c r="BBX68" s="2936"/>
      <c r="BBY68" s="2936"/>
      <c r="BBZ68" s="2936"/>
      <c r="BCA68" s="2936"/>
      <c r="BCB68" s="2936"/>
      <c r="BCC68" s="2936"/>
      <c r="BCD68" s="2936"/>
      <c r="BCE68" s="2936"/>
      <c r="BCF68" s="2936"/>
      <c r="BCG68" s="2936"/>
      <c r="BCH68" s="2936"/>
      <c r="BCI68" s="2936"/>
      <c r="BCJ68" s="2936"/>
      <c r="BCK68" s="2936"/>
      <c r="BCL68" s="2936"/>
      <c r="BCM68" s="2936"/>
      <c r="BCN68" s="2936"/>
      <c r="BCO68" s="2936"/>
      <c r="BCP68" s="2936"/>
      <c r="BCQ68" s="2936"/>
      <c r="BCR68" s="2936"/>
      <c r="BCS68" s="2936"/>
      <c r="BCT68" s="2936"/>
      <c r="BCU68" s="2936"/>
      <c r="BCV68" s="2936"/>
      <c r="BCW68" s="2936"/>
      <c r="BCX68" s="2936"/>
      <c r="BCY68" s="2936"/>
      <c r="BCZ68" s="2936"/>
      <c r="BDA68" s="2936"/>
      <c r="BDB68" s="2936"/>
      <c r="BDC68" s="2936"/>
      <c r="BDD68" s="2936"/>
      <c r="BDE68" s="2936"/>
      <c r="BDF68" s="2936"/>
      <c r="BDG68" s="2936"/>
      <c r="BDH68" s="2936"/>
      <c r="BDI68" s="2936"/>
      <c r="BDJ68" s="2936"/>
      <c r="BDK68" s="2936"/>
      <c r="BDL68" s="2936"/>
      <c r="BDM68" s="2936"/>
      <c r="BDN68" s="2936"/>
      <c r="BDO68" s="2936"/>
      <c r="BDP68" s="2936"/>
      <c r="BDQ68" s="2936"/>
      <c r="BDR68" s="2936"/>
      <c r="BDS68" s="2936"/>
      <c r="BDT68" s="2936"/>
      <c r="BDU68" s="2936"/>
      <c r="BDV68" s="2936"/>
      <c r="BDW68" s="2936"/>
      <c r="BDX68" s="2936"/>
      <c r="BDY68" s="2936"/>
      <c r="BDZ68" s="2936"/>
      <c r="BEA68" s="2936"/>
      <c r="BEB68" s="2936"/>
      <c r="BEC68" s="2936"/>
      <c r="BED68" s="2936"/>
      <c r="BEE68" s="2936"/>
      <c r="BEF68" s="2936"/>
      <c r="BEG68" s="2936"/>
      <c r="BEH68" s="2936"/>
      <c r="BEI68" s="2936"/>
      <c r="BEJ68" s="2936"/>
      <c r="BEK68" s="2936"/>
      <c r="BEL68" s="2936"/>
      <c r="BEM68" s="2936"/>
      <c r="BEN68" s="2936"/>
      <c r="BEO68" s="2936"/>
      <c r="BEP68" s="2936"/>
      <c r="BEQ68" s="2936"/>
      <c r="BER68" s="2936"/>
      <c r="BES68" s="2936"/>
      <c r="BET68" s="2936"/>
      <c r="BEU68" s="2936"/>
      <c r="BEV68" s="2936"/>
      <c r="BEW68" s="2936"/>
      <c r="BEX68" s="2936"/>
      <c r="BEY68" s="2936"/>
      <c r="BEZ68" s="2936"/>
      <c r="BFA68" s="2936"/>
      <c r="BFB68" s="2936"/>
      <c r="BFC68" s="2936"/>
      <c r="BFD68" s="2936"/>
      <c r="BFE68" s="2936"/>
      <c r="BFF68" s="2936"/>
      <c r="BFG68" s="2936"/>
      <c r="BFH68" s="2936"/>
      <c r="BFI68" s="2936"/>
      <c r="BFJ68" s="2936"/>
      <c r="BFK68" s="2936"/>
      <c r="BFL68" s="2936"/>
      <c r="BFM68" s="2936"/>
      <c r="BFN68" s="2936"/>
      <c r="BFO68" s="2936"/>
      <c r="BFP68" s="2936"/>
      <c r="BFQ68" s="2936"/>
      <c r="BFR68" s="2936"/>
      <c r="BFS68" s="2936"/>
      <c r="BFT68" s="2936"/>
      <c r="BFU68" s="2936"/>
      <c r="BFV68" s="2936"/>
      <c r="BFW68" s="2936"/>
      <c r="BFX68" s="2936"/>
      <c r="BFY68" s="2936"/>
      <c r="BFZ68" s="2936"/>
      <c r="BGA68" s="2936"/>
      <c r="BGB68" s="2936"/>
      <c r="BGC68" s="2936"/>
      <c r="BGD68" s="2936"/>
      <c r="BGE68" s="2936"/>
      <c r="BGF68" s="2936"/>
      <c r="BGG68" s="2936"/>
      <c r="BGH68" s="2936"/>
      <c r="BGI68" s="2936"/>
      <c r="BGJ68" s="2936"/>
      <c r="BGK68" s="2936"/>
      <c r="BGL68" s="2936"/>
      <c r="BGM68" s="2936"/>
      <c r="BGN68" s="2936"/>
      <c r="BGO68" s="2936"/>
      <c r="BGP68" s="2936"/>
      <c r="BGQ68" s="2936"/>
      <c r="BGR68" s="2936"/>
      <c r="BGS68" s="2936"/>
      <c r="BGT68" s="2936"/>
      <c r="BGU68" s="2936"/>
      <c r="BGV68" s="2936"/>
      <c r="BGW68" s="2936"/>
      <c r="BGX68" s="2936"/>
      <c r="BGY68" s="2936"/>
      <c r="BGZ68" s="2936"/>
      <c r="BHA68" s="2936"/>
      <c r="BHB68" s="2936"/>
      <c r="BHC68" s="2936"/>
      <c r="BHD68" s="2936"/>
      <c r="BHE68" s="2936"/>
      <c r="BHF68" s="2936"/>
      <c r="BHG68" s="2936"/>
      <c r="BHH68" s="2936"/>
      <c r="BHI68" s="2936"/>
      <c r="BHJ68" s="2936"/>
      <c r="BHK68" s="2936"/>
      <c r="BHL68" s="2936"/>
      <c r="BHM68" s="2936"/>
      <c r="BHN68" s="2936"/>
      <c r="BHO68" s="2936"/>
      <c r="BHP68" s="2936"/>
      <c r="BHQ68" s="2936"/>
      <c r="BHR68" s="2936"/>
      <c r="BHS68" s="2936"/>
      <c r="BHT68" s="2936"/>
      <c r="BHU68" s="2936"/>
      <c r="BHV68" s="2936"/>
      <c r="BHW68" s="2936"/>
      <c r="BHX68" s="2936"/>
      <c r="BHY68" s="2936"/>
      <c r="BHZ68" s="2936"/>
      <c r="BIA68" s="2936"/>
      <c r="BIB68" s="2936"/>
      <c r="BIC68" s="2936"/>
      <c r="BID68" s="2936"/>
      <c r="BIE68" s="2936"/>
      <c r="BIF68" s="2936"/>
      <c r="BIG68" s="2936"/>
      <c r="BIH68" s="2936"/>
      <c r="BII68" s="2936"/>
      <c r="BIJ68" s="2936"/>
      <c r="BIK68" s="2936"/>
      <c r="BIL68" s="2936"/>
      <c r="BIM68" s="2936"/>
      <c r="BIN68" s="2936"/>
      <c r="BIO68" s="2936"/>
      <c r="BIP68" s="2936"/>
      <c r="BIQ68" s="2936"/>
      <c r="BIR68" s="2936"/>
      <c r="BIS68" s="2936"/>
      <c r="BIT68" s="2936"/>
      <c r="BIU68" s="2936"/>
      <c r="BIV68" s="2936"/>
      <c r="BIW68" s="2936"/>
      <c r="BIX68" s="2936"/>
      <c r="BIY68" s="2936"/>
      <c r="BIZ68" s="2936"/>
      <c r="BJA68" s="2936"/>
      <c r="BJB68" s="2936"/>
      <c r="BJC68" s="2936"/>
      <c r="BJD68" s="2936"/>
      <c r="BJE68" s="2936"/>
      <c r="BJF68" s="2936"/>
      <c r="BJG68" s="2936"/>
      <c r="BJH68" s="2936"/>
      <c r="BJI68" s="2936"/>
      <c r="BJJ68" s="2936"/>
      <c r="BJK68" s="2936"/>
      <c r="BJL68" s="2936"/>
      <c r="BJM68" s="2936"/>
      <c r="BJN68" s="2936"/>
      <c r="BJO68" s="2936"/>
      <c r="BJP68" s="2936"/>
      <c r="BJQ68" s="2936"/>
      <c r="BJR68" s="2936"/>
      <c r="BJS68" s="2936"/>
      <c r="BJT68" s="2936"/>
      <c r="BJU68" s="2936"/>
      <c r="BJV68" s="2936"/>
      <c r="BJW68" s="2936"/>
      <c r="BJX68" s="2936"/>
      <c r="BJY68" s="2936"/>
      <c r="BJZ68" s="2936"/>
      <c r="BKA68" s="2936"/>
      <c r="BKB68" s="2936"/>
      <c r="BKC68" s="2936"/>
      <c r="BKD68" s="2936"/>
      <c r="BKE68" s="2936"/>
      <c r="BKF68" s="2936"/>
      <c r="BKG68" s="2936"/>
      <c r="BKH68" s="2936"/>
      <c r="BKI68" s="2936"/>
      <c r="BKJ68" s="2936"/>
      <c r="BKK68" s="2936"/>
      <c r="BKL68" s="2936"/>
      <c r="BKM68" s="2936"/>
      <c r="BKN68" s="2936"/>
      <c r="BKO68" s="2936"/>
      <c r="BKP68" s="2936"/>
      <c r="BKQ68" s="2936"/>
      <c r="BKR68" s="2936"/>
      <c r="BKS68" s="2936"/>
      <c r="BKT68" s="2936"/>
      <c r="BKU68" s="2936"/>
      <c r="BKV68" s="2936"/>
      <c r="BKW68" s="2936"/>
      <c r="BKX68" s="2936"/>
      <c r="BKY68" s="2936"/>
      <c r="BKZ68" s="2936"/>
      <c r="BLA68" s="2936"/>
      <c r="BLB68" s="2936"/>
      <c r="BLC68" s="2936"/>
      <c r="BLD68" s="2936"/>
      <c r="BLE68" s="2936"/>
      <c r="BLF68" s="2936"/>
      <c r="BLG68" s="2936"/>
      <c r="BLH68" s="2936"/>
      <c r="BLI68" s="2936"/>
      <c r="BLJ68" s="2936"/>
      <c r="BLK68" s="2936"/>
      <c r="BLL68" s="2936"/>
      <c r="BLM68" s="2936"/>
      <c r="BLN68" s="2936"/>
      <c r="BLO68" s="2936"/>
      <c r="BLP68" s="2936"/>
      <c r="BLQ68" s="2936"/>
      <c r="BLR68" s="2936"/>
      <c r="BLS68" s="2936"/>
      <c r="BLT68" s="2936"/>
      <c r="BLU68" s="2936"/>
      <c r="BLV68" s="2936"/>
      <c r="BLW68" s="2936"/>
      <c r="BLX68" s="2936"/>
      <c r="BLY68" s="2936"/>
      <c r="BLZ68" s="2936"/>
      <c r="BMA68" s="2936"/>
      <c r="BMB68" s="2936"/>
      <c r="BMC68" s="2936"/>
      <c r="BMD68" s="2936"/>
      <c r="BME68" s="2936"/>
      <c r="BMF68" s="2936"/>
      <c r="BMG68" s="2936"/>
      <c r="BMH68" s="2936"/>
      <c r="BMI68" s="2936"/>
      <c r="BMJ68" s="2936"/>
      <c r="BMK68" s="2936"/>
      <c r="BML68" s="2936"/>
      <c r="BMM68" s="2936"/>
      <c r="BMN68" s="2936"/>
      <c r="BMO68" s="2936"/>
      <c r="BMP68" s="2936"/>
      <c r="BMQ68" s="2936"/>
      <c r="BMR68" s="2936"/>
      <c r="BMS68" s="2936"/>
      <c r="BMT68" s="2936"/>
      <c r="BMU68" s="2936"/>
      <c r="BMV68" s="2936"/>
      <c r="BMW68" s="2936"/>
      <c r="BMX68" s="2936"/>
      <c r="BMY68" s="2936"/>
      <c r="BMZ68" s="2936"/>
      <c r="BNA68" s="2936"/>
      <c r="BNB68" s="2936"/>
      <c r="BNC68" s="2936"/>
      <c r="BND68" s="2936"/>
      <c r="BNE68" s="2936"/>
      <c r="BNF68" s="2936"/>
      <c r="BNG68" s="2936"/>
      <c r="BNH68" s="2936"/>
      <c r="BNI68" s="2936"/>
      <c r="BNJ68" s="2936"/>
      <c r="BNK68" s="2936"/>
      <c r="BNL68" s="2936"/>
      <c r="BNM68" s="2936"/>
      <c r="BNN68" s="2936"/>
      <c r="BNO68" s="2936"/>
      <c r="BNP68" s="2936"/>
      <c r="BNQ68" s="2936"/>
      <c r="BNR68" s="2936"/>
      <c r="BNS68" s="2936"/>
      <c r="BNT68" s="2936"/>
      <c r="BNU68" s="2936"/>
      <c r="BNV68" s="2936"/>
      <c r="BNW68" s="2936"/>
      <c r="BNX68" s="2936"/>
      <c r="BNY68" s="2936"/>
      <c r="BNZ68" s="2936"/>
      <c r="BOA68" s="2936"/>
      <c r="BOB68" s="2936"/>
      <c r="BOC68" s="2936"/>
      <c r="BOD68" s="2936"/>
      <c r="BOE68" s="2936"/>
      <c r="BOF68" s="2936"/>
      <c r="BOG68" s="2936"/>
      <c r="BOH68" s="2936"/>
      <c r="BOI68" s="2936"/>
      <c r="BOJ68" s="2936"/>
      <c r="BOK68" s="2936"/>
      <c r="BOL68" s="2936"/>
      <c r="BOM68" s="2936"/>
      <c r="BON68" s="2936"/>
      <c r="BOO68" s="2936"/>
      <c r="BOP68" s="2936"/>
      <c r="BOQ68" s="2936"/>
      <c r="BOR68" s="2936"/>
      <c r="BOS68" s="2936"/>
      <c r="BOT68" s="2936"/>
      <c r="BOU68" s="2936"/>
      <c r="BOV68" s="2936"/>
      <c r="BOW68" s="2936"/>
      <c r="BOX68" s="2936"/>
      <c r="BOY68" s="2936"/>
      <c r="BOZ68" s="2936"/>
      <c r="BPA68" s="2936"/>
      <c r="BPB68" s="2936"/>
      <c r="BPC68" s="2936"/>
      <c r="BPD68" s="2936"/>
      <c r="BPE68" s="2936"/>
      <c r="BPF68" s="2936"/>
      <c r="BPG68" s="2936"/>
      <c r="BPH68" s="2936"/>
      <c r="BPI68" s="2936"/>
      <c r="BPJ68" s="2936"/>
      <c r="BPK68" s="2936"/>
      <c r="BPL68" s="2936"/>
      <c r="BPM68" s="2936"/>
      <c r="BPN68" s="2936"/>
      <c r="BPO68" s="2936"/>
      <c r="BPP68" s="2936"/>
      <c r="BPQ68" s="2936"/>
      <c r="BPR68" s="2936"/>
      <c r="BPS68" s="2936"/>
      <c r="BPT68" s="2936"/>
      <c r="BPU68" s="2936"/>
      <c r="BPV68" s="2936"/>
      <c r="BPW68" s="2936"/>
      <c r="BPX68" s="2936"/>
      <c r="BPY68" s="2936"/>
      <c r="BPZ68" s="2936"/>
      <c r="BQA68" s="2936"/>
      <c r="BQB68" s="2936"/>
      <c r="BQC68" s="2936"/>
      <c r="BQD68" s="2936"/>
      <c r="BQE68" s="2936"/>
      <c r="BQF68" s="2936"/>
      <c r="BQG68" s="2936"/>
      <c r="BQH68" s="2936"/>
      <c r="BQI68" s="2936"/>
      <c r="BQJ68" s="2936"/>
      <c r="BQK68" s="2936"/>
      <c r="BQL68" s="2936"/>
      <c r="BQM68" s="2936"/>
      <c r="BQN68" s="2936"/>
      <c r="BQO68" s="2936"/>
      <c r="BQP68" s="2936"/>
      <c r="BQQ68" s="2936"/>
      <c r="BQR68" s="2936"/>
      <c r="BQS68" s="2936"/>
      <c r="BQT68" s="2936"/>
      <c r="BQU68" s="2936"/>
      <c r="BQV68" s="2936"/>
      <c r="BQW68" s="2936"/>
      <c r="BQX68" s="2936"/>
      <c r="BQY68" s="2936"/>
      <c r="BQZ68" s="2936"/>
      <c r="BRA68" s="2936"/>
      <c r="BRB68" s="2936"/>
      <c r="BRC68" s="2936"/>
      <c r="BRD68" s="2936"/>
      <c r="BRE68" s="2936"/>
      <c r="BRF68" s="2936"/>
      <c r="BRG68" s="2936"/>
      <c r="BRH68" s="2936"/>
      <c r="BRI68" s="2936"/>
      <c r="BRJ68" s="2936"/>
      <c r="BRK68" s="2936"/>
      <c r="BRL68" s="2936"/>
      <c r="BRM68" s="2936"/>
      <c r="BRN68" s="2936"/>
      <c r="BRO68" s="2936"/>
      <c r="BRP68" s="2936"/>
      <c r="BRQ68" s="2936"/>
      <c r="BRR68" s="2936"/>
      <c r="BRS68" s="2936"/>
      <c r="BRT68" s="2936"/>
      <c r="BRU68" s="2936"/>
      <c r="BRV68" s="2936"/>
      <c r="BRW68" s="2936"/>
      <c r="BRX68" s="2936"/>
      <c r="BRY68" s="2936"/>
      <c r="BRZ68" s="2936"/>
      <c r="BSA68" s="2936"/>
      <c r="BSB68" s="2936"/>
      <c r="BSC68" s="2936"/>
      <c r="BSD68" s="2936"/>
      <c r="BSE68" s="2936"/>
      <c r="BSF68" s="2936"/>
      <c r="BSG68" s="2936"/>
      <c r="BSH68" s="2936"/>
      <c r="BSI68" s="2936"/>
      <c r="BSJ68" s="2936"/>
      <c r="BSK68" s="2936"/>
      <c r="BSL68" s="2936"/>
      <c r="BSM68" s="2936"/>
      <c r="BSN68" s="2936"/>
      <c r="BSO68" s="2936"/>
      <c r="BSP68" s="2936"/>
      <c r="BSQ68" s="2936"/>
      <c r="BSR68" s="2936"/>
      <c r="BSS68" s="2936"/>
      <c r="BST68" s="2936"/>
      <c r="BSU68" s="2936"/>
      <c r="BSV68" s="2936"/>
      <c r="BSW68" s="2936"/>
      <c r="BSX68" s="2936"/>
      <c r="BSY68" s="2936"/>
      <c r="BSZ68" s="2936"/>
      <c r="BTA68" s="2936"/>
      <c r="BTB68" s="2936"/>
      <c r="BTC68" s="2936"/>
      <c r="BTD68" s="2936"/>
      <c r="BTE68" s="2936"/>
      <c r="BTF68" s="2936"/>
      <c r="BTG68" s="2936"/>
      <c r="BTH68" s="2936"/>
      <c r="BTI68" s="2936"/>
      <c r="BTJ68" s="2936"/>
      <c r="BTK68" s="2936"/>
      <c r="BTL68" s="2936"/>
      <c r="BTM68" s="2936"/>
      <c r="BTN68" s="2936"/>
      <c r="BTO68" s="2936"/>
      <c r="BTP68" s="2936"/>
      <c r="BTQ68" s="2936"/>
      <c r="BTR68" s="2936"/>
      <c r="BTS68" s="2936"/>
      <c r="BTT68" s="2936"/>
      <c r="BTU68" s="2936"/>
      <c r="BTV68" s="2936"/>
      <c r="BTW68" s="2936"/>
      <c r="BTX68" s="2936"/>
      <c r="BTY68" s="2936"/>
      <c r="BTZ68" s="2936"/>
      <c r="BUA68" s="2936"/>
      <c r="BUB68" s="2936"/>
      <c r="BUC68" s="2936"/>
      <c r="BUD68" s="2936"/>
      <c r="BUE68" s="2936"/>
      <c r="BUF68" s="2936"/>
      <c r="BUG68" s="2936"/>
      <c r="BUH68" s="2936"/>
      <c r="BUI68" s="2936"/>
      <c r="BUJ68" s="2936"/>
      <c r="BUK68" s="2936"/>
      <c r="BUL68" s="2936"/>
      <c r="BUM68" s="2936"/>
      <c r="BUN68" s="2936"/>
      <c r="BUO68" s="2936"/>
      <c r="BUP68" s="2936"/>
      <c r="BUQ68" s="2936"/>
      <c r="BUR68" s="2936"/>
      <c r="BUS68" s="2936"/>
      <c r="BUT68" s="2936"/>
      <c r="BUU68" s="2936"/>
      <c r="BUV68" s="2936"/>
      <c r="BUW68" s="2936"/>
      <c r="BUX68" s="2936"/>
      <c r="BUY68" s="2936"/>
      <c r="BUZ68" s="2936"/>
      <c r="BVA68" s="2936"/>
      <c r="BVB68" s="2936"/>
      <c r="BVC68" s="2936"/>
      <c r="BVD68" s="2936"/>
      <c r="BVE68" s="2936"/>
      <c r="BVF68" s="2936"/>
      <c r="BVG68" s="2936"/>
      <c r="BVH68" s="2936"/>
      <c r="BVI68" s="2936"/>
      <c r="BVJ68" s="2936"/>
      <c r="BVK68" s="2936"/>
      <c r="BVL68" s="2936"/>
      <c r="BVM68" s="2936"/>
      <c r="BVN68" s="2936"/>
      <c r="BVO68" s="2936"/>
      <c r="BVP68" s="2936"/>
      <c r="BVQ68" s="2936"/>
      <c r="BVR68" s="2936"/>
      <c r="BVS68" s="2936"/>
      <c r="BVT68" s="2936"/>
      <c r="BVU68" s="2936"/>
      <c r="BVV68" s="2936"/>
      <c r="BVW68" s="2936"/>
      <c r="BVX68" s="2936"/>
      <c r="BVY68" s="2936"/>
      <c r="BVZ68" s="2936"/>
      <c r="BWA68" s="2936"/>
      <c r="BWB68" s="2936"/>
      <c r="BWC68" s="2936"/>
      <c r="BWD68" s="2936"/>
      <c r="BWE68" s="2936"/>
      <c r="BWF68" s="2936"/>
      <c r="BWG68" s="2936"/>
      <c r="BWH68" s="2936"/>
      <c r="BWI68" s="2936"/>
      <c r="BWJ68" s="2936"/>
      <c r="BWK68" s="2936"/>
      <c r="BWL68" s="2936"/>
      <c r="BWM68" s="2936"/>
      <c r="BWN68" s="2936"/>
      <c r="BWO68" s="2936"/>
      <c r="BWP68" s="2936"/>
      <c r="BWQ68" s="2936"/>
      <c r="BWR68" s="2936"/>
      <c r="BWS68" s="2936"/>
      <c r="BWT68" s="2936"/>
      <c r="BWU68" s="2936"/>
      <c r="BWV68" s="2936"/>
      <c r="BWW68" s="2936"/>
      <c r="BWX68" s="2936"/>
      <c r="BWY68" s="2936"/>
      <c r="BWZ68" s="2936"/>
      <c r="BXA68" s="2936"/>
      <c r="BXB68" s="2936"/>
      <c r="BXC68" s="2936"/>
      <c r="BXD68" s="2936"/>
      <c r="BXE68" s="2936"/>
      <c r="BXF68" s="2936"/>
      <c r="BXG68" s="2936"/>
      <c r="BXH68" s="2936"/>
      <c r="BXI68" s="2936"/>
      <c r="BXJ68" s="2936"/>
      <c r="BXK68" s="2936"/>
      <c r="BXL68" s="2936"/>
      <c r="BXM68" s="2936"/>
      <c r="BXN68" s="2936"/>
      <c r="BXO68" s="2936"/>
      <c r="BXP68" s="2936"/>
      <c r="BXQ68" s="2936"/>
      <c r="BXR68" s="2936"/>
      <c r="BXS68" s="2936"/>
      <c r="BXT68" s="2936"/>
      <c r="BXU68" s="2936"/>
      <c r="BXV68" s="2936"/>
      <c r="BXW68" s="2936"/>
      <c r="BXX68" s="2936"/>
      <c r="BXY68" s="2936"/>
      <c r="BXZ68" s="2936"/>
      <c r="BYA68" s="2936"/>
      <c r="BYB68" s="2936"/>
      <c r="BYC68" s="2936"/>
      <c r="BYD68" s="2936"/>
      <c r="BYE68" s="2936"/>
      <c r="BYF68" s="2936"/>
      <c r="BYG68" s="2936"/>
      <c r="BYH68" s="2936"/>
      <c r="BYI68" s="2936"/>
      <c r="BYJ68" s="2936"/>
      <c r="BYK68" s="2936"/>
      <c r="BYL68" s="2936"/>
      <c r="BYM68" s="2936"/>
      <c r="BYN68" s="2936"/>
      <c r="BYO68" s="2936"/>
      <c r="BYP68" s="2936"/>
      <c r="BYQ68" s="2936"/>
      <c r="BYR68" s="2936"/>
      <c r="BYS68" s="2936"/>
      <c r="BYT68" s="2936"/>
      <c r="BYU68" s="2936"/>
      <c r="BYV68" s="2936"/>
      <c r="BYW68" s="2936"/>
      <c r="BYX68" s="2936"/>
      <c r="BYY68" s="2936"/>
      <c r="BYZ68" s="2936"/>
      <c r="BZA68" s="2936"/>
      <c r="BZB68" s="2936"/>
      <c r="BZC68" s="2936"/>
      <c r="BZD68" s="2936"/>
      <c r="BZE68" s="2936"/>
      <c r="BZF68" s="2936"/>
      <c r="BZG68" s="2936"/>
      <c r="BZH68" s="2936"/>
      <c r="BZI68" s="2936"/>
      <c r="BZJ68" s="2936"/>
      <c r="BZK68" s="2936"/>
      <c r="BZL68" s="2936"/>
      <c r="BZM68" s="2936"/>
      <c r="BZN68" s="2936"/>
      <c r="BZO68" s="2936"/>
      <c r="BZP68" s="2936"/>
      <c r="BZQ68" s="2936"/>
      <c r="BZR68" s="2936"/>
      <c r="BZS68" s="2936"/>
      <c r="BZT68" s="2936"/>
      <c r="BZU68" s="2936"/>
      <c r="BZV68" s="2936"/>
      <c r="BZW68" s="2936"/>
      <c r="BZX68" s="2936"/>
      <c r="BZY68" s="2936"/>
      <c r="BZZ68" s="2936"/>
      <c r="CAA68" s="2936"/>
      <c r="CAB68" s="2936"/>
      <c r="CAC68" s="2936"/>
      <c r="CAD68" s="2936"/>
      <c r="CAE68" s="2936"/>
      <c r="CAF68" s="2936"/>
      <c r="CAG68" s="2936"/>
      <c r="CAH68" s="2936"/>
      <c r="CAI68" s="2936"/>
      <c r="CAJ68" s="2936"/>
      <c r="CAK68" s="2936"/>
      <c r="CAL68" s="2936"/>
      <c r="CAM68" s="2936"/>
      <c r="CAN68" s="2936"/>
      <c r="CAO68" s="2936"/>
      <c r="CAP68" s="2936"/>
      <c r="CAQ68" s="2936"/>
      <c r="CAR68" s="2936"/>
      <c r="CAS68" s="2936"/>
      <c r="CAT68" s="2936"/>
      <c r="CAU68" s="2936"/>
      <c r="CAV68" s="2936"/>
      <c r="CAW68" s="2936"/>
      <c r="CAX68" s="2936"/>
      <c r="CAY68" s="2936"/>
      <c r="CAZ68" s="2936"/>
      <c r="CBA68" s="2936"/>
      <c r="CBB68" s="2936"/>
      <c r="CBC68" s="2936"/>
      <c r="CBD68" s="2936"/>
      <c r="CBE68" s="2936"/>
      <c r="CBF68" s="2936"/>
      <c r="CBG68" s="2936"/>
      <c r="CBH68" s="2936"/>
      <c r="CBI68" s="2936"/>
      <c r="CBJ68" s="2936"/>
      <c r="CBK68" s="2936"/>
      <c r="CBL68" s="2936"/>
      <c r="CBM68" s="2936"/>
      <c r="CBN68" s="2936"/>
      <c r="CBO68" s="2936"/>
      <c r="CBP68" s="2936"/>
      <c r="CBQ68" s="2936"/>
      <c r="CBR68" s="2936"/>
      <c r="CBS68" s="2936"/>
      <c r="CBT68" s="2936"/>
      <c r="CBU68" s="2936"/>
      <c r="CBV68" s="2936"/>
      <c r="CBW68" s="2936"/>
      <c r="CBX68" s="2936"/>
      <c r="CBY68" s="2936"/>
      <c r="CBZ68" s="2936"/>
      <c r="CCA68" s="2936"/>
      <c r="CCB68" s="2936"/>
      <c r="CCC68" s="2936"/>
      <c r="CCD68" s="2936"/>
      <c r="CCE68" s="2936"/>
      <c r="CCF68" s="2936"/>
      <c r="CCG68" s="2936"/>
      <c r="CCH68" s="2936"/>
      <c r="CCI68" s="2936"/>
      <c r="CCJ68" s="2936"/>
      <c r="CCK68" s="2936"/>
      <c r="CCL68" s="2936"/>
      <c r="CCM68" s="2936"/>
      <c r="CCN68" s="2936"/>
      <c r="CCO68" s="2936"/>
      <c r="CCP68" s="2936"/>
      <c r="CCQ68" s="2936"/>
      <c r="CCR68" s="2936"/>
      <c r="CCS68" s="2936"/>
      <c r="CCT68" s="2936"/>
      <c r="CCU68" s="2936"/>
      <c r="CCV68" s="2936"/>
      <c r="CCW68" s="2936"/>
      <c r="CCX68" s="2936"/>
      <c r="CCY68" s="2936"/>
      <c r="CCZ68" s="2936"/>
      <c r="CDA68" s="2936"/>
      <c r="CDB68" s="2936"/>
      <c r="CDC68" s="2936"/>
      <c r="CDD68" s="2936"/>
      <c r="CDE68" s="2936"/>
      <c r="CDF68" s="2936"/>
      <c r="CDG68" s="2936"/>
      <c r="CDH68" s="2936"/>
      <c r="CDI68" s="2936"/>
      <c r="CDJ68" s="2936"/>
      <c r="CDK68" s="2936"/>
      <c r="CDL68" s="2936"/>
      <c r="CDM68" s="2936"/>
      <c r="CDN68" s="2936"/>
      <c r="CDO68" s="2936"/>
      <c r="CDP68" s="2936"/>
      <c r="CDQ68" s="2936"/>
      <c r="CDR68" s="2936"/>
      <c r="CDS68" s="2936"/>
      <c r="CDT68" s="2936"/>
      <c r="CDU68" s="2936"/>
      <c r="CDV68" s="2936"/>
      <c r="CDW68" s="2936"/>
      <c r="CDX68" s="2936"/>
      <c r="CDY68" s="2936"/>
      <c r="CDZ68" s="2936"/>
      <c r="CEA68" s="2936"/>
      <c r="CEB68" s="2936"/>
      <c r="CEC68" s="2936"/>
      <c r="CED68" s="2936"/>
      <c r="CEE68" s="2936"/>
      <c r="CEF68" s="2936"/>
      <c r="CEG68" s="2936"/>
      <c r="CEH68" s="2936"/>
      <c r="CEI68" s="2936"/>
      <c r="CEJ68" s="2936"/>
      <c r="CEK68" s="2936"/>
      <c r="CEL68" s="2936"/>
      <c r="CEM68" s="2936"/>
      <c r="CEN68" s="2936"/>
      <c r="CEO68" s="2936"/>
      <c r="CEP68" s="2936"/>
      <c r="CEQ68" s="2936"/>
      <c r="CER68" s="2936"/>
      <c r="CES68" s="2936"/>
      <c r="CET68" s="2936"/>
      <c r="CEU68" s="2936"/>
      <c r="CEV68" s="2936"/>
      <c r="CEW68" s="2936"/>
      <c r="CEX68" s="2936"/>
      <c r="CEY68" s="2936"/>
      <c r="CEZ68" s="2936"/>
      <c r="CFA68" s="2936"/>
      <c r="CFB68" s="2936"/>
      <c r="CFC68" s="2936"/>
      <c r="CFD68" s="2936"/>
      <c r="CFE68" s="2936"/>
      <c r="CFF68" s="2936"/>
      <c r="CFG68" s="2936"/>
      <c r="CFH68" s="2936"/>
      <c r="CFI68" s="2936"/>
      <c r="CFJ68" s="2936"/>
      <c r="CFK68" s="2936"/>
      <c r="CFL68" s="2936"/>
      <c r="CFM68" s="2936"/>
      <c r="CFN68" s="2936"/>
      <c r="CFO68" s="2936"/>
      <c r="CFP68" s="2936"/>
      <c r="CFQ68" s="2936"/>
      <c r="CFR68" s="2936"/>
      <c r="CFS68" s="2936"/>
      <c r="CFT68" s="2936"/>
      <c r="CFU68" s="2936"/>
      <c r="CFV68" s="2936"/>
      <c r="CFW68" s="2936"/>
      <c r="CFX68" s="2936"/>
      <c r="CFY68" s="2936"/>
      <c r="CFZ68" s="2936"/>
      <c r="CGA68" s="2936"/>
      <c r="CGB68" s="2936"/>
      <c r="CGC68" s="2936"/>
      <c r="CGD68" s="2936"/>
      <c r="CGE68" s="2936"/>
      <c r="CGF68" s="2936"/>
      <c r="CGG68" s="2936"/>
      <c r="CGH68" s="2936"/>
      <c r="CGI68" s="2936"/>
      <c r="CGJ68" s="2936"/>
      <c r="CGK68" s="2936"/>
      <c r="CGL68" s="2936"/>
      <c r="CGM68" s="2936"/>
      <c r="CGN68" s="2936"/>
      <c r="CGO68" s="2936"/>
      <c r="CGP68" s="2936"/>
      <c r="CGQ68" s="2936"/>
      <c r="CGR68" s="2936"/>
      <c r="CGS68" s="2936"/>
      <c r="CGT68" s="2936"/>
      <c r="CGU68" s="2936"/>
      <c r="CGV68" s="2936"/>
      <c r="CGW68" s="2936"/>
      <c r="CGX68" s="2936"/>
      <c r="CGY68" s="2936"/>
      <c r="CGZ68" s="2936"/>
      <c r="CHA68" s="2936"/>
      <c r="CHB68" s="2936"/>
      <c r="CHC68" s="2936"/>
      <c r="CHD68" s="2936"/>
      <c r="CHE68" s="2936"/>
      <c r="CHF68" s="2936"/>
      <c r="CHG68" s="2936"/>
      <c r="CHH68" s="2936"/>
      <c r="CHI68" s="2936"/>
      <c r="CHJ68" s="2936"/>
      <c r="CHK68" s="2936"/>
      <c r="CHL68" s="2936"/>
      <c r="CHM68" s="2936"/>
      <c r="CHN68" s="2936"/>
      <c r="CHO68" s="2936"/>
      <c r="CHP68" s="2936"/>
      <c r="CHQ68" s="2936"/>
      <c r="CHR68" s="2936"/>
      <c r="CHS68" s="2936"/>
      <c r="CHT68" s="2936"/>
      <c r="CHU68" s="2936"/>
      <c r="CHV68" s="2936"/>
      <c r="CHW68" s="2936"/>
      <c r="CHX68" s="2936"/>
      <c r="CHY68" s="2936"/>
      <c r="CHZ68" s="2936"/>
      <c r="CIA68" s="2936"/>
      <c r="CIB68" s="2936"/>
      <c r="CIC68" s="2936"/>
      <c r="CID68" s="2936"/>
      <c r="CIE68" s="2936"/>
      <c r="CIF68" s="2936"/>
      <c r="CIG68" s="2936"/>
      <c r="CIH68" s="2936"/>
      <c r="CII68" s="2936"/>
      <c r="CIJ68" s="2936"/>
      <c r="CIK68" s="2936"/>
      <c r="CIL68" s="2936"/>
      <c r="CIM68" s="2936"/>
      <c r="CIN68" s="2936"/>
      <c r="CIO68" s="2936"/>
      <c r="CIP68" s="2936"/>
      <c r="CIQ68" s="2936"/>
      <c r="CIR68" s="2936"/>
      <c r="CIS68" s="2936"/>
      <c r="CIT68" s="2936"/>
      <c r="CIU68" s="2936"/>
      <c r="CIV68" s="2936"/>
      <c r="CIW68" s="2936"/>
      <c r="CIX68" s="2936"/>
      <c r="CIY68" s="2936"/>
      <c r="CIZ68" s="2936"/>
      <c r="CJA68" s="2936"/>
      <c r="CJB68" s="2936"/>
      <c r="CJC68" s="2936"/>
      <c r="CJD68" s="2936"/>
      <c r="CJE68" s="2936"/>
      <c r="CJF68" s="2936"/>
      <c r="CJG68" s="2936"/>
      <c r="CJH68" s="2936"/>
      <c r="CJI68" s="2936"/>
      <c r="CJJ68" s="2936"/>
      <c r="CJK68" s="2936"/>
      <c r="CJL68" s="2936"/>
      <c r="CJM68" s="2936"/>
      <c r="CJN68" s="2936"/>
      <c r="CJO68" s="2936"/>
      <c r="CJP68" s="2936"/>
      <c r="CJQ68" s="2936"/>
      <c r="CJR68" s="2936"/>
      <c r="CJS68" s="2936"/>
      <c r="CJT68" s="2936"/>
      <c r="CJU68" s="2936"/>
      <c r="CJV68" s="2936"/>
      <c r="CJW68" s="2936"/>
      <c r="CJX68" s="2936"/>
      <c r="CJY68" s="2936"/>
      <c r="CJZ68" s="2936"/>
      <c r="CKA68" s="2936"/>
      <c r="CKB68" s="2936"/>
      <c r="CKC68" s="2936"/>
      <c r="CKD68" s="2936"/>
      <c r="CKE68" s="2936"/>
      <c r="CKF68" s="2936"/>
      <c r="CKG68" s="2936"/>
      <c r="CKH68" s="2936"/>
      <c r="CKI68" s="2936"/>
      <c r="CKJ68" s="2936"/>
      <c r="CKK68" s="2936"/>
      <c r="CKL68" s="2936"/>
      <c r="CKM68" s="2936"/>
      <c r="CKN68" s="2936"/>
      <c r="CKO68" s="2936"/>
      <c r="CKP68" s="2936"/>
      <c r="CKQ68" s="2936"/>
      <c r="CKR68" s="2936"/>
      <c r="CKS68" s="2936"/>
      <c r="CKT68" s="2936"/>
      <c r="CKU68" s="2936"/>
      <c r="CKV68" s="2936"/>
      <c r="CKW68" s="2936"/>
      <c r="CKX68" s="2936"/>
      <c r="CKY68" s="2936"/>
      <c r="CKZ68" s="2936"/>
      <c r="CLA68" s="2936"/>
      <c r="CLB68" s="2936"/>
      <c r="CLC68" s="2936"/>
      <c r="CLD68" s="2936"/>
      <c r="CLE68" s="2936"/>
      <c r="CLF68" s="2936"/>
      <c r="CLG68" s="2936"/>
      <c r="CLH68" s="2936"/>
      <c r="CLI68" s="2936"/>
      <c r="CLJ68" s="2936"/>
      <c r="CLK68" s="2936"/>
      <c r="CLL68" s="2936"/>
      <c r="CLM68" s="2936"/>
      <c r="CLN68" s="2936"/>
      <c r="CLO68" s="2936"/>
      <c r="CLP68" s="2936"/>
      <c r="CLQ68" s="2936"/>
      <c r="CLR68" s="2936"/>
      <c r="CLS68" s="2936"/>
      <c r="CLT68" s="2936"/>
      <c r="CLU68" s="2936"/>
      <c r="CLV68" s="2936"/>
      <c r="CLW68" s="2936"/>
      <c r="CLX68" s="2936"/>
      <c r="CLY68" s="2936"/>
      <c r="CLZ68" s="2936"/>
      <c r="CMA68" s="2936"/>
      <c r="CMB68" s="2936"/>
      <c r="CMC68" s="2936"/>
      <c r="CMD68" s="2936"/>
      <c r="CME68" s="2936"/>
      <c r="CMF68" s="2936"/>
      <c r="CMG68" s="2936"/>
      <c r="CMH68" s="2936"/>
      <c r="CMI68" s="2936"/>
      <c r="CMJ68" s="2936"/>
      <c r="CMK68" s="2936"/>
      <c r="CML68" s="2936"/>
      <c r="CMM68" s="2936"/>
      <c r="CMN68" s="2936"/>
      <c r="CMO68" s="2936"/>
      <c r="CMP68" s="2936"/>
      <c r="CMQ68" s="2936"/>
      <c r="CMR68" s="2936"/>
      <c r="CMS68" s="2936"/>
      <c r="CMT68" s="2936"/>
      <c r="CMU68" s="2936"/>
      <c r="CMV68" s="2936"/>
      <c r="CMW68" s="2936"/>
      <c r="CMX68" s="2936"/>
      <c r="CMY68" s="2936"/>
      <c r="CMZ68" s="2936"/>
      <c r="CNA68" s="2936"/>
      <c r="CNB68" s="2936"/>
      <c r="CNC68" s="2936"/>
      <c r="CND68" s="2936"/>
      <c r="CNE68" s="2936"/>
      <c r="CNF68" s="2936"/>
      <c r="CNG68" s="2936"/>
      <c r="CNH68" s="2936"/>
      <c r="CNI68" s="2936"/>
      <c r="CNJ68" s="2936"/>
      <c r="CNK68" s="2936"/>
      <c r="CNL68" s="2936"/>
      <c r="CNM68" s="2936"/>
      <c r="CNN68" s="2936"/>
      <c r="CNO68" s="2936"/>
      <c r="CNP68" s="2936"/>
      <c r="CNQ68" s="2936"/>
      <c r="CNR68" s="2936"/>
      <c r="CNS68" s="2936"/>
      <c r="CNT68" s="2936"/>
      <c r="CNU68" s="2936"/>
      <c r="CNV68" s="2936"/>
      <c r="CNW68" s="2936"/>
      <c r="CNX68" s="2936"/>
      <c r="CNY68" s="2936"/>
      <c r="CNZ68" s="2936"/>
      <c r="COA68" s="2936"/>
      <c r="COB68" s="2936"/>
      <c r="COC68" s="2936"/>
      <c r="COD68" s="2936"/>
      <c r="COE68" s="2936"/>
      <c r="COF68" s="2936"/>
      <c r="COG68" s="2936"/>
      <c r="COH68" s="2936"/>
      <c r="COI68" s="2936"/>
      <c r="COJ68" s="2936"/>
      <c r="COK68" s="2936"/>
      <c r="COL68" s="2936"/>
      <c r="COM68" s="2936"/>
      <c r="CON68" s="2936"/>
      <c r="COO68" s="2936"/>
      <c r="COP68" s="2936"/>
      <c r="COQ68" s="2936"/>
      <c r="COR68" s="2936"/>
      <c r="COS68" s="2936"/>
      <c r="COT68" s="2936"/>
      <c r="COU68" s="2936"/>
      <c r="COV68" s="2936"/>
      <c r="COW68" s="2936"/>
      <c r="COX68" s="2936"/>
      <c r="COY68" s="2936"/>
      <c r="COZ68" s="2936"/>
      <c r="CPA68" s="2936"/>
      <c r="CPB68" s="2936"/>
      <c r="CPC68" s="2936"/>
      <c r="CPD68" s="2936"/>
      <c r="CPE68" s="2936"/>
      <c r="CPF68" s="2936"/>
      <c r="CPG68" s="2936"/>
      <c r="CPH68" s="2936"/>
      <c r="CPI68" s="2936"/>
      <c r="CPJ68" s="2936"/>
      <c r="CPK68" s="2936"/>
      <c r="CPL68" s="2936"/>
      <c r="CPM68" s="2936"/>
      <c r="CPN68" s="2936"/>
      <c r="CPO68" s="2936"/>
      <c r="CPP68" s="2936"/>
      <c r="CPQ68" s="2936"/>
      <c r="CPR68" s="2936"/>
      <c r="CPS68" s="2936"/>
      <c r="CPT68" s="2936"/>
      <c r="CPU68" s="2936"/>
      <c r="CPV68" s="2936"/>
      <c r="CPW68" s="2936"/>
      <c r="CPX68" s="2936"/>
      <c r="CPY68" s="2936"/>
      <c r="CPZ68" s="2936"/>
      <c r="CQA68" s="2936"/>
      <c r="CQB68" s="2936"/>
      <c r="CQC68" s="2936"/>
      <c r="CQD68" s="2936"/>
      <c r="CQE68" s="2936"/>
      <c r="CQF68" s="2936"/>
      <c r="CQG68" s="2936"/>
      <c r="CQH68" s="2936"/>
      <c r="CQI68" s="2936"/>
      <c r="CQJ68" s="2936"/>
      <c r="CQK68" s="2936"/>
      <c r="CQL68" s="2936"/>
      <c r="CQM68" s="2936"/>
      <c r="CQN68" s="2936"/>
      <c r="CQO68" s="2936"/>
      <c r="CQP68" s="2936"/>
      <c r="CQQ68" s="2936"/>
      <c r="CQR68" s="2936"/>
      <c r="CQS68" s="2936"/>
      <c r="CQT68" s="2936"/>
      <c r="CQU68" s="2936"/>
      <c r="CQV68" s="2936"/>
      <c r="CQW68" s="2936"/>
      <c r="CQX68" s="2936"/>
      <c r="CQY68" s="2936"/>
      <c r="CQZ68" s="2936"/>
      <c r="CRA68" s="2936"/>
      <c r="CRB68" s="2936"/>
      <c r="CRC68" s="2936"/>
      <c r="CRD68" s="2936"/>
      <c r="CRE68" s="2936"/>
      <c r="CRF68" s="2936"/>
      <c r="CRG68" s="2936"/>
      <c r="CRH68" s="2936"/>
      <c r="CRI68" s="2936"/>
      <c r="CRJ68" s="2936"/>
      <c r="CRK68" s="2936"/>
      <c r="CRL68" s="2936"/>
      <c r="CRM68" s="2936"/>
      <c r="CRN68" s="2936"/>
      <c r="CRO68" s="2936"/>
      <c r="CRP68" s="2936"/>
      <c r="CRQ68" s="2936"/>
      <c r="CRR68" s="2936"/>
      <c r="CRS68" s="2936"/>
      <c r="CRT68" s="2936"/>
      <c r="CRU68" s="2936"/>
      <c r="CRV68" s="2936"/>
      <c r="CRW68" s="2936"/>
      <c r="CRX68" s="2936"/>
      <c r="CRY68" s="2936"/>
      <c r="CRZ68" s="2936"/>
      <c r="CSA68" s="2936"/>
      <c r="CSB68" s="2936"/>
      <c r="CSC68" s="2936"/>
      <c r="CSD68" s="2936"/>
      <c r="CSE68" s="2936"/>
      <c r="CSF68" s="2936"/>
      <c r="CSG68" s="2936"/>
      <c r="CSH68" s="2936"/>
      <c r="CSI68" s="2936"/>
      <c r="CSJ68" s="2936"/>
      <c r="CSK68" s="2936"/>
      <c r="CSL68" s="2936"/>
      <c r="CSM68" s="2936"/>
      <c r="CSN68" s="2936"/>
      <c r="CSO68" s="2936"/>
      <c r="CSP68" s="2936"/>
      <c r="CSQ68" s="2936"/>
      <c r="CSR68" s="2936"/>
      <c r="CSS68" s="2936"/>
      <c r="CST68" s="2936"/>
      <c r="CSU68" s="2936"/>
      <c r="CSV68" s="2936"/>
      <c r="CSW68" s="2936"/>
      <c r="CSX68" s="2936"/>
      <c r="CSY68" s="2936"/>
      <c r="CSZ68" s="2936"/>
      <c r="CTA68" s="2936"/>
      <c r="CTB68" s="2936"/>
      <c r="CTC68" s="2936"/>
      <c r="CTD68" s="2936"/>
      <c r="CTE68" s="2936"/>
      <c r="CTF68" s="2936"/>
      <c r="CTG68" s="2936"/>
      <c r="CTH68" s="2936"/>
      <c r="CTI68" s="2936"/>
      <c r="CTJ68" s="2936"/>
      <c r="CTK68" s="2936"/>
      <c r="CTL68" s="2936"/>
      <c r="CTM68" s="2936"/>
      <c r="CTN68" s="2936"/>
      <c r="CTO68" s="2936"/>
      <c r="CTP68" s="2936"/>
      <c r="CTQ68" s="2936"/>
      <c r="CTR68" s="2936"/>
      <c r="CTS68" s="2936"/>
      <c r="CTT68" s="2936"/>
      <c r="CTU68" s="2936"/>
      <c r="CTV68" s="2936"/>
      <c r="CTW68" s="2936"/>
      <c r="CTX68" s="2936"/>
      <c r="CTY68" s="2936"/>
      <c r="CTZ68" s="2936"/>
      <c r="CUA68" s="2936"/>
      <c r="CUB68" s="2936"/>
      <c r="CUC68" s="2936"/>
      <c r="CUD68" s="2936"/>
      <c r="CUE68" s="2936"/>
      <c r="CUF68" s="2936"/>
      <c r="CUG68" s="2936"/>
      <c r="CUH68" s="2936"/>
      <c r="CUI68" s="2936"/>
      <c r="CUJ68" s="2936"/>
      <c r="CUK68" s="2936"/>
      <c r="CUL68" s="2936"/>
      <c r="CUM68" s="2936"/>
      <c r="CUN68" s="2936"/>
      <c r="CUO68" s="2936"/>
      <c r="CUP68" s="2936"/>
      <c r="CUQ68" s="2936"/>
      <c r="CUR68" s="2936"/>
      <c r="CUS68" s="2936"/>
      <c r="CUT68" s="2936"/>
      <c r="CUU68" s="2936"/>
      <c r="CUV68" s="2936"/>
      <c r="CUW68" s="2936"/>
      <c r="CUX68" s="2936"/>
      <c r="CUY68" s="2936"/>
      <c r="CUZ68" s="2936"/>
      <c r="CVA68" s="2936"/>
      <c r="CVB68" s="2936"/>
      <c r="CVC68" s="2936"/>
      <c r="CVD68" s="2936"/>
      <c r="CVE68" s="2936"/>
      <c r="CVF68" s="2936"/>
      <c r="CVG68" s="2936"/>
      <c r="CVH68" s="2936"/>
      <c r="CVI68" s="2936"/>
      <c r="CVJ68" s="2936"/>
      <c r="CVK68" s="2936"/>
      <c r="CVL68" s="2936"/>
      <c r="CVM68" s="2936"/>
      <c r="CVN68" s="2936"/>
      <c r="CVO68" s="2936"/>
      <c r="CVP68" s="2936"/>
      <c r="CVQ68" s="2936"/>
      <c r="CVR68" s="2936"/>
      <c r="CVS68" s="2936"/>
      <c r="CVT68" s="2936"/>
      <c r="CVU68" s="2936"/>
      <c r="CVV68" s="2936"/>
      <c r="CVW68" s="2936"/>
      <c r="CVX68" s="2936"/>
      <c r="CVY68" s="2936"/>
      <c r="CVZ68" s="2936"/>
      <c r="CWA68" s="2936"/>
      <c r="CWB68" s="2936"/>
      <c r="CWC68" s="2936"/>
      <c r="CWD68" s="2936"/>
      <c r="CWE68" s="2936"/>
      <c r="CWF68" s="2936"/>
      <c r="CWG68" s="2936"/>
      <c r="CWH68" s="2936"/>
      <c r="CWI68" s="2936"/>
      <c r="CWJ68" s="2936"/>
      <c r="CWK68" s="2936"/>
      <c r="CWL68" s="2936"/>
      <c r="CWM68" s="2936"/>
      <c r="CWN68" s="2936"/>
      <c r="CWO68" s="2936"/>
      <c r="CWP68" s="2936"/>
      <c r="CWQ68" s="2936"/>
      <c r="CWR68" s="2936"/>
      <c r="CWS68" s="2936"/>
      <c r="CWT68" s="2936"/>
      <c r="CWU68" s="2936"/>
      <c r="CWV68" s="2936"/>
      <c r="CWW68" s="2936"/>
      <c r="CWX68" s="2936"/>
      <c r="CWY68" s="2936"/>
      <c r="CWZ68" s="2936"/>
      <c r="CXA68" s="2936"/>
      <c r="CXB68" s="2936"/>
      <c r="CXC68" s="2936"/>
      <c r="CXD68" s="2936"/>
      <c r="CXE68" s="2936"/>
      <c r="CXF68" s="2936"/>
      <c r="CXG68" s="2936"/>
      <c r="CXH68" s="2936"/>
      <c r="CXI68" s="2936"/>
      <c r="CXJ68" s="2936"/>
      <c r="CXK68" s="2936"/>
      <c r="CXL68" s="2936"/>
      <c r="CXM68" s="2936"/>
      <c r="CXN68" s="2936"/>
      <c r="CXO68" s="2936"/>
      <c r="CXP68" s="2936"/>
      <c r="CXQ68" s="2936"/>
      <c r="CXR68" s="2936"/>
      <c r="CXS68" s="2936"/>
      <c r="CXT68" s="2936"/>
      <c r="CXU68" s="2936"/>
      <c r="CXV68" s="2936"/>
      <c r="CXW68" s="2936"/>
      <c r="CXX68" s="2936"/>
      <c r="CXY68" s="2936"/>
      <c r="CXZ68" s="2936"/>
      <c r="CYA68" s="2936"/>
      <c r="CYB68" s="2936"/>
      <c r="CYC68" s="2936"/>
      <c r="CYD68" s="2936"/>
      <c r="CYE68" s="2936"/>
      <c r="CYF68" s="2936"/>
      <c r="CYG68" s="2936"/>
      <c r="CYH68" s="2936"/>
      <c r="CYI68" s="2936"/>
      <c r="CYJ68" s="2936"/>
      <c r="CYK68" s="2936"/>
      <c r="CYL68" s="2936"/>
      <c r="CYM68" s="2936"/>
      <c r="CYN68" s="2936"/>
      <c r="CYO68" s="2936"/>
      <c r="CYP68" s="2936"/>
      <c r="CYQ68" s="2936"/>
      <c r="CYR68" s="2936"/>
      <c r="CYS68" s="2936"/>
      <c r="CYT68" s="2936"/>
      <c r="CYU68" s="2936"/>
      <c r="CYV68" s="2936"/>
      <c r="CYW68" s="2936"/>
      <c r="CYX68" s="2936"/>
      <c r="CYY68" s="2936"/>
      <c r="CYZ68" s="2936"/>
      <c r="CZA68" s="2936"/>
      <c r="CZB68" s="2936"/>
      <c r="CZC68" s="2936"/>
      <c r="CZD68" s="2936"/>
      <c r="CZE68" s="2936"/>
      <c r="CZF68" s="2936"/>
      <c r="CZG68" s="2936"/>
      <c r="CZH68" s="2936"/>
      <c r="CZI68" s="2936"/>
      <c r="CZJ68" s="2936"/>
      <c r="CZK68" s="2936"/>
      <c r="CZL68" s="2936"/>
      <c r="CZM68" s="2936"/>
      <c r="CZN68" s="2936"/>
      <c r="CZO68" s="2936"/>
      <c r="CZP68" s="2936"/>
      <c r="CZQ68" s="2936"/>
      <c r="CZR68" s="2936"/>
      <c r="CZS68" s="2936"/>
      <c r="CZT68" s="2936"/>
      <c r="CZU68" s="2936"/>
      <c r="CZV68" s="2936"/>
      <c r="CZW68" s="2936"/>
      <c r="CZX68" s="2936"/>
      <c r="CZY68" s="2936"/>
      <c r="CZZ68" s="2936"/>
      <c r="DAA68" s="2936"/>
      <c r="DAB68" s="2936"/>
      <c r="DAC68" s="2936"/>
      <c r="DAD68" s="2936"/>
      <c r="DAE68" s="2936"/>
      <c r="DAF68" s="2936"/>
      <c r="DAG68" s="2936"/>
      <c r="DAH68" s="2936"/>
      <c r="DAI68" s="2936"/>
      <c r="DAJ68" s="2936"/>
      <c r="DAK68" s="2936"/>
      <c r="DAL68" s="2936"/>
      <c r="DAM68" s="2936"/>
      <c r="DAN68" s="2936"/>
      <c r="DAO68" s="2936"/>
      <c r="DAP68" s="2936"/>
      <c r="DAQ68" s="2936"/>
      <c r="DAR68" s="2936"/>
      <c r="DAS68" s="2936"/>
      <c r="DAT68" s="2936"/>
      <c r="DAU68" s="2936"/>
      <c r="DAV68" s="2936"/>
      <c r="DAW68" s="2936"/>
      <c r="DAX68" s="2936"/>
      <c r="DAY68" s="2936"/>
      <c r="DAZ68" s="2936"/>
      <c r="DBA68" s="2936"/>
      <c r="DBB68" s="2936"/>
      <c r="DBC68" s="2936"/>
      <c r="DBD68" s="2936"/>
      <c r="DBE68" s="2936"/>
      <c r="DBF68" s="2936"/>
      <c r="DBG68" s="2936"/>
      <c r="DBH68" s="2936"/>
      <c r="DBI68" s="2936"/>
      <c r="DBJ68" s="2936"/>
      <c r="DBK68" s="2936"/>
      <c r="DBL68" s="2936"/>
      <c r="DBM68" s="2936"/>
      <c r="DBN68" s="2936"/>
      <c r="DBO68" s="2936"/>
      <c r="DBP68" s="2936"/>
      <c r="DBQ68" s="2936"/>
      <c r="DBR68" s="2936"/>
      <c r="DBS68" s="2936"/>
      <c r="DBT68" s="2936"/>
      <c r="DBU68" s="2936"/>
      <c r="DBV68" s="2936"/>
      <c r="DBW68" s="2936"/>
      <c r="DBX68" s="2936"/>
      <c r="DBY68" s="2936"/>
      <c r="DBZ68" s="2936"/>
      <c r="DCA68" s="2936"/>
      <c r="DCB68" s="2936"/>
      <c r="DCC68" s="2936"/>
      <c r="DCD68" s="2936"/>
      <c r="DCE68" s="2936"/>
      <c r="DCF68" s="2936"/>
      <c r="DCG68" s="2936"/>
      <c r="DCH68" s="2936"/>
      <c r="DCI68" s="2936"/>
      <c r="DCJ68" s="2936"/>
      <c r="DCK68" s="2936"/>
      <c r="DCL68" s="2936"/>
      <c r="DCM68" s="2936"/>
      <c r="DCN68" s="2936"/>
      <c r="DCO68" s="2936"/>
      <c r="DCP68" s="2936"/>
      <c r="DCQ68" s="2936"/>
      <c r="DCR68" s="2936"/>
      <c r="DCS68" s="2936"/>
      <c r="DCT68" s="2936"/>
      <c r="DCU68" s="2936"/>
      <c r="DCV68" s="2936"/>
      <c r="DCW68" s="2936"/>
      <c r="DCX68" s="2936"/>
      <c r="DCY68" s="2936"/>
      <c r="DCZ68" s="2936"/>
      <c r="DDA68" s="2936"/>
      <c r="DDB68" s="2936"/>
      <c r="DDC68" s="2936"/>
      <c r="DDD68" s="2936"/>
      <c r="DDE68" s="2936"/>
      <c r="DDF68" s="2936"/>
      <c r="DDG68" s="2936"/>
      <c r="DDH68" s="2936"/>
      <c r="DDI68" s="2936"/>
      <c r="DDJ68" s="2936"/>
      <c r="DDK68" s="2936"/>
      <c r="DDL68" s="2936"/>
      <c r="DDM68" s="2936"/>
      <c r="DDN68" s="2936"/>
      <c r="DDO68" s="2936"/>
      <c r="DDP68" s="2936"/>
      <c r="DDQ68" s="2936"/>
      <c r="DDR68" s="2936"/>
      <c r="DDS68" s="2936"/>
      <c r="DDT68" s="2936"/>
      <c r="DDU68" s="2936"/>
      <c r="DDV68" s="2936"/>
      <c r="DDW68" s="2936"/>
      <c r="DDX68" s="2936"/>
      <c r="DDY68" s="2936"/>
      <c r="DDZ68" s="2936"/>
      <c r="DEA68" s="2936"/>
      <c r="DEB68" s="2936"/>
      <c r="DEC68" s="2936"/>
      <c r="DED68" s="2936"/>
      <c r="DEE68" s="2936"/>
      <c r="DEF68" s="2936"/>
      <c r="DEG68" s="2936"/>
      <c r="DEH68" s="2936"/>
      <c r="DEI68" s="2936"/>
      <c r="DEJ68" s="2936"/>
      <c r="DEK68" s="2936"/>
      <c r="DEL68" s="2936"/>
      <c r="DEM68" s="2936"/>
      <c r="DEN68" s="2936"/>
      <c r="DEO68" s="2936"/>
      <c r="DEP68" s="2936"/>
      <c r="DEQ68" s="2936"/>
      <c r="DER68" s="2936"/>
      <c r="DES68" s="2936"/>
      <c r="DET68" s="2936"/>
      <c r="DEU68" s="2936"/>
      <c r="DEV68" s="2936"/>
      <c r="DEW68" s="2936"/>
      <c r="DEX68" s="2936"/>
      <c r="DEY68" s="2936"/>
      <c r="DEZ68" s="2936"/>
      <c r="DFA68" s="2936"/>
      <c r="DFB68" s="2936"/>
      <c r="DFC68" s="2936"/>
      <c r="DFD68" s="2936"/>
      <c r="DFE68" s="2936"/>
      <c r="DFF68" s="2936"/>
      <c r="DFG68" s="2936"/>
      <c r="DFH68" s="2936"/>
      <c r="DFI68" s="2936"/>
      <c r="DFJ68" s="2936"/>
      <c r="DFK68" s="2936"/>
      <c r="DFL68" s="2936"/>
      <c r="DFM68" s="2936"/>
      <c r="DFN68" s="2936"/>
      <c r="DFO68" s="2936"/>
      <c r="DFP68" s="2936"/>
      <c r="DFQ68" s="2936"/>
      <c r="DFR68" s="2936"/>
      <c r="DFS68" s="2936"/>
      <c r="DFT68" s="2936"/>
      <c r="DFU68" s="2936"/>
      <c r="DFV68" s="2936"/>
      <c r="DFW68" s="2936"/>
      <c r="DFX68" s="2936"/>
      <c r="DFY68" s="2936"/>
      <c r="DFZ68" s="2936"/>
      <c r="DGA68" s="2936"/>
      <c r="DGB68" s="2936"/>
      <c r="DGC68" s="2936"/>
      <c r="DGD68" s="2936"/>
      <c r="DGE68" s="2936"/>
      <c r="DGF68" s="2936"/>
      <c r="DGG68" s="2936"/>
      <c r="DGH68" s="2936"/>
      <c r="DGI68" s="2936"/>
      <c r="DGJ68" s="2936"/>
      <c r="DGK68" s="2936"/>
      <c r="DGL68" s="2936"/>
      <c r="DGM68" s="2936"/>
      <c r="DGN68" s="2936"/>
      <c r="DGO68" s="2936"/>
      <c r="DGP68" s="2936"/>
      <c r="DGQ68" s="2936"/>
      <c r="DGR68" s="2936"/>
      <c r="DGS68" s="2936"/>
      <c r="DGT68" s="2936"/>
      <c r="DGU68" s="2936"/>
      <c r="DGV68" s="2936"/>
      <c r="DGW68" s="2936"/>
      <c r="DGX68" s="2936"/>
      <c r="DGY68" s="2936"/>
      <c r="DGZ68" s="2936"/>
      <c r="DHA68" s="2936"/>
      <c r="DHB68" s="2936"/>
      <c r="DHC68" s="2936"/>
      <c r="DHD68" s="2936"/>
      <c r="DHE68" s="2936"/>
      <c r="DHF68" s="2936"/>
      <c r="DHG68" s="2936"/>
      <c r="DHH68" s="2936"/>
      <c r="DHI68" s="2936"/>
      <c r="DHJ68" s="2936"/>
      <c r="DHK68" s="2936"/>
      <c r="DHL68" s="2936"/>
      <c r="DHM68" s="2936"/>
      <c r="DHN68" s="2936"/>
      <c r="DHO68" s="2936"/>
      <c r="DHP68" s="2936"/>
      <c r="DHQ68" s="2936"/>
      <c r="DHR68" s="2936"/>
      <c r="DHS68" s="2936"/>
      <c r="DHT68" s="2936"/>
      <c r="DHU68" s="2936"/>
      <c r="DHV68" s="2936"/>
      <c r="DHW68" s="2936"/>
      <c r="DHX68" s="2936"/>
      <c r="DHY68" s="2936"/>
      <c r="DHZ68" s="2936"/>
      <c r="DIA68" s="2936"/>
      <c r="DIB68" s="2936"/>
      <c r="DIC68" s="2936"/>
      <c r="DID68" s="2936"/>
      <c r="DIE68" s="2936"/>
      <c r="DIF68" s="2936"/>
      <c r="DIG68" s="2936"/>
      <c r="DIH68" s="2936"/>
      <c r="DII68" s="2936"/>
      <c r="DIJ68" s="2936"/>
      <c r="DIK68" s="2936"/>
      <c r="DIL68" s="2936"/>
      <c r="DIM68" s="2936"/>
      <c r="DIN68" s="2936"/>
      <c r="DIO68" s="2936"/>
      <c r="DIP68" s="2936"/>
      <c r="DIQ68" s="2936"/>
      <c r="DIR68" s="2936"/>
      <c r="DIS68" s="2936"/>
      <c r="DIT68" s="2936"/>
      <c r="DIU68" s="2936"/>
      <c r="DIV68" s="2936"/>
      <c r="DIW68" s="2936"/>
      <c r="DIX68" s="2936"/>
      <c r="DIY68" s="2936"/>
      <c r="DIZ68" s="2936"/>
      <c r="DJA68" s="2936"/>
      <c r="DJB68" s="2936"/>
      <c r="DJC68" s="2936"/>
      <c r="DJD68" s="2936"/>
      <c r="DJE68" s="2936"/>
      <c r="DJF68" s="2936"/>
      <c r="DJG68" s="2936"/>
      <c r="DJH68" s="2936"/>
      <c r="DJI68" s="2936"/>
      <c r="DJJ68" s="2936"/>
      <c r="DJK68" s="2936"/>
      <c r="DJL68" s="2936"/>
      <c r="DJM68" s="2936"/>
      <c r="DJN68" s="2936"/>
      <c r="DJO68" s="2936"/>
      <c r="DJP68" s="2936"/>
      <c r="DJQ68" s="2936"/>
      <c r="DJR68" s="2936"/>
      <c r="DJS68" s="2936"/>
      <c r="DJT68" s="2936"/>
      <c r="DJU68" s="2936"/>
      <c r="DJV68" s="2936"/>
      <c r="DJW68" s="2936"/>
      <c r="DJX68" s="2936"/>
      <c r="DJY68" s="2936"/>
      <c r="DJZ68" s="2936"/>
      <c r="DKA68" s="2936"/>
      <c r="DKB68" s="2936"/>
      <c r="DKC68" s="2936"/>
      <c r="DKD68" s="2936"/>
      <c r="DKE68" s="2936"/>
      <c r="DKF68" s="2936"/>
      <c r="DKG68" s="2936"/>
      <c r="DKH68" s="2936"/>
      <c r="DKI68" s="2936"/>
      <c r="DKJ68" s="2936"/>
      <c r="DKK68" s="2936"/>
      <c r="DKL68" s="2936"/>
      <c r="DKM68" s="2936"/>
      <c r="DKN68" s="2936"/>
      <c r="DKO68" s="2936"/>
      <c r="DKP68" s="2936"/>
      <c r="DKQ68" s="2936"/>
      <c r="DKR68" s="2936"/>
      <c r="DKS68" s="2936"/>
      <c r="DKT68" s="2936"/>
      <c r="DKU68" s="2936"/>
      <c r="DKV68" s="2936"/>
      <c r="DKW68" s="2936"/>
      <c r="DKX68" s="2936"/>
      <c r="DKY68" s="2936"/>
      <c r="DKZ68" s="2936"/>
      <c r="DLA68" s="2936"/>
      <c r="DLB68" s="2936"/>
      <c r="DLC68" s="2936"/>
      <c r="DLD68" s="2936"/>
      <c r="DLE68" s="2936"/>
      <c r="DLF68" s="2936"/>
      <c r="DLG68" s="2936"/>
      <c r="DLH68" s="2936"/>
      <c r="DLI68" s="2936"/>
      <c r="DLJ68" s="2936"/>
      <c r="DLK68" s="2936"/>
      <c r="DLL68" s="2936"/>
      <c r="DLM68" s="2936"/>
      <c r="DLN68" s="2936"/>
      <c r="DLO68" s="2936"/>
      <c r="DLP68" s="2936"/>
      <c r="DLQ68" s="2936"/>
      <c r="DLR68" s="2936"/>
      <c r="DLS68" s="2936"/>
      <c r="DLT68" s="2936"/>
      <c r="DLU68" s="2936"/>
      <c r="DLV68" s="2936"/>
      <c r="DLW68" s="2936"/>
      <c r="DLX68" s="2936"/>
      <c r="DLY68" s="2936"/>
      <c r="DLZ68" s="2936"/>
      <c r="DMA68" s="2936"/>
      <c r="DMB68" s="2936"/>
      <c r="DMC68" s="2936"/>
      <c r="DMD68" s="2936"/>
      <c r="DME68" s="2936"/>
      <c r="DMF68" s="2936"/>
      <c r="DMG68" s="2936"/>
      <c r="DMH68" s="2936"/>
      <c r="DMI68" s="2936"/>
      <c r="DMJ68" s="2936"/>
      <c r="DMK68" s="2936"/>
      <c r="DML68" s="2936"/>
      <c r="DMM68" s="2936"/>
      <c r="DMN68" s="2936"/>
      <c r="DMO68" s="2936"/>
      <c r="DMP68" s="2936"/>
      <c r="DMQ68" s="2936"/>
      <c r="DMR68" s="2936"/>
      <c r="DMS68" s="2936"/>
      <c r="DMT68" s="2936"/>
      <c r="DMU68" s="2936"/>
      <c r="DMV68" s="2936"/>
      <c r="DMW68" s="2936"/>
      <c r="DMX68" s="2936"/>
      <c r="DMY68" s="2936"/>
      <c r="DMZ68" s="2936"/>
      <c r="DNA68" s="2936"/>
      <c r="DNB68" s="2936"/>
      <c r="DNC68" s="2936"/>
      <c r="DND68" s="2936"/>
      <c r="DNE68" s="2936"/>
      <c r="DNF68" s="2936"/>
      <c r="DNG68" s="2936"/>
      <c r="DNH68" s="2936"/>
      <c r="DNI68" s="2936"/>
      <c r="DNJ68" s="2936"/>
      <c r="DNK68" s="2936"/>
      <c r="DNL68" s="2936"/>
      <c r="DNM68" s="2936"/>
      <c r="DNN68" s="2936"/>
      <c r="DNO68" s="2936"/>
      <c r="DNP68" s="2936"/>
      <c r="DNQ68" s="2936"/>
      <c r="DNR68" s="2936"/>
      <c r="DNS68" s="2936"/>
      <c r="DNT68" s="2936"/>
      <c r="DNU68" s="2936"/>
      <c r="DNV68" s="2936"/>
      <c r="DNW68" s="2936"/>
      <c r="DNX68" s="2936"/>
      <c r="DNY68" s="2936"/>
      <c r="DNZ68" s="2936"/>
      <c r="DOA68" s="2936"/>
      <c r="DOB68" s="2936"/>
      <c r="DOC68" s="2936"/>
      <c r="DOD68" s="2936"/>
      <c r="DOE68" s="2936"/>
      <c r="DOF68" s="2936"/>
      <c r="DOG68" s="2936"/>
      <c r="DOH68" s="2936"/>
      <c r="DOI68" s="2936"/>
      <c r="DOJ68" s="2936"/>
      <c r="DOK68" s="2936"/>
      <c r="DOL68" s="2936"/>
      <c r="DOM68" s="2936"/>
      <c r="DON68" s="2936"/>
      <c r="DOO68" s="2936"/>
      <c r="DOP68" s="2936"/>
      <c r="DOQ68" s="2936"/>
      <c r="DOR68" s="2936"/>
      <c r="DOS68" s="2936"/>
      <c r="DOT68" s="2936"/>
      <c r="DOU68" s="2936"/>
      <c r="DOV68" s="2936"/>
      <c r="DOW68" s="2936"/>
      <c r="DOX68" s="2936"/>
      <c r="DOY68" s="2936"/>
      <c r="DOZ68" s="2936"/>
      <c r="DPA68" s="2936"/>
      <c r="DPB68" s="2936"/>
      <c r="DPC68" s="2936"/>
      <c r="DPD68" s="2936"/>
      <c r="DPE68" s="2936"/>
      <c r="DPF68" s="2936"/>
      <c r="DPG68" s="2936"/>
      <c r="DPH68" s="2936"/>
      <c r="DPI68" s="2936"/>
      <c r="DPJ68" s="2936"/>
      <c r="DPK68" s="2936"/>
      <c r="DPL68" s="2936"/>
      <c r="DPM68" s="2936"/>
      <c r="DPN68" s="2936"/>
      <c r="DPO68" s="2936"/>
      <c r="DPP68" s="2936"/>
      <c r="DPQ68" s="2936"/>
      <c r="DPR68" s="2936"/>
      <c r="DPS68" s="2936"/>
      <c r="DPT68" s="2936"/>
      <c r="DPU68" s="2936"/>
      <c r="DPV68" s="2936"/>
      <c r="DPW68" s="2936"/>
      <c r="DPX68" s="2936"/>
      <c r="DPY68" s="2936"/>
      <c r="DPZ68" s="2936"/>
      <c r="DQA68" s="2936"/>
      <c r="DQB68" s="2936"/>
      <c r="DQC68" s="2936"/>
      <c r="DQD68" s="2936"/>
      <c r="DQE68" s="2936"/>
      <c r="DQF68" s="2936"/>
      <c r="DQG68" s="2936"/>
      <c r="DQH68" s="2936"/>
      <c r="DQI68" s="2936"/>
      <c r="DQJ68" s="2936"/>
      <c r="DQK68" s="2936"/>
      <c r="DQL68" s="2936"/>
      <c r="DQM68" s="2936"/>
      <c r="DQN68" s="2936"/>
      <c r="DQO68" s="2936"/>
      <c r="DQP68" s="2936"/>
      <c r="DQQ68" s="2936"/>
      <c r="DQR68" s="2936"/>
      <c r="DQS68" s="2936"/>
      <c r="DQT68" s="2936"/>
      <c r="DQU68" s="2936"/>
      <c r="DQV68" s="2936"/>
      <c r="DQW68" s="2936"/>
      <c r="DQX68" s="2936"/>
      <c r="DQY68" s="2936"/>
      <c r="DQZ68" s="2936"/>
      <c r="DRA68" s="2936"/>
      <c r="DRB68" s="2936"/>
      <c r="DRC68" s="2936"/>
      <c r="DRD68" s="2936"/>
      <c r="DRE68" s="2936"/>
      <c r="DRF68" s="2936"/>
      <c r="DRG68" s="2936"/>
      <c r="DRH68" s="2936"/>
      <c r="DRI68" s="2936"/>
      <c r="DRJ68" s="2936"/>
      <c r="DRK68" s="2936"/>
      <c r="DRL68" s="2936"/>
      <c r="DRM68" s="2936"/>
      <c r="DRN68" s="2936"/>
      <c r="DRO68" s="2936"/>
      <c r="DRP68" s="2936"/>
      <c r="DRQ68" s="2936"/>
      <c r="DRR68" s="2936"/>
      <c r="DRS68" s="2936"/>
      <c r="DRT68" s="2936"/>
      <c r="DRU68" s="2936"/>
      <c r="DRV68" s="2936"/>
      <c r="DRW68" s="2936"/>
      <c r="DRX68" s="2936"/>
      <c r="DRY68" s="2936"/>
      <c r="DRZ68" s="2936"/>
      <c r="DSA68" s="2936"/>
      <c r="DSB68" s="2936"/>
      <c r="DSC68" s="2936"/>
      <c r="DSD68" s="2936"/>
      <c r="DSE68" s="2936"/>
      <c r="DSF68" s="2936"/>
      <c r="DSG68" s="2936"/>
      <c r="DSH68" s="2936"/>
      <c r="DSI68" s="2936"/>
      <c r="DSJ68" s="2936"/>
      <c r="DSK68" s="2936"/>
      <c r="DSL68" s="2936"/>
      <c r="DSM68" s="2936"/>
      <c r="DSN68" s="2936"/>
      <c r="DSO68" s="2936"/>
      <c r="DSP68" s="2936"/>
      <c r="DSQ68" s="2936"/>
      <c r="DSR68" s="2936"/>
      <c r="DSS68" s="2936"/>
      <c r="DST68" s="2936"/>
      <c r="DSU68" s="2936"/>
      <c r="DSV68" s="2936"/>
      <c r="DSW68" s="2936"/>
      <c r="DSX68" s="2936"/>
      <c r="DSY68" s="2936"/>
      <c r="DSZ68" s="2936"/>
      <c r="DTA68" s="2936"/>
      <c r="DTB68" s="2936"/>
      <c r="DTC68" s="2936"/>
      <c r="DTD68" s="2936"/>
      <c r="DTE68" s="2936"/>
      <c r="DTF68" s="2936"/>
      <c r="DTG68" s="2936"/>
      <c r="DTH68" s="2936"/>
      <c r="DTI68" s="2936"/>
      <c r="DTJ68" s="2936"/>
      <c r="DTK68" s="2936"/>
      <c r="DTL68" s="2936"/>
      <c r="DTM68" s="2936"/>
      <c r="DTN68" s="2936"/>
      <c r="DTO68" s="2936"/>
      <c r="DTP68" s="2936"/>
      <c r="DTQ68" s="2936"/>
      <c r="DTR68" s="2936"/>
      <c r="DTS68" s="2936"/>
      <c r="DTT68" s="2936"/>
      <c r="DTU68" s="2936"/>
      <c r="DTV68" s="2936"/>
      <c r="DTW68" s="2936"/>
      <c r="DTX68" s="2936"/>
      <c r="DTY68" s="2936"/>
      <c r="DTZ68" s="2936"/>
      <c r="DUA68" s="2936"/>
      <c r="DUB68" s="2936"/>
      <c r="DUC68" s="2936"/>
      <c r="DUD68" s="2936"/>
      <c r="DUE68" s="2936"/>
      <c r="DUF68" s="2936"/>
      <c r="DUG68" s="2936"/>
      <c r="DUH68" s="2936"/>
      <c r="DUI68" s="2936"/>
      <c r="DUJ68" s="2936"/>
      <c r="DUK68" s="2936"/>
      <c r="DUL68" s="2936"/>
      <c r="DUM68" s="2936"/>
      <c r="DUN68" s="2936"/>
      <c r="DUO68" s="2936"/>
      <c r="DUP68" s="2936"/>
      <c r="DUQ68" s="2936"/>
      <c r="DUR68" s="2936"/>
      <c r="DUS68" s="2936"/>
      <c r="DUT68" s="2936"/>
      <c r="DUU68" s="2936"/>
      <c r="DUV68" s="2936"/>
      <c r="DUW68" s="2936"/>
      <c r="DUX68" s="2936"/>
      <c r="DUY68" s="2936"/>
      <c r="DUZ68" s="2936"/>
      <c r="DVA68" s="2936"/>
      <c r="DVB68" s="2936"/>
      <c r="DVC68" s="2936"/>
      <c r="DVD68" s="2936"/>
      <c r="DVE68" s="2936"/>
      <c r="DVF68" s="2936"/>
      <c r="DVG68" s="2936"/>
      <c r="DVH68" s="2936"/>
      <c r="DVI68" s="2936"/>
      <c r="DVJ68" s="2936"/>
      <c r="DVK68" s="2936"/>
      <c r="DVL68" s="2936"/>
      <c r="DVM68" s="2936"/>
      <c r="DVN68" s="2936"/>
      <c r="DVO68" s="2936"/>
      <c r="DVP68" s="2936"/>
      <c r="DVQ68" s="2936"/>
      <c r="DVR68" s="2936"/>
      <c r="DVS68" s="2936"/>
      <c r="DVT68" s="2936"/>
      <c r="DVU68" s="2936"/>
      <c r="DVV68" s="2936"/>
      <c r="DVW68" s="2936"/>
      <c r="DVX68" s="2936"/>
      <c r="DVY68" s="2936"/>
      <c r="DVZ68" s="2936"/>
      <c r="DWA68" s="2936"/>
      <c r="DWB68" s="2936"/>
      <c r="DWC68" s="2936"/>
      <c r="DWD68" s="2936"/>
      <c r="DWE68" s="2936"/>
      <c r="DWF68" s="2936"/>
      <c r="DWG68" s="2936"/>
      <c r="DWH68" s="2936"/>
      <c r="DWI68" s="2936"/>
      <c r="DWJ68" s="2936"/>
      <c r="DWK68" s="2936"/>
      <c r="DWL68" s="2936"/>
      <c r="DWM68" s="2936"/>
      <c r="DWN68" s="2936"/>
      <c r="DWO68" s="2936"/>
      <c r="DWP68" s="2936"/>
      <c r="DWQ68" s="2936"/>
      <c r="DWR68" s="2936"/>
      <c r="DWS68" s="2936"/>
      <c r="DWT68" s="2936"/>
      <c r="DWU68" s="2936"/>
      <c r="DWV68" s="2936"/>
      <c r="DWW68" s="2936"/>
      <c r="DWX68" s="2936"/>
      <c r="DWY68" s="2936"/>
      <c r="DWZ68" s="2936"/>
      <c r="DXA68" s="2936"/>
      <c r="DXB68" s="2936"/>
      <c r="DXC68" s="2936"/>
      <c r="DXD68" s="2936"/>
      <c r="DXE68" s="2936"/>
      <c r="DXF68" s="2936"/>
      <c r="DXG68" s="2936"/>
      <c r="DXH68" s="2936"/>
      <c r="DXI68" s="2936"/>
      <c r="DXJ68" s="2936"/>
      <c r="DXK68" s="2936"/>
      <c r="DXL68" s="2936"/>
      <c r="DXM68" s="2936"/>
      <c r="DXN68" s="2936"/>
      <c r="DXO68" s="2936"/>
      <c r="DXP68" s="2936"/>
      <c r="DXQ68" s="2936"/>
      <c r="DXR68" s="2936"/>
      <c r="DXS68" s="2936"/>
      <c r="DXT68" s="2936"/>
      <c r="DXU68" s="2936"/>
      <c r="DXV68" s="2936"/>
      <c r="DXW68" s="2936"/>
      <c r="DXX68" s="2936"/>
      <c r="DXY68" s="2936"/>
      <c r="DXZ68" s="2936"/>
      <c r="DYA68" s="2936"/>
      <c r="DYB68" s="2936"/>
      <c r="DYC68" s="2936"/>
      <c r="DYD68" s="2936"/>
      <c r="DYE68" s="2936"/>
      <c r="DYF68" s="2936"/>
      <c r="DYG68" s="2936"/>
      <c r="DYH68" s="2936"/>
      <c r="DYI68" s="2936"/>
      <c r="DYJ68" s="2936"/>
      <c r="DYK68" s="2936"/>
      <c r="DYL68" s="2936"/>
      <c r="DYM68" s="2936"/>
      <c r="DYN68" s="2936"/>
      <c r="DYO68" s="2936"/>
      <c r="DYP68" s="2936"/>
      <c r="DYQ68" s="2936"/>
      <c r="DYR68" s="2936"/>
      <c r="DYS68" s="2936"/>
      <c r="DYT68" s="2936"/>
      <c r="DYU68" s="2936"/>
      <c r="DYV68" s="2936"/>
      <c r="DYW68" s="2936"/>
      <c r="DYX68" s="2936"/>
      <c r="DYY68" s="2936"/>
      <c r="DYZ68" s="2936"/>
      <c r="DZA68" s="2936"/>
      <c r="DZB68" s="2936"/>
      <c r="DZC68" s="2936"/>
      <c r="DZD68" s="2936"/>
      <c r="DZE68" s="2936"/>
      <c r="DZF68" s="2936"/>
      <c r="DZG68" s="2936"/>
      <c r="DZH68" s="2936"/>
      <c r="DZI68" s="2936"/>
      <c r="DZJ68" s="2936"/>
      <c r="DZK68" s="2936"/>
      <c r="DZL68" s="2936"/>
      <c r="DZM68" s="2936"/>
      <c r="DZN68" s="2936"/>
      <c r="DZO68" s="2936"/>
      <c r="DZP68" s="2936"/>
      <c r="DZQ68" s="2936"/>
      <c r="DZR68" s="2936"/>
      <c r="DZS68" s="2936"/>
      <c r="DZT68" s="2936"/>
      <c r="DZU68" s="2936"/>
      <c r="DZV68" s="2936"/>
      <c r="DZW68" s="2936"/>
      <c r="DZX68" s="2936"/>
      <c r="DZY68" s="2936"/>
      <c r="DZZ68" s="2936"/>
      <c r="EAA68" s="2936"/>
      <c r="EAB68" s="2936"/>
      <c r="EAC68" s="2936"/>
      <c r="EAD68" s="2936"/>
      <c r="EAE68" s="2936"/>
      <c r="EAF68" s="2936"/>
      <c r="EAG68" s="2936"/>
      <c r="EAH68" s="2936"/>
      <c r="EAI68" s="2936"/>
      <c r="EAJ68" s="2936"/>
      <c r="EAK68" s="2936"/>
      <c r="EAL68" s="2936"/>
      <c r="EAM68" s="2936"/>
      <c r="EAN68" s="2936"/>
      <c r="EAO68" s="2936"/>
      <c r="EAP68" s="2936"/>
      <c r="EAQ68" s="2936"/>
      <c r="EAR68" s="2936"/>
      <c r="EAS68" s="2936"/>
      <c r="EAT68" s="2936"/>
      <c r="EAU68" s="2936"/>
      <c r="EAV68" s="2936"/>
      <c r="EAW68" s="2936"/>
      <c r="EAX68" s="2936"/>
      <c r="EAY68" s="2936"/>
      <c r="EAZ68" s="2936"/>
      <c r="EBA68" s="2936"/>
      <c r="EBB68" s="2936"/>
      <c r="EBC68" s="2936"/>
      <c r="EBD68" s="2936"/>
      <c r="EBE68" s="2936"/>
      <c r="EBF68" s="2936"/>
      <c r="EBG68" s="2936"/>
      <c r="EBH68" s="2936"/>
      <c r="EBI68" s="2936"/>
      <c r="EBJ68" s="2936"/>
      <c r="EBK68" s="2936"/>
      <c r="EBL68" s="2936"/>
      <c r="EBM68" s="2936"/>
      <c r="EBN68" s="2936"/>
      <c r="EBO68" s="2936"/>
      <c r="EBP68" s="2936"/>
      <c r="EBQ68" s="2936"/>
      <c r="EBR68" s="2936"/>
      <c r="EBS68" s="2936"/>
      <c r="EBT68" s="2936"/>
      <c r="EBU68" s="2936"/>
      <c r="EBV68" s="2936"/>
      <c r="EBW68" s="2936"/>
      <c r="EBX68" s="2936"/>
      <c r="EBY68" s="2936"/>
      <c r="EBZ68" s="2936"/>
      <c r="ECA68" s="2936"/>
      <c r="ECB68" s="2936"/>
      <c r="ECC68" s="2936"/>
      <c r="ECD68" s="2936"/>
      <c r="ECE68" s="2936"/>
      <c r="ECF68" s="2936"/>
      <c r="ECG68" s="2936"/>
      <c r="ECH68" s="2936"/>
      <c r="ECI68" s="2936"/>
      <c r="ECJ68" s="2936"/>
      <c r="ECK68" s="2936"/>
      <c r="ECL68" s="2936"/>
      <c r="ECM68" s="2936"/>
      <c r="ECN68" s="2936"/>
      <c r="ECO68" s="2936"/>
      <c r="ECP68" s="2936"/>
      <c r="ECQ68" s="2936"/>
      <c r="ECR68" s="2936"/>
      <c r="ECS68" s="2936"/>
      <c r="ECT68" s="2936"/>
      <c r="ECU68" s="2936"/>
      <c r="ECV68" s="2936"/>
      <c r="ECW68" s="2936"/>
      <c r="ECX68" s="2936"/>
      <c r="ECY68" s="2936"/>
      <c r="ECZ68" s="2936"/>
      <c r="EDA68" s="2936"/>
      <c r="EDB68" s="2936"/>
      <c r="EDC68" s="2936"/>
      <c r="EDD68" s="2936"/>
      <c r="EDE68" s="2936"/>
      <c r="EDF68" s="2936"/>
      <c r="EDG68" s="2936"/>
      <c r="EDH68" s="2936"/>
      <c r="EDI68" s="2936"/>
      <c r="EDJ68" s="2936"/>
      <c r="EDK68" s="2936"/>
      <c r="EDL68" s="2936"/>
      <c r="EDM68" s="2936"/>
      <c r="EDN68" s="2936"/>
      <c r="EDO68" s="2936"/>
      <c r="EDP68" s="2936"/>
      <c r="EDQ68" s="2936"/>
      <c r="EDR68" s="2936"/>
      <c r="EDS68" s="2936"/>
      <c r="EDT68" s="2936"/>
      <c r="EDU68" s="2936"/>
      <c r="EDV68" s="2936"/>
      <c r="EDW68" s="2936"/>
      <c r="EDX68" s="2936"/>
      <c r="EDY68" s="2936"/>
      <c r="EDZ68" s="2936"/>
      <c r="EEA68" s="2936"/>
      <c r="EEB68" s="2936"/>
      <c r="EEC68" s="2936"/>
      <c r="EED68" s="2936"/>
      <c r="EEE68" s="2936"/>
      <c r="EEF68" s="2936"/>
      <c r="EEG68" s="2936"/>
      <c r="EEH68" s="2936"/>
      <c r="EEI68" s="2936"/>
      <c r="EEJ68" s="2936"/>
      <c r="EEK68" s="2936"/>
      <c r="EEL68" s="2936"/>
      <c r="EEM68" s="2936"/>
      <c r="EEN68" s="2936"/>
      <c r="EEO68" s="2936"/>
      <c r="EEP68" s="2936"/>
      <c r="EEQ68" s="2936"/>
      <c r="EER68" s="2936"/>
      <c r="EES68" s="2936"/>
      <c r="EET68" s="2936"/>
      <c r="EEU68" s="2936"/>
      <c r="EEV68" s="2936"/>
      <c r="EEW68" s="2936"/>
      <c r="EEX68" s="2936"/>
      <c r="EEY68" s="2936"/>
      <c r="EEZ68" s="2936"/>
      <c r="EFA68" s="2936"/>
      <c r="EFB68" s="2936"/>
      <c r="EFC68" s="2936"/>
      <c r="EFD68" s="2936"/>
      <c r="EFE68" s="2936"/>
      <c r="EFF68" s="2936"/>
      <c r="EFG68" s="2936"/>
      <c r="EFH68" s="2936"/>
      <c r="EFI68" s="2936"/>
      <c r="EFJ68" s="2936"/>
      <c r="EFK68" s="2936"/>
      <c r="EFL68" s="2936"/>
      <c r="EFM68" s="2936"/>
      <c r="EFN68" s="2936"/>
      <c r="EFO68" s="2936"/>
      <c r="EFP68" s="2936"/>
      <c r="EFQ68" s="2936"/>
      <c r="EFR68" s="2936"/>
      <c r="EFS68" s="2936"/>
      <c r="EFT68" s="2936"/>
      <c r="EFU68" s="2936"/>
      <c r="EFV68" s="2936"/>
      <c r="EFW68" s="2936"/>
      <c r="EFX68" s="2936"/>
      <c r="EFY68" s="2936"/>
      <c r="EFZ68" s="2936"/>
      <c r="EGA68" s="2936"/>
      <c r="EGB68" s="2936"/>
      <c r="EGC68" s="2936"/>
      <c r="EGD68" s="2936"/>
      <c r="EGE68" s="2936"/>
      <c r="EGF68" s="2936"/>
      <c r="EGG68" s="2936"/>
      <c r="EGH68" s="2936"/>
      <c r="EGI68" s="2936"/>
      <c r="EGJ68" s="2936"/>
      <c r="EGK68" s="2936"/>
      <c r="EGL68" s="2936"/>
      <c r="EGM68" s="2936"/>
      <c r="EGN68" s="2936"/>
      <c r="EGO68" s="2936"/>
      <c r="EGP68" s="2936"/>
      <c r="EGQ68" s="2936"/>
      <c r="EGR68" s="2936"/>
      <c r="EGS68" s="2936"/>
      <c r="EGT68" s="2936"/>
      <c r="EGU68" s="2936"/>
      <c r="EGV68" s="2936"/>
      <c r="EGW68" s="2936"/>
      <c r="EGX68" s="2936"/>
      <c r="EGY68" s="2936"/>
      <c r="EGZ68" s="2936"/>
      <c r="EHA68" s="2936"/>
      <c r="EHB68" s="2936"/>
      <c r="EHC68" s="2936"/>
      <c r="EHD68" s="2936"/>
      <c r="EHE68" s="2936"/>
      <c r="EHF68" s="2936"/>
      <c r="EHG68" s="2936"/>
      <c r="EHH68" s="2936"/>
      <c r="EHI68" s="2936"/>
      <c r="EHJ68" s="2936"/>
      <c r="EHK68" s="2936"/>
      <c r="EHL68" s="2936"/>
      <c r="EHM68" s="2936"/>
      <c r="EHN68" s="2936"/>
      <c r="EHO68" s="2936"/>
      <c r="EHP68" s="2936"/>
      <c r="EHQ68" s="2936"/>
      <c r="EHR68" s="2936"/>
      <c r="EHS68" s="2936"/>
      <c r="EHT68" s="2936"/>
      <c r="EHU68" s="2936"/>
      <c r="EHV68" s="2936"/>
      <c r="EHW68" s="2936"/>
      <c r="EHX68" s="2936"/>
      <c r="EHY68" s="2936"/>
      <c r="EHZ68" s="2936"/>
      <c r="EIA68" s="2936"/>
      <c r="EIB68" s="2936"/>
      <c r="EIC68" s="2936"/>
      <c r="EID68" s="2936"/>
      <c r="EIE68" s="2936"/>
      <c r="EIF68" s="2936"/>
      <c r="EIG68" s="2936"/>
      <c r="EIH68" s="2936"/>
      <c r="EII68" s="2936"/>
      <c r="EIJ68" s="2936"/>
      <c r="EIK68" s="2936"/>
      <c r="EIL68" s="2936"/>
      <c r="EIM68" s="2936"/>
      <c r="EIN68" s="2936"/>
      <c r="EIO68" s="2936"/>
      <c r="EIP68" s="2936"/>
      <c r="EIQ68" s="2936"/>
      <c r="EIR68" s="2936"/>
      <c r="EIS68" s="2936"/>
      <c r="EIT68" s="2936"/>
      <c r="EIU68" s="2936"/>
      <c r="EIV68" s="2936"/>
      <c r="EIW68" s="2936"/>
      <c r="EIX68" s="2936"/>
      <c r="EIY68" s="2936"/>
      <c r="EIZ68" s="2936"/>
      <c r="EJA68" s="2936"/>
      <c r="EJB68" s="2936"/>
      <c r="EJC68" s="2936"/>
      <c r="EJD68" s="2936"/>
      <c r="EJE68" s="2936"/>
      <c r="EJF68" s="2936"/>
      <c r="EJG68" s="2936"/>
      <c r="EJH68" s="2936"/>
      <c r="EJI68" s="2936"/>
      <c r="EJJ68" s="2936"/>
      <c r="EJK68" s="2936"/>
      <c r="EJL68" s="2936"/>
      <c r="EJM68" s="2936"/>
      <c r="EJN68" s="2936"/>
      <c r="EJO68" s="2936"/>
      <c r="EJP68" s="2936"/>
      <c r="EJQ68" s="2936"/>
      <c r="EJR68" s="2936"/>
      <c r="EJS68" s="2936"/>
      <c r="EJT68" s="2936"/>
      <c r="EJU68" s="2936"/>
      <c r="EJV68" s="2936"/>
      <c r="EJW68" s="2936"/>
      <c r="EJX68" s="2936"/>
      <c r="EJY68" s="2936"/>
      <c r="EJZ68" s="2936"/>
      <c r="EKA68" s="2936"/>
      <c r="EKB68" s="2936"/>
      <c r="EKC68" s="2936"/>
      <c r="EKD68" s="2936"/>
      <c r="EKE68" s="2936"/>
      <c r="EKF68" s="2936"/>
      <c r="EKG68" s="2936"/>
      <c r="EKH68" s="2936"/>
      <c r="EKI68" s="2936"/>
      <c r="EKJ68" s="2936"/>
      <c r="EKK68" s="2936"/>
      <c r="EKL68" s="2936"/>
      <c r="EKM68" s="2936"/>
      <c r="EKN68" s="2936"/>
      <c r="EKO68" s="2936"/>
      <c r="EKP68" s="2936"/>
      <c r="EKQ68" s="2936"/>
      <c r="EKR68" s="2936"/>
      <c r="EKS68" s="2936"/>
      <c r="EKT68" s="2936"/>
      <c r="EKU68" s="2936"/>
      <c r="EKV68" s="2936"/>
      <c r="EKW68" s="2936"/>
      <c r="EKX68" s="2936"/>
      <c r="EKY68" s="2936"/>
      <c r="EKZ68" s="2936"/>
      <c r="ELA68" s="2936"/>
      <c r="ELB68" s="2936"/>
      <c r="ELC68" s="2936"/>
      <c r="ELD68" s="2936"/>
      <c r="ELE68" s="2936"/>
      <c r="ELF68" s="2936"/>
      <c r="ELG68" s="2936"/>
      <c r="ELH68" s="2936"/>
      <c r="ELI68" s="2936"/>
      <c r="ELJ68" s="2936"/>
      <c r="ELK68" s="2936"/>
      <c r="ELL68" s="2936"/>
      <c r="ELM68" s="2936"/>
      <c r="ELN68" s="2936"/>
      <c r="ELO68" s="2936"/>
      <c r="ELP68" s="2936"/>
      <c r="ELQ68" s="2936"/>
      <c r="ELR68" s="2936"/>
      <c r="ELS68" s="2936"/>
      <c r="ELT68" s="2936"/>
      <c r="ELU68" s="2936"/>
      <c r="ELV68" s="2936"/>
      <c r="ELW68" s="2936"/>
      <c r="ELX68" s="2936"/>
      <c r="ELY68" s="2936"/>
      <c r="ELZ68" s="2936"/>
      <c r="EMA68" s="2936"/>
      <c r="EMB68" s="2936"/>
      <c r="EMC68" s="2936"/>
      <c r="EMD68" s="2936"/>
      <c r="EME68" s="2936"/>
      <c r="EMF68" s="2936"/>
      <c r="EMG68" s="2936"/>
      <c r="EMH68" s="2936"/>
      <c r="EMI68" s="2936"/>
      <c r="EMJ68" s="2936"/>
      <c r="EMK68" s="2936"/>
      <c r="EML68" s="2936"/>
      <c r="EMM68" s="2936"/>
      <c r="EMN68" s="2936"/>
      <c r="EMO68" s="2936"/>
      <c r="EMP68" s="2936"/>
      <c r="EMQ68" s="2936"/>
      <c r="EMR68" s="2936"/>
      <c r="EMS68" s="2936"/>
      <c r="EMT68" s="2936"/>
      <c r="EMU68" s="2936"/>
      <c r="EMV68" s="2936"/>
      <c r="EMW68" s="2936"/>
      <c r="EMX68" s="2936"/>
      <c r="EMY68" s="2936"/>
      <c r="EMZ68" s="2936"/>
      <c r="ENA68" s="2936"/>
      <c r="ENB68" s="2936"/>
      <c r="ENC68" s="2936"/>
      <c r="END68" s="2936"/>
      <c r="ENE68" s="2936"/>
      <c r="ENF68" s="2936"/>
      <c r="ENG68" s="2936"/>
      <c r="ENH68" s="2936"/>
      <c r="ENI68" s="2936"/>
      <c r="ENJ68" s="2936"/>
      <c r="ENK68" s="2936"/>
      <c r="ENL68" s="2936"/>
      <c r="ENM68" s="2936"/>
      <c r="ENN68" s="2936"/>
      <c r="ENO68" s="2936"/>
      <c r="ENP68" s="2936"/>
      <c r="ENQ68" s="2936"/>
      <c r="ENR68" s="2936"/>
      <c r="ENS68" s="2936"/>
      <c r="ENT68" s="2936"/>
      <c r="ENU68" s="2936"/>
      <c r="ENV68" s="2936"/>
      <c r="ENW68" s="2936"/>
      <c r="ENX68" s="2936"/>
      <c r="ENY68" s="2936"/>
      <c r="ENZ68" s="2936"/>
      <c r="EOA68" s="2936"/>
      <c r="EOB68" s="2936"/>
      <c r="EOC68" s="2936"/>
      <c r="EOD68" s="2936"/>
      <c r="EOE68" s="2936"/>
      <c r="EOF68" s="2936"/>
      <c r="EOG68" s="2936"/>
      <c r="EOH68" s="2936"/>
      <c r="EOI68" s="2936"/>
      <c r="EOJ68" s="2936"/>
      <c r="EOK68" s="2936"/>
      <c r="EOL68" s="2936"/>
      <c r="EOM68" s="2936"/>
      <c r="EON68" s="2936"/>
      <c r="EOO68" s="2936"/>
      <c r="EOP68" s="2936"/>
      <c r="EOQ68" s="2936"/>
      <c r="EOR68" s="2936"/>
      <c r="EOS68" s="2936"/>
      <c r="EOT68" s="2936"/>
      <c r="EOU68" s="2936"/>
      <c r="EOV68" s="2936"/>
      <c r="EOW68" s="2936"/>
      <c r="EOX68" s="2936"/>
      <c r="EOY68" s="2936"/>
      <c r="EOZ68" s="2936"/>
      <c r="EPA68" s="2936"/>
      <c r="EPB68" s="2936"/>
      <c r="EPC68" s="2936"/>
      <c r="EPD68" s="2936"/>
      <c r="EPE68" s="2936"/>
      <c r="EPF68" s="2936"/>
      <c r="EPG68" s="2936"/>
      <c r="EPH68" s="2936"/>
      <c r="EPI68" s="2936"/>
      <c r="EPJ68" s="2936"/>
      <c r="EPK68" s="2936"/>
      <c r="EPL68" s="2936"/>
      <c r="EPM68" s="2936"/>
      <c r="EPN68" s="2936"/>
      <c r="EPO68" s="2936"/>
      <c r="EPP68" s="2936"/>
      <c r="EPQ68" s="2936"/>
      <c r="EPR68" s="2936"/>
      <c r="EPS68" s="2936"/>
      <c r="EPT68" s="2936"/>
      <c r="EPU68" s="2936"/>
      <c r="EPV68" s="2936"/>
      <c r="EPW68" s="2936"/>
      <c r="EPX68" s="2936"/>
      <c r="EPY68" s="2936"/>
      <c r="EPZ68" s="2936"/>
      <c r="EQA68" s="2936"/>
      <c r="EQB68" s="2936"/>
      <c r="EQC68" s="2936"/>
      <c r="EQD68" s="2936"/>
      <c r="EQE68" s="2936"/>
      <c r="EQF68" s="2936"/>
      <c r="EQG68" s="2936"/>
      <c r="EQH68" s="2936"/>
      <c r="EQI68" s="2936"/>
      <c r="EQJ68" s="2936"/>
      <c r="EQK68" s="2936"/>
      <c r="EQL68" s="2936"/>
      <c r="EQM68" s="2936"/>
      <c r="EQN68" s="2936"/>
      <c r="EQO68" s="2936"/>
      <c r="EQP68" s="2936"/>
      <c r="EQQ68" s="2936"/>
      <c r="EQR68" s="2936"/>
      <c r="EQS68" s="2936"/>
      <c r="EQT68" s="2936"/>
      <c r="EQU68" s="2936"/>
      <c r="EQV68" s="2936"/>
      <c r="EQW68" s="2936"/>
      <c r="EQX68" s="2936"/>
      <c r="EQY68" s="2936"/>
      <c r="EQZ68" s="2936"/>
      <c r="ERA68" s="2936"/>
      <c r="ERB68" s="2936"/>
      <c r="ERC68" s="2936"/>
      <c r="ERD68" s="2936"/>
      <c r="ERE68" s="2936"/>
      <c r="ERF68" s="2936"/>
      <c r="ERG68" s="2936"/>
      <c r="ERH68" s="2936"/>
      <c r="ERI68" s="2936"/>
      <c r="ERJ68" s="2936"/>
      <c r="ERK68" s="2936"/>
      <c r="ERL68" s="2936"/>
      <c r="ERM68" s="2936"/>
      <c r="ERN68" s="2936"/>
      <c r="ERO68" s="2936"/>
      <c r="ERP68" s="2936"/>
      <c r="ERQ68" s="2936"/>
      <c r="ERR68" s="2936"/>
      <c r="ERS68" s="2936"/>
      <c r="ERT68" s="2936"/>
      <c r="ERU68" s="2936"/>
      <c r="ERV68" s="2936"/>
      <c r="ERW68" s="2936"/>
      <c r="ERX68" s="2936"/>
      <c r="ERY68" s="2936"/>
      <c r="ERZ68" s="2936"/>
      <c r="ESA68" s="2936"/>
      <c r="ESB68" s="2936"/>
      <c r="ESC68" s="2936"/>
      <c r="ESD68" s="2936"/>
      <c r="ESE68" s="2936"/>
      <c r="ESF68" s="2936"/>
      <c r="ESG68" s="2936"/>
      <c r="ESH68" s="2936"/>
      <c r="ESI68" s="2936"/>
      <c r="ESJ68" s="2936"/>
      <c r="ESK68" s="2936"/>
      <c r="ESL68" s="2936"/>
      <c r="ESM68" s="2936"/>
      <c r="ESN68" s="2936"/>
      <c r="ESO68" s="2936"/>
      <c r="ESP68" s="2936"/>
      <c r="ESQ68" s="2936"/>
      <c r="ESR68" s="2936"/>
      <c r="ESS68" s="2936"/>
      <c r="EST68" s="2936"/>
      <c r="ESU68" s="2936"/>
      <c r="ESV68" s="2936"/>
      <c r="ESW68" s="2936"/>
      <c r="ESX68" s="2936"/>
      <c r="ESY68" s="2936"/>
      <c r="ESZ68" s="2936"/>
      <c r="ETA68" s="2936"/>
      <c r="ETB68" s="2936"/>
      <c r="ETC68" s="2936"/>
      <c r="ETD68" s="2936"/>
      <c r="ETE68" s="2936"/>
      <c r="ETF68" s="2936"/>
      <c r="ETG68" s="2936"/>
      <c r="ETH68" s="2936"/>
      <c r="ETI68" s="2936"/>
      <c r="ETJ68" s="2936"/>
      <c r="ETK68" s="2936"/>
      <c r="ETL68" s="2936"/>
      <c r="ETM68" s="2936"/>
      <c r="ETN68" s="2936"/>
      <c r="ETO68" s="2936"/>
      <c r="ETP68" s="2936"/>
      <c r="ETQ68" s="2936"/>
      <c r="ETR68" s="2936"/>
      <c r="ETS68" s="2936"/>
      <c r="ETT68" s="2936"/>
      <c r="ETU68" s="2936"/>
      <c r="ETV68" s="2936"/>
      <c r="ETW68" s="2936"/>
      <c r="ETX68" s="2936"/>
      <c r="ETY68" s="2936"/>
      <c r="ETZ68" s="2936"/>
      <c r="EUA68" s="2936"/>
      <c r="EUB68" s="2936"/>
      <c r="EUC68" s="2936"/>
      <c r="EUD68" s="2936"/>
      <c r="EUE68" s="2936"/>
      <c r="EUF68" s="2936"/>
      <c r="EUG68" s="2936"/>
      <c r="EUH68" s="2936"/>
      <c r="EUI68" s="2936"/>
      <c r="EUJ68" s="2936"/>
      <c r="EUK68" s="2936"/>
      <c r="EUL68" s="2936"/>
      <c r="EUM68" s="2936"/>
      <c r="EUN68" s="2936"/>
      <c r="EUO68" s="2936"/>
      <c r="EUP68" s="2936"/>
      <c r="EUQ68" s="2936"/>
      <c r="EUR68" s="2936"/>
      <c r="EUS68" s="2936"/>
      <c r="EUT68" s="2936"/>
      <c r="EUU68" s="2936"/>
      <c r="EUV68" s="2936"/>
      <c r="EUW68" s="2936"/>
      <c r="EUX68" s="2936"/>
      <c r="EUY68" s="2936"/>
      <c r="EUZ68" s="2936"/>
      <c r="EVA68" s="2936"/>
      <c r="EVB68" s="2936"/>
      <c r="EVC68" s="2936"/>
      <c r="EVD68" s="2936"/>
      <c r="EVE68" s="2936"/>
      <c r="EVF68" s="2936"/>
      <c r="EVG68" s="2936"/>
      <c r="EVH68" s="2936"/>
      <c r="EVI68" s="2936"/>
      <c r="EVJ68" s="2936"/>
      <c r="EVK68" s="2936"/>
      <c r="EVL68" s="2936"/>
      <c r="EVM68" s="2936"/>
      <c r="EVN68" s="2936"/>
      <c r="EVO68" s="2936"/>
      <c r="EVP68" s="2936"/>
      <c r="EVQ68" s="2936"/>
      <c r="EVR68" s="2936"/>
      <c r="EVS68" s="2936"/>
      <c r="EVT68" s="2936"/>
      <c r="EVU68" s="2936"/>
      <c r="EVV68" s="2936"/>
      <c r="EVW68" s="2936"/>
      <c r="EVX68" s="2936"/>
      <c r="EVY68" s="2936"/>
      <c r="EVZ68" s="2936"/>
      <c r="EWA68" s="2936"/>
      <c r="EWB68" s="2936"/>
      <c r="EWC68" s="2936"/>
      <c r="EWD68" s="2936"/>
      <c r="EWE68" s="2936"/>
      <c r="EWF68" s="2936"/>
      <c r="EWG68" s="2936"/>
      <c r="EWH68" s="2936"/>
      <c r="EWI68" s="2936"/>
      <c r="EWJ68" s="2936"/>
      <c r="EWK68" s="2936"/>
      <c r="EWL68" s="2936"/>
      <c r="EWM68" s="2936"/>
      <c r="EWN68" s="2936"/>
      <c r="EWO68" s="2936"/>
      <c r="EWP68" s="2936"/>
      <c r="EWQ68" s="2936"/>
      <c r="EWR68" s="2936"/>
      <c r="EWS68" s="2936"/>
      <c r="EWT68" s="2936"/>
      <c r="EWU68" s="2936"/>
      <c r="EWV68" s="2936"/>
      <c r="EWW68" s="2936"/>
      <c r="EWX68" s="2936"/>
      <c r="EWY68" s="2936"/>
      <c r="EWZ68" s="2936"/>
      <c r="EXA68" s="2936"/>
      <c r="EXB68" s="2936"/>
      <c r="EXC68" s="2936"/>
      <c r="EXD68" s="2936"/>
      <c r="EXE68" s="2936"/>
      <c r="EXF68" s="2936"/>
      <c r="EXG68" s="2936"/>
      <c r="EXH68" s="2936"/>
      <c r="EXI68" s="2936"/>
      <c r="EXJ68" s="2936"/>
      <c r="EXK68" s="2936"/>
      <c r="EXL68" s="2936"/>
      <c r="EXM68" s="2936"/>
      <c r="EXN68" s="2936"/>
      <c r="EXO68" s="2936"/>
      <c r="EXP68" s="2936"/>
      <c r="EXQ68" s="2936"/>
      <c r="EXR68" s="2936"/>
      <c r="EXS68" s="2936"/>
      <c r="EXT68" s="2936"/>
      <c r="EXU68" s="2936"/>
      <c r="EXV68" s="2936"/>
      <c r="EXW68" s="2936"/>
      <c r="EXX68" s="2936"/>
      <c r="EXY68" s="2936"/>
      <c r="EXZ68" s="2936"/>
      <c r="EYA68" s="2936"/>
      <c r="EYB68" s="2936"/>
      <c r="EYC68" s="2936"/>
      <c r="EYD68" s="2936"/>
      <c r="EYE68" s="2936"/>
      <c r="EYF68" s="2936"/>
      <c r="EYG68" s="2936"/>
      <c r="EYH68" s="2936"/>
      <c r="EYI68" s="2936"/>
      <c r="EYJ68" s="2936"/>
      <c r="EYK68" s="2936"/>
      <c r="EYL68" s="2936"/>
      <c r="EYM68" s="2936"/>
      <c r="EYN68" s="2936"/>
      <c r="EYO68" s="2936"/>
      <c r="EYP68" s="2936"/>
      <c r="EYQ68" s="2936"/>
      <c r="EYR68" s="2936"/>
      <c r="EYS68" s="2936"/>
      <c r="EYT68" s="2936"/>
      <c r="EYU68" s="2936"/>
      <c r="EYV68" s="2936"/>
      <c r="EYW68" s="2936"/>
      <c r="EYX68" s="2936"/>
      <c r="EYY68" s="2936"/>
      <c r="EYZ68" s="2936"/>
      <c r="EZA68" s="2936"/>
      <c r="EZB68" s="2936"/>
      <c r="EZC68" s="2936"/>
      <c r="EZD68" s="2936"/>
      <c r="EZE68" s="2936"/>
      <c r="EZF68" s="2936"/>
      <c r="EZG68" s="2936"/>
      <c r="EZH68" s="2936"/>
      <c r="EZI68" s="2936"/>
      <c r="EZJ68" s="2936"/>
      <c r="EZK68" s="2936"/>
      <c r="EZL68" s="2936"/>
      <c r="EZM68" s="2936"/>
      <c r="EZN68" s="2936"/>
      <c r="EZO68" s="2936"/>
      <c r="EZP68" s="2936"/>
      <c r="EZQ68" s="2936"/>
      <c r="EZR68" s="2936"/>
      <c r="EZS68" s="2936"/>
      <c r="EZT68" s="2936"/>
      <c r="EZU68" s="2936"/>
      <c r="EZV68" s="2936"/>
      <c r="EZW68" s="2936"/>
      <c r="EZX68" s="2936"/>
      <c r="EZY68" s="2936"/>
      <c r="EZZ68" s="2936"/>
      <c r="FAA68" s="2936"/>
      <c r="FAB68" s="2936"/>
      <c r="FAC68" s="2936"/>
      <c r="FAD68" s="2936"/>
      <c r="FAE68" s="2936"/>
      <c r="FAF68" s="2936"/>
      <c r="FAG68" s="2936"/>
      <c r="FAH68" s="2936"/>
      <c r="FAI68" s="2936"/>
      <c r="FAJ68" s="2936"/>
      <c r="FAK68" s="2936"/>
      <c r="FAL68" s="2936"/>
      <c r="FAM68" s="2936"/>
      <c r="FAN68" s="2936"/>
      <c r="FAO68" s="2936"/>
      <c r="FAP68" s="2936"/>
      <c r="FAQ68" s="2936"/>
      <c r="FAR68" s="2936"/>
      <c r="FAS68" s="2936"/>
      <c r="FAT68" s="2936"/>
      <c r="FAU68" s="2936"/>
      <c r="FAV68" s="2936"/>
      <c r="FAW68" s="2936"/>
      <c r="FAX68" s="2936"/>
      <c r="FAY68" s="2936"/>
      <c r="FAZ68" s="2936"/>
      <c r="FBA68" s="2936"/>
      <c r="FBB68" s="2936"/>
      <c r="FBC68" s="2936"/>
      <c r="FBD68" s="2936"/>
      <c r="FBE68" s="2936"/>
      <c r="FBF68" s="2936"/>
      <c r="FBG68" s="2936"/>
      <c r="FBH68" s="2936"/>
      <c r="FBI68" s="2936"/>
      <c r="FBJ68" s="2936"/>
      <c r="FBK68" s="2936"/>
      <c r="FBL68" s="2936"/>
      <c r="FBM68" s="2936"/>
      <c r="FBN68" s="2936"/>
      <c r="FBO68" s="2936"/>
      <c r="FBP68" s="2936"/>
      <c r="FBQ68" s="2936"/>
      <c r="FBR68" s="2936"/>
      <c r="FBS68" s="2936"/>
      <c r="FBT68" s="2936"/>
      <c r="FBU68" s="2936"/>
      <c r="FBV68" s="2936"/>
      <c r="FBW68" s="2936"/>
      <c r="FBX68" s="2936"/>
      <c r="FBY68" s="2936"/>
      <c r="FBZ68" s="2936"/>
      <c r="FCA68" s="2936"/>
      <c r="FCB68" s="2936"/>
      <c r="FCC68" s="2936"/>
      <c r="FCD68" s="2936"/>
      <c r="FCE68" s="2936"/>
      <c r="FCF68" s="2936"/>
      <c r="FCG68" s="2936"/>
      <c r="FCH68" s="2936"/>
      <c r="FCI68" s="2936"/>
      <c r="FCJ68" s="2936"/>
      <c r="FCK68" s="2936"/>
      <c r="FCL68" s="2936"/>
      <c r="FCM68" s="2936"/>
      <c r="FCN68" s="2936"/>
      <c r="FCO68" s="2936"/>
      <c r="FCP68" s="2936"/>
      <c r="FCQ68" s="2936"/>
      <c r="FCR68" s="2936"/>
      <c r="FCS68" s="2936"/>
      <c r="FCT68" s="2936"/>
      <c r="FCU68" s="2936"/>
      <c r="FCV68" s="2936"/>
      <c r="FCW68" s="2936"/>
      <c r="FCX68" s="2936"/>
      <c r="FCY68" s="2936"/>
      <c r="FCZ68" s="2936"/>
      <c r="FDA68" s="2936"/>
      <c r="FDB68" s="2936"/>
      <c r="FDC68" s="2936"/>
      <c r="FDD68" s="2936"/>
      <c r="FDE68" s="2936"/>
      <c r="FDF68" s="2936"/>
      <c r="FDG68" s="2936"/>
      <c r="FDH68" s="2936"/>
      <c r="FDI68" s="2936"/>
      <c r="FDJ68" s="2936"/>
      <c r="FDK68" s="2936"/>
      <c r="FDL68" s="2936"/>
      <c r="FDM68" s="2936"/>
      <c r="FDN68" s="2936"/>
      <c r="FDO68" s="2936"/>
      <c r="FDP68" s="2936"/>
      <c r="FDQ68" s="2936"/>
      <c r="FDR68" s="2936"/>
      <c r="FDS68" s="2936"/>
      <c r="FDT68" s="2936"/>
      <c r="FDU68" s="2936"/>
      <c r="FDV68" s="2936"/>
      <c r="FDW68" s="2936"/>
      <c r="FDX68" s="2936"/>
      <c r="FDY68" s="2936"/>
      <c r="FDZ68" s="2936"/>
      <c r="FEA68" s="2936"/>
      <c r="FEB68" s="2936"/>
      <c r="FEC68" s="2936"/>
      <c r="FED68" s="2936"/>
      <c r="FEE68" s="2936"/>
      <c r="FEF68" s="2936"/>
      <c r="FEG68" s="2936"/>
      <c r="FEH68" s="2936"/>
      <c r="FEI68" s="2936"/>
      <c r="FEJ68" s="2936"/>
      <c r="FEK68" s="2936"/>
      <c r="FEL68" s="2936"/>
      <c r="FEM68" s="2936"/>
      <c r="FEN68" s="2936"/>
      <c r="FEO68" s="2936"/>
      <c r="FEP68" s="2936"/>
      <c r="FEQ68" s="2936"/>
      <c r="FER68" s="2936"/>
      <c r="FES68" s="2936"/>
      <c r="FET68" s="2936"/>
      <c r="FEU68" s="2936"/>
      <c r="FEV68" s="2936"/>
      <c r="FEW68" s="2936"/>
      <c r="FEX68" s="2936"/>
      <c r="FEY68" s="2936"/>
      <c r="FEZ68" s="2936"/>
      <c r="FFA68" s="2936"/>
      <c r="FFB68" s="2936"/>
      <c r="FFC68" s="2936"/>
      <c r="FFD68" s="2936"/>
      <c r="FFE68" s="2936"/>
      <c r="FFF68" s="2936"/>
      <c r="FFG68" s="2936"/>
      <c r="FFH68" s="2936"/>
      <c r="FFI68" s="2936"/>
      <c r="FFJ68" s="2936"/>
      <c r="FFK68" s="2936"/>
      <c r="FFL68" s="2936"/>
      <c r="FFM68" s="2936"/>
      <c r="FFN68" s="2936"/>
      <c r="FFO68" s="2936"/>
      <c r="FFP68" s="2936"/>
      <c r="FFQ68" s="2936"/>
      <c r="FFR68" s="2936"/>
      <c r="FFS68" s="2936"/>
      <c r="FFT68" s="2936"/>
      <c r="FFU68" s="2936"/>
      <c r="FFV68" s="2936"/>
      <c r="FFW68" s="2936"/>
      <c r="FFX68" s="2936"/>
      <c r="FFY68" s="2936"/>
      <c r="FFZ68" s="2936"/>
      <c r="FGA68" s="2936"/>
      <c r="FGB68" s="2936"/>
      <c r="FGC68" s="2936"/>
      <c r="FGD68" s="2936"/>
      <c r="FGE68" s="2936"/>
      <c r="FGF68" s="2936"/>
      <c r="FGG68" s="2936"/>
      <c r="FGH68" s="2936"/>
      <c r="FGI68" s="2936"/>
      <c r="FGJ68" s="2936"/>
      <c r="FGK68" s="2936"/>
      <c r="FGL68" s="2936"/>
      <c r="FGM68" s="2936"/>
      <c r="FGN68" s="2936"/>
      <c r="FGO68" s="2936"/>
      <c r="FGP68" s="2936"/>
      <c r="FGQ68" s="2936"/>
      <c r="FGR68" s="2936"/>
      <c r="FGS68" s="2936"/>
      <c r="FGT68" s="2936"/>
      <c r="FGU68" s="2936"/>
      <c r="FGV68" s="2936"/>
      <c r="FGW68" s="2936"/>
      <c r="FGX68" s="2936"/>
      <c r="FGY68" s="2936"/>
      <c r="FGZ68" s="2936"/>
      <c r="FHA68" s="2936"/>
      <c r="FHB68" s="2936"/>
      <c r="FHC68" s="2936"/>
      <c r="FHD68" s="2936"/>
      <c r="FHE68" s="2936"/>
      <c r="FHF68" s="2936"/>
      <c r="FHG68" s="2936"/>
      <c r="FHH68" s="2936"/>
      <c r="FHI68" s="2936"/>
      <c r="FHJ68" s="2936"/>
      <c r="FHK68" s="2936"/>
      <c r="FHL68" s="2936"/>
      <c r="FHM68" s="2936"/>
      <c r="FHN68" s="2936"/>
      <c r="FHO68" s="2936"/>
      <c r="FHP68" s="2936"/>
      <c r="FHQ68" s="2936"/>
      <c r="FHR68" s="2936"/>
      <c r="FHS68" s="2936"/>
      <c r="FHT68" s="2936"/>
      <c r="FHU68" s="2936"/>
      <c r="FHV68" s="2936"/>
      <c r="FHW68" s="2936"/>
      <c r="FHX68" s="2936"/>
      <c r="FHY68" s="2936"/>
      <c r="FHZ68" s="2936"/>
      <c r="FIA68" s="2936"/>
      <c r="FIB68" s="2936"/>
      <c r="FIC68" s="2936"/>
      <c r="FID68" s="2936"/>
      <c r="FIE68" s="2936"/>
      <c r="FIF68" s="2936"/>
      <c r="FIG68" s="2936"/>
      <c r="FIH68" s="2936"/>
      <c r="FII68" s="2936"/>
      <c r="FIJ68" s="2936"/>
      <c r="FIK68" s="2936"/>
      <c r="FIL68" s="2936"/>
      <c r="FIM68" s="2936"/>
      <c r="FIN68" s="2936"/>
      <c r="FIO68" s="2936"/>
      <c r="FIP68" s="2936"/>
      <c r="FIQ68" s="2936"/>
      <c r="FIR68" s="2936"/>
      <c r="FIS68" s="2936"/>
      <c r="FIT68" s="2936"/>
      <c r="FIU68" s="2936"/>
      <c r="FIV68" s="2936"/>
      <c r="FIW68" s="2936"/>
      <c r="FIX68" s="2936"/>
      <c r="FIY68" s="2936"/>
      <c r="FIZ68" s="2936"/>
      <c r="FJA68" s="2936"/>
      <c r="FJB68" s="2936"/>
      <c r="FJC68" s="2936"/>
      <c r="FJD68" s="2936"/>
      <c r="FJE68" s="2936"/>
      <c r="FJF68" s="2936"/>
      <c r="FJG68" s="2936"/>
      <c r="FJH68" s="2936"/>
      <c r="FJI68" s="2936"/>
      <c r="FJJ68" s="2936"/>
      <c r="FJK68" s="2936"/>
      <c r="FJL68" s="2936"/>
      <c r="FJM68" s="2936"/>
      <c r="FJN68" s="2936"/>
      <c r="FJO68" s="2936"/>
      <c r="FJP68" s="2936"/>
      <c r="FJQ68" s="2936"/>
      <c r="FJR68" s="2936"/>
      <c r="FJS68" s="2936"/>
      <c r="FJT68" s="2936"/>
      <c r="FJU68" s="2936"/>
      <c r="FJV68" s="2936"/>
      <c r="FJW68" s="2936"/>
      <c r="FJX68" s="2936"/>
      <c r="FJY68" s="2936"/>
      <c r="FJZ68" s="2936"/>
      <c r="FKA68" s="2936"/>
      <c r="FKB68" s="2936"/>
      <c r="FKC68" s="2936"/>
      <c r="FKD68" s="2936"/>
      <c r="FKE68" s="2936"/>
      <c r="FKF68" s="2936"/>
      <c r="FKG68" s="2936"/>
      <c r="FKH68" s="2936"/>
      <c r="FKI68" s="2936"/>
      <c r="FKJ68" s="2936"/>
      <c r="FKK68" s="2936"/>
      <c r="FKL68" s="2936"/>
      <c r="FKM68" s="2936"/>
      <c r="FKN68" s="2936"/>
      <c r="FKO68" s="2936"/>
      <c r="FKP68" s="2936"/>
      <c r="FKQ68" s="2936"/>
      <c r="FKR68" s="2936"/>
      <c r="FKS68" s="2936"/>
      <c r="FKT68" s="2936"/>
      <c r="FKU68" s="2936"/>
      <c r="FKV68" s="2936"/>
      <c r="FKW68" s="2936"/>
      <c r="FKX68" s="2936"/>
      <c r="FKY68" s="2936"/>
      <c r="FKZ68" s="2936"/>
      <c r="FLA68" s="2936"/>
      <c r="FLB68" s="2936"/>
      <c r="FLC68" s="2936"/>
      <c r="FLD68" s="2936"/>
      <c r="FLE68" s="2936"/>
      <c r="FLF68" s="2936"/>
      <c r="FLG68" s="2936"/>
      <c r="FLH68" s="2936"/>
      <c r="FLI68" s="2936"/>
      <c r="FLJ68" s="2936"/>
      <c r="FLK68" s="2936"/>
      <c r="FLL68" s="2936"/>
      <c r="FLM68" s="2936"/>
      <c r="FLN68" s="2936"/>
      <c r="FLO68" s="2936"/>
      <c r="FLP68" s="2936"/>
      <c r="FLQ68" s="2936"/>
      <c r="FLR68" s="2936"/>
      <c r="FLS68" s="2936"/>
      <c r="FLT68" s="2936"/>
      <c r="FLU68" s="2936"/>
      <c r="FLV68" s="2936"/>
      <c r="FLW68" s="2936"/>
      <c r="FLX68" s="2936"/>
      <c r="FLY68" s="2936"/>
      <c r="FLZ68" s="2936"/>
      <c r="FMA68" s="2936"/>
      <c r="FMB68" s="2936"/>
      <c r="FMC68" s="2936"/>
      <c r="FMD68" s="2936"/>
      <c r="FME68" s="2936"/>
      <c r="FMF68" s="2936"/>
      <c r="FMG68" s="2936"/>
      <c r="FMH68" s="2936"/>
      <c r="FMI68" s="2936"/>
      <c r="FMJ68" s="2936"/>
      <c r="FMK68" s="2936"/>
      <c r="FML68" s="2936"/>
      <c r="FMM68" s="2936"/>
      <c r="FMN68" s="2936"/>
      <c r="FMO68" s="2936"/>
      <c r="FMP68" s="2936"/>
      <c r="FMQ68" s="2936"/>
      <c r="FMR68" s="2936"/>
      <c r="FMS68" s="2936"/>
      <c r="FMT68" s="2936"/>
      <c r="FMU68" s="2936"/>
      <c r="FMV68" s="2936"/>
      <c r="FMW68" s="2936"/>
      <c r="FMX68" s="2936"/>
      <c r="FMY68" s="2936"/>
      <c r="FMZ68" s="2936"/>
      <c r="FNA68" s="2936"/>
      <c r="FNB68" s="2936"/>
      <c r="FNC68" s="2936"/>
      <c r="FND68" s="2936"/>
      <c r="FNE68" s="2936"/>
      <c r="FNF68" s="2936"/>
      <c r="FNG68" s="2936"/>
      <c r="FNH68" s="2936"/>
      <c r="FNI68" s="2936"/>
      <c r="FNJ68" s="2936"/>
      <c r="FNK68" s="2936"/>
      <c r="FNL68" s="2936"/>
      <c r="FNM68" s="2936"/>
      <c r="FNN68" s="2936"/>
      <c r="FNO68" s="2936"/>
      <c r="FNP68" s="2936"/>
      <c r="FNQ68" s="2936"/>
      <c r="FNR68" s="2936"/>
      <c r="FNS68" s="2936"/>
      <c r="FNT68" s="2936"/>
      <c r="FNU68" s="2936"/>
      <c r="FNV68" s="2936"/>
      <c r="FNW68" s="2936"/>
      <c r="FNX68" s="2936"/>
      <c r="FNY68" s="2936"/>
      <c r="FNZ68" s="2936"/>
      <c r="FOA68" s="2936"/>
      <c r="FOB68" s="2936"/>
      <c r="FOC68" s="2936"/>
      <c r="FOD68" s="2936"/>
      <c r="FOE68" s="2936"/>
      <c r="FOF68" s="2936"/>
      <c r="FOG68" s="2936"/>
      <c r="FOH68" s="2936"/>
      <c r="FOI68" s="2936"/>
      <c r="FOJ68" s="2936"/>
      <c r="FOK68" s="2936"/>
      <c r="FOL68" s="2936"/>
      <c r="FOM68" s="2936"/>
      <c r="FON68" s="2936"/>
      <c r="FOO68" s="2936"/>
      <c r="FOP68" s="2936"/>
      <c r="FOQ68" s="2936"/>
      <c r="FOR68" s="2936"/>
      <c r="FOS68" s="2936"/>
      <c r="FOT68" s="2936"/>
      <c r="FOU68" s="2936"/>
      <c r="FOV68" s="2936"/>
      <c r="FOW68" s="2936"/>
      <c r="FOX68" s="2936"/>
      <c r="FOY68" s="2936"/>
      <c r="FOZ68" s="2936"/>
      <c r="FPA68" s="2936"/>
      <c r="FPB68" s="2936"/>
      <c r="FPC68" s="2936"/>
      <c r="FPD68" s="2936"/>
      <c r="FPE68" s="2936"/>
      <c r="FPF68" s="2936"/>
      <c r="FPG68" s="2936"/>
      <c r="FPH68" s="2936"/>
      <c r="FPI68" s="2936"/>
      <c r="FPJ68" s="2936"/>
      <c r="FPK68" s="2936"/>
      <c r="FPL68" s="2936"/>
      <c r="FPM68" s="2936"/>
      <c r="FPN68" s="2936"/>
      <c r="FPO68" s="2936"/>
      <c r="FPP68" s="2936"/>
      <c r="FPQ68" s="2936"/>
      <c r="FPR68" s="2936"/>
      <c r="FPS68" s="2936"/>
      <c r="FPT68" s="2936"/>
      <c r="FPU68" s="2936"/>
      <c r="FPV68" s="2936"/>
      <c r="FPW68" s="2936"/>
      <c r="FPX68" s="2936"/>
      <c r="FPY68" s="2936"/>
      <c r="FPZ68" s="2936"/>
      <c r="FQA68" s="2936"/>
      <c r="FQB68" s="2936"/>
      <c r="FQC68" s="2936"/>
      <c r="FQD68" s="2936"/>
      <c r="FQE68" s="2936"/>
      <c r="FQF68" s="2936"/>
      <c r="FQG68" s="2936"/>
      <c r="FQH68" s="2936"/>
      <c r="FQI68" s="2936"/>
      <c r="FQJ68" s="2936"/>
      <c r="FQK68" s="2936"/>
      <c r="FQL68" s="2936"/>
      <c r="FQM68" s="2936"/>
      <c r="FQN68" s="2936"/>
      <c r="FQO68" s="2936"/>
      <c r="FQP68" s="2936"/>
      <c r="FQQ68" s="2936"/>
      <c r="FQR68" s="2936"/>
      <c r="FQS68" s="2936"/>
      <c r="FQT68" s="2936"/>
      <c r="FQU68" s="2936"/>
      <c r="FQV68" s="2936"/>
      <c r="FQW68" s="2936"/>
      <c r="FQX68" s="2936"/>
      <c r="FQY68" s="2936"/>
      <c r="FQZ68" s="2936"/>
      <c r="FRA68" s="2936"/>
      <c r="FRB68" s="2936"/>
      <c r="FRC68" s="2936"/>
      <c r="FRD68" s="2936"/>
      <c r="FRE68" s="2936"/>
      <c r="FRF68" s="2936"/>
      <c r="FRG68" s="2936"/>
      <c r="FRH68" s="2936"/>
      <c r="FRI68" s="2936"/>
      <c r="FRJ68" s="2936"/>
      <c r="FRK68" s="2936"/>
      <c r="FRL68" s="2936"/>
      <c r="FRM68" s="2936"/>
      <c r="FRN68" s="2936"/>
      <c r="FRO68" s="2936"/>
      <c r="FRP68" s="2936"/>
      <c r="FRQ68" s="2936"/>
      <c r="FRR68" s="2936"/>
      <c r="FRS68" s="2936"/>
      <c r="FRT68" s="2936"/>
      <c r="FRU68" s="2936"/>
      <c r="FRV68" s="2936"/>
      <c r="FRW68" s="2936"/>
      <c r="FRX68" s="2936"/>
      <c r="FRY68" s="2936"/>
      <c r="FRZ68" s="2936"/>
      <c r="FSA68" s="2936"/>
      <c r="FSB68" s="2936"/>
      <c r="FSC68" s="2936"/>
      <c r="FSD68" s="2936"/>
      <c r="FSE68" s="2936"/>
      <c r="FSF68" s="2936"/>
      <c r="FSG68" s="2936"/>
      <c r="FSH68" s="2936"/>
      <c r="FSI68" s="2936"/>
      <c r="FSJ68" s="2936"/>
      <c r="FSK68" s="2936"/>
      <c r="FSL68" s="2936"/>
      <c r="FSM68" s="2936"/>
      <c r="FSN68" s="2936"/>
      <c r="FSO68" s="2936"/>
      <c r="FSP68" s="2936"/>
      <c r="FSQ68" s="2936"/>
      <c r="FSR68" s="2936"/>
      <c r="FSS68" s="2936"/>
      <c r="FST68" s="2936"/>
      <c r="FSU68" s="2936"/>
      <c r="FSV68" s="2936"/>
      <c r="FSW68" s="2936"/>
      <c r="FSX68" s="2936"/>
      <c r="FSY68" s="2936"/>
      <c r="FSZ68" s="2936"/>
      <c r="FTA68" s="2936"/>
      <c r="FTB68" s="2936"/>
      <c r="FTC68" s="2936"/>
      <c r="FTD68" s="2936"/>
      <c r="FTE68" s="2936"/>
      <c r="FTF68" s="2936"/>
      <c r="FTG68" s="2936"/>
      <c r="FTH68" s="2936"/>
      <c r="FTI68" s="2936"/>
      <c r="FTJ68" s="2936"/>
      <c r="FTK68" s="2936"/>
      <c r="FTL68" s="2936"/>
      <c r="FTM68" s="2936"/>
      <c r="FTN68" s="2936"/>
      <c r="FTO68" s="2936"/>
      <c r="FTP68" s="2936"/>
      <c r="FTQ68" s="2936"/>
      <c r="FTR68" s="2936"/>
      <c r="FTS68" s="2936"/>
      <c r="FTT68" s="2936"/>
      <c r="FTU68" s="2936"/>
      <c r="FTV68" s="2936"/>
      <c r="FTW68" s="2936"/>
      <c r="FTX68" s="2936"/>
      <c r="FTY68" s="2936"/>
      <c r="FTZ68" s="2936"/>
      <c r="FUA68" s="2936"/>
      <c r="FUB68" s="2936"/>
      <c r="FUC68" s="2936"/>
      <c r="FUD68" s="2936"/>
      <c r="FUE68" s="2936"/>
      <c r="FUF68" s="2936"/>
      <c r="FUG68" s="2936"/>
      <c r="FUH68" s="2936"/>
      <c r="FUI68" s="2936"/>
      <c r="FUJ68" s="2936"/>
      <c r="FUK68" s="2936"/>
      <c r="FUL68" s="2936"/>
      <c r="FUM68" s="2936"/>
      <c r="FUN68" s="2936"/>
      <c r="FUO68" s="2936"/>
      <c r="FUP68" s="2936"/>
      <c r="FUQ68" s="2936"/>
      <c r="FUR68" s="2936"/>
      <c r="FUS68" s="2936"/>
      <c r="FUT68" s="2936"/>
      <c r="FUU68" s="2936"/>
      <c r="FUV68" s="2936"/>
      <c r="FUW68" s="2936"/>
      <c r="FUX68" s="2936"/>
      <c r="FUY68" s="2936"/>
      <c r="FUZ68" s="2936"/>
      <c r="FVA68" s="2936"/>
      <c r="FVB68" s="2936"/>
      <c r="FVC68" s="2936"/>
      <c r="FVD68" s="2936"/>
      <c r="FVE68" s="2936"/>
      <c r="FVF68" s="2936"/>
      <c r="FVG68" s="2936"/>
      <c r="FVH68" s="2936"/>
      <c r="FVI68" s="2936"/>
      <c r="FVJ68" s="2936"/>
      <c r="FVK68" s="2936"/>
      <c r="FVL68" s="2936"/>
      <c r="FVM68" s="2936"/>
      <c r="FVN68" s="2936"/>
      <c r="FVO68" s="2936"/>
      <c r="FVP68" s="2936"/>
      <c r="FVQ68" s="2936"/>
      <c r="FVR68" s="2936"/>
      <c r="FVS68" s="2936"/>
      <c r="FVT68" s="2936"/>
      <c r="FVU68" s="2936"/>
      <c r="FVV68" s="2936"/>
      <c r="FVW68" s="2936"/>
      <c r="FVX68" s="2936"/>
      <c r="FVY68" s="2936"/>
      <c r="FVZ68" s="2936"/>
      <c r="FWA68" s="2936"/>
      <c r="FWB68" s="2936"/>
      <c r="FWC68" s="2936"/>
      <c r="FWD68" s="2936"/>
      <c r="FWE68" s="2936"/>
      <c r="FWF68" s="2936"/>
      <c r="FWG68" s="2936"/>
      <c r="FWH68" s="2936"/>
      <c r="FWI68" s="2936"/>
      <c r="FWJ68" s="2936"/>
      <c r="FWK68" s="2936"/>
      <c r="FWL68" s="2936"/>
      <c r="FWM68" s="2936"/>
      <c r="FWN68" s="2936"/>
      <c r="FWO68" s="2936"/>
      <c r="FWP68" s="2936"/>
      <c r="FWQ68" s="2936"/>
      <c r="FWR68" s="2936"/>
      <c r="FWS68" s="2936"/>
      <c r="FWT68" s="2936"/>
      <c r="FWU68" s="2936"/>
      <c r="FWV68" s="2936"/>
      <c r="FWW68" s="2936"/>
      <c r="FWX68" s="2936"/>
      <c r="FWY68" s="2936"/>
      <c r="FWZ68" s="2936"/>
      <c r="FXA68" s="2936"/>
      <c r="FXB68" s="2936"/>
      <c r="FXC68" s="2936"/>
      <c r="FXD68" s="2936"/>
      <c r="FXE68" s="2936"/>
      <c r="FXF68" s="2936"/>
      <c r="FXG68" s="2936"/>
      <c r="FXH68" s="2936"/>
      <c r="FXI68" s="2936"/>
      <c r="FXJ68" s="2936"/>
      <c r="FXK68" s="2936"/>
      <c r="FXL68" s="2936"/>
      <c r="FXM68" s="2936"/>
      <c r="FXN68" s="2936"/>
      <c r="FXO68" s="2936"/>
      <c r="FXP68" s="2936"/>
      <c r="FXQ68" s="2936"/>
      <c r="FXR68" s="2936"/>
      <c r="FXS68" s="2936"/>
      <c r="FXT68" s="2936"/>
      <c r="FXU68" s="2936"/>
      <c r="FXV68" s="2936"/>
      <c r="FXW68" s="2936"/>
      <c r="FXX68" s="2936"/>
      <c r="FXY68" s="2936"/>
      <c r="FXZ68" s="2936"/>
      <c r="FYA68" s="2936"/>
      <c r="FYB68" s="2936"/>
      <c r="FYC68" s="2936"/>
      <c r="FYD68" s="2936"/>
      <c r="FYE68" s="2936"/>
      <c r="FYF68" s="2936"/>
      <c r="FYG68" s="2936"/>
      <c r="FYH68" s="2936"/>
      <c r="FYI68" s="2936"/>
      <c r="FYJ68" s="2936"/>
      <c r="FYK68" s="2936"/>
      <c r="FYL68" s="2936"/>
      <c r="FYM68" s="2936"/>
      <c r="FYN68" s="2936"/>
      <c r="FYO68" s="2936"/>
      <c r="FYP68" s="2936"/>
      <c r="FYQ68" s="2936"/>
      <c r="FYR68" s="2936"/>
      <c r="FYS68" s="2936"/>
      <c r="FYT68" s="2936"/>
      <c r="FYU68" s="2936"/>
      <c r="FYV68" s="2936"/>
      <c r="FYW68" s="2936"/>
      <c r="FYX68" s="2936"/>
      <c r="FYY68" s="2936"/>
      <c r="FYZ68" s="2936"/>
      <c r="FZA68" s="2936"/>
      <c r="FZB68" s="2936"/>
      <c r="FZC68" s="2936"/>
      <c r="FZD68" s="2936"/>
      <c r="FZE68" s="2936"/>
      <c r="FZF68" s="2936"/>
      <c r="FZG68" s="2936"/>
      <c r="FZH68" s="2936"/>
      <c r="FZI68" s="2936"/>
      <c r="FZJ68" s="2936"/>
      <c r="FZK68" s="2936"/>
      <c r="FZL68" s="2936"/>
      <c r="FZM68" s="2936"/>
      <c r="FZN68" s="2936"/>
      <c r="FZO68" s="2936"/>
      <c r="FZP68" s="2936"/>
      <c r="FZQ68" s="2936"/>
      <c r="FZR68" s="2936"/>
      <c r="FZS68" s="2936"/>
      <c r="FZT68" s="2936"/>
      <c r="FZU68" s="2936"/>
      <c r="FZV68" s="2936"/>
      <c r="FZW68" s="2936"/>
      <c r="FZX68" s="2936"/>
      <c r="FZY68" s="2936"/>
      <c r="FZZ68" s="2936"/>
      <c r="GAA68" s="2936"/>
      <c r="GAB68" s="2936"/>
      <c r="GAC68" s="2936"/>
      <c r="GAD68" s="2936"/>
      <c r="GAE68" s="2936"/>
      <c r="GAF68" s="2936"/>
      <c r="GAG68" s="2936"/>
      <c r="GAH68" s="2936"/>
      <c r="GAI68" s="2936"/>
      <c r="GAJ68" s="2936"/>
      <c r="GAK68" s="2936"/>
      <c r="GAL68" s="2936"/>
      <c r="GAM68" s="2936"/>
      <c r="GAN68" s="2936"/>
      <c r="GAO68" s="2936"/>
      <c r="GAP68" s="2936"/>
      <c r="GAQ68" s="2936"/>
      <c r="GAR68" s="2936"/>
      <c r="GAS68" s="2936"/>
      <c r="GAT68" s="2936"/>
      <c r="GAU68" s="2936"/>
      <c r="GAV68" s="2936"/>
      <c r="GAW68" s="2936"/>
      <c r="GAX68" s="2936"/>
      <c r="GAY68" s="2936"/>
      <c r="GAZ68" s="2936"/>
      <c r="GBA68" s="2936"/>
      <c r="GBB68" s="2936"/>
      <c r="GBC68" s="2936"/>
      <c r="GBD68" s="2936"/>
      <c r="GBE68" s="2936"/>
      <c r="GBF68" s="2936"/>
      <c r="GBG68" s="2936"/>
      <c r="GBH68" s="2936"/>
      <c r="GBI68" s="2936"/>
      <c r="GBJ68" s="2936"/>
      <c r="GBK68" s="2936"/>
      <c r="GBL68" s="2936"/>
      <c r="GBM68" s="2936"/>
      <c r="GBN68" s="2936"/>
      <c r="GBO68" s="2936"/>
      <c r="GBP68" s="2936"/>
      <c r="GBQ68" s="2936"/>
      <c r="GBR68" s="2936"/>
      <c r="GBS68" s="2936"/>
      <c r="GBT68" s="2936"/>
      <c r="GBU68" s="2936"/>
      <c r="GBV68" s="2936"/>
      <c r="GBW68" s="2936"/>
      <c r="GBX68" s="2936"/>
      <c r="GBY68" s="2936"/>
      <c r="GBZ68" s="2936"/>
      <c r="GCA68" s="2936"/>
      <c r="GCB68" s="2936"/>
      <c r="GCC68" s="2936"/>
      <c r="GCD68" s="2936"/>
      <c r="GCE68" s="2936"/>
      <c r="GCF68" s="2936"/>
      <c r="GCG68" s="2936"/>
      <c r="GCH68" s="2936"/>
      <c r="GCI68" s="2936"/>
      <c r="GCJ68" s="2936"/>
      <c r="GCK68" s="2936"/>
      <c r="GCL68" s="2936"/>
      <c r="GCM68" s="2936"/>
      <c r="GCN68" s="2936"/>
      <c r="GCO68" s="2936"/>
      <c r="GCP68" s="2936"/>
      <c r="GCQ68" s="2936"/>
      <c r="GCR68" s="2936"/>
      <c r="GCS68" s="2936"/>
      <c r="GCT68" s="2936"/>
      <c r="GCU68" s="2936"/>
      <c r="GCV68" s="2936"/>
      <c r="GCW68" s="2936"/>
      <c r="GCX68" s="2936"/>
      <c r="GCY68" s="2936"/>
      <c r="GCZ68" s="2936"/>
      <c r="GDA68" s="2936"/>
      <c r="GDB68" s="2936"/>
      <c r="GDC68" s="2936"/>
      <c r="GDD68" s="2936"/>
      <c r="GDE68" s="2936"/>
      <c r="GDF68" s="2936"/>
      <c r="GDG68" s="2936"/>
      <c r="GDH68" s="2936"/>
      <c r="GDI68" s="2936"/>
      <c r="GDJ68" s="2936"/>
      <c r="GDK68" s="2936"/>
      <c r="GDL68" s="2936"/>
      <c r="GDM68" s="2936"/>
      <c r="GDN68" s="2936"/>
      <c r="GDO68" s="2936"/>
      <c r="GDP68" s="2936"/>
      <c r="GDQ68" s="2936"/>
      <c r="GDR68" s="2936"/>
      <c r="GDS68" s="2936"/>
      <c r="GDT68" s="2936"/>
      <c r="GDU68" s="2936"/>
      <c r="GDV68" s="2936"/>
      <c r="GDW68" s="2936"/>
      <c r="GDX68" s="2936"/>
      <c r="GDY68" s="2936"/>
      <c r="GDZ68" s="2936"/>
      <c r="GEA68" s="2936"/>
      <c r="GEB68" s="2936"/>
      <c r="GEC68" s="2936"/>
      <c r="GED68" s="2936"/>
      <c r="GEE68" s="2936"/>
      <c r="GEF68" s="2936"/>
      <c r="GEG68" s="2936"/>
      <c r="GEH68" s="2936"/>
      <c r="GEI68" s="2936"/>
      <c r="GEJ68" s="2936"/>
      <c r="GEK68" s="2936"/>
      <c r="GEL68" s="2936"/>
      <c r="GEM68" s="2936"/>
      <c r="GEN68" s="2936"/>
      <c r="GEO68" s="2936"/>
      <c r="GEP68" s="2936"/>
      <c r="GEQ68" s="2936"/>
      <c r="GER68" s="2936"/>
      <c r="GES68" s="2936"/>
      <c r="GET68" s="2936"/>
      <c r="GEU68" s="2936"/>
      <c r="GEV68" s="2936"/>
      <c r="GEW68" s="2936"/>
      <c r="GEX68" s="2936"/>
      <c r="GEY68" s="2936"/>
      <c r="GEZ68" s="2936"/>
      <c r="GFA68" s="2936"/>
      <c r="GFB68" s="2936"/>
      <c r="GFC68" s="2936"/>
      <c r="GFD68" s="2936"/>
      <c r="GFE68" s="2936"/>
      <c r="GFF68" s="2936"/>
      <c r="GFG68" s="2936"/>
      <c r="GFH68" s="2936"/>
      <c r="GFI68" s="2936"/>
      <c r="GFJ68" s="2936"/>
      <c r="GFK68" s="2936"/>
      <c r="GFL68" s="2936"/>
      <c r="GFM68" s="2936"/>
      <c r="GFN68" s="2936"/>
      <c r="GFO68" s="2936"/>
      <c r="GFP68" s="2936"/>
      <c r="GFQ68" s="2936"/>
      <c r="GFR68" s="2936"/>
      <c r="GFS68" s="2936"/>
      <c r="GFT68" s="2936"/>
      <c r="GFU68" s="2936"/>
      <c r="GFV68" s="2936"/>
      <c r="GFW68" s="2936"/>
      <c r="GFX68" s="2936"/>
      <c r="GFY68" s="2936"/>
      <c r="GFZ68" s="2936"/>
      <c r="GGA68" s="2936"/>
      <c r="GGB68" s="2936"/>
      <c r="GGC68" s="2936"/>
      <c r="GGD68" s="2936"/>
      <c r="GGE68" s="2936"/>
      <c r="GGF68" s="2936"/>
      <c r="GGG68" s="2936"/>
      <c r="GGH68" s="2936"/>
      <c r="GGI68" s="2936"/>
      <c r="GGJ68" s="2936"/>
      <c r="GGK68" s="2936"/>
      <c r="GGL68" s="2936"/>
      <c r="GGM68" s="2936"/>
      <c r="GGN68" s="2936"/>
      <c r="GGO68" s="2936"/>
      <c r="GGP68" s="2936"/>
      <c r="GGQ68" s="2936"/>
      <c r="GGR68" s="2936"/>
      <c r="GGS68" s="2936"/>
      <c r="GGT68" s="2936"/>
      <c r="GGU68" s="2936"/>
      <c r="GGV68" s="2936"/>
      <c r="GGW68" s="2936"/>
      <c r="GGX68" s="2936"/>
      <c r="GGY68" s="2936"/>
      <c r="GGZ68" s="2936"/>
      <c r="GHA68" s="2936"/>
      <c r="GHB68" s="2936"/>
      <c r="GHC68" s="2936"/>
      <c r="GHD68" s="2936"/>
      <c r="GHE68" s="2936"/>
      <c r="GHF68" s="2936"/>
      <c r="GHG68" s="2936"/>
      <c r="GHH68" s="2936"/>
      <c r="GHI68" s="2936"/>
      <c r="GHJ68" s="2936"/>
      <c r="GHK68" s="2936"/>
      <c r="GHL68" s="2936"/>
      <c r="GHM68" s="2936"/>
      <c r="GHN68" s="2936"/>
      <c r="GHO68" s="2936"/>
      <c r="GHP68" s="2936"/>
      <c r="GHQ68" s="2936"/>
      <c r="GHR68" s="2936"/>
      <c r="GHS68" s="2936"/>
      <c r="GHT68" s="2936"/>
      <c r="GHU68" s="2936"/>
      <c r="GHV68" s="2936"/>
      <c r="GHW68" s="2936"/>
      <c r="GHX68" s="2936"/>
      <c r="GHY68" s="2936"/>
      <c r="GHZ68" s="2936"/>
      <c r="GIA68" s="2936"/>
      <c r="GIB68" s="2936"/>
      <c r="GIC68" s="2936"/>
      <c r="GID68" s="2936"/>
      <c r="GIE68" s="2936"/>
      <c r="GIF68" s="2936"/>
      <c r="GIG68" s="2936"/>
      <c r="GIH68" s="2936"/>
      <c r="GII68" s="2936"/>
      <c r="GIJ68" s="2936"/>
      <c r="GIK68" s="2936"/>
      <c r="GIL68" s="2936"/>
      <c r="GIM68" s="2936"/>
      <c r="GIN68" s="2936"/>
      <c r="GIO68" s="2936"/>
      <c r="GIP68" s="2936"/>
      <c r="GIQ68" s="2936"/>
      <c r="GIR68" s="2936"/>
      <c r="GIS68" s="2936"/>
      <c r="GIT68" s="2936"/>
      <c r="GIU68" s="2936"/>
      <c r="GIV68" s="2936"/>
      <c r="GIW68" s="2936"/>
      <c r="GIX68" s="2936"/>
      <c r="GIY68" s="2936"/>
      <c r="GIZ68" s="2936"/>
      <c r="GJA68" s="2936"/>
      <c r="GJB68" s="2936"/>
      <c r="GJC68" s="2936"/>
      <c r="GJD68" s="2936"/>
      <c r="GJE68" s="2936"/>
      <c r="GJF68" s="2936"/>
      <c r="GJG68" s="2936"/>
      <c r="GJH68" s="2936"/>
      <c r="GJI68" s="2936"/>
      <c r="GJJ68" s="2936"/>
      <c r="GJK68" s="2936"/>
      <c r="GJL68" s="2936"/>
      <c r="GJM68" s="2936"/>
      <c r="GJN68" s="2936"/>
      <c r="GJO68" s="2936"/>
      <c r="GJP68" s="2936"/>
      <c r="GJQ68" s="2936"/>
      <c r="GJR68" s="2936"/>
      <c r="GJS68" s="2936"/>
      <c r="GJT68" s="2936"/>
      <c r="GJU68" s="2936"/>
      <c r="GJV68" s="2936"/>
      <c r="GJW68" s="2936"/>
      <c r="GJX68" s="2936"/>
      <c r="GJY68" s="2936"/>
      <c r="GJZ68" s="2936"/>
      <c r="GKA68" s="2936"/>
      <c r="GKB68" s="2936"/>
      <c r="GKC68" s="2936"/>
      <c r="GKD68" s="2936"/>
      <c r="GKE68" s="2936"/>
      <c r="GKF68" s="2936"/>
      <c r="GKG68" s="2936"/>
      <c r="GKH68" s="2936"/>
      <c r="GKI68" s="2936"/>
      <c r="GKJ68" s="2936"/>
      <c r="GKK68" s="2936"/>
      <c r="GKL68" s="2936"/>
      <c r="GKM68" s="2936"/>
      <c r="GKN68" s="2936"/>
      <c r="GKO68" s="2936"/>
      <c r="GKP68" s="2936"/>
      <c r="GKQ68" s="2936"/>
      <c r="GKR68" s="2936"/>
      <c r="GKS68" s="2936"/>
      <c r="GKT68" s="2936"/>
      <c r="GKU68" s="2936"/>
      <c r="GKV68" s="2936"/>
      <c r="GKW68" s="2936"/>
      <c r="GKX68" s="2936"/>
      <c r="GKY68" s="2936"/>
      <c r="GKZ68" s="2936"/>
      <c r="GLA68" s="2936"/>
      <c r="GLB68" s="2936"/>
      <c r="GLC68" s="2936"/>
      <c r="GLD68" s="2936"/>
      <c r="GLE68" s="2936"/>
      <c r="GLF68" s="2936"/>
      <c r="GLG68" s="2936"/>
      <c r="GLH68" s="2936"/>
      <c r="GLI68" s="2936"/>
      <c r="GLJ68" s="2936"/>
      <c r="GLK68" s="2936"/>
      <c r="GLL68" s="2936"/>
      <c r="GLM68" s="2936"/>
      <c r="GLN68" s="2936"/>
      <c r="GLO68" s="2936"/>
      <c r="GLP68" s="2936"/>
      <c r="GLQ68" s="2936"/>
      <c r="GLR68" s="2936"/>
      <c r="GLS68" s="2936"/>
      <c r="GLT68" s="2936"/>
      <c r="GLU68" s="2936"/>
      <c r="GLV68" s="2936"/>
      <c r="GLW68" s="2936"/>
      <c r="GLX68" s="2936"/>
      <c r="GLY68" s="2936"/>
      <c r="GLZ68" s="2936"/>
      <c r="GMA68" s="2936"/>
      <c r="GMB68" s="2936"/>
      <c r="GMC68" s="2936"/>
      <c r="GMD68" s="2936"/>
      <c r="GME68" s="2936"/>
      <c r="GMF68" s="2936"/>
      <c r="GMG68" s="2936"/>
      <c r="GMH68" s="2936"/>
      <c r="GMI68" s="2936"/>
      <c r="GMJ68" s="2936"/>
      <c r="GMK68" s="2936"/>
      <c r="GML68" s="2936"/>
      <c r="GMM68" s="2936"/>
      <c r="GMN68" s="2936"/>
      <c r="GMO68" s="2936"/>
      <c r="GMP68" s="2936"/>
      <c r="GMQ68" s="2936"/>
      <c r="GMR68" s="2936"/>
      <c r="GMS68" s="2936"/>
      <c r="GMT68" s="2936"/>
      <c r="GMU68" s="2936"/>
      <c r="GMV68" s="2936"/>
      <c r="GMW68" s="2936"/>
      <c r="GMX68" s="2936"/>
      <c r="GMY68" s="2936"/>
      <c r="GMZ68" s="2936"/>
      <c r="GNA68" s="2936"/>
      <c r="GNB68" s="2936"/>
      <c r="GNC68" s="2936"/>
      <c r="GND68" s="2936"/>
      <c r="GNE68" s="2936"/>
      <c r="GNF68" s="2936"/>
      <c r="GNG68" s="2936"/>
      <c r="GNH68" s="2936"/>
      <c r="GNI68" s="2936"/>
      <c r="GNJ68" s="2936"/>
      <c r="GNK68" s="2936"/>
      <c r="GNL68" s="2936"/>
      <c r="GNM68" s="2936"/>
      <c r="GNN68" s="2936"/>
      <c r="GNO68" s="2936"/>
      <c r="GNP68" s="2936"/>
      <c r="GNQ68" s="2936"/>
      <c r="GNR68" s="2936"/>
      <c r="GNS68" s="2936"/>
      <c r="GNT68" s="2936"/>
      <c r="GNU68" s="2936"/>
      <c r="GNV68" s="2936"/>
      <c r="GNW68" s="2936"/>
      <c r="GNX68" s="2936"/>
      <c r="GNY68" s="2936"/>
      <c r="GNZ68" s="2936"/>
      <c r="GOA68" s="2936"/>
      <c r="GOB68" s="2936"/>
      <c r="GOC68" s="2936"/>
      <c r="GOD68" s="2936"/>
      <c r="GOE68" s="2936"/>
      <c r="GOF68" s="2936"/>
      <c r="GOG68" s="2936"/>
      <c r="GOH68" s="2936"/>
      <c r="GOI68" s="2936"/>
      <c r="GOJ68" s="2936"/>
      <c r="GOK68" s="2936"/>
      <c r="GOL68" s="2936"/>
      <c r="GOM68" s="2936"/>
      <c r="GON68" s="2936"/>
      <c r="GOO68" s="2936"/>
      <c r="GOP68" s="2936"/>
      <c r="GOQ68" s="2936"/>
      <c r="GOR68" s="2936"/>
      <c r="GOS68" s="2936"/>
      <c r="GOT68" s="2936"/>
      <c r="GOU68" s="2936"/>
      <c r="GOV68" s="2936"/>
      <c r="GOW68" s="2936"/>
      <c r="GOX68" s="2936"/>
      <c r="GOY68" s="2936"/>
      <c r="GOZ68" s="2936"/>
      <c r="GPA68" s="2936"/>
      <c r="GPB68" s="2936"/>
      <c r="GPC68" s="2936"/>
      <c r="GPD68" s="2936"/>
      <c r="GPE68" s="2936"/>
      <c r="GPF68" s="2936"/>
      <c r="GPG68" s="2936"/>
      <c r="GPH68" s="2936"/>
      <c r="GPI68" s="2936"/>
      <c r="GPJ68" s="2936"/>
      <c r="GPK68" s="2936"/>
      <c r="GPL68" s="2936"/>
      <c r="GPM68" s="2936"/>
      <c r="GPN68" s="2936"/>
      <c r="GPO68" s="2936"/>
      <c r="GPP68" s="2936"/>
      <c r="GPQ68" s="2936"/>
      <c r="GPR68" s="2936"/>
      <c r="GPS68" s="2936"/>
      <c r="GPT68" s="2936"/>
      <c r="GPU68" s="2936"/>
      <c r="GPV68" s="2936"/>
      <c r="GPW68" s="2936"/>
      <c r="GPX68" s="2936"/>
      <c r="GPY68" s="2936"/>
      <c r="GPZ68" s="2936"/>
      <c r="GQA68" s="2936"/>
      <c r="GQB68" s="2936"/>
      <c r="GQC68" s="2936"/>
      <c r="GQD68" s="2936"/>
      <c r="GQE68" s="2936"/>
      <c r="GQF68" s="2936"/>
      <c r="GQG68" s="2936"/>
      <c r="GQH68" s="2936"/>
      <c r="GQI68" s="2936"/>
      <c r="GQJ68" s="2936"/>
      <c r="GQK68" s="2936"/>
      <c r="GQL68" s="2936"/>
      <c r="GQM68" s="2936"/>
      <c r="GQN68" s="2936"/>
      <c r="GQO68" s="2936"/>
      <c r="GQP68" s="2936"/>
      <c r="GQQ68" s="2936"/>
      <c r="GQR68" s="2936"/>
      <c r="GQS68" s="2936"/>
      <c r="GQT68" s="2936"/>
      <c r="GQU68" s="2936"/>
      <c r="GQV68" s="2936"/>
      <c r="GQW68" s="2936"/>
      <c r="GQX68" s="2936"/>
      <c r="GQY68" s="2936"/>
      <c r="GQZ68" s="2936"/>
      <c r="GRA68" s="2936"/>
      <c r="GRB68" s="2936"/>
      <c r="GRC68" s="2936"/>
      <c r="GRD68" s="2936"/>
      <c r="GRE68" s="2936"/>
      <c r="GRF68" s="2936"/>
      <c r="GRG68" s="2936"/>
      <c r="GRH68" s="2936"/>
      <c r="GRI68" s="2936"/>
      <c r="GRJ68" s="2936"/>
      <c r="GRK68" s="2936"/>
      <c r="GRL68" s="2936"/>
      <c r="GRM68" s="2936"/>
      <c r="GRN68" s="2936"/>
      <c r="GRO68" s="2936"/>
      <c r="GRP68" s="2936"/>
      <c r="GRQ68" s="2936"/>
      <c r="GRR68" s="2936"/>
      <c r="GRS68" s="2936"/>
      <c r="GRT68" s="2936"/>
      <c r="GRU68" s="2936"/>
      <c r="GRV68" s="2936"/>
      <c r="GRW68" s="2936"/>
      <c r="GRX68" s="2936"/>
      <c r="GRY68" s="2936"/>
      <c r="GRZ68" s="2936"/>
      <c r="GSA68" s="2936"/>
      <c r="GSB68" s="2936"/>
      <c r="GSC68" s="2936"/>
      <c r="GSD68" s="2936"/>
      <c r="GSE68" s="2936"/>
      <c r="GSF68" s="2936"/>
      <c r="GSG68" s="2936"/>
      <c r="GSH68" s="2936"/>
      <c r="GSI68" s="2936"/>
      <c r="GSJ68" s="2936"/>
      <c r="GSK68" s="2936"/>
      <c r="GSL68" s="2936"/>
      <c r="GSM68" s="2936"/>
      <c r="GSN68" s="2936"/>
      <c r="GSO68" s="2936"/>
      <c r="GSP68" s="2936"/>
      <c r="GSQ68" s="2936"/>
      <c r="GSR68" s="2936"/>
      <c r="GSS68" s="2936"/>
      <c r="GST68" s="2936"/>
      <c r="GSU68" s="2936"/>
      <c r="GSV68" s="2936"/>
      <c r="GSW68" s="2936"/>
      <c r="GSX68" s="2936"/>
      <c r="GSY68" s="2936"/>
      <c r="GSZ68" s="2936"/>
      <c r="GTA68" s="2936"/>
      <c r="GTB68" s="2936"/>
      <c r="GTC68" s="2936"/>
      <c r="GTD68" s="2936"/>
      <c r="GTE68" s="2936"/>
      <c r="GTF68" s="2936"/>
      <c r="GTG68" s="2936"/>
      <c r="GTH68" s="2936"/>
      <c r="GTI68" s="2936"/>
      <c r="GTJ68" s="2936"/>
      <c r="GTK68" s="2936"/>
      <c r="GTL68" s="2936"/>
      <c r="GTM68" s="2936"/>
      <c r="GTN68" s="2936"/>
      <c r="GTO68" s="2936"/>
      <c r="GTP68" s="2936"/>
      <c r="GTQ68" s="2936"/>
      <c r="GTR68" s="2936"/>
      <c r="GTS68" s="2936"/>
      <c r="GTT68" s="2936"/>
      <c r="GTU68" s="2936"/>
      <c r="GTV68" s="2936"/>
      <c r="GTW68" s="2936"/>
      <c r="GTX68" s="2936"/>
      <c r="GTY68" s="2936"/>
      <c r="GTZ68" s="2936"/>
      <c r="GUA68" s="2936"/>
      <c r="GUB68" s="2936"/>
      <c r="GUC68" s="2936"/>
      <c r="GUD68" s="2936"/>
      <c r="GUE68" s="2936"/>
      <c r="GUF68" s="2936"/>
      <c r="GUG68" s="2936"/>
      <c r="GUH68" s="2936"/>
      <c r="GUI68" s="2936"/>
      <c r="GUJ68" s="2936"/>
      <c r="GUK68" s="2936"/>
      <c r="GUL68" s="2936"/>
      <c r="GUM68" s="2936"/>
      <c r="GUN68" s="2936"/>
      <c r="GUO68" s="2936"/>
      <c r="GUP68" s="2936"/>
      <c r="GUQ68" s="2936"/>
      <c r="GUR68" s="2936"/>
      <c r="GUS68" s="2936"/>
      <c r="GUT68" s="2936"/>
      <c r="GUU68" s="2936"/>
      <c r="GUV68" s="2936"/>
      <c r="GUW68" s="2936"/>
      <c r="GUX68" s="2936"/>
      <c r="GUY68" s="2936"/>
      <c r="GUZ68" s="2936"/>
      <c r="GVA68" s="2936"/>
      <c r="GVB68" s="2936"/>
      <c r="GVC68" s="2936"/>
      <c r="GVD68" s="2936"/>
      <c r="GVE68" s="2936"/>
      <c r="GVF68" s="2936"/>
      <c r="GVG68" s="2936"/>
      <c r="GVH68" s="2936"/>
      <c r="GVI68" s="2936"/>
      <c r="GVJ68" s="2936"/>
      <c r="GVK68" s="2936"/>
      <c r="GVL68" s="2936"/>
      <c r="GVM68" s="2936"/>
      <c r="GVN68" s="2936"/>
      <c r="GVO68" s="2936"/>
      <c r="GVP68" s="2936"/>
      <c r="GVQ68" s="2936"/>
      <c r="GVR68" s="2936"/>
      <c r="GVS68" s="2936"/>
      <c r="GVT68" s="2936"/>
      <c r="GVU68" s="2936"/>
      <c r="GVV68" s="2936"/>
      <c r="GVW68" s="2936"/>
      <c r="GVX68" s="2936"/>
      <c r="GVY68" s="2936"/>
      <c r="GVZ68" s="2936"/>
      <c r="GWA68" s="2936"/>
      <c r="GWB68" s="2936"/>
      <c r="GWC68" s="2936"/>
      <c r="GWD68" s="2936"/>
      <c r="GWE68" s="2936"/>
      <c r="GWF68" s="2936"/>
      <c r="GWG68" s="2936"/>
      <c r="GWH68" s="2936"/>
      <c r="GWI68" s="2936"/>
      <c r="GWJ68" s="2936"/>
      <c r="GWK68" s="2936"/>
      <c r="GWL68" s="2936"/>
      <c r="GWM68" s="2936"/>
      <c r="GWN68" s="2936"/>
      <c r="GWO68" s="2936"/>
      <c r="GWP68" s="2936"/>
      <c r="GWQ68" s="2936"/>
      <c r="GWR68" s="2936"/>
      <c r="GWS68" s="2936"/>
      <c r="GWT68" s="2936"/>
      <c r="GWU68" s="2936"/>
      <c r="GWV68" s="2936"/>
      <c r="GWW68" s="2936"/>
      <c r="GWX68" s="2936"/>
      <c r="GWY68" s="2936"/>
      <c r="GWZ68" s="2936"/>
      <c r="GXA68" s="2936"/>
      <c r="GXB68" s="2936"/>
      <c r="GXC68" s="2936"/>
      <c r="GXD68" s="2936"/>
      <c r="GXE68" s="2936"/>
      <c r="GXF68" s="2936"/>
      <c r="GXG68" s="2936"/>
      <c r="GXH68" s="2936"/>
      <c r="GXI68" s="2936"/>
      <c r="GXJ68" s="2936"/>
      <c r="GXK68" s="2936"/>
      <c r="GXL68" s="2936"/>
      <c r="GXM68" s="2936"/>
      <c r="GXN68" s="2936"/>
      <c r="GXO68" s="2936"/>
      <c r="GXP68" s="2936"/>
      <c r="GXQ68" s="2936"/>
      <c r="GXR68" s="2936"/>
      <c r="GXS68" s="2936"/>
      <c r="GXT68" s="2936"/>
      <c r="GXU68" s="2936"/>
      <c r="GXV68" s="2936"/>
      <c r="GXW68" s="2936"/>
      <c r="GXX68" s="2936"/>
      <c r="GXY68" s="2936"/>
      <c r="GXZ68" s="2936"/>
      <c r="GYA68" s="2936"/>
      <c r="GYB68" s="2936"/>
      <c r="GYC68" s="2936"/>
      <c r="GYD68" s="2936"/>
      <c r="GYE68" s="2936"/>
      <c r="GYF68" s="2936"/>
      <c r="GYG68" s="2936"/>
      <c r="GYH68" s="2936"/>
      <c r="GYI68" s="2936"/>
      <c r="GYJ68" s="2936"/>
      <c r="GYK68" s="2936"/>
      <c r="GYL68" s="2936"/>
      <c r="GYM68" s="2936"/>
      <c r="GYN68" s="2936"/>
      <c r="GYO68" s="2936"/>
      <c r="GYP68" s="2936"/>
      <c r="GYQ68" s="2936"/>
      <c r="GYR68" s="2936"/>
      <c r="GYS68" s="2936"/>
      <c r="GYT68" s="2936"/>
      <c r="GYU68" s="2936"/>
      <c r="GYV68" s="2936"/>
      <c r="GYW68" s="2936"/>
      <c r="GYX68" s="2936"/>
      <c r="GYY68" s="2936"/>
      <c r="GYZ68" s="2936"/>
      <c r="GZA68" s="2936"/>
      <c r="GZB68" s="2936"/>
      <c r="GZC68" s="2936"/>
      <c r="GZD68" s="2936"/>
      <c r="GZE68" s="2936"/>
      <c r="GZF68" s="2936"/>
      <c r="GZG68" s="2936"/>
      <c r="GZH68" s="2936"/>
      <c r="GZI68" s="2936"/>
      <c r="GZJ68" s="2936"/>
      <c r="GZK68" s="2936"/>
      <c r="GZL68" s="2936"/>
      <c r="GZM68" s="2936"/>
      <c r="GZN68" s="2936"/>
      <c r="GZO68" s="2936"/>
      <c r="GZP68" s="2936"/>
      <c r="GZQ68" s="2936"/>
      <c r="GZR68" s="2936"/>
      <c r="GZS68" s="2936"/>
      <c r="GZT68" s="2936"/>
      <c r="GZU68" s="2936"/>
      <c r="GZV68" s="2936"/>
      <c r="GZW68" s="2936"/>
      <c r="GZX68" s="2936"/>
      <c r="GZY68" s="2936"/>
      <c r="GZZ68" s="2936"/>
      <c r="HAA68" s="2936"/>
      <c r="HAB68" s="2936"/>
      <c r="HAC68" s="2936"/>
      <c r="HAD68" s="2936"/>
      <c r="HAE68" s="2936"/>
      <c r="HAF68" s="2936"/>
      <c r="HAG68" s="2936"/>
      <c r="HAH68" s="2936"/>
      <c r="HAI68" s="2936"/>
      <c r="HAJ68" s="2936"/>
      <c r="HAK68" s="2936"/>
      <c r="HAL68" s="2936"/>
      <c r="HAM68" s="2936"/>
      <c r="HAN68" s="2936"/>
      <c r="HAO68" s="2936"/>
      <c r="HAP68" s="2936"/>
      <c r="HAQ68" s="2936"/>
      <c r="HAR68" s="2936"/>
      <c r="HAS68" s="2936"/>
      <c r="HAT68" s="2936"/>
      <c r="HAU68" s="2936"/>
      <c r="HAV68" s="2936"/>
      <c r="HAW68" s="2936"/>
      <c r="HAX68" s="2936"/>
      <c r="HAY68" s="2936"/>
      <c r="HAZ68" s="2936"/>
      <c r="HBA68" s="2936"/>
      <c r="HBB68" s="2936"/>
      <c r="HBC68" s="2936"/>
      <c r="HBD68" s="2936"/>
      <c r="HBE68" s="2936"/>
      <c r="HBF68" s="2936"/>
      <c r="HBG68" s="2936"/>
      <c r="HBH68" s="2936"/>
      <c r="HBI68" s="2936"/>
      <c r="HBJ68" s="2936"/>
      <c r="HBK68" s="2936"/>
      <c r="HBL68" s="2936"/>
      <c r="HBM68" s="2936"/>
      <c r="HBN68" s="2936"/>
      <c r="HBO68" s="2936"/>
      <c r="HBP68" s="2936"/>
      <c r="HBQ68" s="2936"/>
      <c r="HBR68" s="2936"/>
      <c r="HBS68" s="2936"/>
      <c r="HBT68" s="2936"/>
      <c r="HBU68" s="2936"/>
      <c r="HBV68" s="2936"/>
      <c r="HBW68" s="2936"/>
      <c r="HBX68" s="2936"/>
      <c r="HBY68" s="2936"/>
      <c r="HBZ68" s="2936"/>
      <c r="HCA68" s="2936"/>
      <c r="HCB68" s="2936"/>
      <c r="HCC68" s="2936"/>
      <c r="HCD68" s="2936"/>
      <c r="HCE68" s="2936"/>
      <c r="HCF68" s="2936"/>
      <c r="HCG68" s="2936"/>
      <c r="HCH68" s="2936"/>
      <c r="HCI68" s="2936"/>
      <c r="HCJ68" s="2936"/>
      <c r="HCK68" s="2936"/>
      <c r="HCL68" s="2936"/>
      <c r="HCM68" s="2936"/>
      <c r="HCN68" s="2936"/>
      <c r="HCO68" s="2936"/>
      <c r="HCP68" s="2936"/>
      <c r="HCQ68" s="2936"/>
      <c r="HCR68" s="2936"/>
      <c r="HCS68" s="2936"/>
      <c r="HCT68" s="2936"/>
      <c r="HCU68" s="2936"/>
      <c r="HCV68" s="2936"/>
      <c r="HCW68" s="2936"/>
      <c r="HCX68" s="2936"/>
      <c r="HCY68" s="2936"/>
      <c r="HCZ68" s="2936"/>
      <c r="HDA68" s="2936"/>
      <c r="HDB68" s="2936"/>
      <c r="HDC68" s="2936"/>
      <c r="HDD68" s="2936"/>
      <c r="HDE68" s="2936"/>
      <c r="HDF68" s="2936"/>
      <c r="HDG68" s="2936"/>
      <c r="HDH68" s="2936"/>
      <c r="HDI68" s="2936"/>
      <c r="HDJ68" s="2936"/>
      <c r="HDK68" s="2936"/>
      <c r="HDL68" s="2936"/>
      <c r="HDM68" s="2936"/>
      <c r="HDN68" s="2936"/>
      <c r="HDO68" s="2936"/>
      <c r="HDP68" s="2936"/>
      <c r="HDQ68" s="2936"/>
      <c r="HDR68" s="2936"/>
      <c r="HDS68" s="2936"/>
      <c r="HDT68" s="2936"/>
      <c r="HDU68" s="2936"/>
      <c r="HDV68" s="2936"/>
      <c r="HDW68" s="2936"/>
      <c r="HDX68" s="2936"/>
      <c r="HDY68" s="2936"/>
      <c r="HDZ68" s="2936"/>
      <c r="HEA68" s="2936"/>
      <c r="HEB68" s="2936"/>
      <c r="HEC68" s="2936"/>
      <c r="HED68" s="2936"/>
      <c r="HEE68" s="2936"/>
      <c r="HEF68" s="2936"/>
      <c r="HEG68" s="2936"/>
      <c r="HEH68" s="2936"/>
      <c r="HEI68" s="2936"/>
      <c r="HEJ68" s="2936"/>
      <c r="HEK68" s="2936"/>
      <c r="HEL68" s="2936"/>
      <c r="HEM68" s="2936"/>
      <c r="HEN68" s="2936"/>
      <c r="HEO68" s="2936"/>
      <c r="HEP68" s="2936"/>
      <c r="HEQ68" s="2936"/>
      <c r="HER68" s="2936"/>
      <c r="HES68" s="2936"/>
      <c r="HET68" s="2936"/>
      <c r="HEU68" s="2936"/>
      <c r="HEV68" s="2936"/>
      <c r="HEW68" s="2936"/>
      <c r="HEX68" s="2936"/>
      <c r="HEY68" s="2936"/>
      <c r="HEZ68" s="2936"/>
      <c r="HFA68" s="2936"/>
      <c r="HFB68" s="2936"/>
      <c r="HFC68" s="2936"/>
      <c r="HFD68" s="2936"/>
      <c r="HFE68" s="2936"/>
      <c r="HFF68" s="2936"/>
      <c r="HFG68" s="2936"/>
      <c r="HFH68" s="2936"/>
      <c r="HFI68" s="2936"/>
      <c r="HFJ68" s="2936"/>
      <c r="HFK68" s="2936"/>
      <c r="HFL68" s="2936"/>
      <c r="HFM68" s="2936"/>
      <c r="HFN68" s="2936"/>
      <c r="HFO68" s="2936"/>
      <c r="HFP68" s="2936"/>
      <c r="HFQ68" s="2936"/>
      <c r="HFR68" s="2936"/>
      <c r="HFS68" s="2936"/>
      <c r="HFT68" s="2936"/>
      <c r="HFU68" s="2936"/>
      <c r="HFV68" s="2936"/>
      <c r="HFW68" s="2936"/>
      <c r="HFX68" s="2936"/>
      <c r="HFY68" s="2936"/>
      <c r="HFZ68" s="2936"/>
      <c r="HGA68" s="2936"/>
      <c r="HGB68" s="2936"/>
      <c r="HGC68" s="2936"/>
      <c r="HGD68" s="2936"/>
      <c r="HGE68" s="2936"/>
      <c r="HGF68" s="2936"/>
      <c r="HGG68" s="2936"/>
      <c r="HGH68" s="2936"/>
      <c r="HGI68" s="2936"/>
      <c r="HGJ68" s="2936"/>
      <c r="HGK68" s="2936"/>
      <c r="HGL68" s="2936"/>
      <c r="HGM68" s="2936"/>
      <c r="HGN68" s="2936"/>
      <c r="HGO68" s="2936"/>
      <c r="HGP68" s="2936"/>
      <c r="HGQ68" s="2936"/>
      <c r="HGR68" s="2936"/>
      <c r="HGS68" s="2936"/>
      <c r="HGT68" s="2936"/>
      <c r="HGU68" s="2936"/>
      <c r="HGV68" s="2936"/>
      <c r="HGW68" s="2936"/>
      <c r="HGX68" s="2936"/>
      <c r="HGY68" s="2936"/>
      <c r="HGZ68" s="2936"/>
      <c r="HHA68" s="2936"/>
      <c r="HHB68" s="2936"/>
      <c r="HHC68" s="2936"/>
      <c r="HHD68" s="2936"/>
      <c r="HHE68" s="2936"/>
      <c r="HHF68" s="2936"/>
      <c r="HHG68" s="2936"/>
      <c r="HHH68" s="2936"/>
      <c r="HHI68" s="2936"/>
      <c r="HHJ68" s="2936"/>
      <c r="HHK68" s="2936"/>
      <c r="HHL68" s="2936"/>
      <c r="HHM68" s="2936"/>
      <c r="HHN68" s="2936"/>
      <c r="HHO68" s="2936"/>
      <c r="HHP68" s="2936"/>
      <c r="HHQ68" s="2936"/>
      <c r="HHR68" s="2936"/>
      <c r="HHS68" s="2936"/>
      <c r="HHT68" s="2936"/>
      <c r="HHU68" s="2936"/>
      <c r="HHV68" s="2936"/>
      <c r="HHW68" s="2936"/>
      <c r="HHX68" s="2936"/>
      <c r="HHY68" s="2936"/>
      <c r="HHZ68" s="2936"/>
      <c r="HIA68" s="2936"/>
      <c r="HIB68" s="2936"/>
      <c r="HIC68" s="2936"/>
      <c r="HID68" s="2936"/>
      <c r="HIE68" s="2936"/>
      <c r="HIF68" s="2936"/>
      <c r="HIG68" s="2936"/>
      <c r="HIH68" s="2936"/>
      <c r="HII68" s="2936"/>
      <c r="HIJ68" s="2936"/>
      <c r="HIK68" s="2936"/>
      <c r="HIL68" s="2936"/>
      <c r="HIM68" s="2936"/>
      <c r="HIN68" s="2936"/>
      <c r="HIO68" s="2936"/>
      <c r="HIP68" s="2936"/>
      <c r="HIQ68" s="2936"/>
      <c r="HIR68" s="2936"/>
      <c r="HIS68" s="2936"/>
      <c r="HIT68" s="2936"/>
      <c r="HIU68" s="2936"/>
      <c r="HIV68" s="2936"/>
      <c r="HIW68" s="2936"/>
      <c r="HIX68" s="2936"/>
      <c r="HIY68" s="2936"/>
      <c r="HIZ68" s="2936"/>
      <c r="HJA68" s="2936"/>
      <c r="HJB68" s="2936"/>
      <c r="HJC68" s="2936"/>
      <c r="HJD68" s="2936"/>
      <c r="HJE68" s="2936"/>
      <c r="HJF68" s="2936"/>
      <c r="HJG68" s="2936"/>
      <c r="HJH68" s="2936"/>
      <c r="HJI68" s="2936"/>
      <c r="HJJ68" s="2936"/>
      <c r="HJK68" s="2936"/>
      <c r="HJL68" s="2936"/>
      <c r="HJM68" s="2936"/>
      <c r="HJN68" s="2936"/>
      <c r="HJO68" s="2936"/>
      <c r="HJP68" s="2936"/>
      <c r="HJQ68" s="2936"/>
      <c r="HJR68" s="2936"/>
      <c r="HJS68" s="2936"/>
      <c r="HJT68" s="2936"/>
      <c r="HJU68" s="2936"/>
      <c r="HJV68" s="2936"/>
      <c r="HJW68" s="2936"/>
      <c r="HJX68" s="2936"/>
      <c r="HJY68" s="2936"/>
      <c r="HJZ68" s="2936"/>
      <c r="HKA68" s="2936"/>
      <c r="HKB68" s="2936"/>
      <c r="HKC68" s="2936"/>
      <c r="HKD68" s="2936"/>
      <c r="HKE68" s="2936"/>
      <c r="HKF68" s="2936"/>
      <c r="HKG68" s="2936"/>
      <c r="HKH68" s="2936"/>
      <c r="HKI68" s="2936"/>
      <c r="HKJ68" s="2936"/>
      <c r="HKK68" s="2936"/>
      <c r="HKL68" s="2936"/>
      <c r="HKM68" s="2936"/>
      <c r="HKN68" s="2936"/>
      <c r="HKO68" s="2936"/>
      <c r="HKP68" s="2936"/>
      <c r="HKQ68" s="2936"/>
      <c r="HKR68" s="2936"/>
      <c r="HKS68" s="2936"/>
      <c r="HKT68" s="2936"/>
      <c r="HKU68" s="2936"/>
      <c r="HKV68" s="2936"/>
      <c r="HKW68" s="2936"/>
      <c r="HKX68" s="2936"/>
      <c r="HKY68" s="2936"/>
      <c r="HKZ68" s="2936"/>
      <c r="HLA68" s="2936"/>
      <c r="HLB68" s="2936"/>
      <c r="HLC68" s="2936"/>
      <c r="HLD68" s="2936"/>
      <c r="HLE68" s="2936"/>
      <c r="HLF68" s="2936"/>
      <c r="HLG68" s="2936"/>
      <c r="HLH68" s="2936"/>
      <c r="HLI68" s="2936"/>
      <c r="HLJ68" s="2936"/>
      <c r="HLK68" s="2936"/>
      <c r="HLL68" s="2936"/>
      <c r="HLM68" s="2936"/>
      <c r="HLN68" s="2936"/>
      <c r="HLO68" s="2936"/>
      <c r="HLP68" s="2936"/>
      <c r="HLQ68" s="2936"/>
      <c r="HLR68" s="2936"/>
      <c r="HLS68" s="2936"/>
      <c r="HLT68" s="2936"/>
      <c r="HLU68" s="2936"/>
      <c r="HLV68" s="2936"/>
      <c r="HLW68" s="2936"/>
      <c r="HLX68" s="2936"/>
      <c r="HLY68" s="2936"/>
      <c r="HLZ68" s="2936"/>
      <c r="HMA68" s="2936"/>
      <c r="HMB68" s="2936"/>
      <c r="HMC68" s="2936"/>
      <c r="HMD68" s="2936"/>
      <c r="HME68" s="2936"/>
      <c r="HMF68" s="2936"/>
      <c r="HMG68" s="2936"/>
      <c r="HMH68" s="2936"/>
      <c r="HMI68" s="2936"/>
      <c r="HMJ68" s="2936"/>
      <c r="HMK68" s="2936"/>
      <c r="HML68" s="2936"/>
      <c r="HMM68" s="2936"/>
      <c r="HMN68" s="2936"/>
      <c r="HMO68" s="2936"/>
      <c r="HMP68" s="2936"/>
      <c r="HMQ68" s="2936"/>
      <c r="HMR68" s="2936"/>
      <c r="HMS68" s="2936"/>
      <c r="HMT68" s="2936"/>
      <c r="HMU68" s="2936"/>
      <c r="HMV68" s="2936"/>
      <c r="HMW68" s="2936"/>
      <c r="HMX68" s="2936"/>
      <c r="HMY68" s="2936"/>
      <c r="HMZ68" s="2936"/>
      <c r="HNA68" s="2936"/>
      <c r="HNB68" s="2936"/>
      <c r="HNC68" s="2936"/>
      <c r="HND68" s="2936"/>
      <c r="HNE68" s="2936"/>
      <c r="HNF68" s="2936"/>
      <c r="HNG68" s="2936"/>
      <c r="HNH68" s="2936"/>
      <c r="HNI68" s="2936"/>
      <c r="HNJ68" s="2936"/>
      <c r="HNK68" s="2936"/>
      <c r="HNL68" s="2936"/>
      <c r="HNM68" s="2936"/>
      <c r="HNN68" s="2936"/>
      <c r="HNO68" s="2936"/>
      <c r="HNP68" s="2936"/>
      <c r="HNQ68" s="2936"/>
      <c r="HNR68" s="2936"/>
      <c r="HNS68" s="2936"/>
      <c r="HNT68" s="2936"/>
      <c r="HNU68" s="2936"/>
      <c r="HNV68" s="2936"/>
      <c r="HNW68" s="2936"/>
      <c r="HNX68" s="2936"/>
      <c r="HNY68" s="2936"/>
      <c r="HNZ68" s="2936"/>
      <c r="HOA68" s="2936"/>
      <c r="HOB68" s="2936"/>
      <c r="HOC68" s="2936"/>
      <c r="HOD68" s="2936"/>
      <c r="HOE68" s="2936"/>
      <c r="HOF68" s="2936"/>
      <c r="HOG68" s="2936"/>
      <c r="HOH68" s="2936"/>
      <c r="HOI68" s="2936"/>
      <c r="HOJ68" s="2936"/>
      <c r="HOK68" s="2936"/>
      <c r="HOL68" s="2936"/>
      <c r="HOM68" s="2936"/>
      <c r="HON68" s="2936"/>
      <c r="HOO68" s="2936"/>
      <c r="HOP68" s="2936"/>
      <c r="HOQ68" s="2936"/>
      <c r="HOR68" s="2936"/>
      <c r="HOS68" s="2936"/>
      <c r="HOT68" s="2936"/>
      <c r="HOU68" s="2936"/>
      <c r="HOV68" s="2936"/>
      <c r="HOW68" s="2936"/>
      <c r="HOX68" s="2936"/>
      <c r="HOY68" s="2936"/>
      <c r="HOZ68" s="2936"/>
      <c r="HPA68" s="2936"/>
      <c r="HPB68" s="2936"/>
      <c r="HPC68" s="2936"/>
      <c r="HPD68" s="2936"/>
      <c r="HPE68" s="2936"/>
      <c r="HPF68" s="2936"/>
      <c r="HPG68" s="2936"/>
      <c r="HPH68" s="2936"/>
      <c r="HPI68" s="2936"/>
      <c r="HPJ68" s="2936"/>
      <c r="HPK68" s="2936"/>
      <c r="HPL68" s="2936"/>
      <c r="HPM68" s="2936"/>
      <c r="HPN68" s="2936"/>
      <c r="HPO68" s="2936"/>
      <c r="HPP68" s="2936"/>
      <c r="HPQ68" s="2936"/>
      <c r="HPR68" s="2936"/>
      <c r="HPS68" s="2936"/>
      <c r="HPT68" s="2936"/>
      <c r="HPU68" s="2936"/>
      <c r="HPV68" s="2936"/>
      <c r="HPW68" s="2936"/>
      <c r="HPX68" s="2936"/>
      <c r="HPY68" s="2936"/>
      <c r="HPZ68" s="2936"/>
      <c r="HQA68" s="2936"/>
      <c r="HQB68" s="2936"/>
      <c r="HQC68" s="2936"/>
      <c r="HQD68" s="2936"/>
      <c r="HQE68" s="2936"/>
      <c r="HQF68" s="2936"/>
      <c r="HQG68" s="2936"/>
      <c r="HQH68" s="2936"/>
      <c r="HQI68" s="2936"/>
      <c r="HQJ68" s="2936"/>
      <c r="HQK68" s="2936"/>
      <c r="HQL68" s="2936"/>
      <c r="HQM68" s="2936"/>
      <c r="HQN68" s="2936"/>
      <c r="HQO68" s="2936"/>
      <c r="HQP68" s="2936"/>
      <c r="HQQ68" s="2936"/>
      <c r="HQR68" s="2936"/>
      <c r="HQS68" s="2936"/>
      <c r="HQT68" s="2936"/>
      <c r="HQU68" s="2936"/>
      <c r="HQV68" s="2936"/>
      <c r="HQW68" s="2936"/>
      <c r="HQX68" s="2936"/>
      <c r="HQY68" s="2936"/>
      <c r="HQZ68" s="2936"/>
      <c r="HRA68" s="2936"/>
      <c r="HRB68" s="2936"/>
      <c r="HRC68" s="2936"/>
      <c r="HRD68" s="2936"/>
      <c r="HRE68" s="2936"/>
      <c r="HRF68" s="2936"/>
      <c r="HRG68" s="2936"/>
      <c r="HRH68" s="2936"/>
      <c r="HRI68" s="2936"/>
      <c r="HRJ68" s="2936"/>
      <c r="HRK68" s="2936"/>
      <c r="HRL68" s="2936"/>
      <c r="HRM68" s="2936"/>
      <c r="HRN68" s="2936"/>
      <c r="HRO68" s="2936"/>
      <c r="HRP68" s="2936"/>
      <c r="HRQ68" s="2936"/>
      <c r="HRR68" s="2936"/>
      <c r="HRS68" s="2936"/>
      <c r="HRT68" s="2936"/>
      <c r="HRU68" s="2936"/>
      <c r="HRV68" s="2936"/>
      <c r="HRW68" s="2936"/>
      <c r="HRX68" s="2936"/>
      <c r="HRY68" s="2936"/>
      <c r="HRZ68" s="2936"/>
      <c r="HSA68" s="2936"/>
      <c r="HSB68" s="2936"/>
      <c r="HSC68" s="2936"/>
      <c r="HSD68" s="2936"/>
      <c r="HSE68" s="2936"/>
      <c r="HSF68" s="2936"/>
      <c r="HSG68" s="2936"/>
      <c r="HSH68" s="2936"/>
      <c r="HSI68" s="2936"/>
      <c r="HSJ68" s="2936"/>
      <c r="HSK68" s="2936"/>
      <c r="HSL68" s="2936"/>
      <c r="HSM68" s="2936"/>
      <c r="HSN68" s="2936"/>
      <c r="HSO68" s="2936"/>
      <c r="HSP68" s="2936"/>
      <c r="HSQ68" s="2936"/>
      <c r="HSR68" s="2936"/>
      <c r="HSS68" s="2936"/>
      <c r="HST68" s="2936"/>
      <c r="HSU68" s="2936"/>
      <c r="HSV68" s="2936"/>
      <c r="HSW68" s="2936"/>
      <c r="HSX68" s="2936"/>
      <c r="HSY68" s="2936"/>
      <c r="HSZ68" s="2936"/>
      <c r="HTA68" s="2936"/>
      <c r="HTB68" s="2936"/>
      <c r="HTC68" s="2936"/>
      <c r="HTD68" s="2936"/>
      <c r="HTE68" s="2936"/>
      <c r="HTF68" s="2936"/>
      <c r="HTG68" s="2936"/>
      <c r="HTH68" s="2936"/>
      <c r="HTI68" s="2936"/>
      <c r="HTJ68" s="2936"/>
      <c r="HTK68" s="2936"/>
      <c r="HTL68" s="2936"/>
      <c r="HTM68" s="2936"/>
      <c r="HTN68" s="2936"/>
      <c r="HTO68" s="2936"/>
      <c r="HTP68" s="2936"/>
      <c r="HTQ68" s="2936"/>
      <c r="HTR68" s="2936"/>
      <c r="HTS68" s="2936"/>
      <c r="HTT68" s="2936"/>
      <c r="HTU68" s="2936"/>
      <c r="HTV68" s="2936"/>
      <c r="HTW68" s="2936"/>
      <c r="HTX68" s="2936"/>
      <c r="HTY68" s="2936"/>
      <c r="HTZ68" s="2936"/>
      <c r="HUA68" s="2936"/>
      <c r="HUB68" s="2936"/>
      <c r="HUC68" s="2936"/>
      <c r="HUD68" s="2936"/>
      <c r="HUE68" s="2936"/>
      <c r="HUF68" s="2936"/>
      <c r="HUG68" s="2936"/>
      <c r="HUH68" s="2936"/>
      <c r="HUI68" s="2936"/>
      <c r="HUJ68" s="2936"/>
      <c r="HUK68" s="2936"/>
      <c r="HUL68" s="2936"/>
      <c r="HUM68" s="2936"/>
      <c r="HUN68" s="2936"/>
      <c r="HUO68" s="2936"/>
      <c r="HUP68" s="2936"/>
      <c r="HUQ68" s="2936"/>
      <c r="HUR68" s="2936"/>
      <c r="HUS68" s="2936"/>
      <c r="HUT68" s="2936"/>
      <c r="HUU68" s="2936"/>
      <c r="HUV68" s="2936"/>
      <c r="HUW68" s="2936"/>
      <c r="HUX68" s="2936"/>
      <c r="HUY68" s="2936"/>
      <c r="HUZ68" s="2936"/>
      <c r="HVA68" s="2936"/>
      <c r="HVB68" s="2936"/>
      <c r="HVC68" s="2936"/>
      <c r="HVD68" s="2936"/>
      <c r="HVE68" s="2936"/>
      <c r="HVF68" s="2936"/>
      <c r="HVG68" s="2936"/>
      <c r="HVH68" s="2936"/>
      <c r="HVI68" s="2936"/>
      <c r="HVJ68" s="2936"/>
      <c r="HVK68" s="2936"/>
      <c r="HVL68" s="2936"/>
      <c r="HVM68" s="2936"/>
      <c r="HVN68" s="2936"/>
      <c r="HVO68" s="2936"/>
      <c r="HVP68" s="2936"/>
      <c r="HVQ68" s="2936"/>
      <c r="HVR68" s="2936"/>
      <c r="HVS68" s="2936"/>
      <c r="HVT68" s="2936"/>
      <c r="HVU68" s="2936"/>
      <c r="HVV68" s="2936"/>
      <c r="HVW68" s="2936"/>
      <c r="HVX68" s="2936"/>
      <c r="HVY68" s="2936"/>
      <c r="HVZ68" s="2936"/>
      <c r="HWA68" s="2936"/>
      <c r="HWB68" s="2936"/>
      <c r="HWC68" s="2936"/>
      <c r="HWD68" s="2936"/>
      <c r="HWE68" s="2936"/>
      <c r="HWF68" s="2936"/>
      <c r="HWG68" s="2936"/>
      <c r="HWH68" s="2936"/>
      <c r="HWI68" s="2936"/>
      <c r="HWJ68" s="2936"/>
      <c r="HWK68" s="2936"/>
      <c r="HWL68" s="2936"/>
      <c r="HWM68" s="2936"/>
      <c r="HWN68" s="2936"/>
      <c r="HWO68" s="2936"/>
      <c r="HWP68" s="2936"/>
      <c r="HWQ68" s="2936"/>
      <c r="HWR68" s="2936"/>
      <c r="HWS68" s="2936"/>
      <c r="HWT68" s="2936"/>
      <c r="HWU68" s="2936"/>
      <c r="HWV68" s="2936"/>
      <c r="HWW68" s="2936"/>
      <c r="HWX68" s="2936"/>
      <c r="HWY68" s="2936"/>
      <c r="HWZ68" s="2936"/>
      <c r="HXA68" s="2936"/>
      <c r="HXB68" s="2936"/>
      <c r="HXC68" s="2936"/>
      <c r="HXD68" s="2936"/>
      <c r="HXE68" s="2936"/>
      <c r="HXF68" s="2936"/>
      <c r="HXG68" s="2936"/>
      <c r="HXH68" s="2936"/>
      <c r="HXI68" s="2936"/>
      <c r="HXJ68" s="2936"/>
      <c r="HXK68" s="2936"/>
      <c r="HXL68" s="2936"/>
      <c r="HXM68" s="2936"/>
      <c r="HXN68" s="2936"/>
      <c r="HXO68" s="2936"/>
      <c r="HXP68" s="2936"/>
      <c r="HXQ68" s="2936"/>
      <c r="HXR68" s="2936"/>
      <c r="HXS68" s="2936"/>
      <c r="HXT68" s="2936"/>
      <c r="HXU68" s="2936"/>
      <c r="HXV68" s="2936"/>
      <c r="HXW68" s="2936"/>
      <c r="HXX68" s="2936"/>
      <c r="HXY68" s="2936"/>
      <c r="HXZ68" s="2936"/>
      <c r="HYA68" s="2936"/>
      <c r="HYB68" s="2936"/>
      <c r="HYC68" s="2936"/>
      <c r="HYD68" s="2936"/>
      <c r="HYE68" s="2936"/>
      <c r="HYF68" s="2936"/>
      <c r="HYG68" s="2936"/>
      <c r="HYH68" s="2936"/>
      <c r="HYI68" s="2936"/>
      <c r="HYJ68" s="2936"/>
      <c r="HYK68" s="2936"/>
      <c r="HYL68" s="2936"/>
      <c r="HYM68" s="2936"/>
      <c r="HYN68" s="2936"/>
      <c r="HYO68" s="2936"/>
      <c r="HYP68" s="2936"/>
      <c r="HYQ68" s="2936"/>
      <c r="HYR68" s="2936"/>
      <c r="HYS68" s="2936"/>
      <c r="HYT68" s="2936"/>
      <c r="HYU68" s="2936"/>
      <c r="HYV68" s="2936"/>
      <c r="HYW68" s="2936"/>
      <c r="HYX68" s="2936"/>
      <c r="HYY68" s="2936"/>
      <c r="HYZ68" s="2936"/>
      <c r="HZA68" s="2936"/>
      <c r="HZB68" s="2936"/>
      <c r="HZC68" s="2936"/>
      <c r="HZD68" s="2936"/>
      <c r="HZE68" s="2936"/>
      <c r="HZF68" s="2936"/>
      <c r="HZG68" s="2936"/>
      <c r="HZH68" s="2936"/>
      <c r="HZI68" s="2936"/>
      <c r="HZJ68" s="2936"/>
      <c r="HZK68" s="2936"/>
      <c r="HZL68" s="2936"/>
      <c r="HZM68" s="2936"/>
      <c r="HZN68" s="2936"/>
      <c r="HZO68" s="2936"/>
      <c r="HZP68" s="2936"/>
      <c r="HZQ68" s="2936"/>
      <c r="HZR68" s="2936"/>
      <c r="HZS68" s="2936"/>
      <c r="HZT68" s="2936"/>
      <c r="HZU68" s="2936"/>
      <c r="HZV68" s="2936"/>
      <c r="HZW68" s="2936"/>
      <c r="HZX68" s="2936"/>
      <c r="HZY68" s="2936"/>
      <c r="HZZ68" s="2936"/>
      <c r="IAA68" s="2936"/>
      <c r="IAB68" s="2936"/>
      <c r="IAC68" s="2936"/>
      <c r="IAD68" s="2936"/>
      <c r="IAE68" s="2936"/>
      <c r="IAF68" s="2936"/>
      <c r="IAG68" s="2936"/>
      <c r="IAH68" s="2936"/>
      <c r="IAI68" s="2936"/>
      <c r="IAJ68" s="2936"/>
      <c r="IAK68" s="2936"/>
      <c r="IAL68" s="2936"/>
      <c r="IAM68" s="2936"/>
      <c r="IAN68" s="2936"/>
      <c r="IAO68" s="2936"/>
      <c r="IAP68" s="2936"/>
      <c r="IAQ68" s="2936"/>
      <c r="IAR68" s="2936"/>
      <c r="IAS68" s="2936"/>
      <c r="IAT68" s="2936"/>
      <c r="IAU68" s="2936"/>
      <c r="IAV68" s="2936"/>
      <c r="IAW68" s="2936"/>
      <c r="IAX68" s="2936"/>
      <c r="IAY68" s="2936"/>
      <c r="IAZ68" s="2936"/>
      <c r="IBA68" s="2936"/>
      <c r="IBB68" s="2936"/>
      <c r="IBC68" s="2936"/>
      <c r="IBD68" s="2936"/>
      <c r="IBE68" s="2936"/>
      <c r="IBF68" s="2936"/>
      <c r="IBG68" s="2936"/>
      <c r="IBH68" s="2936"/>
      <c r="IBI68" s="2936"/>
      <c r="IBJ68" s="2936"/>
      <c r="IBK68" s="2936"/>
      <c r="IBL68" s="2936"/>
      <c r="IBM68" s="2936"/>
      <c r="IBN68" s="2936"/>
      <c r="IBO68" s="2936"/>
      <c r="IBP68" s="2936"/>
      <c r="IBQ68" s="2936"/>
      <c r="IBR68" s="2936"/>
      <c r="IBS68" s="2936"/>
      <c r="IBT68" s="2936"/>
      <c r="IBU68" s="2936"/>
      <c r="IBV68" s="2936"/>
      <c r="IBW68" s="2936"/>
      <c r="IBX68" s="2936"/>
      <c r="IBY68" s="2936"/>
      <c r="IBZ68" s="2936"/>
      <c r="ICA68" s="2936"/>
      <c r="ICB68" s="2936"/>
      <c r="ICC68" s="2936"/>
      <c r="ICD68" s="2936"/>
      <c r="ICE68" s="2936"/>
      <c r="ICF68" s="2936"/>
      <c r="ICG68" s="2936"/>
      <c r="ICH68" s="2936"/>
      <c r="ICI68" s="2936"/>
      <c r="ICJ68" s="2936"/>
      <c r="ICK68" s="2936"/>
      <c r="ICL68" s="2936"/>
      <c r="ICM68" s="2936"/>
      <c r="ICN68" s="2936"/>
      <c r="ICO68" s="2936"/>
      <c r="ICP68" s="2936"/>
      <c r="ICQ68" s="2936"/>
      <c r="ICR68" s="2936"/>
      <c r="ICS68" s="2936"/>
      <c r="ICT68" s="2936"/>
      <c r="ICU68" s="2936"/>
      <c r="ICV68" s="2936"/>
      <c r="ICW68" s="2936"/>
      <c r="ICX68" s="2936"/>
      <c r="ICY68" s="2936"/>
      <c r="ICZ68" s="2936"/>
      <c r="IDA68" s="2936"/>
      <c r="IDB68" s="2936"/>
      <c r="IDC68" s="2936"/>
      <c r="IDD68" s="2936"/>
      <c r="IDE68" s="2936"/>
      <c r="IDF68" s="2936"/>
      <c r="IDG68" s="2936"/>
      <c r="IDH68" s="2936"/>
      <c r="IDI68" s="2936"/>
      <c r="IDJ68" s="2936"/>
      <c r="IDK68" s="2936"/>
      <c r="IDL68" s="2936"/>
      <c r="IDM68" s="2936"/>
      <c r="IDN68" s="2936"/>
      <c r="IDO68" s="2936"/>
      <c r="IDP68" s="2936"/>
      <c r="IDQ68" s="2936"/>
      <c r="IDR68" s="2936"/>
      <c r="IDS68" s="2936"/>
      <c r="IDT68" s="2936"/>
      <c r="IDU68" s="2936"/>
      <c r="IDV68" s="2936"/>
      <c r="IDW68" s="2936"/>
      <c r="IDX68" s="2936"/>
      <c r="IDY68" s="2936"/>
      <c r="IDZ68" s="2936"/>
      <c r="IEA68" s="2936"/>
      <c r="IEB68" s="2936"/>
      <c r="IEC68" s="2936"/>
      <c r="IED68" s="2936"/>
      <c r="IEE68" s="2936"/>
      <c r="IEF68" s="2936"/>
      <c r="IEG68" s="2936"/>
      <c r="IEH68" s="2936"/>
      <c r="IEI68" s="2936"/>
      <c r="IEJ68" s="2936"/>
      <c r="IEK68" s="2936"/>
      <c r="IEL68" s="2936"/>
      <c r="IEM68" s="2936"/>
      <c r="IEN68" s="2936"/>
      <c r="IEO68" s="2936"/>
      <c r="IEP68" s="2936"/>
      <c r="IEQ68" s="2936"/>
      <c r="IER68" s="2936"/>
      <c r="IES68" s="2936"/>
      <c r="IET68" s="2936"/>
      <c r="IEU68" s="2936"/>
      <c r="IEV68" s="2936"/>
      <c r="IEW68" s="2936"/>
      <c r="IEX68" s="2936"/>
      <c r="IEY68" s="2936"/>
      <c r="IEZ68" s="2936"/>
      <c r="IFA68" s="2936"/>
      <c r="IFB68" s="2936"/>
      <c r="IFC68" s="2936"/>
      <c r="IFD68" s="2936"/>
      <c r="IFE68" s="2936"/>
      <c r="IFF68" s="2936"/>
      <c r="IFG68" s="2936"/>
      <c r="IFH68" s="2936"/>
      <c r="IFI68" s="2936"/>
      <c r="IFJ68" s="2936"/>
      <c r="IFK68" s="2936"/>
      <c r="IFL68" s="2936"/>
      <c r="IFM68" s="2936"/>
      <c r="IFN68" s="2936"/>
      <c r="IFO68" s="2936"/>
      <c r="IFP68" s="2936"/>
      <c r="IFQ68" s="2936"/>
      <c r="IFR68" s="2936"/>
      <c r="IFS68" s="2936"/>
      <c r="IFT68" s="2936"/>
      <c r="IFU68" s="2936"/>
      <c r="IFV68" s="2936"/>
      <c r="IFW68" s="2936"/>
      <c r="IFX68" s="2936"/>
      <c r="IFY68" s="2936"/>
      <c r="IFZ68" s="2936"/>
      <c r="IGA68" s="2936"/>
      <c r="IGB68" s="2936"/>
      <c r="IGC68" s="2936"/>
      <c r="IGD68" s="2936"/>
      <c r="IGE68" s="2936"/>
      <c r="IGF68" s="2936"/>
      <c r="IGG68" s="2936"/>
      <c r="IGH68" s="2936"/>
      <c r="IGI68" s="2936"/>
      <c r="IGJ68" s="2936"/>
      <c r="IGK68" s="2936"/>
      <c r="IGL68" s="2936"/>
      <c r="IGM68" s="2936"/>
      <c r="IGN68" s="2936"/>
      <c r="IGO68" s="2936"/>
      <c r="IGP68" s="2936"/>
      <c r="IGQ68" s="2936"/>
      <c r="IGR68" s="2936"/>
      <c r="IGS68" s="2936"/>
      <c r="IGT68" s="2936"/>
      <c r="IGU68" s="2936"/>
      <c r="IGV68" s="2936"/>
      <c r="IGW68" s="2936"/>
      <c r="IGX68" s="2936"/>
      <c r="IGY68" s="2936"/>
      <c r="IGZ68" s="2936"/>
      <c r="IHA68" s="2936"/>
      <c r="IHB68" s="2936"/>
      <c r="IHC68" s="2936"/>
      <c r="IHD68" s="2936"/>
      <c r="IHE68" s="2936"/>
      <c r="IHF68" s="2936"/>
      <c r="IHG68" s="2936"/>
      <c r="IHH68" s="2936"/>
      <c r="IHI68" s="2936"/>
      <c r="IHJ68" s="2936"/>
      <c r="IHK68" s="2936"/>
      <c r="IHL68" s="2936"/>
      <c r="IHM68" s="2936"/>
      <c r="IHN68" s="2936"/>
      <c r="IHO68" s="2936"/>
      <c r="IHP68" s="2936"/>
      <c r="IHQ68" s="2936"/>
      <c r="IHR68" s="2936"/>
      <c r="IHS68" s="2936"/>
      <c r="IHT68" s="2936"/>
      <c r="IHU68" s="2936"/>
      <c r="IHV68" s="2936"/>
      <c r="IHW68" s="2936"/>
      <c r="IHX68" s="2936"/>
      <c r="IHY68" s="2936"/>
      <c r="IHZ68" s="2936"/>
      <c r="IIA68" s="2936"/>
      <c r="IIB68" s="2936"/>
      <c r="IIC68" s="2936"/>
      <c r="IID68" s="2936"/>
      <c r="IIE68" s="2936"/>
      <c r="IIF68" s="2936"/>
      <c r="IIG68" s="2936"/>
      <c r="IIH68" s="2936"/>
      <c r="III68" s="2936"/>
      <c r="IIJ68" s="2936"/>
      <c r="IIK68" s="2936"/>
      <c r="IIL68" s="2936"/>
      <c r="IIM68" s="2936"/>
      <c r="IIN68" s="2936"/>
      <c r="IIO68" s="2936"/>
      <c r="IIP68" s="2936"/>
      <c r="IIQ68" s="2936"/>
      <c r="IIR68" s="2936"/>
      <c r="IIS68" s="2936"/>
      <c r="IIT68" s="2936"/>
      <c r="IIU68" s="2936"/>
      <c r="IIV68" s="2936"/>
      <c r="IIW68" s="2936"/>
      <c r="IIX68" s="2936"/>
      <c r="IIY68" s="2936"/>
      <c r="IIZ68" s="2936"/>
      <c r="IJA68" s="2936"/>
      <c r="IJB68" s="2936"/>
      <c r="IJC68" s="2936"/>
      <c r="IJD68" s="2936"/>
      <c r="IJE68" s="2936"/>
      <c r="IJF68" s="2936"/>
      <c r="IJG68" s="2936"/>
      <c r="IJH68" s="2936"/>
      <c r="IJI68" s="2936"/>
      <c r="IJJ68" s="2936"/>
      <c r="IJK68" s="2936"/>
      <c r="IJL68" s="2936"/>
      <c r="IJM68" s="2936"/>
      <c r="IJN68" s="2936"/>
      <c r="IJO68" s="2936"/>
      <c r="IJP68" s="2936"/>
      <c r="IJQ68" s="2936"/>
      <c r="IJR68" s="2936"/>
      <c r="IJS68" s="2936"/>
      <c r="IJT68" s="2936"/>
      <c r="IJU68" s="2936"/>
      <c r="IJV68" s="2936"/>
      <c r="IJW68" s="2936"/>
      <c r="IJX68" s="2936"/>
      <c r="IJY68" s="2936"/>
      <c r="IJZ68" s="2936"/>
      <c r="IKA68" s="2936"/>
      <c r="IKB68" s="2936"/>
      <c r="IKC68" s="2936"/>
      <c r="IKD68" s="2936"/>
      <c r="IKE68" s="2936"/>
      <c r="IKF68" s="2936"/>
      <c r="IKG68" s="2936"/>
      <c r="IKH68" s="2936"/>
      <c r="IKI68" s="2936"/>
      <c r="IKJ68" s="2936"/>
      <c r="IKK68" s="2936"/>
      <c r="IKL68" s="2936"/>
      <c r="IKM68" s="2936"/>
      <c r="IKN68" s="2936"/>
      <c r="IKO68" s="2936"/>
      <c r="IKP68" s="2936"/>
      <c r="IKQ68" s="2936"/>
      <c r="IKR68" s="2936"/>
      <c r="IKS68" s="2936"/>
      <c r="IKT68" s="2936"/>
      <c r="IKU68" s="2936"/>
      <c r="IKV68" s="2936"/>
      <c r="IKW68" s="2936"/>
      <c r="IKX68" s="2936"/>
      <c r="IKY68" s="2936"/>
      <c r="IKZ68" s="2936"/>
      <c r="ILA68" s="2936"/>
      <c r="ILB68" s="2936"/>
      <c r="ILC68" s="2936"/>
      <c r="ILD68" s="2936"/>
      <c r="ILE68" s="2936"/>
      <c r="ILF68" s="2936"/>
      <c r="ILG68" s="2936"/>
      <c r="ILH68" s="2936"/>
      <c r="ILI68" s="2936"/>
      <c r="ILJ68" s="2936"/>
      <c r="ILK68" s="2936"/>
      <c r="ILL68" s="2936"/>
      <c r="ILM68" s="2936"/>
      <c r="ILN68" s="2936"/>
      <c r="ILO68" s="2936"/>
      <c r="ILP68" s="2936"/>
      <c r="ILQ68" s="2936"/>
      <c r="ILR68" s="2936"/>
      <c r="ILS68" s="2936"/>
      <c r="ILT68" s="2936"/>
      <c r="ILU68" s="2936"/>
      <c r="ILV68" s="2936"/>
      <c r="ILW68" s="2936"/>
      <c r="ILX68" s="2936"/>
      <c r="ILY68" s="2936"/>
      <c r="ILZ68" s="2936"/>
      <c r="IMA68" s="2936"/>
      <c r="IMB68" s="2936"/>
      <c r="IMC68" s="2936"/>
      <c r="IMD68" s="2936"/>
      <c r="IME68" s="2936"/>
      <c r="IMF68" s="2936"/>
      <c r="IMG68" s="2936"/>
      <c r="IMH68" s="2936"/>
      <c r="IMI68" s="2936"/>
      <c r="IMJ68" s="2936"/>
      <c r="IMK68" s="2936"/>
      <c r="IML68" s="2936"/>
      <c r="IMM68" s="2936"/>
      <c r="IMN68" s="2936"/>
      <c r="IMO68" s="2936"/>
      <c r="IMP68" s="2936"/>
      <c r="IMQ68" s="2936"/>
      <c r="IMR68" s="2936"/>
      <c r="IMS68" s="2936"/>
      <c r="IMT68" s="2936"/>
      <c r="IMU68" s="2936"/>
      <c r="IMV68" s="2936"/>
      <c r="IMW68" s="2936"/>
      <c r="IMX68" s="2936"/>
      <c r="IMY68" s="2936"/>
      <c r="IMZ68" s="2936"/>
      <c r="INA68" s="2936"/>
      <c r="INB68" s="2936"/>
      <c r="INC68" s="2936"/>
      <c r="IND68" s="2936"/>
      <c r="INE68" s="2936"/>
      <c r="INF68" s="2936"/>
      <c r="ING68" s="2936"/>
      <c r="INH68" s="2936"/>
      <c r="INI68" s="2936"/>
      <c r="INJ68" s="2936"/>
      <c r="INK68" s="2936"/>
      <c r="INL68" s="2936"/>
      <c r="INM68" s="2936"/>
      <c r="INN68" s="2936"/>
      <c r="INO68" s="2936"/>
      <c r="INP68" s="2936"/>
      <c r="INQ68" s="2936"/>
      <c r="INR68" s="2936"/>
      <c r="INS68" s="2936"/>
      <c r="INT68" s="2936"/>
      <c r="INU68" s="2936"/>
      <c r="INV68" s="2936"/>
      <c r="INW68" s="2936"/>
      <c r="INX68" s="2936"/>
      <c r="INY68" s="2936"/>
      <c r="INZ68" s="2936"/>
      <c r="IOA68" s="2936"/>
      <c r="IOB68" s="2936"/>
      <c r="IOC68" s="2936"/>
      <c r="IOD68" s="2936"/>
      <c r="IOE68" s="2936"/>
      <c r="IOF68" s="2936"/>
      <c r="IOG68" s="2936"/>
      <c r="IOH68" s="2936"/>
      <c r="IOI68" s="2936"/>
      <c r="IOJ68" s="2936"/>
      <c r="IOK68" s="2936"/>
      <c r="IOL68" s="2936"/>
      <c r="IOM68" s="2936"/>
      <c r="ION68" s="2936"/>
      <c r="IOO68" s="2936"/>
      <c r="IOP68" s="2936"/>
      <c r="IOQ68" s="2936"/>
      <c r="IOR68" s="2936"/>
      <c r="IOS68" s="2936"/>
      <c r="IOT68" s="2936"/>
      <c r="IOU68" s="2936"/>
      <c r="IOV68" s="2936"/>
      <c r="IOW68" s="2936"/>
      <c r="IOX68" s="2936"/>
      <c r="IOY68" s="2936"/>
      <c r="IOZ68" s="2936"/>
      <c r="IPA68" s="2936"/>
      <c r="IPB68" s="2936"/>
      <c r="IPC68" s="2936"/>
      <c r="IPD68" s="2936"/>
      <c r="IPE68" s="2936"/>
      <c r="IPF68" s="2936"/>
      <c r="IPG68" s="2936"/>
      <c r="IPH68" s="2936"/>
      <c r="IPI68" s="2936"/>
      <c r="IPJ68" s="2936"/>
      <c r="IPK68" s="2936"/>
      <c r="IPL68" s="2936"/>
      <c r="IPM68" s="2936"/>
      <c r="IPN68" s="2936"/>
      <c r="IPO68" s="2936"/>
      <c r="IPP68" s="2936"/>
      <c r="IPQ68" s="2936"/>
      <c r="IPR68" s="2936"/>
      <c r="IPS68" s="2936"/>
      <c r="IPT68" s="2936"/>
      <c r="IPU68" s="2936"/>
      <c r="IPV68" s="2936"/>
      <c r="IPW68" s="2936"/>
      <c r="IPX68" s="2936"/>
      <c r="IPY68" s="2936"/>
      <c r="IPZ68" s="2936"/>
      <c r="IQA68" s="2936"/>
      <c r="IQB68" s="2936"/>
      <c r="IQC68" s="2936"/>
      <c r="IQD68" s="2936"/>
      <c r="IQE68" s="2936"/>
      <c r="IQF68" s="2936"/>
      <c r="IQG68" s="2936"/>
      <c r="IQH68" s="2936"/>
      <c r="IQI68" s="2936"/>
      <c r="IQJ68" s="2936"/>
      <c r="IQK68" s="2936"/>
      <c r="IQL68" s="2936"/>
      <c r="IQM68" s="2936"/>
      <c r="IQN68" s="2936"/>
      <c r="IQO68" s="2936"/>
      <c r="IQP68" s="2936"/>
      <c r="IQQ68" s="2936"/>
      <c r="IQR68" s="2936"/>
      <c r="IQS68" s="2936"/>
      <c r="IQT68" s="2936"/>
      <c r="IQU68" s="2936"/>
      <c r="IQV68" s="2936"/>
      <c r="IQW68" s="2936"/>
      <c r="IQX68" s="2936"/>
      <c r="IQY68" s="2936"/>
      <c r="IQZ68" s="2936"/>
      <c r="IRA68" s="2936"/>
      <c r="IRB68" s="2936"/>
      <c r="IRC68" s="2936"/>
      <c r="IRD68" s="2936"/>
      <c r="IRE68" s="2936"/>
      <c r="IRF68" s="2936"/>
      <c r="IRG68" s="2936"/>
      <c r="IRH68" s="2936"/>
      <c r="IRI68" s="2936"/>
      <c r="IRJ68" s="2936"/>
      <c r="IRK68" s="2936"/>
      <c r="IRL68" s="2936"/>
      <c r="IRM68" s="2936"/>
      <c r="IRN68" s="2936"/>
      <c r="IRO68" s="2936"/>
      <c r="IRP68" s="2936"/>
      <c r="IRQ68" s="2936"/>
      <c r="IRR68" s="2936"/>
      <c r="IRS68" s="2936"/>
      <c r="IRT68" s="2936"/>
      <c r="IRU68" s="2936"/>
      <c r="IRV68" s="2936"/>
      <c r="IRW68" s="2936"/>
      <c r="IRX68" s="2936"/>
      <c r="IRY68" s="2936"/>
      <c r="IRZ68" s="2936"/>
      <c r="ISA68" s="2936"/>
      <c r="ISB68" s="2936"/>
      <c r="ISC68" s="2936"/>
      <c r="ISD68" s="2936"/>
      <c r="ISE68" s="2936"/>
      <c r="ISF68" s="2936"/>
      <c r="ISG68" s="2936"/>
      <c r="ISH68" s="2936"/>
      <c r="ISI68" s="2936"/>
      <c r="ISJ68" s="2936"/>
      <c r="ISK68" s="2936"/>
      <c r="ISL68" s="2936"/>
      <c r="ISM68" s="2936"/>
      <c r="ISN68" s="2936"/>
      <c r="ISO68" s="2936"/>
      <c r="ISP68" s="2936"/>
      <c r="ISQ68" s="2936"/>
      <c r="ISR68" s="2936"/>
      <c r="ISS68" s="2936"/>
      <c r="IST68" s="2936"/>
      <c r="ISU68" s="2936"/>
      <c r="ISV68" s="2936"/>
      <c r="ISW68" s="2936"/>
      <c r="ISX68" s="2936"/>
      <c r="ISY68" s="2936"/>
      <c r="ISZ68" s="2936"/>
      <c r="ITA68" s="2936"/>
      <c r="ITB68" s="2936"/>
      <c r="ITC68" s="2936"/>
      <c r="ITD68" s="2936"/>
      <c r="ITE68" s="2936"/>
      <c r="ITF68" s="2936"/>
      <c r="ITG68" s="2936"/>
      <c r="ITH68" s="2936"/>
      <c r="ITI68" s="2936"/>
      <c r="ITJ68" s="2936"/>
      <c r="ITK68" s="2936"/>
      <c r="ITL68" s="2936"/>
      <c r="ITM68" s="2936"/>
      <c r="ITN68" s="2936"/>
      <c r="ITO68" s="2936"/>
      <c r="ITP68" s="2936"/>
      <c r="ITQ68" s="2936"/>
      <c r="ITR68" s="2936"/>
      <c r="ITS68" s="2936"/>
      <c r="ITT68" s="2936"/>
      <c r="ITU68" s="2936"/>
      <c r="ITV68" s="2936"/>
      <c r="ITW68" s="2936"/>
      <c r="ITX68" s="2936"/>
      <c r="ITY68" s="2936"/>
      <c r="ITZ68" s="2936"/>
      <c r="IUA68" s="2936"/>
      <c r="IUB68" s="2936"/>
      <c r="IUC68" s="2936"/>
      <c r="IUD68" s="2936"/>
      <c r="IUE68" s="2936"/>
      <c r="IUF68" s="2936"/>
      <c r="IUG68" s="2936"/>
      <c r="IUH68" s="2936"/>
      <c r="IUI68" s="2936"/>
      <c r="IUJ68" s="2936"/>
      <c r="IUK68" s="2936"/>
      <c r="IUL68" s="2936"/>
      <c r="IUM68" s="2936"/>
      <c r="IUN68" s="2936"/>
      <c r="IUO68" s="2936"/>
      <c r="IUP68" s="2936"/>
      <c r="IUQ68" s="2936"/>
      <c r="IUR68" s="2936"/>
      <c r="IUS68" s="2936"/>
      <c r="IUT68" s="2936"/>
      <c r="IUU68" s="2936"/>
      <c r="IUV68" s="2936"/>
      <c r="IUW68" s="2936"/>
      <c r="IUX68" s="2936"/>
      <c r="IUY68" s="2936"/>
      <c r="IUZ68" s="2936"/>
      <c r="IVA68" s="2936"/>
      <c r="IVB68" s="2936"/>
      <c r="IVC68" s="2936"/>
      <c r="IVD68" s="2936"/>
      <c r="IVE68" s="2936"/>
      <c r="IVF68" s="2936"/>
      <c r="IVG68" s="2936"/>
      <c r="IVH68" s="2936"/>
      <c r="IVI68" s="2936"/>
      <c r="IVJ68" s="2936"/>
      <c r="IVK68" s="2936"/>
      <c r="IVL68" s="2936"/>
      <c r="IVM68" s="2936"/>
      <c r="IVN68" s="2936"/>
      <c r="IVO68" s="2936"/>
      <c r="IVP68" s="2936"/>
      <c r="IVQ68" s="2936"/>
      <c r="IVR68" s="2936"/>
      <c r="IVS68" s="2936"/>
      <c r="IVT68" s="2936"/>
      <c r="IVU68" s="2936"/>
      <c r="IVV68" s="2936"/>
      <c r="IVW68" s="2936"/>
      <c r="IVX68" s="2936"/>
      <c r="IVY68" s="2936"/>
      <c r="IVZ68" s="2936"/>
      <c r="IWA68" s="2936"/>
      <c r="IWB68" s="2936"/>
      <c r="IWC68" s="2936"/>
      <c r="IWD68" s="2936"/>
      <c r="IWE68" s="2936"/>
      <c r="IWF68" s="2936"/>
      <c r="IWG68" s="2936"/>
      <c r="IWH68" s="2936"/>
      <c r="IWI68" s="2936"/>
      <c r="IWJ68" s="2936"/>
      <c r="IWK68" s="2936"/>
      <c r="IWL68" s="2936"/>
      <c r="IWM68" s="2936"/>
      <c r="IWN68" s="2936"/>
      <c r="IWO68" s="2936"/>
      <c r="IWP68" s="2936"/>
      <c r="IWQ68" s="2936"/>
      <c r="IWR68" s="2936"/>
      <c r="IWS68" s="2936"/>
      <c r="IWT68" s="2936"/>
      <c r="IWU68" s="2936"/>
      <c r="IWV68" s="2936"/>
      <c r="IWW68" s="2936"/>
      <c r="IWX68" s="2936"/>
      <c r="IWY68" s="2936"/>
      <c r="IWZ68" s="2936"/>
      <c r="IXA68" s="2936"/>
      <c r="IXB68" s="2936"/>
      <c r="IXC68" s="2936"/>
      <c r="IXD68" s="2936"/>
      <c r="IXE68" s="2936"/>
      <c r="IXF68" s="2936"/>
      <c r="IXG68" s="2936"/>
      <c r="IXH68" s="2936"/>
      <c r="IXI68" s="2936"/>
      <c r="IXJ68" s="2936"/>
      <c r="IXK68" s="2936"/>
      <c r="IXL68" s="2936"/>
      <c r="IXM68" s="2936"/>
      <c r="IXN68" s="2936"/>
      <c r="IXO68" s="2936"/>
      <c r="IXP68" s="2936"/>
      <c r="IXQ68" s="2936"/>
      <c r="IXR68" s="2936"/>
      <c r="IXS68" s="2936"/>
      <c r="IXT68" s="2936"/>
      <c r="IXU68" s="2936"/>
      <c r="IXV68" s="2936"/>
      <c r="IXW68" s="2936"/>
      <c r="IXX68" s="2936"/>
      <c r="IXY68" s="2936"/>
      <c r="IXZ68" s="2936"/>
      <c r="IYA68" s="2936"/>
      <c r="IYB68" s="2936"/>
      <c r="IYC68" s="2936"/>
      <c r="IYD68" s="2936"/>
      <c r="IYE68" s="2936"/>
      <c r="IYF68" s="2936"/>
      <c r="IYG68" s="2936"/>
      <c r="IYH68" s="2936"/>
      <c r="IYI68" s="2936"/>
      <c r="IYJ68" s="2936"/>
      <c r="IYK68" s="2936"/>
      <c r="IYL68" s="2936"/>
      <c r="IYM68" s="2936"/>
      <c r="IYN68" s="2936"/>
      <c r="IYO68" s="2936"/>
      <c r="IYP68" s="2936"/>
      <c r="IYQ68" s="2936"/>
      <c r="IYR68" s="2936"/>
      <c r="IYS68" s="2936"/>
      <c r="IYT68" s="2936"/>
      <c r="IYU68" s="2936"/>
      <c r="IYV68" s="2936"/>
      <c r="IYW68" s="2936"/>
      <c r="IYX68" s="2936"/>
      <c r="IYY68" s="2936"/>
      <c r="IYZ68" s="2936"/>
      <c r="IZA68" s="2936"/>
      <c r="IZB68" s="2936"/>
      <c r="IZC68" s="2936"/>
      <c r="IZD68" s="2936"/>
      <c r="IZE68" s="2936"/>
      <c r="IZF68" s="2936"/>
      <c r="IZG68" s="2936"/>
      <c r="IZH68" s="2936"/>
      <c r="IZI68" s="2936"/>
      <c r="IZJ68" s="2936"/>
      <c r="IZK68" s="2936"/>
      <c r="IZL68" s="2936"/>
      <c r="IZM68" s="2936"/>
      <c r="IZN68" s="2936"/>
      <c r="IZO68" s="2936"/>
      <c r="IZP68" s="2936"/>
      <c r="IZQ68" s="2936"/>
      <c r="IZR68" s="2936"/>
      <c r="IZS68" s="2936"/>
      <c r="IZT68" s="2936"/>
      <c r="IZU68" s="2936"/>
      <c r="IZV68" s="2936"/>
      <c r="IZW68" s="2936"/>
      <c r="IZX68" s="2936"/>
      <c r="IZY68" s="2936"/>
      <c r="IZZ68" s="2936"/>
      <c r="JAA68" s="2936"/>
      <c r="JAB68" s="2936"/>
      <c r="JAC68" s="2936"/>
      <c r="JAD68" s="2936"/>
      <c r="JAE68" s="2936"/>
      <c r="JAF68" s="2936"/>
      <c r="JAG68" s="2936"/>
      <c r="JAH68" s="2936"/>
      <c r="JAI68" s="2936"/>
      <c r="JAJ68" s="2936"/>
      <c r="JAK68" s="2936"/>
      <c r="JAL68" s="2936"/>
      <c r="JAM68" s="2936"/>
      <c r="JAN68" s="2936"/>
      <c r="JAO68" s="2936"/>
      <c r="JAP68" s="2936"/>
      <c r="JAQ68" s="2936"/>
      <c r="JAR68" s="2936"/>
      <c r="JAS68" s="2936"/>
      <c r="JAT68" s="2936"/>
      <c r="JAU68" s="2936"/>
      <c r="JAV68" s="2936"/>
      <c r="JAW68" s="2936"/>
      <c r="JAX68" s="2936"/>
      <c r="JAY68" s="2936"/>
      <c r="JAZ68" s="2936"/>
      <c r="JBA68" s="2936"/>
      <c r="JBB68" s="2936"/>
      <c r="JBC68" s="2936"/>
      <c r="JBD68" s="2936"/>
      <c r="JBE68" s="2936"/>
      <c r="JBF68" s="2936"/>
      <c r="JBG68" s="2936"/>
      <c r="JBH68" s="2936"/>
      <c r="JBI68" s="2936"/>
      <c r="JBJ68" s="2936"/>
      <c r="JBK68" s="2936"/>
      <c r="JBL68" s="2936"/>
      <c r="JBM68" s="2936"/>
      <c r="JBN68" s="2936"/>
      <c r="JBO68" s="2936"/>
      <c r="JBP68" s="2936"/>
      <c r="JBQ68" s="2936"/>
      <c r="JBR68" s="2936"/>
      <c r="JBS68" s="2936"/>
      <c r="JBT68" s="2936"/>
      <c r="JBU68" s="2936"/>
      <c r="JBV68" s="2936"/>
      <c r="JBW68" s="2936"/>
      <c r="JBX68" s="2936"/>
      <c r="JBY68" s="2936"/>
      <c r="JBZ68" s="2936"/>
      <c r="JCA68" s="2936"/>
      <c r="JCB68" s="2936"/>
      <c r="JCC68" s="2936"/>
      <c r="JCD68" s="2936"/>
      <c r="JCE68" s="2936"/>
      <c r="JCF68" s="2936"/>
      <c r="JCG68" s="2936"/>
      <c r="JCH68" s="2936"/>
      <c r="JCI68" s="2936"/>
      <c r="JCJ68" s="2936"/>
      <c r="JCK68" s="2936"/>
      <c r="JCL68" s="2936"/>
      <c r="JCM68" s="2936"/>
      <c r="JCN68" s="2936"/>
      <c r="JCO68" s="2936"/>
      <c r="JCP68" s="2936"/>
      <c r="JCQ68" s="2936"/>
      <c r="JCR68" s="2936"/>
      <c r="JCS68" s="2936"/>
      <c r="JCT68" s="2936"/>
      <c r="JCU68" s="2936"/>
      <c r="JCV68" s="2936"/>
      <c r="JCW68" s="2936"/>
      <c r="JCX68" s="2936"/>
      <c r="JCY68" s="2936"/>
      <c r="JCZ68" s="2936"/>
      <c r="JDA68" s="2936"/>
      <c r="JDB68" s="2936"/>
      <c r="JDC68" s="2936"/>
      <c r="JDD68" s="2936"/>
      <c r="JDE68" s="2936"/>
      <c r="JDF68" s="2936"/>
      <c r="JDG68" s="2936"/>
      <c r="JDH68" s="2936"/>
      <c r="JDI68" s="2936"/>
      <c r="JDJ68" s="2936"/>
      <c r="JDK68" s="2936"/>
      <c r="JDL68" s="2936"/>
      <c r="JDM68" s="2936"/>
      <c r="JDN68" s="2936"/>
      <c r="JDO68" s="2936"/>
      <c r="JDP68" s="2936"/>
      <c r="JDQ68" s="2936"/>
      <c r="JDR68" s="2936"/>
      <c r="JDS68" s="2936"/>
      <c r="JDT68" s="2936"/>
      <c r="JDU68" s="2936"/>
      <c r="JDV68" s="2936"/>
      <c r="JDW68" s="2936"/>
      <c r="JDX68" s="2936"/>
      <c r="JDY68" s="2936"/>
      <c r="JDZ68" s="2936"/>
      <c r="JEA68" s="2936"/>
      <c r="JEB68" s="2936"/>
      <c r="JEC68" s="2936"/>
      <c r="JED68" s="2936"/>
      <c r="JEE68" s="2936"/>
      <c r="JEF68" s="2936"/>
      <c r="JEG68" s="2936"/>
      <c r="JEH68" s="2936"/>
      <c r="JEI68" s="2936"/>
      <c r="JEJ68" s="2936"/>
      <c r="JEK68" s="2936"/>
      <c r="JEL68" s="2936"/>
      <c r="JEM68" s="2936"/>
      <c r="JEN68" s="2936"/>
      <c r="JEO68" s="2936"/>
      <c r="JEP68" s="2936"/>
      <c r="JEQ68" s="2936"/>
      <c r="JER68" s="2936"/>
      <c r="JES68" s="2936"/>
      <c r="JET68" s="2936"/>
      <c r="JEU68" s="2936"/>
      <c r="JEV68" s="2936"/>
      <c r="JEW68" s="2936"/>
      <c r="JEX68" s="2936"/>
      <c r="JEY68" s="2936"/>
      <c r="JEZ68" s="2936"/>
      <c r="JFA68" s="2936"/>
      <c r="JFB68" s="2936"/>
      <c r="JFC68" s="2936"/>
      <c r="JFD68" s="2936"/>
      <c r="JFE68" s="2936"/>
      <c r="JFF68" s="2936"/>
      <c r="JFG68" s="2936"/>
      <c r="JFH68" s="2936"/>
      <c r="JFI68" s="2936"/>
      <c r="JFJ68" s="2936"/>
      <c r="JFK68" s="2936"/>
      <c r="JFL68" s="2936"/>
      <c r="JFM68" s="2936"/>
      <c r="JFN68" s="2936"/>
      <c r="JFO68" s="2936"/>
      <c r="JFP68" s="2936"/>
      <c r="JFQ68" s="2936"/>
      <c r="JFR68" s="2936"/>
      <c r="JFS68" s="2936"/>
      <c r="JFT68" s="2936"/>
      <c r="JFU68" s="2936"/>
      <c r="JFV68" s="2936"/>
      <c r="JFW68" s="2936"/>
      <c r="JFX68" s="2936"/>
      <c r="JFY68" s="2936"/>
      <c r="JFZ68" s="2936"/>
      <c r="JGA68" s="2936"/>
      <c r="JGB68" s="2936"/>
      <c r="JGC68" s="2936"/>
      <c r="JGD68" s="2936"/>
      <c r="JGE68" s="2936"/>
      <c r="JGF68" s="2936"/>
      <c r="JGG68" s="2936"/>
      <c r="JGH68" s="2936"/>
      <c r="JGI68" s="2936"/>
      <c r="JGJ68" s="2936"/>
      <c r="JGK68" s="2936"/>
      <c r="JGL68" s="2936"/>
      <c r="JGM68" s="2936"/>
      <c r="JGN68" s="2936"/>
      <c r="JGO68" s="2936"/>
      <c r="JGP68" s="2936"/>
      <c r="JGQ68" s="2936"/>
      <c r="JGR68" s="2936"/>
      <c r="JGS68" s="2936"/>
      <c r="JGT68" s="2936"/>
      <c r="JGU68" s="2936"/>
      <c r="JGV68" s="2936"/>
      <c r="JGW68" s="2936"/>
      <c r="JGX68" s="2936"/>
      <c r="JGY68" s="2936"/>
      <c r="JGZ68" s="2936"/>
      <c r="JHA68" s="2936"/>
      <c r="JHB68" s="2936"/>
      <c r="JHC68" s="2936"/>
      <c r="JHD68" s="2936"/>
      <c r="JHE68" s="2936"/>
      <c r="JHF68" s="2936"/>
      <c r="JHG68" s="2936"/>
      <c r="JHH68" s="2936"/>
      <c r="JHI68" s="2936"/>
      <c r="JHJ68" s="2936"/>
      <c r="JHK68" s="2936"/>
      <c r="JHL68" s="2936"/>
      <c r="JHM68" s="2936"/>
      <c r="JHN68" s="2936"/>
      <c r="JHO68" s="2936"/>
      <c r="JHP68" s="2936"/>
      <c r="JHQ68" s="2936"/>
      <c r="JHR68" s="2936"/>
      <c r="JHS68" s="2936"/>
      <c r="JHT68" s="2936"/>
      <c r="JHU68" s="2936"/>
      <c r="JHV68" s="2936"/>
      <c r="JHW68" s="2936"/>
      <c r="JHX68" s="2936"/>
      <c r="JHY68" s="2936"/>
      <c r="JHZ68" s="2936"/>
      <c r="JIA68" s="2936"/>
      <c r="JIB68" s="2936"/>
      <c r="JIC68" s="2936"/>
      <c r="JID68" s="2936"/>
      <c r="JIE68" s="2936"/>
      <c r="JIF68" s="2936"/>
      <c r="JIG68" s="2936"/>
      <c r="JIH68" s="2936"/>
      <c r="JII68" s="2936"/>
      <c r="JIJ68" s="2936"/>
      <c r="JIK68" s="2936"/>
      <c r="JIL68" s="2936"/>
      <c r="JIM68" s="2936"/>
      <c r="JIN68" s="2936"/>
      <c r="JIO68" s="2936"/>
      <c r="JIP68" s="2936"/>
      <c r="JIQ68" s="2936"/>
      <c r="JIR68" s="2936"/>
      <c r="JIS68" s="2936"/>
      <c r="JIT68" s="2936"/>
      <c r="JIU68" s="2936"/>
      <c r="JIV68" s="2936"/>
      <c r="JIW68" s="2936"/>
      <c r="JIX68" s="2936"/>
      <c r="JIY68" s="2936"/>
      <c r="JIZ68" s="2936"/>
      <c r="JJA68" s="2936"/>
      <c r="JJB68" s="2936"/>
      <c r="JJC68" s="2936"/>
      <c r="JJD68" s="2936"/>
      <c r="JJE68" s="2936"/>
      <c r="JJF68" s="2936"/>
      <c r="JJG68" s="2936"/>
      <c r="JJH68" s="2936"/>
      <c r="JJI68" s="2936"/>
      <c r="JJJ68" s="2936"/>
      <c r="JJK68" s="2936"/>
      <c r="JJL68" s="2936"/>
      <c r="JJM68" s="2936"/>
      <c r="JJN68" s="2936"/>
      <c r="JJO68" s="2936"/>
      <c r="JJP68" s="2936"/>
      <c r="JJQ68" s="2936"/>
      <c r="JJR68" s="2936"/>
      <c r="JJS68" s="2936"/>
      <c r="JJT68" s="2936"/>
      <c r="JJU68" s="2936"/>
      <c r="JJV68" s="2936"/>
      <c r="JJW68" s="2936"/>
      <c r="JJX68" s="2936"/>
      <c r="JJY68" s="2936"/>
      <c r="JJZ68" s="2936"/>
      <c r="JKA68" s="2936"/>
      <c r="JKB68" s="2936"/>
      <c r="JKC68" s="2936"/>
      <c r="JKD68" s="2936"/>
      <c r="JKE68" s="2936"/>
      <c r="JKF68" s="2936"/>
      <c r="JKG68" s="2936"/>
      <c r="JKH68" s="2936"/>
      <c r="JKI68" s="2936"/>
      <c r="JKJ68" s="2936"/>
      <c r="JKK68" s="2936"/>
      <c r="JKL68" s="2936"/>
      <c r="JKM68" s="2936"/>
      <c r="JKN68" s="2936"/>
      <c r="JKO68" s="2936"/>
      <c r="JKP68" s="2936"/>
      <c r="JKQ68" s="2936"/>
      <c r="JKR68" s="2936"/>
      <c r="JKS68" s="2936"/>
      <c r="JKT68" s="2936"/>
      <c r="JKU68" s="2936"/>
      <c r="JKV68" s="2936"/>
      <c r="JKW68" s="2936"/>
      <c r="JKX68" s="2936"/>
      <c r="JKY68" s="2936"/>
      <c r="JKZ68" s="2936"/>
      <c r="JLA68" s="2936"/>
      <c r="JLB68" s="2936"/>
      <c r="JLC68" s="2936"/>
      <c r="JLD68" s="2936"/>
      <c r="JLE68" s="2936"/>
      <c r="JLF68" s="2936"/>
      <c r="JLG68" s="2936"/>
      <c r="JLH68" s="2936"/>
      <c r="JLI68" s="2936"/>
      <c r="JLJ68" s="2936"/>
      <c r="JLK68" s="2936"/>
      <c r="JLL68" s="2936"/>
      <c r="JLM68" s="2936"/>
      <c r="JLN68" s="2936"/>
      <c r="JLO68" s="2936"/>
      <c r="JLP68" s="2936"/>
      <c r="JLQ68" s="2936"/>
      <c r="JLR68" s="2936"/>
      <c r="JLS68" s="2936"/>
      <c r="JLT68" s="2936"/>
      <c r="JLU68" s="2936"/>
      <c r="JLV68" s="2936"/>
      <c r="JLW68" s="2936"/>
      <c r="JLX68" s="2936"/>
      <c r="JLY68" s="2936"/>
      <c r="JLZ68" s="2936"/>
      <c r="JMA68" s="2936"/>
      <c r="JMB68" s="2936"/>
      <c r="JMC68" s="2936"/>
      <c r="JMD68" s="2936"/>
      <c r="JME68" s="2936"/>
      <c r="JMF68" s="2936"/>
      <c r="JMG68" s="2936"/>
      <c r="JMH68" s="2936"/>
      <c r="JMI68" s="2936"/>
      <c r="JMJ68" s="2936"/>
      <c r="JMK68" s="2936"/>
      <c r="JML68" s="2936"/>
      <c r="JMM68" s="2936"/>
      <c r="JMN68" s="2936"/>
      <c r="JMO68" s="2936"/>
      <c r="JMP68" s="2936"/>
      <c r="JMQ68" s="2936"/>
      <c r="JMR68" s="2936"/>
      <c r="JMS68" s="2936"/>
      <c r="JMT68" s="2936"/>
      <c r="JMU68" s="2936"/>
      <c r="JMV68" s="2936"/>
      <c r="JMW68" s="2936"/>
      <c r="JMX68" s="2936"/>
      <c r="JMY68" s="2936"/>
      <c r="JMZ68" s="2936"/>
      <c r="JNA68" s="2936"/>
      <c r="JNB68" s="2936"/>
      <c r="JNC68" s="2936"/>
      <c r="JND68" s="2936"/>
      <c r="JNE68" s="2936"/>
      <c r="JNF68" s="2936"/>
      <c r="JNG68" s="2936"/>
      <c r="JNH68" s="2936"/>
      <c r="JNI68" s="2936"/>
      <c r="JNJ68" s="2936"/>
      <c r="JNK68" s="2936"/>
      <c r="JNL68" s="2936"/>
      <c r="JNM68" s="2936"/>
      <c r="JNN68" s="2936"/>
      <c r="JNO68" s="2936"/>
      <c r="JNP68" s="2936"/>
      <c r="JNQ68" s="2936"/>
      <c r="JNR68" s="2936"/>
      <c r="JNS68" s="2936"/>
      <c r="JNT68" s="2936"/>
      <c r="JNU68" s="2936"/>
      <c r="JNV68" s="2936"/>
      <c r="JNW68" s="2936"/>
      <c r="JNX68" s="2936"/>
      <c r="JNY68" s="2936"/>
      <c r="JNZ68" s="2936"/>
      <c r="JOA68" s="2936"/>
      <c r="JOB68" s="2936"/>
      <c r="JOC68" s="2936"/>
      <c r="JOD68" s="2936"/>
      <c r="JOE68" s="2936"/>
      <c r="JOF68" s="2936"/>
      <c r="JOG68" s="2936"/>
      <c r="JOH68" s="2936"/>
      <c r="JOI68" s="2936"/>
      <c r="JOJ68" s="2936"/>
      <c r="JOK68" s="2936"/>
      <c r="JOL68" s="2936"/>
      <c r="JOM68" s="2936"/>
      <c r="JON68" s="2936"/>
      <c r="JOO68" s="2936"/>
      <c r="JOP68" s="2936"/>
      <c r="JOQ68" s="2936"/>
      <c r="JOR68" s="2936"/>
      <c r="JOS68" s="2936"/>
      <c r="JOT68" s="2936"/>
      <c r="JOU68" s="2936"/>
      <c r="JOV68" s="2936"/>
      <c r="JOW68" s="2936"/>
      <c r="JOX68" s="2936"/>
      <c r="JOY68" s="2936"/>
      <c r="JOZ68" s="2936"/>
      <c r="JPA68" s="2936"/>
      <c r="JPB68" s="2936"/>
      <c r="JPC68" s="2936"/>
      <c r="JPD68" s="2936"/>
      <c r="JPE68" s="2936"/>
      <c r="JPF68" s="2936"/>
      <c r="JPG68" s="2936"/>
      <c r="JPH68" s="2936"/>
      <c r="JPI68" s="2936"/>
      <c r="JPJ68" s="2936"/>
      <c r="JPK68" s="2936"/>
      <c r="JPL68" s="2936"/>
      <c r="JPM68" s="2936"/>
      <c r="JPN68" s="2936"/>
      <c r="JPO68" s="2936"/>
      <c r="JPP68" s="2936"/>
      <c r="JPQ68" s="2936"/>
      <c r="JPR68" s="2936"/>
      <c r="JPS68" s="2936"/>
      <c r="JPT68" s="2936"/>
      <c r="JPU68" s="2936"/>
      <c r="JPV68" s="2936"/>
      <c r="JPW68" s="2936"/>
      <c r="JPX68" s="2936"/>
      <c r="JPY68" s="2936"/>
      <c r="JPZ68" s="2936"/>
      <c r="JQA68" s="2936"/>
      <c r="JQB68" s="2936"/>
      <c r="JQC68" s="2936"/>
      <c r="JQD68" s="2936"/>
      <c r="JQE68" s="2936"/>
      <c r="JQF68" s="2936"/>
      <c r="JQG68" s="2936"/>
      <c r="JQH68" s="2936"/>
      <c r="JQI68" s="2936"/>
      <c r="JQJ68" s="2936"/>
      <c r="JQK68" s="2936"/>
      <c r="JQL68" s="2936"/>
      <c r="JQM68" s="2936"/>
      <c r="JQN68" s="2936"/>
      <c r="JQO68" s="2936"/>
      <c r="JQP68" s="2936"/>
      <c r="JQQ68" s="2936"/>
      <c r="JQR68" s="2936"/>
      <c r="JQS68" s="2936"/>
      <c r="JQT68" s="2936"/>
      <c r="JQU68" s="2936"/>
      <c r="JQV68" s="2936"/>
      <c r="JQW68" s="2936"/>
      <c r="JQX68" s="2936"/>
      <c r="JQY68" s="2936"/>
      <c r="JQZ68" s="2936"/>
      <c r="JRA68" s="2936"/>
      <c r="JRB68" s="2936"/>
      <c r="JRC68" s="2936"/>
      <c r="JRD68" s="2936"/>
      <c r="JRE68" s="2936"/>
      <c r="JRF68" s="2936"/>
      <c r="JRG68" s="2936"/>
      <c r="JRH68" s="2936"/>
      <c r="JRI68" s="2936"/>
      <c r="JRJ68" s="2936"/>
      <c r="JRK68" s="2936"/>
      <c r="JRL68" s="2936"/>
      <c r="JRM68" s="2936"/>
      <c r="JRN68" s="2936"/>
      <c r="JRO68" s="2936"/>
      <c r="JRP68" s="2936"/>
      <c r="JRQ68" s="2936"/>
      <c r="JRR68" s="2936"/>
      <c r="JRS68" s="2936"/>
      <c r="JRT68" s="2936"/>
      <c r="JRU68" s="2936"/>
      <c r="JRV68" s="2936"/>
      <c r="JRW68" s="2936"/>
      <c r="JRX68" s="2936"/>
      <c r="JRY68" s="2936"/>
      <c r="JRZ68" s="2936"/>
      <c r="JSA68" s="2936"/>
      <c r="JSB68" s="2936"/>
      <c r="JSC68" s="2936"/>
      <c r="JSD68" s="2936"/>
      <c r="JSE68" s="2936"/>
      <c r="JSF68" s="2936"/>
      <c r="JSG68" s="2936"/>
      <c r="JSH68" s="2936"/>
      <c r="JSI68" s="2936"/>
      <c r="JSJ68" s="2936"/>
      <c r="JSK68" s="2936"/>
      <c r="JSL68" s="2936"/>
      <c r="JSM68" s="2936"/>
      <c r="JSN68" s="2936"/>
      <c r="JSO68" s="2936"/>
      <c r="JSP68" s="2936"/>
      <c r="JSQ68" s="2936"/>
      <c r="JSR68" s="2936"/>
      <c r="JSS68" s="2936"/>
      <c r="JST68" s="2936"/>
      <c r="JSU68" s="2936"/>
      <c r="JSV68" s="2936"/>
      <c r="JSW68" s="2936"/>
      <c r="JSX68" s="2936"/>
      <c r="JSY68" s="2936"/>
      <c r="JSZ68" s="2936"/>
      <c r="JTA68" s="2936"/>
      <c r="JTB68" s="2936"/>
      <c r="JTC68" s="2936"/>
      <c r="JTD68" s="2936"/>
      <c r="JTE68" s="2936"/>
      <c r="JTF68" s="2936"/>
      <c r="JTG68" s="2936"/>
      <c r="JTH68" s="2936"/>
      <c r="JTI68" s="2936"/>
      <c r="JTJ68" s="2936"/>
      <c r="JTK68" s="2936"/>
      <c r="JTL68" s="2936"/>
      <c r="JTM68" s="2936"/>
      <c r="JTN68" s="2936"/>
      <c r="JTO68" s="2936"/>
      <c r="JTP68" s="2936"/>
      <c r="JTQ68" s="2936"/>
      <c r="JTR68" s="2936"/>
      <c r="JTS68" s="2936"/>
      <c r="JTT68" s="2936"/>
      <c r="JTU68" s="2936"/>
      <c r="JTV68" s="2936"/>
      <c r="JTW68" s="2936"/>
      <c r="JTX68" s="2936"/>
      <c r="JTY68" s="2936"/>
      <c r="JTZ68" s="2936"/>
      <c r="JUA68" s="2936"/>
      <c r="JUB68" s="2936"/>
      <c r="JUC68" s="2936"/>
      <c r="JUD68" s="2936"/>
      <c r="JUE68" s="2936"/>
      <c r="JUF68" s="2936"/>
      <c r="JUG68" s="2936"/>
      <c r="JUH68" s="2936"/>
      <c r="JUI68" s="2936"/>
      <c r="JUJ68" s="2936"/>
      <c r="JUK68" s="2936"/>
      <c r="JUL68" s="2936"/>
      <c r="JUM68" s="2936"/>
      <c r="JUN68" s="2936"/>
      <c r="JUO68" s="2936"/>
      <c r="JUP68" s="2936"/>
      <c r="JUQ68" s="2936"/>
      <c r="JUR68" s="2936"/>
      <c r="JUS68" s="2936"/>
      <c r="JUT68" s="2936"/>
      <c r="JUU68" s="2936"/>
      <c r="JUV68" s="2936"/>
      <c r="JUW68" s="2936"/>
      <c r="JUX68" s="2936"/>
      <c r="JUY68" s="2936"/>
      <c r="JUZ68" s="2936"/>
      <c r="JVA68" s="2936"/>
      <c r="JVB68" s="2936"/>
      <c r="JVC68" s="2936"/>
      <c r="JVD68" s="2936"/>
      <c r="JVE68" s="2936"/>
      <c r="JVF68" s="2936"/>
      <c r="JVG68" s="2936"/>
      <c r="JVH68" s="2936"/>
      <c r="JVI68" s="2936"/>
      <c r="JVJ68" s="2936"/>
      <c r="JVK68" s="2936"/>
      <c r="JVL68" s="2936"/>
      <c r="JVM68" s="2936"/>
      <c r="JVN68" s="2936"/>
      <c r="JVO68" s="2936"/>
      <c r="JVP68" s="2936"/>
      <c r="JVQ68" s="2936"/>
      <c r="JVR68" s="2936"/>
      <c r="JVS68" s="2936"/>
      <c r="JVT68" s="2936"/>
      <c r="JVU68" s="2936"/>
      <c r="JVV68" s="2936"/>
      <c r="JVW68" s="2936"/>
      <c r="JVX68" s="2936"/>
      <c r="JVY68" s="2936"/>
      <c r="JVZ68" s="2936"/>
      <c r="JWA68" s="2936"/>
      <c r="JWB68" s="2936"/>
      <c r="JWC68" s="2936"/>
      <c r="JWD68" s="2936"/>
      <c r="JWE68" s="2936"/>
      <c r="JWF68" s="2936"/>
      <c r="JWG68" s="2936"/>
      <c r="JWH68" s="2936"/>
      <c r="JWI68" s="2936"/>
      <c r="JWJ68" s="2936"/>
      <c r="JWK68" s="2936"/>
      <c r="JWL68" s="2936"/>
      <c r="JWM68" s="2936"/>
      <c r="JWN68" s="2936"/>
      <c r="JWO68" s="2936"/>
      <c r="JWP68" s="2936"/>
      <c r="JWQ68" s="2936"/>
      <c r="JWR68" s="2936"/>
      <c r="JWS68" s="2936"/>
      <c r="JWT68" s="2936"/>
      <c r="JWU68" s="2936"/>
      <c r="JWV68" s="2936"/>
      <c r="JWW68" s="2936"/>
      <c r="JWX68" s="2936"/>
      <c r="JWY68" s="2936"/>
      <c r="JWZ68" s="2936"/>
      <c r="JXA68" s="2936"/>
      <c r="JXB68" s="2936"/>
      <c r="JXC68" s="2936"/>
      <c r="JXD68" s="2936"/>
      <c r="JXE68" s="2936"/>
      <c r="JXF68" s="2936"/>
      <c r="JXG68" s="2936"/>
      <c r="JXH68" s="2936"/>
      <c r="JXI68" s="2936"/>
      <c r="JXJ68" s="2936"/>
      <c r="JXK68" s="2936"/>
      <c r="JXL68" s="2936"/>
      <c r="JXM68" s="2936"/>
      <c r="JXN68" s="2936"/>
      <c r="JXO68" s="2936"/>
      <c r="JXP68" s="2936"/>
      <c r="JXQ68" s="2936"/>
      <c r="JXR68" s="2936"/>
      <c r="JXS68" s="2936"/>
      <c r="JXT68" s="2936"/>
      <c r="JXU68" s="2936"/>
      <c r="JXV68" s="2936"/>
      <c r="JXW68" s="2936"/>
      <c r="JXX68" s="2936"/>
      <c r="JXY68" s="2936"/>
      <c r="JXZ68" s="2936"/>
      <c r="JYA68" s="2936"/>
      <c r="JYB68" s="2936"/>
      <c r="JYC68" s="2936"/>
      <c r="JYD68" s="2936"/>
      <c r="JYE68" s="2936"/>
      <c r="JYF68" s="2936"/>
      <c r="JYG68" s="2936"/>
      <c r="JYH68" s="2936"/>
      <c r="JYI68" s="2936"/>
      <c r="JYJ68" s="2936"/>
      <c r="JYK68" s="2936"/>
      <c r="JYL68" s="2936"/>
      <c r="JYM68" s="2936"/>
      <c r="JYN68" s="2936"/>
      <c r="JYO68" s="2936"/>
      <c r="JYP68" s="2936"/>
      <c r="JYQ68" s="2936"/>
      <c r="JYR68" s="2936"/>
      <c r="JYS68" s="2936"/>
      <c r="JYT68" s="2936"/>
      <c r="JYU68" s="2936"/>
      <c r="JYV68" s="2936"/>
      <c r="JYW68" s="2936"/>
      <c r="JYX68" s="2936"/>
      <c r="JYY68" s="2936"/>
      <c r="JYZ68" s="2936"/>
      <c r="JZA68" s="2936"/>
      <c r="JZB68" s="2936"/>
      <c r="JZC68" s="2936"/>
      <c r="JZD68" s="2936"/>
      <c r="JZE68" s="2936"/>
      <c r="JZF68" s="2936"/>
      <c r="JZG68" s="2936"/>
      <c r="JZH68" s="2936"/>
      <c r="JZI68" s="2936"/>
      <c r="JZJ68" s="2936"/>
      <c r="JZK68" s="2936"/>
      <c r="JZL68" s="2936"/>
      <c r="JZM68" s="2936"/>
      <c r="JZN68" s="2936"/>
      <c r="JZO68" s="2936"/>
      <c r="JZP68" s="2936"/>
      <c r="JZQ68" s="2936"/>
      <c r="JZR68" s="2936"/>
      <c r="JZS68" s="2936"/>
      <c r="JZT68" s="2936"/>
      <c r="JZU68" s="2936"/>
      <c r="JZV68" s="2936"/>
      <c r="JZW68" s="2936"/>
      <c r="JZX68" s="2936"/>
      <c r="JZY68" s="2936"/>
      <c r="JZZ68" s="2936"/>
      <c r="KAA68" s="2936"/>
      <c r="KAB68" s="2936"/>
      <c r="KAC68" s="2936"/>
      <c r="KAD68" s="2936"/>
      <c r="KAE68" s="2936"/>
      <c r="KAF68" s="2936"/>
      <c r="KAG68" s="2936"/>
      <c r="KAH68" s="2936"/>
      <c r="KAI68" s="2936"/>
      <c r="KAJ68" s="2936"/>
      <c r="KAK68" s="2936"/>
      <c r="KAL68" s="2936"/>
      <c r="KAM68" s="2936"/>
      <c r="KAN68" s="2936"/>
      <c r="KAO68" s="2936"/>
      <c r="KAP68" s="2936"/>
      <c r="KAQ68" s="2936"/>
      <c r="KAR68" s="2936"/>
      <c r="KAS68" s="2936"/>
      <c r="KAT68" s="2936"/>
      <c r="KAU68" s="2936"/>
      <c r="KAV68" s="2936"/>
      <c r="KAW68" s="2936"/>
      <c r="KAX68" s="2936"/>
      <c r="KAY68" s="2936"/>
      <c r="KAZ68" s="2936"/>
      <c r="KBA68" s="2936"/>
      <c r="KBB68" s="2936"/>
      <c r="KBC68" s="2936"/>
      <c r="KBD68" s="2936"/>
      <c r="KBE68" s="2936"/>
      <c r="KBF68" s="2936"/>
      <c r="KBG68" s="2936"/>
      <c r="KBH68" s="2936"/>
      <c r="KBI68" s="2936"/>
      <c r="KBJ68" s="2936"/>
      <c r="KBK68" s="2936"/>
      <c r="KBL68" s="2936"/>
      <c r="KBM68" s="2936"/>
      <c r="KBN68" s="2936"/>
      <c r="KBO68" s="2936"/>
      <c r="KBP68" s="2936"/>
      <c r="KBQ68" s="2936"/>
      <c r="KBR68" s="2936"/>
      <c r="KBS68" s="2936"/>
      <c r="KBT68" s="2936"/>
      <c r="KBU68" s="2936"/>
      <c r="KBV68" s="2936"/>
      <c r="KBW68" s="2936"/>
      <c r="KBX68" s="2936"/>
      <c r="KBY68" s="2936"/>
      <c r="KBZ68" s="2936"/>
      <c r="KCA68" s="2936"/>
      <c r="KCB68" s="2936"/>
      <c r="KCC68" s="2936"/>
      <c r="KCD68" s="2936"/>
      <c r="KCE68" s="2936"/>
      <c r="KCF68" s="2936"/>
      <c r="KCG68" s="2936"/>
      <c r="KCH68" s="2936"/>
      <c r="KCI68" s="2936"/>
      <c r="KCJ68" s="2936"/>
      <c r="KCK68" s="2936"/>
      <c r="KCL68" s="2936"/>
      <c r="KCM68" s="2936"/>
      <c r="KCN68" s="2936"/>
      <c r="KCO68" s="2936"/>
      <c r="KCP68" s="2936"/>
      <c r="KCQ68" s="2936"/>
      <c r="KCR68" s="2936"/>
      <c r="KCS68" s="2936"/>
      <c r="KCT68" s="2936"/>
      <c r="KCU68" s="2936"/>
      <c r="KCV68" s="2936"/>
      <c r="KCW68" s="2936"/>
      <c r="KCX68" s="2936"/>
      <c r="KCY68" s="2936"/>
      <c r="KCZ68" s="2936"/>
      <c r="KDA68" s="2936"/>
      <c r="KDB68" s="2936"/>
      <c r="KDC68" s="2936"/>
      <c r="KDD68" s="2936"/>
      <c r="KDE68" s="2936"/>
      <c r="KDF68" s="2936"/>
      <c r="KDG68" s="2936"/>
      <c r="KDH68" s="2936"/>
      <c r="KDI68" s="2936"/>
      <c r="KDJ68" s="2936"/>
      <c r="KDK68" s="2936"/>
      <c r="KDL68" s="2936"/>
      <c r="KDM68" s="2936"/>
      <c r="KDN68" s="2936"/>
      <c r="KDO68" s="2936"/>
      <c r="KDP68" s="2936"/>
      <c r="KDQ68" s="2936"/>
      <c r="KDR68" s="2936"/>
      <c r="KDS68" s="2936"/>
      <c r="KDT68" s="2936"/>
      <c r="KDU68" s="2936"/>
      <c r="KDV68" s="2936"/>
      <c r="KDW68" s="2936"/>
      <c r="KDX68" s="2936"/>
      <c r="KDY68" s="2936"/>
      <c r="KDZ68" s="2936"/>
      <c r="KEA68" s="2936"/>
      <c r="KEB68" s="2936"/>
      <c r="KEC68" s="2936"/>
      <c r="KED68" s="2936"/>
      <c r="KEE68" s="2936"/>
      <c r="KEF68" s="2936"/>
      <c r="KEG68" s="2936"/>
      <c r="KEH68" s="2936"/>
      <c r="KEI68" s="2936"/>
      <c r="KEJ68" s="2936"/>
      <c r="KEK68" s="2936"/>
      <c r="KEL68" s="2936"/>
      <c r="KEM68" s="2936"/>
      <c r="KEN68" s="2936"/>
      <c r="KEO68" s="2936"/>
      <c r="KEP68" s="2936"/>
      <c r="KEQ68" s="2936"/>
      <c r="KER68" s="2936"/>
      <c r="KES68" s="2936"/>
      <c r="KET68" s="2936"/>
      <c r="KEU68" s="2936"/>
      <c r="KEV68" s="2936"/>
      <c r="KEW68" s="2936"/>
      <c r="KEX68" s="2936"/>
      <c r="KEY68" s="2936"/>
      <c r="KEZ68" s="2936"/>
      <c r="KFA68" s="2936"/>
      <c r="KFB68" s="2936"/>
      <c r="KFC68" s="2936"/>
      <c r="KFD68" s="2936"/>
      <c r="KFE68" s="2936"/>
      <c r="KFF68" s="2936"/>
      <c r="KFG68" s="2936"/>
      <c r="KFH68" s="2936"/>
      <c r="KFI68" s="2936"/>
      <c r="KFJ68" s="2936"/>
      <c r="KFK68" s="2936"/>
      <c r="KFL68" s="2936"/>
      <c r="KFM68" s="2936"/>
      <c r="KFN68" s="2936"/>
      <c r="KFO68" s="2936"/>
      <c r="KFP68" s="2936"/>
      <c r="KFQ68" s="2936"/>
      <c r="KFR68" s="2936"/>
      <c r="KFS68" s="2936"/>
      <c r="KFT68" s="2936"/>
      <c r="KFU68" s="2936"/>
      <c r="KFV68" s="2936"/>
      <c r="KFW68" s="2936"/>
      <c r="KFX68" s="2936"/>
      <c r="KFY68" s="2936"/>
      <c r="KFZ68" s="2936"/>
      <c r="KGA68" s="2936"/>
      <c r="KGB68" s="2936"/>
      <c r="KGC68" s="2936"/>
      <c r="KGD68" s="2936"/>
      <c r="KGE68" s="2936"/>
      <c r="KGF68" s="2936"/>
      <c r="KGG68" s="2936"/>
      <c r="KGH68" s="2936"/>
      <c r="KGI68" s="2936"/>
      <c r="KGJ68" s="2936"/>
      <c r="KGK68" s="2936"/>
      <c r="KGL68" s="2936"/>
      <c r="KGM68" s="2936"/>
      <c r="KGN68" s="2936"/>
      <c r="KGO68" s="2936"/>
      <c r="KGP68" s="2936"/>
      <c r="KGQ68" s="2936"/>
      <c r="KGR68" s="2936"/>
      <c r="KGS68" s="2936"/>
      <c r="KGT68" s="2936"/>
      <c r="KGU68" s="2936"/>
      <c r="KGV68" s="2936"/>
      <c r="KGW68" s="2936"/>
      <c r="KGX68" s="2936"/>
      <c r="KGY68" s="2936"/>
      <c r="KGZ68" s="2936"/>
      <c r="KHA68" s="2936"/>
      <c r="KHB68" s="2936"/>
      <c r="KHC68" s="2936"/>
      <c r="KHD68" s="2936"/>
      <c r="KHE68" s="2936"/>
      <c r="KHF68" s="2936"/>
      <c r="KHG68" s="2936"/>
      <c r="KHH68" s="2936"/>
      <c r="KHI68" s="2936"/>
      <c r="KHJ68" s="2936"/>
      <c r="KHK68" s="2936"/>
      <c r="KHL68" s="2936"/>
      <c r="KHM68" s="2936"/>
      <c r="KHN68" s="2936"/>
      <c r="KHO68" s="2936"/>
      <c r="KHP68" s="2936"/>
      <c r="KHQ68" s="2936"/>
      <c r="KHR68" s="2936"/>
      <c r="KHS68" s="2936"/>
      <c r="KHT68" s="2936"/>
      <c r="KHU68" s="2936"/>
      <c r="KHV68" s="2936"/>
      <c r="KHW68" s="2936"/>
      <c r="KHX68" s="2936"/>
      <c r="KHY68" s="2936"/>
      <c r="KHZ68" s="2936"/>
      <c r="KIA68" s="2936"/>
      <c r="KIB68" s="2936"/>
      <c r="KIC68" s="2936"/>
      <c r="KID68" s="2936"/>
      <c r="KIE68" s="2936"/>
      <c r="KIF68" s="2936"/>
      <c r="KIG68" s="2936"/>
      <c r="KIH68" s="2936"/>
      <c r="KII68" s="2936"/>
      <c r="KIJ68" s="2936"/>
      <c r="KIK68" s="2936"/>
      <c r="KIL68" s="2936"/>
      <c r="KIM68" s="2936"/>
      <c r="KIN68" s="2936"/>
      <c r="KIO68" s="2936"/>
      <c r="KIP68" s="2936"/>
      <c r="KIQ68" s="2936"/>
      <c r="KIR68" s="2936"/>
      <c r="KIS68" s="2936"/>
      <c r="KIT68" s="2936"/>
      <c r="KIU68" s="2936"/>
      <c r="KIV68" s="2936"/>
      <c r="KIW68" s="2936"/>
      <c r="KIX68" s="2936"/>
      <c r="KIY68" s="2936"/>
      <c r="KIZ68" s="2936"/>
      <c r="KJA68" s="2936"/>
      <c r="KJB68" s="2936"/>
      <c r="KJC68" s="2936"/>
      <c r="KJD68" s="2936"/>
      <c r="KJE68" s="2936"/>
      <c r="KJF68" s="2936"/>
      <c r="KJG68" s="2936"/>
      <c r="KJH68" s="2936"/>
      <c r="KJI68" s="2936"/>
      <c r="KJJ68" s="2936"/>
      <c r="KJK68" s="2936"/>
      <c r="KJL68" s="2936"/>
      <c r="KJM68" s="2936"/>
      <c r="KJN68" s="2936"/>
      <c r="KJO68" s="2936"/>
      <c r="KJP68" s="2936"/>
      <c r="KJQ68" s="2936"/>
      <c r="KJR68" s="2936"/>
      <c r="KJS68" s="2936"/>
      <c r="KJT68" s="2936"/>
      <c r="KJU68" s="2936"/>
      <c r="KJV68" s="2936"/>
      <c r="KJW68" s="2936"/>
      <c r="KJX68" s="2936"/>
      <c r="KJY68" s="2936"/>
      <c r="KJZ68" s="2936"/>
      <c r="KKA68" s="2936"/>
      <c r="KKB68" s="2936"/>
      <c r="KKC68" s="2936"/>
      <c r="KKD68" s="2936"/>
      <c r="KKE68" s="2936"/>
      <c r="KKF68" s="2936"/>
      <c r="KKG68" s="2936"/>
      <c r="KKH68" s="2936"/>
      <c r="KKI68" s="2936"/>
      <c r="KKJ68" s="2936"/>
      <c r="KKK68" s="2936"/>
      <c r="KKL68" s="2936"/>
      <c r="KKM68" s="2936"/>
      <c r="KKN68" s="2936"/>
      <c r="KKO68" s="2936"/>
      <c r="KKP68" s="2936"/>
      <c r="KKQ68" s="2936"/>
      <c r="KKR68" s="2936"/>
      <c r="KKS68" s="2936"/>
      <c r="KKT68" s="2936"/>
      <c r="KKU68" s="2936"/>
      <c r="KKV68" s="2936"/>
      <c r="KKW68" s="2936"/>
      <c r="KKX68" s="2936"/>
      <c r="KKY68" s="2936"/>
      <c r="KKZ68" s="2936"/>
      <c r="KLA68" s="2936"/>
      <c r="KLB68" s="2936"/>
      <c r="KLC68" s="2936"/>
      <c r="KLD68" s="2936"/>
      <c r="KLE68" s="2936"/>
      <c r="KLF68" s="2936"/>
      <c r="KLG68" s="2936"/>
      <c r="KLH68" s="2936"/>
      <c r="KLI68" s="2936"/>
      <c r="KLJ68" s="2936"/>
      <c r="KLK68" s="2936"/>
      <c r="KLL68" s="2936"/>
      <c r="KLM68" s="2936"/>
      <c r="KLN68" s="2936"/>
      <c r="KLO68" s="2936"/>
      <c r="KLP68" s="2936"/>
      <c r="KLQ68" s="2936"/>
      <c r="KLR68" s="2936"/>
      <c r="KLS68" s="2936"/>
      <c r="KLT68" s="2936"/>
      <c r="KLU68" s="2936"/>
      <c r="KLV68" s="2936"/>
      <c r="KLW68" s="2936"/>
      <c r="KLX68" s="2936"/>
      <c r="KLY68" s="2936"/>
      <c r="KLZ68" s="2936"/>
      <c r="KMA68" s="2936"/>
      <c r="KMB68" s="2936"/>
      <c r="KMC68" s="2936"/>
      <c r="KMD68" s="2936"/>
      <c r="KME68" s="2936"/>
      <c r="KMF68" s="2936"/>
      <c r="KMG68" s="2936"/>
      <c r="KMH68" s="2936"/>
      <c r="KMI68" s="2936"/>
      <c r="KMJ68" s="2936"/>
      <c r="KMK68" s="2936"/>
      <c r="KML68" s="2936"/>
      <c r="KMM68" s="2936"/>
      <c r="KMN68" s="2936"/>
      <c r="KMO68" s="2936"/>
      <c r="KMP68" s="2936"/>
      <c r="KMQ68" s="2936"/>
      <c r="KMR68" s="2936"/>
      <c r="KMS68" s="2936"/>
      <c r="KMT68" s="2936"/>
      <c r="KMU68" s="2936"/>
      <c r="KMV68" s="2936"/>
      <c r="KMW68" s="2936"/>
      <c r="KMX68" s="2936"/>
      <c r="KMY68" s="2936"/>
      <c r="KMZ68" s="2936"/>
      <c r="KNA68" s="2936"/>
      <c r="KNB68" s="2936"/>
      <c r="KNC68" s="2936"/>
      <c r="KND68" s="2936"/>
      <c r="KNE68" s="2936"/>
      <c r="KNF68" s="2936"/>
      <c r="KNG68" s="2936"/>
      <c r="KNH68" s="2936"/>
      <c r="KNI68" s="2936"/>
      <c r="KNJ68" s="2936"/>
      <c r="KNK68" s="2936"/>
      <c r="KNL68" s="2936"/>
      <c r="KNM68" s="2936"/>
      <c r="KNN68" s="2936"/>
      <c r="KNO68" s="2936"/>
      <c r="KNP68" s="2936"/>
      <c r="KNQ68" s="2936"/>
      <c r="KNR68" s="2936"/>
      <c r="KNS68" s="2936"/>
      <c r="KNT68" s="2936"/>
      <c r="KNU68" s="2936"/>
      <c r="KNV68" s="2936"/>
      <c r="KNW68" s="2936"/>
      <c r="KNX68" s="2936"/>
      <c r="KNY68" s="2936"/>
      <c r="KNZ68" s="2936"/>
      <c r="KOA68" s="2936"/>
      <c r="KOB68" s="2936"/>
      <c r="KOC68" s="2936"/>
      <c r="KOD68" s="2936"/>
      <c r="KOE68" s="2936"/>
      <c r="KOF68" s="2936"/>
      <c r="KOG68" s="2936"/>
      <c r="KOH68" s="2936"/>
      <c r="KOI68" s="2936"/>
      <c r="KOJ68" s="2936"/>
      <c r="KOK68" s="2936"/>
      <c r="KOL68" s="2936"/>
      <c r="KOM68" s="2936"/>
      <c r="KON68" s="2936"/>
      <c r="KOO68" s="2936"/>
      <c r="KOP68" s="2936"/>
      <c r="KOQ68" s="2936"/>
      <c r="KOR68" s="2936"/>
      <c r="KOS68" s="2936"/>
      <c r="KOT68" s="2936"/>
      <c r="KOU68" s="2936"/>
      <c r="KOV68" s="2936"/>
      <c r="KOW68" s="2936"/>
      <c r="KOX68" s="2936"/>
      <c r="KOY68" s="2936"/>
      <c r="KOZ68" s="2936"/>
      <c r="KPA68" s="2936"/>
      <c r="KPB68" s="2936"/>
      <c r="KPC68" s="2936"/>
      <c r="KPD68" s="2936"/>
      <c r="KPE68" s="2936"/>
      <c r="KPF68" s="2936"/>
      <c r="KPG68" s="2936"/>
      <c r="KPH68" s="2936"/>
      <c r="KPI68" s="2936"/>
      <c r="KPJ68" s="2936"/>
      <c r="KPK68" s="2936"/>
      <c r="KPL68" s="2936"/>
      <c r="KPM68" s="2936"/>
      <c r="KPN68" s="2936"/>
      <c r="KPO68" s="2936"/>
      <c r="KPP68" s="2936"/>
      <c r="KPQ68" s="2936"/>
      <c r="KPR68" s="2936"/>
      <c r="KPS68" s="2936"/>
      <c r="KPT68" s="2936"/>
      <c r="KPU68" s="2936"/>
      <c r="KPV68" s="2936"/>
      <c r="KPW68" s="2936"/>
      <c r="KPX68" s="2936"/>
      <c r="KPY68" s="2936"/>
      <c r="KPZ68" s="2936"/>
      <c r="KQA68" s="2936"/>
      <c r="KQB68" s="2936"/>
      <c r="KQC68" s="2936"/>
      <c r="KQD68" s="2936"/>
      <c r="KQE68" s="2936"/>
      <c r="KQF68" s="2936"/>
      <c r="KQG68" s="2936"/>
      <c r="KQH68" s="2936"/>
      <c r="KQI68" s="2936"/>
      <c r="KQJ68" s="2936"/>
      <c r="KQK68" s="2936"/>
      <c r="KQL68" s="2936"/>
      <c r="KQM68" s="2936"/>
      <c r="KQN68" s="2936"/>
      <c r="KQO68" s="2936"/>
      <c r="KQP68" s="2936"/>
      <c r="KQQ68" s="2936"/>
      <c r="KQR68" s="2936"/>
      <c r="KQS68" s="2936"/>
      <c r="KQT68" s="2936"/>
      <c r="KQU68" s="2936"/>
      <c r="KQV68" s="2936"/>
      <c r="KQW68" s="2936"/>
      <c r="KQX68" s="2936"/>
      <c r="KQY68" s="2936"/>
      <c r="KQZ68" s="2936"/>
      <c r="KRA68" s="2936"/>
      <c r="KRB68" s="2936"/>
      <c r="KRC68" s="2936"/>
      <c r="KRD68" s="2936"/>
      <c r="KRE68" s="2936"/>
      <c r="KRF68" s="2936"/>
      <c r="KRG68" s="2936"/>
      <c r="KRH68" s="2936"/>
      <c r="KRI68" s="2936"/>
      <c r="KRJ68" s="2936"/>
      <c r="KRK68" s="2936"/>
      <c r="KRL68" s="2936"/>
      <c r="KRM68" s="2936"/>
      <c r="KRN68" s="2936"/>
      <c r="KRO68" s="2936"/>
      <c r="KRP68" s="2936"/>
      <c r="KRQ68" s="2936"/>
      <c r="KRR68" s="2936"/>
      <c r="KRS68" s="2936"/>
      <c r="KRT68" s="2936"/>
      <c r="KRU68" s="2936"/>
      <c r="KRV68" s="2936"/>
      <c r="KRW68" s="2936"/>
      <c r="KRX68" s="2936"/>
      <c r="KRY68" s="2936"/>
      <c r="KRZ68" s="2936"/>
      <c r="KSA68" s="2936"/>
      <c r="KSB68" s="2936"/>
      <c r="KSC68" s="2936"/>
      <c r="KSD68" s="2936"/>
      <c r="KSE68" s="2936"/>
      <c r="KSF68" s="2936"/>
      <c r="KSG68" s="2936"/>
      <c r="KSH68" s="2936"/>
      <c r="KSI68" s="2936"/>
      <c r="KSJ68" s="2936"/>
      <c r="KSK68" s="2936"/>
      <c r="KSL68" s="2936"/>
      <c r="KSM68" s="2936"/>
      <c r="KSN68" s="2936"/>
      <c r="KSO68" s="2936"/>
      <c r="KSP68" s="2936"/>
      <c r="KSQ68" s="2936"/>
      <c r="KSR68" s="2936"/>
      <c r="KSS68" s="2936"/>
      <c r="KST68" s="2936"/>
      <c r="KSU68" s="2936"/>
      <c r="KSV68" s="2936"/>
      <c r="KSW68" s="2936"/>
      <c r="KSX68" s="2936"/>
      <c r="KSY68" s="2936"/>
      <c r="KSZ68" s="2936"/>
      <c r="KTA68" s="2936"/>
      <c r="KTB68" s="2936"/>
      <c r="KTC68" s="2936"/>
      <c r="KTD68" s="2936"/>
      <c r="KTE68" s="2936"/>
      <c r="KTF68" s="2936"/>
      <c r="KTG68" s="2936"/>
      <c r="KTH68" s="2936"/>
      <c r="KTI68" s="2936"/>
      <c r="KTJ68" s="2936"/>
      <c r="KTK68" s="2936"/>
      <c r="KTL68" s="2936"/>
      <c r="KTM68" s="2936"/>
      <c r="KTN68" s="2936"/>
      <c r="KTO68" s="2936"/>
      <c r="KTP68" s="2936"/>
      <c r="KTQ68" s="2936"/>
      <c r="KTR68" s="2936"/>
      <c r="KTS68" s="2936"/>
      <c r="KTT68" s="2936"/>
      <c r="KTU68" s="2936"/>
      <c r="KTV68" s="2936"/>
      <c r="KTW68" s="2936"/>
      <c r="KTX68" s="2936"/>
      <c r="KTY68" s="2936"/>
      <c r="KTZ68" s="2936"/>
      <c r="KUA68" s="2936"/>
      <c r="KUB68" s="2936"/>
      <c r="KUC68" s="2936"/>
      <c r="KUD68" s="2936"/>
      <c r="KUE68" s="2936"/>
      <c r="KUF68" s="2936"/>
      <c r="KUG68" s="2936"/>
      <c r="KUH68" s="2936"/>
      <c r="KUI68" s="2936"/>
      <c r="KUJ68" s="2936"/>
      <c r="KUK68" s="2936"/>
      <c r="KUL68" s="2936"/>
      <c r="KUM68" s="2936"/>
      <c r="KUN68" s="2936"/>
      <c r="KUO68" s="2936"/>
      <c r="KUP68" s="2936"/>
      <c r="KUQ68" s="2936"/>
      <c r="KUR68" s="2936"/>
      <c r="KUS68" s="2936"/>
      <c r="KUT68" s="2936"/>
      <c r="KUU68" s="2936"/>
      <c r="KUV68" s="2936"/>
      <c r="KUW68" s="2936"/>
      <c r="KUX68" s="2936"/>
      <c r="KUY68" s="2936"/>
      <c r="KUZ68" s="2936"/>
      <c r="KVA68" s="2936"/>
      <c r="KVB68" s="2936"/>
      <c r="KVC68" s="2936"/>
      <c r="KVD68" s="2936"/>
      <c r="KVE68" s="2936"/>
      <c r="KVF68" s="2936"/>
      <c r="KVG68" s="2936"/>
      <c r="KVH68" s="2936"/>
      <c r="KVI68" s="2936"/>
      <c r="KVJ68" s="2936"/>
      <c r="KVK68" s="2936"/>
      <c r="KVL68" s="2936"/>
      <c r="KVM68" s="2936"/>
      <c r="KVN68" s="2936"/>
      <c r="KVO68" s="2936"/>
      <c r="KVP68" s="2936"/>
      <c r="KVQ68" s="2936"/>
      <c r="KVR68" s="2936"/>
      <c r="KVS68" s="2936"/>
      <c r="KVT68" s="2936"/>
      <c r="KVU68" s="2936"/>
      <c r="KVV68" s="2936"/>
      <c r="KVW68" s="2936"/>
      <c r="KVX68" s="2936"/>
      <c r="KVY68" s="2936"/>
      <c r="KVZ68" s="2936"/>
      <c r="KWA68" s="2936"/>
      <c r="KWB68" s="2936"/>
      <c r="KWC68" s="2936"/>
      <c r="KWD68" s="2936"/>
      <c r="KWE68" s="2936"/>
      <c r="KWF68" s="2936"/>
      <c r="KWG68" s="2936"/>
      <c r="KWH68" s="2936"/>
      <c r="KWI68" s="2936"/>
      <c r="KWJ68" s="2936"/>
      <c r="KWK68" s="2936"/>
      <c r="KWL68" s="2936"/>
      <c r="KWM68" s="2936"/>
      <c r="KWN68" s="2936"/>
      <c r="KWO68" s="2936"/>
      <c r="KWP68" s="2936"/>
      <c r="KWQ68" s="2936"/>
      <c r="KWR68" s="2936"/>
      <c r="KWS68" s="2936"/>
      <c r="KWT68" s="2936"/>
      <c r="KWU68" s="2936"/>
      <c r="KWV68" s="2936"/>
      <c r="KWW68" s="2936"/>
      <c r="KWX68" s="2936"/>
      <c r="KWY68" s="2936"/>
      <c r="KWZ68" s="2936"/>
      <c r="KXA68" s="2936"/>
      <c r="KXB68" s="2936"/>
      <c r="KXC68" s="2936"/>
      <c r="KXD68" s="2936"/>
      <c r="KXE68" s="2936"/>
      <c r="KXF68" s="2936"/>
      <c r="KXG68" s="2936"/>
      <c r="KXH68" s="2936"/>
      <c r="KXI68" s="2936"/>
      <c r="KXJ68" s="2936"/>
      <c r="KXK68" s="2936"/>
      <c r="KXL68" s="2936"/>
      <c r="KXM68" s="2936"/>
      <c r="KXN68" s="2936"/>
      <c r="KXO68" s="2936"/>
      <c r="KXP68" s="2936"/>
      <c r="KXQ68" s="2936"/>
      <c r="KXR68" s="2936"/>
      <c r="KXS68" s="2936"/>
      <c r="KXT68" s="2936"/>
      <c r="KXU68" s="2936"/>
      <c r="KXV68" s="2936"/>
      <c r="KXW68" s="2936"/>
      <c r="KXX68" s="2936"/>
      <c r="KXY68" s="2936"/>
      <c r="KXZ68" s="2936"/>
      <c r="KYA68" s="2936"/>
      <c r="KYB68" s="2936"/>
      <c r="KYC68" s="2936"/>
      <c r="KYD68" s="2936"/>
      <c r="KYE68" s="2936"/>
      <c r="KYF68" s="2936"/>
      <c r="KYG68" s="2936"/>
      <c r="KYH68" s="2936"/>
      <c r="KYI68" s="2936"/>
      <c r="KYJ68" s="2936"/>
      <c r="KYK68" s="2936"/>
      <c r="KYL68" s="2936"/>
      <c r="KYM68" s="2936"/>
      <c r="KYN68" s="2936"/>
      <c r="KYO68" s="2936"/>
      <c r="KYP68" s="2936"/>
      <c r="KYQ68" s="2936"/>
      <c r="KYR68" s="2936"/>
      <c r="KYS68" s="2936"/>
      <c r="KYT68" s="2936"/>
      <c r="KYU68" s="2936"/>
      <c r="KYV68" s="2936"/>
      <c r="KYW68" s="2936"/>
      <c r="KYX68" s="2936"/>
      <c r="KYY68" s="2936"/>
      <c r="KYZ68" s="2936"/>
      <c r="KZA68" s="2936"/>
      <c r="KZB68" s="2936"/>
      <c r="KZC68" s="2936"/>
      <c r="KZD68" s="2936"/>
      <c r="KZE68" s="2936"/>
      <c r="KZF68" s="2936"/>
      <c r="KZG68" s="2936"/>
      <c r="KZH68" s="2936"/>
      <c r="KZI68" s="2936"/>
      <c r="KZJ68" s="2936"/>
      <c r="KZK68" s="2936"/>
      <c r="KZL68" s="2936"/>
      <c r="KZM68" s="2936"/>
      <c r="KZN68" s="2936"/>
      <c r="KZO68" s="2936"/>
      <c r="KZP68" s="2936"/>
      <c r="KZQ68" s="2936"/>
      <c r="KZR68" s="2936"/>
      <c r="KZS68" s="2936"/>
      <c r="KZT68" s="2936"/>
      <c r="KZU68" s="2936"/>
      <c r="KZV68" s="2936"/>
      <c r="KZW68" s="2936"/>
      <c r="KZX68" s="2936"/>
      <c r="KZY68" s="2936"/>
      <c r="KZZ68" s="2936"/>
      <c r="LAA68" s="2936"/>
      <c r="LAB68" s="2936"/>
      <c r="LAC68" s="2936"/>
      <c r="LAD68" s="2936"/>
      <c r="LAE68" s="2936"/>
      <c r="LAF68" s="2936"/>
      <c r="LAG68" s="2936"/>
      <c r="LAH68" s="2936"/>
      <c r="LAI68" s="2936"/>
      <c r="LAJ68" s="2936"/>
      <c r="LAK68" s="2936"/>
      <c r="LAL68" s="2936"/>
      <c r="LAM68" s="2936"/>
      <c r="LAN68" s="2936"/>
      <c r="LAO68" s="2936"/>
      <c r="LAP68" s="2936"/>
      <c r="LAQ68" s="2936"/>
      <c r="LAR68" s="2936"/>
      <c r="LAS68" s="2936"/>
      <c r="LAT68" s="2936"/>
      <c r="LAU68" s="2936"/>
      <c r="LAV68" s="2936"/>
      <c r="LAW68" s="2936"/>
      <c r="LAX68" s="2936"/>
      <c r="LAY68" s="2936"/>
      <c r="LAZ68" s="2936"/>
      <c r="LBA68" s="2936"/>
      <c r="LBB68" s="2936"/>
      <c r="LBC68" s="2936"/>
      <c r="LBD68" s="2936"/>
      <c r="LBE68" s="2936"/>
      <c r="LBF68" s="2936"/>
      <c r="LBG68" s="2936"/>
      <c r="LBH68" s="2936"/>
      <c r="LBI68" s="2936"/>
      <c r="LBJ68" s="2936"/>
      <c r="LBK68" s="2936"/>
      <c r="LBL68" s="2936"/>
      <c r="LBM68" s="2936"/>
      <c r="LBN68" s="2936"/>
      <c r="LBO68" s="2936"/>
      <c r="LBP68" s="2936"/>
      <c r="LBQ68" s="2936"/>
      <c r="LBR68" s="2936"/>
      <c r="LBS68" s="2936"/>
      <c r="LBT68" s="2936"/>
      <c r="LBU68" s="2936"/>
      <c r="LBV68" s="2936"/>
      <c r="LBW68" s="2936"/>
      <c r="LBX68" s="2936"/>
      <c r="LBY68" s="2936"/>
      <c r="LBZ68" s="2936"/>
      <c r="LCA68" s="2936"/>
      <c r="LCB68" s="2936"/>
      <c r="LCC68" s="2936"/>
      <c r="LCD68" s="2936"/>
      <c r="LCE68" s="2936"/>
      <c r="LCF68" s="2936"/>
      <c r="LCG68" s="2936"/>
      <c r="LCH68" s="2936"/>
      <c r="LCI68" s="2936"/>
      <c r="LCJ68" s="2936"/>
      <c r="LCK68" s="2936"/>
      <c r="LCL68" s="2936"/>
      <c r="LCM68" s="2936"/>
      <c r="LCN68" s="2936"/>
      <c r="LCO68" s="2936"/>
      <c r="LCP68" s="2936"/>
      <c r="LCQ68" s="2936"/>
      <c r="LCR68" s="2936"/>
      <c r="LCS68" s="2936"/>
      <c r="LCT68" s="2936"/>
      <c r="LCU68" s="2936"/>
      <c r="LCV68" s="2936"/>
      <c r="LCW68" s="2936"/>
      <c r="LCX68" s="2936"/>
      <c r="LCY68" s="2936"/>
      <c r="LCZ68" s="2936"/>
      <c r="LDA68" s="2936"/>
      <c r="LDB68" s="2936"/>
      <c r="LDC68" s="2936"/>
      <c r="LDD68" s="2936"/>
      <c r="LDE68" s="2936"/>
      <c r="LDF68" s="2936"/>
      <c r="LDG68" s="2936"/>
      <c r="LDH68" s="2936"/>
      <c r="LDI68" s="2936"/>
      <c r="LDJ68" s="2936"/>
      <c r="LDK68" s="2936"/>
      <c r="LDL68" s="2936"/>
      <c r="LDM68" s="2936"/>
      <c r="LDN68" s="2936"/>
      <c r="LDO68" s="2936"/>
      <c r="LDP68" s="2936"/>
      <c r="LDQ68" s="2936"/>
      <c r="LDR68" s="2936"/>
      <c r="LDS68" s="2936"/>
      <c r="LDT68" s="2936"/>
      <c r="LDU68" s="2936"/>
      <c r="LDV68" s="2936"/>
      <c r="LDW68" s="2936"/>
      <c r="LDX68" s="2936"/>
      <c r="LDY68" s="2936"/>
      <c r="LDZ68" s="2936"/>
      <c r="LEA68" s="2936"/>
      <c r="LEB68" s="2936"/>
      <c r="LEC68" s="2936"/>
      <c r="LED68" s="2936"/>
      <c r="LEE68" s="2936"/>
      <c r="LEF68" s="2936"/>
      <c r="LEG68" s="2936"/>
      <c r="LEH68" s="2936"/>
      <c r="LEI68" s="2936"/>
      <c r="LEJ68" s="2936"/>
      <c r="LEK68" s="2936"/>
      <c r="LEL68" s="2936"/>
      <c r="LEM68" s="2936"/>
      <c r="LEN68" s="2936"/>
      <c r="LEO68" s="2936"/>
      <c r="LEP68" s="2936"/>
      <c r="LEQ68" s="2936"/>
      <c r="LER68" s="2936"/>
      <c r="LES68" s="2936"/>
      <c r="LET68" s="2936"/>
      <c r="LEU68" s="2936"/>
      <c r="LEV68" s="2936"/>
      <c r="LEW68" s="2936"/>
      <c r="LEX68" s="2936"/>
      <c r="LEY68" s="2936"/>
      <c r="LEZ68" s="2936"/>
      <c r="LFA68" s="2936"/>
      <c r="LFB68" s="2936"/>
      <c r="LFC68" s="2936"/>
      <c r="LFD68" s="2936"/>
      <c r="LFE68" s="2936"/>
      <c r="LFF68" s="2936"/>
      <c r="LFG68" s="2936"/>
      <c r="LFH68" s="2936"/>
      <c r="LFI68" s="2936"/>
      <c r="LFJ68" s="2936"/>
      <c r="LFK68" s="2936"/>
      <c r="LFL68" s="2936"/>
      <c r="LFM68" s="2936"/>
      <c r="LFN68" s="2936"/>
      <c r="LFO68" s="2936"/>
      <c r="LFP68" s="2936"/>
      <c r="LFQ68" s="2936"/>
      <c r="LFR68" s="2936"/>
      <c r="LFS68" s="2936"/>
      <c r="LFT68" s="2936"/>
      <c r="LFU68" s="2936"/>
      <c r="LFV68" s="2936"/>
      <c r="LFW68" s="2936"/>
      <c r="LFX68" s="2936"/>
      <c r="LFY68" s="2936"/>
      <c r="LFZ68" s="2936"/>
      <c r="LGA68" s="2936"/>
      <c r="LGB68" s="2936"/>
      <c r="LGC68" s="2936"/>
      <c r="LGD68" s="2936"/>
      <c r="LGE68" s="2936"/>
      <c r="LGF68" s="2936"/>
      <c r="LGG68" s="2936"/>
      <c r="LGH68" s="2936"/>
      <c r="LGI68" s="2936"/>
      <c r="LGJ68" s="2936"/>
      <c r="LGK68" s="2936"/>
      <c r="LGL68" s="2936"/>
      <c r="LGM68" s="2936"/>
      <c r="LGN68" s="2936"/>
      <c r="LGO68" s="2936"/>
      <c r="LGP68" s="2936"/>
      <c r="LGQ68" s="2936"/>
      <c r="LGR68" s="2936"/>
      <c r="LGS68" s="2936"/>
      <c r="LGT68" s="2936"/>
      <c r="LGU68" s="2936"/>
      <c r="LGV68" s="2936"/>
      <c r="LGW68" s="2936"/>
      <c r="LGX68" s="2936"/>
      <c r="LGY68" s="2936"/>
      <c r="LGZ68" s="2936"/>
      <c r="LHA68" s="2936"/>
      <c r="LHB68" s="2936"/>
      <c r="LHC68" s="2936"/>
      <c r="LHD68" s="2936"/>
      <c r="LHE68" s="2936"/>
      <c r="LHF68" s="2936"/>
      <c r="LHG68" s="2936"/>
      <c r="LHH68" s="2936"/>
      <c r="LHI68" s="2936"/>
      <c r="LHJ68" s="2936"/>
      <c r="LHK68" s="2936"/>
      <c r="LHL68" s="2936"/>
      <c r="LHM68" s="2936"/>
      <c r="LHN68" s="2936"/>
      <c r="LHO68" s="2936"/>
      <c r="LHP68" s="2936"/>
      <c r="LHQ68" s="2936"/>
      <c r="LHR68" s="2936"/>
      <c r="LHS68" s="2936"/>
      <c r="LHT68" s="2936"/>
      <c r="LHU68" s="2936"/>
      <c r="LHV68" s="2936"/>
      <c r="LHW68" s="2936"/>
      <c r="LHX68" s="2936"/>
      <c r="LHY68" s="2936"/>
      <c r="LHZ68" s="2936"/>
      <c r="LIA68" s="2936"/>
      <c r="LIB68" s="2936"/>
      <c r="LIC68" s="2936"/>
      <c r="LID68" s="2936"/>
      <c r="LIE68" s="2936"/>
      <c r="LIF68" s="2936"/>
      <c r="LIG68" s="2936"/>
      <c r="LIH68" s="2936"/>
      <c r="LII68" s="2936"/>
      <c r="LIJ68" s="2936"/>
      <c r="LIK68" s="2936"/>
      <c r="LIL68" s="2936"/>
      <c r="LIM68" s="2936"/>
      <c r="LIN68" s="2936"/>
      <c r="LIO68" s="2936"/>
      <c r="LIP68" s="2936"/>
      <c r="LIQ68" s="2936"/>
      <c r="LIR68" s="2936"/>
      <c r="LIS68" s="2936"/>
      <c r="LIT68" s="2936"/>
      <c r="LIU68" s="2936"/>
      <c r="LIV68" s="2936"/>
      <c r="LIW68" s="2936"/>
      <c r="LIX68" s="2936"/>
      <c r="LIY68" s="2936"/>
      <c r="LIZ68" s="2936"/>
      <c r="LJA68" s="2936"/>
      <c r="LJB68" s="2936"/>
      <c r="LJC68" s="2936"/>
      <c r="LJD68" s="2936"/>
      <c r="LJE68" s="2936"/>
      <c r="LJF68" s="2936"/>
      <c r="LJG68" s="2936"/>
      <c r="LJH68" s="2936"/>
      <c r="LJI68" s="2936"/>
      <c r="LJJ68" s="2936"/>
      <c r="LJK68" s="2936"/>
      <c r="LJL68" s="2936"/>
      <c r="LJM68" s="2936"/>
      <c r="LJN68" s="2936"/>
      <c r="LJO68" s="2936"/>
      <c r="LJP68" s="2936"/>
      <c r="LJQ68" s="2936"/>
      <c r="LJR68" s="2936"/>
      <c r="LJS68" s="2936"/>
      <c r="LJT68" s="2936"/>
      <c r="LJU68" s="2936"/>
      <c r="LJV68" s="2936"/>
      <c r="LJW68" s="2936"/>
      <c r="LJX68" s="2936"/>
      <c r="LJY68" s="2936"/>
      <c r="LJZ68" s="2936"/>
      <c r="LKA68" s="2936"/>
      <c r="LKB68" s="2936"/>
      <c r="LKC68" s="2936"/>
      <c r="LKD68" s="2936"/>
      <c r="LKE68" s="2936"/>
      <c r="LKF68" s="2936"/>
      <c r="LKG68" s="2936"/>
      <c r="LKH68" s="2936"/>
      <c r="LKI68" s="2936"/>
      <c r="LKJ68" s="2936"/>
      <c r="LKK68" s="2936"/>
      <c r="LKL68" s="2936"/>
      <c r="LKM68" s="2936"/>
      <c r="LKN68" s="2936"/>
      <c r="LKO68" s="2936"/>
      <c r="LKP68" s="2936"/>
      <c r="LKQ68" s="2936"/>
      <c r="LKR68" s="2936"/>
      <c r="LKS68" s="2936"/>
      <c r="LKT68" s="2936"/>
      <c r="LKU68" s="2936"/>
      <c r="LKV68" s="2936"/>
      <c r="LKW68" s="2936"/>
      <c r="LKX68" s="2936"/>
      <c r="LKY68" s="2936"/>
      <c r="LKZ68" s="2936"/>
      <c r="LLA68" s="2936"/>
      <c r="LLB68" s="2936"/>
      <c r="LLC68" s="2936"/>
      <c r="LLD68" s="2936"/>
      <c r="LLE68" s="2936"/>
      <c r="LLF68" s="2936"/>
      <c r="LLG68" s="2936"/>
      <c r="LLH68" s="2936"/>
      <c r="LLI68" s="2936"/>
      <c r="LLJ68" s="2936"/>
      <c r="LLK68" s="2936"/>
      <c r="LLL68" s="2936"/>
      <c r="LLM68" s="2936"/>
      <c r="LLN68" s="2936"/>
      <c r="LLO68" s="2936"/>
      <c r="LLP68" s="2936"/>
      <c r="LLQ68" s="2936"/>
      <c r="LLR68" s="2936"/>
      <c r="LLS68" s="2936"/>
      <c r="LLT68" s="2936"/>
      <c r="LLU68" s="2936"/>
      <c r="LLV68" s="2936"/>
      <c r="LLW68" s="2936"/>
      <c r="LLX68" s="2936"/>
      <c r="LLY68" s="2936"/>
      <c r="LLZ68" s="2936"/>
      <c r="LMA68" s="2936"/>
      <c r="LMB68" s="2936"/>
      <c r="LMC68" s="2936"/>
      <c r="LMD68" s="2936"/>
      <c r="LME68" s="2936"/>
      <c r="LMF68" s="2936"/>
      <c r="LMG68" s="2936"/>
      <c r="LMH68" s="2936"/>
      <c r="LMI68" s="2936"/>
      <c r="LMJ68" s="2936"/>
      <c r="LMK68" s="2936"/>
      <c r="LML68" s="2936"/>
      <c r="LMM68" s="2936"/>
      <c r="LMN68" s="2936"/>
      <c r="LMO68" s="2936"/>
      <c r="LMP68" s="2936"/>
      <c r="LMQ68" s="2936"/>
      <c r="LMR68" s="2936"/>
      <c r="LMS68" s="2936"/>
      <c r="LMT68" s="2936"/>
      <c r="LMU68" s="2936"/>
      <c r="LMV68" s="2936"/>
      <c r="LMW68" s="2936"/>
      <c r="LMX68" s="2936"/>
      <c r="LMY68" s="2936"/>
      <c r="LMZ68" s="2936"/>
      <c r="LNA68" s="2936"/>
      <c r="LNB68" s="2936"/>
      <c r="LNC68" s="2936"/>
      <c r="LND68" s="2936"/>
      <c r="LNE68" s="2936"/>
      <c r="LNF68" s="2936"/>
      <c r="LNG68" s="2936"/>
      <c r="LNH68" s="2936"/>
      <c r="LNI68" s="2936"/>
      <c r="LNJ68" s="2936"/>
      <c r="LNK68" s="2936"/>
      <c r="LNL68" s="2936"/>
      <c r="LNM68" s="2936"/>
      <c r="LNN68" s="2936"/>
      <c r="LNO68" s="2936"/>
      <c r="LNP68" s="2936"/>
      <c r="LNQ68" s="2936"/>
      <c r="LNR68" s="2936"/>
      <c r="LNS68" s="2936"/>
      <c r="LNT68" s="2936"/>
      <c r="LNU68" s="2936"/>
      <c r="LNV68" s="2936"/>
      <c r="LNW68" s="2936"/>
      <c r="LNX68" s="2936"/>
      <c r="LNY68" s="2936"/>
      <c r="LNZ68" s="2936"/>
      <c r="LOA68" s="2936"/>
      <c r="LOB68" s="2936"/>
      <c r="LOC68" s="2936"/>
      <c r="LOD68" s="2936"/>
      <c r="LOE68" s="2936"/>
      <c r="LOF68" s="2936"/>
      <c r="LOG68" s="2936"/>
      <c r="LOH68" s="2936"/>
      <c r="LOI68" s="2936"/>
      <c r="LOJ68" s="2936"/>
      <c r="LOK68" s="2936"/>
      <c r="LOL68" s="2936"/>
      <c r="LOM68" s="2936"/>
      <c r="LON68" s="2936"/>
      <c r="LOO68" s="2936"/>
      <c r="LOP68" s="2936"/>
      <c r="LOQ68" s="2936"/>
      <c r="LOR68" s="2936"/>
      <c r="LOS68" s="2936"/>
      <c r="LOT68" s="2936"/>
      <c r="LOU68" s="2936"/>
      <c r="LOV68" s="2936"/>
      <c r="LOW68" s="2936"/>
      <c r="LOX68" s="2936"/>
      <c r="LOY68" s="2936"/>
      <c r="LOZ68" s="2936"/>
      <c r="LPA68" s="2936"/>
      <c r="LPB68" s="2936"/>
      <c r="LPC68" s="2936"/>
      <c r="LPD68" s="2936"/>
      <c r="LPE68" s="2936"/>
      <c r="LPF68" s="2936"/>
      <c r="LPG68" s="2936"/>
      <c r="LPH68" s="2936"/>
      <c r="LPI68" s="2936"/>
      <c r="LPJ68" s="2936"/>
      <c r="LPK68" s="2936"/>
      <c r="LPL68" s="2936"/>
      <c r="LPM68" s="2936"/>
      <c r="LPN68" s="2936"/>
      <c r="LPO68" s="2936"/>
      <c r="LPP68" s="2936"/>
      <c r="LPQ68" s="2936"/>
      <c r="LPR68" s="2936"/>
      <c r="LPS68" s="2936"/>
      <c r="LPT68" s="2936"/>
      <c r="LPU68" s="2936"/>
      <c r="LPV68" s="2936"/>
      <c r="LPW68" s="2936"/>
      <c r="LPX68" s="2936"/>
      <c r="LPY68" s="2936"/>
      <c r="LPZ68" s="2936"/>
      <c r="LQA68" s="2936"/>
      <c r="LQB68" s="2936"/>
      <c r="LQC68" s="2936"/>
      <c r="LQD68" s="2936"/>
      <c r="LQE68" s="2936"/>
      <c r="LQF68" s="2936"/>
      <c r="LQG68" s="2936"/>
      <c r="LQH68" s="2936"/>
      <c r="LQI68" s="2936"/>
      <c r="LQJ68" s="2936"/>
      <c r="LQK68" s="2936"/>
      <c r="LQL68" s="2936"/>
      <c r="LQM68" s="2936"/>
      <c r="LQN68" s="2936"/>
      <c r="LQO68" s="2936"/>
      <c r="LQP68" s="2936"/>
      <c r="LQQ68" s="2936"/>
      <c r="LQR68" s="2936"/>
      <c r="LQS68" s="2936"/>
      <c r="LQT68" s="2936"/>
      <c r="LQU68" s="2936"/>
      <c r="LQV68" s="2936"/>
      <c r="LQW68" s="2936"/>
      <c r="LQX68" s="2936"/>
      <c r="LQY68" s="2936"/>
      <c r="LQZ68" s="2936"/>
      <c r="LRA68" s="2936"/>
      <c r="LRB68" s="2936"/>
      <c r="LRC68" s="2936"/>
      <c r="LRD68" s="2936"/>
      <c r="LRE68" s="2936"/>
      <c r="LRF68" s="2936"/>
      <c r="LRG68" s="2936"/>
      <c r="LRH68" s="2936"/>
      <c r="LRI68" s="2936"/>
      <c r="LRJ68" s="2936"/>
      <c r="LRK68" s="2936"/>
      <c r="LRL68" s="2936"/>
      <c r="LRM68" s="2936"/>
      <c r="LRN68" s="2936"/>
      <c r="LRO68" s="2936"/>
      <c r="LRP68" s="2936"/>
      <c r="LRQ68" s="2936"/>
      <c r="LRR68" s="2936"/>
      <c r="LRS68" s="2936"/>
      <c r="LRT68" s="2936"/>
      <c r="LRU68" s="2936"/>
      <c r="LRV68" s="2936"/>
      <c r="LRW68" s="2936"/>
      <c r="LRX68" s="2936"/>
      <c r="LRY68" s="2936"/>
      <c r="LRZ68" s="2936"/>
      <c r="LSA68" s="2936"/>
      <c r="LSB68" s="2936"/>
      <c r="LSC68" s="2936"/>
      <c r="LSD68" s="2936"/>
      <c r="LSE68" s="2936"/>
      <c r="LSF68" s="2936"/>
      <c r="LSG68" s="2936"/>
      <c r="LSH68" s="2936"/>
      <c r="LSI68" s="2936"/>
      <c r="LSJ68" s="2936"/>
      <c r="LSK68" s="2936"/>
      <c r="LSL68" s="2936"/>
      <c r="LSM68" s="2936"/>
      <c r="LSN68" s="2936"/>
      <c r="LSO68" s="2936"/>
      <c r="LSP68" s="2936"/>
      <c r="LSQ68" s="2936"/>
      <c r="LSR68" s="2936"/>
      <c r="LSS68" s="2936"/>
      <c r="LST68" s="2936"/>
      <c r="LSU68" s="2936"/>
      <c r="LSV68" s="2936"/>
      <c r="LSW68" s="2936"/>
      <c r="LSX68" s="2936"/>
      <c r="LSY68" s="2936"/>
      <c r="LSZ68" s="2936"/>
      <c r="LTA68" s="2936"/>
      <c r="LTB68" s="2936"/>
      <c r="LTC68" s="2936"/>
      <c r="LTD68" s="2936"/>
      <c r="LTE68" s="2936"/>
      <c r="LTF68" s="2936"/>
      <c r="LTG68" s="2936"/>
      <c r="LTH68" s="2936"/>
      <c r="LTI68" s="2936"/>
      <c r="LTJ68" s="2936"/>
      <c r="LTK68" s="2936"/>
      <c r="LTL68" s="2936"/>
      <c r="LTM68" s="2936"/>
      <c r="LTN68" s="2936"/>
      <c r="LTO68" s="2936"/>
      <c r="LTP68" s="2936"/>
      <c r="LTQ68" s="2936"/>
      <c r="LTR68" s="2936"/>
      <c r="LTS68" s="2936"/>
      <c r="LTT68" s="2936"/>
      <c r="LTU68" s="2936"/>
      <c r="LTV68" s="2936"/>
      <c r="LTW68" s="2936"/>
      <c r="LTX68" s="2936"/>
      <c r="LTY68" s="2936"/>
      <c r="LTZ68" s="2936"/>
      <c r="LUA68" s="2936"/>
      <c r="LUB68" s="2936"/>
      <c r="LUC68" s="2936"/>
      <c r="LUD68" s="2936"/>
      <c r="LUE68" s="2936"/>
      <c r="LUF68" s="2936"/>
      <c r="LUG68" s="2936"/>
      <c r="LUH68" s="2936"/>
      <c r="LUI68" s="2936"/>
      <c r="LUJ68" s="2936"/>
      <c r="LUK68" s="2936"/>
      <c r="LUL68" s="2936"/>
      <c r="LUM68" s="2936"/>
      <c r="LUN68" s="2936"/>
      <c r="LUO68" s="2936"/>
      <c r="LUP68" s="2936"/>
      <c r="LUQ68" s="2936"/>
      <c r="LUR68" s="2936"/>
      <c r="LUS68" s="2936"/>
      <c r="LUT68" s="2936"/>
      <c r="LUU68" s="2936"/>
      <c r="LUV68" s="2936"/>
      <c r="LUW68" s="2936"/>
      <c r="LUX68" s="2936"/>
      <c r="LUY68" s="2936"/>
      <c r="LUZ68" s="2936"/>
      <c r="LVA68" s="2936"/>
      <c r="LVB68" s="2936"/>
      <c r="LVC68" s="2936"/>
      <c r="LVD68" s="2936"/>
      <c r="LVE68" s="2936"/>
      <c r="LVF68" s="2936"/>
      <c r="LVG68" s="2936"/>
      <c r="LVH68" s="2936"/>
      <c r="LVI68" s="2936"/>
      <c r="LVJ68" s="2936"/>
      <c r="LVK68" s="2936"/>
      <c r="LVL68" s="2936"/>
      <c r="LVM68" s="2936"/>
      <c r="LVN68" s="2936"/>
      <c r="LVO68" s="2936"/>
      <c r="LVP68" s="2936"/>
      <c r="LVQ68" s="2936"/>
      <c r="LVR68" s="2936"/>
      <c r="LVS68" s="2936"/>
      <c r="LVT68" s="2936"/>
      <c r="LVU68" s="2936"/>
      <c r="LVV68" s="2936"/>
      <c r="LVW68" s="2936"/>
      <c r="LVX68" s="2936"/>
      <c r="LVY68" s="2936"/>
      <c r="LVZ68" s="2936"/>
      <c r="LWA68" s="2936"/>
      <c r="LWB68" s="2936"/>
      <c r="LWC68" s="2936"/>
      <c r="LWD68" s="2936"/>
      <c r="LWE68" s="2936"/>
      <c r="LWF68" s="2936"/>
      <c r="LWG68" s="2936"/>
      <c r="LWH68" s="2936"/>
      <c r="LWI68" s="2936"/>
      <c r="LWJ68" s="2936"/>
      <c r="LWK68" s="2936"/>
      <c r="LWL68" s="2936"/>
      <c r="LWM68" s="2936"/>
      <c r="LWN68" s="2936"/>
      <c r="LWO68" s="2936"/>
      <c r="LWP68" s="2936"/>
      <c r="LWQ68" s="2936"/>
      <c r="LWR68" s="2936"/>
      <c r="LWS68" s="2936"/>
      <c r="LWT68" s="2936"/>
      <c r="LWU68" s="2936"/>
      <c r="LWV68" s="2936"/>
      <c r="LWW68" s="2936"/>
      <c r="LWX68" s="2936"/>
      <c r="LWY68" s="2936"/>
      <c r="LWZ68" s="2936"/>
      <c r="LXA68" s="2936"/>
      <c r="LXB68" s="2936"/>
      <c r="LXC68" s="2936"/>
      <c r="LXD68" s="2936"/>
      <c r="LXE68" s="2936"/>
      <c r="LXF68" s="2936"/>
      <c r="LXG68" s="2936"/>
      <c r="LXH68" s="2936"/>
      <c r="LXI68" s="2936"/>
      <c r="LXJ68" s="2936"/>
      <c r="LXK68" s="2936"/>
      <c r="LXL68" s="2936"/>
      <c r="LXM68" s="2936"/>
      <c r="LXN68" s="2936"/>
      <c r="LXO68" s="2936"/>
      <c r="LXP68" s="2936"/>
      <c r="LXQ68" s="2936"/>
      <c r="LXR68" s="2936"/>
      <c r="LXS68" s="2936"/>
      <c r="LXT68" s="2936"/>
      <c r="LXU68" s="2936"/>
      <c r="LXV68" s="2936"/>
      <c r="LXW68" s="2936"/>
      <c r="LXX68" s="2936"/>
      <c r="LXY68" s="2936"/>
      <c r="LXZ68" s="2936"/>
      <c r="LYA68" s="2936"/>
      <c r="LYB68" s="2936"/>
      <c r="LYC68" s="2936"/>
      <c r="LYD68" s="2936"/>
      <c r="LYE68" s="2936"/>
      <c r="LYF68" s="2936"/>
      <c r="LYG68" s="2936"/>
      <c r="LYH68" s="2936"/>
      <c r="LYI68" s="2936"/>
      <c r="LYJ68" s="2936"/>
      <c r="LYK68" s="2936"/>
      <c r="LYL68" s="2936"/>
      <c r="LYM68" s="2936"/>
      <c r="LYN68" s="2936"/>
      <c r="LYO68" s="2936"/>
      <c r="LYP68" s="2936"/>
      <c r="LYQ68" s="2936"/>
      <c r="LYR68" s="2936"/>
      <c r="LYS68" s="2936"/>
      <c r="LYT68" s="2936"/>
      <c r="LYU68" s="2936"/>
      <c r="LYV68" s="2936"/>
      <c r="LYW68" s="2936"/>
      <c r="LYX68" s="2936"/>
      <c r="LYY68" s="2936"/>
      <c r="LYZ68" s="2936"/>
      <c r="LZA68" s="2936"/>
      <c r="LZB68" s="2936"/>
      <c r="LZC68" s="2936"/>
      <c r="LZD68" s="2936"/>
      <c r="LZE68" s="2936"/>
      <c r="LZF68" s="2936"/>
      <c r="LZG68" s="2936"/>
      <c r="LZH68" s="2936"/>
      <c r="LZI68" s="2936"/>
      <c r="LZJ68" s="2936"/>
      <c r="LZK68" s="2936"/>
      <c r="LZL68" s="2936"/>
      <c r="LZM68" s="2936"/>
      <c r="LZN68" s="2936"/>
      <c r="LZO68" s="2936"/>
      <c r="LZP68" s="2936"/>
      <c r="LZQ68" s="2936"/>
      <c r="LZR68" s="2936"/>
      <c r="LZS68" s="2936"/>
      <c r="LZT68" s="2936"/>
      <c r="LZU68" s="2936"/>
      <c r="LZV68" s="2936"/>
      <c r="LZW68" s="2936"/>
      <c r="LZX68" s="2936"/>
      <c r="LZY68" s="2936"/>
      <c r="LZZ68" s="2936"/>
      <c r="MAA68" s="2936"/>
      <c r="MAB68" s="2936"/>
      <c r="MAC68" s="2936"/>
      <c r="MAD68" s="2936"/>
      <c r="MAE68" s="2936"/>
      <c r="MAF68" s="2936"/>
      <c r="MAG68" s="2936"/>
      <c r="MAH68" s="2936"/>
      <c r="MAI68" s="2936"/>
      <c r="MAJ68" s="2936"/>
      <c r="MAK68" s="2936"/>
      <c r="MAL68" s="2936"/>
      <c r="MAM68" s="2936"/>
      <c r="MAN68" s="2936"/>
      <c r="MAO68" s="2936"/>
      <c r="MAP68" s="2936"/>
      <c r="MAQ68" s="2936"/>
      <c r="MAR68" s="2936"/>
      <c r="MAS68" s="2936"/>
      <c r="MAT68" s="2936"/>
      <c r="MAU68" s="2936"/>
      <c r="MAV68" s="2936"/>
      <c r="MAW68" s="2936"/>
      <c r="MAX68" s="2936"/>
      <c r="MAY68" s="2936"/>
      <c r="MAZ68" s="2936"/>
      <c r="MBA68" s="2936"/>
      <c r="MBB68" s="2936"/>
      <c r="MBC68" s="2936"/>
      <c r="MBD68" s="2936"/>
      <c r="MBE68" s="2936"/>
      <c r="MBF68" s="2936"/>
      <c r="MBG68" s="2936"/>
      <c r="MBH68" s="2936"/>
      <c r="MBI68" s="2936"/>
      <c r="MBJ68" s="2936"/>
      <c r="MBK68" s="2936"/>
      <c r="MBL68" s="2936"/>
      <c r="MBM68" s="2936"/>
      <c r="MBN68" s="2936"/>
      <c r="MBO68" s="2936"/>
      <c r="MBP68" s="2936"/>
      <c r="MBQ68" s="2936"/>
      <c r="MBR68" s="2936"/>
      <c r="MBS68" s="2936"/>
      <c r="MBT68" s="2936"/>
      <c r="MBU68" s="2936"/>
      <c r="MBV68" s="2936"/>
      <c r="MBW68" s="2936"/>
      <c r="MBX68" s="2936"/>
      <c r="MBY68" s="2936"/>
      <c r="MBZ68" s="2936"/>
      <c r="MCA68" s="2936"/>
      <c r="MCB68" s="2936"/>
      <c r="MCC68" s="2936"/>
      <c r="MCD68" s="2936"/>
      <c r="MCE68" s="2936"/>
      <c r="MCF68" s="2936"/>
      <c r="MCG68" s="2936"/>
      <c r="MCH68" s="2936"/>
      <c r="MCI68" s="2936"/>
      <c r="MCJ68" s="2936"/>
      <c r="MCK68" s="2936"/>
      <c r="MCL68" s="2936"/>
      <c r="MCM68" s="2936"/>
      <c r="MCN68" s="2936"/>
      <c r="MCO68" s="2936"/>
      <c r="MCP68" s="2936"/>
      <c r="MCQ68" s="2936"/>
      <c r="MCR68" s="2936"/>
      <c r="MCS68" s="2936"/>
      <c r="MCT68" s="2936"/>
      <c r="MCU68" s="2936"/>
      <c r="MCV68" s="2936"/>
      <c r="MCW68" s="2936"/>
      <c r="MCX68" s="2936"/>
      <c r="MCY68" s="2936"/>
      <c r="MCZ68" s="2936"/>
      <c r="MDA68" s="2936"/>
      <c r="MDB68" s="2936"/>
      <c r="MDC68" s="2936"/>
      <c r="MDD68" s="2936"/>
      <c r="MDE68" s="2936"/>
      <c r="MDF68" s="2936"/>
      <c r="MDG68" s="2936"/>
      <c r="MDH68" s="2936"/>
      <c r="MDI68" s="2936"/>
      <c r="MDJ68" s="2936"/>
      <c r="MDK68" s="2936"/>
      <c r="MDL68" s="2936"/>
      <c r="MDM68" s="2936"/>
      <c r="MDN68" s="2936"/>
      <c r="MDO68" s="2936"/>
      <c r="MDP68" s="2936"/>
      <c r="MDQ68" s="2936"/>
      <c r="MDR68" s="2936"/>
      <c r="MDS68" s="2936"/>
      <c r="MDT68" s="2936"/>
      <c r="MDU68" s="2936"/>
      <c r="MDV68" s="2936"/>
      <c r="MDW68" s="2936"/>
      <c r="MDX68" s="2936"/>
      <c r="MDY68" s="2936"/>
      <c r="MDZ68" s="2936"/>
      <c r="MEA68" s="2936"/>
      <c r="MEB68" s="2936"/>
      <c r="MEC68" s="2936"/>
      <c r="MED68" s="2936"/>
      <c r="MEE68" s="2936"/>
      <c r="MEF68" s="2936"/>
      <c r="MEG68" s="2936"/>
      <c r="MEH68" s="2936"/>
      <c r="MEI68" s="2936"/>
      <c r="MEJ68" s="2936"/>
      <c r="MEK68" s="2936"/>
      <c r="MEL68" s="2936"/>
      <c r="MEM68" s="2936"/>
      <c r="MEN68" s="2936"/>
      <c r="MEO68" s="2936"/>
      <c r="MEP68" s="2936"/>
      <c r="MEQ68" s="2936"/>
      <c r="MER68" s="2936"/>
      <c r="MES68" s="2936"/>
      <c r="MET68" s="2936"/>
      <c r="MEU68" s="2936"/>
      <c r="MEV68" s="2936"/>
      <c r="MEW68" s="2936"/>
      <c r="MEX68" s="2936"/>
      <c r="MEY68" s="2936"/>
      <c r="MEZ68" s="2936"/>
      <c r="MFA68" s="2936"/>
      <c r="MFB68" s="2936"/>
      <c r="MFC68" s="2936"/>
      <c r="MFD68" s="2936"/>
      <c r="MFE68" s="2936"/>
      <c r="MFF68" s="2936"/>
      <c r="MFG68" s="2936"/>
      <c r="MFH68" s="2936"/>
      <c r="MFI68" s="2936"/>
      <c r="MFJ68" s="2936"/>
      <c r="MFK68" s="2936"/>
      <c r="MFL68" s="2936"/>
      <c r="MFM68" s="2936"/>
      <c r="MFN68" s="2936"/>
      <c r="MFO68" s="2936"/>
      <c r="MFP68" s="2936"/>
      <c r="MFQ68" s="2936"/>
      <c r="MFR68" s="2936"/>
      <c r="MFS68" s="2936"/>
      <c r="MFT68" s="2936"/>
      <c r="MFU68" s="2936"/>
      <c r="MFV68" s="2936"/>
      <c r="MFW68" s="2936"/>
      <c r="MFX68" s="2936"/>
      <c r="MFY68" s="2936"/>
      <c r="MFZ68" s="2936"/>
      <c r="MGA68" s="2936"/>
      <c r="MGB68" s="2936"/>
      <c r="MGC68" s="2936"/>
      <c r="MGD68" s="2936"/>
      <c r="MGE68" s="2936"/>
      <c r="MGF68" s="2936"/>
      <c r="MGG68" s="2936"/>
      <c r="MGH68" s="2936"/>
      <c r="MGI68" s="2936"/>
      <c r="MGJ68" s="2936"/>
      <c r="MGK68" s="2936"/>
      <c r="MGL68" s="2936"/>
      <c r="MGM68" s="2936"/>
      <c r="MGN68" s="2936"/>
      <c r="MGO68" s="2936"/>
      <c r="MGP68" s="2936"/>
      <c r="MGQ68" s="2936"/>
      <c r="MGR68" s="2936"/>
      <c r="MGS68" s="2936"/>
      <c r="MGT68" s="2936"/>
      <c r="MGU68" s="2936"/>
      <c r="MGV68" s="2936"/>
      <c r="MGW68" s="2936"/>
      <c r="MGX68" s="2936"/>
      <c r="MGY68" s="2936"/>
      <c r="MGZ68" s="2936"/>
      <c r="MHA68" s="2936"/>
      <c r="MHB68" s="2936"/>
      <c r="MHC68" s="2936"/>
      <c r="MHD68" s="2936"/>
      <c r="MHE68" s="2936"/>
      <c r="MHF68" s="2936"/>
      <c r="MHG68" s="2936"/>
      <c r="MHH68" s="2936"/>
      <c r="MHI68" s="2936"/>
      <c r="MHJ68" s="2936"/>
      <c r="MHK68" s="2936"/>
      <c r="MHL68" s="2936"/>
      <c r="MHM68" s="2936"/>
      <c r="MHN68" s="2936"/>
      <c r="MHO68" s="2936"/>
      <c r="MHP68" s="2936"/>
      <c r="MHQ68" s="2936"/>
      <c r="MHR68" s="2936"/>
      <c r="MHS68" s="2936"/>
      <c r="MHT68" s="2936"/>
      <c r="MHU68" s="2936"/>
      <c r="MHV68" s="2936"/>
      <c r="MHW68" s="2936"/>
      <c r="MHX68" s="2936"/>
      <c r="MHY68" s="2936"/>
      <c r="MHZ68" s="2936"/>
      <c r="MIA68" s="2936"/>
      <c r="MIB68" s="2936"/>
      <c r="MIC68" s="2936"/>
      <c r="MID68" s="2936"/>
      <c r="MIE68" s="2936"/>
      <c r="MIF68" s="2936"/>
      <c r="MIG68" s="2936"/>
      <c r="MIH68" s="2936"/>
      <c r="MII68" s="2936"/>
      <c r="MIJ68" s="2936"/>
      <c r="MIK68" s="2936"/>
      <c r="MIL68" s="2936"/>
      <c r="MIM68" s="2936"/>
      <c r="MIN68" s="2936"/>
      <c r="MIO68" s="2936"/>
      <c r="MIP68" s="2936"/>
      <c r="MIQ68" s="2936"/>
      <c r="MIR68" s="2936"/>
      <c r="MIS68" s="2936"/>
      <c r="MIT68" s="2936"/>
      <c r="MIU68" s="2936"/>
      <c r="MIV68" s="2936"/>
      <c r="MIW68" s="2936"/>
      <c r="MIX68" s="2936"/>
      <c r="MIY68" s="2936"/>
      <c r="MIZ68" s="2936"/>
      <c r="MJA68" s="2936"/>
      <c r="MJB68" s="2936"/>
      <c r="MJC68" s="2936"/>
      <c r="MJD68" s="2936"/>
      <c r="MJE68" s="2936"/>
      <c r="MJF68" s="2936"/>
      <c r="MJG68" s="2936"/>
      <c r="MJH68" s="2936"/>
      <c r="MJI68" s="2936"/>
      <c r="MJJ68" s="2936"/>
      <c r="MJK68" s="2936"/>
      <c r="MJL68" s="2936"/>
      <c r="MJM68" s="2936"/>
      <c r="MJN68" s="2936"/>
      <c r="MJO68" s="2936"/>
      <c r="MJP68" s="2936"/>
      <c r="MJQ68" s="2936"/>
      <c r="MJR68" s="2936"/>
      <c r="MJS68" s="2936"/>
      <c r="MJT68" s="2936"/>
      <c r="MJU68" s="2936"/>
      <c r="MJV68" s="2936"/>
      <c r="MJW68" s="2936"/>
      <c r="MJX68" s="2936"/>
      <c r="MJY68" s="2936"/>
      <c r="MJZ68" s="2936"/>
      <c r="MKA68" s="2936"/>
      <c r="MKB68" s="2936"/>
      <c r="MKC68" s="2936"/>
      <c r="MKD68" s="2936"/>
      <c r="MKE68" s="2936"/>
      <c r="MKF68" s="2936"/>
      <c r="MKG68" s="2936"/>
      <c r="MKH68" s="2936"/>
      <c r="MKI68" s="2936"/>
      <c r="MKJ68" s="2936"/>
      <c r="MKK68" s="2936"/>
      <c r="MKL68" s="2936"/>
      <c r="MKM68" s="2936"/>
      <c r="MKN68" s="2936"/>
      <c r="MKO68" s="2936"/>
      <c r="MKP68" s="2936"/>
      <c r="MKQ68" s="2936"/>
      <c r="MKR68" s="2936"/>
      <c r="MKS68" s="2936"/>
      <c r="MKT68" s="2936"/>
      <c r="MKU68" s="2936"/>
      <c r="MKV68" s="2936"/>
      <c r="MKW68" s="2936"/>
      <c r="MKX68" s="2936"/>
      <c r="MKY68" s="2936"/>
      <c r="MKZ68" s="2936"/>
      <c r="MLA68" s="2936"/>
      <c r="MLB68" s="2936"/>
      <c r="MLC68" s="2936"/>
      <c r="MLD68" s="2936"/>
      <c r="MLE68" s="2936"/>
      <c r="MLF68" s="2936"/>
      <c r="MLG68" s="2936"/>
      <c r="MLH68" s="2936"/>
      <c r="MLI68" s="2936"/>
      <c r="MLJ68" s="2936"/>
      <c r="MLK68" s="2936"/>
      <c r="MLL68" s="2936"/>
      <c r="MLM68" s="2936"/>
      <c r="MLN68" s="2936"/>
      <c r="MLO68" s="2936"/>
      <c r="MLP68" s="2936"/>
      <c r="MLQ68" s="2936"/>
      <c r="MLR68" s="2936"/>
      <c r="MLS68" s="2936"/>
      <c r="MLT68" s="2936"/>
      <c r="MLU68" s="2936"/>
      <c r="MLV68" s="2936"/>
      <c r="MLW68" s="2936"/>
      <c r="MLX68" s="2936"/>
      <c r="MLY68" s="2936"/>
      <c r="MLZ68" s="2936"/>
      <c r="MMA68" s="2936"/>
      <c r="MMB68" s="2936"/>
      <c r="MMC68" s="2936"/>
      <c r="MMD68" s="2936"/>
      <c r="MME68" s="2936"/>
      <c r="MMF68" s="2936"/>
      <c r="MMG68" s="2936"/>
      <c r="MMH68" s="2936"/>
      <c r="MMI68" s="2936"/>
      <c r="MMJ68" s="2936"/>
      <c r="MMK68" s="2936"/>
      <c r="MML68" s="2936"/>
      <c r="MMM68" s="2936"/>
      <c r="MMN68" s="2936"/>
      <c r="MMO68" s="2936"/>
      <c r="MMP68" s="2936"/>
      <c r="MMQ68" s="2936"/>
      <c r="MMR68" s="2936"/>
      <c r="MMS68" s="2936"/>
      <c r="MMT68" s="2936"/>
      <c r="MMU68" s="2936"/>
      <c r="MMV68" s="2936"/>
      <c r="MMW68" s="2936"/>
      <c r="MMX68" s="2936"/>
      <c r="MMY68" s="2936"/>
      <c r="MMZ68" s="2936"/>
      <c r="MNA68" s="2936"/>
      <c r="MNB68" s="2936"/>
      <c r="MNC68" s="2936"/>
      <c r="MND68" s="2936"/>
      <c r="MNE68" s="2936"/>
      <c r="MNF68" s="2936"/>
      <c r="MNG68" s="2936"/>
      <c r="MNH68" s="2936"/>
      <c r="MNI68" s="2936"/>
      <c r="MNJ68" s="2936"/>
      <c r="MNK68" s="2936"/>
      <c r="MNL68" s="2936"/>
      <c r="MNM68" s="2936"/>
      <c r="MNN68" s="2936"/>
      <c r="MNO68" s="2936"/>
      <c r="MNP68" s="2936"/>
      <c r="MNQ68" s="2936"/>
      <c r="MNR68" s="2936"/>
      <c r="MNS68" s="2936"/>
      <c r="MNT68" s="2936"/>
      <c r="MNU68" s="2936"/>
      <c r="MNV68" s="2936"/>
      <c r="MNW68" s="2936"/>
      <c r="MNX68" s="2936"/>
      <c r="MNY68" s="2936"/>
      <c r="MNZ68" s="2936"/>
      <c r="MOA68" s="2936"/>
      <c r="MOB68" s="2936"/>
      <c r="MOC68" s="2936"/>
      <c r="MOD68" s="2936"/>
      <c r="MOE68" s="2936"/>
      <c r="MOF68" s="2936"/>
      <c r="MOG68" s="2936"/>
      <c r="MOH68" s="2936"/>
      <c r="MOI68" s="2936"/>
      <c r="MOJ68" s="2936"/>
      <c r="MOK68" s="2936"/>
      <c r="MOL68" s="2936"/>
      <c r="MOM68" s="2936"/>
      <c r="MON68" s="2936"/>
      <c r="MOO68" s="2936"/>
      <c r="MOP68" s="2936"/>
      <c r="MOQ68" s="2936"/>
      <c r="MOR68" s="2936"/>
      <c r="MOS68" s="2936"/>
      <c r="MOT68" s="2936"/>
      <c r="MOU68" s="2936"/>
      <c r="MOV68" s="2936"/>
      <c r="MOW68" s="2936"/>
      <c r="MOX68" s="2936"/>
      <c r="MOY68" s="2936"/>
      <c r="MOZ68" s="2936"/>
      <c r="MPA68" s="2936"/>
      <c r="MPB68" s="2936"/>
      <c r="MPC68" s="2936"/>
      <c r="MPD68" s="2936"/>
      <c r="MPE68" s="2936"/>
      <c r="MPF68" s="2936"/>
      <c r="MPG68" s="2936"/>
      <c r="MPH68" s="2936"/>
      <c r="MPI68" s="2936"/>
      <c r="MPJ68" s="2936"/>
      <c r="MPK68" s="2936"/>
      <c r="MPL68" s="2936"/>
      <c r="MPM68" s="2936"/>
      <c r="MPN68" s="2936"/>
      <c r="MPO68" s="2936"/>
      <c r="MPP68" s="2936"/>
      <c r="MPQ68" s="2936"/>
      <c r="MPR68" s="2936"/>
      <c r="MPS68" s="2936"/>
      <c r="MPT68" s="2936"/>
      <c r="MPU68" s="2936"/>
      <c r="MPV68" s="2936"/>
      <c r="MPW68" s="2936"/>
      <c r="MPX68" s="2936"/>
      <c r="MPY68" s="2936"/>
      <c r="MPZ68" s="2936"/>
      <c r="MQA68" s="2936"/>
      <c r="MQB68" s="2936"/>
      <c r="MQC68" s="2936"/>
      <c r="MQD68" s="2936"/>
      <c r="MQE68" s="2936"/>
      <c r="MQF68" s="2936"/>
      <c r="MQG68" s="2936"/>
      <c r="MQH68" s="2936"/>
      <c r="MQI68" s="2936"/>
      <c r="MQJ68" s="2936"/>
      <c r="MQK68" s="2936"/>
      <c r="MQL68" s="2936"/>
      <c r="MQM68" s="2936"/>
      <c r="MQN68" s="2936"/>
      <c r="MQO68" s="2936"/>
      <c r="MQP68" s="2936"/>
      <c r="MQQ68" s="2936"/>
      <c r="MQR68" s="2936"/>
      <c r="MQS68" s="2936"/>
      <c r="MQT68" s="2936"/>
      <c r="MQU68" s="2936"/>
      <c r="MQV68" s="2936"/>
      <c r="MQW68" s="2936"/>
      <c r="MQX68" s="2936"/>
      <c r="MQY68" s="2936"/>
      <c r="MQZ68" s="2936"/>
      <c r="MRA68" s="2936"/>
      <c r="MRB68" s="2936"/>
      <c r="MRC68" s="2936"/>
      <c r="MRD68" s="2936"/>
      <c r="MRE68" s="2936"/>
      <c r="MRF68" s="2936"/>
      <c r="MRG68" s="2936"/>
      <c r="MRH68" s="2936"/>
      <c r="MRI68" s="2936"/>
      <c r="MRJ68" s="2936"/>
      <c r="MRK68" s="2936"/>
      <c r="MRL68" s="2936"/>
      <c r="MRM68" s="2936"/>
      <c r="MRN68" s="2936"/>
      <c r="MRO68" s="2936"/>
      <c r="MRP68" s="2936"/>
      <c r="MRQ68" s="2936"/>
      <c r="MRR68" s="2936"/>
      <c r="MRS68" s="2936"/>
      <c r="MRT68" s="2936"/>
      <c r="MRU68" s="2936"/>
      <c r="MRV68" s="2936"/>
      <c r="MRW68" s="2936"/>
      <c r="MRX68" s="2936"/>
      <c r="MRY68" s="2936"/>
      <c r="MRZ68" s="2936"/>
      <c r="MSA68" s="2936"/>
      <c r="MSB68" s="2936"/>
      <c r="MSC68" s="2936"/>
      <c r="MSD68" s="2936"/>
      <c r="MSE68" s="2936"/>
      <c r="MSF68" s="2936"/>
      <c r="MSG68" s="2936"/>
      <c r="MSH68" s="2936"/>
      <c r="MSI68" s="2936"/>
      <c r="MSJ68" s="2936"/>
      <c r="MSK68" s="2936"/>
      <c r="MSL68" s="2936"/>
      <c r="MSM68" s="2936"/>
      <c r="MSN68" s="2936"/>
      <c r="MSO68" s="2936"/>
      <c r="MSP68" s="2936"/>
      <c r="MSQ68" s="2936"/>
      <c r="MSR68" s="2936"/>
      <c r="MSS68" s="2936"/>
      <c r="MST68" s="2936"/>
      <c r="MSU68" s="2936"/>
      <c r="MSV68" s="2936"/>
      <c r="MSW68" s="2936"/>
      <c r="MSX68" s="2936"/>
      <c r="MSY68" s="2936"/>
      <c r="MSZ68" s="2936"/>
      <c r="MTA68" s="2936"/>
      <c r="MTB68" s="2936"/>
      <c r="MTC68" s="2936"/>
      <c r="MTD68" s="2936"/>
      <c r="MTE68" s="2936"/>
      <c r="MTF68" s="2936"/>
      <c r="MTG68" s="2936"/>
      <c r="MTH68" s="2936"/>
      <c r="MTI68" s="2936"/>
      <c r="MTJ68" s="2936"/>
      <c r="MTK68" s="2936"/>
      <c r="MTL68" s="2936"/>
      <c r="MTM68" s="2936"/>
      <c r="MTN68" s="2936"/>
      <c r="MTO68" s="2936"/>
      <c r="MTP68" s="2936"/>
      <c r="MTQ68" s="2936"/>
      <c r="MTR68" s="2936"/>
      <c r="MTS68" s="2936"/>
      <c r="MTT68" s="2936"/>
      <c r="MTU68" s="2936"/>
      <c r="MTV68" s="2936"/>
      <c r="MTW68" s="2936"/>
      <c r="MTX68" s="2936"/>
      <c r="MTY68" s="2936"/>
      <c r="MTZ68" s="2936"/>
      <c r="MUA68" s="2936"/>
      <c r="MUB68" s="2936"/>
      <c r="MUC68" s="2936"/>
      <c r="MUD68" s="2936"/>
      <c r="MUE68" s="2936"/>
      <c r="MUF68" s="2936"/>
      <c r="MUG68" s="2936"/>
      <c r="MUH68" s="2936"/>
      <c r="MUI68" s="2936"/>
      <c r="MUJ68" s="2936"/>
      <c r="MUK68" s="2936"/>
      <c r="MUL68" s="2936"/>
      <c r="MUM68" s="2936"/>
      <c r="MUN68" s="2936"/>
      <c r="MUO68" s="2936"/>
      <c r="MUP68" s="2936"/>
      <c r="MUQ68" s="2936"/>
      <c r="MUR68" s="2936"/>
      <c r="MUS68" s="2936"/>
      <c r="MUT68" s="2936"/>
      <c r="MUU68" s="2936"/>
      <c r="MUV68" s="2936"/>
      <c r="MUW68" s="2936"/>
      <c r="MUX68" s="2936"/>
      <c r="MUY68" s="2936"/>
      <c r="MUZ68" s="2936"/>
      <c r="MVA68" s="2936"/>
      <c r="MVB68" s="2936"/>
      <c r="MVC68" s="2936"/>
      <c r="MVD68" s="2936"/>
      <c r="MVE68" s="2936"/>
      <c r="MVF68" s="2936"/>
      <c r="MVG68" s="2936"/>
      <c r="MVH68" s="2936"/>
      <c r="MVI68" s="2936"/>
      <c r="MVJ68" s="2936"/>
      <c r="MVK68" s="2936"/>
      <c r="MVL68" s="2936"/>
      <c r="MVM68" s="2936"/>
      <c r="MVN68" s="2936"/>
      <c r="MVO68" s="2936"/>
      <c r="MVP68" s="2936"/>
      <c r="MVQ68" s="2936"/>
      <c r="MVR68" s="2936"/>
      <c r="MVS68" s="2936"/>
      <c r="MVT68" s="2936"/>
      <c r="MVU68" s="2936"/>
      <c r="MVV68" s="2936"/>
      <c r="MVW68" s="2936"/>
      <c r="MVX68" s="2936"/>
      <c r="MVY68" s="2936"/>
      <c r="MVZ68" s="2936"/>
      <c r="MWA68" s="2936"/>
      <c r="MWB68" s="2936"/>
      <c r="MWC68" s="2936"/>
      <c r="MWD68" s="2936"/>
      <c r="MWE68" s="2936"/>
      <c r="MWF68" s="2936"/>
      <c r="MWG68" s="2936"/>
      <c r="MWH68" s="2936"/>
      <c r="MWI68" s="2936"/>
      <c r="MWJ68" s="2936"/>
      <c r="MWK68" s="2936"/>
      <c r="MWL68" s="2936"/>
      <c r="MWM68" s="2936"/>
      <c r="MWN68" s="2936"/>
      <c r="MWO68" s="2936"/>
      <c r="MWP68" s="2936"/>
      <c r="MWQ68" s="2936"/>
      <c r="MWR68" s="2936"/>
      <c r="MWS68" s="2936"/>
      <c r="MWT68" s="2936"/>
      <c r="MWU68" s="2936"/>
      <c r="MWV68" s="2936"/>
      <c r="MWW68" s="2936"/>
      <c r="MWX68" s="2936"/>
      <c r="MWY68" s="2936"/>
      <c r="MWZ68" s="2936"/>
      <c r="MXA68" s="2936"/>
      <c r="MXB68" s="2936"/>
      <c r="MXC68" s="2936"/>
      <c r="MXD68" s="2936"/>
      <c r="MXE68" s="2936"/>
      <c r="MXF68" s="2936"/>
      <c r="MXG68" s="2936"/>
      <c r="MXH68" s="2936"/>
      <c r="MXI68" s="2936"/>
      <c r="MXJ68" s="2936"/>
      <c r="MXK68" s="2936"/>
      <c r="MXL68" s="2936"/>
      <c r="MXM68" s="2936"/>
      <c r="MXN68" s="2936"/>
      <c r="MXO68" s="2936"/>
      <c r="MXP68" s="2936"/>
      <c r="MXQ68" s="2936"/>
      <c r="MXR68" s="2936"/>
      <c r="MXS68" s="2936"/>
      <c r="MXT68" s="2936"/>
      <c r="MXU68" s="2936"/>
      <c r="MXV68" s="2936"/>
      <c r="MXW68" s="2936"/>
      <c r="MXX68" s="2936"/>
      <c r="MXY68" s="2936"/>
      <c r="MXZ68" s="2936"/>
      <c r="MYA68" s="2936"/>
      <c r="MYB68" s="2936"/>
      <c r="MYC68" s="2936"/>
      <c r="MYD68" s="2936"/>
      <c r="MYE68" s="2936"/>
      <c r="MYF68" s="2936"/>
      <c r="MYG68" s="2936"/>
      <c r="MYH68" s="2936"/>
      <c r="MYI68" s="2936"/>
      <c r="MYJ68" s="2936"/>
      <c r="MYK68" s="2936"/>
      <c r="MYL68" s="2936"/>
      <c r="MYM68" s="2936"/>
      <c r="MYN68" s="2936"/>
      <c r="MYO68" s="2936"/>
      <c r="MYP68" s="2936"/>
      <c r="MYQ68" s="2936"/>
      <c r="MYR68" s="2936"/>
      <c r="MYS68" s="2936"/>
      <c r="MYT68" s="2936"/>
      <c r="MYU68" s="2936"/>
      <c r="MYV68" s="2936"/>
      <c r="MYW68" s="2936"/>
      <c r="MYX68" s="2936"/>
      <c r="MYY68" s="2936"/>
      <c r="MYZ68" s="2936"/>
      <c r="MZA68" s="2936"/>
      <c r="MZB68" s="2936"/>
      <c r="MZC68" s="2936"/>
      <c r="MZD68" s="2936"/>
      <c r="MZE68" s="2936"/>
      <c r="MZF68" s="2936"/>
      <c r="MZG68" s="2936"/>
      <c r="MZH68" s="2936"/>
      <c r="MZI68" s="2936"/>
      <c r="MZJ68" s="2936"/>
      <c r="MZK68" s="2936"/>
      <c r="MZL68" s="2936"/>
      <c r="MZM68" s="2936"/>
      <c r="MZN68" s="2936"/>
      <c r="MZO68" s="2936"/>
      <c r="MZP68" s="2936"/>
      <c r="MZQ68" s="2936"/>
      <c r="MZR68" s="2936"/>
      <c r="MZS68" s="2936"/>
      <c r="MZT68" s="2936"/>
      <c r="MZU68" s="2936"/>
      <c r="MZV68" s="2936"/>
      <c r="MZW68" s="2936"/>
      <c r="MZX68" s="2936"/>
      <c r="MZY68" s="2936"/>
      <c r="MZZ68" s="2936"/>
      <c r="NAA68" s="2936"/>
      <c r="NAB68" s="2936"/>
      <c r="NAC68" s="2936"/>
      <c r="NAD68" s="2936"/>
      <c r="NAE68" s="2936"/>
      <c r="NAF68" s="2936"/>
      <c r="NAG68" s="2936"/>
      <c r="NAH68" s="2936"/>
      <c r="NAI68" s="2936"/>
      <c r="NAJ68" s="2936"/>
      <c r="NAK68" s="2936"/>
      <c r="NAL68" s="2936"/>
      <c r="NAM68" s="2936"/>
      <c r="NAN68" s="2936"/>
      <c r="NAO68" s="2936"/>
      <c r="NAP68" s="2936"/>
      <c r="NAQ68" s="2936"/>
      <c r="NAR68" s="2936"/>
      <c r="NAS68" s="2936"/>
      <c r="NAT68" s="2936"/>
      <c r="NAU68" s="2936"/>
      <c r="NAV68" s="2936"/>
      <c r="NAW68" s="2936"/>
      <c r="NAX68" s="2936"/>
      <c r="NAY68" s="2936"/>
      <c r="NAZ68" s="2936"/>
      <c r="NBA68" s="2936"/>
      <c r="NBB68" s="2936"/>
      <c r="NBC68" s="2936"/>
      <c r="NBD68" s="2936"/>
      <c r="NBE68" s="2936"/>
      <c r="NBF68" s="2936"/>
      <c r="NBG68" s="2936"/>
      <c r="NBH68" s="2936"/>
      <c r="NBI68" s="2936"/>
      <c r="NBJ68" s="2936"/>
      <c r="NBK68" s="2936"/>
      <c r="NBL68" s="2936"/>
      <c r="NBM68" s="2936"/>
      <c r="NBN68" s="2936"/>
      <c r="NBO68" s="2936"/>
      <c r="NBP68" s="2936"/>
      <c r="NBQ68" s="2936"/>
      <c r="NBR68" s="2936"/>
      <c r="NBS68" s="2936"/>
      <c r="NBT68" s="2936"/>
      <c r="NBU68" s="2936"/>
      <c r="NBV68" s="2936"/>
      <c r="NBW68" s="2936"/>
      <c r="NBX68" s="2936"/>
      <c r="NBY68" s="2936"/>
      <c r="NBZ68" s="2936"/>
      <c r="NCA68" s="2936"/>
      <c r="NCB68" s="2936"/>
      <c r="NCC68" s="2936"/>
      <c r="NCD68" s="2936"/>
      <c r="NCE68" s="2936"/>
      <c r="NCF68" s="2936"/>
      <c r="NCG68" s="2936"/>
      <c r="NCH68" s="2936"/>
      <c r="NCI68" s="2936"/>
      <c r="NCJ68" s="2936"/>
      <c r="NCK68" s="2936"/>
      <c r="NCL68" s="2936"/>
      <c r="NCM68" s="2936"/>
      <c r="NCN68" s="2936"/>
      <c r="NCO68" s="2936"/>
      <c r="NCP68" s="2936"/>
      <c r="NCQ68" s="2936"/>
      <c r="NCR68" s="2936"/>
      <c r="NCS68" s="2936"/>
      <c r="NCT68" s="2936"/>
      <c r="NCU68" s="2936"/>
      <c r="NCV68" s="2936"/>
      <c r="NCW68" s="2936"/>
      <c r="NCX68" s="2936"/>
      <c r="NCY68" s="2936"/>
      <c r="NCZ68" s="2936"/>
      <c r="NDA68" s="2936"/>
      <c r="NDB68" s="2936"/>
      <c r="NDC68" s="2936"/>
      <c r="NDD68" s="2936"/>
      <c r="NDE68" s="2936"/>
      <c r="NDF68" s="2936"/>
      <c r="NDG68" s="2936"/>
      <c r="NDH68" s="2936"/>
      <c r="NDI68" s="2936"/>
      <c r="NDJ68" s="2936"/>
      <c r="NDK68" s="2936"/>
      <c r="NDL68" s="2936"/>
      <c r="NDM68" s="2936"/>
      <c r="NDN68" s="2936"/>
      <c r="NDO68" s="2936"/>
      <c r="NDP68" s="2936"/>
      <c r="NDQ68" s="2936"/>
      <c r="NDR68" s="2936"/>
      <c r="NDS68" s="2936"/>
      <c r="NDT68" s="2936"/>
      <c r="NDU68" s="2936"/>
      <c r="NDV68" s="2936"/>
      <c r="NDW68" s="2936"/>
      <c r="NDX68" s="2936"/>
      <c r="NDY68" s="2936"/>
      <c r="NDZ68" s="2936"/>
      <c r="NEA68" s="2936"/>
      <c r="NEB68" s="2936"/>
      <c r="NEC68" s="2936"/>
      <c r="NED68" s="2936"/>
      <c r="NEE68" s="2936"/>
      <c r="NEF68" s="2936"/>
      <c r="NEG68" s="2936"/>
      <c r="NEH68" s="2936"/>
      <c r="NEI68" s="2936"/>
      <c r="NEJ68" s="2936"/>
      <c r="NEK68" s="2936"/>
      <c r="NEL68" s="2936"/>
      <c r="NEM68" s="2936"/>
      <c r="NEN68" s="2936"/>
      <c r="NEO68" s="2936"/>
      <c r="NEP68" s="2936"/>
      <c r="NEQ68" s="2936"/>
      <c r="NER68" s="2936"/>
      <c r="NES68" s="2936"/>
      <c r="NET68" s="2936"/>
      <c r="NEU68" s="2936"/>
      <c r="NEV68" s="2936"/>
      <c r="NEW68" s="2936"/>
      <c r="NEX68" s="2936"/>
      <c r="NEY68" s="2936"/>
      <c r="NEZ68" s="2936"/>
      <c r="NFA68" s="2936"/>
      <c r="NFB68" s="2936"/>
      <c r="NFC68" s="2936"/>
      <c r="NFD68" s="2936"/>
      <c r="NFE68" s="2936"/>
      <c r="NFF68" s="2936"/>
      <c r="NFG68" s="2936"/>
      <c r="NFH68" s="2936"/>
      <c r="NFI68" s="2936"/>
      <c r="NFJ68" s="2936"/>
      <c r="NFK68" s="2936"/>
      <c r="NFL68" s="2936"/>
      <c r="NFM68" s="2936"/>
      <c r="NFN68" s="2936"/>
      <c r="NFO68" s="2936"/>
      <c r="NFP68" s="2936"/>
      <c r="NFQ68" s="2936"/>
      <c r="NFR68" s="2936"/>
      <c r="NFS68" s="2936"/>
      <c r="NFT68" s="2936"/>
      <c r="NFU68" s="2936"/>
      <c r="NFV68" s="2936"/>
      <c r="NFW68" s="2936"/>
      <c r="NFX68" s="2936"/>
      <c r="NFY68" s="2936"/>
      <c r="NFZ68" s="2936"/>
      <c r="NGA68" s="2936"/>
      <c r="NGB68" s="2936"/>
      <c r="NGC68" s="2936"/>
      <c r="NGD68" s="2936"/>
      <c r="NGE68" s="2936"/>
      <c r="NGF68" s="2936"/>
      <c r="NGG68" s="2936"/>
      <c r="NGH68" s="2936"/>
      <c r="NGI68" s="2936"/>
      <c r="NGJ68" s="2936"/>
      <c r="NGK68" s="2936"/>
      <c r="NGL68" s="2936"/>
      <c r="NGM68" s="2936"/>
      <c r="NGN68" s="2936"/>
      <c r="NGO68" s="2936"/>
      <c r="NGP68" s="2936"/>
      <c r="NGQ68" s="2936"/>
      <c r="NGR68" s="2936"/>
      <c r="NGS68" s="2936"/>
      <c r="NGT68" s="2936"/>
      <c r="NGU68" s="2936"/>
      <c r="NGV68" s="2936"/>
      <c r="NGW68" s="2936"/>
      <c r="NGX68" s="2936"/>
      <c r="NGY68" s="2936"/>
      <c r="NGZ68" s="2936"/>
      <c r="NHA68" s="2936"/>
      <c r="NHB68" s="2936"/>
      <c r="NHC68" s="2936"/>
      <c r="NHD68" s="2936"/>
      <c r="NHE68" s="2936"/>
      <c r="NHF68" s="2936"/>
      <c r="NHG68" s="2936"/>
      <c r="NHH68" s="2936"/>
      <c r="NHI68" s="2936"/>
      <c r="NHJ68" s="2936"/>
      <c r="NHK68" s="2936"/>
      <c r="NHL68" s="2936"/>
      <c r="NHM68" s="2936"/>
      <c r="NHN68" s="2936"/>
      <c r="NHO68" s="2936"/>
      <c r="NHP68" s="2936"/>
      <c r="NHQ68" s="2936"/>
      <c r="NHR68" s="2936"/>
      <c r="NHS68" s="2936"/>
      <c r="NHT68" s="2936"/>
      <c r="NHU68" s="2936"/>
      <c r="NHV68" s="2936"/>
      <c r="NHW68" s="2936"/>
      <c r="NHX68" s="2936"/>
      <c r="NHY68" s="2936"/>
      <c r="NHZ68" s="2936"/>
      <c r="NIA68" s="2936"/>
      <c r="NIB68" s="2936"/>
      <c r="NIC68" s="2936"/>
      <c r="NID68" s="2936"/>
      <c r="NIE68" s="2936"/>
      <c r="NIF68" s="2936"/>
      <c r="NIG68" s="2936"/>
      <c r="NIH68" s="2936"/>
      <c r="NII68" s="2936"/>
      <c r="NIJ68" s="2936"/>
      <c r="NIK68" s="2936"/>
      <c r="NIL68" s="2936"/>
      <c r="NIM68" s="2936"/>
      <c r="NIN68" s="2936"/>
      <c r="NIO68" s="2936"/>
      <c r="NIP68" s="2936"/>
      <c r="NIQ68" s="2936"/>
      <c r="NIR68" s="2936"/>
      <c r="NIS68" s="2936"/>
      <c r="NIT68" s="2936"/>
      <c r="NIU68" s="2936"/>
      <c r="NIV68" s="2936"/>
      <c r="NIW68" s="2936"/>
      <c r="NIX68" s="2936"/>
      <c r="NIY68" s="2936"/>
      <c r="NIZ68" s="2936"/>
      <c r="NJA68" s="2936"/>
      <c r="NJB68" s="2936"/>
      <c r="NJC68" s="2936"/>
      <c r="NJD68" s="2936"/>
      <c r="NJE68" s="2936"/>
      <c r="NJF68" s="2936"/>
      <c r="NJG68" s="2936"/>
      <c r="NJH68" s="2936"/>
      <c r="NJI68" s="2936"/>
      <c r="NJJ68" s="2936"/>
      <c r="NJK68" s="2936"/>
      <c r="NJL68" s="2936"/>
      <c r="NJM68" s="2936"/>
      <c r="NJN68" s="2936"/>
      <c r="NJO68" s="2936"/>
      <c r="NJP68" s="2936"/>
      <c r="NJQ68" s="2936"/>
      <c r="NJR68" s="2936"/>
      <c r="NJS68" s="2936"/>
      <c r="NJT68" s="2936"/>
      <c r="NJU68" s="2936"/>
      <c r="NJV68" s="2936"/>
      <c r="NJW68" s="2936"/>
      <c r="NJX68" s="2936"/>
      <c r="NJY68" s="2936"/>
      <c r="NJZ68" s="2936"/>
      <c r="NKA68" s="2936"/>
      <c r="NKB68" s="2936"/>
      <c r="NKC68" s="2936"/>
      <c r="NKD68" s="2936"/>
      <c r="NKE68" s="2936"/>
      <c r="NKF68" s="2936"/>
      <c r="NKG68" s="2936"/>
      <c r="NKH68" s="2936"/>
      <c r="NKI68" s="2936"/>
      <c r="NKJ68" s="2936"/>
      <c r="NKK68" s="2936"/>
      <c r="NKL68" s="2936"/>
      <c r="NKM68" s="2936"/>
      <c r="NKN68" s="2936"/>
      <c r="NKO68" s="2936"/>
      <c r="NKP68" s="2936"/>
      <c r="NKQ68" s="2936"/>
      <c r="NKR68" s="2936"/>
      <c r="NKS68" s="2936"/>
      <c r="NKT68" s="2936"/>
      <c r="NKU68" s="2936"/>
      <c r="NKV68" s="2936"/>
      <c r="NKW68" s="2936"/>
      <c r="NKX68" s="2936"/>
      <c r="NKY68" s="2936"/>
      <c r="NKZ68" s="2936"/>
      <c r="NLA68" s="2936"/>
      <c r="NLB68" s="2936"/>
      <c r="NLC68" s="2936"/>
      <c r="NLD68" s="2936"/>
      <c r="NLE68" s="2936"/>
      <c r="NLF68" s="2936"/>
      <c r="NLG68" s="2936"/>
      <c r="NLH68" s="2936"/>
      <c r="NLI68" s="2936"/>
      <c r="NLJ68" s="2936"/>
      <c r="NLK68" s="2936"/>
      <c r="NLL68" s="2936"/>
      <c r="NLM68" s="2936"/>
      <c r="NLN68" s="2936"/>
      <c r="NLO68" s="2936"/>
      <c r="NLP68" s="2936"/>
      <c r="NLQ68" s="2936"/>
      <c r="NLR68" s="2936"/>
      <c r="NLS68" s="2936"/>
      <c r="NLT68" s="2936"/>
      <c r="NLU68" s="2936"/>
      <c r="NLV68" s="2936"/>
      <c r="NLW68" s="2936"/>
      <c r="NLX68" s="2936"/>
      <c r="NLY68" s="2936"/>
      <c r="NLZ68" s="2936"/>
      <c r="NMA68" s="2936"/>
      <c r="NMB68" s="2936"/>
      <c r="NMC68" s="2936"/>
      <c r="NMD68" s="2936"/>
      <c r="NME68" s="2936"/>
      <c r="NMF68" s="2936"/>
      <c r="NMG68" s="2936"/>
      <c r="NMH68" s="2936"/>
      <c r="NMI68" s="2936"/>
      <c r="NMJ68" s="2936"/>
      <c r="NMK68" s="2936"/>
      <c r="NML68" s="2936"/>
      <c r="NMM68" s="2936"/>
      <c r="NMN68" s="2936"/>
      <c r="NMO68" s="2936"/>
      <c r="NMP68" s="2936"/>
      <c r="NMQ68" s="2936"/>
      <c r="NMR68" s="2936"/>
      <c r="NMS68" s="2936"/>
      <c r="NMT68" s="2936"/>
      <c r="NMU68" s="2936"/>
      <c r="NMV68" s="2936"/>
      <c r="NMW68" s="2936"/>
      <c r="NMX68" s="2936"/>
      <c r="NMY68" s="2936"/>
      <c r="NMZ68" s="2936"/>
      <c r="NNA68" s="2936"/>
      <c r="NNB68" s="2936"/>
      <c r="NNC68" s="2936"/>
      <c r="NND68" s="2936"/>
      <c r="NNE68" s="2936"/>
      <c r="NNF68" s="2936"/>
      <c r="NNG68" s="2936"/>
      <c r="NNH68" s="2936"/>
      <c r="NNI68" s="2936"/>
      <c r="NNJ68" s="2936"/>
      <c r="NNK68" s="2936"/>
      <c r="NNL68" s="2936"/>
      <c r="NNM68" s="2936"/>
      <c r="NNN68" s="2936"/>
      <c r="NNO68" s="2936"/>
      <c r="NNP68" s="2936"/>
      <c r="NNQ68" s="2936"/>
      <c r="NNR68" s="2936"/>
      <c r="NNS68" s="2936"/>
      <c r="NNT68" s="2936"/>
      <c r="NNU68" s="2936"/>
      <c r="NNV68" s="2936"/>
      <c r="NNW68" s="2936"/>
      <c r="NNX68" s="2936"/>
      <c r="NNY68" s="2936"/>
      <c r="NNZ68" s="2936"/>
      <c r="NOA68" s="2936"/>
      <c r="NOB68" s="2936"/>
      <c r="NOC68" s="2936"/>
      <c r="NOD68" s="2936"/>
      <c r="NOE68" s="2936"/>
      <c r="NOF68" s="2936"/>
      <c r="NOG68" s="2936"/>
      <c r="NOH68" s="2936"/>
      <c r="NOI68" s="2936"/>
      <c r="NOJ68" s="2936"/>
      <c r="NOK68" s="2936"/>
      <c r="NOL68" s="2936"/>
      <c r="NOM68" s="2936"/>
      <c r="NON68" s="2936"/>
      <c r="NOO68" s="2936"/>
      <c r="NOP68" s="2936"/>
      <c r="NOQ68" s="2936"/>
      <c r="NOR68" s="2936"/>
      <c r="NOS68" s="2936"/>
      <c r="NOT68" s="2936"/>
      <c r="NOU68" s="2936"/>
      <c r="NOV68" s="2936"/>
      <c r="NOW68" s="2936"/>
      <c r="NOX68" s="2936"/>
      <c r="NOY68" s="2936"/>
      <c r="NOZ68" s="2936"/>
      <c r="NPA68" s="2936"/>
      <c r="NPB68" s="2936"/>
      <c r="NPC68" s="2936"/>
      <c r="NPD68" s="2936"/>
      <c r="NPE68" s="2936"/>
      <c r="NPF68" s="2936"/>
      <c r="NPG68" s="2936"/>
      <c r="NPH68" s="2936"/>
      <c r="NPI68" s="2936"/>
      <c r="NPJ68" s="2936"/>
      <c r="NPK68" s="2936"/>
      <c r="NPL68" s="2936"/>
      <c r="NPM68" s="2936"/>
      <c r="NPN68" s="2936"/>
      <c r="NPO68" s="2936"/>
      <c r="NPP68" s="2936"/>
      <c r="NPQ68" s="2936"/>
      <c r="NPR68" s="2936"/>
      <c r="NPS68" s="2936"/>
      <c r="NPT68" s="2936"/>
      <c r="NPU68" s="2936"/>
      <c r="NPV68" s="2936"/>
      <c r="NPW68" s="2936"/>
      <c r="NPX68" s="2936"/>
      <c r="NPY68" s="2936"/>
      <c r="NPZ68" s="2936"/>
      <c r="NQA68" s="2936"/>
      <c r="NQB68" s="2936"/>
      <c r="NQC68" s="2936"/>
      <c r="NQD68" s="2936"/>
      <c r="NQE68" s="2936"/>
      <c r="NQF68" s="2936"/>
      <c r="NQG68" s="2936"/>
      <c r="NQH68" s="2936"/>
      <c r="NQI68" s="2936"/>
      <c r="NQJ68" s="2936"/>
      <c r="NQK68" s="2936"/>
      <c r="NQL68" s="2936"/>
      <c r="NQM68" s="2936"/>
      <c r="NQN68" s="2936"/>
      <c r="NQO68" s="2936"/>
      <c r="NQP68" s="2936"/>
      <c r="NQQ68" s="2936"/>
      <c r="NQR68" s="2936"/>
      <c r="NQS68" s="2936"/>
      <c r="NQT68" s="2936"/>
      <c r="NQU68" s="2936"/>
      <c r="NQV68" s="2936"/>
      <c r="NQW68" s="2936"/>
      <c r="NQX68" s="2936"/>
      <c r="NQY68" s="2936"/>
      <c r="NQZ68" s="2936"/>
      <c r="NRA68" s="2936"/>
      <c r="NRB68" s="2936"/>
      <c r="NRC68" s="2936"/>
      <c r="NRD68" s="2936"/>
      <c r="NRE68" s="2936"/>
      <c r="NRF68" s="2936"/>
      <c r="NRG68" s="2936"/>
      <c r="NRH68" s="2936"/>
      <c r="NRI68" s="2936"/>
      <c r="NRJ68" s="2936"/>
      <c r="NRK68" s="2936"/>
      <c r="NRL68" s="2936"/>
      <c r="NRM68" s="2936"/>
      <c r="NRN68" s="2936"/>
      <c r="NRO68" s="2936"/>
      <c r="NRP68" s="2936"/>
      <c r="NRQ68" s="2936"/>
      <c r="NRR68" s="2936"/>
      <c r="NRS68" s="2936"/>
      <c r="NRT68" s="2936"/>
      <c r="NRU68" s="2936"/>
      <c r="NRV68" s="2936"/>
      <c r="NRW68" s="2936"/>
      <c r="NRX68" s="2936"/>
      <c r="NRY68" s="2936"/>
      <c r="NRZ68" s="2936"/>
      <c r="NSA68" s="2936"/>
      <c r="NSB68" s="2936"/>
      <c r="NSC68" s="2936"/>
      <c r="NSD68" s="2936"/>
      <c r="NSE68" s="2936"/>
      <c r="NSF68" s="2936"/>
      <c r="NSG68" s="2936"/>
      <c r="NSH68" s="2936"/>
      <c r="NSI68" s="2936"/>
      <c r="NSJ68" s="2936"/>
      <c r="NSK68" s="2936"/>
      <c r="NSL68" s="2936"/>
      <c r="NSM68" s="2936"/>
      <c r="NSN68" s="2936"/>
      <c r="NSO68" s="2936"/>
      <c r="NSP68" s="2936"/>
      <c r="NSQ68" s="2936"/>
      <c r="NSR68" s="2936"/>
      <c r="NSS68" s="2936"/>
      <c r="NST68" s="2936"/>
      <c r="NSU68" s="2936"/>
      <c r="NSV68" s="2936"/>
      <c r="NSW68" s="2936"/>
      <c r="NSX68" s="2936"/>
      <c r="NSY68" s="2936"/>
      <c r="NSZ68" s="2936"/>
      <c r="NTA68" s="2936"/>
      <c r="NTB68" s="2936"/>
      <c r="NTC68" s="2936"/>
      <c r="NTD68" s="2936"/>
      <c r="NTE68" s="2936"/>
      <c r="NTF68" s="2936"/>
      <c r="NTG68" s="2936"/>
      <c r="NTH68" s="2936"/>
      <c r="NTI68" s="2936"/>
      <c r="NTJ68" s="2936"/>
      <c r="NTK68" s="2936"/>
      <c r="NTL68" s="2936"/>
      <c r="NTM68" s="2936"/>
      <c r="NTN68" s="2936"/>
      <c r="NTO68" s="2936"/>
      <c r="NTP68" s="2936"/>
      <c r="NTQ68" s="2936"/>
      <c r="NTR68" s="2936"/>
      <c r="NTS68" s="2936"/>
      <c r="NTT68" s="2936"/>
      <c r="NTU68" s="2936"/>
      <c r="NTV68" s="2936"/>
      <c r="NTW68" s="2936"/>
      <c r="NTX68" s="2936"/>
      <c r="NTY68" s="2936"/>
      <c r="NTZ68" s="2936"/>
      <c r="NUA68" s="2936"/>
      <c r="NUB68" s="2936"/>
      <c r="NUC68" s="2936"/>
      <c r="NUD68" s="2936"/>
      <c r="NUE68" s="2936"/>
      <c r="NUF68" s="2936"/>
      <c r="NUG68" s="2936"/>
      <c r="NUH68" s="2936"/>
      <c r="NUI68" s="2936"/>
      <c r="NUJ68" s="2936"/>
      <c r="NUK68" s="2936"/>
      <c r="NUL68" s="2936"/>
      <c r="NUM68" s="2936"/>
      <c r="NUN68" s="2936"/>
      <c r="NUO68" s="2936"/>
      <c r="NUP68" s="2936"/>
      <c r="NUQ68" s="2936"/>
      <c r="NUR68" s="2936"/>
      <c r="NUS68" s="2936"/>
      <c r="NUT68" s="2936"/>
      <c r="NUU68" s="2936"/>
      <c r="NUV68" s="2936"/>
      <c r="NUW68" s="2936"/>
      <c r="NUX68" s="2936"/>
      <c r="NUY68" s="2936"/>
      <c r="NUZ68" s="2936"/>
      <c r="NVA68" s="2936"/>
      <c r="NVB68" s="2936"/>
      <c r="NVC68" s="2936"/>
      <c r="NVD68" s="2936"/>
      <c r="NVE68" s="2936"/>
      <c r="NVF68" s="2936"/>
      <c r="NVG68" s="2936"/>
      <c r="NVH68" s="2936"/>
      <c r="NVI68" s="2936"/>
      <c r="NVJ68" s="2936"/>
      <c r="NVK68" s="2936"/>
      <c r="NVL68" s="2936"/>
      <c r="NVM68" s="2936"/>
      <c r="NVN68" s="2936"/>
      <c r="NVO68" s="2936"/>
      <c r="NVP68" s="2936"/>
      <c r="NVQ68" s="2936"/>
      <c r="NVR68" s="2936"/>
      <c r="NVS68" s="2936"/>
      <c r="NVT68" s="2936"/>
      <c r="NVU68" s="2936"/>
      <c r="NVV68" s="2936"/>
      <c r="NVW68" s="2936"/>
      <c r="NVX68" s="2936"/>
      <c r="NVY68" s="2936"/>
      <c r="NVZ68" s="2936"/>
      <c r="NWA68" s="2936"/>
      <c r="NWB68" s="2936"/>
      <c r="NWC68" s="2936"/>
      <c r="NWD68" s="2936"/>
      <c r="NWE68" s="2936"/>
      <c r="NWF68" s="2936"/>
      <c r="NWG68" s="2936"/>
      <c r="NWH68" s="2936"/>
      <c r="NWI68" s="2936"/>
      <c r="NWJ68" s="2936"/>
      <c r="NWK68" s="2936"/>
      <c r="NWL68" s="2936"/>
      <c r="NWM68" s="2936"/>
      <c r="NWN68" s="2936"/>
      <c r="NWO68" s="2936"/>
      <c r="NWP68" s="2936"/>
      <c r="NWQ68" s="2936"/>
      <c r="NWR68" s="2936"/>
      <c r="NWS68" s="2936"/>
      <c r="NWT68" s="2936"/>
      <c r="NWU68" s="2936"/>
      <c r="NWV68" s="2936"/>
      <c r="NWW68" s="2936"/>
      <c r="NWX68" s="2936"/>
      <c r="NWY68" s="2936"/>
      <c r="NWZ68" s="2936"/>
      <c r="NXA68" s="2936"/>
      <c r="NXB68" s="2936"/>
      <c r="NXC68" s="2936"/>
      <c r="NXD68" s="2936"/>
      <c r="NXE68" s="2936"/>
      <c r="NXF68" s="2936"/>
      <c r="NXG68" s="2936"/>
      <c r="NXH68" s="2936"/>
      <c r="NXI68" s="2936"/>
      <c r="NXJ68" s="2936"/>
      <c r="NXK68" s="2936"/>
      <c r="NXL68" s="2936"/>
      <c r="NXM68" s="2936"/>
      <c r="NXN68" s="2936"/>
      <c r="NXO68" s="2936"/>
      <c r="NXP68" s="2936"/>
      <c r="NXQ68" s="2936"/>
      <c r="NXR68" s="2936"/>
      <c r="NXS68" s="2936"/>
      <c r="NXT68" s="2936"/>
      <c r="NXU68" s="2936"/>
      <c r="NXV68" s="2936"/>
      <c r="NXW68" s="2936"/>
      <c r="NXX68" s="2936"/>
      <c r="NXY68" s="2936"/>
      <c r="NXZ68" s="2936"/>
      <c r="NYA68" s="2936"/>
      <c r="NYB68" s="2936"/>
      <c r="NYC68" s="2936"/>
      <c r="NYD68" s="2936"/>
      <c r="NYE68" s="2936"/>
      <c r="NYF68" s="2936"/>
      <c r="NYG68" s="2936"/>
      <c r="NYH68" s="2936"/>
      <c r="NYI68" s="2936"/>
      <c r="NYJ68" s="2936"/>
      <c r="NYK68" s="2936"/>
      <c r="NYL68" s="2936"/>
      <c r="NYM68" s="2936"/>
      <c r="NYN68" s="2936"/>
      <c r="NYO68" s="2936"/>
      <c r="NYP68" s="2936"/>
      <c r="NYQ68" s="2936"/>
      <c r="NYR68" s="2936"/>
      <c r="NYS68" s="2936"/>
      <c r="NYT68" s="2936"/>
      <c r="NYU68" s="2936"/>
      <c r="NYV68" s="2936"/>
      <c r="NYW68" s="2936"/>
      <c r="NYX68" s="2936"/>
      <c r="NYY68" s="2936"/>
      <c r="NYZ68" s="2936"/>
      <c r="NZA68" s="2936"/>
      <c r="NZB68" s="2936"/>
      <c r="NZC68" s="2936"/>
      <c r="NZD68" s="2936"/>
      <c r="NZE68" s="2936"/>
      <c r="NZF68" s="2936"/>
      <c r="NZG68" s="2936"/>
      <c r="NZH68" s="2936"/>
      <c r="NZI68" s="2936"/>
      <c r="NZJ68" s="2936"/>
      <c r="NZK68" s="2936"/>
      <c r="NZL68" s="2936"/>
      <c r="NZM68" s="2936"/>
      <c r="NZN68" s="2936"/>
      <c r="NZO68" s="2936"/>
      <c r="NZP68" s="2936"/>
      <c r="NZQ68" s="2936"/>
      <c r="NZR68" s="2936"/>
      <c r="NZS68" s="2936"/>
      <c r="NZT68" s="2936"/>
      <c r="NZU68" s="2936"/>
      <c r="NZV68" s="2936"/>
      <c r="NZW68" s="2936"/>
      <c r="NZX68" s="2936"/>
      <c r="NZY68" s="2936"/>
      <c r="NZZ68" s="2936"/>
      <c r="OAA68" s="2936"/>
      <c r="OAB68" s="2936"/>
      <c r="OAC68" s="2936"/>
      <c r="OAD68" s="2936"/>
      <c r="OAE68" s="2936"/>
      <c r="OAF68" s="2936"/>
      <c r="OAG68" s="2936"/>
      <c r="OAH68" s="2936"/>
      <c r="OAI68" s="2936"/>
      <c r="OAJ68" s="2936"/>
      <c r="OAK68" s="2936"/>
      <c r="OAL68" s="2936"/>
      <c r="OAM68" s="2936"/>
      <c r="OAN68" s="2936"/>
      <c r="OAO68" s="2936"/>
      <c r="OAP68" s="2936"/>
      <c r="OAQ68" s="2936"/>
      <c r="OAR68" s="2936"/>
      <c r="OAS68" s="2936"/>
      <c r="OAT68" s="2936"/>
      <c r="OAU68" s="2936"/>
      <c r="OAV68" s="2936"/>
      <c r="OAW68" s="2936"/>
      <c r="OAX68" s="2936"/>
      <c r="OAY68" s="2936"/>
      <c r="OAZ68" s="2936"/>
      <c r="OBA68" s="2936"/>
      <c r="OBB68" s="2936"/>
      <c r="OBC68" s="2936"/>
      <c r="OBD68" s="2936"/>
      <c r="OBE68" s="2936"/>
      <c r="OBF68" s="2936"/>
      <c r="OBG68" s="2936"/>
      <c r="OBH68" s="2936"/>
      <c r="OBI68" s="2936"/>
      <c r="OBJ68" s="2936"/>
      <c r="OBK68" s="2936"/>
      <c r="OBL68" s="2936"/>
      <c r="OBM68" s="2936"/>
      <c r="OBN68" s="2936"/>
      <c r="OBO68" s="2936"/>
      <c r="OBP68" s="2936"/>
      <c r="OBQ68" s="2936"/>
      <c r="OBR68" s="2936"/>
      <c r="OBS68" s="2936"/>
      <c r="OBT68" s="2936"/>
      <c r="OBU68" s="2936"/>
      <c r="OBV68" s="2936"/>
      <c r="OBW68" s="2936"/>
      <c r="OBX68" s="2936"/>
      <c r="OBY68" s="2936"/>
      <c r="OBZ68" s="2936"/>
      <c r="OCA68" s="2936"/>
      <c r="OCB68" s="2936"/>
      <c r="OCC68" s="2936"/>
      <c r="OCD68" s="2936"/>
      <c r="OCE68" s="2936"/>
      <c r="OCF68" s="2936"/>
      <c r="OCG68" s="2936"/>
      <c r="OCH68" s="2936"/>
      <c r="OCI68" s="2936"/>
      <c r="OCJ68" s="2936"/>
      <c r="OCK68" s="2936"/>
      <c r="OCL68" s="2936"/>
      <c r="OCM68" s="2936"/>
      <c r="OCN68" s="2936"/>
      <c r="OCO68" s="2936"/>
      <c r="OCP68" s="2936"/>
      <c r="OCQ68" s="2936"/>
      <c r="OCR68" s="2936"/>
      <c r="OCS68" s="2936"/>
      <c r="OCT68" s="2936"/>
      <c r="OCU68" s="2936"/>
      <c r="OCV68" s="2936"/>
      <c r="OCW68" s="2936"/>
      <c r="OCX68" s="2936"/>
      <c r="OCY68" s="2936"/>
      <c r="OCZ68" s="2936"/>
      <c r="ODA68" s="2936"/>
      <c r="ODB68" s="2936"/>
      <c r="ODC68" s="2936"/>
      <c r="ODD68" s="2936"/>
      <c r="ODE68" s="2936"/>
      <c r="ODF68" s="2936"/>
      <c r="ODG68" s="2936"/>
      <c r="ODH68" s="2936"/>
      <c r="ODI68" s="2936"/>
      <c r="ODJ68" s="2936"/>
      <c r="ODK68" s="2936"/>
      <c r="ODL68" s="2936"/>
      <c r="ODM68" s="2936"/>
      <c r="ODN68" s="2936"/>
      <c r="ODO68" s="2936"/>
      <c r="ODP68" s="2936"/>
      <c r="ODQ68" s="2936"/>
      <c r="ODR68" s="2936"/>
      <c r="ODS68" s="2936"/>
      <c r="ODT68" s="2936"/>
      <c r="ODU68" s="2936"/>
      <c r="ODV68" s="2936"/>
      <c r="ODW68" s="2936"/>
      <c r="ODX68" s="2936"/>
      <c r="ODY68" s="2936"/>
      <c r="ODZ68" s="2936"/>
      <c r="OEA68" s="2936"/>
      <c r="OEB68" s="2936"/>
      <c r="OEC68" s="2936"/>
      <c r="OED68" s="2936"/>
      <c r="OEE68" s="2936"/>
      <c r="OEF68" s="2936"/>
      <c r="OEG68" s="2936"/>
      <c r="OEH68" s="2936"/>
      <c r="OEI68" s="2936"/>
      <c r="OEJ68" s="2936"/>
      <c r="OEK68" s="2936"/>
      <c r="OEL68" s="2936"/>
      <c r="OEM68" s="2936"/>
      <c r="OEN68" s="2936"/>
      <c r="OEO68" s="2936"/>
      <c r="OEP68" s="2936"/>
      <c r="OEQ68" s="2936"/>
      <c r="OER68" s="2936"/>
      <c r="OES68" s="2936"/>
      <c r="OET68" s="2936"/>
      <c r="OEU68" s="2936"/>
      <c r="OEV68" s="2936"/>
      <c r="OEW68" s="2936"/>
      <c r="OEX68" s="2936"/>
      <c r="OEY68" s="2936"/>
      <c r="OEZ68" s="2936"/>
      <c r="OFA68" s="2936"/>
      <c r="OFB68" s="2936"/>
      <c r="OFC68" s="2936"/>
      <c r="OFD68" s="2936"/>
      <c r="OFE68" s="2936"/>
      <c r="OFF68" s="2936"/>
      <c r="OFG68" s="2936"/>
      <c r="OFH68" s="2936"/>
      <c r="OFI68" s="2936"/>
      <c r="OFJ68" s="2936"/>
      <c r="OFK68" s="2936"/>
      <c r="OFL68" s="2936"/>
      <c r="OFM68" s="2936"/>
      <c r="OFN68" s="2936"/>
      <c r="OFO68" s="2936"/>
      <c r="OFP68" s="2936"/>
      <c r="OFQ68" s="2936"/>
      <c r="OFR68" s="2936"/>
      <c r="OFS68" s="2936"/>
      <c r="OFT68" s="2936"/>
      <c r="OFU68" s="2936"/>
      <c r="OFV68" s="2936"/>
      <c r="OFW68" s="2936"/>
      <c r="OFX68" s="2936"/>
      <c r="OFY68" s="2936"/>
      <c r="OFZ68" s="2936"/>
      <c r="OGA68" s="2936"/>
      <c r="OGB68" s="2936"/>
      <c r="OGC68" s="2936"/>
      <c r="OGD68" s="2936"/>
      <c r="OGE68" s="2936"/>
      <c r="OGF68" s="2936"/>
      <c r="OGG68" s="2936"/>
      <c r="OGH68" s="2936"/>
      <c r="OGI68" s="2936"/>
      <c r="OGJ68" s="2936"/>
      <c r="OGK68" s="2936"/>
      <c r="OGL68" s="2936"/>
      <c r="OGM68" s="2936"/>
      <c r="OGN68" s="2936"/>
      <c r="OGO68" s="2936"/>
      <c r="OGP68" s="2936"/>
      <c r="OGQ68" s="2936"/>
      <c r="OGR68" s="2936"/>
      <c r="OGS68" s="2936"/>
      <c r="OGT68" s="2936"/>
      <c r="OGU68" s="2936"/>
      <c r="OGV68" s="2936"/>
      <c r="OGW68" s="2936"/>
      <c r="OGX68" s="2936"/>
      <c r="OGY68" s="2936"/>
      <c r="OGZ68" s="2936"/>
      <c r="OHA68" s="2936"/>
      <c r="OHB68" s="2936"/>
      <c r="OHC68" s="2936"/>
      <c r="OHD68" s="2936"/>
      <c r="OHE68" s="2936"/>
      <c r="OHF68" s="2936"/>
      <c r="OHG68" s="2936"/>
      <c r="OHH68" s="2936"/>
      <c r="OHI68" s="2936"/>
      <c r="OHJ68" s="2936"/>
      <c r="OHK68" s="2936"/>
      <c r="OHL68" s="2936"/>
      <c r="OHM68" s="2936"/>
      <c r="OHN68" s="2936"/>
      <c r="OHO68" s="2936"/>
      <c r="OHP68" s="2936"/>
      <c r="OHQ68" s="2936"/>
      <c r="OHR68" s="2936"/>
      <c r="OHS68" s="2936"/>
      <c r="OHT68" s="2936"/>
      <c r="OHU68" s="2936"/>
      <c r="OHV68" s="2936"/>
      <c r="OHW68" s="2936"/>
      <c r="OHX68" s="2936"/>
      <c r="OHY68" s="2936"/>
      <c r="OHZ68" s="2936"/>
      <c r="OIA68" s="2936"/>
      <c r="OIB68" s="2936"/>
      <c r="OIC68" s="2936"/>
      <c r="OID68" s="2936"/>
      <c r="OIE68" s="2936"/>
      <c r="OIF68" s="2936"/>
      <c r="OIG68" s="2936"/>
      <c r="OIH68" s="2936"/>
      <c r="OII68" s="2936"/>
      <c r="OIJ68" s="2936"/>
      <c r="OIK68" s="2936"/>
      <c r="OIL68" s="2936"/>
      <c r="OIM68" s="2936"/>
      <c r="OIN68" s="2936"/>
      <c r="OIO68" s="2936"/>
      <c r="OIP68" s="2936"/>
      <c r="OIQ68" s="2936"/>
      <c r="OIR68" s="2936"/>
      <c r="OIS68" s="2936"/>
      <c r="OIT68" s="2936"/>
      <c r="OIU68" s="2936"/>
      <c r="OIV68" s="2936"/>
      <c r="OIW68" s="2936"/>
      <c r="OIX68" s="2936"/>
      <c r="OIY68" s="2936"/>
      <c r="OIZ68" s="2936"/>
      <c r="OJA68" s="2936"/>
      <c r="OJB68" s="2936"/>
      <c r="OJC68" s="2936"/>
      <c r="OJD68" s="2936"/>
      <c r="OJE68" s="2936"/>
      <c r="OJF68" s="2936"/>
      <c r="OJG68" s="2936"/>
      <c r="OJH68" s="2936"/>
      <c r="OJI68" s="2936"/>
      <c r="OJJ68" s="2936"/>
      <c r="OJK68" s="2936"/>
      <c r="OJL68" s="2936"/>
      <c r="OJM68" s="2936"/>
      <c r="OJN68" s="2936"/>
      <c r="OJO68" s="2936"/>
      <c r="OJP68" s="2936"/>
      <c r="OJQ68" s="2936"/>
      <c r="OJR68" s="2936"/>
      <c r="OJS68" s="2936"/>
      <c r="OJT68" s="2936"/>
      <c r="OJU68" s="2936"/>
      <c r="OJV68" s="2936"/>
      <c r="OJW68" s="2936"/>
      <c r="OJX68" s="2936"/>
      <c r="OJY68" s="2936"/>
      <c r="OJZ68" s="2936"/>
      <c r="OKA68" s="2936"/>
      <c r="OKB68" s="2936"/>
      <c r="OKC68" s="2936"/>
      <c r="OKD68" s="2936"/>
      <c r="OKE68" s="2936"/>
      <c r="OKF68" s="2936"/>
      <c r="OKG68" s="2936"/>
      <c r="OKH68" s="2936"/>
      <c r="OKI68" s="2936"/>
      <c r="OKJ68" s="2936"/>
      <c r="OKK68" s="2936"/>
      <c r="OKL68" s="2936"/>
      <c r="OKM68" s="2936"/>
      <c r="OKN68" s="2936"/>
      <c r="OKO68" s="2936"/>
      <c r="OKP68" s="2936"/>
      <c r="OKQ68" s="2936"/>
      <c r="OKR68" s="2936"/>
      <c r="OKS68" s="2936"/>
      <c r="OKT68" s="2936"/>
      <c r="OKU68" s="2936"/>
      <c r="OKV68" s="2936"/>
      <c r="OKW68" s="2936"/>
      <c r="OKX68" s="2936"/>
      <c r="OKY68" s="2936"/>
      <c r="OKZ68" s="2936"/>
      <c r="OLA68" s="2936"/>
      <c r="OLB68" s="2936"/>
      <c r="OLC68" s="2936"/>
      <c r="OLD68" s="2936"/>
      <c r="OLE68" s="2936"/>
      <c r="OLF68" s="2936"/>
      <c r="OLG68" s="2936"/>
      <c r="OLH68" s="2936"/>
      <c r="OLI68" s="2936"/>
      <c r="OLJ68" s="2936"/>
      <c r="OLK68" s="2936"/>
      <c r="OLL68" s="2936"/>
      <c r="OLM68" s="2936"/>
      <c r="OLN68" s="2936"/>
      <c r="OLO68" s="2936"/>
      <c r="OLP68" s="2936"/>
      <c r="OLQ68" s="2936"/>
      <c r="OLR68" s="2936"/>
      <c r="OLS68" s="2936"/>
      <c r="OLT68" s="2936"/>
      <c r="OLU68" s="2936"/>
      <c r="OLV68" s="2936"/>
      <c r="OLW68" s="2936"/>
      <c r="OLX68" s="2936"/>
      <c r="OLY68" s="2936"/>
      <c r="OLZ68" s="2936"/>
      <c r="OMA68" s="2936"/>
      <c r="OMB68" s="2936"/>
      <c r="OMC68" s="2936"/>
      <c r="OMD68" s="2936"/>
      <c r="OME68" s="2936"/>
      <c r="OMF68" s="2936"/>
      <c r="OMG68" s="2936"/>
      <c r="OMH68" s="2936"/>
      <c r="OMI68" s="2936"/>
      <c r="OMJ68" s="2936"/>
      <c r="OMK68" s="2936"/>
      <c r="OML68" s="2936"/>
      <c r="OMM68" s="2936"/>
      <c r="OMN68" s="2936"/>
      <c r="OMO68" s="2936"/>
      <c r="OMP68" s="2936"/>
      <c r="OMQ68" s="2936"/>
      <c r="OMR68" s="2936"/>
      <c r="OMS68" s="2936"/>
      <c r="OMT68" s="2936"/>
      <c r="OMU68" s="2936"/>
      <c r="OMV68" s="2936"/>
      <c r="OMW68" s="2936"/>
      <c r="OMX68" s="2936"/>
      <c r="OMY68" s="2936"/>
      <c r="OMZ68" s="2936"/>
      <c r="ONA68" s="2936"/>
      <c r="ONB68" s="2936"/>
      <c r="ONC68" s="2936"/>
      <c r="OND68" s="2936"/>
      <c r="ONE68" s="2936"/>
      <c r="ONF68" s="2936"/>
      <c r="ONG68" s="2936"/>
      <c r="ONH68" s="2936"/>
      <c r="ONI68" s="2936"/>
      <c r="ONJ68" s="2936"/>
      <c r="ONK68" s="2936"/>
      <c r="ONL68" s="2936"/>
      <c r="ONM68" s="2936"/>
      <c r="ONN68" s="2936"/>
      <c r="ONO68" s="2936"/>
      <c r="ONP68" s="2936"/>
      <c r="ONQ68" s="2936"/>
      <c r="ONR68" s="2936"/>
      <c r="ONS68" s="2936"/>
      <c r="ONT68" s="2936"/>
      <c r="ONU68" s="2936"/>
      <c r="ONV68" s="2936"/>
      <c r="ONW68" s="2936"/>
      <c r="ONX68" s="2936"/>
      <c r="ONY68" s="2936"/>
      <c r="ONZ68" s="2936"/>
      <c r="OOA68" s="2936"/>
      <c r="OOB68" s="2936"/>
      <c r="OOC68" s="2936"/>
      <c r="OOD68" s="2936"/>
      <c r="OOE68" s="2936"/>
      <c r="OOF68" s="2936"/>
      <c r="OOG68" s="2936"/>
      <c r="OOH68" s="2936"/>
      <c r="OOI68" s="2936"/>
      <c r="OOJ68" s="2936"/>
      <c r="OOK68" s="2936"/>
      <c r="OOL68" s="2936"/>
      <c r="OOM68" s="2936"/>
      <c r="OON68" s="2936"/>
      <c r="OOO68" s="2936"/>
      <c r="OOP68" s="2936"/>
      <c r="OOQ68" s="2936"/>
      <c r="OOR68" s="2936"/>
      <c r="OOS68" s="2936"/>
      <c r="OOT68" s="2936"/>
      <c r="OOU68" s="2936"/>
      <c r="OOV68" s="2936"/>
      <c r="OOW68" s="2936"/>
      <c r="OOX68" s="2936"/>
      <c r="OOY68" s="2936"/>
      <c r="OOZ68" s="2936"/>
      <c r="OPA68" s="2936"/>
      <c r="OPB68" s="2936"/>
      <c r="OPC68" s="2936"/>
      <c r="OPD68" s="2936"/>
      <c r="OPE68" s="2936"/>
      <c r="OPF68" s="2936"/>
      <c r="OPG68" s="2936"/>
      <c r="OPH68" s="2936"/>
      <c r="OPI68" s="2936"/>
      <c r="OPJ68" s="2936"/>
      <c r="OPK68" s="2936"/>
      <c r="OPL68" s="2936"/>
      <c r="OPM68" s="2936"/>
      <c r="OPN68" s="2936"/>
      <c r="OPO68" s="2936"/>
      <c r="OPP68" s="2936"/>
      <c r="OPQ68" s="2936"/>
      <c r="OPR68" s="2936"/>
      <c r="OPS68" s="2936"/>
      <c r="OPT68" s="2936"/>
      <c r="OPU68" s="2936"/>
      <c r="OPV68" s="2936"/>
      <c r="OPW68" s="2936"/>
      <c r="OPX68" s="2936"/>
      <c r="OPY68" s="2936"/>
      <c r="OPZ68" s="2936"/>
      <c r="OQA68" s="2936"/>
      <c r="OQB68" s="2936"/>
      <c r="OQC68" s="2936"/>
      <c r="OQD68" s="2936"/>
      <c r="OQE68" s="2936"/>
      <c r="OQF68" s="2936"/>
      <c r="OQG68" s="2936"/>
      <c r="OQH68" s="2936"/>
      <c r="OQI68" s="2936"/>
      <c r="OQJ68" s="2936"/>
      <c r="OQK68" s="2936"/>
      <c r="OQL68" s="2936"/>
      <c r="OQM68" s="2936"/>
      <c r="OQN68" s="2936"/>
      <c r="OQO68" s="2936"/>
      <c r="OQP68" s="2936"/>
      <c r="OQQ68" s="2936"/>
      <c r="OQR68" s="2936"/>
      <c r="OQS68" s="2936"/>
      <c r="OQT68" s="2936"/>
      <c r="OQU68" s="2936"/>
      <c r="OQV68" s="2936"/>
      <c r="OQW68" s="2936"/>
      <c r="OQX68" s="2936"/>
      <c r="OQY68" s="2936"/>
      <c r="OQZ68" s="2936"/>
      <c r="ORA68" s="2936"/>
      <c r="ORB68" s="2936"/>
      <c r="ORC68" s="2936"/>
      <c r="ORD68" s="2936"/>
      <c r="ORE68" s="2936"/>
      <c r="ORF68" s="2936"/>
      <c r="ORG68" s="2936"/>
      <c r="ORH68" s="2936"/>
      <c r="ORI68" s="2936"/>
      <c r="ORJ68" s="2936"/>
      <c r="ORK68" s="2936"/>
      <c r="ORL68" s="2936"/>
      <c r="ORM68" s="2936"/>
      <c r="ORN68" s="2936"/>
      <c r="ORO68" s="2936"/>
      <c r="ORP68" s="2936"/>
      <c r="ORQ68" s="2936"/>
      <c r="ORR68" s="2936"/>
      <c r="ORS68" s="2936"/>
      <c r="ORT68" s="2936"/>
      <c r="ORU68" s="2936"/>
      <c r="ORV68" s="2936"/>
      <c r="ORW68" s="2936"/>
      <c r="ORX68" s="2936"/>
      <c r="ORY68" s="2936"/>
      <c r="ORZ68" s="2936"/>
      <c r="OSA68" s="2936"/>
      <c r="OSB68" s="2936"/>
      <c r="OSC68" s="2936"/>
      <c r="OSD68" s="2936"/>
      <c r="OSE68" s="2936"/>
      <c r="OSF68" s="2936"/>
      <c r="OSG68" s="2936"/>
      <c r="OSH68" s="2936"/>
      <c r="OSI68" s="2936"/>
      <c r="OSJ68" s="2936"/>
      <c r="OSK68" s="2936"/>
      <c r="OSL68" s="2936"/>
      <c r="OSM68" s="2936"/>
      <c r="OSN68" s="2936"/>
      <c r="OSO68" s="2936"/>
      <c r="OSP68" s="2936"/>
      <c r="OSQ68" s="2936"/>
      <c r="OSR68" s="2936"/>
      <c r="OSS68" s="2936"/>
      <c r="OST68" s="2936"/>
      <c r="OSU68" s="2936"/>
      <c r="OSV68" s="2936"/>
      <c r="OSW68" s="2936"/>
      <c r="OSX68" s="2936"/>
      <c r="OSY68" s="2936"/>
      <c r="OSZ68" s="2936"/>
      <c r="OTA68" s="2936"/>
      <c r="OTB68" s="2936"/>
      <c r="OTC68" s="2936"/>
      <c r="OTD68" s="2936"/>
      <c r="OTE68" s="2936"/>
      <c r="OTF68" s="2936"/>
      <c r="OTG68" s="2936"/>
      <c r="OTH68" s="2936"/>
      <c r="OTI68" s="2936"/>
      <c r="OTJ68" s="2936"/>
      <c r="OTK68" s="2936"/>
      <c r="OTL68" s="2936"/>
      <c r="OTM68" s="2936"/>
      <c r="OTN68" s="2936"/>
      <c r="OTO68" s="2936"/>
      <c r="OTP68" s="2936"/>
      <c r="OTQ68" s="2936"/>
      <c r="OTR68" s="2936"/>
      <c r="OTS68" s="2936"/>
      <c r="OTT68" s="2936"/>
      <c r="OTU68" s="2936"/>
      <c r="OTV68" s="2936"/>
      <c r="OTW68" s="2936"/>
      <c r="OTX68" s="2936"/>
      <c r="OTY68" s="2936"/>
      <c r="OTZ68" s="2936"/>
      <c r="OUA68" s="2936"/>
      <c r="OUB68" s="2936"/>
      <c r="OUC68" s="2936"/>
      <c r="OUD68" s="2936"/>
      <c r="OUE68" s="2936"/>
      <c r="OUF68" s="2936"/>
      <c r="OUG68" s="2936"/>
      <c r="OUH68" s="2936"/>
      <c r="OUI68" s="2936"/>
      <c r="OUJ68" s="2936"/>
      <c r="OUK68" s="2936"/>
      <c r="OUL68" s="2936"/>
      <c r="OUM68" s="2936"/>
      <c r="OUN68" s="2936"/>
      <c r="OUO68" s="2936"/>
      <c r="OUP68" s="2936"/>
      <c r="OUQ68" s="2936"/>
      <c r="OUR68" s="2936"/>
      <c r="OUS68" s="2936"/>
      <c r="OUT68" s="2936"/>
      <c r="OUU68" s="2936"/>
      <c r="OUV68" s="2936"/>
      <c r="OUW68" s="2936"/>
      <c r="OUX68" s="2936"/>
      <c r="OUY68" s="2936"/>
      <c r="OUZ68" s="2936"/>
      <c r="OVA68" s="2936"/>
      <c r="OVB68" s="2936"/>
      <c r="OVC68" s="2936"/>
      <c r="OVD68" s="2936"/>
      <c r="OVE68" s="2936"/>
      <c r="OVF68" s="2936"/>
      <c r="OVG68" s="2936"/>
      <c r="OVH68" s="2936"/>
      <c r="OVI68" s="2936"/>
      <c r="OVJ68" s="2936"/>
      <c r="OVK68" s="2936"/>
      <c r="OVL68" s="2936"/>
      <c r="OVM68" s="2936"/>
      <c r="OVN68" s="2936"/>
      <c r="OVO68" s="2936"/>
      <c r="OVP68" s="2936"/>
      <c r="OVQ68" s="2936"/>
      <c r="OVR68" s="2936"/>
      <c r="OVS68" s="2936"/>
      <c r="OVT68" s="2936"/>
      <c r="OVU68" s="2936"/>
      <c r="OVV68" s="2936"/>
      <c r="OVW68" s="2936"/>
      <c r="OVX68" s="2936"/>
      <c r="OVY68" s="2936"/>
      <c r="OVZ68" s="2936"/>
      <c r="OWA68" s="2936"/>
      <c r="OWB68" s="2936"/>
      <c r="OWC68" s="2936"/>
      <c r="OWD68" s="2936"/>
      <c r="OWE68" s="2936"/>
      <c r="OWF68" s="2936"/>
      <c r="OWG68" s="2936"/>
      <c r="OWH68" s="2936"/>
      <c r="OWI68" s="2936"/>
      <c r="OWJ68" s="2936"/>
      <c r="OWK68" s="2936"/>
      <c r="OWL68" s="2936"/>
      <c r="OWM68" s="2936"/>
      <c r="OWN68" s="2936"/>
      <c r="OWO68" s="2936"/>
      <c r="OWP68" s="2936"/>
      <c r="OWQ68" s="2936"/>
      <c r="OWR68" s="2936"/>
      <c r="OWS68" s="2936"/>
      <c r="OWT68" s="2936"/>
      <c r="OWU68" s="2936"/>
      <c r="OWV68" s="2936"/>
      <c r="OWW68" s="2936"/>
      <c r="OWX68" s="2936"/>
      <c r="OWY68" s="2936"/>
      <c r="OWZ68" s="2936"/>
      <c r="OXA68" s="2936"/>
      <c r="OXB68" s="2936"/>
      <c r="OXC68" s="2936"/>
      <c r="OXD68" s="2936"/>
      <c r="OXE68" s="2936"/>
      <c r="OXF68" s="2936"/>
      <c r="OXG68" s="2936"/>
      <c r="OXH68" s="2936"/>
      <c r="OXI68" s="2936"/>
      <c r="OXJ68" s="2936"/>
      <c r="OXK68" s="2936"/>
      <c r="OXL68" s="2936"/>
      <c r="OXM68" s="2936"/>
      <c r="OXN68" s="2936"/>
      <c r="OXO68" s="2936"/>
      <c r="OXP68" s="2936"/>
      <c r="OXQ68" s="2936"/>
      <c r="OXR68" s="2936"/>
      <c r="OXS68" s="2936"/>
      <c r="OXT68" s="2936"/>
      <c r="OXU68" s="2936"/>
      <c r="OXV68" s="2936"/>
      <c r="OXW68" s="2936"/>
      <c r="OXX68" s="2936"/>
      <c r="OXY68" s="2936"/>
      <c r="OXZ68" s="2936"/>
      <c r="OYA68" s="2936"/>
      <c r="OYB68" s="2936"/>
      <c r="OYC68" s="2936"/>
      <c r="OYD68" s="2936"/>
      <c r="OYE68" s="2936"/>
      <c r="OYF68" s="2936"/>
      <c r="OYG68" s="2936"/>
      <c r="OYH68" s="2936"/>
      <c r="OYI68" s="2936"/>
      <c r="OYJ68" s="2936"/>
      <c r="OYK68" s="2936"/>
      <c r="OYL68" s="2936"/>
      <c r="OYM68" s="2936"/>
      <c r="OYN68" s="2936"/>
      <c r="OYO68" s="2936"/>
      <c r="OYP68" s="2936"/>
      <c r="OYQ68" s="2936"/>
      <c r="OYR68" s="2936"/>
      <c r="OYS68" s="2936"/>
      <c r="OYT68" s="2936"/>
      <c r="OYU68" s="2936"/>
      <c r="OYV68" s="2936"/>
      <c r="OYW68" s="2936"/>
      <c r="OYX68" s="2936"/>
      <c r="OYY68" s="2936"/>
      <c r="OYZ68" s="2936"/>
      <c r="OZA68" s="2936"/>
      <c r="OZB68" s="2936"/>
      <c r="OZC68" s="2936"/>
      <c r="OZD68" s="2936"/>
      <c r="OZE68" s="2936"/>
      <c r="OZF68" s="2936"/>
      <c r="OZG68" s="2936"/>
      <c r="OZH68" s="2936"/>
      <c r="OZI68" s="2936"/>
      <c r="OZJ68" s="2936"/>
      <c r="OZK68" s="2936"/>
      <c r="OZL68" s="2936"/>
      <c r="OZM68" s="2936"/>
      <c r="OZN68" s="2936"/>
      <c r="OZO68" s="2936"/>
      <c r="OZP68" s="2936"/>
      <c r="OZQ68" s="2936"/>
      <c r="OZR68" s="2936"/>
      <c r="OZS68" s="2936"/>
      <c r="OZT68" s="2936"/>
      <c r="OZU68" s="2936"/>
      <c r="OZV68" s="2936"/>
      <c r="OZW68" s="2936"/>
      <c r="OZX68" s="2936"/>
      <c r="OZY68" s="2936"/>
      <c r="OZZ68" s="2936"/>
      <c r="PAA68" s="2936"/>
      <c r="PAB68" s="2936"/>
      <c r="PAC68" s="2936"/>
      <c r="PAD68" s="2936"/>
      <c r="PAE68" s="2936"/>
      <c r="PAF68" s="2936"/>
      <c r="PAG68" s="2936"/>
      <c r="PAH68" s="2936"/>
      <c r="PAI68" s="2936"/>
      <c r="PAJ68" s="2936"/>
      <c r="PAK68" s="2936"/>
      <c r="PAL68" s="2936"/>
      <c r="PAM68" s="2936"/>
      <c r="PAN68" s="2936"/>
      <c r="PAO68" s="2936"/>
      <c r="PAP68" s="2936"/>
      <c r="PAQ68" s="2936"/>
      <c r="PAR68" s="2936"/>
      <c r="PAS68" s="2936"/>
      <c r="PAT68" s="2936"/>
      <c r="PAU68" s="2936"/>
      <c r="PAV68" s="2936"/>
      <c r="PAW68" s="2936"/>
      <c r="PAX68" s="2936"/>
      <c r="PAY68" s="2936"/>
      <c r="PAZ68" s="2936"/>
      <c r="PBA68" s="2936"/>
      <c r="PBB68" s="2936"/>
      <c r="PBC68" s="2936"/>
      <c r="PBD68" s="2936"/>
      <c r="PBE68" s="2936"/>
      <c r="PBF68" s="2936"/>
      <c r="PBG68" s="2936"/>
      <c r="PBH68" s="2936"/>
      <c r="PBI68" s="2936"/>
      <c r="PBJ68" s="2936"/>
      <c r="PBK68" s="2936"/>
      <c r="PBL68" s="2936"/>
      <c r="PBM68" s="2936"/>
      <c r="PBN68" s="2936"/>
      <c r="PBO68" s="2936"/>
      <c r="PBP68" s="2936"/>
      <c r="PBQ68" s="2936"/>
      <c r="PBR68" s="2936"/>
      <c r="PBS68" s="2936"/>
      <c r="PBT68" s="2936"/>
      <c r="PBU68" s="2936"/>
      <c r="PBV68" s="2936"/>
      <c r="PBW68" s="2936"/>
      <c r="PBX68" s="2936"/>
      <c r="PBY68" s="2936"/>
      <c r="PBZ68" s="2936"/>
      <c r="PCA68" s="2936"/>
      <c r="PCB68" s="2936"/>
      <c r="PCC68" s="2936"/>
      <c r="PCD68" s="2936"/>
      <c r="PCE68" s="2936"/>
      <c r="PCF68" s="2936"/>
      <c r="PCG68" s="2936"/>
      <c r="PCH68" s="2936"/>
      <c r="PCI68" s="2936"/>
      <c r="PCJ68" s="2936"/>
      <c r="PCK68" s="2936"/>
      <c r="PCL68" s="2936"/>
      <c r="PCM68" s="2936"/>
      <c r="PCN68" s="2936"/>
      <c r="PCO68" s="2936"/>
      <c r="PCP68" s="2936"/>
      <c r="PCQ68" s="2936"/>
      <c r="PCR68" s="2936"/>
      <c r="PCS68" s="2936"/>
      <c r="PCT68" s="2936"/>
      <c r="PCU68" s="2936"/>
      <c r="PCV68" s="2936"/>
      <c r="PCW68" s="2936"/>
      <c r="PCX68" s="2936"/>
      <c r="PCY68" s="2936"/>
      <c r="PCZ68" s="2936"/>
      <c r="PDA68" s="2936"/>
      <c r="PDB68" s="2936"/>
      <c r="PDC68" s="2936"/>
      <c r="PDD68" s="2936"/>
      <c r="PDE68" s="2936"/>
      <c r="PDF68" s="2936"/>
      <c r="PDG68" s="2936"/>
      <c r="PDH68" s="2936"/>
      <c r="PDI68" s="2936"/>
      <c r="PDJ68" s="2936"/>
      <c r="PDK68" s="2936"/>
      <c r="PDL68" s="2936"/>
      <c r="PDM68" s="2936"/>
      <c r="PDN68" s="2936"/>
      <c r="PDO68" s="2936"/>
      <c r="PDP68" s="2936"/>
      <c r="PDQ68" s="2936"/>
      <c r="PDR68" s="2936"/>
      <c r="PDS68" s="2936"/>
      <c r="PDT68" s="2936"/>
      <c r="PDU68" s="2936"/>
      <c r="PDV68" s="2936"/>
      <c r="PDW68" s="2936"/>
      <c r="PDX68" s="2936"/>
      <c r="PDY68" s="2936"/>
      <c r="PDZ68" s="2936"/>
      <c r="PEA68" s="2936"/>
      <c r="PEB68" s="2936"/>
      <c r="PEC68" s="2936"/>
      <c r="PED68" s="2936"/>
      <c r="PEE68" s="2936"/>
      <c r="PEF68" s="2936"/>
      <c r="PEG68" s="2936"/>
      <c r="PEH68" s="2936"/>
      <c r="PEI68" s="2936"/>
      <c r="PEJ68" s="2936"/>
      <c r="PEK68" s="2936"/>
      <c r="PEL68" s="2936"/>
      <c r="PEM68" s="2936"/>
      <c r="PEN68" s="2936"/>
      <c r="PEO68" s="2936"/>
      <c r="PEP68" s="2936"/>
      <c r="PEQ68" s="2936"/>
      <c r="PER68" s="2936"/>
      <c r="PES68" s="2936"/>
      <c r="PET68" s="2936"/>
      <c r="PEU68" s="2936"/>
      <c r="PEV68" s="2936"/>
      <c r="PEW68" s="2936"/>
      <c r="PEX68" s="2936"/>
      <c r="PEY68" s="2936"/>
      <c r="PEZ68" s="2936"/>
      <c r="PFA68" s="2936"/>
      <c r="PFB68" s="2936"/>
      <c r="PFC68" s="2936"/>
      <c r="PFD68" s="2936"/>
      <c r="PFE68" s="2936"/>
      <c r="PFF68" s="2936"/>
      <c r="PFG68" s="2936"/>
      <c r="PFH68" s="2936"/>
      <c r="PFI68" s="2936"/>
      <c r="PFJ68" s="2936"/>
      <c r="PFK68" s="2936"/>
      <c r="PFL68" s="2936"/>
      <c r="PFM68" s="2936"/>
      <c r="PFN68" s="2936"/>
      <c r="PFO68" s="2936"/>
      <c r="PFP68" s="2936"/>
      <c r="PFQ68" s="2936"/>
      <c r="PFR68" s="2936"/>
      <c r="PFS68" s="2936"/>
      <c r="PFT68" s="2936"/>
      <c r="PFU68" s="2936"/>
      <c r="PFV68" s="2936"/>
      <c r="PFW68" s="2936"/>
      <c r="PFX68" s="2936"/>
      <c r="PFY68" s="2936"/>
      <c r="PFZ68" s="2936"/>
      <c r="PGA68" s="2936"/>
      <c r="PGB68" s="2936"/>
      <c r="PGC68" s="2936"/>
      <c r="PGD68" s="2936"/>
      <c r="PGE68" s="2936"/>
      <c r="PGF68" s="2936"/>
      <c r="PGG68" s="2936"/>
      <c r="PGH68" s="2936"/>
      <c r="PGI68" s="2936"/>
      <c r="PGJ68" s="2936"/>
      <c r="PGK68" s="2936"/>
      <c r="PGL68" s="2936"/>
      <c r="PGM68" s="2936"/>
      <c r="PGN68" s="2936"/>
      <c r="PGO68" s="2936"/>
      <c r="PGP68" s="2936"/>
      <c r="PGQ68" s="2936"/>
      <c r="PGR68" s="2936"/>
      <c r="PGS68" s="2936"/>
      <c r="PGT68" s="2936"/>
      <c r="PGU68" s="2936"/>
      <c r="PGV68" s="2936"/>
      <c r="PGW68" s="2936"/>
      <c r="PGX68" s="2936"/>
      <c r="PGY68" s="2936"/>
      <c r="PGZ68" s="2936"/>
      <c r="PHA68" s="2936"/>
      <c r="PHB68" s="2936"/>
      <c r="PHC68" s="2936"/>
      <c r="PHD68" s="2936"/>
      <c r="PHE68" s="2936"/>
      <c r="PHF68" s="2936"/>
      <c r="PHG68" s="2936"/>
      <c r="PHH68" s="2936"/>
      <c r="PHI68" s="2936"/>
      <c r="PHJ68" s="2936"/>
      <c r="PHK68" s="2936"/>
      <c r="PHL68" s="2936"/>
      <c r="PHM68" s="2936"/>
      <c r="PHN68" s="2936"/>
      <c r="PHO68" s="2936"/>
      <c r="PHP68" s="2936"/>
      <c r="PHQ68" s="2936"/>
      <c r="PHR68" s="2936"/>
      <c r="PHS68" s="2936"/>
      <c r="PHT68" s="2936"/>
      <c r="PHU68" s="2936"/>
      <c r="PHV68" s="2936"/>
      <c r="PHW68" s="2936"/>
      <c r="PHX68" s="2936"/>
      <c r="PHY68" s="2936"/>
      <c r="PHZ68" s="2936"/>
      <c r="PIA68" s="2936"/>
      <c r="PIB68" s="2936"/>
      <c r="PIC68" s="2936"/>
      <c r="PID68" s="2936"/>
      <c r="PIE68" s="2936"/>
      <c r="PIF68" s="2936"/>
      <c r="PIG68" s="2936"/>
      <c r="PIH68" s="2936"/>
      <c r="PII68" s="2936"/>
      <c r="PIJ68" s="2936"/>
      <c r="PIK68" s="2936"/>
      <c r="PIL68" s="2936"/>
      <c r="PIM68" s="2936"/>
      <c r="PIN68" s="2936"/>
      <c r="PIO68" s="2936"/>
      <c r="PIP68" s="2936"/>
      <c r="PIQ68" s="2936"/>
      <c r="PIR68" s="2936"/>
      <c r="PIS68" s="2936"/>
      <c r="PIT68" s="2936"/>
      <c r="PIU68" s="2936"/>
      <c r="PIV68" s="2936"/>
      <c r="PIW68" s="2936"/>
      <c r="PIX68" s="2936"/>
      <c r="PIY68" s="2936"/>
      <c r="PIZ68" s="2936"/>
      <c r="PJA68" s="2936"/>
      <c r="PJB68" s="2936"/>
      <c r="PJC68" s="2936"/>
      <c r="PJD68" s="2936"/>
      <c r="PJE68" s="2936"/>
      <c r="PJF68" s="2936"/>
      <c r="PJG68" s="2936"/>
      <c r="PJH68" s="2936"/>
      <c r="PJI68" s="2936"/>
      <c r="PJJ68" s="2936"/>
      <c r="PJK68" s="2936"/>
      <c r="PJL68" s="2936"/>
      <c r="PJM68" s="2936"/>
      <c r="PJN68" s="2936"/>
      <c r="PJO68" s="2936"/>
      <c r="PJP68" s="2936"/>
      <c r="PJQ68" s="2936"/>
      <c r="PJR68" s="2936"/>
      <c r="PJS68" s="2936"/>
      <c r="PJT68" s="2936"/>
      <c r="PJU68" s="2936"/>
      <c r="PJV68" s="2936"/>
      <c r="PJW68" s="2936"/>
      <c r="PJX68" s="2936"/>
      <c r="PJY68" s="2936"/>
      <c r="PJZ68" s="2936"/>
      <c r="PKA68" s="2936"/>
      <c r="PKB68" s="2936"/>
      <c r="PKC68" s="2936"/>
      <c r="PKD68" s="2936"/>
      <c r="PKE68" s="2936"/>
      <c r="PKF68" s="2936"/>
      <c r="PKG68" s="2936"/>
      <c r="PKH68" s="2936"/>
      <c r="PKI68" s="2936"/>
      <c r="PKJ68" s="2936"/>
      <c r="PKK68" s="2936"/>
      <c r="PKL68" s="2936"/>
      <c r="PKM68" s="2936"/>
      <c r="PKN68" s="2936"/>
      <c r="PKO68" s="2936"/>
      <c r="PKP68" s="2936"/>
      <c r="PKQ68" s="2936"/>
      <c r="PKR68" s="2936"/>
      <c r="PKS68" s="2936"/>
      <c r="PKT68" s="2936"/>
      <c r="PKU68" s="2936"/>
      <c r="PKV68" s="2936"/>
      <c r="PKW68" s="2936"/>
      <c r="PKX68" s="2936"/>
      <c r="PKY68" s="2936"/>
      <c r="PKZ68" s="2936"/>
      <c r="PLA68" s="2936"/>
      <c r="PLB68" s="2936"/>
      <c r="PLC68" s="2936"/>
      <c r="PLD68" s="2936"/>
      <c r="PLE68" s="2936"/>
      <c r="PLF68" s="2936"/>
      <c r="PLG68" s="2936"/>
      <c r="PLH68" s="2936"/>
      <c r="PLI68" s="2936"/>
      <c r="PLJ68" s="2936"/>
      <c r="PLK68" s="2936"/>
      <c r="PLL68" s="2936"/>
      <c r="PLM68" s="2936"/>
      <c r="PLN68" s="2936"/>
      <c r="PLO68" s="2936"/>
      <c r="PLP68" s="2936"/>
      <c r="PLQ68" s="2936"/>
      <c r="PLR68" s="2936"/>
      <c r="PLS68" s="2936"/>
      <c r="PLT68" s="2936"/>
      <c r="PLU68" s="2936"/>
      <c r="PLV68" s="2936"/>
      <c r="PLW68" s="2936"/>
      <c r="PLX68" s="2936"/>
      <c r="PLY68" s="2936"/>
      <c r="PLZ68" s="2936"/>
      <c r="PMA68" s="2936"/>
      <c r="PMB68" s="2936"/>
      <c r="PMC68" s="2936"/>
      <c r="PMD68" s="2936"/>
      <c r="PME68" s="2936"/>
      <c r="PMF68" s="2936"/>
      <c r="PMG68" s="2936"/>
      <c r="PMH68" s="2936"/>
      <c r="PMI68" s="2936"/>
      <c r="PMJ68" s="2936"/>
      <c r="PMK68" s="2936"/>
      <c r="PML68" s="2936"/>
      <c r="PMM68" s="2936"/>
      <c r="PMN68" s="2936"/>
      <c r="PMO68" s="2936"/>
      <c r="PMP68" s="2936"/>
      <c r="PMQ68" s="2936"/>
      <c r="PMR68" s="2936"/>
      <c r="PMS68" s="2936"/>
      <c r="PMT68" s="2936"/>
      <c r="PMU68" s="2936"/>
      <c r="PMV68" s="2936"/>
      <c r="PMW68" s="2936"/>
      <c r="PMX68" s="2936"/>
      <c r="PMY68" s="2936"/>
      <c r="PMZ68" s="2936"/>
      <c r="PNA68" s="2936"/>
      <c r="PNB68" s="2936"/>
      <c r="PNC68" s="2936"/>
      <c r="PND68" s="2936"/>
      <c r="PNE68" s="2936"/>
      <c r="PNF68" s="2936"/>
      <c r="PNG68" s="2936"/>
      <c r="PNH68" s="2936"/>
      <c r="PNI68" s="2936"/>
      <c r="PNJ68" s="2936"/>
      <c r="PNK68" s="2936"/>
      <c r="PNL68" s="2936"/>
      <c r="PNM68" s="2936"/>
      <c r="PNN68" s="2936"/>
      <c r="PNO68" s="2936"/>
      <c r="PNP68" s="2936"/>
      <c r="PNQ68" s="2936"/>
      <c r="PNR68" s="2936"/>
      <c r="PNS68" s="2936"/>
      <c r="PNT68" s="2936"/>
      <c r="PNU68" s="2936"/>
      <c r="PNV68" s="2936"/>
      <c r="PNW68" s="2936"/>
      <c r="PNX68" s="2936"/>
      <c r="PNY68" s="2936"/>
      <c r="PNZ68" s="2936"/>
      <c r="POA68" s="2936"/>
      <c r="POB68" s="2936"/>
      <c r="POC68" s="2936"/>
      <c r="POD68" s="2936"/>
      <c r="POE68" s="2936"/>
      <c r="POF68" s="2936"/>
      <c r="POG68" s="2936"/>
      <c r="POH68" s="2936"/>
      <c r="POI68" s="2936"/>
      <c r="POJ68" s="2936"/>
      <c r="POK68" s="2936"/>
      <c r="POL68" s="2936"/>
      <c r="POM68" s="2936"/>
      <c r="PON68" s="2936"/>
      <c r="POO68" s="2936"/>
      <c r="POP68" s="2936"/>
      <c r="POQ68" s="2936"/>
      <c r="POR68" s="2936"/>
      <c r="POS68" s="2936"/>
      <c r="POT68" s="2936"/>
      <c r="POU68" s="2936"/>
      <c r="POV68" s="2936"/>
      <c r="POW68" s="2936"/>
      <c r="POX68" s="2936"/>
      <c r="POY68" s="2936"/>
      <c r="POZ68" s="2936"/>
      <c r="PPA68" s="2936"/>
      <c r="PPB68" s="2936"/>
      <c r="PPC68" s="2936"/>
      <c r="PPD68" s="2936"/>
      <c r="PPE68" s="2936"/>
      <c r="PPF68" s="2936"/>
      <c r="PPG68" s="2936"/>
      <c r="PPH68" s="2936"/>
      <c r="PPI68" s="2936"/>
      <c r="PPJ68" s="2936"/>
      <c r="PPK68" s="2936"/>
      <c r="PPL68" s="2936"/>
      <c r="PPM68" s="2936"/>
      <c r="PPN68" s="2936"/>
      <c r="PPO68" s="2936"/>
      <c r="PPP68" s="2936"/>
      <c r="PPQ68" s="2936"/>
      <c r="PPR68" s="2936"/>
      <c r="PPS68" s="2936"/>
      <c r="PPT68" s="2936"/>
      <c r="PPU68" s="2936"/>
      <c r="PPV68" s="2936"/>
      <c r="PPW68" s="2936"/>
      <c r="PPX68" s="2936"/>
      <c r="PPY68" s="2936"/>
      <c r="PPZ68" s="2936"/>
      <c r="PQA68" s="2936"/>
      <c r="PQB68" s="2936"/>
      <c r="PQC68" s="2936"/>
      <c r="PQD68" s="2936"/>
      <c r="PQE68" s="2936"/>
      <c r="PQF68" s="2936"/>
      <c r="PQG68" s="2936"/>
      <c r="PQH68" s="2936"/>
      <c r="PQI68" s="2936"/>
      <c r="PQJ68" s="2936"/>
      <c r="PQK68" s="2936"/>
      <c r="PQL68" s="2936"/>
      <c r="PQM68" s="2936"/>
      <c r="PQN68" s="2936"/>
      <c r="PQO68" s="2936"/>
      <c r="PQP68" s="2936"/>
      <c r="PQQ68" s="2936"/>
      <c r="PQR68" s="2936"/>
      <c r="PQS68" s="2936"/>
      <c r="PQT68" s="2936"/>
      <c r="PQU68" s="2936"/>
      <c r="PQV68" s="2936"/>
      <c r="PQW68" s="2936"/>
      <c r="PQX68" s="2936"/>
      <c r="PQY68" s="2936"/>
      <c r="PQZ68" s="2936"/>
      <c r="PRA68" s="2936"/>
      <c r="PRB68" s="2936"/>
      <c r="PRC68" s="2936"/>
      <c r="PRD68" s="2936"/>
      <c r="PRE68" s="2936"/>
      <c r="PRF68" s="2936"/>
      <c r="PRG68" s="2936"/>
      <c r="PRH68" s="2936"/>
      <c r="PRI68" s="2936"/>
      <c r="PRJ68" s="2936"/>
      <c r="PRK68" s="2936"/>
      <c r="PRL68" s="2936"/>
      <c r="PRM68" s="2936"/>
      <c r="PRN68" s="2936"/>
      <c r="PRO68" s="2936"/>
      <c r="PRP68" s="2936"/>
      <c r="PRQ68" s="2936"/>
      <c r="PRR68" s="2936"/>
      <c r="PRS68" s="2936"/>
      <c r="PRT68" s="2936"/>
      <c r="PRU68" s="2936"/>
      <c r="PRV68" s="2936"/>
      <c r="PRW68" s="2936"/>
      <c r="PRX68" s="2936"/>
      <c r="PRY68" s="2936"/>
      <c r="PRZ68" s="2936"/>
      <c r="PSA68" s="2936"/>
      <c r="PSB68" s="2936"/>
      <c r="PSC68" s="2936"/>
      <c r="PSD68" s="2936"/>
      <c r="PSE68" s="2936"/>
      <c r="PSF68" s="2936"/>
      <c r="PSG68" s="2936"/>
      <c r="PSH68" s="2936"/>
      <c r="PSI68" s="2936"/>
      <c r="PSJ68" s="2936"/>
      <c r="PSK68" s="2936"/>
      <c r="PSL68" s="2936"/>
      <c r="PSM68" s="2936"/>
      <c r="PSN68" s="2936"/>
      <c r="PSO68" s="2936"/>
      <c r="PSP68" s="2936"/>
      <c r="PSQ68" s="2936"/>
      <c r="PSR68" s="2936"/>
      <c r="PSS68" s="2936"/>
      <c r="PST68" s="2936"/>
      <c r="PSU68" s="2936"/>
      <c r="PSV68" s="2936"/>
      <c r="PSW68" s="2936"/>
      <c r="PSX68" s="2936"/>
      <c r="PSY68" s="2936"/>
      <c r="PSZ68" s="2936"/>
      <c r="PTA68" s="2936"/>
      <c r="PTB68" s="2936"/>
      <c r="PTC68" s="2936"/>
      <c r="PTD68" s="2936"/>
      <c r="PTE68" s="2936"/>
      <c r="PTF68" s="2936"/>
      <c r="PTG68" s="2936"/>
      <c r="PTH68" s="2936"/>
      <c r="PTI68" s="2936"/>
      <c r="PTJ68" s="2936"/>
      <c r="PTK68" s="2936"/>
      <c r="PTL68" s="2936"/>
      <c r="PTM68" s="2936"/>
      <c r="PTN68" s="2936"/>
      <c r="PTO68" s="2936"/>
      <c r="PTP68" s="2936"/>
      <c r="PTQ68" s="2936"/>
      <c r="PTR68" s="2936"/>
      <c r="PTS68" s="2936"/>
      <c r="PTT68" s="2936"/>
      <c r="PTU68" s="2936"/>
      <c r="PTV68" s="2936"/>
      <c r="PTW68" s="2936"/>
      <c r="PTX68" s="2936"/>
      <c r="PTY68" s="2936"/>
      <c r="PTZ68" s="2936"/>
      <c r="PUA68" s="2936"/>
      <c r="PUB68" s="2936"/>
      <c r="PUC68" s="2936"/>
      <c r="PUD68" s="2936"/>
      <c r="PUE68" s="2936"/>
      <c r="PUF68" s="2936"/>
      <c r="PUG68" s="2936"/>
      <c r="PUH68" s="2936"/>
      <c r="PUI68" s="2936"/>
      <c r="PUJ68" s="2936"/>
      <c r="PUK68" s="2936"/>
      <c r="PUL68" s="2936"/>
      <c r="PUM68" s="2936"/>
      <c r="PUN68" s="2936"/>
      <c r="PUO68" s="2936"/>
      <c r="PUP68" s="2936"/>
      <c r="PUQ68" s="2936"/>
      <c r="PUR68" s="2936"/>
      <c r="PUS68" s="2936"/>
      <c r="PUT68" s="2936"/>
      <c r="PUU68" s="2936"/>
      <c r="PUV68" s="2936"/>
      <c r="PUW68" s="2936"/>
      <c r="PUX68" s="2936"/>
      <c r="PUY68" s="2936"/>
      <c r="PUZ68" s="2936"/>
      <c r="PVA68" s="2936"/>
      <c r="PVB68" s="2936"/>
      <c r="PVC68" s="2936"/>
      <c r="PVD68" s="2936"/>
      <c r="PVE68" s="2936"/>
      <c r="PVF68" s="2936"/>
      <c r="PVG68" s="2936"/>
      <c r="PVH68" s="2936"/>
      <c r="PVI68" s="2936"/>
      <c r="PVJ68" s="2936"/>
      <c r="PVK68" s="2936"/>
      <c r="PVL68" s="2936"/>
      <c r="PVM68" s="2936"/>
      <c r="PVN68" s="2936"/>
      <c r="PVO68" s="2936"/>
      <c r="PVP68" s="2936"/>
      <c r="PVQ68" s="2936"/>
      <c r="PVR68" s="2936"/>
      <c r="PVS68" s="2936"/>
      <c r="PVT68" s="2936"/>
      <c r="PVU68" s="2936"/>
      <c r="PVV68" s="2936"/>
      <c r="PVW68" s="2936"/>
      <c r="PVX68" s="2936"/>
      <c r="PVY68" s="2936"/>
      <c r="PVZ68" s="2936"/>
      <c r="PWA68" s="2936"/>
      <c r="PWB68" s="2936"/>
      <c r="PWC68" s="2936"/>
      <c r="PWD68" s="2936"/>
      <c r="PWE68" s="2936"/>
      <c r="PWF68" s="2936"/>
      <c r="PWG68" s="2936"/>
      <c r="PWH68" s="2936"/>
      <c r="PWI68" s="2936"/>
      <c r="PWJ68" s="2936"/>
      <c r="PWK68" s="2936"/>
      <c r="PWL68" s="2936"/>
      <c r="PWM68" s="2936"/>
      <c r="PWN68" s="2936"/>
      <c r="PWO68" s="2936"/>
      <c r="PWP68" s="2936"/>
      <c r="PWQ68" s="2936"/>
      <c r="PWR68" s="2936"/>
      <c r="PWS68" s="2936"/>
      <c r="PWT68" s="2936"/>
      <c r="PWU68" s="2936"/>
      <c r="PWV68" s="2936"/>
      <c r="PWW68" s="2936"/>
      <c r="PWX68" s="2936"/>
      <c r="PWY68" s="2936"/>
      <c r="PWZ68" s="2936"/>
      <c r="PXA68" s="2936"/>
      <c r="PXB68" s="2936"/>
      <c r="PXC68" s="2936"/>
      <c r="PXD68" s="2936"/>
      <c r="PXE68" s="2936"/>
      <c r="PXF68" s="2936"/>
      <c r="PXG68" s="2936"/>
      <c r="PXH68" s="2936"/>
      <c r="PXI68" s="2936"/>
      <c r="PXJ68" s="2936"/>
      <c r="PXK68" s="2936"/>
      <c r="PXL68" s="2936"/>
      <c r="PXM68" s="2936"/>
      <c r="PXN68" s="2936"/>
      <c r="PXO68" s="2936"/>
      <c r="PXP68" s="2936"/>
      <c r="PXQ68" s="2936"/>
      <c r="PXR68" s="2936"/>
      <c r="PXS68" s="2936"/>
      <c r="PXT68" s="2936"/>
      <c r="PXU68" s="2936"/>
      <c r="PXV68" s="2936"/>
      <c r="PXW68" s="2936"/>
      <c r="PXX68" s="2936"/>
      <c r="PXY68" s="2936"/>
      <c r="PXZ68" s="2936"/>
      <c r="PYA68" s="2936"/>
      <c r="PYB68" s="2936"/>
      <c r="PYC68" s="2936"/>
      <c r="PYD68" s="2936"/>
      <c r="PYE68" s="2936"/>
      <c r="PYF68" s="2936"/>
      <c r="PYG68" s="2936"/>
      <c r="PYH68" s="2936"/>
      <c r="PYI68" s="2936"/>
      <c r="PYJ68" s="2936"/>
      <c r="PYK68" s="2936"/>
      <c r="PYL68" s="2936"/>
      <c r="PYM68" s="2936"/>
      <c r="PYN68" s="2936"/>
      <c r="PYO68" s="2936"/>
      <c r="PYP68" s="2936"/>
      <c r="PYQ68" s="2936"/>
      <c r="PYR68" s="2936"/>
      <c r="PYS68" s="2936"/>
      <c r="PYT68" s="2936"/>
      <c r="PYU68" s="2936"/>
      <c r="PYV68" s="2936"/>
      <c r="PYW68" s="2936"/>
      <c r="PYX68" s="2936"/>
      <c r="PYY68" s="2936"/>
      <c r="PYZ68" s="2936"/>
      <c r="PZA68" s="2936"/>
      <c r="PZB68" s="2936"/>
      <c r="PZC68" s="2936"/>
      <c r="PZD68" s="2936"/>
      <c r="PZE68" s="2936"/>
      <c r="PZF68" s="2936"/>
      <c r="PZG68" s="2936"/>
      <c r="PZH68" s="2936"/>
      <c r="PZI68" s="2936"/>
      <c r="PZJ68" s="2936"/>
      <c r="PZK68" s="2936"/>
      <c r="PZL68" s="2936"/>
      <c r="PZM68" s="2936"/>
      <c r="PZN68" s="2936"/>
      <c r="PZO68" s="2936"/>
      <c r="PZP68" s="2936"/>
      <c r="PZQ68" s="2936"/>
      <c r="PZR68" s="2936"/>
      <c r="PZS68" s="2936"/>
      <c r="PZT68" s="2936"/>
      <c r="PZU68" s="2936"/>
      <c r="PZV68" s="2936"/>
      <c r="PZW68" s="2936"/>
      <c r="PZX68" s="2936"/>
      <c r="PZY68" s="2936"/>
      <c r="PZZ68" s="2936"/>
      <c r="QAA68" s="2936"/>
      <c r="QAB68" s="2936"/>
      <c r="QAC68" s="2936"/>
      <c r="QAD68" s="2936"/>
      <c r="QAE68" s="2936"/>
      <c r="QAF68" s="2936"/>
      <c r="QAG68" s="2936"/>
      <c r="QAH68" s="2936"/>
      <c r="QAI68" s="2936"/>
      <c r="QAJ68" s="2936"/>
      <c r="QAK68" s="2936"/>
      <c r="QAL68" s="2936"/>
      <c r="QAM68" s="2936"/>
      <c r="QAN68" s="2936"/>
      <c r="QAO68" s="2936"/>
      <c r="QAP68" s="2936"/>
      <c r="QAQ68" s="2936"/>
      <c r="QAR68" s="2936"/>
      <c r="QAS68" s="2936"/>
      <c r="QAT68" s="2936"/>
      <c r="QAU68" s="2936"/>
      <c r="QAV68" s="2936"/>
      <c r="QAW68" s="2936"/>
      <c r="QAX68" s="2936"/>
      <c r="QAY68" s="2936"/>
      <c r="QAZ68" s="2936"/>
      <c r="QBA68" s="2936"/>
      <c r="QBB68" s="2936"/>
      <c r="QBC68" s="2936"/>
      <c r="QBD68" s="2936"/>
      <c r="QBE68" s="2936"/>
      <c r="QBF68" s="2936"/>
      <c r="QBG68" s="2936"/>
      <c r="QBH68" s="2936"/>
      <c r="QBI68" s="2936"/>
      <c r="QBJ68" s="2936"/>
      <c r="QBK68" s="2936"/>
      <c r="QBL68" s="2936"/>
      <c r="QBM68" s="2936"/>
      <c r="QBN68" s="2936"/>
      <c r="QBO68" s="2936"/>
      <c r="QBP68" s="2936"/>
      <c r="QBQ68" s="2936"/>
      <c r="QBR68" s="2936"/>
      <c r="QBS68" s="2936"/>
      <c r="QBT68" s="2936"/>
      <c r="QBU68" s="2936"/>
      <c r="QBV68" s="2936"/>
      <c r="QBW68" s="2936"/>
      <c r="QBX68" s="2936"/>
      <c r="QBY68" s="2936"/>
      <c r="QBZ68" s="2936"/>
      <c r="QCA68" s="2936"/>
      <c r="QCB68" s="2936"/>
      <c r="QCC68" s="2936"/>
      <c r="QCD68" s="2936"/>
      <c r="QCE68" s="2936"/>
      <c r="QCF68" s="2936"/>
      <c r="QCG68" s="2936"/>
      <c r="QCH68" s="2936"/>
      <c r="QCI68" s="2936"/>
      <c r="QCJ68" s="2936"/>
      <c r="QCK68" s="2936"/>
      <c r="QCL68" s="2936"/>
      <c r="QCM68" s="2936"/>
      <c r="QCN68" s="2936"/>
      <c r="QCO68" s="2936"/>
      <c r="QCP68" s="2936"/>
      <c r="QCQ68" s="2936"/>
      <c r="QCR68" s="2936"/>
      <c r="QCS68" s="2936"/>
      <c r="QCT68" s="2936"/>
      <c r="QCU68" s="2936"/>
      <c r="QCV68" s="2936"/>
      <c r="QCW68" s="2936"/>
      <c r="QCX68" s="2936"/>
      <c r="QCY68" s="2936"/>
      <c r="QCZ68" s="2936"/>
      <c r="QDA68" s="2936"/>
      <c r="QDB68" s="2936"/>
      <c r="QDC68" s="2936"/>
      <c r="QDD68" s="2936"/>
      <c r="QDE68" s="2936"/>
      <c r="QDF68" s="2936"/>
      <c r="QDG68" s="2936"/>
      <c r="QDH68" s="2936"/>
      <c r="QDI68" s="2936"/>
      <c r="QDJ68" s="2936"/>
      <c r="QDK68" s="2936"/>
      <c r="QDL68" s="2936"/>
      <c r="QDM68" s="2936"/>
      <c r="QDN68" s="2936"/>
      <c r="QDO68" s="2936"/>
      <c r="QDP68" s="2936"/>
      <c r="QDQ68" s="2936"/>
      <c r="QDR68" s="2936"/>
      <c r="QDS68" s="2936"/>
      <c r="QDT68" s="2936"/>
      <c r="QDU68" s="2936"/>
      <c r="QDV68" s="2936"/>
      <c r="QDW68" s="2936"/>
      <c r="QDX68" s="2936"/>
      <c r="QDY68" s="2936"/>
      <c r="QDZ68" s="2936"/>
      <c r="QEA68" s="2936"/>
      <c r="QEB68" s="2936"/>
      <c r="QEC68" s="2936"/>
      <c r="QED68" s="2936"/>
      <c r="QEE68" s="2936"/>
      <c r="QEF68" s="2936"/>
      <c r="QEG68" s="2936"/>
      <c r="QEH68" s="2936"/>
      <c r="QEI68" s="2936"/>
      <c r="QEJ68" s="2936"/>
      <c r="QEK68" s="2936"/>
      <c r="QEL68" s="2936"/>
      <c r="QEM68" s="2936"/>
      <c r="QEN68" s="2936"/>
      <c r="QEO68" s="2936"/>
      <c r="QEP68" s="2936"/>
      <c r="QEQ68" s="2936"/>
      <c r="QER68" s="2936"/>
      <c r="QES68" s="2936"/>
      <c r="QET68" s="2936"/>
      <c r="QEU68" s="2936"/>
      <c r="QEV68" s="2936"/>
      <c r="QEW68" s="2936"/>
      <c r="QEX68" s="2936"/>
      <c r="QEY68" s="2936"/>
      <c r="QEZ68" s="2936"/>
      <c r="QFA68" s="2936"/>
      <c r="QFB68" s="2936"/>
      <c r="QFC68" s="2936"/>
      <c r="QFD68" s="2936"/>
      <c r="QFE68" s="2936"/>
      <c r="QFF68" s="2936"/>
      <c r="QFG68" s="2936"/>
      <c r="QFH68" s="2936"/>
      <c r="QFI68" s="2936"/>
      <c r="QFJ68" s="2936"/>
      <c r="QFK68" s="2936"/>
      <c r="QFL68" s="2936"/>
      <c r="QFM68" s="2936"/>
      <c r="QFN68" s="2936"/>
      <c r="QFO68" s="2936"/>
      <c r="QFP68" s="2936"/>
      <c r="QFQ68" s="2936"/>
      <c r="QFR68" s="2936"/>
      <c r="QFS68" s="2936"/>
      <c r="QFT68" s="2936"/>
      <c r="QFU68" s="2936"/>
      <c r="QFV68" s="2936"/>
      <c r="QFW68" s="2936"/>
      <c r="QFX68" s="2936"/>
      <c r="QFY68" s="2936"/>
      <c r="QFZ68" s="2936"/>
      <c r="QGA68" s="2936"/>
      <c r="QGB68" s="2936"/>
      <c r="QGC68" s="2936"/>
      <c r="QGD68" s="2936"/>
      <c r="QGE68" s="2936"/>
      <c r="QGF68" s="2936"/>
      <c r="QGG68" s="2936"/>
      <c r="QGH68" s="2936"/>
      <c r="QGI68" s="2936"/>
      <c r="QGJ68" s="2936"/>
      <c r="QGK68" s="2936"/>
      <c r="QGL68" s="2936"/>
      <c r="QGM68" s="2936"/>
      <c r="QGN68" s="2936"/>
      <c r="QGO68" s="2936"/>
      <c r="QGP68" s="2936"/>
      <c r="QGQ68" s="2936"/>
      <c r="QGR68" s="2936"/>
      <c r="QGS68" s="2936"/>
      <c r="QGT68" s="2936"/>
      <c r="QGU68" s="2936"/>
      <c r="QGV68" s="2936"/>
      <c r="QGW68" s="2936"/>
      <c r="QGX68" s="2936"/>
      <c r="QGY68" s="2936"/>
      <c r="QGZ68" s="2936"/>
      <c r="QHA68" s="2936"/>
      <c r="QHB68" s="2936"/>
      <c r="QHC68" s="2936"/>
      <c r="QHD68" s="2936"/>
      <c r="QHE68" s="2936"/>
      <c r="QHF68" s="2936"/>
      <c r="QHG68" s="2936"/>
      <c r="QHH68" s="2936"/>
      <c r="QHI68" s="2936"/>
      <c r="QHJ68" s="2936"/>
      <c r="QHK68" s="2936"/>
      <c r="QHL68" s="2936"/>
      <c r="QHM68" s="2936"/>
      <c r="QHN68" s="2936"/>
      <c r="QHO68" s="2936"/>
      <c r="QHP68" s="2936"/>
      <c r="QHQ68" s="2936"/>
      <c r="QHR68" s="2936"/>
      <c r="QHS68" s="2936"/>
      <c r="QHT68" s="2936"/>
      <c r="QHU68" s="2936"/>
      <c r="QHV68" s="2936"/>
      <c r="QHW68" s="2936"/>
      <c r="QHX68" s="2936"/>
      <c r="QHY68" s="2936"/>
      <c r="QHZ68" s="2936"/>
      <c r="QIA68" s="2936"/>
      <c r="QIB68" s="2936"/>
      <c r="QIC68" s="2936"/>
      <c r="QID68" s="2936"/>
      <c r="QIE68" s="2936"/>
      <c r="QIF68" s="2936"/>
      <c r="QIG68" s="2936"/>
      <c r="QIH68" s="2936"/>
      <c r="QII68" s="2936"/>
      <c r="QIJ68" s="2936"/>
      <c r="QIK68" s="2936"/>
      <c r="QIL68" s="2936"/>
      <c r="QIM68" s="2936"/>
      <c r="QIN68" s="2936"/>
      <c r="QIO68" s="2936"/>
      <c r="QIP68" s="2936"/>
      <c r="QIQ68" s="2936"/>
      <c r="QIR68" s="2936"/>
      <c r="QIS68" s="2936"/>
      <c r="QIT68" s="2936"/>
      <c r="QIU68" s="2936"/>
      <c r="QIV68" s="2936"/>
      <c r="QIW68" s="2936"/>
      <c r="QIX68" s="2936"/>
      <c r="QIY68" s="2936"/>
      <c r="QIZ68" s="2936"/>
      <c r="QJA68" s="2936"/>
      <c r="QJB68" s="2936"/>
      <c r="QJC68" s="2936"/>
      <c r="QJD68" s="2936"/>
      <c r="QJE68" s="2936"/>
      <c r="QJF68" s="2936"/>
      <c r="QJG68" s="2936"/>
      <c r="QJH68" s="2936"/>
      <c r="QJI68" s="2936"/>
      <c r="QJJ68" s="2936"/>
      <c r="QJK68" s="2936"/>
      <c r="QJL68" s="2936"/>
      <c r="QJM68" s="2936"/>
      <c r="QJN68" s="2936"/>
      <c r="QJO68" s="2936"/>
      <c r="QJP68" s="2936"/>
      <c r="QJQ68" s="2936"/>
      <c r="QJR68" s="2936"/>
      <c r="QJS68" s="2936"/>
      <c r="QJT68" s="2936"/>
      <c r="QJU68" s="2936"/>
      <c r="QJV68" s="2936"/>
      <c r="QJW68" s="2936"/>
      <c r="QJX68" s="2936"/>
      <c r="QJY68" s="2936"/>
      <c r="QJZ68" s="2936"/>
      <c r="QKA68" s="2936"/>
      <c r="QKB68" s="2936"/>
      <c r="QKC68" s="2936"/>
      <c r="QKD68" s="2936"/>
      <c r="QKE68" s="2936"/>
      <c r="QKF68" s="2936"/>
      <c r="QKG68" s="2936"/>
      <c r="QKH68" s="2936"/>
      <c r="QKI68" s="2936"/>
      <c r="QKJ68" s="2936"/>
      <c r="QKK68" s="2936"/>
      <c r="QKL68" s="2936"/>
      <c r="QKM68" s="2936"/>
      <c r="QKN68" s="2936"/>
      <c r="QKO68" s="2936"/>
      <c r="QKP68" s="2936"/>
      <c r="QKQ68" s="2936"/>
      <c r="QKR68" s="2936"/>
      <c r="QKS68" s="2936"/>
      <c r="QKT68" s="2936"/>
      <c r="QKU68" s="2936"/>
      <c r="QKV68" s="2936"/>
      <c r="QKW68" s="2936"/>
      <c r="QKX68" s="2936"/>
      <c r="QKY68" s="2936"/>
      <c r="QKZ68" s="2936"/>
      <c r="QLA68" s="2936"/>
      <c r="QLB68" s="2936"/>
      <c r="QLC68" s="2936"/>
      <c r="QLD68" s="2936"/>
      <c r="QLE68" s="2936"/>
      <c r="QLF68" s="2936"/>
      <c r="QLG68" s="2936"/>
      <c r="QLH68" s="2936"/>
      <c r="QLI68" s="2936"/>
      <c r="QLJ68" s="2936"/>
      <c r="QLK68" s="2936"/>
      <c r="QLL68" s="2936"/>
      <c r="QLM68" s="2936"/>
      <c r="QLN68" s="2936"/>
      <c r="QLO68" s="2936"/>
      <c r="QLP68" s="2936"/>
      <c r="QLQ68" s="2936"/>
      <c r="QLR68" s="2936"/>
      <c r="QLS68" s="2936"/>
      <c r="QLT68" s="2936"/>
      <c r="QLU68" s="2936"/>
      <c r="QLV68" s="2936"/>
      <c r="QLW68" s="2936"/>
      <c r="QLX68" s="2936"/>
      <c r="QLY68" s="2936"/>
      <c r="QLZ68" s="2936"/>
      <c r="QMA68" s="2936"/>
      <c r="QMB68" s="2936"/>
      <c r="QMC68" s="2936"/>
      <c r="QMD68" s="2936"/>
      <c r="QME68" s="2936"/>
      <c r="QMF68" s="2936"/>
      <c r="QMG68" s="2936"/>
      <c r="QMH68" s="2936"/>
      <c r="QMI68" s="2936"/>
      <c r="QMJ68" s="2936"/>
      <c r="QMK68" s="2936"/>
      <c r="QML68" s="2936"/>
      <c r="QMM68" s="2936"/>
      <c r="QMN68" s="2936"/>
      <c r="QMO68" s="2936"/>
      <c r="QMP68" s="2936"/>
      <c r="QMQ68" s="2936"/>
      <c r="QMR68" s="2936"/>
      <c r="QMS68" s="2936"/>
      <c r="QMT68" s="2936"/>
      <c r="QMU68" s="2936"/>
      <c r="QMV68" s="2936"/>
      <c r="QMW68" s="2936"/>
      <c r="QMX68" s="2936"/>
      <c r="QMY68" s="2936"/>
      <c r="QMZ68" s="2936"/>
      <c r="QNA68" s="2936"/>
      <c r="QNB68" s="2936"/>
      <c r="QNC68" s="2936"/>
      <c r="QND68" s="2936"/>
      <c r="QNE68" s="2936"/>
      <c r="QNF68" s="2936"/>
      <c r="QNG68" s="2936"/>
      <c r="QNH68" s="2936"/>
      <c r="QNI68" s="2936"/>
      <c r="QNJ68" s="2936"/>
      <c r="QNK68" s="2936"/>
      <c r="QNL68" s="2936"/>
      <c r="QNM68" s="2936"/>
      <c r="QNN68" s="2936"/>
      <c r="QNO68" s="2936"/>
      <c r="QNP68" s="2936"/>
      <c r="QNQ68" s="2936"/>
      <c r="QNR68" s="2936"/>
      <c r="QNS68" s="2936"/>
      <c r="QNT68" s="2936"/>
      <c r="QNU68" s="2936"/>
      <c r="QNV68" s="2936"/>
      <c r="QNW68" s="2936"/>
      <c r="QNX68" s="2936"/>
      <c r="QNY68" s="2936"/>
      <c r="QNZ68" s="2936"/>
      <c r="QOA68" s="2936"/>
      <c r="QOB68" s="2936"/>
      <c r="QOC68" s="2936"/>
      <c r="QOD68" s="2936"/>
      <c r="QOE68" s="2936"/>
      <c r="QOF68" s="2936"/>
      <c r="QOG68" s="2936"/>
      <c r="QOH68" s="2936"/>
      <c r="QOI68" s="2936"/>
      <c r="QOJ68" s="2936"/>
      <c r="QOK68" s="2936"/>
      <c r="QOL68" s="2936"/>
      <c r="QOM68" s="2936"/>
      <c r="QON68" s="2936"/>
      <c r="QOO68" s="2936"/>
      <c r="QOP68" s="2936"/>
      <c r="QOQ68" s="2936"/>
      <c r="QOR68" s="2936"/>
      <c r="QOS68" s="2936"/>
      <c r="QOT68" s="2936"/>
      <c r="QOU68" s="2936"/>
      <c r="QOV68" s="2936"/>
      <c r="QOW68" s="2936"/>
      <c r="QOX68" s="2936"/>
      <c r="QOY68" s="2936"/>
      <c r="QOZ68" s="2936"/>
      <c r="QPA68" s="2936"/>
      <c r="QPB68" s="2936"/>
      <c r="QPC68" s="2936"/>
      <c r="QPD68" s="2936"/>
      <c r="QPE68" s="2936"/>
      <c r="QPF68" s="2936"/>
      <c r="QPG68" s="2936"/>
      <c r="QPH68" s="2936"/>
      <c r="QPI68" s="2936"/>
      <c r="QPJ68" s="2936"/>
      <c r="QPK68" s="2936"/>
      <c r="QPL68" s="2936"/>
      <c r="QPM68" s="2936"/>
      <c r="QPN68" s="2936"/>
      <c r="QPO68" s="2936"/>
      <c r="QPP68" s="2936"/>
      <c r="QPQ68" s="2936"/>
      <c r="QPR68" s="2936"/>
      <c r="QPS68" s="2936"/>
      <c r="QPT68" s="2936"/>
      <c r="QPU68" s="2936"/>
      <c r="QPV68" s="2936"/>
      <c r="QPW68" s="2936"/>
      <c r="QPX68" s="2936"/>
      <c r="QPY68" s="2936"/>
      <c r="QPZ68" s="2936"/>
      <c r="QQA68" s="2936"/>
      <c r="QQB68" s="2936"/>
      <c r="QQC68" s="2936"/>
      <c r="QQD68" s="2936"/>
      <c r="QQE68" s="2936"/>
      <c r="QQF68" s="2936"/>
      <c r="QQG68" s="2936"/>
      <c r="QQH68" s="2936"/>
      <c r="QQI68" s="2936"/>
      <c r="QQJ68" s="2936"/>
      <c r="QQK68" s="2936"/>
      <c r="QQL68" s="2936"/>
      <c r="QQM68" s="2936"/>
      <c r="QQN68" s="2936"/>
      <c r="QQO68" s="2936"/>
      <c r="QQP68" s="2936"/>
      <c r="QQQ68" s="2936"/>
      <c r="QQR68" s="2936"/>
      <c r="QQS68" s="2936"/>
      <c r="QQT68" s="2936"/>
      <c r="QQU68" s="2936"/>
      <c r="QQV68" s="2936"/>
      <c r="QQW68" s="2936"/>
      <c r="QQX68" s="2936"/>
      <c r="QQY68" s="2936"/>
      <c r="QQZ68" s="2936"/>
      <c r="QRA68" s="2936"/>
      <c r="QRB68" s="2936"/>
      <c r="QRC68" s="2936"/>
      <c r="QRD68" s="2936"/>
      <c r="QRE68" s="2936"/>
      <c r="QRF68" s="2936"/>
      <c r="QRG68" s="2936"/>
      <c r="QRH68" s="2936"/>
      <c r="QRI68" s="2936"/>
      <c r="QRJ68" s="2936"/>
      <c r="QRK68" s="2936"/>
      <c r="QRL68" s="2936"/>
      <c r="QRM68" s="2936"/>
      <c r="QRN68" s="2936"/>
      <c r="QRO68" s="2936"/>
      <c r="QRP68" s="2936"/>
      <c r="QRQ68" s="2936"/>
      <c r="QRR68" s="2936"/>
      <c r="QRS68" s="2936"/>
      <c r="QRT68" s="2936"/>
      <c r="QRU68" s="2936"/>
      <c r="QRV68" s="2936"/>
      <c r="QRW68" s="2936"/>
      <c r="QRX68" s="2936"/>
      <c r="QRY68" s="2936"/>
      <c r="QRZ68" s="2936"/>
      <c r="QSA68" s="2936"/>
      <c r="QSB68" s="2936"/>
      <c r="QSC68" s="2936"/>
      <c r="QSD68" s="2936"/>
      <c r="QSE68" s="2936"/>
      <c r="QSF68" s="2936"/>
      <c r="QSG68" s="2936"/>
      <c r="QSH68" s="2936"/>
      <c r="QSI68" s="2936"/>
      <c r="QSJ68" s="2936"/>
      <c r="QSK68" s="2936"/>
      <c r="QSL68" s="2936"/>
      <c r="QSM68" s="2936"/>
      <c r="QSN68" s="2936"/>
      <c r="QSO68" s="2936"/>
      <c r="QSP68" s="2936"/>
      <c r="QSQ68" s="2936"/>
      <c r="QSR68" s="2936"/>
      <c r="QSS68" s="2936"/>
      <c r="QST68" s="2936"/>
      <c r="QSU68" s="2936"/>
      <c r="QSV68" s="2936"/>
      <c r="QSW68" s="2936"/>
      <c r="QSX68" s="2936"/>
      <c r="QSY68" s="2936"/>
      <c r="QSZ68" s="2936"/>
      <c r="QTA68" s="2936"/>
      <c r="QTB68" s="2936"/>
      <c r="QTC68" s="2936"/>
      <c r="QTD68" s="2936"/>
      <c r="QTE68" s="2936"/>
      <c r="QTF68" s="2936"/>
      <c r="QTG68" s="2936"/>
      <c r="QTH68" s="2936"/>
      <c r="QTI68" s="2936"/>
      <c r="QTJ68" s="2936"/>
      <c r="QTK68" s="2936"/>
      <c r="QTL68" s="2936"/>
      <c r="QTM68" s="2936"/>
      <c r="QTN68" s="2936"/>
      <c r="QTO68" s="2936"/>
      <c r="QTP68" s="2936"/>
      <c r="QTQ68" s="2936"/>
      <c r="QTR68" s="2936"/>
      <c r="QTS68" s="2936"/>
      <c r="QTT68" s="2936"/>
      <c r="QTU68" s="2936"/>
      <c r="QTV68" s="2936"/>
      <c r="QTW68" s="2936"/>
      <c r="QTX68" s="2936"/>
      <c r="QTY68" s="2936"/>
      <c r="QTZ68" s="2936"/>
      <c r="QUA68" s="2936"/>
      <c r="QUB68" s="2936"/>
      <c r="QUC68" s="2936"/>
      <c r="QUD68" s="2936"/>
      <c r="QUE68" s="2936"/>
      <c r="QUF68" s="2936"/>
      <c r="QUG68" s="2936"/>
      <c r="QUH68" s="2936"/>
      <c r="QUI68" s="2936"/>
      <c r="QUJ68" s="2936"/>
      <c r="QUK68" s="2936"/>
      <c r="QUL68" s="2936"/>
      <c r="QUM68" s="2936"/>
      <c r="QUN68" s="2936"/>
      <c r="QUO68" s="2936"/>
      <c r="QUP68" s="2936"/>
      <c r="QUQ68" s="2936"/>
      <c r="QUR68" s="2936"/>
      <c r="QUS68" s="2936"/>
      <c r="QUT68" s="2936"/>
      <c r="QUU68" s="2936"/>
      <c r="QUV68" s="2936"/>
      <c r="QUW68" s="2936"/>
      <c r="QUX68" s="2936"/>
      <c r="QUY68" s="2936"/>
      <c r="QUZ68" s="2936"/>
      <c r="QVA68" s="2936"/>
      <c r="QVB68" s="2936"/>
      <c r="QVC68" s="2936"/>
      <c r="QVD68" s="2936"/>
      <c r="QVE68" s="2936"/>
      <c r="QVF68" s="2936"/>
      <c r="QVG68" s="2936"/>
      <c r="QVH68" s="2936"/>
      <c r="QVI68" s="2936"/>
      <c r="QVJ68" s="2936"/>
      <c r="QVK68" s="2936"/>
      <c r="QVL68" s="2936"/>
      <c r="QVM68" s="2936"/>
      <c r="QVN68" s="2936"/>
      <c r="QVO68" s="2936"/>
      <c r="QVP68" s="2936"/>
      <c r="QVQ68" s="2936"/>
      <c r="QVR68" s="2936"/>
      <c r="QVS68" s="2936"/>
      <c r="QVT68" s="2936"/>
      <c r="QVU68" s="2936"/>
      <c r="QVV68" s="2936"/>
      <c r="QVW68" s="2936"/>
      <c r="QVX68" s="2936"/>
      <c r="QVY68" s="2936"/>
      <c r="QVZ68" s="2936"/>
      <c r="QWA68" s="2936"/>
      <c r="QWB68" s="2936"/>
      <c r="QWC68" s="2936"/>
      <c r="QWD68" s="2936"/>
      <c r="QWE68" s="2936"/>
      <c r="QWF68" s="2936"/>
      <c r="QWG68" s="2936"/>
      <c r="QWH68" s="2936"/>
      <c r="QWI68" s="2936"/>
      <c r="QWJ68" s="2936"/>
      <c r="QWK68" s="2936"/>
      <c r="QWL68" s="2936"/>
      <c r="QWM68" s="2936"/>
      <c r="QWN68" s="2936"/>
      <c r="QWO68" s="2936"/>
      <c r="QWP68" s="2936"/>
      <c r="QWQ68" s="2936"/>
      <c r="QWR68" s="2936"/>
      <c r="QWS68" s="2936"/>
      <c r="QWT68" s="2936"/>
      <c r="QWU68" s="2936"/>
      <c r="QWV68" s="2936"/>
      <c r="QWW68" s="2936"/>
      <c r="QWX68" s="2936"/>
      <c r="QWY68" s="2936"/>
      <c r="QWZ68" s="2936"/>
      <c r="QXA68" s="2936"/>
      <c r="QXB68" s="2936"/>
      <c r="QXC68" s="2936"/>
      <c r="QXD68" s="2936"/>
      <c r="QXE68" s="2936"/>
      <c r="QXF68" s="2936"/>
      <c r="QXG68" s="2936"/>
      <c r="QXH68" s="2936"/>
      <c r="QXI68" s="2936"/>
      <c r="QXJ68" s="2936"/>
      <c r="QXK68" s="2936"/>
      <c r="QXL68" s="2936"/>
      <c r="QXM68" s="2936"/>
      <c r="QXN68" s="2936"/>
      <c r="QXO68" s="2936"/>
      <c r="QXP68" s="2936"/>
      <c r="QXQ68" s="2936"/>
      <c r="QXR68" s="2936"/>
      <c r="QXS68" s="2936"/>
      <c r="QXT68" s="2936"/>
      <c r="QXU68" s="2936"/>
      <c r="QXV68" s="2936"/>
      <c r="QXW68" s="2936"/>
      <c r="QXX68" s="2936"/>
      <c r="QXY68" s="2936"/>
      <c r="QXZ68" s="2936"/>
      <c r="QYA68" s="2936"/>
      <c r="QYB68" s="2936"/>
      <c r="QYC68" s="2936"/>
      <c r="QYD68" s="2936"/>
      <c r="QYE68" s="2936"/>
      <c r="QYF68" s="2936"/>
      <c r="QYG68" s="2936"/>
      <c r="QYH68" s="2936"/>
      <c r="QYI68" s="2936"/>
      <c r="QYJ68" s="2936"/>
      <c r="QYK68" s="2936"/>
      <c r="QYL68" s="2936"/>
      <c r="QYM68" s="2936"/>
      <c r="QYN68" s="2936"/>
      <c r="QYO68" s="2936"/>
      <c r="QYP68" s="2936"/>
      <c r="QYQ68" s="2936"/>
      <c r="QYR68" s="2936"/>
      <c r="QYS68" s="2936"/>
      <c r="QYT68" s="2936"/>
      <c r="QYU68" s="2936"/>
      <c r="QYV68" s="2936"/>
      <c r="QYW68" s="2936"/>
      <c r="QYX68" s="2936"/>
      <c r="QYY68" s="2936"/>
      <c r="QYZ68" s="2936"/>
      <c r="QZA68" s="2936"/>
      <c r="QZB68" s="2936"/>
      <c r="QZC68" s="2936"/>
      <c r="QZD68" s="2936"/>
      <c r="QZE68" s="2936"/>
      <c r="QZF68" s="2936"/>
      <c r="QZG68" s="2936"/>
      <c r="QZH68" s="2936"/>
      <c r="QZI68" s="2936"/>
      <c r="QZJ68" s="2936"/>
      <c r="QZK68" s="2936"/>
      <c r="QZL68" s="2936"/>
      <c r="QZM68" s="2936"/>
      <c r="QZN68" s="2936"/>
      <c r="QZO68" s="2936"/>
      <c r="QZP68" s="2936"/>
      <c r="QZQ68" s="2936"/>
      <c r="QZR68" s="2936"/>
      <c r="QZS68" s="2936"/>
      <c r="QZT68" s="2936"/>
      <c r="QZU68" s="2936"/>
      <c r="QZV68" s="2936"/>
      <c r="QZW68" s="2936"/>
      <c r="QZX68" s="2936"/>
      <c r="QZY68" s="2936"/>
      <c r="QZZ68" s="2936"/>
      <c r="RAA68" s="2936"/>
      <c r="RAB68" s="2936"/>
      <c r="RAC68" s="2936"/>
      <c r="RAD68" s="2936"/>
      <c r="RAE68" s="2936"/>
      <c r="RAF68" s="2936"/>
      <c r="RAG68" s="2936"/>
      <c r="RAH68" s="2936"/>
      <c r="RAI68" s="2936"/>
      <c r="RAJ68" s="2936"/>
      <c r="RAK68" s="2936"/>
      <c r="RAL68" s="2936"/>
      <c r="RAM68" s="2936"/>
      <c r="RAN68" s="2936"/>
      <c r="RAO68" s="2936"/>
      <c r="RAP68" s="2936"/>
      <c r="RAQ68" s="2936"/>
      <c r="RAR68" s="2936"/>
      <c r="RAS68" s="2936"/>
      <c r="RAT68" s="2936"/>
      <c r="RAU68" s="2936"/>
      <c r="RAV68" s="2936"/>
      <c r="RAW68" s="2936"/>
      <c r="RAX68" s="2936"/>
      <c r="RAY68" s="2936"/>
      <c r="RAZ68" s="2936"/>
      <c r="RBA68" s="2936"/>
      <c r="RBB68" s="2936"/>
      <c r="RBC68" s="2936"/>
      <c r="RBD68" s="2936"/>
      <c r="RBE68" s="2936"/>
      <c r="RBF68" s="2936"/>
      <c r="RBG68" s="2936"/>
      <c r="RBH68" s="2936"/>
      <c r="RBI68" s="2936"/>
      <c r="RBJ68" s="2936"/>
      <c r="RBK68" s="2936"/>
      <c r="RBL68" s="2936"/>
      <c r="RBM68" s="2936"/>
      <c r="RBN68" s="2936"/>
      <c r="RBO68" s="2936"/>
      <c r="RBP68" s="2936"/>
      <c r="RBQ68" s="2936"/>
      <c r="RBR68" s="2936"/>
      <c r="RBS68" s="2936"/>
      <c r="RBT68" s="2936"/>
      <c r="RBU68" s="2936"/>
      <c r="RBV68" s="2936"/>
      <c r="RBW68" s="2936"/>
      <c r="RBX68" s="2936"/>
      <c r="RBY68" s="2936"/>
      <c r="RBZ68" s="2936"/>
      <c r="RCA68" s="2936"/>
      <c r="RCB68" s="2936"/>
      <c r="RCC68" s="2936"/>
      <c r="RCD68" s="2936"/>
      <c r="RCE68" s="2936"/>
      <c r="RCF68" s="2936"/>
      <c r="RCG68" s="2936"/>
      <c r="RCH68" s="2936"/>
      <c r="RCI68" s="2936"/>
      <c r="RCJ68" s="2936"/>
      <c r="RCK68" s="2936"/>
      <c r="RCL68" s="2936"/>
      <c r="RCM68" s="2936"/>
      <c r="RCN68" s="2936"/>
      <c r="RCO68" s="2936"/>
      <c r="RCP68" s="2936"/>
      <c r="RCQ68" s="2936"/>
      <c r="RCR68" s="2936"/>
      <c r="RCS68" s="2936"/>
      <c r="RCT68" s="2936"/>
      <c r="RCU68" s="2936"/>
      <c r="RCV68" s="2936"/>
      <c r="RCW68" s="2936"/>
      <c r="RCX68" s="2936"/>
      <c r="RCY68" s="2936"/>
      <c r="RCZ68" s="2936"/>
      <c r="RDA68" s="2936"/>
      <c r="RDB68" s="2936"/>
      <c r="RDC68" s="2936"/>
      <c r="RDD68" s="2936"/>
      <c r="RDE68" s="2936"/>
      <c r="RDF68" s="2936"/>
      <c r="RDG68" s="2936"/>
      <c r="RDH68" s="2936"/>
      <c r="RDI68" s="2936"/>
      <c r="RDJ68" s="2936"/>
      <c r="RDK68" s="2936"/>
      <c r="RDL68" s="2936"/>
      <c r="RDM68" s="2936"/>
      <c r="RDN68" s="2936"/>
      <c r="RDO68" s="2936"/>
      <c r="RDP68" s="2936"/>
      <c r="RDQ68" s="2936"/>
      <c r="RDR68" s="2936"/>
      <c r="RDS68" s="2936"/>
      <c r="RDT68" s="2936"/>
      <c r="RDU68" s="2936"/>
      <c r="RDV68" s="2936"/>
      <c r="RDW68" s="2936"/>
      <c r="RDX68" s="2936"/>
      <c r="RDY68" s="2936"/>
      <c r="RDZ68" s="2936"/>
      <c r="REA68" s="2936"/>
      <c r="REB68" s="2936"/>
      <c r="REC68" s="2936"/>
      <c r="RED68" s="2936"/>
      <c r="REE68" s="2936"/>
      <c r="REF68" s="2936"/>
      <c r="REG68" s="2936"/>
      <c r="REH68" s="2936"/>
      <c r="REI68" s="2936"/>
      <c r="REJ68" s="2936"/>
      <c r="REK68" s="2936"/>
      <c r="REL68" s="2936"/>
      <c r="REM68" s="2936"/>
      <c r="REN68" s="2936"/>
      <c r="REO68" s="2936"/>
      <c r="REP68" s="2936"/>
      <c r="REQ68" s="2936"/>
      <c r="RER68" s="2936"/>
      <c r="RES68" s="2936"/>
      <c r="RET68" s="2936"/>
      <c r="REU68" s="2936"/>
      <c r="REV68" s="2936"/>
      <c r="REW68" s="2936"/>
      <c r="REX68" s="2936"/>
      <c r="REY68" s="2936"/>
      <c r="REZ68" s="2936"/>
      <c r="RFA68" s="2936"/>
      <c r="RFB68" s="2936"/>
      <c r="RFC68" s="2936"/>
      <c r="RFD68" s="2936"/>
      <c r="RFE68" s="2936"/>
      <c r="RFF68" s="2936"/>
      <c r="RFG68" s="2936"/>
      <c r="RFH68" s="2936"/>
      <c r="RFI68" s="2936"/>
      <c r="RFJ68" s="2936"/>
      <c r="RFK68" s="2936"/>
      <c r="RFL68" s="2936"/>
      <c r="RFM68" s="2936"/>
      <c r="RFN68" s="2936"/>
      <c r="RFO68" s="2936"/>
      <c r="RFP68" s="2936"/>
      <c r="RFQ68" s="2936"/>
      <c r="RFR68" s="2936"/>
      <c r="RFS68" s="2936"/>
      <c r="RFT68" s="2936"/>
      <c r="RFU68" s="2936"/>
      <c r="RFV68" s="2936"/>
      <c r="RFW68" s="2936"/>
      <c r="RFX68" s="2936"/>
      <c r="RFY68" s="2936"/>
      <c r="RFZ68" s="2936"/>
      <c r="RGA68" s="2936"/>
      <c r="RGB68" s="2936"/>
      <c r="RGC68" s="2936"/>
      <c r="RGD68" s="2936"/>
      <c r="RGE68" s="2936"/>
      <c r="RGF68" s="2936"/>
      <c r="RGG68" s="2936"/>
      <c r="RGH68" s="2936"/>
      <c r="RGI68" s="2936"/>
      <c r="RGJ68" s="2936"/>
      <c r="RGK68" s="2936"/>
      <c r="RGL68" s="2936"/>
      <c r="RGM68" s="2936"/>
      <c r="RGN68" s="2936"/>
      <c r="RGO68" s="2936"/>
      <c r="RGP68" s="2936"/>
      <c r="RGQ68" s="2936"/>
      <c r="RGR68" s="2936"/>
      <c r="RGS68" s="2936"/>
      <c r="RGT68" s="2936"/>
      <c r="RGU68" s="2936"/>
      <c r="RGV68" s="2936"/>
      <c r="RGW68" s="2936"/>
      <c r="RGX68" s="2936"/>
      <c r="RGY68" s="2936"/>
      <c r="RGZ68" s="2936"/>
      <c r="RHA68" s="2936"/>
      <c r="RHB68" s="2936"/>
      <c r="RHC68" s="2936"/>
      <c r="RHD68" s="2936"/>
      <c r="RHE68" s="2936"/>
      <c r="RHF68" s="2936"/>
      <c r="RHG68" s="2936"/>
      <c r="RHH68" s="2936"/>
      <c r="RHI68" s="2936"/>
      <c r="RHJ68" s="2936"/>
      <c r="RHK68" s="2936"/>
      <c r="RHL68" s="2936"/>
      <c r="RHM68" s="2936"/>
      <c r="RHN68" s="2936"/>
      <c r="RHO68" s="2936"/>
      <c r="RHP68" s="2936"/>
      <c r="RHQ68" s="2936"/>
      <c r="RHR68" s="2936"/>
      <c r="RHS68" s="2936"/>
      <c r="RHT68" s="2936"/>
      <c r="RHU68" s="2936"/>
      <c r="RHV68" s="2936"/>
      <c r="RHW68" s="2936"/>
      <c r="RHX68" s="2936"/>
      <c r="RHY68" s="2936"/>
      <c r="RHZ68" s="2936"/>
      <c r="RIA68" s="2936"/>
      <c r="RIB68" s="2936"/>
      <c r="RIC68" s="2936"/>
      <c r="RID68" s="2936"/>
      <c r="RIE68" s="2936"/>
      <c r="RIF68" s="2936"/>
      <c r="RIG68" s="2936"/>
      <c r="RIH68" s="2936"/>
      <c r="RII68" s="2936"/>
      <c r="RIJ68" s="2936"/>
      <c r="RIK68" s="2936"/>
      <c r="RIL68" s="2936"/>
      <c r="RIM68" s="2936"/>
      <c r="RIN68" s="2936"/>
      <c r="RIO68" s="2936"/>
      <c r="RIP68" s="2936"/>
      <c r="RIQ68" s="2936"/>
      <c r="RIR68" s="2936"/>
      <c r="RIS68" s="2936"/>
      <c r="RIT68" s="2936"/>
      <c r="RIU68" s="2936"/>
      <c r="RIV68" s="2936"/>
      <c r="RIW68" s="2936"/>
      <c r="RIX68" s="2936"/>
      <c r="RIY68" s="2936"/>
      <c r="RIZ68" s="2936"/>
      <c r="RJA68" s="2936"/>
      <c r="RJB68" s="2936"/>
      <c r="RJC68" s="2936"/>
      <c r="RJD68" s="2936"/>
      <c r="RJE68" s="2936"/>
      <c r="RJF68" s="2936"/>
      <c r="RJG68" s="2936"/>
      <c r="RJH68" s="2936"/>
      <c r="RJI68" s="2936"/>
      <c r="RJJ68" s="2936"/>
      <c r="RJK68" s="2936"/>
      <c r="RJL68" s="2936"/>
      <c r="RJM68" s="2936"/>
      <c r="RJN68" s="2936"/>
      <c r="RJO68" s="2936"/>
      <c r="RJP68" s="2936"/>
      <c r="RJQ68" s="2936"/>
      <c r="RJR68" s="2936"/>
      <c r="RJS68" s="2936"/>
      <c r="RJT68" s="2936"/>
      <c r="RJU68" s="2936"/>
      <c r="RJV68" s="2936"/>
      <c r="RJW68" s="2936"/>
      <c r="RJX68" s="2936"/>
      <c r="RJY68" s="2936"/>
      <c r="RJZ68" s="2936"/>
      <c r="RKA68" s="2936"/>
      <c r="RKB68" s="2936"/>
      <c r="RKC68" s="2936"/>
      <c r="RKD68" s="2936"/>
      <c r="RKE68" s="2936"/>
      <c r="RKF68" s="2936"/>
      <c r="RKG68" s="2936"/>
      <c r="RKH68" s="2936"/>
      <c r="RKI68" s="2936"/>
      <c r="RKJ68" s="2936"/>
      <c r="RKK68" s="2936"/>
      <c r="RKL68" s="2936"/>
      <c r="RKM68" s="2936"/>
      <c r="RKN68" s="2936"/>
      <c r="RKO68" s="2936"/>
      <c r="RKP68" s="2936"/>
      <c r="RKQ68" s="2936"/>
      <c r="RKR68" s="2936"/>
      <c r="RKS68" s="2936"/>
      <c r="RKT68" s="2936"/>
      <c r="RKU68" s="2936"/>
      <c r="RKV68" s="2936"/>
      <c r="RKW68" s="2936"/>
      <c r="RKX68" s="2936"/>
      <c r="RKY68" s="2936"/>
      <c r="RKZ68" s="2936"/>
      <c r="RLA68" s="2936"/>
      <c r="RLB68" s="2936"/>
      <c r="RLC68" s="2936"/>
      <c r="RLD68" s="2936"/>
      <c r="RLE68" s="2936"/>
      <c r="RLF68" s="2936"/>
      <c r="RLG68" s="2936"/>
      <c r="RLH68" s="2936"/>
      <c r="RLI68" s="2936"/>
      <c r="RLJ68" s="2936"/>
      <c r="RLK68" s="2936"/>
      <c r="RLL68" s="2936"/>
      <c r="RLM68" s="2936"/>
      <c r="RLN68" s="2936"/>
      <c r="RLO68" s="2936"/>
      <c r="RLP68" s="2936"/>
      <c r="RLQ68" s="2936"/>
      <c r="RLR68" s="2936"/>
      <c r="RLS68" s="2936"/>
      <c r="RLT68" s="2936"/>
      <c r="RLU68" s="2936"/>
      <c r="RLV68" s="2936"/>
      <c r="RLW68" s="2936"/>
      <c r="RLX68" s="2936"/>
      <c r="RLY68" s="2936"/>
      <c r="RLZ68" s="2936"/>
      <c r="RMA68" s="2936"/>
      <c r="RMB68" s="2936"/>
      <c r="RMC68" s="2936"/>
      <c r="RMD68" s="2936"/>
      <c r="RME68" s="2936"/>
      <c r="RMF68" s="2936"/>
      <c r="RMG68" s="2936"/>
      <c r="RMH68" s="2936"/>
      <c r="RMI68" s="2936"/>
      <c r="RMJ68" s="2936"/>
      <c r="RMK68" s="2936"/>
      <c r="RML68" s="2936"/>
      <c r="RMM68" s="2936"/>
      <c r="RMN68" s="2936"/>
      <c r="RMO68" s="2936"/>
      <c r="RMP68" s="2936"/>
      <c r="RMQ68" s="2936"/>
      <c r="RMR68" s="2936"/>
      <c r="RMS68" s="2936"/>
      <c r="RMT68" s="2936"/>
      <c r="RMU68" s="2936"/>
      <c r="RMV68" s="2936"/>
      <c r="RMW68" s="2936"/>
      <c r="RMX68" s="2936"/>
      <c r="RMY68" s="2936"/>
      <c r="RMZ68" s="2936"/>
      <c r="RNA68" s="2936"/>
      <c r="RNB68" s="2936"/>
      <c r="RNC68" s="2936"/>
      <c r="RND68" s="2936"/>
      <c r="RNE68" s="2936"/>
      <c r="RNF68" s="2936"/>
      <c r="RNG68" s="2936"/>
      <c r="RNH68" s="2936"/>
      <c r="RNI68" s="2936"/>
      <c r="RNJ68" s="2936"/>
      <c r="RNK68" s="2936"/>
      <c r="RNL68" s="2936"/>
      <c r="RNM68" s="2936"/>
      <c r="RNN68" s="2936"/>
      <c r="RNO68" s="2936"/>
      <c r="RNP68" s="2936"/>
      <c r="RNQ68" s="2936"/>
      <c r="RNR68" s="2936"/>
      <c r="RNS68" s="2936"/>
      <c r="RNT68" s="2936"/>
      <c r="RNU68" s="2936"/>
      <c r="RNV68" s="2936"/>
      <c r="RNW68" s="2936"/>
      <c r="RNX68" s="2936"/>
      <c r="RNY68" s="2936"/>
      <c r="RNZ68" s="2936"/>
      <c r="ROA68" s="2936"/>
      <c r="ROB68" s="2936"/>
      <c r="ROC68" s="2936"/>
      <c r="ROD68" s="2936"/>
      <c r="ROE68" s="2936"/>
      <c r="ROF68" s="2936"/>
      <c r="ROG68" s="2936"/>
      <c r="ROH68" s="2936"/>
      <c r="ROI68" s="2936"/>
      <c r="ROJ68" s="2936"/>
      <c r="ROK68" s="2936"/>
      <c r="ROL68" s="2936"/>
      <c r="ROM68" s="2936"/>
      <c r="RON68" s="2936"/>
      <c r="ROO68" s="2936"/>
      <c r="ROP68" s="2936"/>
      <c r="ROQ68" s="2936"/>
      <c r="ROR68" s="2936"/>
      <c r="ROS68" s="2936"/>
      <c r="ROT68" s="2936"/>
      <c r="ROU68" s="2936"/>
      <c r="ROV68" s="2936"/>
      <c r="ROW68" s="2936"/>
      <c r="ROX68" s="2936"/>
      <c r="ROY68" s="2936"/>
      <c r="ROZ68" s="2936"/>
      <c r="RPA68" s="2936"/>
      <c r="RPB68" s="2936"/>
      <c r="RPC68" s="2936"/>
      <c r="RPD68" s="2936"/>
      <c r="RPE68" s="2936"/>
      <c r="RPF68" s="2936"/>
      <c r="RPG68" s="2936"/>
      <c r="RPH68" s="2936"/>
      <c r="RPI68" s="2936"/>
      <c r="RPJ68" s="2936"/>
      <c r="RPK68" s="2936"/>
      <c r="RPL68" s="2936"/>
      <c r="RPM68" s="2936"/>
      <c r="RPN68" s="2936"/>
      <c r="RPO68" s="2936"/>
      <c r="RPP68" s="2936"/>
      <c r="RPQ68" s="2936"/>
      <c r="RPR68" s="2936"/>
      <c r="RPS68" s="2936"/>
      <c r="RPT68" s="2936"/>
      <c r="RPU68" s="2936"/>
      <c r="RPV68" s="2936"/>
      <c r="RPW68" s="2936"/>
      <c r="RPX68" s="2936"/>
      <c r="RPY68" s="2936"/>
      <c r="RPZ68" s="2936"/>
      <c r="RQA68" s="2936"/>
      <c r="RQB68" s="2936"/>
      <c r="RQC68" s="2936"/>
      <c r="RQD68" s="2936"/>
      <c r="RQE68" s="2936"/>
      <c r="RQF68" s="2936"/>
      <c r="RQG68" s="2936"/>
      <c r="RQH68" s="2936"/>
      <c r="RQI68" s="2936"/>
      <c r="RQJ68" s="2936"/>
      <c r="RQK68" s="2936"/>
      <c r="RQL68" s="2936"/>
      <c r="RQM68" s="2936"/>
      <c r="RQN68" s="2936"/>
      <c r="RQO68" s="2936"/>
      <c r="RQP68" s="2936"/>
      <c r="RQQ68" s="2936"/>
      <c r="RQR68" s="2936"/>
      <c r="RQS68" s="2936"/>
      <c r="RQT68" s="2936"/>
      <c r="RQU68" s="2936"/>
      <c r="RQV68" s="2936"/>
      <c r="RQW68" s="2936"/>
      <c r="RQX68" s="2936"/>
      <c r="RQY68" s="2936"/>
      <c r="RQZ68" s="2936"/>
      <c r="RRA68" s="2936"/>
      <c r="RRB68" s="2936"/>
      <c r="RRC68" s="2936"/>
      <c r="RRD68" s="2936"/>
      <c r="RRE68" s="2936"/>
      <c r="RRF68" s="2936"/>
      <c r="RRG68" s="2936"/>
      <c r="RRH68" s="2936"/>
      <c r="RRI68" s="2936"/>
      <c r="RRJ68" s="2936"/>
      <c r="RRK68" s="2936"/>
      <c r="RRL68" s="2936"/>
      <c r="RRM68" s="2936"/>
      <c r="RRN68" s="2936"/>
      <c r="RRO68" s="2936"/>
      <c r="RRP68" s="2936"/>
      <c r="RRQ68" s="2936"/>
      <c r="RRR68" s="2936"/>
      <c r="RRS68" s="2936"/>
      <c r="RRT68" s="2936"/>
      <c r="RRU68" s="2936"/>
      <c r="RRV68" s="2936"/>
      <c r="RRW68" s="2936"/>
      <c r="RRX68" s="2936"/>
      <c r="RRY68" s="2936"/>
      <c r="RRZ68" s="2936"/>
      <c r="RSA68" s="2936"/>
      <c r="RSB68" s="2936"/>
      <c r="RSC68" s="2936"/>
      <c r="RSD68" s="2936"/>
      <c r="RSE68" s="2936"/>
      <c r="RSF68" s="2936"/>
      <c r="RSG68" s="2936"/>
      <c r="RSH68" s="2936"/>
      <c r="RSI68" s="2936"/>
      <c r="RSJ68" s="2936"/>
      <c r="RSK68" s="2936"/>
      <c r="RSL68" s="2936"/>
      <c r="RSM68" s="2936"/>
      <c r="RSN68" s="2936"/>
      <c r="RSO68" s="2936"/>
      <c r="RSP68" s="2936"/>
      <c r="RSQ68" s="2936"/>
      <c r="RSR68" s="2936"/>
      <c r="RSS68" s="2936"/>
      <c r="RST68" s="2936"/>
      <c r="RSU68" s="2936"/>
      <c r="RSV68" s="2936"/>
      <c r="RSW68" s="2936"/>
      <c r="RSX68" s="2936"/>
      <c r="RSY68" s="2936"/>
      <c r="RSZ68" s="2936"/>
      <c r="RTA68" s="2936"/>
      <c r="RTB68" s="2936"/>
      <c r="RTC68" s="2936"/>
      <c r="RTD68" s="2936"/>
      <c r="RTE68" s="2936"/>
      <c r="RTF68" s="2936"/>
      <c r="RTG68" s="2936"/>
      <c r="RTH68" s="2936"/>
      <c r="RTI68" s="2936"/>
      <c r="RTJ68" s="2936"/>
      <c r="RTK68" s="2936"/>
      <c r="RTL68" s="2936"/>
      <c r="RTM68" s="2936"/>
      <c r="RTN68" s="2936"/>
      <c r="RTO68" s="2936"/>
      <c r="RTP68" s="2936"/>
      <c r="RTQ68" s="2936"/>
      <c r="RTR68" s="2936"/>
      <c r="RTS68" s="2936"/>
      <c r="RTT68" s="2936"/>
      <c r="RTU68" s="2936"/>
      <c r="RTV68" s="2936"/>
      <c r="RTW68" s="2936"/>
      <c r="RTX68" s="2936"/>
      <c r="RTY68" s="2936"/>
      <c r="RTZ68" s="2936"/>
      <c r="RUA68" s="2936"/>
      <c r="RUB68" s="2936"/>
      <c r="RUC68" s="2936"/>
      <c r="RUD68" s="2936"/>
      <c r="RUE68" s="2936"/>
      <c r="RUF68" s="2936"/>
      <c r="RUG68" s="2936"/>
      <c r="RUH68" s="2936"/>
      <c r="RUI68" s="2936"/>
      <c r="RUJ68" s="2936"/>
      <c r="RUK68" s="2936"/>
      <c r="RUL68" s="2936"/>
      <c r="RUM68" s="2936"/>
      <c r="RUN68" s="2936"/>
      <c r="RUO68" s="2936"/>
      <c r="RUP68" s="2936"/>
      <c r="RUQ68" s="2936"/>
      <c r="RUR68" s="2936"/>
      <c r="RUS68" s="2936"/>
      <c r="RUT68" s="2936"/>
      <c r="RUU68" s="2936"/>
      <c r="RUV68" s="2936"/>
      <c r="RUW68" s="2936"/>
      <c r="RUX68" s="2936"/>
      <c r="RUY68" s="2936"/>
      <c r="RUZ68" s="2936"/>
      <c r="RVA68" s="2936"/>
      <c r="RVB68" s="2936"/>
      <c r="RVC68" s="2936"/>
      <c r="RVD68" s="2936"/>
      <c r="RVE68" s="2936"/>
      <c r="RVF68" s="2936"/>
      <c r="RVG68" s="2936"/>
      <c r="RVH68" s="2936"/>
      <c r="RVI68" s="2936"/>
      <c r="RVJ68" s="2936"/>
      <c r="RVK68" s="2936"/>
      <c r="RVL68" s="2936"/>
      <c r="RVM68" s="2936"/>
      <c r="RVN68" s="2936"/>
      <c r="RVO68" s="2936"/>
      <c r="RVP68" s="2936"/>
      <c r="RVQ68" s="2936"/>
      <c r="RVR68" s="2936"/>
      <c r="RVS68" s="2936"/>
      <c r="RVT68" s="2936"/>
      <c r="RVU68" s="2936"/>
      <c r="RVV68" s="2936"/>
      <c r="RVW68" s="2936"/>
      <c r="RVX68" s="2936"/>
      <c r="RVY68" s="2936"/>
      <c r="RVZ68" s="2936"/>
      <c r="RWA68" s="2936"/>
      <c r="RWB68" s="2936"/>
      <c r="RWC68" s="2936"/>
      <c r="RWD68" s="2936"/>
      <c r="RWE68" s="2936"/>
      <c r="RWF68" s="2936"/>
      <c r="RWG68" s="2936"/>
      <c r="RWH68" s="2936"/>
      <c r="RWI68" s="2936"/>
      <c r="RWJ68" s="2936"/>
      <c r="RWK68" s="2936"/>
      <c r="RWL68" s="2936"/>
      <c r="RWM68" s="2936"/>
      <c r="RWN68" s="2936"/>
      <c r="RWO68" s="2936"/>
      <c r="RWP68" s="2936"/>
      <c r="RWQ68" s="2936"/>
      <c r="RWR68" s="2936"/>
      <c r="RWS68" s="2936"/>
      <c r="RWT68" s="2936"/>
      <c r="RWU68" s="2936"/>
      <c r="RWV68" s="2936"/>
      <c r="RWW68" s="2936"/>
      <c r="RWX68" s="2936"/>
      <c r="RWY68" s="2936"/>
      <c r="RWZ68" s="2936"/>
      <c r="RXA68" s="2936"/>
      <c r="RXB68" s="2936"/>
      <c r="RXC68" s="2936"/>
      <c r="RXD68" s="2936"/>
      <c r="RXE68" s="2936"/>
      <c r="RXF68" s="2936"/>
      <c r="RXG68" s="2936"/>
      <c r="RXH68" s="2936"/>
      <c r="RXI68" s="2936"/>
      <c r="RXJ68" s="2936"/>
      <c r="RXK68" s="2936"/>
      <c r="RXL68" s="2936"/>
      <c r="RXM68" s="2936"/>
      <c r="RXN68" s="2936"/>
      <c r="RXO68" s="2936"/>
      <c r="RXP68" s="2936"/>
      <c r="RXQ68" s="2936"/>
      <c r="RXR68" s="2936"/>
      <c r="RXS68" s="2936"/>
      <c r="RXT68" s="2936"/>
      <c r="RXU68" s="2936"/>
      <c r="RXV68" s="2936"/>
      <c r="RXW68" s="2936"/>
      <c r="RXX68" s="2936"/>
      <c r="RXY68" s="2936"/>
      <c r="RXZ68" s="2936"/>
      <c r="RYA68" s="2936"/>
      <c r="RYB68" s="2936"/>
      <c r="RYC68" s="2936"/>
      <c r="RYD68" s="2936"/>
      <c r="RYE68" s="2936"/>
      <c r="RYF68" s="2936"/>
      <c r="RYG68" s="2936"/>
      <c r="RYH68" s="2936"/>
      <c r="RYI68" s="2936"/>
      <c r="RYJ68" s="2936"/>
      <c r="RYK68" s="2936"/>
      <c r="RYL68" s="2936"/>
      <c r="RYM68" s="2936"/>
      <c r="RYN68" s="2936"/>
      <c r="RYO68" s="2936"/>
      <c r="RYP68" s="2936"/>
      <c r="RYQ68" s="2936"/>
      <c r="RYR68" s="2936"/>
      <c r="RYS68" s="2936"/>
      <c r="RYT68" s="2936"/>
      <c r="RYU68" s="2936"/>
      <c r="RYV68" s="2936"/>
      <c r="RYW68" s="2936"/>
      <c r="RYX68" s="2936"/>
      <c r="RYY68" s="2936"/>
      <c r="RYZ68" s="2936"/>
      <c r="RZA68" s="2936"/>
      <c r="RZB68" s="2936"/>
      <c r="RZC68" s="2936"/>
      <c r="RZD68" s="2936"/>
      <c r="RZE68" s="2936"/>
      <c r="RZF68" s="2936"/>
      <c r="RZG68" s="2936"/>
      <c r="RZH68" s="2936"/>
      <c r="RZI68" s="2936"/>
      <c r="RZJ68" s="2936"/>
      <c r="RZK68" s="2936"/>
      <c r="RZL68" s="2936"/>
      <c r="RZM68" s="2936"/>
      <c r="RZN68" s="2936"/>
      <c r="RZO68" s="2936"/>
      <c r="RZP68" s="2936"/>
      <c r="RZQ68" s="2936"/>
      <c r="RZR68" s="2936"/>
      <c r="RZS68" s="2936"/>
      <c r="RZT68" s="2936"/>
      <c r="RZU68" s="2936"/>
      <c r="RZV68" s="2936"/>
      <c r="RZW68" s="2936"/>
      <c r="RZX68" s="2936"/>
      <c r="RZY68" s="2936"/>
      <c r="RZZ68" s="2936"/>
      <c r="SAA68" s="2936"/>
      <c r="SAB68" s="2936"/>
      <c r="SAC68" s="2936"/>
      <c r="SAD68" s="2936"/>
      <c r="SAE68" s="2936"/>
      <c r="SAF68" s="2936"/>
      <c r="SAG68" s="2936"/>
      <c r="SAH68" s="2936"/>
      <c r="SAI68" s="2936"/>
      <c r="SAJ68" s="2936"/>
      <c r="SAK68" s="2936"/>
      <c r="SAL68" s="2936"/>
      <c r="SAM68" s="2936"/>
      <c r="SAN68" s="2936"/>
      <c r="SAO68" s="2936"/>
      <c r="SAP68" s="2936"/>
      <c r="SAQ68" s="2936"/>
      <c r="SAR68" s="2936"/>
      <c r="SAS68" s="2936"/>
      <c r="SAT68" s="2936"/>
      <c r="SAU68" s="2936"/>
      <c r="SAV68" s="2936"/>
      <c r="SAW68" s="2936"/>
      <c r="SAX68" s="2936"/>
      <c r="SAY68" s="2936"/>
      <c r="SAZ68" s="2936"/>
      <c r="SBA68" s="2936"/>
      <c r="SBB68" s="2936"/>
      <c r="SBC68" s="2936"/>
      <c r="SBD68" s="2936"/>
      <c r="SBE68" s="2936"/>
      <c r="SBF68" s="2936"/>
      <c r="SBG68" s="2936"/>
      <c r="SBH68" s="2936"/>
      <c r="SBI68" s="2936"/>
      <c r="SBJ68" s="2936"/>
      <c r="SBK68" s="2936"/>
      <c r="SBL68" s="2936"/>
      <c r="SBM68" s="2936"/>
      <c r="SBN68" s="2936"/>
      <c r="SBO68" s="2936"/>
      <c r="SBP68" s="2936"/>
      <c r="SBQ68" s="2936"/>
      <c r="SBR68" s="2936"/>
      <c r="SBS68" s="2936"/>
      <c r="SBT68" s="2936"/>
      <c r="SBU68" s="2936"/>
      <c r="SBV68" s="2936"/>
      <c r="SBW68" s="2936"/>
      <c r="SBX68" s="2936"/>
      <c r="SBY68" s="2936"/>
      <c r="SBZ68" s="2936"/>
      <c r="SCA68" s="2936"/>
      <c r="SCB68" s="2936"/>
      <c r="SCC68" s="2936"/>
      <c r="SCD68" s="2936"/>
      <c r="SCE68" s="2936"/>
      <c r="SCF68" s="2936"/>
      <c r="SCG68" s="2936"/>
      <c r="SCH68" s="2936"/>
      <c r="SCI68" s="2936"/>
      <c r="SCJ68" s="2936"/>
      <c r="SCK68" s="2936"/>
      <c r="SCL68" s="2936"/>
      <c r="SCM68" s="2936"/>
      <c r="SCN68" s="2936"/>
      <c r="SCO68" s="2936"/>
      <c r="SCP68" s="2936"/>
      <c r="SCQ68" s="2936"/>
      <c r="SCR68" s="2936"/>
      <c r="SCS68" s="2936"/>
      <c r="SCT68" s="2936"/>
      <c r="SCU68" s="2936"/>
      <c r="SCV68" s="2936"/>
      <c r="SCW68" s="2936"/>
      <c r="SCX68" s="2936"/>
      <c r="SCY68" s="2936"/>
      <c r="SCZ68" s="2936"/>
      <c r="SDA68" s="2936"/>
      <c r="SDB68" s="2936"/>
      <c r="SDC68" s="2936"/>
      <c r="SDD68" s="2936"/>
      <c r="SDE68" s="2936"/>
      <c r="SDF68" s="2936"/>
      <c r="SDG68" s="2936"/>
      <c r="SDH68" s="2936"/>
      <c r="SDI68" s="2936"/>
      <c r="SDJ68" s="2936"/>
      <c r="SDK68" s="2936"/>
      <c r="SDL68" s="2936"/>
      <c r="SDM68" s="2936"/>
      <c r="SDN68" s="2936"/>
      <c r="SDO68" s="2936"/>
      <c r="SDP68" s="2936"/>
      <c r="SDQ68" s="2936"/>
      <c r="SDR68" s="2936"/>
      <c r="SDS68" s="2936"/>
      <c r="SDT68" s="2936"/>
      <c r="SDU68" s="2936"/>
      <c r="SDV68" s="2936"/>
      <c r="SDW68" s="2936"/>
      <c r="SDX68" s="2936"/>
      <c r="SDY68" s="2936"/>
      <c r="SDZ68" s="2936"/>
      <c r="SEA68" s="2936"/>
      <c r="SEB68" s="2936"/>
      <c r="SEC68" s="2936"/>
      <c r="SED68" s="2936"/>
      <c r="SEE68" s="2936"/>
      <c r="SEF68" s="2936"/>
      <c r="SEG68" s="2936"/>
      <c r="SEH68" s="2936"/>
      <c r="SEI68" s="2936"/>
      <c r="SEJ68" s="2936"/>
      <c r="SEK68" s="2936"/>
      <c r="SEL68" s="2936"/>
      <c r="SEM68" s="2936"/>
      <c r="SEN68" s="2936"/>
      <c r="SEO68" s="2936"/>
      <c r="SEP68" s="2936"/>
      <c r="SEQ68" s="2936"/>
      <c r="SER68" s="2936"/>
      <c r="SES68" s="2936"/>
      <c r="SET68" s="2936"/>
      <c r="SEU68" s="2936"/>
      <c r="SEV68" s="2936"/>
      <c r="SEW68" s="2936"/>
      <c r="SEX68" s="2936"/>
      <c r="SEY68" s="2936"/>
      <c r="SEZ68" s="2936"/>
      <c r="SFA68" s="2936"/>
      <c r="SFB68" s="2936"/>
      <c r="SFC68" s="2936"/>
      <c r="SFD68" s="2936"/>
      <c r="SFE68" s="2936"/>
      <c r="SFF68" s="2936"/>
      <c r="SFG68" s="2936"/>
      <c r="SFH68" s="2936"/>
      <c r="SFI68" s="2936"/>
      <c r="SFJ68" s="2936"/>
      <c r="SFK68" s="2936"/>
      <c r="SFL68" s="2936"/>
      <c r="SFM68" s="2936"/>
      <c r="SFN68" s="2936"/>
      <c r="SFO68" s="2936"/>
      <c r="SFP68" s="2936"/>
      <c r="SFQ68" s="2936"/>
      <c r="SFR68" s="2936"/>
      <c r="SFS68" s="2936"/>
      <c r="SFT68" s="2936"/>
      <c r="SFU68" s="2936"/>
      <c r="SFV68" s="2936"/>
      <c r="SFW68" s="2936"/>
      <c r="SFX68" s="2936"/>
      <c r="SFY68" s="2936"/>
      <c r="SFZ68" s="2936"/>
      <c r="SGA68" s="2936"/>
      <c r="SGB68" s="2936"/>
      <c r="SGC68" s="2936"/>
      <c r="SGD68" s="2936"/>
      <c r="SGE68" s="2936"/>
      <c r="SGF68" s="2936"/>
      <c r="SGG68" s="2936"/>
      <c r="SGH68" s="2936"/>
      <c r="SGI68" s="2936"/>
      <c r="SGJ68" s="2936"/>
      <c r="SGK68" s="2936"/>
      <c r="SGL68" s="2936"/>
      <c r="SGM68" s="2936"/>
      <c r="SGN68" s="2936"/>
      <c r="SGO68" s="2936"/>
      <c r="SGP68" s="2936"/>
      <c r="SGQ68" s="2936"/>
      <c r="SGR68" s="2936"/>
      <c r="SGS68" s="2936"/>
      <c r="SGT68" s="2936"/>
      <c r="SGU68" s="2936"/>
      <c r="SGV68" s="2936"/>
      <c r="SGW68" s="2936"/>
      <c r="SGX68" s="2936"/>
      <c r="SGY68" s="2936"/>
      <c r="SGZ68" s="2936"/>
      <c r="SHA68" s="2936"/>
      <c r="SHB68" s="2936"/>
      <c r="SHC68" s="2936"/>
      <c r="SHD68" s="2936"/>
      <c r="SHE68" s="2936"/>
      <c r="SHF68" s="2936"/>
      <c r="SHG68" s="2936"/>
      <c r="SHH68" s="2936"/>
      <c r="SHI68" s="2936"/>
      <c r="SHJ68" s="2936"/>
      <c r="SHK68" s="2936"/>
      <c r="SHL68" s="2936"/>
      <c r="SHM68" s="2936"/>
      <c r="SHN68" s="2936"/>
      <c r="SHO68" s="2936"/>
      <c r="SHP68" s="2936"/>
      <c r="SHQ68" s="2936"/>
      <c r="SHR68" s="2936"/>
      <c r="SHS68" s="2936"/>
      <c r="SHT68" s="2936"/>
      <c r="SHU68" s="2936"/>
      <c r="SHV68" s="2936"/>
      <c r="SHW68" s="2936"/>
      <c r="SHX68" s="2936"/>
      <c r="SHY68" s="2936"/>
      <c r="SHZ68" s="2936"/>
      <c r="SIA68" s="2936"/>
      <c r="SIB68" s="2936"/>
      <c r="SIC68" s="2936"/>
      <c r="SID68" s="2936"/>
      <c r="SIE68" s="2936"/>
      <c r="SIF68" s="2936"/>
      <c r="SIG68" s="2936"/>
      <c r="SIH68" s="2936"/>
      <c r="SII68" s="2936"/>
      <c r="SIJ68" s="2936"/>
      <c r="SIK68" s="2936"/>
      <c r="SIL68" s="2936"/>
      <c r="SIM68" s="2936"/>
      <c r="SIN68" s="2936"/>
      <c r="SIO68" s="2936"/>
      <c r="SIP68" s="2936"/>
      <c r="SIQ68" s="2936"/>
      <c r="SIR68" s="2936"/>
      <c r="SIS68" s="2936"/>
      <c r="SIT68" s="2936"/>
      <c r="SIU68" s="2936"/>
      <c r="SIV68" s="2936"/>
      <c r="SIW68" s="2936"/>
      <c r="SIX68" s="2936"/>
      <c r="SIY68" s="2936"/>
      <c r="SIZ68" s="2936"/>
      <c r="SJA68" s="2936"/>
      <c r="SJB68" s="2936"/>
      <c r="SJC68" s="2936"/>
      <c r="SJD68" s="2936"/>
      <c r="SJE68" s="2936"/>
      <c r="SJF68" s="2936"/>
      <c r="SJG68" s="2936"/>
      <c r="SJH68" s="2936"/>
      <c r="SJI68" s="2936"/>
      <c r="SJJ68" s="2936"/>
      <c r="SJK68" s="2936"/>
      <c r="SJL68" s="2936"/>
      <c r="SJM68" s="2936"/>
      <c r="SJN68" s="2936"/>
      <c r="SJO68" s="2936"/>
      <c r="SJP68" s="2936"/>
      <c r="SJQ68" s="2936"/>
      <c r="SJR68" s="2936"/>
      <c r="SJS68" s="2936"/>
      <c r="SJT68" s="2936"/>
      <c r="SJU68" s="2936"/>
      <c r="SJV68" s="2936"/>
      <c r="SJW68" s="2936"/>
      <c r="SJX68" s="2936"/>
      <c r="SJY68" s="2936"/>
      <c r="SJZ68" s="2936"/>
      <c r="SKA68" s="2936"/>
      <c r="SKB68" s="2936"/>
      <c r="SKC68" s="2936"/>
      <c r="SKD68" s="2936"/>
      <c r="SKE68" s="2936"/>
      <c r="SKF68" s="2936"/>
      <c r="SKG68" s="2936"/>
      <c r="SKH68" s="2936"/>
      <c r="SKI68" s="2936"/>
      <c r="SKJ68" s="2936"/>
      <c r="SKK68" s="2936"/>
      <c r="SKL68" s="2936"/>
      <c r="SKM68" s="2936"/>
      <c r="SKN68" s="2936"/>
      <c r="SKO68" s="2936"/>
      <c r="SKP68" s="2936"/>
      <c r="SKQ68" s="2936"/>
      <c r="SKR68" s="2936"/>
      <c r="SKS68" s="2936"/>
      <c r="SKT68" s="2936"/>
      <c r="SKU68" s="2936"/>
      <c r="SKV68" s="2936"/>
      <c r="SKW68" s="2936"/>
      <c r="SKX68" s="2936"/>
      <c r="SKY68" s="2936"/>
      <c r="SKZ68" s="2936"/>
      <c r="SLA68" s="2936"/>
      <c r="SLB68" s="2936"/>
      <c r="SLC68" s="2936"/>
      <c r="SLD68" s="2936"/>
      <c r="SLE68" s="2936"/>
      <c r="SLF68" s="2936"/>
      <c r="SLG68" s="2936"/>
      <c r="SLH68" s="2936"/>
      <c r="SLI68" s="2936"/>
      <c r="SLJ68" s="2936"/>
      <c r="SLK68" s="2936"/>
      <c r="SLL68" s="2936"/>
      <c r="SLM68" s="2936"/>
      <c r="SLN68" s="2936"/>
      <c r="SLO68" s="2936"/>
      <c r="SLP68" s="2936"/>
      <c r="SLQ68" s="2936"/>
      <c r="SLR68" s="2936"/>
      <c r="SLS68" s="2936"/>
      <c r="SLT68" s="2936"/>
      <c r="SLU68" s="2936"/>
      <c r="SLV68" s="2936"/>
      <c r="SLW68" s="2936"/>
      <c r="SLX68" s="2936"/>
      <c r="SLY68" s="2936"/>
      <c r="SLZ68" s="2936"/>
      <c r="SMA68" s="2936"/>
      <c r="SMB68" s="2936"/>
      <c r="SMC68" s="2936"/>
      <c r="SMD68" s="2936"/>
      <c r="SME68" s="2936"/>
      <c r="SMF68" s="2936"/>
      <c r="SMG68" s="2936"/>
      <c r="SMH68" s="2936"/>
      <c r="SMI68" s="2936"/>
      <c r="SMJ68" s="2936"/>
      <c r="SMK68" s="2936"/>
      <c r="SML68" s="2936"/>
      <c r="SMM68" s="2936"/>
      <c r="SMN68" s="2936"/>
      <c r="SMO68" s="2936"/>
      <c r="SMP68" s="2936"/>
      <c r="SMQ68" s="2936"/>
      <c r="SMR68" s="2936"/>
      <c r="SMS68" s="2936"/>
      <c r="SMT68" s="2936"/>
      <c r="SMU68" s="2936"/>
      <c r="SMV68" s="2936"/>
      <c r="SMW68" s="2936"/>
      <c r="SMX68" s="2936"/>
      <c r="SMY68" s="2936"/>
      <c r="SMZ68" s="2936"/>
      <c r="SNA68" s="2936"/>
      <c r="SNB68" s="2936"/>
      <c r="SNC68" s="2936"/>
      <c r="SND68" s="2936"/>
      <c r="SNE68" s="2936"/>
      <c r="SNF68" s="2936"/>
      <c r="SNG68" s="2936"/>
      <c r="SNH68" s="2936"/>
      <c r="SNI68" s="2936"/>
      <c r="SNJ68" s="2936"/>
      <c r="SNK68" s="2936"/>
      <c r="SNL68" s="2936"/>
      <c r="SNM68" s="2936"/>
      <c r="SNN68" s="2936"/>
      <c r="SNO68" s="2936"/>
      <c r="SNP68" s="2936"/>
      <c r="SNQ68" s="2936"/>
      <c r="SNR68" s="2936"/>
      <c r="SNS68" s="2936"/>
      <c r="SNT68" s="2936"/>
      <c r="SNU68" s="2936"/>
      <c r="SNV68" s="2936"/>
      <c r="SNW68" s="2936"/>
      <c r="SNX68" s="2936"/>
      <c r="SNY68" s="2936"/>
      <c r="SNZ68" s="2936"/>
      <c r="SOA68" s="2936"/>
      <c r="SOB68" s="2936"/>
      <c r="SOC68" s="2936"/>
      <c r="SOD68" s="2936"/>
      <c r="SOE68" s="2936"/>
      <c r="SOF68" s="2936"/>
      <c r="SOG68" s="2936"/>
      <c r="SOH68" s="2936"/>
      <c r="SOI68" s="2936"/>
      <c r="SOJ68" s="2936"/>
      <c r="SOK68" s="2936"/>
      <c r="SOL68" s="2936"/>
      <c r="SOM68" s="2936"/>
      <c r="SON68" s="2936"/>
      <c r="SOO68" s="2936"/>
      <c r="SOP68" s="2936"/>
      <c r="SOQ68" s="2936"/>
      <c r="SOR68" s="2936"/>
      <c r="SOS68" s="2936"/>
      <c r="SOT68" s="2936"/>
      <c r="SOU68" s="2936"/>
      <c r="SOV68" s="2936"/>
      <c r="SOW68" s="2936"/>
      <c r="SOX68" s="2936"/>
      <c r="SOY68" s="2936"/>
      <c r="SOZ68" s="2936"/>
      <c r="SPA68" s="2936"/>
      <c r="SPB68" s="2936"/>
      <c r="SPC68" s="2936"/>
      <c r="SPD68" s="2936"/>
      <c r="SPE68" s="2936"/>
      <c r="SPF68" s="2936"/>
      <c r="SPG68" s="2936"/>
      <c r="SPH68" s="2936"/>
      <c r="SPI68" s="2936"/>
      <c r="SPJ68" s="2936"/>
      <c r="SPK68" s="2936"/>
      <c r="SPL68" s="2936"/>
      <c r="SPM68" s="2936"/>
      <c r="SPN68" s="2936"/>
      <c r="SPO68" s="2936"/>
      <c r="SPP68" s="2936"/>
      <c r="SPQ68" s="2936"/>
      <c r="SPR68" s="2936"/>
      <c r="SPS68" s="2936"/>
      <c r="SPT68" s="2936"/>
      <c r="SPU68" s="2936"/>
      <c r="SPV68" s="2936"/>
      <c r="SPW68" s="2936"/>
      <c r="SPX68" s="2936"/>
      <c r="SPY68" s="2936"/>
      <c r="SPZ68" s="2936"/>
      <c r="SQA68" s="2936"/>
      <c r="SQB68" s="2936"/>
      <c r="SQC68" s="2936"/>
      <c r="SQD68" s="2936"/>
      <c r="SQE68" s="2936"/>
      <c r="SQF68" s="2936"/>
      <c r="SQG68" s="2936"/>
      <c r="SQH68" s="2936"/>
      <c r="SQI68" s="2936"/>
      <c r="SQJ68" s="2936"/>
      <c r="SQK68" s="2936"/>
      <c r="SQL68" s="2936"/>
      <c r="SQM68" s="2936"/>
      <c r="SQN68" s="2936"/>
      <c r="SQO68" s="2936"/>
      <c r="SQP68" s="2936"/>
      <c r="SQQ68" s="2936"/>
      <c r="SQR68" s="2936"/>
      <c r="SQS68" s="2936"/>
      <c r="SQT68" s="2936"/>
      <c r="SQU68" s="2936"/>
      <c r="SQV68" s="2936"/>
      <c r="SQW68" s="2936"/>
      <c r="SQX68" s="2936"/>
      <c r="SQY68" s="2936"/>
      <c r="SQZ68" s="2936"/>
      <c r="SRA68" s="2936"/>
      <c r="SRB68" s="2936"/>
      <c r="SRC68" s="2936"/>
      <c r="SRD68" s="2936"/>
      <c r="SRE68" s="2936"/>
      <c r="SRF68" s="2936"/>
      <c r="SRG68" s="2936"/>
      <c r="SRH68" s="2936"/>
      <c r="SRI68" s="2936"/>
      <c r="SRJ68" s="2936"/>
      <c r="SRK68" s="2936"/>
      <c r="SRL68" s="2936"/>
      <c r="SRM68" s="2936"/>
      <c r="SRN68" s="2936"/>
      <c r="SRO68" s="2936"/>
      <c r="SRP68" s="2936"/>
      <c r="SRQ68" s="2936"/>
      <c r="SRR68" s="2936"/>
      <c r="SRS68" s="2936"/>
      <c r="SRT68" s="2936"/>
      <c r="SRU68" s="2936"/>
      <c r="SRV68" s="2936"/>
      <c r="SRW68" s="2936"/>
      <c r="SRX68" s="2936"/>
      <c r="SRY68" s="2936"/>
      <c r="SRZ68" s="2936"/>
      <c r="SSA68" s="2936"/>
      <c r="SSB68" s="2936"/>
      <c r="SSC68" s="2936"/>
      <c r="SSD68" s="2936"/>
      <c r="SSE68" s="2936"/>
      <c r="SSF68" s="2936"/>
      <c r="SSG68" s="2936"/>
      <c r="SSH68" s="2936"/>
      <c r="SSI68" s="2936"/>
      <c r="SSJ68" s="2936"/>
      <c r="SSK68" s="2936"/>
      <c r="SSL68" s="2936"/>
      <c r="SSM68" s="2936"/>
      <c r="SSN68" s="2936"/>
      <c r="SSO68" s="2936"/>
      <c r="SSP68" s="2936"/>
      <c r="SSQ68" s="2936"/>
      <c r="SSR68" s="2936"/>
      <c r="SSS68" s="2936"/>
      <c r="SST68" s="2936"/>
      <c r="SSU68" s="2936"/>
      <c r="SSV68" s="2936"/>
      <c r="SSW68" s="2936"/>
      <c r="SSX68" s="2936"/>
      <c r="SSY68" s="2936"/>
      <c r="SSZ68" s="2936"/>
      <c r="STA68" s="2936"/>
      <c r="STB68" s="2936"/>
      <c r="STC68" s="2936"/>
      <c r="STD68" s="2936"/>
      <c r="STE68" s="2936"/>
      <c r="STF68" s="2936"/>
      <c r="STG68" s="2936"/>
      <c r="STH68" s="2936"/>
      <c r="STI68" s="2936"/>
      <c r="STJ68" s="2936"/>
      <c r="STK68" s="2936"/>
      <c r="STL68" s="2936"/>
      <c r="STM68" s="2936"/>
      <c r="STN68" s="2936"/>
      <c r="STO68" s="2936"/>
      <c r="STP68" s="2936"/>
      <c r="STQ68" s="2936"/>
      <c r="STR68" s="2936"/>
      <c r="STS68" s="2936"/>
      <c r="STT68" s="2936"/>
      <c r="STU68" s="2936"/>
      <c r="STV68" s="2936"/>
      <c r="STW68" s="2936"/>
      <c r="STX68" s="2936"/>
      <c r="STY68" s="2936"/>
      <c r="STZ68" s="2936"/>
      <c r="SUA68" s="2936"/>
      <c r="SUB68" s="2936"/>
      <c r="SUC68" s="2936"/>
      <c r="SUD68" s="2936"/>
      <c r="SUE68" s="2936"/>
      <c r="SUF68" s="2936"/>
      <c r="SUG68" s="2936"/>
      <c r="SUH68" s="2936"/>
      <c r="SUI68" s="2936"/>
      <c r="SUJ68" s="2936"/>
      <c r="SUK68" s="2936"/>
      <c r="SUL68" s="2936"/>
      <c r="SUM68" s="2936"/>
      <c r="SUN68" s="2936"/>
      <c r="SUO68" s="2936"/>
      <c r="SUP68" s="2936"/>
      <c r="SUQ68" s="2936"/>
      <c r="SUR68" s="2936"/>
      <c r="SUS68" s="2936"/>
      <c r="SUT68" s="2936"/>
      <c r="SUU68" s="2936"/>
      <c r="SUV68" s="2936"/>
      <c r="SUW68" s="2936"/>
      <c r="SUX68" s="2936"/>
      <c r="SUY68" s="2936"/>
      <c r="SUZ68" s="2936"/>
      <c r="SVA68" s="2936"/>
      <c r="SVB68" s="2936"/>
      <c r="SVC68" s="2936"/>
      <c r="SVD68" s="2936"/>
      <c r="SVE68" s="2936"/>
      <c r="SVF68" s="2936"/>
      <c r="SVG68" s="2936"/>
      <c r="SVH68" s="2936"/>
      <c r="SVI68" s="2936"/>
      <c r="SVJ68" s="2936"/>
      <c r="SVK68" s="2936"/>
      <c r="SVL68" s="2936"/>
      <c r="SVM68" s="2936"/>
      <c r="SVN68" s="2936"/>
      <c r="SVO68" s="2936"/>
      <c r="SVP68" s="2936"/>
      <c r="SVQ68" s="2936"/>
      <c r="SVR68" s="2936"/>
      <c r="SVS68" s="2936"/>
      <c r="SVT68" s="2936"/>
      <c r="SVU68" s="2936"/>
      <c r="SVV68" s="2936"/>
      <c r="SVW68" s="2936"/>
      <c r="SVX68" s="2936"/>
      <c r="SVY68" s="2936"/>
      <c r="SVZ68" s="2936"/>
      <c r="SWA68" s="2936"/>
      <c r="SWB68" s="2936"/>
      <c r="SWC68" s="2936"/>
      <c r="SWD68" s="2936"/>
      <c r="SWE68" s="2936"/>
      <c r="SWF68" s="2936"/>
      <c r="SWG68" s="2936"/>
      <c r="SWH68" s="2936"/>
      <c r="SWI68" s="2936"/>
      <c r="SWJ68" s="2936"/>
      <c r="SWK68" s="2936"/>
      <c r="SWL68" s="2936"/>
      <c r="SWM68" s="2936"/>
      <c r="SWN68" s="2936"/>
      <c r="SWO68" s="2936"/>
      <c r="SWP68" s="2936"/>
      <c r="SWQ68" s="2936"/>
      <c r="SWR68" s="2936"/>
      <c r="SWS68" s="2936"/>
      <c r="SWT68" s="2936"/>
      <c r="SWU68" s="2936"/>
      <c r="SWV68" s="2936"/>
      <c r="SWW68" s="2936"/>
      <c r="SWX68" s="2936"/>
      <c r="SWY68" s="2936"/>
      <c r="SWZ68" s="2936"/>
      <c r="SXA68" s="2936"/>
      <c r="SXB68" s="2936"/>
      <c r="SXC68" s="2936"/>
      <c r="SXD68" s="2936"/>
      <c r="SXE68" s="2936"/>
      <c r="SXF68" s="2936"/>
      <c r="SXG68" s="2936"/>
      <c r="SXH68" s="2936"/>
      <c r="SXI68" s="2936"/>
      <c r="SXJ68" s="2936"/>
      <c r="SXK68" s="2936"/>
      <c r="SXL68" s="2936"/>
      <c r="SXM68" s="2936"/>
      <c r="SXN68" s="2936"/>
      <c r="SXO68" s="2936"/>
      <c r="SXP68" s="2936"/>
      <c r="SXQ68" s="2936"/>
      <c r="SXR68" s="2936"/>
      <c r="SXS68" s="2936"/>
      <c r="SXT68" s="2936"/>
      <c r="SXU68" s="2936"/>
      <c r="SXV68" s="2936"/>
      <c r="SXW68" s="2936"/>
      <c r="SXX68" s="2936"/>
      <c r="SXY68" s="2936"/>
      <c r="SXZ68" s="2936"/>
      <c r="SYA68" s="2936"/>
      <c r="SYB68" s="2936"/>
      <c r="SYC68" s="2936"/>
      <c r="SYD68" s="2936"/>
      <c r="SYE68" s="2936"/>
      <c r="SYF68" s="2936"/>
      <c r="SYG68" s="2936"/>
      <c r="SYH68" s="2936"/>
      <c r="SYI68" s="2936"/>
      <c r="SYJ68" s="2936"/>
      <c r="SYK68" s="2936"/>
      <c r="SYL68" s="2936"/>
      <c r="SYM68" s="2936"/>
      <c r="SYN68" s="2936"/>
      <c r="SYO68" s="2936"/>
      <c r="SYP68" s="2936"/>
      <c r="SYQ68" s="2936"/>
      <c r="SYR68" s="2936"/>
      <c r="SYS68" s="2936"/>
      <c r="SYT68" s="2936"/>
      <c r="SYU68" s="2936"/>
      <c r="SYV68" s="2936"/>
      <c r="SYW68" s="2936"/>
      <c r="SYX68" s="2936"/>
      <c r="SYY68" s="2936"/>
      <c r="SYZ68" s="2936"/>
      <c r="SZA68" s="2936"/>
      <c r="SZB68" s="2936"/>
      <c r="SZC68" s="2936"/>
      <c r="SZD68" s="2936"/>
      <c r="SZE68" s="2936"/>
      <c r="SZF68" s="2936"/>
      <c r="SZG68" s="2936"/>
      <c r="SZH68" s="2936"/>
      <c r="SZI68" s="2936"/>
      <c r="SZJ68" s="2936"/>
      <c r="SZK68" s="2936"/>
      <c r="SZL68" s="2936"/>
      <c r="SZM68" s="2936"/>
      <c r="SZN68" s="2936"/>
      <c r="SZO68" s="2936"/>
      <c r="SZP68" s="2936"/>
      <c r="SZQ68" s="2936"/>
      <c r="SZR68" s="2936"/>
      <c r="SZS68" s="2936"/>
      <c r="SZT68" s="2936"/>
      <c r="SZU68" s="2936"/>
      <c r="SZV68" s="2936"/>
      <c r="SZW68" s="2936"/>
      <c r="SZX68" s="2936"/>
      <c r="SZY68" s="2936"/>
      <c r="SZZ68" s="2936"/>
      <c r="TAA68" s="2936"/>
      <c r="TAB68" s="2936"/>
      <c r="TAC68" s="2936"/>
      <c r="TAD68" s="2936"/>
      <c r="TAE68" s="2936"/>
      <c r="TAF68" s="2936"/>
      <c r="TAG68" s="2936"/>
      <c r="TAH68" s="2936"/>
      <c r="TAI68" s="2936"/>
      <c r="TAJ68" s="2936"/>
      <c r="TAK68" s="2936"/>
      <c r="TAL68" s="2936"/>
      <c r="TAM68" s="2936"/>
      <c r="TAN68" s="2936"/>
      <c r="TAO68" s="2936"/>
      <c r="TAP68" s="2936"/>
      <c r="TAQ68" s="2936"/>
      <c r="TAR68" s="2936"/>
      <c r="TAS68" s="2936"/>
      <c r="TAT68" s="2936"/>
      <c r="TAU68" s="2936"/>
      <c r="TAV68" s="2936"/>
      <c r="TAW68" s="2936"/>
      <c r="TAX68" s="2936"/>
      <c r="TAY68" s="2936"/>
      <c r="TAZ68" s="2936"/>
      <c r="TBA68" s="2936"/>
      <c r="TBB68" s="2936"/>
      <c r="TBC68" s="2936"/>
      <c r="TBD68" s="2936"/>
      <c r="TBE68" s="2936"/>
      <c r="TBF68" s="2936"/>
      <c r="TBG68" s="2936"/>
      <c r="TBH68" s="2936"/>
      <c r="TBI68" s="2936"/>
      <c r="TBJ68" s="2936"/>
      <c r="TBK68" s="2936"/>
      <c r="TBL68" s="2936"/>
      <c r="TBM68" s="2936"/>
      <c r="TBN68" s="2936"/>
      <c r="TBO68" s="2936"/>
      <c r="TBP68" s="2936"/>
      <c r="TBQ68" s="2936"/>
      <c r="TBR68" s="2936"/>
      <c r="TBS68" s="2936"/>
      <c r="TBT68" s="2936"/>
      <c r="TBU68" s="2936"/>
      <c r="TBV68" s="2936"/>
      <c r="TBW68" s="2936"/>
      <c r="TBX68" s="2936"/>
      <c r="TBY68" s="2936"/>
      <c r="TBZ68" s="2936"/>
      <c r="TCA68" s="2936"/>
      <c r="TCB68" s="2936"/>
      <c r="TCC68" s="2936"/>
      <c r="TCD68" s="2936"/>
      <c r="TCE68" s="2936"/>
      <c r="TCF68" s="2936"/>
      <c r="TCG68" s="2936"/>
      <c r="TCH68" s="2936"/>
      <c r="TCI68" s="2936"/>
      <c r="TCJ68" s="2936"/>
      <c r="TCK68" s="2936"/>
      <c r="TCL68" s="2936"/>
      <c r="TCM68" s="2936"/>
      <c r="TCN68" s="2936"/>
      <c r="TCO68" s="2936"/>
      <c r="TCP68" s="2936"/>
      <c r="TCQ68" s="2936"/>
      <c r="TCR68" s="2936"/>
      <c r="TCS68" s="2936"/>
      <c r="TCT68" s="2936"/>
      <c r="TCU68" s="2936"/>
      <c r="TCV68" s="2936"/>
      <c r="TCW68" s="2936"/>
      <c r="TCX68" s="2936"/>
      <c r="TCY68" s="2936"/>
      <c r="TCZ68" s="2936"/>
      <c r="TDA68" s="2936"/>
      <c r="TDB68" s="2936"/>
      <c r="TDC68" s="2936"/>
      <c r="TDD68" s="2936"/>
      <c r="TDE68" s="2936"/>
      <c r="TDF68" s="2936"/>
      <c r="TDG68" s="2936"/>
      <c r="TDH68" s="2936"/>
      <c r="TDI68" s="2936"/>
      <c r="TDJ68" s="2936"/>
      <c r="TDK68" s="2936"/>
      <c r="TDL68" s="2936"/>
      <c r="TDM68" s="2936"/>
      <c r="TDN68" s="2936"/>
      <c r="TDO68" s="2936"/>
      <c r="TDP68" s="2936"/>
      <c r="TDQ68" s="2936"/>
      <c r="TDR68" s="2936"/>
      <c r="TDS68" s="2936"/>
      <c r="TDT68" s="2936"/>
      <c r="TDU68" s="2936"/>
      <c r="TDV68" s="2936"/>
      <c r="TDW68" s="2936"/>
      <c r="TDX68" s="2936"/>
      <c r="TDY68" s="2936"/>
      <c r="TDZ68" s="2936"/>
      <c r="TEA68" s="2936"/>
      <c r="TEB68" s="2936"/>
      <c r="TEC68" s="2936"/>
      <c r="TED68" s="2936"/>
      <c r="TEE68" s="2936"/>
      <c r="TEF68" s="2936"/>
      <c r="TEG68" s="2936"/>
      <c r="TEH68" s="2936"/>
      <c r="TEI68" s="2936"/>
      <c r="TEJ68" s="2936"/>
      <c r="TEK68" s="2936"/>
      <c r="TEL68" s="2936"/>
      <c r="TEM68" s="2936"/>
      <c r="TEN68" s="2936"/>
      <c r="TEO68" s="2936"/>
      <c r="TEP68" s="2936"/>
      <c r="TEQ68" s="2936"/>
      <c r="TER68" s="2936"/>
      <c r="TES68" s="2936"/>
      <c r="TET68" s="2936"/>
      <c r="TEU68" s="2936"/>
      <c r="TEV68" s="2936"/>
      <c r="TEW68" s="2936"/>
      <c r="TEX68" s="2936"/>
      <c r="TEY68" s="2936"/>
      <c r="TEZ68" s="2936"/>
      <c r="TFA68" s="2936"/>
      <c r="TFB68" s="2936"/>
      <c r="TFC68" s="2936"/>
      <c r="TFD68" s="2936"/>
      <c r="TFE68" s="2936"/>
      <c r="TFF68" s="2936"/>
      <c r="TFG68" s="2936"/>
      <c r="TFH68" s="2936"/>
      <c r="TFI68" s="2936"/>
      <c r="TFJ68" s="2936"/>
      <c r="TFK68" s="2936"/>
      <c r="TFL68" s="2936"/>
      <c r="TFM68" s="2936"/>
      <c r="TFN68" s="2936"/>
      <c r="TFO68" s="2936"/>
      <c r="TFP68" s="2936"/>
      <c r="TFQ68" s="2936"/>
      <c r="TFR68" s="2936"/>
      <c r="TFS68" s="2936"/>
      <c r="TFT68" s="2936"/>
      <c r="TFU68" s="2936"/>
      <c r="TFV68" s="2936"/>
      <c r="TFW68" s="2936"/>
      <c r="TFX68" s="2936"/>
      <c r="TFY68" s="2936"/>
      <c r="TFZ68" s="2936"/>
      <c r="TGA68" s="2936"/>
      <c r="TGB68" s="2936"/>
      <c r="TGC68" s="2936"/>
      <c r="TGD68" s="2936"/>
      <c r="TGE68" s="2936"/>
      <c r="TGF68" s="2936"/>
      <c r="TGG68" s="2936"/>
      <c r="TGH68" s="2936"/>
      <c r="TGI68" s="2936"/>
      <c r="TGJ68" s="2936"/>
      <c r="TGK68" s="2936"/>
      <c r="TGL68" s="2936"/>
      <c r="TGM68" s="2936"/>
      <c r="TGN68" s="2936"/>
      <c r="TGO68" s="2936"/>
      <c r="TGP68" s="2936"/>
      <c r="TGQ68" s="2936"/>
      <c r="TGR68" s="2936"/>
      <c r="TGS68" s="2936"/>
      <c r="TGT68" s="2936"/>
      <c r="TGU68" s="2936"/>
      <c r="TGV68" s="2936"/>
      <c r="TGW68" s="2936"/>
      <c r="TGX68" s="2936"/>
      <c r="TGY68" s="2936"/>
      <c r="TGZ68" s="2936"/>
      <c r="THA68" s="2936"/>
      <c r="THB68" s="2936"/>
      <c r="THC68" s="2936"/>
      <c r="THD68" s="2936"/>
      <c r="THE68" s="2936"/>
      <c r="THF68" s="2936"/>
      <c r="THG68" s="2936"/>
      <c r="THH68" s="2936"/>
      <c r="THI68" s="2936"/>
      <c r="THJ68" s="2936"/>
      <c r="THK68" s="2936"/>
      <c r="THL68" s="2936"/>
      <c r="THM68" s="2936"/>
      <c r="THN68" s="2936"/>
      <c r="THO68" s="2936"/>
      <c r="THP68" s="2936"/>
      <c r="THQ68" s="2936"/>
      <c r="THR68" s="2936"/>
      <c r="THS68" s="2936"/>
      <c r="THT68" s="2936"/>
      <c r="THU68" s="2936"/>
      <c r="THV68" s="2936"/>
      <c r="THW68" s="2936"/>
      <c r="THX68" s="2936"/>
      <c r="THY68" s="2936"/>
      <c r="THZ68" s="2936"/>
      <c r="TIA68" s="2936"/>
      <c r="TIB68" s="2936"/>
      <c r="TIC68" s="2936"/>
      <c r="TID68" s="2936"/>
      <c r="TIE68" s="2936"/>
      <c r="TIF68" s="2936"/>
      <c r="TIG68" s="2936"/>
      <c r="TIH68" s="2936"/>
      <c r="TII68" s="2936"/>
      <c r="TIJ68" s="2936"/>
      <c r="TIK68" s="2936"/>
      <c r="TIL68" s="2936"/>
      <c r="TIM68" s="2936"/>
      <c r="TIN68" s="2936"/>
      <c r="TIO68" s="2936"/>
      <c r="TIP68" s="2936"/>
      <c r="TIQ68" s="2936"/>
      <c r="TIR68" s="2936"/>
      <c r="TIS68" s="2936"/>
      <c r="TIT68" s="2936"/>
      <c r="TIU68" s="2936"/>
      <c r="TIV68" s="2936"/>
      <c r="TIW68" s="2936"/>
      <c r="TIX68" s="2936"/>
      <c r="TIY68" s="2936"/>
      <c r="TIZ68" s="2936"/>
      <c r="TJA68" s="2936"/>
      <c r="TJB68" s="2936"/>
      <c r="TJC68" s="2936"/>
      <c r="TJD68" s="2936"/>
      <c r="TJE68" s="2936"/>
      <c r="TJF68" s="2936"/>
      <c r="TJG68" s="2936"/>
      <c r="TJH68" s="2936"/>
      <c r="TJI68" s="2936"/>
      <c r="TJJ68" s="2936"/>
      <c r="TJK68" s="2936"/>
      <c r="TJL68" s="2936"/>
      <c r="TJM68" s="2936"/>
      <c r="TJN68" s="2936"/>
      <c r="TJO68" s="2936"/>
      <c r="TJP68" s="2936"/>
      <c r="TJQ68" s="2936"/>
      <c r="TJR68" s="2936"/>
      <c r="TJS68" s="2936"/>
      <c r="TJT68" s="2936"/>
      <c r="TJU68" s="2936"/>
      <c r="TJV68" s="2936"/>
      <c r="TJW68" s="2936"/>
      <c r="TJX68" s="2936"/>
      <c r="TJY68" s="2936"/>
      <c r="TJZ68" s="2936"/>
      <c r="TKA68" s="2936"/>
      <c r="TKB68" s="2936"/>
      <c r="TKC68" s="2936"/>
      <c r="TKD68" s="2936"/>
      <c r="TKE68" s="2936"/>
      <c r="TKF68" s="2936"/>
      <c r="TKG68" s="2936"/>
      <c r="TKH68" s="2936"/>
      <c r="TKI68" s="2936"/>
      <c r="TKJ68" s="2936"/>
      <c r="TKK68" s="2936"/>
      <c r="TKL68" s="2936"/>
      <c r="TKM68" s="2936"/>
      <c r="TKN68" s="2936"/>
      <c r="TKO68" s="2936"/>
      <c r="TKP68" s="2936"/>
      <c r="TKQ68" s="2936"/>
      <c r="TKR68" s="2936"/>
      <c r="TKS68" s="2936"/>
      <c r="TKT68" s="2936"/>
      <c r="TKU68" s="2936"/>
      <c r="TKV68" s="2936"/>
      <c r="TKW68" s="2936"/>
      <c r="TKX68" s="2936"/>
      <c r="TKY68" s="2936"/>
      <c r="TKZ68" s="2936"/>
      <c r="TLA68" s="2936"/>
      <c r="TLB68" s="2936"/>
      <c r="TLC68" s="2936"/>
      <c r="TLD68" s="2936"/>
      <c r="TLE68" s="2936"/>
      <c r="TLF68" s="2936"/>
      <c r="TLG68" s="2936"/>
      <c r="TLH68" s="2936"/>
      <c r="TLI68" s="2936"/>
      <c r="TLJ68" s="2936"/>
      <c r="TLK68" s="2936"/>
      <c r="TLL68" s="2936"/>
      <c r="TLM68" s="2936"/>
      <c r="TLN68" s="2936"/>
      <c r="TLO68" s="2936"/>
      <c r="TLP68" s="2936"/>
      <c r="TLQ68" s="2936"/>
      <c r="TLR68" s="2936"/>
      <c r="TLS68" s="2936"/>
      <c r="TLT68" s="2936"/>
      <c r="TLU68" s="2936"/>
      <c r="TLV68" s="2936"/>
      <c r="TLW68" s="2936"/>
      <c r="TLX68" s="2936"/>
      <c r="TLY68" s="2936"/>
      <c r="TLZ68" s="2936"/>
      <c r="TMA68" s="2936"/>
      <c r="TMB68" s="2936"/>
      <c r="TMC68" s="2936"/>
      <c r="TMD68" s="2936"/>
      <c r="TME68" s="2936"/>
      <c r="TMF68" s="2936"/>
      <c r="TMG68" s="2936"/>
      <c r="TMH68" s="2936"/>
      <c r="TMI68" s="2936"/>
      <c r="TMJ68" s="2936"/>
      <c r="TMK68" s="2936"/>
      <c r="TML68" s="2936"/>
      <c r="TMM68" s="2936"/>
      <c r="TMN68" s="2936"/>
      <c r="TMO68" s="2936"/>
      <c r="TMP68" s="2936"/>
      <c r="TMQ68" s="2936"/>
      <c r="TMR68" s="2936"/>
      <c r="TMS68" s="2936"/>
      <c r="TMT68" s="2936"/>
      <c r="TMU68" s="2936"/>
      <c r="TMV68" s="2936"/>
      <c r="TMW68" s="2936"/>
      <c r="TMX68" s="2936"/>
      <c r="TMY68" s="2936"/>
      <c r="TMZ68" s="2936"/>
      <c r="TNA68" s="2936"/>
      <c r="TNB68" s="2936"/>
      <c r="TNC68" s="2936"/>
      <c r="TND68" s="2936"/>
      <c r="TNE68" s="2936"/>
      <c r="TNF68" s="2936"/>
      <c r="TNG68" s="2936"/>
      <c r="TNH68" s="2936"/>
      <c r="TNI68" s="2936"/>
      <c r="TNJ68" s="2936"/>
      <c r="TNK68" s="2936"/>
      <c r="TNL68" s="2936"/>
      <c r="TNM68" s="2936"/>
      <c r="TNN68" s="2936"/>
      <c r="TNO68" s="2936"/>
      <c r="TNP68" s="2936"/>
      <c r="TNQ68" s="2936"/>
      <c r="TNR68" s="2936"/>
      <c r="TNS68" s="2936"/>
      <c r="TNT68" s="2936"/>
      <c r="TNU68" s="2936"/>
      <c r="TNV68" s="2936"/>
      <c r="TNW68" s="2936"/>
      <c r="TNX68" s="2936"/>
      <c r="TNY68" s="2936"/>
      <c r="TNZ68" s="2936"/>
      <c r="TOA68" s="2936"/>
      <c r="TOB68" s="2936"/>
      <c r="TOC68" s="2936"/>
      <c r="TOD68" s="2936"/>
      <c r="TOE68" s="2936"/>
      <c r="TOF68" s="2936"/>
      <c r="TOG68" s="2936"/>
      <c r="TOH68" s="2936"/>
      <c r="TOI68" s="2936"/>
      <c r="TOJ68" s="2936"/>
      <c r="TOK68" s="2936"/>
      <c r="TOL68" s="2936"/>
      <c r="TOM68" s="2936"/>
      <c r="TON68" s="2936"/>
      <c r="TOO68" s="2936"/>
      <c r="TOP68" s="2936"/>
      <c r="TOQ68" s="2936"/>
      <c r="TOR68" s="2936"/>
      <c r="TOS68" s="2936"/>
      <c r="TOT68" s="2936"/>
      <c r="TOU68" s="2936"/>
      <c r="TOV68" s="2936"/>
      <c r="TOW68" s="2936"/>
      <c r="TOX68" s="2936"/>
      <c r="TOY68" s="2936"/>
      <c r="TOZ68" s="2936"/>
      <c r="TPA68" s="2936"/>
      <c r="TPB68" s="2936"/>
      <c r="TPC68" s="2936"/>
      <c r="TPD68" s="2936"/>
      <c r="TPE68" s="2936"/>
      <c r="TPF68" s="2936"/>
      <c r="TPG68" s="2936"/>
      <c r="TPH68" s="2936"/>
      <c r="TPI68" s="2936"/>
      <c r="TPJ68" s="2936"/>
      <c r="TPK68" s="2936"/>
      <c r="TPL68" s="2936"/>
      <c r="TPM68" s="2936"/>
      <c r="TPN68" s="2936"/>
      <c r="TPO68" s="2936"/>
      <c r="TPP68" s="2936"/>
      <c r="TPQ68" s="2936"/>
      <c r="TPR68" s="2936"/>
      <c r="TPS68" s="2936"/>
      <c r="TPT68" s="2936"/>
      <c r="TPU68" s="2936"/>
      <c r="TPV68" s="2936"/>
      <c r="TPW68" s="2936"/>
      <c r="TPX68" s="2936"/>
      <c r="TPY68" s="2936"/>
      <c r="TPZ68" s="2936"/>
      <c r="TQA68" s="2936"/>
      <c r="TQB68" s="2936"/>
      <c r="TQC68" s="2936"/>
      <c r="TQD68" s="2936"/>
      <c r="TQE68" s="2936"/>
      <c r="TQF68" s="2936"/>
      <c r="TQG68" s="2936"/>
      <c r="TQH68" s="2936"/>
      <c r="TQI68" s="2936"/>
      <c r="TQJ68" s="2936"/>
      <c r="TQK68" s="2936"/>
      <c r="TQL68" s="2936"/>
      <c r="TQM68" s="2936"/>
      <c r="TQN68" s="2936"/>
      <c r="TQO68" s="2936"/>
      <c r="TQP68" s="2936"/>
      <c r="TQQ68" s="2936"/>
      <c r="TQR68" s="2936"/>
      <c r="TQS68" s="2936"/>
      <c r="TQT68" s="2936"/>
      <c r="TQU68" s="2936"/>
      <c r="TQV68" s="2936"/>
      <c r="TQW68" s="2936"/>
      <c r="TQX68" s="2936"/>
      <c r="TQY68" s="2936"/>
      <c r="TQZ68" s="2936"/>
      <c r="TRA68" s="2936"/>
      <c r="TRB68" s="2936"/>
      <c r="TRC68" s="2936"/>
      <c r="TRD68" s="2936"/>
      <c r="TRE68" s="2936"/>
      <c r="TRF68" s="2936"/>
      <c r="TRG68" s="2936"/>
      <c r="TRH68" s="2936"/>
      <c r="TRI68" s="2936"/>
      <c r="TRJ68" s="2936"/>
      <c r="TRK68" s="2936"/>
      <c r="TRL68" s="2936"/>
      <c r="TRM68" s="2936"/>
      <c r="TRN68" s="2936"/>
      <c r="TRO68" s="2936"/>
      <c r="TRP68" s="2936"/>
      <c r="TRQ68" s="2936"/>
      <c r="TRR68" s="2936"/>
      <c r="TRS68" s="2936"/>
      <c r="TRT68" s="2936"/>
      <c r="TRU68" s="2936"/>
      <c r="TRV68" s="2936"/>
      <c r="TRW68" s="2936"/>
      <c r="TRX68" s="2936"/>
      <c r="TRY68" s="2936"/>
      <c r="TRZ68" s="2936"/>
      <c r="TSA68" s="2936"/>
      <c r="TSB68" s="2936"/>
      <c r="TSC68" s="2936"/>
      <c r="TSD68" s="2936"/>
      <c r="TSE68" s="2936"/>
      <c r="TSF68" s="2936"/>
      <c r="TSG68" s="2936"/>
      <c r="TSH68" s="2936"/>
      <c r="TSI68" s="2936"/>
      <c r="TSJ68" s="2936"/>
      <c r="TSK68" s="2936"/>
      <c r="TSL68" s="2936"/>
      <c r="TSM68" s="2936"/>
      <c r="TSN68" s="2936"/>
      <c r="TSO68" s="2936"/>
      <c r="TSP68" s="2936"/>
      <c r="TSQ68" s="2936"/>
      <c r="TSR68" s="2936"/>
      <c r="TSS68" s="2936"/>
      <c r="TST68" s="2936"/>
      <c r="TSU68" s="2936"/>
      <c r="TSV68" s="2936"/>
      <c r="TSW68" s="2936"/>
      <c r="TSX68" s="2936"/>
      <c r="TSY68" s="2936"/>
      <c r="TSZ68" s="2936"/>
      <c r="TTA68" s="2936"/>
      <c r="TTB68" s="2936"/>
      <c r="TTC68" s="2936"/>
      <c r="TTD68" s="2936"/>
      <c r="TTE68" s="2936"/>
      <c r="TTF68" s="2936"/>
      <c r="TTG68" s="2936"/>
      <c r="TTH68" s="2936"/>
      <c r="TTI68" s="2936"/>
      <c r="TTJ68" s="2936"/>
      <c r="TTK68" s="2936"/>
      <c r="TTL68" s="2936"/>
      <c r="TTM68" s="2936"/>
      <c r="TTN68" s="2936"/>
      <c r="TTO68" s="2936"/>
      <c r="TTP68" s="2936"/>
      <c r="TTQ68" s="2936"/>
      <c r="TTR68" s="2936"/>
      <c r="TTS68" s="2936"/>
      <c r="TTT68" s="2936"/>
      <c r="TTU68" s="2936"/>
      <c r="TTV68" s="2936"/>
      <c r="TTW68" s="2936"/>
      <c r="TTX68" s="2936"/>
      <c r="TTY68" s="2936"/>
      <c r="TTZ68" s="2936"/>
      <c r="TUA68" s="2936"/>
      <c r="TUB68" s="2936"/>
      <c r="TUC68" s="2936"/>
      <c r="TUD68" s="2936"/>
      <c r="TUE68" s="2936"/>
      <c r="TUF68" s="2936"/>
      <c r="TUG68" s="2936"/>
      <c r="TUH68" s="2936"/>
      <c r="TUI68" s="2936"/>
      <c r="TUJ68" s="2936"/>
      <c r="TUK68" s="2936"/>
      <c r="TUL68" s="2936"/>
      <c r="TUM68" s="2936"/>
      <c r="TUN68" s="2936"/>
      <c r="TUO68" s="2936"/>
      <c r="TUP68" s="2936"/>
      <c r="TUQ68" s="2936"/>
      <c r="TUR68" s="2936"/>
      <c r="TUS68" s="2936"/>
      <c r="TUT68" s="2936"/>
      <c r="TUU68" s="2936"/>
      <c r="TUV68" s="2936"/>
      <c r="TUW68" s="2936"/>
      <c r="TUX68" s="2936"/>
      <c r="TUY68" s="2936"/>
      <c r="TUZ68" s="2936"/>
      <c r="TVA68" s="2936"/>
      <c r="TVB68" s="2936"/>
      <c r="TVC68" s="2936"/>
      <c r="TVD68" s="2936"/>
      <c r="TVE68" s="2936"/>
      <c r="TVF68" s="2936"/>
      <c r="TVG68" s="2936"/>
      <c r="TVH68" s="2936"/>
      <c r="TVI68" s="2936"/>
      <c r="TVJ68" s="2936"/>
      <c r="TVK68" s="2936"/>
      <c r="TVL68" s="2936"/>
      <c r="TVM68" s="2936"/>
      <c r="TVN68" s="2936"/>
      <c r="TVO68" s="2936"/>
      <c r="TVP68" s="2936"/>
      <c r="TVQ68" s="2936"/>
      <c r="TVR68" s="2936"/>
      <c r="TVS68" s="2936"/>
      <c r="TVT68" s="2936"/>
      <c r="TVU68" s="2936"/>
      <c r="TVV68" s="2936"/>
      <c r="TVW68" s="2936"/>
      <c r="TVX68" s="2936"/>
      <c r="TVY68" s="2936"/>
      <c r="TVZ68" s="2936"/>
      <c r="TWA68" s="2936"/>
      <c r="TWB68" s="2936"/>
      <c r="TWC68" s="2936"/>
      <c r="TWD68" s="2936"/>
      <c r="TWE68" s="2936"/>
      <c r="TWF68" s="2936"/>
      <c r="TWG68" s="2936"/>
      <c r="TWH68" s="2936"/>
      <c r="TWI68" s="2936"/>
      <c r="TWJ68" s="2936"/>
      <c r="TWK68" s="2936"/>
      <c r="TWL68" s="2936"/>
      <c r="TWM68" s="2936"/>
      <c r="TWN68" s="2936"/>
      <c r="TWO68" s="2936"/>
      <c r="TWP68" s="2936"/>
      <c r="TWQ68" s="2936"/>
      <c r="TWR68" s="2936"/>
      <c r="TWS68" s="2936"/>
      <c r="TWT68" s="2936"/>
      <c r="TWU68" s="2936"/>
      <c r="TWV68" s="2936"/>
      <c r="TWW68" s="2936"/>
      <c r="TWX68" s="2936"/>
      <c r="TWY68" s="2936"/>
      <c r="TWZ68" s="2936"/>
      <c r="TXA68" s="2936"/>
      <c r="TXB68" s="2936"/>
      <c r="TXC68" s="2936"/>
      <c r="TXD68" s="2936"/>
      <c r="TXE68" s="2936"/>
      <c r="TXF68" s="2936"/>
      <c r="TXG68" s="2936"/>
      <c r="TXH68" s="2936"/>
      <c r="TXI68" s="2936"/>
      <c r="TXJ68" s="2936"/>
      <c r="TXK68" s="2936"/>
      <c r="TXL68" s="2936"/>
      <c r="TXM68" s="2936"/>
      <c r="TXN68" s="2936"/>
      <c r="TXO68" s="2936"/>
      <c r="TXP68" s="2936"/>
      <c r="TXQ68" s="2936"/>
      <c r="TXR68" s="2936"/>
      <c r="TXS68" s="2936"/>
      <c r="TXT68" s="2936"/>
      <c r="TXU68" s="2936"/>
      <c r="TXV68" s="2936"/>
      <c r="TXW68" s="2936"/>
      <c r="TXX68" s="2936"/>
      <c r="TXY68" s="2936"/>
      <c r="TXZ68" s="2936"/>
      <c r="TYA68" s="2936"/>
      <c r="TYB68" s="2936"/>
      <c r="TYC68" s="2936"/>
      <c r="TYD68" s="2936"/>
      <c r="TYE68" s="2936"/>
      <c r="TYF68" s="2936"/>
      <c r="TYG68" s="2936"/>
      <c r="TYH68" s="2936"/>
      <c r="TYI68" s="2936"/>
      <c r="TYJ68" s="2936"/>
      <c r="TYK68" s="2936"/>
      <c r="TYL68" s="2936"/>
      <c r="TYM68" s="2936"/>
      <c r="TYN68" s="2936"/>
      <c r="TYO68" s="2936"/>
      <c r="TYP68" s="2936"/>
      <c r="TYQ68" s="2936"/>
      <c r="TYR68" s="2936"/>
      <c r="TYS68" s="2936"/>
      <c r="TYT68" s="2936"/>
      <c r="TYU68" s="2936"/>
      <c r="TYV68" s="2936"/>
      <c r="TYW68" s="2936"/>
      <c r="TYX68" s="2936"/>
      <c r="TYY68" s="2936"/>
      <c r="TYZ68" s="2936"/>
      <c r="TZA68" s="2936"/>
      <c r="TZB68" s="2936"/>
      <c r="TZC68" s="2936"/>
      <c r="TZD68" s="2936"/>
      <c r="TZE68" s="2936"/>
      <c r="TZF68" s="2936"/>
      <c r="TZG68" s="2936"/>
      <c r="TZH68" s="2936"/>
      <c r="TZI68" s="2936"/>
      <c r="TZJ68" s="2936"/>
      <c r="TZK68" s="2936"/>
      <c r="TZL68" s="2936"/>
      <c r="TZM68" s="2936"/>
      <c r="TZN68" s="2936"/>
      <c r="TZO68" s="2936"/>
      <c r="TZP68" s="2936"/>
      <c r="TZQ68" s="2936"/>
      <c r="TZR68" s="2936"/>
      <c r="TZS68" s="2936"/>
      <c r="TZT68" s="2936"/>
      <c r="TZU68" s="2936"/>
      <c r="TZV68" s="2936"/>
      <c r="TZW68" s="2936"/>
      <c r="TZX68" s="2936"/>
      <c r="TZY68" s="2936"/>
      <c r="TZZ68" s="2936"/>
      <c r="UAA68" s="2936"/>
      <c r="UAB68" s="2936"/>
      <c r="UAC68" s="2936"/>
      <c r="UAD68" s="2936"/>
      <c r="UAE68" s="2936"/>
      <c r="UAF68" s="2936"/>
      <c r="UAG68" s="2936"/>
      <c r="UAH68" s="2936"/>
      <c r="UAI68" s="2936"/>
      <c r="UAJ68" s="2936"/>
      <c r="UAK68" s="2936"/>
      <c r="UAL68" s="2936"/>
      <c r="UAM68" s="2936"/>
      <c r="UAN68" s="2936"/>
      <c r="UAO68" s="2936"/>
      <c r="UAP68" s="2936"/>
      <c r="UAQ68" s="2936"/>
      <c r="UAR68" s="2936"/>
      <c r="UAS68" s="2936"/>
      <c r="UAT68" s="2936"/>
      <c r="UAU68" s="2936"/>
      <c r="UAV68" s="2936"/>
      <c r="UAW68" s="2936"/>
      <c r="UAX68" s="2936"/>
      <c r="UAY68" s="2936"/>
      <c r="UAZ68" s="2936"/>
      <c r="UBA68" s="2936"/>
      <c r="UBB68" s="2936"/>
      <c r="UBC68" s="2936"/>
      <c r="UBD68" s="2936"/>
      <c r="UBE68" s="2936"/>
      <c r="UBF68" s="2936"/>
      <c r="UBG68" s="2936"/>
      <c r="UBH68" s="2936"/>
      <c r="UBI68" s="2936"/>
      <c r="UBJ68" s="2936"/>
      <c r="UBK68" s="2936"/>
      <c r="UBL68" s="2936"/>
      <c r="UBM68" s="2936"/>
      <c r="UBN68" s="2936"/>
      <c r="UBO68" s="2936"/>
      <c r="UBP68" s="2936"/>
      <c r="UBQ68" s="2936"/>
      <c r="UBR68" s="2936"/>
      <c r="UBS68" s="2936"/>
      <c r="UBT68" s="2936"/>
      <c r="UBU68" s="2936"/>
      <c r="UBV68" s="2936"/>
      <c r="UBW68" s="2936"/>
      <c r="UBX68" s="2936"/>
      <c r="UBY68" s="2936"/>
      <c r="UBZ68" s="2936"/>
      <c r="UCA68" s="2936"/>
      <c r="UCB68" s="2936"/>
      <c r="UCC68" s="2936"/>
      <c r="UCD68" s="2936"/>
      <c r="UCE68" s="2936"/>
      <c r="UCF68" s="2936"/>
      <c r="UCG68" s="2936"/>
      <c r="UCH68" s="2936"/>
      <c r="UCI68" s="2936"/>
      <c r="UCJ68" s="2936"/>
      <c r="UCK68" s="2936"/>
      <c r="UCL68" s="2936"/>
      <c r="UCM68" s="2936"/>
      <c r="UCN68" s="2936"/>
      <c r="UCO68" s="2936"/>
      <c r="UCP68" s="2936"/>
      <c r="UCQ68" s="2936"/>
      <c r="UCR68" s="2936"/>
      <c r="UCS68" s="2936"/>
      <c r="UCT68" s="2936"/>
      <c r="UCU68" s="2936"/>
      <c r="UCV68" s="2936"/>
      <c r="UCW68" s="2936"/>
      <c r="UCX68" s="2936"/>
      <c r="UCY68" s="2936"/>
      <c r="UCZ68" s="2936"/>
      <c r="UDA68" s="2936"/>
      <c r="UDB68" s="2936"/>
      <c r="UDC68" s="2936"/>
      <c r="UDD68" s="2936"/>
      <c r="UDE68" s="2936"/>
      <c r="UDF68" s="2936"/>
      <c r="UDG68" s="2936"/>
      <c r="UDH68" s="2936"/>
      <c r="UDI68" s="2936"/>
      <c r="UDJ68" s="2936"/>
      <c r="UDK68" s="2936"/>
      <c r="UDL68" s="2936"/>
      <c r="UDM68" s="2936"/>
      <c r="UDN68" s="2936"/>
      <c r="UDO68" s="2936"/>
      <c r="UDP68" s="2936"/>
      <c r="UDQ68" s="2936"/>
      <c r="UDR68" s="2936"/>
      <c r="UDS68" s="2936"/>
      <c r="UDT68" s="2936"/>
      <c r="UDU68" s="2936"/>
      <c r="UDV68" s="2936"/>
      <c r="UDW68" s="2936"/>
      <c r="UDX68" s="2936"/>
      <c r="UDY68" s="2936"/>
      <c r="UDZ68" s="2936"/>
      <c r="UEA68" s="2936"/>
      <c r="UEB68" s="2936"/>
      <c r="UEC68" s="2936"/>
      <c r="UED68" s="2936"/>
      <c r="UEE68" s="2936"/>
      <c r="UEF68" s="2936"/>
      <c r="UEG68" s="2936"/>
      <c r="UEH68" s="2936"/>
      <c r="UEI68" s="2936"/>
      <c r="UEJ68" s="2936"/>
      <c r="UEK68" s="2936"/>
      <c r="UEL68" s="2936"/>
      <c r="UEM68" s="2936"/>
      <c r="UEN68" s="2936"/>
      <c r="UEO68" s="2936"/>
      <c r="UEP68" s="2936"/>
      <c r="UEQ68" s="2936"/>
      <c r="UER68" s="2936"/>
      <c r="UES68" s="2936"/>
      <c r="UET68" s="2936"/>
      <c r="UEU68" s="2936"/>
      <c r="UEV68" s="2936"/>
      <c r="UEW68" s="2936"/>
      <c r="UEX68" s="2936"/>
      <c r="UEY68" s="2936"/>
      <c r="UEZ68" s="2936"/>
      <c r="UFA68" s="2936"/>
      <c r="UFB68" s="2936"/>
      <c r="UFC68" s="2936"/>
      <c r="UFD68" s="2936"/>
      <c r="UFE68" s="2936"/>
      <c r="UFF68" s="2936"/>
      <c r="UFG68" s="2936"/>
      <c r="UFH68" s="2936"/>
      <c r="UFI68" s="2936"/>
      <c r="UFJ68" s="2936"/>
      <c r="UFK68" s="2936"/>
      <c r="UFL68" s="2936"/>
      <c r="UFM68" s="2936"/>
      <c r="UFN68" s="2936"/>
      <c r="UFO68" s="2936"/>
      <c r="UFP68" s="2936"/>
      <c r="UFQ68" s="2936"/>
      <c r="UFR68" s="2936"/>
      <c r="UFS68" s="2936"/>
      <c r="UFT68" s="2936"/>
      <c r="UFU68" s="2936"/>
      <c r="UFV68" s="2936"/>
      <c r="UFW68" s="2936"/>
      <c r="UFX68" s="2936"/>
      <c r="UFY68" s="2936"/>
      <c r="UFZ68" s="2936"/>
      <c r="UGA68" s="2936"/>
      <c r="UGB68" s="2936"/>
      <c r="UGC68" s="2936"/>
      <c r="UGD68" s="2936"/>
      <c r="UGE68" s="2936"/>
      <c r="UGF68" s="2936"/>
      <c r="UGG68" s="2936"/>
      <c r="UGH68" s="2936"/>
      <c r="UGI68" s="2936"/>
      <c r="UGJ68" s="2936"/>
      <c r="UGK68" s="2936"/>
      <c r="UGL68" s="2936"/>
      <c r="UGM68" s="2936"/>
      <c r="UGN68" s="2936"/>
      <c r="UGO68" s="2936"/>
      <c r="UGP68" s="2936"/>
      <c r="UGQ68" s="2936"/>
      <c r="UGR68" s="2936"/>
      <c r="UGS68" s="2936"/>
      <c r="UGT68" s="2936"/>
      <c r="UGU68" s="2936"/>
      <c r="UGV68" s="2936"/>
      <c r="UGW68" s="2936"/>
      <c r="UGX68" s="2936"/>
      <c r="UGY68" s="2936"/>
      <c r="UGZ68" s="2936"/>
      <c r="UHA68" s="2936"/>
      <c r="UHB68" s="2936"/>
      <c r="UHC68" s="2936"/>
      <c r="UHD68" s="2936"/>
      <c r="UHE68" s="2936"/>
      <c r="UHF68" s="2936"/>
      <c r="UHG68" s="2936"/>
      <c r="UHH68" s="2936"/>
      <c r="UHI68" s="2936"/>
      <c r="UHJ68" s="2936"/>
      <c r="UHK68" s="2936"/>
      <c r="UHL68" s="2936"/>
      <c r="UHM68" s="2936"/>
      <c r="UHN68" s="2936"/>
      <c r="UHO68" s="2936"/>
      <c r="UHP68" s="2936"/>
      <c r="UHQ68" s="2936"/>
      <c r="UHR68" s="2936"/>
      <c r="UHS68" s="2936"/>
      <c r="UHT68" s="2936"/>
      <c r="UHU68" s="2936"/>
      <c r="UHV68" s="2936"/>
      <c r="UHW68" s="2936"/>
      <c r="UHX68" s="2936"/>
      <c r="UHY68" s="2936"/>
      <c r="UHZ68" s="2936"/>
      <c r="UIA68" s="2936"/>
      <c r="UIB68" s="2936"/>
      <c r="UIC68" s="2936"/>
      <c r="UID68" s="2936"/>
      <c r="UIE68" s="2936"/>
      <c r="UIF68" s="2936"/>
      <c r="UIG68" s="2936"/>
      <c r="UIH68" s="2936"/>
      <c r="UII68" s="2936"/>
      <c r="UIJ68" s="2936"/>
      <c r="UIK68" s="2936"/>
      <c r="UIL68" s="2936"/>
      <c r="UIM68" s="2936"/>
      <c r="UIN68" s="2936"/>
      <c r="UIO68" s="2936"/>
      <c r="UIP68" s="2936"/>
      <c r="UIQ68" s="2936"/>
      <c r="UIR68" s="2936"/>
      <c r="UIS68" s="2936"/>
      <c r="UIT68" s="2936"/>
      <c r="UIU68" s="2936"/>
      <c r="UIV68" s="2936"/>
      <c r="UIW68" s="2936"/>
      <c r="UIX68" s="2936"/>
      <c r="UIY68" s="2936"/>
      <c r="UIZ68" s="2936"/>
      <c r="UJA68" s="2936"/>
      <c r="UJB68" s="2936"/>
      <c r="UJC68" s="2936"/>
      <c r="UJD68" s="2936"/>
      <c r="UJE68" s="2936"/>
      <c r="UJF68" s="2936"/>
      <c r="UJG68" s="2936"/>
      <c r="UJH68" s="2936"/>
      <c r="UJI68" s="2936"/>
      <c r="UJJ68" s="2936"/>
      <c r="UJK68" s="2936"/>
      <c r="UJL68" s="2936"/>
      <c r="UJM68" s="2936"/>
      <c r="UJN68" s="2936"/>
      <c r="UJO68" s="2936"/>
      <c r="UJP68" s="2936"/>
      <c r="UJQ68" s="2936"/>
      <c r="UJR68" s="2936"/>
      <c r="UJS68" s="2936"/>
      <c r="UJT68" s="2936"/>
      <c r="UJU68" s="2936"/>
      <c r="UJV68" s="2936"/>
      <c r="UJW68" s="2936"/>
      <c r="UJX68" s="2936"/>
      <c r="UJY68" s="2936"/>
      <c r="UJZ68" s="2936"/>
      <c r="UKA68" s="2936"/>
      <c r="UKB68" s="2936"/>
      <c r="UKC68" s="2936"/>
      <c r="UKD68" s="2936"/>
      <c r="UKE68" s="2936"/>
      <c r="UKF68" s="2936"/>
      <c r="UKG68" s="2936"/>
      <c r="UKH68" s="2936"/>
      <c r="UKI68" s="2936"/>
      <c r="UKJ68" s="2936"/>
      <c r="UKK68" s="2936"/>
      <c r="UKL68" s="2936"/>
      <c r="UKM68" s="2936"/>
      <c r="UKN68" s="2936"/>
      <c r="UKO68" s="2936"/>
      <c r="UKP68" s="2936"/>
      <c r="UKQ68" s="2936"/>
      <c r="UKR68" s="2936"/>
      <c r="UKS68" s="2936"/>
      <c r="UKT68" s="2936"/>
      <c r="UKU68" s="2936"/>
      <c r="UKV68" s="2936"/>
      <c r="UKW68" s="2936"/>
      <c r="UKX68" s="2936"/>
      <c r="UKY68" s="2936"/>
      <c r="UKZ68" s="2936"/>
      <c r="ULA68" s="2936"/>
      <c r="ULB68" s="2936"/>
      <c r="ULC68" s="2936"/>
      <c r="ULD68" s="2936"/>
      <c r="ULE68" s="2936"/>
      <c r="ULF68" s="2936"/>
      <c r="ULG68" s="2936"/>
      <c r="ULH68" s="2936"/>
      <c r="ULI68" s="2936"/>
      <c r="ULJ68" s="2936"/>
      <c r="ULK68" s="2936"/>
      <c r="ULL68" s="2936"/>
      <c r="ULM68" s="2936"/>
      <c r="ULN68" s="2936"/>
      <c r="ULO68" s="2936"/>
      <c r="ULP68" s="2936"/>
      <c r="ULQ68" s="2936"/>
      <c r="ULR68" s="2936"/>
      <c r="ULS68" s="2936"/>
      <c r="ULT68" s="2936"/>
      <c r="ULU68" s="2936"/>
      <c r="ULV68" s="2936"/>
      <c r="ULW68" s="2936"/>
      <c r="ULX68" s="2936"/>
      <c r="ULY68" s="2936"/>
      <c r="ULZ68" s="2936"/>
      <c r="UMA68" s="2936"/>
      <c r="UMB68" s="2936"/>
      <c r="UMC68" s="2936"/>
      <c r="UMD68" s="2936"/>
      <c r="UME68" s="2936"/>
      <c r="UMF68" s="2936"/>
      <c r="UMG68" s="2936"/>
      <c r="UMH68" s="2936"/>
      <c r="UMI68" s="2936"/>
      <c r="UMJ68" s="2936"/>
      <c r="UMK68" s="2936"/>
      <c r="UML68" s="2936"/>
      <c r="UMM68" s="2936"/>
      <c r="UMN68" s="2936"/>
      <c r="UMO68" s="2936"/>
      <c r="UMP68" s="2936"/>
      <c r="UMQ68" s="2936"/>
      <c r="UMR68" s="2936"/>
      <c r="UMS68" s="2936"/>
      <c r="UMT68" s="2936"/>
      <c r="UMU68" s="2936"/>
      <c r="UMV68" s="2936"/>
      <c r="UMW68" s="2936"/>
      <c r="UMX68" s="2936"/>
      <c r="UMY68" s="2936"/>
      <c r="UMZ68" s="2936"/>
      <c r="UNA68" s="2936"/>
      <c r="UNB68" s="2936"/>
      <c r="UNC68" s="2936"/>
      <c r="UND68" s="2936"/>
      <c r="UNE68" s="2936"/>
      <c r="UNF68" s="2936"/>
      <c r="UNG68" s="2936"/>
      <c r="UNH68" s="2936"/>
      <c r="UNI68" s="2936"/>
      <c r="UNJ68" s="2936"/>
      <c r="UNK68" s="2936"/>
      <c r="UNL68" s="2936"/>
      <c r="UNM68" s="2936"/>
      <c r="UNN68" s="2936"/>
      <c r="UNO68" s="2936"/>
      <c r="UNP68" s="2936"/>
      <c r="UNQ68" s="2936"/>
      <c r="UNR68" s="2936"/>
      <c r="UNS68" s="2936"/>
      <c r="UNT68" s="2936"/>
      <c r="UNU68" s="2936"/>
      <c r="UNV68" s="2936"/>
      <c r="UNW68" s="2936"/>
      <c r="UNX68" s="2936"/>
      <c r="UNY68" s="2936"/>
      <c r="UNZ68" s="2936"/>
      <c r="UOA68" s="2936"/>
      <c r="UOB68" s="2936"/>
      <c r="UOC68" s="2936"/>
      <c r="UOD68" s="2936"/>
      <c r="UOE68" s="2936"/>
      <c r="UOF68" s="2936"/>
      <c r="UOG68" s="2936"/>
      <c r="UOH68" s="2936"/>
      <c r="UOI68" s="2936"/>
      <c r="UOJ68" s="2936"/>
      <c r="UOK68" s="2936"/>
      <c r="UOL68" s="2936"/>
      <c r="UOM68" s="2936"/>
      <c r="UON68" s="2936"/>
      <c r="UOO68" s="2936"/>
      <c r="UOP68" s="2936"/>
      <c r="UOQ68" s="2936"/>
      <c r="UOR68" s="2936"/>
      <c r="UOS68" s="2936"/>
      <c r="UOT68" s="2936"/>
      <c r="UOU68" s="2936"/>
      <c r="UOV68" s="2936"/>
      <c r="UOW68" s="2936"/>
      <c r="UOX68" s="2936"/>
      <c r="UOY68" s="2936"/>
      <c r="UOZ68" s="2936"/>
      <c r="UPA68" s="2936"/>
      <c r="UPB68" s="2936"/>
      <c r="UPC68" s="2936"/>
      <c r="UPD68" s="2936"/>
      <c r="UPE68" s="2936"/>
      <c r="UPF68" s="2936"/>
      <c r="UPG68" s="2936"/>
      <c r="UPH68" s="2936"/>
      <c r="UPI68" s="2936"/>
      <c r="UPJ68" s="2936"/>
      <c r="UPK68" s="2936"/>
      <c r="UPL68" s="2936"/>
      <c r="UPM68" s="2936"/>
      <c r="UPN68" s="2936"/>
      <c r="UPO68" s="2936"/>
      <c r="UPP68" s="2936"/>
      <c r="UPQ68" s="2936"/>
      <c r="UPR68" s="2936"/>
      <c r="UPS68" s="2936"/>
      <c r="UPT68" s="2936"/>
      <c r="UPU68" s="2936"/>
      <c r="UPV68" s="2936"/>
      <c r="UPW68" s="2936"/>
      <c r="UPX68" s="2936"/>
      <c r="UPY68" s="2936"/>
      <c r="UPZ68" s="2936"/>
      <c r="UQA68" s="2936"/>
      <c r="UQB68" s="2936"/>
      <c r="UQC68" s="2936"/>
      <c r="UQD68" s="2936"/>
      <c r="UQE68" s="2936"/>
      <c r="UQF68" s="2936"/>
      <c r="UQG68" s="2936"/>
      <c r="UQH68" s="2936"/>
      <c r="UQI68" s="2936"/>
      <c r="UQJ68" s="2936"/>
      <c r="UQK68" s="2936"/>
      <c r="UQL68" s="2936"/>
      <c r="UQM68" s="2936"/>
      <c r="UQN68" s="2936"/>
      <c r="UQO68" s="2936"/>
      <c r="UQP68" s="2936"/>
      <c r="UQQ68" s="2936"/>
      <c r="UQR68" s="2936"/>
      <c r="UQS68" s="2936"/>
      <c r="UQT68" s="2936"/>
      <c r="UQU68" s="2936"/>
      <c r="UQV68" s="2936"/>
      <c r="UQW68" s="2936"/>
      <c r="UQX68" s="2936"/>
      <c r="UQY68" s="2936"/>
      <c r="UQZ68" s="2936"/>
      <c r="URA68" s="2936"/>
      <c r="URB68" s="2936"/>
      <c r="URC68" s="2936"/>
      <c r="URD68" s="2936"/>
      <c r="URE68" s="2936"/>
      <c r="URF68" s="2936"/>
      <c r="URG68" s="2936"/>
      <c r="URH68" s="2936"/>
      <c r="URI68" s="2936"/>
      <c r="URJ68" s="2936"/>
      <c r="URK68" s="2936"/>
      <c r="URL68" s="2936"/>
      <c r="URM68" s="2936"/>
      <c r="URN68" s="2936"/>
      <c r="URO68" s="2936"/>
      <c r="URP68" s="2936"/>
      <c r="URQ68" s="2936"/>
      <c r="URR68" s="2936"/>
      <c r="URS68" s="2936"/>
      <c r="URT68" s="2936"/>
      <c r="URU68" s="2936"/>
      <c r="URV68" s="2936"/>
      <c r="URW68" s="2936"/>
      <c r="URX68" s="2936"/>
      <c r="URY68" s="2936"/>
      <c r="URZ68" s="2936"/>
      <c r="USA68" s="2936"/>
      <c r="USB68" s="2936"/>
      <c r="USC68" s="2936"/>
      <c r="USD68" s="2936"/>
      <c r="USE68" s="2936"/>
      <c r="USF68" s="2936"/>
      <c r="USG68" s="2936"/>
      <c r="USH68" s="2936"/>
      <c r="USI68" s="2936"/>
      <c r="USJ68" s="2936"/>
      <c r="USK68" s="2936"/>
      <c r="USL68" s="2936"/>
      <c r="USM68" s="2936"/>
      <c r="USN68" s="2936"/>
      <c r="USO68" s="2936"/>
      <c r="USP68" s="2936"/>
      <c r="USQ68" s="2936"/>
      <c r="USR68" s="2936"/>
      <c r="USS68" s="2936"/>
      <c r="UST68" s="2936"/>
      <c r="USU68" s="2936"/>
      <c r="USV68" s="2936"/>
      <c r="USW68" s="2936"/>
      <c r="USX68" s="2936"/>
      <c r="USY68" s="2936"/>
      <c r="USZ68" s="2936"/>
      <c r="UTA68" s="2936"/>
      <c r="UTB68" s="2936"/>
      <c r="UTC68" s="2936"/>
      <c r="UTD68" s="2936"/>
      <c r="UTE68" s="2936"/>
      <c r="UTF68" s="2936"/>
      <c r="UTG68" s="2936"/>
      <c r="UTH68" s="2936"/>
      <c r="UTI68" s="2936"/>
      <c r="UTJ68" s="2936"/>
      <c r="UTK68" s="2936"/>
      <c r="UTL68" s="2936"/>
      <c r="UTM68" s="2936"/>
      <c r="UTN68" s="2936"/>
      <c r="UTO68" s="2936"/>
      <c r="UTP68" s="2936"/>
      <c r="UTQ68" s="2936"/>
      <c r="UTR68" s="2936"/>
      <c r="UTS68" s="2936"/>
      <c r="UTT68" s="2936"/>
      <c r="UTU68" s="2936"/>
      <c r="UTV68" s="2936"/>
      <c r="UTW68" s="2936"/>
      <c r="UTX68" s="2936"/>
      <c r="UTY68" s="2936"/>
      <c r="UTZ68" s="2936"/>
      <c r="UUA68" s="2936"/>
      <c r="UUB68" s="2936"/>
      <c r="UUC68" s="2936"/>
      <c r="UUD68" s="2936"/>
      <c r="UUE68" s="2936"/>
      <c r="UUF68" s="2936"/>
      <c r="UUG68" s="2936"/>
      <c r="UUH68" s="2936"/>
      <c r="UUI68" s="2936"/>
      <c r="UUJ68" s="2936"/>
      <c r="UUK68" s="2936"/>
      <c r="UUL68" s="2936"/>
      <c r="UUM68" s="2936"/>
      <c r="UUN68" s="2936"/>
      <c r="UUO68" s="2936"/>
      <c r="UUP68" s="2936"/>
      <c r="UUQ68" s="2936"/>
      <c r="UUR68" s="2936"/>
      <c r="UUS68" s="2936"/>
      <c r="UUT68" s="2936"/>
      <c r="UUU68" s="2936"/>
      <c r="UUV68" s="2936"/>
      <c r="UUW68" s="2936"/>
      <c r="UUX68" s="2936"/>
      <c r="UUY68" s="2936"/>
      <c r="UUZ68" s="2936"/>
      <c r="UVA68" s="2936"/>
      <c r="UVB68" s="2936"/>
      <c r="UVC68" s="2936"/>
      <c r="UVD68" s="2936"/>
      <c r="UVE68" s="2936"/>
      <c r="UVF68" s="2936"/>
      <c r="UVG68" s="2936"/>
      <c r="UVH68" s="2936"/>
      <c r="UVI68" s="2936"/>
      <c r="UVJ68" s="2936"/>
      <c r="UVK68" s="2936"/>
      <c r="UVL68" s="2936"/>
      <c r="UVM68" s="2936"/>
      <c r="UVN68" s="2936"/>
      <c r="UVO68" s="2936"/>
      <c r="UVP68" s="2936"/>
      <c r="UVQ68" s="2936"/>
      <c r="UVR68" s="2936"/>
      <c r="UVS68" s="2936"/>
      <c r="UVT68" s="2936"/>
      <c r="UVU68" s="2936"/>
      <c r="UVV68" s="2936"/>
      <c r="UVW68" s="2936"/>
      <c r="UVX68" s="2936"/>
      <c r="UVY68" s="2936"/>
      <c r="UVZ68" s="2936"/>
      <c r="UWA68" s="2936"/>
      <c r="UWB68" s="2936"/>
      <c r="UWC68" s="2936"/>
      <c r="UWD68" s="2936"/>
      <c r="UWE68" s="2936"/>
      <c r="UWF68" s="2936"/>
      <c r="UWG68" s="2936"/>
      <c r="UWH68" s="2936"/>
      <c r="UWI68" s="2936"/>
      <c r="UWJ68" s="2936"/>
      <c r="UWK68" s="2936"/>
      <c r="UWL68" s="2936"/>
      <c r="UWM68" s="2936"/>
      <c r="UWN68" s="2936"/>
      <c r="UWO68" s="2936"/>
      <c r="UWP68" s="2936"/>
      <c r="UWQ68" s="2936"/>
      <c r="UWR68" s="2936"/>
      <c r="UWS68" s="2936"/>
      <c r="UWT68" s="2936"/>
      <c r="UWU68" s="2936"/>
      <c r="UWV68" s="2936"/>
      <c r="UWW68" s="2936"/>
      <c r="UWX68" s="2936"/>
      <c r="UWY68" s="2936"/>
      <c r="UWZ68" s="2936"/>
      <c r="UXA68" s="2936"/>
      <c r="UXB68" s="2936"/>
      <c r="UXC68" s="2936"/>
      <c r="UXD68" s="2936"/>
      <c r="UXE68" s="2936"/>
      <c r="UXF68" s="2936"/>
      <c r="UXG68" s="2936"/>
      <c r="UXH68" s="2936"/>
      <c r="UXI68" s="2936"/>
      <c r="UXJ68" s="2936"/>
      <c r="UXK68" s="2936"/>
      <c r="UXL68" s="2936"/>
      <c r="UXM68" s="2936"/>
      <c r="UXN68" s="2936"/>
      <c r="UXO68" s="2936"/>
      <c r="UXP68" s="2936"/>
      <c r="UXQ68" s="2936"/>
      <c r="UXR68" s="2936"/>
      <c r="UXS68" s="2936"/>
      <c r="UXT68" s="2936"/>
      <c r="UXU68" s="2936"/>
      <c r="UXV68" s="2936"/>
      <c r="UXW68" s="2936"/>
      <c r="UXX68" s="2936"/>
      <c r="UXY68" s="2936"/>
      <c r="UXZ68" s="2936"/>
      <c r="UYA68" s="2936"/>
      <c r="UYB68" s="2936"/>
      <c r="UYC68" s="2936"/>
      <c r="UYD68" s="2936"/>
      <c r="UYE68" s="2936"/>
      <c r="UYF68" s="2936"/>
      <c r="UYG68" s="2936"/>
      <c r="UYH68" s="2936"/>
      <c r="UYI68" s="2936"/>
      <c r="UYJ68" s="2936"/>
      <c r="UYK68" s="2936"/>
      <c r="UYL68" s="2936"/>
      <c r="UYM68" s="2936"/>
      <c r="UYN68" s="2936"/>
      <c r="UYO68" s="2936"/>
      <c r="UYP68" s="2936"/>
      <c r="UYQ68" s="2936"/>
      <c r="UYR68" s="2936"/>
      <c r="UYS68" s="2936"/>
      <c r="UYT68" s="2936"/>
      <c r="UYU68" s="2936"/>
      <c r="UYV68" s="2936"/>
      <c r="UYW68" s="2936"/>
      <c r="UYX68" s="2936"/>
      <c r="UYY68" s="2936"/>
      <c r="UYZ68" s="2936"/>
      <c r="UZA68" s="2936"/>
      <c r="UZB68" s="2936"/>
      <c r="UZC68" s="2936"/>
      <c r="UZD68" s="2936"/>
      <c r="UZE68" s="2936"/>
      <c r="UZF68" s="2936"/>
      <c r="UZG68" s="2936"/>
      <c r="UZH68" s="2936"/>
      <c r="UZI68" s="2936"/>
      <c r="UZJ68" s="2936"/>
      <c r="UZK68" s="2936"/>
      <c r="UZL68" s="2936"/>
      <c r="UZM68" s="2936"/>
      <c r="UZN68" s="2936"/>
      <c r="UZO68" s="2936"/>
      <c r="UZP68" s="2936"/>
      <c r="UZQ68" s="2936"/>
      <c r="UZR68" s="2936"/>
      <c r="UZS68" s="2936"/>
      <c r="UZT68" s="2936"/>
      <c r="UZU68" s="2936"/>
      <c r="UZV68" s="2936"/>
      <c r="UZW68" s="2936"/>
      <c r="UZX68" s="2936"/>
      <c r="UZY68" s="2936"/>
      <c r="UZZ68" s="2936"/>
      <c r="VAA68" s="2936"/>
      <c r="VAB68" s="2936"/>
      <c r="VAC68" s="2936"/>
      <c r="VAD68" s="2936"/>
      <c r="VAE68" s="2936"/>
      <c r="VAF68" s="2936"/>
      <c r="VAG68" s="2936"/>
      <c r="VAH68" s="2936"/>
      <c r="VAI68" s="2936"/>
      <c r="VAJ68" s="2936"/>
      <c r="VAK68" s="2936"/>
      <c r="VAL68" s="2936"/>
      <c r="VAM68" s="2936"/>
      <c r="VAN68" s="2936"/>
      <c r="VAO68" s="2936"/>
      <c r="VAP68" s="2936"/>
      <c r="VAQ68" s="2936"/>
      <c r="VAR68" s="2936"/>
      <c r="VAS68" s="2936"/>
      <c r="VAT68" s="2936"/>
      <c r="VAU68" s="2936"/>
      <c r="VAV68" s="2936"/>
      <c r="VAW68" s="2936"/>
      <c r="VAX68" s="2936"/>
      <c r="VAY68" s="2936"/>
      <c r="VAZ68" s="2936"/>
      <c r="VBA68" s="2936"/>
      <c r="VBB68" s="2936"/>
      <c r="VBC68" s="2936"/>
      <c r="VBD68" s="2936"/>
      <c r="VBE68" s="2936"/>
      <c r="VBF68" s="2936"/>
      <c r="VBG68" s="2936"/>
      <c r="VBH68" s="2936"/>
      <c r="VBI68" s="2936"/>
      <c r="VBJ68" s="2936"/>
      <c r="VBK68" s="2936"/>
      <c r="VBL68" s="2936"/>
      <c r="VBM68" s="2936"/>
      <c r="VBN68" s="2936"/>
      <c r="VBO68" s="2936"/>
      <c r="VBP68" s="2936"/>
      <c r="VBQ68" s="2936"/>
      <c r="VBR68" s="2936"/>
      <c r="VBS68" s="2936"/>
      <c r="VBT68" s="2936"/>
      <c r="VBU68" s="2936"/>
      <c r="VBV68" s="2936"/>
      <c r="VBW68" s="2936"/>
      <c r="VBX68" s="2936"/>
      <c r="VBY68" s="2936"/>
      <c r="VBZ68" s="2936"/>
      <c r="VCA68" s="2936"/>
      <c r="VCB68" s="2936"/>
      <c r="VCC68" s="2936"/>
      <c r="VCD68" s="2936"/>
      <c r="VCE68" s="2936"/>
      <c r="VCF68" s="2936"/>
      <c r="VCG68" s="2936"/>
      <c r="VCH68" s="2936"/>
      <c r="VCI68" s="2936"/>
      <c r="VCJ68" s="2936"/>
      <c r="VCK68" s="2936"/>
      <c r="VCL68" s="2936"/>
      <c r="VCM68" s="2936"/>
      <c r="VCN68" s="2936"/>
      <c r="VCO68" s="2936"/>
      <c r="VCP68" s="2936"/>
      <c r="VCQ68" s="2936"/>
      <c r="VCR68" s="2936"/>
      <c r="VCS68" s="2936"/>
      <c r="VCT68" s="2936"/>
      <c r="VCU68" s="2936"/>
      <c r="VCV68" s="2936"/>
      <c r="VCW68" s="2936"/>
      <c r="VCX68" s="2936"/>
      <c r="VCY68" s="2936"/>
      <c r="VCZ68" s="2936"/>
      <c r="VDA68" s="2936"/>
      <c r="VDB68" s="2936"/>
      <c r="VDC68" s="2936"/>
      <c r="VDD68" s="2936"/>
      <c r="VDE68" s="2936"/>
      <c r="VDF68" s="2936"/>
      <c r="VDG68" s="2936"/>
      <c r="VDH68" s="2936"/>
      <c r="VDI68" s="2936"/>
      <c r="VDJ68" s="2936"/>
      <c r="VDK68" s="2936"/>
      <c r="VDL68" s="2936"/>
      <c r="VDM68" s="2936"/>
      <c r="VDN68" s="2936"/>
      <c r="VDO68" s="2936"/>
      <c r="VDP68" s="2936"/>
      <c r="VDQ68" s="2936"/>
      <c r="VDR68" s="2936"/>
      <c r="VDS68" s="2936"/>
      <c r="VDT68" s="2936"/>
      <c r="VDU68" s="2936"/>
      <c r="VDV68" s="2936"/>
      <c r="VDW68" s="2936"/>
      <c r="VDX68" s="2936"/>
      <c r="VDY68" s="2936"/>
      <c r="VDZ68" s="2936"/>
      <c r="VEA68" s="2936"/>
      <c r="VEB68" s="2936"/>
      <c r="VEC68" s="2936"/>
      <c r="VED68" s="2936"/>
      <c r="VEE68" s="2936"/>
      <c r="VEF68" s="2936"/>
      <c r="VEG68" s="2936"/>
      <c r="VEH68" s="2936"/>
      <c r="VEI68" s="2936"/>
      <c r="VEJ68" s="2936"/>
      <c r="VEK68" s="2936"/>
      <c r="VEL68" s="2936"/>
      <c r="VEM68" s="2936"/>
      <c r="VEN68" s="2936"/>
      <c r="VEO68" s="2936"/>
      <c r="VEP68" s="2936"/>
      <c r="VEQ68" s="2936"/>
      <c r="VER68" s="2936"/>
      <c r="VES68" s="2936"/>
      <c r="VET68" s="2936"/>
      <c r="VEU68" s="2936"/>
      <c r="VEV68" s="2936"/>
      <c r="VEW68" s="2936"/>
      <c r="VEX68" s="2936"/>
      <c r="VEY68" s="2936"/>
      <c r="VEZ68" s="2936"/>
      <c r="VFA68" s="2936"/>
      <c r="VFB68" s="2936"/>
      <c r="VFC68" s="2936"/>
      <c r="VFD68" s="2936"/>
      <c r="VFE68" s="2936"/>
      <c r="VFF68" s="2936"/>
      <c r="VFG68" s="2936"/>
      <c r="VFH68" s="2936"/>
      <c r="VFI68" s="2936"/>
      <c r="VFJ68" s="2936"/>
      <c r="VFK68" s="2936"/>
      <c r="VFL68" s="2936"/>
      <c r="VFM68" s="2936"/>
      <c r="VFN68" s="2936"/>
      <c r="VFO68" s="2936"/>
      <c r="VFP68" s="2936"/>
      <c r="VFQ68" s="2936"/>
      <c r="VFR68" s="2936"/>
      <c r="VFS68" s="2936"/>
      <c r="VFT68" s="2936"/>
      <c r="VFU68" s="2936"/>
      <c r="VFV68" s="2936"/>
      <c r="VFW68" s="2936"/>
      <c r="VFX68" s="2936"/>
      <c r="VFY68" s="2936"/>
      <c r="VFZ68" s="2936"/>
      <c r="VGA68" s="2936"/>
      <c r="VGB68" s="2936"/>
      <c r="VGC68" s="2936"/>
      <c r="VGD68" s="2936"/>
      <c r="VGE68" s="2936"/>
      <c r="VGF68" s="2936"/>
      <c r="VGG68" s="2936"/>
      <c r="VGH68" s="2936"/>
      <c r="VGI68" s="2936"/>
      <c r="VGJ68" s="2936"/>
      <c r="VGK68" s="2936"/>
      <c r="VGL68" s="2936"/>
      <c r="VGM68" s="2936"/>
      <c r="VGN68" s="2936"/>
      <c r="VGO68" s="2936"/>
      <c r="VGP68" s="2936"/>
      <c r="VGQ68" s="2936"/>
      <c r="VGR68" s="2936"/>
      <c r="VGS68" s="2936"/>
      <c r="VGT68" s="2936"/>
      <c r="VGU68" s="2936"/>
      <c r="VGV68" s="2936"/>
      <c r="VGW68" s="2936"/>
      <c r="VGX68" s="2936"/>
      <c r="VGY68" s="2936"/>
      <c r="VGZ68" s="2936"/>
      <c r="VHA68" s="2936"/>
      <c r="VHB68" s="2936"/>
      <c r="VHC68" s="2936"/>
      <c r="VHD68" s="2936"/>
      <c r="VHE68" s="2936"/>
      <c r="VHF68" s="2936"/>
      <c r="VHG68" s="2936"/>
      <c r="VHH68" s="2936"/>
      <c r="VHI68" s="2936"/>
      <c r="VHJ68" s="2936"/>
      <c r="VHK68" s="2936"/>
      <c r="VHL68" s="2936"/>
      <c r="VHM68" s="2936"/>
      <c r="VHN68" s="2936"/>
      <c r="VHO68" s="2936"/>
      <c r="VHP68" s="2936"/>
      <c r="VHQ68" s="2936"/>
      <c r="VHR68" s="2936"/>
      <c r="VHS68" s="2936"/>
      <c r="VHT68" s="2936"/>
      <c r="VHU68" s="2936"/>
      <c r="VHV68" s="2936"/>
      <c r="VHW68" s="2936"/>
      <c r="VHX68" s="2936"/>
      <c r="VHY68" s="2936"/>
      <c r="VHZ68" s="2936"/>
      <c r="VIA68" s="2936"/>
      <c r="VIB68" s="2936"/>
      <c r="VIC68" s="2936"/>
      <c r="VID68" s="2936"/>
      <c r="VIE68" s="2936"/>
      <c r="VIF68" s="2936"/>
      <c r="VIG68" s="2936"/>
      <c r="VIH68" s="2936"/>
      <c r="VII68" s="2936"/>
      <c r="VIJ68" s="2936"/>
      <c r="VIK68" s="2936"/>
      <c r="VIL68" s="2936"/>
      <c r="VIM68" s="2936"/>
      <c r="VIN68" s="2936"/>
      <c r="VIO68" s="2936"/>
      <c r="VIP68" s="2936"/>
      <c r="VIQ68" s="2936"/>
      <c r="VIR68" s="2936"/>
      <c r="VIS68" s="2936"/>
      <c r="VIT68" s="2936"/>
      <c r="VIU68" s="2936"/>
      <c r="VIV68" s="2936"/>
      <c r="VIW68" s="2936"/>
      <c r="VIX68" s="2936"/>
      <c r="VIY68" s="2936"/>
      <c r="VIZ68" s="2936"/>
      <c r="VJA68" s="2936"/>
      <c r="VJB68" s="2936"/>
      <c r="VJC68" s="2936"/>
      <c r="VJD68" s="2936"/>
      <c r="VJE68" s="2936"/>
      <c r="VJF68" s="2936"/>
      <c r="VJG68" s="2936"/>
      <c r="VJH68" s="2936"/>
      <c r="VJI68" s="2936"/>
      <c r="VJJ68" s="2936"/>
      <c r="VJK68" s="2936"/>
      <c r="VJL68" s="2936"/>
      <c r="VJM68" s="2936"/>
      <c r="VJN68" s="2936"/>
      <c r="VJO68" s="2936"/>
      <c r="VJP68" s="2936"/>
      <c r="VJQ68" s="2936"/>
      <c r="VJR68" s="2936"/>
      <c r="VJS68" s="2936"/>
      <c r="VJT68" s="2936"/>
      <c r="VJU68" s="2936"/>
      <c r="VJV68" s="2936"/>
      <c r="VJW68" s="2936"/>
      <c r="VJX68" s="2936"/>
      <c r="VJY68" s="2936"/>
      <c r="VJZ68" s="2936"/>
      <c r="VKA68" s="2936"/>
      <c r="VKB68" s="2936"/>
      <c r="VKC68" s="2936"/>
      <c r="VKD68" s="2936"/>
      <c r="VKE68" s="2936"/>
      <c r="VKF68" s="2936"/>
      <c r="VKG68" s="2936"/>
      <c r="VKH68" s="2936"/>
      <c r="VKI68" s="2936"/>
      <c r="VKJ68" s="2936"/>
      <c r="VKK68" s="2936"/>
      <c r="VKL68" s="2936"/>
      <c r="VKM68" s="2936"/>
      <c r="VKN68" s="2936"/>
      <c r="VKO68" s="2936"/>
      <c r="VKP68" s="2936"/>
      <c r="VKQ68" s="2936"/>
      <c r="VKR68" s="2936"/>
      <c r="VKS68" s="2936"/>
      <c r="VKT68" s="2936"/>
      <c r="VKU68" s="2936"/>
      <c r="VKV68" s="2936"/>
      <c r="VKW68" s="2936"/>
      <c r="VKX68" s="2936"/>
      <c r="VKY68" s="2936"/>
      <c r="VKZ68" s="2936"/>
      <c r="VLA68" s="2936"/>
      <c r="VLB68" s="2936"/>
      <c r="VLC68" s="2936"/>
      <c r="VLD68" s="2936"/>
      <c r="VLE68" s="2936"/>
      <c r="VLF68" s="2936"/>
      <c r="VLG68" s="2936"/>
      <c r="VLH68" s="2936"/>
      <c r="VLI68" s="2936"/>
      <c r="VLJ68" s="2936"/>
      <c r="VLK68" s="2936"/>
      <c r="VLL68" s="2936"/>
      <c r="VLM68" s="2936"/>
      <c r="VLN68" s="2936"/>
      <c r="VLO68" s="2936"/>
      <c r="VLP68" s="2936"/>
      <c r="VLQ68" s="2936"/>
      <c r="VLR68" s="2936"/>
      <c r="VLS68" s="2936"/>
      <c r="VLT68" s="2936"/>
      <c r="VLU68" s="2936"/>
      <c r="VLV68" s="2936"/>
      <c r="VLW68" s="2936"/>
      <c r="VLX68" s="2936"/>
      <c r="VLY68" s="2936"/>
      <c r="VLZ68" s="2936"/>
      <c r="VMA68" s="2936"/>
      <c r="VMB68" s="2936"/>
      <c r="VMC68" s="2936"/>
      <c r="VMD68" s="2936"/>
      <c r="VME68" s="2936"/>
      <c r="VMF68" s="2936"/>
      <c r="VMG68" s="2936"/>
      <c r="VMH68" s="2936"/>
      <c r="VMI68" s="2936"/>
      <c r="VMJ68" s="2936"/>
      <c r="VMK68" s="2936"/>
      <c r="VML68" s="2936"/>
      <c r="VMM68" s="2936"/>
      <c r="VMN68" s="2936"/>
      <c r="VMO68" s="2936"/>
      <c r="VMP68" s="2936"/>
      <c r="VMQ68" s="2936"/>
      <c r="VMR68" s="2936"/>
      <c r="VMS68" s="2936"/>
      <c r="VMT68" s="2936"/>
      <c r="VMU68" s="2936"/>
      <c r="VMV68" s="2936"/>
      <c r="VMW68" s="2936"/>
      <c r="VMX68" s="2936"/>
      <c r="VMY68" s="2936"/>
      <c r="VMZ68" s="2936"/>
      <c r="VNA68" s="2936"/>
      <c r="VNB68" s="2936"/>
      <c r="VNC68" s="2936"/>
      <c r="VND68" s="2936"/>
      <c r="VNE68" s="2936"/>
      <c r="VNF68" s="2936"/>
      <c r="VNG68" s="2936"/>
      <c r="VNH68" s="2936"/>
      <c r="VNI68" s="2936"/>
      <c r="VNJ68" s="2936"/>
      <c r="VNK68" s="2936"/>
      <c r="VNL68" s="2936"/>
      <c r="VNM68" s="2936"/>
      <c r="VNN68" s="2936"/>
      <c r="VNO68" s="2936"/>
      <c r="VNP68" s="2936"/>
      <c r="VNQ68" s="2936"/>
      <c r="VNR68" s="2936"/>
      <c r="VNS68" s="2936"/>
      <c r="VNT68" s="2936"/>
      <c r="VNU68" s="2936"/>
      <c r="VNV68" s="2936"/>
      <c r="VNW68" s="2936"/>
      <c r="VNX68" s="2936"/>
      <c r="VNY68" s="2936"/>
      <c r="VNZ68" s="2936"/>
      <c r="VOA68" s="2936"/>
      <c r="VOB68" s="2936"/>
      <c r="VOC68" s="2936"/>
      <c r="VOD68" s="2936"/>
      <c r="VOE68" s="2936"/>
      <c r="VOF68" s="2936"/>
      <c r="VOG68" s="2936"/>
      <c r="VOH68" s="2936"/>
      <c r="VOI68" s="2936"/>
      <c r="VOJ68" s="2936"/>
      <c r="VOK68" s="2936"/>
      <c r="VOL68" s="2936"/>
      <c r="VOM68" s="2936"/>
      <c r="VON68" s="2936"/>
      <c r="VOO68" s="2936"/>
      <c r="VOP68" s="2936"/>
      <c r="VOQ68" s="2936"/>
      <c r="VOR68" s="2936"/>
      <c r="VOS68" s="2936"/>
      <c r="VOT68" s="2936"/>
      <c r="VOU68" s="2936"/>
      <c r="VOV68" s="2936"/>
      <c r="VOW68" s="2936"/>
      <c r="VOX68" s="2936"/>
      <c r="VOY68" s="2936"/>
      <c r="VOZ68" s="2936"/>
      <c r="VPA68" s="2936"/>
      <c r="VPB68" s="2936"/>
      <c r="VPC68" s="2936"/>
      <c r="VPD68" s="2936"/>
      <c r="VPE68" s="2936"/>
      <c r="VPF68" s="2936"/>
      <c r="VPG68" s="2936"/>
      <c r="VPH68" s="2936"/>
      <c r="VPI68" s="2936"/>
      <c r="VPJ68" s="2936"/>
      <c r="VPK68" s="2936"/>
      <c r="VPL68" s="2936"/>
      <c r="VPM68" s="2936"/>
      <c r="VPN68" s="2936"/>
      <c r="VPO68" s="2936"/>
      <c r="VPP68" s="2936"/>
      <c r="VPQ68" s="2936"/>
      <c r="VPR68" s="2936"/>
      <c r="VPS68" s="2936"/>
      <c r="VPT68" s="2936"/>
      <c r="VPU68" s="2936"/>
      <c r="VPV68" s="2936"/>
      <c r="VPW68" s="2936"/>
      <c r="VPX68" s="2936"/>
      <c r="VPY68" s="2936"/>
      <c r="VPZ68" s="2936"/>
      <c r="VQA68" s="2936"/>
      <c r="VQB68" s="2936"/>
      <c r="VQC68" s="2936"/>
      <c r="VQD68" s="2936"/>
      <c r="VQE68" s="2936"/>
      <c r="VQF68" s="2936"/>
      <c r="VQG68" s="2936"/>
      <c r="VQH68" s="2936"/>
      <c r="VQI68" s="2936"/>
      <c r="VQJ68" s="2936"/>
      <c r="VQK68" s="2936"/>
      <c r="VQL68" s="2936"/>
      <c r="VQM68" s="2936"/>
      <c r="VQN68" s="2936"/>
      <c r="VQO68" s="2936"/>
      <c r="VQP68" s="2936"/>
      <c r="VQQ68" s="2936"/>
      <c r="VQR68" s="2936"/>
      <c r="VQS68" s="2936"/>
      <c r="VQT68" s="2936"/>
      <c r="VQU68" s="2936"/>
      <c r="VQV68" s="2936"/>
      <c r="VQW68" s="2936"/>
      <c r="VQX68" s="2936"/>
      <c r="VQY68" s="2936"/>
      <c r="VQZ68" s="2936"/>
      <c r="VRA68" s="2936"/>
      <c r="VRB68" s="2936"/>
      <c r="VRC68" s="2936"/>
      <c r="VRD68" s="2936"/>
      <c r="VRE68" s="2936"/>
      <c r="VRF68" s="2936"/>
      <c r="VRG68" s="2936"/>
      <c r="VRH68" s="2936"/>
      <c r="VRI68" s="2936"/>
      <c r="VRJ68" s="2936"/>
      <c r="VRK68" s="2936"/>
      <c r="VRL68" s="2936"/>
      <c r="VRM68" s="2936"/>
      <c r="VRN68" s="2936"/>
      <c r="VRO68" s="2936"/>
      <c r="VRP68" s="2936"/>
      <c r="VRQ68" s="2936"/>
      <c r="VRR68" s="2936"/>
      <c r="VRS68" s="2936"/>
      <c r="VRT68" s="2936"/>
      <c r="VRU68" s="2936"/>
      <c r="VRV68" s="2936"/>
      <c r="VRW68" s="2936"/>
      <c r="VRX68" s="2936"/>
      <c r="VRY68" s="2936"/>
      <c r="VRZ68" s="2936"/>
      <c r="VSA68" s="2936"/>
      <c r="VSB68" s="2936"/>
      <c r="VSC68" s="2936"/>
      <c r="VSD68" s="2936"/>
      <c r="VSE68" s="2936"/>
      <c r="VSF68" s="2936"/>
      <c r="VSG68" s="2936"/>
      <c r="VSH68" s="2936"/>
      <c r="VSI68" s="2936"/>
      <c r="VSJ68" s="2936"/>
      <c r="VSK68" s="2936"/>
      <c r="VSL68" s="2936"/>
      <c r="VSM68" s="2936"/>
      <c r="VSN68" s="2936"/>
      <c r="VSO68" s="2936"/>
      <c r="VSP68" s="2936"/>
      <c r="VSQ68" s="2936"/>
      <c r="VSR68" s="2936"/>
      <c r="VSS68" s="2936"/>
      <c r="VST68" s="2936"/>
      <c r="VSU68" s="2936"/>
      <c r="VSV68" s="2936"/>
      <c r="VSW68" s="2936"/>
      <c r="VSX68" s="2936"/>
      <c r="VSY68" s="2936"/>
      <c r="VSZ68" s="2936"/>
      <c r="VTA68" s="2936"/>
      <c r="VTB68" s="2936"/>
      <c r="VTC68" s="2936"/>
      <c r="VTD68" s="2936"/>
      <c r="VTE68" s="2936"/>
      <c r="VTF68" s="2936"/>
      <c r="VTG68" s="2936"/>
      <c r="VTH68" s="2936"/>
      <c r="VTI68" s="2936"/>
      <c r="VTJ68" s="2936"/>
      <c r="VTK68" s="2936"/>
      <c r="VTL68" s="2936"/>
      <c r="VTM68" s="2936"/>
      <c r="VTN68" s="2936"/>
      <c r="VTO68" s="2936"/>
      <c r="VTP68" s="2936"/>
      <c r="VTQ68" s="2936"/>
      <c r="VTR68" s="2936"/>
      <c r="VTS68" s="2936"/>
      <c r="VTT68" s="2936"/>
      <c r="VTU68" s="2936"/>
      <c r="VTV68" s="2936"/>
      <c r="VTW68" s="2936"/>
      <c r="VTX68" s="2936"/>
      <c r="VTY68" s="2936"/>
      <c r="VTZ68" s="2936"/>
      <c r="VUA68" s="2936"/>
      <c r="VUB68" s="2936"/>
      <c r="VUC68" s="2936"/>
      <c r="VUD68" s="2936"/>
      <c r="VUE68" s="2936"/>
      <c r="VUF68" s="2936"/>
      <c r="VUG68" s="2936"/>
      <c r="VUH68" s="2936"/>
      <c r="VUI68" s="2936"/>
      <c r="VUJ68" s="2936"/>
      <c r="VUK68" s="2936"/>
      <c r="VUL68" s="2936"/>
      <c r="VUM68" s="2936"/>
      <c r="VUN68" s="2936"/>
      <c r="VUO68" s="2936"/>
      <c r="VUP68" s="2936"/>
      <c r="VUQ68" s="2936"/>
      <c r="VUR68" s="2936"/>
      <c r="VUS68" s="2936"/>
      <c r="VUT68" s="2936"/>
      <c r="VUU68" s="2936"/>
      <c r="VUV68" s="2936"/>
      <c r="VUW68" s="2936"/>
      <c r="VUX68" s="2936"/>
      <c r="VUY68" s="2936"/>
      <c r="VUZ68" s="2936"/>
      <c r="VVA68" s="2936"/>
      <c r="VVB68" s="2936"/>
      <c r="VVC68" s="2936"/>
      <c r="VVD68" s="2936"/>
      <c r="VVE68" s="2936"/>
      <c r="VVF68" s="2936"/>
      <c r="VVG68" s="2936"/>
      <c r="VVH68" s="2936"/>
      <c r="VVI68" s="2936"/>
      <c r="VVJ68" s="2936"/>
      <c r="VVK68" s="2936"/>
      <c r="VVL68" s="2936"/>
      <c r="VVM68" s="2936"/>
      <c r="VVN68" s="2936"/>
      <c r="VVO68" s="2936"/>
      <c r="VVP68" s="2936"/>
      <c r="VVQ68" s="2936"/>
      <c r="VVR68" s="2936"/>
      <c r="VVS68" s="2936"/>
      <c r="VVT68" s="2936"/>
      <c r="VVU68" s="2936"/>
      <c r="VVV68" s="2936"/>
      <c r="VVW68" s="2936"/>
      <c r="VVX68" s="2936"/>
      <c r="VVY68" s="2936"/>
      <c r="VVZ68" s="2936"/>
      <c r="VWA68" s="2936"/>
      <c r="VWB68" s="2936"/>
      <c r="VWC68" s="2936"/>
      <c r="VWD68" s="2936"/>
      <c r="VWE68" s="2936"/>
      <c r="VWF68" s="2936"/>
      <c r="VWG68" s="2936"/>
      <c r="VWH68" s="2936"/>
      <c r="VWI68" s="2936"/>
      <c r="VWJ68" s="2936"/>
      <c r="VWK68" s="2936"/>
      <c r="VWL68" s="2936"/>
      <c r="VWM68" s="2936"/>
      <c r="VWN68" s="2936"/>
      <c r="VWO68" s="2936"/>
      <c r="VWP68" s="2936"/>
      <c r="VWQ68" s="2936"/>
      <c r="VWR68" s="2936"/>
      <c r="VWS68" s="2936"/>
      <c r="VWT68" s="2936"/>
      <c r="VWU68" s="2936"/>
      <c r="VWV68" s="2936"/>
      <c r="VWW68" s="2936"/>
      <c r="VWX68" s="2936"/>
      <c r="VWY68" s="2936"/>
      <c r="VWZ68" s="2936"/>
      <c r="VXA68" s="2936"/>
      <c r="VXB68" s="2936"/>
      <c r="VXC68" s="2936"/>
      <c r="VXD68" s="2936"/>
      <c r="VXE68" s="2936"/>
      <c r="VXF68" s="2936"/>
      <c r="VXG68" s="2936"/>
      <c r="VXH68" s="2936"/>
      <c r="VXI68" s="2936"/>
      <c r="VXJ68" s="2936"/>
      <c r="VXK68" s="2936"/>
      <c r="VXL68" s="2936"/>
      <c r="VXM68" s="2936"/>
      <c r="VXN68" s="2936"/>
      <c r="VXO68" s="2936"/>
      <c r="VXP68" s="2936"/>
      <c r="VXQ68" s="2936"/>
      <c r="VXR68" s="2936"/>
      <c r="VXS68" s="2936"/>
      <c r="VXT68" s="2936"/>
      <c r="VXU68" s="2936"/>
      <c r="VXV68" s="2936"/>
      <c r="VXW68" s="2936"/>
      <c r="VXX68" s="2936"/>
      <c r="VXY68" s="2936"/>
      <c r="VXZ68" s="2936"/>
      <c r="VYA68" s="2936"/>
      <c r="VYB68" s="2936"/>
      <c r="VYC68" s="2936"/>
      <c r="VYD68" s="2936"/>
      <c r="VYE68" s="2936"/>
      <c r="VYF68" s="2936"/>
      <c r="VYG68" s="2936"/>
      <c r="VYH68" s="2936"/>
      <c r="VYI68" s="2936"/>
      <c r="VYJ68" s="2936"/>
      <c r="VYK68" s="2936"/>
      <c r="VYL68" s="2936"/>
      <c r="VYM68" s="2936"/>
      <c r="VYN68" s="2936"/>
      <c r="VYO68" s="2936"/>
      <c r="VYP68" s="2936"/>
      <c r="VYQ68" s="2936"/>
      <c r="VYR68" s="2936"/>
      <c r="VYS68" s="2936"/>
      <c r="VYT68" s="2936"/>
      <c r="VYU68" s="2936"/>
      <c r="VYV68" s="2936"/>
      <c r="VYW68" s="2936"/>
      <c r="VYX68" s="2936"/>
      <c r="VYY68" s="2936"/>
      <c r="VYZ68" s="2936"/>
      <c r="VZA68" s="2936"/>
      <c r="VZB68" s="2936"/>
      <c r="VZC68" s="2936"/>
      <c r="VZD68" s="2936"/>
      <c r="VZE68" s="2936"/>
      <c r="VZF68" s="2936"/>
      <c r="VZG68" s="2936"/>
      <c r="VZH68" s="2936"/>
      <c r="VZI68" s="2936"/>
      <c r="VZJ68" s="2936"/>
      <c r="VZK68" s="2936"/>
      <c r="VZL68" s="2936"/>
      <c r="VZM68" s="2936"/>
      <c r="VZN68" s="2936"/>
      <c r="VZO68" s="2936"/>
      <c r="VZP68" s="2936"/>
      <c r="VZQ68" s="2936"/>
      <c r="VZR68" s="2936"/>
      <c r="VZS68" s="2936"/>
      <c r="VZT68" s="2936"/>
      <c r="VZU68" s="2936"/>
      <c r="VZV68" s="2936"/>
      <c r="VZW68" s="2936"/>
      <c r="VZX68" s="2936"/>
      <c r="VZY68" s="2936"/>
      <c r="VZZ68" s="2936"/>
      <c r="WAA68" s="2936"/>
      <c r="WAB68" s="2936"/>
      <c r="WAC68" s="2936"/>
      <c r="WAD68" s="2936"/>
      <c r="WAE68" s="2936"/>
      <c r="WAF68" s="2936"/>
      <c r="WAG68" s="2936"/>
      <c r="WAH68" s="2936"/>
      <c r="WAI68" s="2936"/>
      <c r="WAJ68" s="2936"/>
      <c r="WAK68" s="2936"/>
      <c r="WAL68" s="2936"/>
      <c r="WAM68" s="2936"/>
      <c r="WAN68" s="2936"/>
      <c r="WAO68" s="2936"/>
      <c r="WAP68" s="2936"/>
      <c r="WAQ68" s="2936"/>
      <c r="WAR68" s="2936"/>
      <c r="WAS68" s="2936"/>
      <c r="WAT68" s="2936"/>
      <c r="WAU68" s="2936"/>
      <c r="WAV68" s="2936"/>
      <c r="WAW68" s="2936"/>
      <c r="WAX68" s="2936"/>
      <c r="WAY68" s="2936"/>
      <c r="WAZ68" s="2936"/>
      <c r="WBA68" s="2936"/>
      <c r="WBB68" s="2936"/>
      <c r="WBC68" s="2936"/>
      <c r="WBD68" s="2936"/>
      <c r="WBE68" s="2936"/>
      <c r="WBF68" s="2936"/>
      <c r="WBG68" s="2936"/>
      <c r="WBH68" s="2936"/>
      <c r="WBI68" s="2936"/>
      <c r="WBJ68" s="2936"/>
      <c r="WBK68" s="2936"/>
      <c r="WBL68" s="2936"/>
      <c r="WBM68" s="2936"/>
      <c r="WBN68" s="2936"/>
      <c r="WBO68" s="2936"/>
      <c r="WBP68" s="2936"/>
      <c r="WBQ68" s="2936"/>
      <c r="WBR68" s="2936"/>
      <c r="WBS68" s="2936"/>
      <c r="WBT68" s="2936"/>
      <c r="WBU68" s="2936"/>
      <c r="WBV68" s="2936"/>
      <c r="WBW68" s="2936"/>
      <c r="WBX68" s="2936"/>
      <c r="WBY68" s="2936"/>
      <c r="WBZ68" s="2936"/>
      <c r="WCA68" s="2936"/>
      <c r="WCB68" s="2936"/>
      <c r="WCC68" s="2936"/>
      <c r="WCD68" s="2936"/>
      <c r="WCE68" s="2936"/>
      <c r="WCF68" s="2936"/>
      <c r="WCG68" s="2936"/>
      <c r="WCH68" s="2936"/>
      <c r="WCI68" s="2936"/>
      <c r="WCJ68" s="2936"/>
      <c r="WCK68" s="2936"/>
      <c r="WCL68" s="2936"/>
      <c r="WCM68" s="2936"/>
      <c r="WCN68" s="2936"/>
      <c r="WCO68" s="2936"/>
      <c r="WCP68" s="2936"/>
      <c r="WCQ68" s="2936"/>
      <c r="WCR68" s="2936"/>
      <c r="WCS68" s="2936"/>
      <c r="WCT68" s="2936"/>
      <c r="WCU68" s="2936"/>
      <c r="WCV68" s="2936"/>
      <c r="WCW68" s="2936"/>
      <c r="WCX68" s="2936"/>
      <c r="WCY68" s="2936"/>
      <c r="WCZ68" s="2936"/>
      <c r="WDA68" s="2936"/>
      <c r="WDB68" s="2936"/>
      <c r="WDC68" s="2936"/>
      <c r="WDD68" s="2936"/>
      <c r="WDE68" s="2936"/>
      <c r="WDF68" s="2936"/>
      <c r="WDG68" s="2936"/>
      <c r="WDH68" s="2936"/>
      <c r="WDI68" s="2936"/>
      <c r="WDJ68" s="2936"/>
      <c r="WDK68" s="2936"/>
      <c r="WDL68" s="2936"/>
      <c r="WDM68" s="2936"/>
      <c r="WDN68" s="2936"/>
      <c r="WDO68" s="2936"/>
      <c r="WDP68" s="2936"/>
      <c r="WDQ68" s="2936"/>
      <c r="WDR68" s="2936"/>
      <c r="WDS68" s="2936"/>
      <c r="WDT68" s="2936"/>
      <c r="WDU68" s="2936"/>
      <c r="WDV68" s="2936"/>
      <c r="WDW68" s="2936"/>
      <c r="WDX68" s="2936"/>
      <c r="WDY68" s="2936"/>
      <c r="WDZ68" s="2936"/>
      <c r="WEA68" s="2936"/>
      <c r="WEB68" s="2936"/>
      <c r="WEC68" s="2936"/>
      <c r="WED68" s="2936"/>
      <c r="WEE68" s="2936"/>
      <c r="WEF68" s="2936"/>
      <c r="WEG68" s="2936"/>
      <c r="WEH68" s="2936"/>
      <c r="WEI68" s="2936"/>
      <c r="WEJ68" s="2936"/>
      <c r="WEK68" s="2936"/>
      <c r="WEL68" s="2936"/>
      <c r="WEM68" s="2936"/>
      <c r="WEN68" s="2936"/>
      <c r="WEO68" s="2936"/>
      <c r="WEP68" s="2936"/>
      <c r="WEQ68" s="2936"/>
      <c r="WER68" s="2936"/>
      <c r="WES68" s="2936"/>
      <c r="WET68" s="2936"/>
      <c r="WEU68" s="2936"/>
      <c r="WEV68" s="2936"/>
      <c r="WEW68" s="2936"/>
      <c r="WEX68" s="2936"/>
      <c r="WEY68" s="2936"/>
      <c r="WEZ68" s="2936"/>
      <c r="WFA68" s="2936"/>
      <c r="WFB68" s="2936"/>
      <c r="WFC68" s="2936"/>
      <c r="WFD68" s="2936"/>
      <c r="WFE68" s="2936"/>
      <c r="WFF68" s="2936"/>
      <c r="WFG68" s="2936"/>
      <c r="WFH68" s="2936"/>
      <c r="WFI68" s="2936"/>
      <c r="WFJ68" s="2936"/>
      <c r="WFK68" s="2936"/>
      <c r="WFL68" s="2936"/>
      <c r="WFM68" s="2936"/>
      <c r="WFN68" s="2936"/>
      <c r="WFO68" s="2936"/>
      <c r="WFP68" s="2936"/>
      <c r="WFQ68" s="2936"/>
      <c r="WFR68" s="2936"/>
      <c r="WFS68" s="2936"/>
      <c r="WFT68" s="2936"/>
      <c r="WFU68" s="2936"/>
      <c r="WFV68" s="2936"/>
      <c r="WFW68" s="2936"/>
      <c r="WFX68" s="2936"/>
      <c r="WFY68" s="2936"/>
      <c r="WFZ68" s="2936"/>
      <c r="WGA68" s="2936"/>
      <c r="WGB68" s="2936"/>
      <c r="WGC68" s="2936"/>
      <c r="WGD68" s="2936"/>
      <c r="WGE68" s="2936"/>
      <c r="WGF68" s="2936"/>
      <c r="WGG68" s="2936"/>
      <c r="WGH68" s="2936"/>
      <c r="WGI68" s="2936"/>
      <c r="WGJ68" s="2936"/>
      <c r="WGK68" s="2936"/>
      <c r="WGL68" s="2936"/>
      <c r="WGM68" s="2936"/>
      <c r="WGN68" s="2936"/>
      <c r="WGO68" s="2936"/>
      <c r="WGP68" s="2936"/>
      <c r="WGQ68" s="2936"/>
      <c r="WGR68" s="2936"/>
      <c r="WGS68" s="2936"/>
      <c r="WGT68" s="2936"/>
      <c r="WGU68" s="2936"/>
      <c r="WGV68" s="2936"/>
      <c r="WGW68" s="2936"/>
      <c r="WGX68" s="2936"/>
      <c r="WGY68" s="2936"/>
      <c r="WGZ68" s="2936"/>
      <c r="WHA68" s="2936"/>
      <c r="WHB68" s="2936"/>
      <c r="WHC68" s="2936"/>
      <c r="WHD68" s="2936"/>
      <c r="WHE68" s="2936"/>
      <c r="WHF68" s="2936"/>
      <c r="WHG68" s="2936"/>
      <c r="WHH68" s="2936"/>
      <c r="WHI68" s="2936"/>
      <c r="WHJ68" s="2936"/>
      <c r="WHK68" s="2936"/>
      <c r="WHL68" s="2936"/>
      <c r="WHM68" s="2936"/>
      <c r="WHN68" s="2936"/>
      <c r="WHO68" s="2936"/>
      <c r="WHP68" s="2936"/>
      <c r="WHQ68" s="2936"/>
      <c r="WHR68" s="2936"/>
      <c r="WHS68" s="2936"/>
      <c r="WHT68" s="2936"/>
      <c r="WHU68" s="2936"/>
      <c r="WHV68" s="2936"/>
      <c r="WHW68" s="2936"/>
      <c r="WHX68" s="2936"/>
      <c r="WHY68" s="2936"/>
      <c r="WHZ68" s="2936"/>
      <c r="WIA68" s="2936"/>
      <c r="WIB68" s="2936"/>
      <c r="WIC68" s="2936"/>
      <c r="WID68" s="2936"/>
      <c r="WIE68" s="2936"/>
      <c r="WIF68" s="2936"/>
      <c r="WIG68" s="2936"/>
      <c r="WIH68" s="2936"/>
      <c r="WII68" s="2936"/>
      <c r="WIJ68" s="2936"/>
      <c r="WIK68" s="2936"/>
      <c r="WIL68" s="2936"/>
      <c r="WIM68" s="2936"/>
      <c r="WIN68" s="2936"/>
      <c r="WIO68" s="2936"/>
      <c r="WIP68" s="2936"/>
      <c r="WIQ68" s="2936"/>
      <c r="WIR68" s="2936"/>
      <c r="WIS68" s="2936"/>
      <c r="WIT68" s="2936"/>
      <c r="WIU68" s="2936"/>
      <c r="WIV68" s="2936"/>
      <c r="WIW68" s="2936"/>
      <c r="WIX68" s="2936"/>
      <c r="WIY68" s="2936"/>
      <c r="WIZ68" s="2936"/>
      <c r="WJA68" s="2936"/>
      <c r="WJB68" s="2936"/>
      <c r="WJC68" s="2936"/>
      <c r="WJD68" s="2936"/>
      <c r="WJE68" s="2936"/>
      <c r="WJF68" s="2936"/>
      <c r="WJG68" s="2936"/>
      <c r="WJH68" s="2936"/>
      <c r="WJI68" s="2936"/>
      <c r="WJJ68" s="2936"/>
      <c r="WJK68" s="2936"/>
      <c r="WJL68" s="2936"/>
      <c r="WJM68" s="2936"/>
      <c r="WJN68" s="2936"/>
      <c r="WJO68" s="2936"/>
      <c r="WJP68" s="2936"/>
      <c r="WJQ68" s="2936"/>
      <c r="WJR68" s="2936"/>
      <c r="WJS68" s="2936"/>
      <c r="WJT68" s="2936"/>
      <c r="WJU68" s="2936"/>
      <c r="WJV68" s="2936"/>
      <c r="WJW68" s="2936"/>
      <c r="WJX68" s="2936"/>
      <c r="WJY68" s="2936"/>
      <c r="WJZ68" s="2936"/>
      <c r="WKA68" s="2936"/>
      <c r="WKB68" s="2936"/>
      <c r="WKC68" s="2936"/>
      <c r="WKD68" s="2936"/>
      <c r="WKE68" s="2936"/>
      <c r="WKF68" s="2936"/>
      <c r="WKG68" s="2936"/>
      <c r="WKH68" s="2936"/>
      <c r="WKI68" s="2936"/>
      <c r="WKJ68" s="2936"/>
      <c r="WKK68" s="2936"/>
      <c r="WKL68" s="2936"/>
      <c r="WKM68" s="2936"/>
      <c r="WKN68" s="2936"/>
      <c r="WKO68" s="2936"/>
      <c r="WKP68" s="2936"/>
      <c r="WKQ68" s="2936"/>
      <c r="WKR68" s="2936"/>
      <c r="WKS68" s="2936"/>
      <c r="WKT68" s="2936"/>
      <c r="WKU68" s="2936"/>
      <c r="WKV68" s="2936"/>
      <c r="WKW68" s="2936"/>
      <c r="WKX68" s="2936"/>
      <c r="WKY68" s="2936"/>
      <c r="WKZ68" s="2936"/>
      <c r="WLA68" s="2936"/>
      <c r="WLB68" s="2936"/>
      <c r="WLC68" s="2936"/>
      <c r="WLD68" s="2936"/>
      <c r="WLE68" s="2936"/>
      <c r="WLF68" s="2936"/>
      <c r="WLG68" s="2936"/>
      <c r="WLH68" s="2936"/>
      <c r="WLI68" s="2936"/>
      <c r="WLJ68" s="2936"/>
      <c r="WLK68" s="2936"/>
      <c r="WLL68" s="2936"/>
      <c r="WLM68" s="2936"/>
      <c r="WLN68" s="2936"/>
      <c r="WLO68" s="2936"/>
      <c r="WLP68" s="2936"/>
      <c r="WLQ68" s="2936"/>
      <c r="WLR68" s="2936"/>
      <c r="WLS68" s="2936"/>
      <c r="WLT68" s="2936"/>
      <c r="WLU68" s="2936"/>
      <c r="WLV68" s="2936"/>
      <c r="WLW68" s="2936"/>
      <c r="WLX68" s="2936"/>
      <c r="WLY68" s="2936"/>
      <c r="WLZ68" s="2936"/>
      <c r="WMA68" s="2936"/>
      <c r="WMB68" s="2936"/>
      <c r="WMC68" s="2936"/>
      <c r="WMD68" s="2936"/>
      <c r="WME68" s="2936"/>
      <c r="WMF68" s="2936"/>
      <c r="WMG68" s="2936"/>
      <c r="WMH68" s="2936"/>
      <c r="WMI68" s="2936"/>
      <c r="WMJ68" s="2936"/>
      <c r="WMK68" s="2936"/>
      <c r="WML68" s="2936"/>
      <c r="WMM68" s="2936"/>
      <c r="WMN68" s="2936"/>
      <c r="WMO68" s="2936"/>
      <c r="WMP68" s="2936"/>
      <c r="WMQ68" s="2936"/>
      <c r="WMR68" s="2936"/>
      <c r="WMS68" s="2936"/>
      <c r="WMT68" s="2936"/>
      <c r="WMU68" s="2936"/>
      <c r="WMV68" s="2936"/>
      <c r="WMW68" s="2936"/>
      <c r="WMX68" s="2936"/>
      <c r="WMY68" s="2936"/>
      <c r="WMZ68" s="2936"/>
      <c r="WNA68" s="2936"/>
      <c r="WNB68" s="2936"/>
      <c r="WNC68" s="2936"/>
      <c r="WND68" s="2936"/>
      <c r="WNE68" s="2936"/>
      <c r="WNF68" s="2936"/>
      <c r="WNG68" s="2936"/>
      <c r="WNH68" s="2936"/>
      <c r="WNI68" s="2936"/>
      <c r="WNJ68" s="2936"/>
      <c r="WNK68" s="2936"/>
      <c r="WNL68" s="2936"/>
      <c r="WNM68" s="2936"/>
      <c r="WNN68" s="2936"/>
      <c r="WNO68" s="2936"/>
      <c r="WNP68" s="2936"/>
      <c r="WNQ68" s="2936"/>
      <c r="WNR68" s="2936"/>
      <c r="WNS68" s="2936"/>
      <c r="WNT68" s="2936"/>
      <c r="WNU68" s="2936"/>
      <c r="WNV68" s="2936"/>
      <c r="WNW68" s="2936"/>
      <c r="WNX68" s="2936"/>
      <c r="WNY68" s="2936"/>
      <c r="WNZ68" s="2936"/>
      <c r="WOA68" s="2936"/>
      <c r="WOB68" s="2936"/>
      <c r="WOC68" s="2936"/>
      <c r="WOD68" s="2936"/>
      <c r="WOE68" s="2936"/>
      <c r="WOF68" s="2936"/>
      <c r="WOG68" s="2936"/>
      <c r="WOH68" s="2936"/>
      <c r="WOI68" s="2936"/>
      <c r="WOJ68" s="2936"/>
      <c r="WOK68" s="2936"/>
      <c r="WOL68" s="2936"/>
      <c r="WOM68" s="2936"/>
      <c r="WON68" s="2936"/>
      <c r="WOO68" s="2936"/>
      <c r="WOP68" s="2936"/>
      <c r="WOQ68" s="2936"/>
      <c r="WOR68" s="2936"/>
      <c r="WOS68" s="2936"/>
      <c r="WOT68" s="2936"/>
      <c r="WOU68" s="2936"/>
      <c r="WOV68" s="2936"/>
      <c r="WOW68" s="2936"/>
      <c r="WOX68" s="2936"/>
      <c r="WOY68" s="2936"/>
      <c r="WOZ68" s="2936"/>
      <c r="WPA68" s="2936"/>
      <c r="WPB68" s="2936"/>
      <c r="WPC68" s="2936"/>
      <c r="WPD68" s="2936"/>
      <c r="WPE68" s="2936"/>
      <c r="WPF68" s="2936"/>
      <c r="WPG68" s="2936"/>
      <c r="WPH68" s="2936"/>
      <c r="WPI68" s="2936"/>
      <c r="WPJ68" s="2936"/>
      <c r="WPK68" s="2936"/>
      <c r="WPL68" s="2936"/>
      <c r="WPM68" s="2936"/>
      <c r="WPN68" s="2936"/>
      <c r="WPO68" s="2936"/>
      <c r="WPP68" s="2936"/>
      <c r="WPQ68" s="2936"/>
      <c r="WPR68" s="2936"/>
      <c r="WPS68" s="2936"/>
      <c r="WPT68" s="2936"/>
      <c r="WPU68" s="2936"/>
      <c r="WPV68" s="2936"/>
      <c r="WPW68" s="2936"/>
      <c r="WPX68" s="2936"/>
      <c r="WPY68" s="2936"/>
      <c r="WPZ68" s="2936"/>
      <c r="WQA68" s="2936"/>
      <c r="WQB68" s="2936"/>
      <c r="WQC68" s="2936"/>
      <c r="WQD68" s="2936"/>
      <c r="WQE68" s="2936"/>
      <c r="WQF68" s="2936"/>
      <c r="WQG68" s="2936"/>
      <c r="WQH68" s="2936"/>
      <c r="WQI68" s="2936"/>
      <c r="WQJ68" s="2936"/>
      <c r="WQK68" s="2936"/>
      <c r="WQL68" s="2936"/>
      <c r="WQM68" s="2936"/>
      <c r="WQN68" s="2936"/>
      <c r="WQO68" s="2936"/>
      <c r="WQP68" s="2936"/>
      <c r="WQQ68" s="2936"/>
      <c r="WQR68" s="2936"/>
      <c r="WQS68" s="2936"/>
      <c r="WQT68" s="2936"/>
      <c r="WQU68" s="2936"/>
      <c r="WQV68" s="2936"/>
      <c r="WQW68" s="2936"/>
      <c r="WQX68" s="2936"/>
      <c r="WQY68" s="2936"/>
      <c r="WQZ68" s="2936"/>
      <c r="WRA68" s="2936"/>
      <c r="WRB68" s="2936"/>
      <c r="WRC68" s="2936"/>
      <c r="WRD68" s="2936"/>
      <c r="WRE68" s="2936"/>
      <c r="WRF68" s="2936"/>
      <c r="WRG68" s="2936"/>
      <c r="WRH68" s="2936"/>
      <c r="WRI68" s="2936"/>
      <c r="WRJ68" s="2936"/>
      <c r="WRK68" s="2936"/>
      <c r="WRL68" s="2936"/>
      <c r="WRM68" s="2936"/>
      <c r="WRN68" s="2936"/>
      <c r="WRO68" s="2936"/>
      <c r="WRP68" s="2936"/>
      <c r="WRQ68" s="2936"/>
      <c r="WRR68" s="2936"/>
      <c r="WRS68" s="2936"/>
      <c r="WRT68" s="2936"/>
      <c r="WRU68" s="2936"/>
      <c r="WRV68" s="2936"/>
      <c r="WRW68" s="2936"/>
      <c r="WRX68" s="2936"/>
      <c r="WRY68" s="2936"/>
      <c r="WRZ68" s="2936"/>
      <c r="WSA68" s="2936"/>
      <c r="WSB68" s="2936"/>
      <c r="WSC68" s="2936"/>
      <c r="WSD68" s="2936"/>
      <c r="WSE68" s="2936"/>
      <c r="WSF68" s="2936"/>
      <c r="WSG68" s="2936"/>
      <c r="WSH68" s="2936"/>
      <c r="WSI68" s="2936"/>
      <c r="WSJ68" s="2936"/>
      <c r="WSK68" s="2936"/>
      <c r="WSL68" s="2936"/>
      <c r="WSM68" s="2936"/>
      <c r="WSN68" s="2936"/>
      <c r="WSO68" s="2936"/>
      <c r="WSP68" s="2936"/>
      <c r="WSQ68" s="2936"/>
      <c r="WSR68" s="2936"/>
      <c r="WSS68" s="2936"/>
      <c r="WST68" s="2936"/>
      <c r="WSU68" s="2936"/>
      <c r="WSV68" s="2936"/>
      <c r="WSW68" s="2936"/>
      <c r="WSX68" s="2936"/>
      <c r="WSY68" s="2936"/>
      <c r="WSZ68" s="2936"/>
      <c r="WTA68" s="2936"/>
      <c r="WTB68" s="2936"/>
      <c r="WTC68" s="2936"/>
      <c r="WTD68" s="2936"/>
      <c r="WTE68" s="2936"/>
      <c r="WTF68" s="2936"/>
      <c r="WTG68" s="2936"/>
      <c r="WTH68" s="2936"/>
      <c r="WTI68" s="2936"/>
      <c r="WTJ68" s="2936"/>
      <c r="WTK68" s="2936"/>
      <c r="WTL68" s="2936"/>
      <c r="WTM68" s="2936"/>
      <c r="WTN68" s="2936"/>
      <c r="WTO68" s="2936"/>
      <c r="WTP68" s="2936"/>
      <c r="WTQ68" s="2936"/>
      <c r="WTR68" s="2936"/>
      <c r="WTS68" s="2936"/>
      <c r="WTT68" s="2936"/>
      <c r="WTU68" s="2936"/>
      <c r="WTV68" s="2936"/>
      <c r="WTW68" s="2936"/>
      <c r="WTX68" s="2936"/>
      <c r="WTY68" s="2936"/>
      <c r="WTZ68" s="2936"/>
      <c r="WUA68" s="2936"/>
      <c r="WUB68" s="2936"/>
      <c r="WUC68" s="2936"/>
      <c r="WUD68" s="2936"/>
      <c r="WUE68" s="2936"/>
      <c r="WUF68" s="2936"/>
      <c r="WUG68" s="2936"/>
      <c r="WUH68" s="2936"/>
      <c r="WUI68" s="2936"/>
      <c r="WUJ68" s="2936"/>
      <c r="WUK68" s="2936"/>
      <c r="WUL68" s="2936"/>
      <c r="WUM68" s="2936"/>
      <c r="WUN68" s="2936"/>
      <c r="WUO68" s="2936"/>
      <c r="WUP68" s="2936"/>
      <c r="WUQ68" s="2936"/>
      <c r="WUR68" s="2936"/>
      <c r="WUS68" s="2936"/>
      <c r="WUT68" s="2936"/>
      <c r="WUU68" s="2936"/>
      <c r="WUV68" s="2936"/>
      <c r="WUW68" s="2936"/>
      <c r="WUX68" s="2936"/>
      <c r="WUY68" s="2936"/>
      <c r="WUZ68" s="2936"/>
      <c r="WVA68" s="2936"/>
      <c r="WVB68" s="2936"/>
      <c r="WVC68" s="2936"/>
      <c r="WVD68" s="2936"/>
      <c r="WVE68" s="2936"/>
      <c r="WVF68" s="2936"/>
      <c r="WVG68" s="2936"/>
      <c r="WVH68" s="2936"/>
      <c r="WVI68" s="2936"/>
      <c r="WVJ68" s="2936"/>
      <c r="WVK68" s="2936"/>
      <c r="WVL68" s="2936"/>
      <c r="WVM68" s="2936"/>
      <c r="WVN68" s="2936"/>
      <c r="WVO68" s="2936"/>
      <c r="WVP68" s="2936"/>
      <c r="WVQ68" s="2936"/>
      <c r="WVR68" s="2936"/>
      <c r="WVS68" s="2936"/>
      <c r="WVT68" s="2936"/>
      <c r="WVU68" s="2936"/>
      <c r="WVV68" s="2936"/>
      <c r="WVW68" s="2936"/>
      <c r="WVX68" s="2936"/>
      <c r="WVY68" s="2936"/>
      <c r="WVZ68" s="2936"/>
      <c r="WWA68" s="2936"/>
      <c r="WWB68" s="2936"/>
      <c r="WWC68" s="2936"/>
      <c r="WWD68" s="2936"/>
      <c r="WWE68" s="2936"/>
      <c r="WWF68" s="2936"/>
      <c r="WWG68" s="2936"/>
      <c r="WWH68" s="2936"/>
      <c r="WWI68" s="2936"/>
      <c r="WWJ68" s="2936"/>
      <c r="WWK68" s="2936"/>
      <c r="WWL68" s="2936"/>
      <c r="WWM68" s="2936"/>
      <c r="WWN68" s="2936"/>
      <c r="WWO68" s="2936"/>
      <c r="WWP68" s="2936"/>
      <c r="WWQ68" s="2936"/>
      <c r="WWR68" s="2936"/>
      <c r="WWS68" s="2936"/>
      <c r="WWT68" s="2936"/>
      <c r="WWU68" s="2936"/>
      <c r="WWV68" s="2936"/>
      <c r="WWW68" s="2936"/>
      <c r="WWX68" s="2936"/>
      <c r="WWY68" s="2936"/>
      <c r="WWZ68" s="2936"/>
      <c r="WXA68" s="2936"/>
      <c r="WXB68" s="2936"/>
      <c r="WXC68" s="2936"/>
      <c r="WXD68" s="2936"/>
      <c r="WXE68" s="2936"/>
      <c r="WXF68" s="2936"/>
      <c r="WXG68" s="2936"/>
      <c r="WXH68" s="2936"/>
      <c r="WXI68" s="2936"/>
      <c r="WXJ68" s="2936"/>
      <c r="WXK68" s="2936"/>
      <c r="WXL68" s="2936"/>
      <c r="WXM68" s="2936"/>
      <c r="WXN68" s="2936"/>
      <c r="WXO68" s="2936"/>
      <c r="WXP68" s="2936"/>
      <c r="WXQ68" s="2936"/>
      <c r="WXR68" s="2936"/>
      <c r="WXS68" s="2936"/>
      <c r="WXT68" s="2936"/>
      <c r="WXU68" s="2936"/>
      <c r="WXV68" s="2936"/>
      <c r="WXW68" s="2936"/>
      <c r="WXX68" s="2936"/>
      <c r="WXY68" s="2936"/>
      <c r="WXZ68" s="2936"/>
      <c r="WYA68" s="2936"/>
      <c r="WYB68" s="2936"/>
      <c r="WYC68" s="2936"/>
      <c r="WYD68" s="2936"/>
      <c r="WYE68" s="2936"/>
      <c r="WYF68" s="2936"/>
      <c r="WYG68" s="2936"/>
      <c r="WYH68" s="2936"/>
      <c r="WYI68" s="2936"/>
      <c r="WYJ68" s="2936"/>
      <c r="WYK68" s="2936"/>
      <c r="WYL68" s="2936"/>
      <c r="WYM68" s="2936"/>
      <c r="WYN68" s="2936"/>
      <c r="WYO68" s="2936"/>
      <c r="WYP68" s="2936"/>
      <c r="WYQ68" s="2936"/>
      <c r="WYR68" s="2936"/>
      <c r="WYS68" s="2936"/>
      <c r="WYT68" s="2936"/>
      <c r="WYU68" s="2936"/>
      <c r="WYV68" s="2936"/>
      <c r="WYW68" s="2936"/>
      <c r="WYX68" s="2936"/>
      <c r="WYY68" s="2936"/>
      <c r="WYZ68" s="2936"/>
      <c r="WZA68" s="2936"/>
      <c r="WZB68" s="2936"/>
      <c r="WZC68" s="2936"/>
      <c r="WZD68" s="2936"/>
      <c r="WZE68" s="2936"/>
      <c r="WZF68" s="2936"/>
      <c r="WZG68" s="2936"/>
      <c r="WZH68" s="2936"/>
      <c r="WZI68" s="2936"/>
      <c r="WZJ68" s="2936"/>
      <c r="WZK68" s="2936"/>
      <c r="WZL68" s="2936"/>
      <c r="WZM68" s="2936"/>
      <c r="WZN68" s="2936"/>
      <c r="WZO68" s="2936"/>
      <c r="WZP68" s="2936"/>
      <c r="WZQ68" s="2936"/>
      <c r="WZR68" s="2936"/>
      <c r="WZS68" s="2936"/>
      <c r="WZT68" s="2936"/>
      <c r="WZU68" s="2936"/>
      <c r="WZV68" s="2936"/>
      <c r="WZW68" s="2936"/>
      <c r="WZX68" s="2936"/>
      <c r="WZY68" s="2936"/>
      <c r="WZZ68" s="2936"/>
      <c r="XAA68" s="2936"/>
      <c r="XAB68" s="2936"/>
      <c r="XAC68" s="2936"/>
      <c r="XAD68" s="2936"/>
      <c r="XAE68" s="2936"/>
      <c r="XAF68" s="2936"/>
      <c r="XAG68" s="2936"/>
      <c r="XAH68" s="2936"/>
      <c r="XAI68" s="2936"/>
      <c r="XAJ68" s="2936"/>
      <c r="XAK68" s="2936"/>
      <c r="XAL68" s="2936"/>
      <c r="XAM68" s="2936"/>
      <c r="XAN68" s="2936"/>
      <c r="XAO68" s="2936"/>
      <c r="XAP68" s="2936"/>
      <c r="XAQ68" s="2936"/>
      <c r="XAR68" s="2936"/>
      <c r="XAS68" s="2936"/>
      <c r="XAT68" s="2936"/>
      <c r="XAU68" s="2936"/>
      <c r="XAV68" s="2936"/>
      <c r="XAW68" s="2936"/>
      <c r="XAX68" s="2936"/>
      <c r="XAY68" s="2936"/>
      <c r="XAZ68" s="2936"/>
      <c r="XBA68" s="2936"/>
      <c r="XBB68" s="2936"/>
      <c r="XBC68" s="2936"/>
      <c r="XBD68" s="2936"/>
      <c r="XBE68" s="2936"/>
      <c r="XBF68" s="2936"/>
      <c r="XBG68" s="2936"/>
      <c r="XBH68" s="2936"/>
      <c r="XBI68" s="2936"/>
      <c r="XBJ68" s="2936"/>
      <c r="XBK68" s="2936"/>
      <c r="XBL68" s="2936"/>
      <c r="XBM68" s="2936"/>
      <c r="XBN68" s="2936"/>
      <c r="XBO68" s="2936"/>
      <c r="XBP68" s="2936"/>
      <c r="XBQ68" s="2936"/>
      <c r="XBR68" s="2936"/>
      <c r="XBS68" s="2936"/>
      <c r="XBT68" s="2936"/>
      <c r="XBU68" s="2936"/>
      <c r="XBV68" s="2936"/>
      <c r="XBW68" s="2936"/>
      <c r="XBX68" s="2936"/>
      <c r="XBY68" s="2936"/>
      <c r="XBZ68" s="2936"/>
      <c r="XCA68" s="2936"/>
      <c r="XCB68" s="2936"/>
      <c r="XCC68" s="2936"/>
      <c r="XCD68" s="2936"/>
      <c r="XCE68" s="2936"/>
      <c r="XCF68" s="2936"/>
      <c r="XCG68" s="2936"/>
      <c r="XCH68" s="2936"/>
      <c r="XCI68" s="2936"/>
      <c r="XCJ68" s="2936"/>
      <c r="XCK68" s="2936"/>
      <c r="XCL68" s="2936"/>
      <c r="XCM68" s="2936"/>
      <c r="XCN68" s="2936"/>
      <c r="XCO68" s="2936"/>
      <c r="XCP68" s="2936"/>
      <c r="XCQ68" s="2936"/>
      <c r="XCR68" s="2936"/>
      <c r="XCS68" s="2936"/>
      <c r="XCT68" s="2936"/>
      <c r="XCU68" s="2936"/>
      <c r="XCV68" s="2936"/>
      <c r="XCW68" s="2936"/>
      <c r="XCX68" s="2936"/>
      <c r="XCY68" s="2936"/>
      <c r="XCZ68" s="2936"/>
      <c r="XDA68" s="2936"/>
      <c r="XDB68" s="2936"/>
      <c r="XDC68" s="2936"/>
      <c r="XDD68" s="2936"/>
      <c r="XDE68" s="2936"/>
      <c r="XDF68" s="2936"/>
      <c r="XDG68" s="2936"/>
      <c r="XDH68" s="2936"/>
      <c r="XDI68" s="2936"/>
      <c r="XDJ68" s="2936"/>
      <c r="XDK68" s="2936"/>
      <c r="XDL68" s="2936"/>
      <c r="XDM68" s="2936"/>
      <c r="XDN68" s="2936"/>
      <c r="XDO68" s="2936"/>
      <c r="XDP68" s="2936"/>
      <c r="XDQ68" s="2936"/>
      <c r="XDR68" s="2936"/>
      <c r="XDS68" s="2936"/>
      <c r="XDT68" s="2936"/>
      <c r="XDU68" s="2936"/>
      <c r="XDV68" s="2936"/>
      <c r="XDW68" s="2936"/>
      <c r="XDX68" s="2936"/>
      <c r="XDY68" s="2936"/>
      <c r="XDZ68" s="2936"/>
      <c r="XEA68" s="2936"/>
      <c r="XEB68" s="2936"/>
      <c r="XEC68" s="2936"/>
      <c r="XED68" s="2936"/>
      <c r="XEE68" s="2936"/>
      <c r="XEF68" s="2936"/>
      <c r="XEG68" s="2936"/>
      <c r="XEH68" s="2936"/>
      <c r="XEI68" s="2936"/>
      <c r="XEJ68" s="2936"/>
      <c r="XEK68" s="2936"/>
      <c r="XEL68" s="2936"/>
      <c r="XEM68" s="2936"/>
      <c r="XEN68" s="2936"/>
      <c r="XEO68" s="2936"/>
      <c r="XEP68" s="2936"/>
      <c r="XEQ68" s="2936"/>
      <c r="XER68" s="2936"/>
      <c r="XES68" s="2936"/>
      <c r="XET68" s="2936"/>
      <c r="XEU68" s="2936"/>
      <c r="XEV68" s="2936"/>
      <c r="XEW68" s="2936"/>
      <c r="XEX68" s="2936"/>
      <c r="XEY68" s="2936"/>
      <c r="XEZ68" s="2936"/>
      <c r="XFA68" s="2936"/>
      <c r="XFB68" s="2936"/>
      <c r="XFC68" s="2936"/>
    </row>
    <row r="69" spans="1:16383" ht="12.75" customHeight="1" x14ac:dyDescent="0.25">
      <c r="A69" s="5" t="s">
        <v>1288</v>
      </c>
      <c r="B69" s="2936"/>
      <c r="C69" s="2936"/>
      <c r="D69" s="2936"/>
      <c r="F69" s="2936"/>
      <c r="G69" s="2936"/>
      <c r="H69" s="2936"/>
      <c r="I69" s="2936"/>
      <c r="J69" s="2936"/>
      <c r="K69" s="2936"/>
      <c r="L69" s="2936"/>
      <c r="M69" s="2936"/>
      <c r="N69" s="2936"/>
      <c r="O69" s="2936"/>
      <c r="P69" s="2936"/>
      <c r="Q69" s="2936"/>
      <c r="R69" s="2936"/>
      <c r="S69" s="2936"/>
      <c r="T69" s="2936"/>
      <c r="U69" s="2936"/>
      <c r="V69" s="2936"/>
      <c r="W69" s="2936"/>
      <c r="X69" s="2936"/>
      <c r="Y69" s="2936"/>
      <c r="Z69" s="2936"/>
      <c r="AA69" s="2936"/>
      <c r="AB69" s="2936"/>
      <c r="AC69" s="2936"/>
      <c r="AD69" s="2936"/>
      <c r="AE69" s="2936"/>
      <c r="AF69" s="2936"/>
      <c r="AG69" s="2936"/>
      <c r="AH69" s="2936"/>
      <c r="AI69" s="2936"/>
      <c r="AJ69" s="2936"/>
      <c r="AK69" s="2936"/>
      <c r="AL69" s="2936"/>
      <c r="AM69" s="2936"/>
      <c r="AN69" s="2936"/>
      <c r="AO69" s="2936"/>
      <c r="AP69" s="2936"/>
      <c r="AQ69" s="2936"/>
      <c r="AR69" s="2936"/>
      <c r="AS69" s="2936"/>
      <c r="AT69" s="2936"/>
      <c r="AU69" s="2936"/>
      <c r="AV69" s="2936"/>
      <c r="AW69" s="2936"/>
      <c r="AX69" s="2936"/>
      <c r="AY69" s="2936"/>
      <c r="AZ69" s="2936"/>
      <c r="BA69" s="2936"/>
      <c r="BB69" s="2936"/>
      <c r="BC69" s="2936"/>
      <c r="BD69" s="2936"/>
      <c r="BE69" s="2936"/>
      <c r="BF69" s="2936"/>
      <c r="BG69" s="2936"/>
      <c r="BH69" s="2936"/>
      <c r="BI69" s="2936"/>
      <c r="BJ69" s="2936"/>
      <c r="BK69" s="2936"/>
      <c r="BL69" s="2936"/>
      <c r="BM69" s="2936"/>
      <c r="BN69" s="2936"/>
      <c r="BO69" s="2936"/>
      <c r="BP69" s="2936"/>
      <c r="BQ69" s="2936"/>
      <c r="BR69" s="2936"/>
      <c r="BS69" s="2936"/>
      <c r="BT69" s="2936"/>
      <c r="BU69" s="2936"/>
      <c r="BV69" s="2936"/>
      <c r="BW69" s="2936"/>
      <c r="BX69" s="2936"/>
      <c r="BY69" s="2936"/>
      <c r="BZ69" s="2936"/>
      <c r="CA69" s="2936"/>
      <c r="CB69" s="2936"/>
      <c r="CC69" s="2936"/>
      <c r="CD69" s="2936"/>
      <c r="CE69" s="2936"/>
      <c r="CF69" s="2936"/>
      <c r="CG69" s="2936"/>
      <c r="CH69" s="2936"/>
      <c r="CI69" s="2936"/>
      <c r="CJ69" s="2936"/>
      <c r="CK69" s="2936"/>
      <c r="CL69" s="2936"/>
      <c r="CM69" s="2936"/>
      <c r="CN69" s="2936"/>
      <c r="CO69" s="2936"/>
      <c r="CP69" s="2936"/>
      <c r="CQ69" s="2936"/>
      <c r="CR69" s="2936"/>
      <c r="CS69" s="2936"/>
      <c r="CT69" s="2936"/>
      <c r="CU69" s="2936"/>
      <c r="CV69" s="2936"/>
      <c r="CW69" s="2936"/>
      <c r="CX69" s="2936"/>
      <c r="CY69" s="2936"/>
      <c r="CZ69" s="2936"/>
      <c r="DA69" s="2936"/>
      <c r="DB69" s="2936"/>
      <c r="DC69" s="2936"/>
      <c r="DD69" s="2936"/>
      <c r="DE69" s="2936"/>
      <c r="DF69" s="2936"/>
      <c r="DG69" s="2936"/>
      <c r="DH69" s="2936"/>
      <c r="DI69" s="2936"/>
      <c r="DJ69" s="2936"/>
      <c r="DK69" s="2936"/>
      <c r="DL69" s="2936"/>
      <c r="DM69" s="2936"/>
      <c r="DN69" s="2936"/>
      <c r="DO69" s="2936"/>
      <c r="DP69" s="2936"/>
      <c r="DQ69" s="2936"/>
      <c r="DR69" s="2936"/>
      <c r="DS69" s="2936"/>
      <c r="DT69" s="2936"/>
      <c r="DU69" s="2936"/>
      <c r="DV69" s="2936"/>
      <c r="DW69" s="2936"/>
      <c r="DX69" s="2936"/>
      <c r="DY69" s="2936"/>
      <c r="DZ69" s="2936"/>
      <c r="EA69" s="2936"/>
      <c r="EB69" s="2936"/>
      <c r="EC69" s="2936"/>
      <c r="ED69" s="2936"/>
      <c r="EE69" s="2936"/>
      <c r="EF69" s="2936"/>
      <c r="EG69" s="2936"/>
      <c r="EH69" s="2936"/>
      <c r="EI69" s="2936"/>
      <c r="EJ69" s="2936"/>
      <c r="EK69" s="2936"/>
      <c r="EL69" s="2936"/>
      <c r="EM69" s="2936"/>
      <c r="EN69" s="2936"/>
      <c r="EO69" s="2936"/>
      <c r="EP69" s="2936"/>
      <c r="EQ69" s="2936"/>
      <c r="ER69" s="2936"/>
      <c r="ES69" s="2936"/>
      <c r="ET69" s="2936"/>
      <c r="EU69" s="2936"/>
      <c r="EV69" s="2936"/>
      <c r="EW69" s="2936"/>
      <c r="EX69" s="2936"/>
      <c r="EY69" s="2936"/>
      <c r="EZ69" s="2936"/>
      <c r="FA69" s="2936"/>
      <c r="FB69" s="2936"/>
      <c r="FC69" s="2936"/>
      <c r="FD69" s="2936"/>
      <c r="FE69" s="2936"/>
      <c r="FF69" s="2936"/>
      <c r="FG69" s="2936"/>
      <c r="FH69" s="2936"/>
      <c r="FI69" s="2936"/>
      <c r="FJ69" s="2936"/>
      <c r="FK69" s="2936"/>
      <c r="FL69" s="2936"/>
      <c r="FM69" s="2936"/>
      <c r="FN69" s="2936"/>
      <c r="FO69" s="2936"/>
      <c r="FP69" s="2936"/>
      <c r="FQ69" s="2936"/>
      <c r="FR69" s="2936"/>
      <c r="FS69" s="2936"/>
      <c r="FT69" s="2936"/>
      <c r="FU69" s="2936"/>
      <c r="FV69" s="2936"/>
      <c r="FW69" s="2936"/>
      <c r="FX69" s="2936"/>
      <c r="FY69" s="2936"/>
      <c r="FZ69" s="2936"/>
      <c r="GA69" s="2936"/>
      <c r="GB69" s="2936"/>
      <c r="GC69" s="2936"/>
      <c r="GD69" s="2936"/>
      <c r="GE69" s="2936"/>
      <c r="GF69" s="2936"/>
      <c r="GG69" s="2936"/>
      <c r="GH69" s="2936"/>
      <c r="GI69" s="2936"/>
      <c r="GJ69" s="2936"/>
      <c r="GK69" s="2936"/>
      <c r="GL69" s="2936"/>
      <c r="GM69" s="2936"/>
      <c r="GN69" s="2936"/>
      <c r="GO69" s="2936"/>
      <c r="GP69" s="2936"/>
      <c r="GQ69" s="2936"/>
      <c r="GR69" s="2936"/>
      <c r="GS69" s="2936"/>
      <c r="GT69" s="2936"/>
      <c r="GU69" s="2936"/>
      <c r="GV69" s="2936"/>
      <c r="GW69" s="2936"/>
      <c r="GX69" s="2936"/>
      <c r="GY69" s="2936"/>
      <c r="GZ69" s="2936"/>
      <c r="HA69" s="2936"/>
      <c r="HB69" s="2936"/>
      <c r="HC69" s="2936"/>
      <c r="HD69" s="2936"/>
      <c r="HE69" s="2936"/>
      <c r="HF69" s="2936"/>
      <c r="HG69" s="2936"/>
      <c r="HH69" s="2936"/>
      <c r="HI69" s="2936"/>
      <c r="HJ69" s="2936"/>
      <c r="HK69" s="2936"/>
      <c r="HL69" s="2936"/>
      <c r="HM69" s="2936"/>
      <c r="HN69" s="2936"/>
      <c r="HO69" s="2936"/>
      <c r="HP69" s="2936"/>
      <c r="HQ69" s="2936"/>
      <c r="HR69" s="2936"/>
      <c r="HS69" s="2936"/>
      <c r="HT69" s="2936"/>
      <c r="HU69" s="2936"/>
      <c r="HV69" s="2936"/>
      <c r="HW69" s="2936"/>
      <c r="HX69" s="2936"/>
      <c r="HY69" s="2936"/>
      <c r="HZ69" s="2936"/>
      <c r="IA69" s="2936"/>
      <c r="IB69" s="2936"/>
      <c r="IC69" s="2936"/>
      <c r="ID69" s="2936"/>
      <c r="IE69" s="2936"/>
      <c r="IF69" s="2936"/>
      <c r="IG69" s="2936"/>
      <c r="IH69" s="2936"/>
      <c r="II69" s="2936"/>
      <c r="IJ69" s="2936"/>
      <c r="IK69" s="2936"/>
      <c r="IL69" s="2936"/>
      <c r="IM69" s="2936"/>
      <c r="IN69" s="2936"/>
      <c r="IO69" s="2936"/>
      <c r="IP69" s="2936"/>
      <c r="IQ69" s="2936"/>
      <c r="IR69" s="2936"/>
      <c r="IS69" s="2936"/>
      <c r="IT69" s="2936"/>
      <c r="IU69" s="2936"/>
      <c r="IV69" s="2936"/>
      <c r="IW69" s="2936"/>
      <c r="IX69" s="2936"/>
      <c r="IY69" s="2936"/>
      <c r="IZ69" s="2936"/>
      <c r="JA69" s="2936"/>
      <c r="JB69" s="2936"/>
      <c r="JC69" s="2936"/>
      <c r="JD69" s="2936"/>
      <c r="JE69" s="2936"/>
      <c r="JF69" s="2936"/>
      <c r="JG69" s="2936"/>
      <c r="JH69" s="2936"/>
      <c r="JI69" s="2936"/>
      <c r="JJ69" s="2936"/>
      <c r="JK69" s="2936"/>
      <c r="JL69" s="2936"/>
      <c r="JM69" s="2936"/>
      <c r="JN69" s="2936"/>
      <c r="JO69" s="2936"/>
      <c r="JP69" s="2936"/>
      <c r="JQ69" s="2936"/>
      <c r="JR69" s="2936"/>
      <c r="JS69" s="2936"/>
      <c r="JT69" s="2936"/>
      <c r="JU69" s="2936"/>
      <c r="JV69" s="2936"/>
      <c r="JW69" s="2936"/>
      <c r="JX69" s="2936"/>
      <c r="JY69" s="2936"/>
      <c r="JZ69" s="2936"/>
      <c r="KA69" s="2936"/>
      <c r="KB69" s="2936"/>
      <c r="KC69" s="2936"/>
      <c r="KD69" s="2936"/>
      <c r="KE69" s="2936"/>
      <c r="KF69" s="2936"/>
      <c r="KG69" s="2936"/>
      <c r="KH69" s="2936"/>
      <c r="KI69" s="2936"/>
      <c r="KJ69" s="2936"/>
      <c r="KK69" s="2936"/>
      <c r="KL69" s="2936"/>
      <c r="KM69" s="2936"/>
      <c r="KN69" s="2936"/>
      <c r="KO69" s="2936"/>
      <c r="KP69" s="2936"/>
      <c r="KQ69" s="2936"/>
      <c r="KR69" s="2936"/>
      <c r="KS69" s="2936"/>
      <c r="KT69" s="2936"/>
      <c r="KU69" s="2936"/>
      <c r="KV69" s="2936"/>
      <c r="KW69" s="2936"/>
      <c r="KX69" s="2936"/>
      <c r="KY69" s="2936"/>
      <c r="KZ69" s="2936"/>
      <c r="LA69" s="2936"/>
      <c r="LB69" s="2936"/>
      <c r="LC69" s="2936"/>
      <c r="LD69" s="2936"/>
      <c r="LE69" s="2936"/>
      <c r="LF69" s="2936"/>
      <c r="LG69" s="2936"/>
      <c r="LH69" s="2936"/>
      <c r="LI69" s="2936"/>
      <c r="LJ69" s="2936"/>
      <c r="LK69" s="2936"/>
      <c r="LL69" s="2936"/>
      <c r="LM69" s="2936"/>
      <c r="LN69" s="2936"/>
      <c r="LO69" s="2936"/>
      <c r="LP69" s="2936"/>
      <c r="LQ69" s="2936"/>
      <c r="LR69" s="2936"/>
      <c r="LS69" s="2936"/>
      <c r="LT69" s="2936"/>
      <c r="LU69" s="2936"/>
      <c r="LV69" s="2936"/>
      <c r="LW69" s="2936"/>
      <c r="LX69" s="2936"/>
      <c r="LY69" s="2936"/>
      <c r="LZ69" s="2936"/>
      <c r="MA69" s="2936"/>
      <c r="MB69" s="2936"/>
      <c r="MC69" s="2936"/>
      <c r="MD69" s="2936"/>
      <c r="ME69" s="2936"/>
      <c r="MF69" s="2936"/>
      <c r="MG69" s="2936"/>
      <c r="MH69" s="2936"/>
      <c r="MI69" s="2936"/>
      <c r="MJ69" s="2936"/>
      <c r="MK69" s="2936"/>
      <c r="ML69" s="2936"/>
      <c r="MM69" s="2936"/>
      <c r="MN69" s="2936"/>
      <c r="MO69" s="2936"/>
      <c r="MP69" s="2936"/>
      <c r="MQ69" s="2936"/>
      <c r="MR69" s="2936"/>
      <c r="MS69" s="2936"/>
      <c r="MT69" s="2936"/>
      <c r="MU69" s="2936"/>
      <c r="MV69" s="2936"/>
      <c r="MW69" s="2936"/>
      <c r="MX69" s="2936"/>
      <c r="MY69" s="2936"/>
      <c r="MZ69" s="2936"/>
      <c r="NA69" s="2936"/>
      <c r="NB69" s="2936"/>
      <c r="NC69" s="2936"/>
      <c r="ND69" s="2936"/>
      <c r="NE69" s="2936"/>
      <c r="NF69" s="2936"/>
      <c r="NG69" s="2936"/>
      <c r="NH69" s="2936"/>
      <c r="NI69" s="2936"/>
      <c r="NJ69" s="2936"/>
      <c r="NK69" s="2936"/>
      <c r="NL69" s="2936"/>
      <c r="NM69" s="2936"/>
      <c r="NN69" s="2936"/>
      <c r="NO69" s="2936"/>
      <c r="NP69" s="2936"/>
      <c r="NQ69" s="2936"/>
      <c r="NR69" s="2936"/>
      <c r="NS69" s="2936"/>
      <c r="NT69" s="2936"/>
      <c r="NU69" s="2936"/>
      <c r="NV69" s="2936"/>
      <c r="NW69" s="2936"/>
      <c r="NX69" s="2936"/>
      <c r="NY69" s="2936"/>
      <c r="NZ69" s="2936"/>
      <c r="OA69" s="2936"/>
      <c r="OB69" s="2936"/>
      <c r="OC69" s="2936"/>
      <c r="OD69" s="2936"/>
      <c r="OE69" s="2936"/>
      <c r="OF69" s="2936"/>
      <c r="OG69" s="2936"/>
      <c r="OH69" s="2936"/>
      <c r="OI69" s="2936"/>
      <c r="OJ69" s="2936"/>
      <c r="OK69" s="2936"/>
      <c r="OL69" s="2936"/>
      <c r="OM69" s="2936"/>
      <c r="ON69" s="2936"/>
      <c r="OO69" s="2936"/>
      <c r="OP69" s="2936"/>
      <c r="OQ69" s="2936"/>
      <c r="OR69" s="2936"/>
      <c r="OS69" s="2936"/>
      <c r="OT69" s="2936"/>
      <c r="OU69" s="2936"/>
      <c r="OV69" s="2936"/>
      <c r="OW69" s="2936"/>
      <c r="OX69" s="2936"/>
      <c r="OY69" s="2936"/>
      <c r="OZ69" s="2936"/>
      <c r="PA69" s="2936"/>
      <c r="PB69" s="2936"/>
      <c r="PC69" s="2936"/>
      <c r="PD69" s="2936"/>
      <c r="PE69" s="2936"/>
      <c r="PF69" s="2936"/>
      <c r="PG69" s="2936"/>
      <c r="PH69" s="2936"/>
      <c r="PI69" s="2936"/>
      <c r="PJ69" s="2936"/>
      <c r="PK69" s="2936"/>
      <c r="PL69" s="2936"/>
      <c r="PM69" s="2936"/>
      <c r="PN69" s="2936"/>
      <c r="PO69" s="2936"/>
      <c r="PP69" s="2936"/>
      <c r="PQ69" s="2936"/>
      <c r="PR69" s="2936"/>
      <c r="PS69" s="2936"/>
      <c r="PT69" s="2936"/>
      <c r="PU69" s="2936"/>
      <c r="PV69" s="2936"/>
      <c r="PW69" s="2936"/>
      <c r="PX69" s="2936"/>
      <c r="PY69" s="2936"/>
      <c r="PZ69" s="2936"/>
      <c r="QA69" s="2936"/>
      <c r="QB69" s="2936"/>
      <c r="QC69" s="2936"/>
      <c r="QD69" s="2936"/>
      <c r="QE69" s="2936"/>
      <c r="QF69" s="2936"/>
      <c r="QG69" s="2936"/>
      <c r="QH69" s="2936"/>
      <c r="QI69" s="2936"/>
      <c r="QJ69" s="2936"/>
      <c r="QK69" s="2936"/>
      <c r="QL69" s="2936"/>
      <c r="QM69" s="2936"/>
      <c r="QN69" s="2936"/>
      <c r="QO69" s="2936"/>
      <c r="QP69" s="2936"/>
      <c r="QQ69" s="2936"/>
      <c r="QR69" s="2936"/>
      <c r="QS69" s="2936"/>
      <c r="QT69" s="2936"/>
      <c r="QU69" s="2936"/>
      <c r="QV69" s="2936"/>
      <c r="QW69" s="2936"/>
      <c r="QX69" s="2936"/>
      <c r="QY69" s="2936"/>
      <c r="QZ69" s="2936"/>
      <c r="RA69" s="2936"/>
      <c r="RB69" s="2936"/>
      <c r="RC69" s="2936"/>
      <c r="RD69" s="2936"/>
      <c r="RE69" s="2936"/>
      <c r="RF69" s="2936"/>
      <c r="RG69" s="2936"/>
      <c r="RH69" s="2936"/>
      <c r="RI69" s="2936"/>
      <c r="RJ69" s="2936"/>
      <c r="RK69" s="2936"/>
      <c r="RL69" s="2936"/>
      <c r="RM69" s="2936"/>
      <c r="RN69" s="2936"/>
      <c r="RO69" s="2936"/>
      <c r="RP69" s="2936"/>
      <c r="RQ69" s="2936"/>
      <c r="RR69" s="2936"/>
      <c r="RS69" s="2936"/>
      <c r="RT69" s="2936"/>
      <c r="RU69" s="2936"/>
      <c r="RV69" s="2936"/>
      <c r="RW69" s="2936"/>
      <c r="RX69" s="2936"/>
      <c r="RY69" s="2936"/>
      <c r="RZ69" s="2936"/>
      <c r="SA69" s="2936"/>
      <c r="SB69" s="2936"/>
      <c r="SC69" s="2936"/>
      <c r="SD69" s="2936"/>
      <c r="SE69" s="2936"/>
      <c r="SF69" s="2936"/>
      <c r="SG69" s="2936"/>
      <c r="SH69" s="2936"/>
      <c r="SI69" s="2936"/>
      <c r="SJ69" s="2936"/>
      <c r="SK69" s="2936"/>
      <c r="SL69" s="2936"/>
      <c r="SM69" s="2936"/>
      <c r="SN69" s="2936"/>
      <c r="SO69" s="2936"/>
      <c r="SP69" s="2936"/>
      <c r="SQ69" s="2936"/>
      <c r="SR69" s="2936"/>
      <c r="SS69" s="2936"/>
      <c r="ST69" s="2936"/>
      <c r="SU69" s="2936"/>
      <c r="SV69" s="2936"/>
      <c r="SW69" s="2936"/>
      <c r="SX69" s="2936"/>
      <c r="SY69" s="2936"/>
      <c r="SZ69" s="2936"/>
      <c r="TA69" s="2936"/>
      <c r="TB69" s="2936"/>
      <c r="TC69" s="2936"/>
      <c r="TD69" s="2936"/>
      <c r="TE69" s="2936"/>
      <c r="TF69" s="2936"/>
      <c r="TG69" s="2936"/>
      <c r="TH69" s="2936"/>
      <c r="TI69" s="2936"/>
      <c r="TJ69" s="2936"/>
      <c r="TK69" s="2936"/>
      <c r="TL69" s="2936"/>
      <c r="TM69" s="2936"/>
      <c r="TN69" s="2936"/>
      <c r="TO69" s="2936"/>
      <c r="TP69" s="2936"/>
      <c r="TQ69" s="2936"/>
      <c r="TR69" s="2936"/>
      <c r="TS69" s="2936"/>
      <c r="TT69" s="2936"/>
      <c r="TU69" s="2936"/>
      <c r="TV69" s="2936"/>
      <c r="TW69" s="2936"/>
      <c r="TX69" s="2936"/>
      <c r="TY69" s="2936"/>
      <c r="TZ69" s="2936"/>
      <c r="UA69" s="2936"/>
      <c r="UB69" s="2936"/>
      <c r="UC69" s="2936"/>
      <c r="UD69" s="2936"/>
      <c r="UE69" s="2936"/>
      <c r="UF69" s="2936"/>
      <c r="UG69" s="2936"/>
      <c r="UH69" s="2936"/>
      <c r="UI69" s="2936"/>
      <c r="UJ69" s="2936"/>
      <c r="UK69" s="2936"/>
      <c r="UL69" s="2936"/>
      <c r="UM69" s="2936"/>
      <c r="UN69" s="2936"/>
      <c r="UO69" s="2936"/>
      <c r="UP69" s="2936"/>
      <c r="UQ69" s="2936"/>
      <c r="UR69" s="2936"/>
      <c r="US69" s="2936"/>
      <c r="UT69" s="2936"/>
      <c r="UU69" s="2936"/>
      <c r="UV69" s="2936"/>
      <c r="UW69" s="2936"/>
      <c r="UX69" s="2936"/>
      <c r="UY69" s="2936"/>
      <c r="UZ69" s="2936"/>
      <c r="VA69" s="2936"/>
      <c r="VB69" s="2936"/>
      <c r="VC69" s="2936"/>
      <c r="VD69" s="2936"/>
      <c r="VE69" s="2936"/>
      <c r="VF69" s="2936"/>
      <c r="VG69" s="2936"/>
      <c r="VH69" s="2936"/>
      <c r="VI69" s="2936"/>
      <c r="VJ69" s="2936"/>
      <c r="VK69" s="2936"/>
      <c r="VL69" s="2936"/>
      <c r="VM69" s="2936"/>
      <c r="VN69" s="2936"/>
      <c r="VO69" s="2936"/>
      <c r="VP69" s="2936"/>
      <c r="VQ69" s="2936"/>
      <c r="VR69" s="2936"/>
      <c r="VS69" s="2936"/>
      <c r="VT69" s="2936"/>
      <c r="VU69" s="2936"/>
      <c r="VV69" s="2936"/>
      <c r="VW69" s="2936"/>
      <c r="VX69" s="2936"/>
      <c r="VY69" s="2936"/>
      <c r="VZ69" s="2936"/>
      <c r="WA69" s="2936"/>
      <c r="WB69" s="2936"/>
      <c r="WC69" s="2936"/>
      <c r="WD69" s="2936"/>
      <c r="WE69" s="2936"/>
      <c r="WF69" s="2936"/>
      <c r="WG69" s="2936"/>
      <c r="WH69" s="2936"/>
      <c r="WI69" s="2936"/>
      <c r="WJ69" s="2936"/>
      <c r="WK69" s="2936"/>
      <c r="WL69" s="2936"/>
      <c r="WM69" s="2936"/>
      <c r="WN69" s="2936"/>
      <c r="WO69" s="2936"/>
      <c r="WP69" s="2936"/>
      <c r="WQ69" s="2936"/>
      <c r="WR69" s="2936"/>
      <c r="WS69" s="2936"/>
      <c r="WT69" s="2936"/>
      <c r="WU69" s="2936"/>
      <c r="WV69" s="2936"/>
      <c r="WW69" s="2936"/>
      <c r="WX69" s="2936"/>
      <c r="WY69" s="2936"/>
      <c r="WZ69" s="2936"/>
      <c r="XA69" s="2936"/>
      <c r="XB69" s="2936"/>
      <c r="XC69" s="2936"/>
      <c r="XD69" s="2936"/>
      <c r="XE69" s="2936"/>
      <c r="XF69" s="2936"/>
      <c r="XG69" s="2936"/>
      <c r="XH69" s="2936"/>
      <c r="XI69" s="2936"/>
      <c r="XJ69" s="2936"/>
      <c r="XK69" s="2936"/>
      <c r="XL69" s="2936"/>
      <c r="XM69" s="2936"/>
      <c r="XN69" s="2936"/>
      <c r="XO69" s="2936"/>
      <c r="XP69" s="2936"/>
      <c r="XQ69" s="2936"/>
      <c r="XR69" s="2936"/>
      <c r="XS69" s="2936"/>
      <c r="XT69" s="2936"/>
      <c r="XU69" s="2936"/>
      <c r="XV69" s="2936"/>
      <c r="XW69" s="2936"/>
      <c r="XX69" s="2936"/>
      <c r="XY69" s="2936"/>
      <c r="XZ69" s="2936"/>
      <c r="YA69" s="2936"/>
      <c r="YB69" s="2936"/>
      <c r="YC69" s="2936"/>
      <c r="YD69" s="2936"/>
      <c r="YE69" s="2936"/>
      <c r="YF69" s="2936"/>
      <c r="YG69" s="2936"/>
      <c r="YH69" s="2936"/>
      <c r="YI69" s="2936"/>
      <c r="YJ69" s="2936"/>
      <c r="YK69" s="2936"/>
      <c r="YL69" s="2936"/>
      <c r="YM69" s="2936"/>
      <c r="YN69" s="2936"/>
      <c r="YO69" s="2936"/>
      <c r="YP69" s="2936"/>
      <c r="YQ69" s="2936"/>
      <c r="YR69" s="2936"/>
      <c r="YS69" s="2936"/>
      <c r="YT69" s="2936"/>
      <c r="YU69" s="2936"/>
      <c r="YV69" s="2936"/>
      <c r="YW69" s="2936"/>
      <c r="YX69" s="2936"/>
      <c r="YY69" s="2936"/>
      <c r="YZ69" s="2936"/>
      <c r="ZA69" s="2936"/>
      <c r="ZB69" s="2936"/>
      <c r="ZC69" s="2936"/>
      <c r="ZD69" s="2936"/>
      <c r="ZE69" s="2936"/>
      <c r="ZF69" s="2936"/>
      <c r="ZG69" s="2936"/>
      <c r="ZH69" s="2936"/>
      <c r="ZI69" s="2936"/>
      <c r="ZJ69" s="2936"/>
      <c r="ZK69" s="2936"/>
      <c r="ZL69" s="2936"/>
      <c r="ZM69" s="2936"/>
      <c r="ZN69" s="2936"/>
      <c r="ZO69" s="2936"/>
      <c r="ZP69" s="2936"/>
      <c r="ZQ69" s="2936"/>
      <c r="ZR69" s="2936"/>
      <c r="ZS69" s="2936"/>
      <c r="ZT69" s="2936"/>
      <c r="ZU69" s="2936"/>
      <c r="ZV69" s="2936"/>
      <c r="ZW69" s="2936"/>
      <c r="ZX69" s="2936"/>
      <c r="ZY69" s="2936"/>
      <c r="ZZ69" s="2936"/>
      <c r="AAA69" s="2936"/>
      <c r="AAB69" s="2936"/>
      <c r="AAC69" s="2936"/>
      <c r="AAD69" s="2936"/>
      <c r="AAE69" s="2936"/>
      <c r="AAF69" s="2936"/>
      <c r="AAG69" s="2936"/>
      <c r="AAH69" s="2936"/>
      <c r="AAI69" s="2936"/>
      <c r="AAJ69" s="2936"/>
      <c r="AAK69" s="2936"/>
      <c r="AAL69" s="2936"/>
      <c r="AAM69" s="2936"/>
      <c r="AAN69" s="2936"/>
      <c r="AAO69" s="2936"/>
      <c r="AAP69" s="2936"/>
      <c r="AAQ69" s="2936"/>
      <c r="AAR69" s="2936"/>
      <c r="AAS69" s="2936"/>
      <c r="AAT69" s="2936"/>
      <c r="AAU69" s="2936"/>
      <c r="AAV69" s="2936"/>
      <c r="AAW69" s="2936"/>
      <c r="AAX69" s="2936"/>
      <c r="AAY69" s="2936"/>
      <c r="AAZ69" s="2936"/>
      <c r="ABA69" s="2936"/>
      <c r="ABB69" s="2936"/>
      <c r="ABC69" s="2936"/>
      <c r="ABD69" s="2936"/>
      <c r="ABE69" s="2936"/>
      <c r="ABF69" s="2936"/>
      <c r="ABG69" s="2936"/>
      <c r="ABH69" s="2936"/>
      <c r="ABI69" s="2936"/>
      <c r="ABJ69" s="2936"/>
      <c r="ABK69" s="2936"/>
      <c r="ABL69" s="2936"/>
      <c r="ABM69" s="2936"/>
      <c r="ABN69" s="2936"/>
      <c r="ABO69" s="2936"/>
      <c r="ABP69" s="2936"/>
      <c r="ABQ69" s="2936"/>
      <c r="ABR69" s="2936"/>
      <c r="ABS69" s="2936"/>
      <c r="ABT69" s="2936"/>
      <c r="ABU69" s="2936"/>
      <c r="ABV69" s="2936"/>
      <c r="ABW69" s="2936"/>
      <c r="ABX69" s="2936"/>
      <c r="ABY69" s="2936"/>
      <c r="ABZ69" s="2936"/>
      <c r="ACA69" s="2936"/>
      <c r="ACB69" s="2936"/>
      <c r="ACC69" s="2936"/>
      <c r="ACD69" s="2936"/>
      <c r="ACE69" s="2936"/>
      <c r="ACF69" s="2936"/>
      <c r="ACG69" s="2936"/>
      <c r="ACH69" s="2936"/>
      <c r="ACI69" s="2936"/>
      <c r="ACJ69" s="2936"/>
      <c r="ACK69" s="2936"/>
      <c r="ACL69" s="2936"/>
      <c r="ACM69" s="2936"/>
      <c r="ACN69" s="2936"/>
      <c r="ACO69" s="2936"/>
      <c r="ACP69" s="2936"/>
      <c r="ACQ69" s="2936"/>
      <c r="ACR69" s="2936"/>
      <c r="ACS69" s="2936"/>
      <c r="ACT69" s="2936"/>
      <c r="ACU69" s="2936"/>
      <c r="ACV69" s="2936"/>
      <c r="ACW69" s="2936"/>
      <c r="ACX69" s="2936"/>
      <c r="ACY69" s="2936"/>
      <c r="ACZ69" s="2936"/>
      <c r="ADA69" s="2936"/>
      <c r="ADB69" s="2936"/>
      <c r="ADC69" s="2936"/>
      <c r="ADD69" s="2936"/>
      <c r="ADE69" s="2936"/>
      <c r="ADF69" s="2936"/>
      <c r="ADG69" s="2936"/>
      <c r="ADH69" s="2936"/>
      <c r="ADI69" s="2936"/>
      <c r="ADJ69" s="2936"/>
      <c r="ADK69" s="2936"/>
      <c r="ADL69" s="2936"/>
      <c r="ADM69" s="2936"/>
      <c r="ADN69" s="2936"/>
      <c r="ADO69" s="2936"/>
      <c r="ADP69" s="2936"/>
      <c r="ADQ69" s="2936"/>
      <c r="ADR69" s="2936"/>
      <c r="ADS69" s="2936"/>
      <c r="ADT69" s="2936"/>
      <c r="ADU69" s="2936"/>
      <c r="ADV69" s="2936"/>
      <c r="ADW69" s="2936"/>
      <c r="ADX69" s="2936"/>
      <c r="ADY69" s="2936"/>
      <c r="ADZ69" s="2936"/>
      <c r="AEA69" s="2936"/>
      <c r="AEB69" s="2936"/>
      <c r="AEC69" s="2936"/>
      <c r="AED69" s="2936"/>
      <c r="AEE69" s="2936"/>
      <c r="AEF69" s="2936"/>
      <c r="AEG69" s="2936"/>
      <c r="AEH69" s="2936"/>
      <c r="AEI69" s="2936"/>
      <c r="AEJ69" s="2936"/>
      <c r="AEK69" s="2936"/>
      <c r="AEL69" s="2936"/>
      <c r="AEM69" s="2936"/>
      <c r="AEN69" s="2936"/>
      <c r="AEO69" s="2936"/>
      <c r="AEP69" s="2936"/>
      <c r="AEQ69" s="2936"/>
      <c r="AER69" s="2936"/>
      <c r="AES69" s="2936"/>
      <c r="AET69" s="2936"/>
      <c r="AEU69" s="2936"/>
      <c r="AEV69" s="2936"/>
      <c r="AEW69" s="2936"/>
      <c r="AEX69" s="2936"/>
      <c r="AEY69" s="2936"/>
      <c r="AEZ69" s="2936"/>
      <c r="AFA69" s="2936"/>
      <c r="AFB69" s="2936"/>
      <c r="AFC69" s="2936"/>
      <c r="AFD69" s="2936"/>
      <c r="AFE69" s="2936"/>
      <c r="AFF69" s="2936"/>
      <c r="AFG69" s="2936"/>
      <c r="AFH69" s="2936"/>
      <c r="AFI69" s="2936"/>
      <c r="AFJ69" s="2936"/>
      <c r="AFK69" s="2936"/>
      <c r="AFL69" s="2936"/>
      <c r="AFM69" s="2936"/>
      <c r="AFN69" s="2936"/>
      <c r="AFO69" s="2936"/>
      <c r="AFP69" s="2936"/>
      <c r="AFQ69" s="2936"/>
      <c r="AFR69" s="2936"/>
      <c r="AFS69" s="2936"/>
      <c r="AFT69" s="2936"/>
      <c r="AFU69" s="2936"/>
      <c r="AFV69" s="2936"/>
      <c r="AFW69" s="2936"/>
      <c r="AFX69" s="2936"/>
      <c r="AFY69" s="2936"/>
      <c r="AFZ69" s="2936"/>
      <c r="AGA69" s="2936"/>
      <c r="AGB69" s="2936"/>
      <c r="AGC69" s="2936"/>
      <c r="AGD69" s="2936"/>
      <c r="AGE69" s="2936"/>
      <c r="AGF69" s="2936"/>
      <c r="AGG69" s="2936"/>
      <c r="AGH69" s="2936"/>
      <c r="AGI69" s="2936"/>
      <c r="AGJ69" s="2936"/>
      <c r="AGK69" s="2936"/>
      <c r="AGL69" s="2936"/>
      <c r="AGM69" s="2936"/>
      <c r="AGN69" s="2936"/>
      <c r="AGO69" s="2936"/>
      <c r="AGP69" s="2936"/>
      <c r="AGQ69" s="2936"/>
      <c r="AGR69" s="2936"/>
      <c r="AGS69" s="2936"/>
      <c r="AGT69" s="2936"/>
      <c r="AGU69" s="2936"/>
      <c r="AGV69" s="2936"/>
      <c r="AGW69" s="2936"/>
      <c r="AGX69" s="2936"/>
      <c r="AGY69" s="2936"/>
      <c r="AGZ69" s="2936"/>
      <c r="AHA69" s="2936"/>
      <c r="AHB69" s="2936"/>
      <c r="AHC69" s="2936"/>
      <c r="AHD69" s="2936"/>
      <c r="AHE69" s="2936"/>
      <c r="AHF69" s="2936"/>
      <c r="AHG69" s="2936"/>
      <c r="AHH69" s="2936"/>
      <c r="AHI69" s="2936"/>
      <c r="AHJ69" s="2936"/>
      <c r="AHK69" s="2936"/>
      <c r="AHL69" s="2936"/>
      <c r="AHM69" s="2936"/>
      <c r="AHN69" s="2936"/>
      <c r="AHO69" s="2936"/>
      <c r="AHP69" s="2936"/>
      <c r="AHQ69" s="2936"/>
      <c r="AHR69" s="2936"/>
      <c r="AHS69" s="2936"/>
      <c r="AHT69" s="2936"/>
      <c r="AHU69" s="2936"/>
      <c r="AHV69" s="2936"/>
      <c r="AHW69" s="2936"/>
      <c r="AHX69" s="2936"/>
      <c r="AHY69" s="2936"/>
      <c r="AHZ69" s="2936"/>
      <c r="AIA69" s="2936"/>
      <c r="AIB69" s="2936"/>
      <c r="AIC69" s="2936"/>
      <c r="AID69" s="2936"/>
      <c r="AIE69" s="2936"/>
      <c r="AIF69" s="2936"/>
      <c r="AIG69" s="2936"/>
      <c r="AIH69" s="2936"/>
      <c r="AII69" s="2936"/>
      <c r="AIJ69" s="2936"/>
      <c r="AIK69" s="2936"/>
      <c r="AIL69" s="2936"/>
      <c r="AIM69" s="2936"/>
      <c r="AIN69" s="2936"/>
      <c r="AIO69" s="2936"/>
      <c r="AIP69" s="2936"/>
      <c r="AIQ69" s="2936"/>
      <c r="AIR69" s="2936"/>
      <c r="AIS69" s="2936"/>
      <c r="AIT69" s="2936"/>
      <c r="AIU69" s="2936"/>
      <c r="AIV69" s="2936"/>
      <c r="AIW69" s="2936"/>
      <c r="AIX69" s="2936"/>
      <c r="AIY69" s="2936"/>
      <c r="AIZ69" s="2936"/>
      <c r="AJA69" s="2936"/>
      <c r="AJB69" s="2936"/>
      <c r="AJC69" s="2936"/>
      <c r="AJD69" s="2936"/>
      <c r="AJE69" s="2936"/>
      <c r="AJF69" s="2936"/>
      <c r="AJG69" s="2936"/>
      <c r="AJH69" s="2936"/>
      <c r="AJI69" s="2936"/>
      <c r="AJJ69" s="2936"/>
      <c r="AJK69" s="2936"/>
      <c r="AJL69" s="2936"/>
      <c r="AJM69" s="2936"/>
      <c r="AJN69" s="2936"/>
      <c r="AJO69" s="2936"/>
      <c r="AJP69" s="2936"/>
      <c r="AJQ69" s="2936"/>
      <c r="AJR69" s="2936"/>
      <c r="AJS69" s="2936"/>
      <c r="AJT69" s="2936"/>
      <c r="AJU69" s="2936"/>
      <c r="AJV69" s="2936"/>
      <c r="AJW69" s="2936"/>
      <c r="AJX69" s="2936"/>
      <c r="AJY69" s="2936"/>
      <c r="AJZ69" s="2936"/>
      <c r="AKA69" s="2936"/>
      <c r="AKB69" s="2936"/>
      <c r="AKC69" s="2936"/>
      <c r="AKD69" s="2936"/>
      <c r="AKE69" s="2936"/>
      <c r="AKF69" s="2936"/>
      <c r="AKG69" s="2936"/>
      <c r="AKH69" s="2936"/>
      <c r="AKI69" s="2936"/>
      <c r="AKJ69" s="2936"/>
      <c r="AKK69" s="2936"/>
      <c r="AKL69" s="2936"/>
      <c r="AKM69" s="2936"/>
      <c r="AKN69" s="2936"/>
      <c r="AKO69" s="2936"/>
      <c r="AKP69" s="2936"/>
      <c r="AKQ69" s="2936"/>
      <c r="AKR69" s="2936"/>
      <c r="AKS69" s="2936"/>
      <c r="AKT69" s="2936"/>
      <c r="AKU69" s="2936"/>
      <c r="AKV69" s="2936"/>
      <c r="AKW69" s="2936"/>
      <c r="AKX69" s="2936"/>
      <c r="AKY69" s="2936"/>
      <c r="AKZ69" s="2936"/>
      <c r="ALA69" s="2936"/>
      <c r="ALB69" s="2936"/>
      <c r="ALC69" s="2936"/>
      <c r="ALD69" s="2936"/>
      <c r="ALE69" s="2936"/>
      <c r="ALF69" s="2936"/>
      <c r="ALG69" s="2936"/>
      <c r="ALH69" s="2936"/>
      <c r="ALI69" s="2936"/>
      <c r="ALJ69" s="2936"/>
      <c r="ALK69" s="2936"/>
      <c r="ALL69" s="2936"/>
      <c r="ALM69" s="2936"/>
      <c r="ALN69" s="2936"/>
      <c r="ALO69" s="2936"/>
      <c r="ALP69" s="2936"/>
      <c r="ALQ69" s="2936"/>
      <c r="ALR69" s="2936"/>
      <c r="ALS69" s="2936"/>
      <c r="ALT69" s="2936"/>
      <c r="ALU69" s="2936"/>
      <c r="ALV69" s="2936"/>
      <c r="ALW69" s="2936"/>
      <c r="ALX69" s="2936"/>
      <c r="ALY69" s="2936"/>
      <c r="ALZ69" s="2936"/>
      <c r="AMA69" s="2936"/>
      <c r="AMB69" s="2936"/>
      <c r="AMC69" s="2936"/>
      <c r="AMD69" s="2936"/>
      <c r="AME69" s="2936"/>
      <c r="AMF69" s="2936"/>
      <c r="AMG69" s="2936"/>
      <c r="AMH69" s="2936"/>
      <c r="AMI69" s="2936"/>
      <c r="AMJ69" s="2936"/>
      <c r="AMK69" s="2936"/>
      <c r="AML69" s="2936"/>
      <c r="AMM69" s="2936"/>
      <c r="AMN69" s="2936"/>
      <c r="AMO69" s="2936"/>
      <c r="AMP69" s="2936"/>
      <c r="AMQ69" s="2936"/>
      <c r="AMR69" s="2936"/>
      <c r="AMS69" s="2936"/>
      <c r="AMT69" s="2936"/>
      <c r="AMU69" s="2936"/>
      <c r="AMV69" s="2936"/>
      <c r="AMW69" s="2936"/>
      <c r="AMX69" s="2936"/>
      <c r="AMY69" s="2936"/>
      <c r="AMZ69" s="2936"/>
      <c r="ANA69" s="2936"/>
      <c r="ANB69" s="2936"/>
      <c r="ANC69" s="2936"/>
      <c r="AND69" s="2936"/>
      <c r="ANE69" s="2936"/>
      <c r="ANF69" s="2936"/>
      <c r="ANG69" s="2936"/>
      <c r="ANH69" s="2936"/>
      <c r="ANI69" s="2936"/>
      <c r="ANJ69" s="2936"/>
      <c r="ANK69" s="2936"/>
      <c r="ANL69" s="2936"/>
      <c r="ANM69" s="2936"/>
      <c r="ANN69" s="2936"/>
      <c r="ANO69" s="2936"/>
      <c r="ANP69" s="2936"/>
      <c r="ANQ69" s="2936"/>
      <c r="ANR69" s="2936"/>
      <c r="ANS69" s="2936"/>
      <c r="ANT69" s="2936"/>
      <c r="ANU69" s="2936"/>
      <c r="ANV69" s="2936"/>
      <c r="ANW69" s="2936"/>
      <c r="ANX69" s="2936"/>
      <c r="ANY69" s="2936"/>
      <c r="ANZ69" s="2936"/>
      <c r="AOA69" s="2936"/>
      <c r="AOB69" s="2936"/>
      <c r="AOC69" s="2936"/>
      <c r="AOD69" s="2936"/>
      <c r="AOE69" s="2936"/>
      <c r="AOF69" s="2936"/>
      <c r="AOG69" s="2936"/>
      <c r="AOH69" s="2936"/>
      <c r="AOI69" s="2936"/>
      <c r="AOJ69" s="2936"/>
      <c r="AOK69" s="2936"/>
      <c r="AOL69" s="2936"/>
      <c r="AOM69" s="2936"/>
      <c r="AON69" s="2936"/>
      <c r="AOO69" s="2936"/>
      <c r="AOP69" s="2936"/>
      <c r="AOQ69" s="2936"/>
      <c r="AOR69" s="2936"/>
      <c r="AOS69" s="2936"/>
      <c r="AOT69" s="2936"/>
      <c r="AOU69" s="2936"/>
      <c r="AOV69" s="2936"/>
      <c r="AOW69" s="2936"/>
      <c r="AOX69" s="2936"/>
      <c r="AOY69" s="2936"/>
      <c r="AOZ69" s="2936"/>
      <c r="APA69" s="2936"/>
      <c r="APB69" s="2936"/>
      <c r="APC69" s="2936"/>
      <c r="APD69" s="2936"/>
      <c r="APE69" s="2936"/>
      <c r="APF69" s="2936"/>
      <c r="APG69" s="2936"/>
      <c r="APH69" s="2936"/>
      <c r="API69" s="2936"/>
      <c r="APJ69" s="2936"/>
      <c r="APK69" s="2936"/>
      <c r="APL69" s="2936"/>
      <c r="APM69" s="2936"/>
      <c r="APN69" s="2936"/>
      <c r="APO69" s="2936"/>
      <c r="APP69" s="2936"/>
      <c r="APQ69" s="2936"/>
      <c r="APR69" s="2936"/>
      <c r="APS69" s="2936"/>
      <c r="APT69" s="2936"/>
      <c r="APU69" s="2936"/>
      <c r="APV69" s="2936"/>
      <c r="APW69" s="2936"/>
      <c r="APX69" s="2936"/>
      <c r="APY69" s="2936"/>
      <c r="APZ69" s="2936"/>
      <c r="AQA69" s="2936"/>
      <c r="AQB69" s="2936"/>
      <c r="AQC69" s="2936"/>
      <c r="AQD69" s="2936"/>
      <c r="AQE69" s="2936"/>
      <c r="AQF69" s="2936"/>
      <c r="AQG69" s="2936"/>
      <c r="AQH69" s="2936"/>
      <c r="AQI69" s="2936"/>
      <c r="AQJ69" s="2936"/>
      <c r="AQK69" s="2936"/>
      <c r="AQL69" s="2936"/>
      <c r="AQM69" s="2936"/>
      <c r="AQN69" s="2936"/>
      <c r="AQO69" s="2936"/>
      <c r="AQP69" s="2936"/>
      <c r="AQQ69" s="2936"/>
      <c r="AQR69" s="2936"/>
      <c r="AQS69" s="2936"/>
      <c r="AQT69" s="2936"/>
      <c r="AQU69" s="2936"/>
      <c r="AQV69" s="2936"/>
      <c r="AQW69" s="2936"/>
      <c r="AQX69" s="2936"/>
      <c r="AQY69" s="2936"/>
      <c r="AQZ69" s="2936"/>
      <c r="ARA69" s="2936"/>
      <c r="ARB69" s="2936"/>
      <c r="ARC69" s="2936"/>
      <c r="ARD69" s="2936"/>
      <c r="ARE69" s="2936"/>
      <c r="ARF69" s="2936"/>
      <c r="ARG69" s="2936"/>
      <c r="ARH69" s="2936"/>
      <c r="ARI69" s="2936"/>
      <c r="ARJ69" s="2936"/>
      <c r="ARK69" s="2936"/>
      <c r="ARL69" s="2936"/>
      <c r="ARM69" s="2936"/>
      <c r="ARN69" s="2936"/>
      <c r="ARO69" s="2936"/>
      <c r="ARP69" s="2936"/>
      <c r="ARQ69" s="2936"/>
      <c r="ARR69" s="2936"/>
      <c r="ARS69" s="2936"/>
      <c r="ART69" s="2936"/>
      <c r="ARU69" s="2936"/>
      <c r="ARV69" s="2936"/>
      <c r="ARW69" s="2936"/>
      <c r="ARX69" s="2936"/>
      <c r="ARY69" s="2936"/>
      <c r="ARZ69" s="2936"/>
      <c r="ASA69" s="2936"/>
      <c r="ASB69" s="2936"/>
      <c r="ASC69" s="2936"/>
      <c r="ASD69" s="2936"/>
      <c r="ASE69" s="2936"/>
      <c r="ASF69" s="2936"/>
      <c r="ASG69" s="2936"/>
      <c r="ASH69" s="2936"/>
      <c r="ASI69" s="2936"/>
      <c r="ASJ69" s="2936"/>
      <c r="ASK69" s="2936"/>
      <c r="ASL69" s="2936"/>
      <c r="ASM69" s="2936"/>
      <c r="ASN69" s="2936"/>
      <c r="ASO69" s="2936"/>
      <c r="ASP69" s="2936"/>
      <c r="ASQ69" s="2936"/>
      <c r="ASR69" s="2936"/>
      <c r="ASS69" s="2936"/>
      <c r="AST69" s="2936"/>
      <c r="ASU69" s="2936"/>
      <c r="ASV69" s="2936"/>
      <c r="ASW69" s="2936"/>
      <c r="ASX69" s="2936"/>
      <c r="ASY69" s="2936"/>
      <c r="ASZ69" s="2936"/>
      <c r="ATA69" s="2936"/>
      <c r="ATB69" s="2936"/>
      <c r="ATC69" s="2936"/>
      <c r="ATD69" s="2936"/>
      <c r="ATE69" s="2936"/>
      <c r="ATF69" s="2936"/>
      <c r="ATG69" s="2936"/>
      <c r="ATH69" s="2936"/>
      <c r="ATI69" s="2936"/>
      <c r="ATJ69" s="2936"/>
      <c r="ATK69" s="2936"/>
      <c r="ATL69" s="2936"/>
      <c r="ATM69" s="2936"/>
      <c r="ATN69" s="2936"/>
      <c r="ATO69" s="2936"/>
      <c r="ATP69" s="2936"/>
      <c r="ATQ69" s="2936"/>
      <c r="ATR69" s="2936"/>
      <c r="ATS69" s="2936"/>
      <c r="ATT69" s="2936"/>
      <c r="ATU69" s="2936"/>
      <c r="ATV69" s="2936"/>
      <c r="ATW69" s="2936"/>
      <c r="ATX69" s="2936"/>
      <c r="ATY69" s="2936"/>
      <c r="ATZ69" s="2936"/>
      <c r="AUA69" s="2936"/>
      <c r="AUB69" s="2936"/>
      <c r="AUC69" s="2936"/>
      <c r="AUD69" s="2936"/>
      <c r="AUE69" s="2936"/>
      <c r="AUF69" s="2936"/>
      <c r="AUG69" s="2936"/>
      <c r="AUH69" s="2936"/>
      <c r="AUI69" s="2936"/>
      <c r="AUJ69" s="2936"/>
      <c r="AUK69" s="2936"/>
      <c r="AUL69" s="2936"/>
      <c r="AUM69" s="2936"/>
      <c r="AUN69" s="2936"/>
      <c r="AUO69" s="2936"/>
      <c r="AUP69" s="2936"/>
      <c r="AUQ69" s="2936"/>
      <c r="AUR69" s="2936"/>
      <c r="AUS69" s="2936"/>
      <c r="AUT69" s="2936"/>
      <c r="AUU69" s="2936"/>
      <c r="AUV69" s="2936"/>
      <c r="AUW69" s="2936"/>
      <c r="AUX69" s="2936"/>
      <c r="AUY69" s="2936"/>
      <c r="AUZ69" s="2936"/>
      <c r="AVA69" s="2936"/>
      <c r="AVB69" s="2936"/>
      <c r="AVC69" s="2936"/>
      <c r="AVD69" s="2936"/>
      <c r="AVE69" s="2936"/>
      <c r="AVF69" s="2936"/>
      <c r="AVG69" s="2936"/>
      <c r="AVH69" s="2936"/>
      <c r="AVI69" s="2936"/>
      <c r="AVJ69" s="2936"/>
      <c r="AVK69" s="2936"/>
      <c r="AVL69" s="2936"/>
      <c r="AVM69" s="2936"/>
      <c r="AVN69" s="2936"/>
      <c r="AVO69" s="2936"/>
      <c r="AVP69" s="2936"/>
      <c r="AVQ69" s="2936"/>
      <c r="AVR69" s="2936"/>
      <c r="AVS69" s="2936"/>
      <c r="AVT69" s="2936"/>
      <c r="AVU69" s="2936"/>
      <c r="AVV69" s="2936"/>
      <c r="AVW69" s="2936"/>
      <c r="AVX69" s="2936"/>
      <c r="AVY69" s="2936"/>
      <c r="AVZ69" s="2936"/>
      <c r="AWA69" s="2936"/>
      <c r="AWB69" s="2936"/>
      <c r="AWC69" s="2936"/>
      <c r="AWD69" s="2936"/>
      <c r="AWE69" s="2936"/>
      <c r="AWF69" s="2936"/>
      <c r="AWG69" s="2936"/>
      <c r="AWH69" s="2936"/>
      <c r="AWI69" s="2936"/>
      <c r="AWJ69" s="2936"/>
      <c r="AWK69" s="2936"/>
      <c r="AWL69" s="2936"/>
      <c r="AWM69" s="2936"/>
      <c r="AWN69" s="2936"/>
      <c r="AWO69" s="2936"/>
      <c r="AWP69" s="2936"/>
      <c r="AWQ69" s="2936"/>
      <c r="AWR69" s="2936"/>
      <c r="AWS69" s="2936"/>
      <c r="AWT69" s="2936"/>
      <c r="AWU69" s="2936"/>
      <c r="AWV69" s="2936"/>
      <c r="AWW69" s="2936"/>
      <c r="AWX69" s="2936"/>
      <c r="AWY69" s="2936"/>
      <c r="AWZ69" s="2936"/>
      <c r="AXA69" s="2936"/>
      <c r="AXB69" s="2936"/>
      <c r="AXC69" s="2936"/>
      <c r="AXD69" s="2936"/>
      <c r="AXE69" s="2936"/>
      <c r="AXF69" s="2936"/>
      <c r="AXG69" s="2936"/>
      <c r="AXH69" s="2936"/>
      <c r="AXI69" s="2936"/>
      <c r="AXJ69" s="2936"/>
      <c r="AXK69" s="2936"/>
      <c r="AXL69" s="2936"/>
      <c r="AXM69" s="2936"/>
      <c r="AXN69" s="2936"/>
      <c r="AXO69" s="2936"/>
      <c r="AXP69" s="2936"/>
      <c r="AXQ69" s="2936"/>
      <c r="AXR69" s="2936"/>
      <c r="AXS69" s="2936"/>
      <c r="AXT69" s="2936"/>
      <c r="AXU69" s="2936"/>
      <c r="AXV69" s="2936"/>
      <c r="AXW69" s="2936"/>
      <c r="AXX69" s="2936"/>
      <c r="AXY69" s="2936"/>
      <c r="AXZ69" s="2936"/>
      <c r="AYA69" s="2936"/>
      <c r="AYB69" s="2936"/>
      <c r="AYC69" s="2936"/>
      <c r="AYD69" s="2936"/>
      <c r="AYE69" s="2936"/>
      <c r="AYF69" s="2936"/>
      <c r="AYG69" s="2936"/>
      <c r="AYH69" s="2936"/>
      <c r="AYI69" s="2936"/>
      <c r="AYJ69" s="2936"/>
      <c r="AYK69" s="2936"/>
      <c r="AYL69" s="2936"/>
      <c r="AYM69" s="2936"/>
      <c r="AYN69" s="2936"/>
      <c r="AYO69" s="2936"/>
      <c r="AYP69" s="2936"/>
      <c r="AYQ69" s="2936"/>
      <c r="AYR69" s="2936"/>
      <c r="AYS69" s="2936"/>
      <c r="AYT69" s="2936"/>
      <c r="AYU69" s="2936"/>
      <c r="AYV69" s="2936"/>
      <c r="AYW69" s="2936"/>
      <c r="AYX69" s="2936"/>
      <c r="AYY69" s="2936"/>
      <c r="AYZ69" s="2936"/>
      <c r="AZA69" s="2936"/>
      <c r="AZB69" s="2936"/>
      <c r="AZC69" s="2936"/>
      <c r="AZD69" s="2936"/>
      <c r="AZE69" s="2936"/>
      <c r="AZF69" s="2936"/>
      <c r="AZG69" s="2936"/>
      <c r="AZH69" s="2936"/>
      <c r="AZI69" s="2936"/>
      <c r="AZJ69" s="2936"/>
      <c r="AZK69" s="2936"/>
      <c r="AZL69" s="2936"/>
      <c r="AZM69" s="2936"/>
      <c r="AZN69" s="2936"/>
      <c r="AZO69" s="2936"/>
      <c r="AZP69" s="2936"/>
      <c r="AZQ69" s="2936"/>
      <c r="AZR69" s="2936"/>
      <c r="AZS69" s="2936"/>
      <c r="AZT69" s="2936"/>
      <c r="AZU69" s="2936"/>
      <c r="AZV69" s="2936"/>
      <c r="AZW69" s="2936"/>
      <c r="AZX69" s="2936"/>
      <c r="AZY69" s="2936"/>
      <c r="AZZ69" s="2936"/>
      <c r="BAA69" s="2936"/>
      <c r="BAB69" s="2936"/>
      <c r="BAC69" s="2936"/>
      <c r="BAD69" s="2936"/>
      <c r="BAE69" s="2936"/>
      <c r="BAF69" s="2936"/>
      <c r="BAG69" s="2936"/>
      <c r="BAH69" s="2936"/>
      <c r="BAI69" s="2936"/>
      <c r="BAJ69" s="2936"/>
      <c r="BAK69" s="2936"/>
      <c r="BAL69" s="2936"/>
      <c r="BAM69" s="2936"/>
      <c r="BAN69" s="2936"/>
      <c r="BAO69" s="2936"/>
      <c r="BAP69" s="2936"/>
      <c r="BAQ69" s="2936"/>
      <c r="BAR69" s="2936"/>
      <c r="BAS69" s="2936"/>
      <c r="BAT69" s="2936"/>
      <c r="BAU69" s="2936"/>
      <c r="BAV69" s="2936"/>
      <c r="BAW69" s="2936"/>
      <c r="BAX69" s="2936"/>
      <c r="BAY69" s="2936"/>
      <c r="BAZ69" s="2936"/>
      <c r="BBA69" s="2936"/>
      <c r="BBB69" s="2936"/>
      <c r="BBC69" s="2936"/>
      <c r="BBD69" s="2936"/>
      <c r="BBE69" s="2936"/>
      <c r="BBF69" s="2936"/>
      <c r="BBG69" s="2936"/>
      <c r="BBH69" s="2936"/>
      <c r="BBI69" s="2936"/>
      <c r="BBJ69" s="2936"/>
      <c r="BBK69" s="2936"/>
      <c r="BBL69" s="2936"/>
      <c r="BBM69" s="2936"/>
      <c r="BBN69" s="2936"/>
      <c r="BBO69" s="2936"/>
      <c r="BBP69" s="2936"/>
      <c r="BBQ69" s="2936"/>
      <c r="BBR69" s="2936"/>
      <c r="BBS69" s="2936"/>
      <c r="BBT69" s="2936"/>
      <c r="BBU69" s="2936"/>
      <c r="BBV69" s="2936"/>
      <c r="BBW69" s="2936"/>
      <c r="BBX69" s="2936"/>
      <c r="BBY69" s="2936"/>
      <c r="BBZ69" s="2936"/>
      <c r="BCA69" s="2936"/>
      <c r="BCB69" s="2936"/>
      <c r="BCC69" s="2936"/>
      <c r="BCD69" s="2936"/>
      <c r="BCE69" s="2936"/>
      <c r="BCF69" s="2936"/>
      <c r="BCG69" s="2936"/>
      <c r="BCH69" s="2936"/>
      <c r="BCI69" s="2936"/>
      <c r="BCJ69" s="2936"/>
      <c r="BCK69" s="2936"/>
      <c r="BCL69" s="2936"/>
      <c r="BCM69" s="2936"/>
      <c r="BCN69" s="2936"/>
      <c r="BCO69" s="2936"/>
      <c r="BCP69" s="2936"/>
      <c r="BCQ69" s="2936"/>
      <c r="BCR69" s="2936"/>
      <c r="BCS69" s="2936"/>
      <c r="BCT69" s="2936"/>
      <c r="BCU69" s="2936"/>
      <c r="BCV69" s="2936"/>
      <c r="BCW69" s="2936"/>
      <c r="BCX69" s="2936"/>
      <c r="BCY69" s="2936"/>
      <c r="BCZ69" s="2936"/>
      <c r="BDA69" s="2936"/>
      <c r="BDB69" s="2936"/>
      <c r="BDC69" s="2936"/>
      <c r="BDD69" s="2936"/>
      <c r="BDE69" s="2936"/>
      <c r="BDF69" s="2936"/>
      <c r="BDG69" s="2936"/>
      <c r="BDH69" s="2936"/>
      <c r="BDI69" s="2936"/>
      <c r="BDJ69" s="2936"/>
      <c r="BDK69" s="2936"/>
      <c r="BDL69" s="2936"/>
      <c r="BDM69" s="2936"/>
      <c r="BDN69" s="2936"/>
      <c r="BDO69" s="2936"/>
      <c r="BDP69" s="2936"/>
      <c r="BDQ69" s="2936"/>
      <c r="BDR69" s="2936"/>
      <c r="BDS69" s="2936"/>
      <c r="BDT69" s="2936"/>
      <c r="BDU69" s="2936"/>
      <c r="BDV69" s="2936"/>
      <c r="BDW69" s="2936"/>
      <c r="BDX69" s="2936"/>
      <c r="BDY69" s="2936"/>
      <c r="BDZ69" s="2936"/>
      <c r="BEA69" s="2936"/>
      <c r="BEB69" s="2936"/>
      <c r="BEC69" s="2936"/>
      <c r="BED69" s="2936"/>
      <c r="BEE69" s="2936"/>
      <c r="BEF69" s="2936"/>
      <c r="BEG69" s="2936"/>
      <c r="BEH69" s="2936"/>
      <c r="BEI69" s="2936"/>
      <c r="BEJ69" s="2936"/>
      <c r="BEK69" s="2936"/>
      <c r="BEL69" s="2936"/>
      <c r="BEM69" s="2936"/>
      <c r="BEN69" s="2936"/>
      <c r="BEO69" s="2936"/>
      <c r="BEP69" s="2936"/>
      <c r="BEQ69" s="2936"/>
      <c r="BER69" s="2936"/>
      <c r="BES69" s="2936"/>
      <c r="BET69" s="2936"/>
      <c r="BEU69" s="2936"/>
      <c r="BEV69" s="2936"/>
      <c r="BEW69" s="2936"/>
      <c r="BEX69" s="2936"/>
      <c r="BEY69" s="2936"/>
      <c r="BEZ69" s="2936"/>
      <c r="BFA69" s="2936"/>
      <c r="BFB69" s="2936"/>
      <c r="BFC69" s="2936"/>
      <c r="BFD69" s="2936"/>
      <c r="BFE69" s="2936"/>
      <c r="BFF69" s="2936"/>
      <c r="BFG69" s="2936"/>
      <c r="BFH69" s="2936"/>
      <c r="BFI69" s="2936"/>
      <c r="BFJ69" s="2936"/>
      <c r="BFK69" s="2936"/>
      <c r="BFL69" s="2936"/>
      <c r="BFM69" s="2936"/>
      <c r="BFN69" s="2936"/>
      <c r="BFO69" s="2936"/>
      <c r="BFP69" s="2936"/>
      <c r="BFQ69" s="2936"/>
      <c r="BFR69" s="2936"/>
      <c r="BFS69" s="2936"/>
      <c r="BFT69" s="2936"/>
      <c r="BFU69" s="2936"/>
      <c r="BFV69" s="2936"/>
      <c r="BFW69" s="2936"/>
      <c r="BFX69" s="2936"/>
      <c r="BFY69" s="2936"/>
      <c r="BFZ69" s="2936"/>
      <c r="BGA69" s="2936"/>
      <c r="BGB69" s="2936"/>
      <c r="BGC69" s="2936"/>
      <c r="BGD69" s="2936"/>
      <c r="BGE69" s="2936"/>
      <c r="BGF69" s="2936"/>
      <c r="BGG69" s="2936"/>
      <c r="BGH69" s="2936"/>
      <c r="BGI69" s="2936"/>
      <c r="BGJ69" s="2936"/>
      <c r="BGK69" s="2936"/>
      <c r="BGL69" s="2936"/>
      <c r="BGM69" s="2936"/>
      <c r="BGN69" s="2936"/>
      <c r="BGO69" s="2936"/>
      <c r="BGP69" s="2936"/>
      <c r="BGQ69" s="2936"/>
      <c r="BGR69" s="2936"/>
      <c r="BGS69" s="2936"/>
      <c r="BGT69" s="2936"/>
      <c r="BGU69" s="2936"/>
      <c r="BGV69" s="2936"/>
      <c r="BGW69" s="2936"/>
      <c r="BGX69" s="2936"/>
      <c r="BGY69" s="2936"/>
      <c r="BGZ69" s="2936"/>
      <c r="BHA69" s="2936"/>
      <c r="BHB69" s="2936"/>
      <c r="BHC69" s="2936"/>
      <c r="BHD69" s="2936"/>
      <c r="BHE69" s="2936"/>
      <c r="BHF69" s="2936"/>
      <c r="BHG69" s="2936"/>
      <c r="BHH69" s="2936"/>
      <c r="BHI69" s="2936"/>
      <c r="BHJ69" s="2936"/>
      <c r="BHK69" s="2936"/>
      <c r="BHL69" s="2936"/>
      <c r="BHM69" s="2936"/>
      <c r="BHN69" s="2936"/>
      <c r="BHO69" s="2936"/>
      <c r="BHP69" s="2936"/>
      <c r="BHQ69" s="2936"/>
      <c r="BHR69" s="2936"/>
      <c r="BHS69" s="2936"/>
      <c r="BHT69" s="2936"/>
      <c r="BHU69" s="2936"/>
      <c r="BHV69" s="2936"/>
      <c r="BHW69" s="2936"/>
      <c r="BHX69" s="2936"/>
      <c r="BHY69" s="2936"/>
      <c r="BHZ69" s="2936"/>
      <c r="BIA69" s="2936"/>
      <c r="BIB69" s="2936"/>
      <c r="BIC69" s="2936"/>
      <c r="BID69" s="2936"/>
      <c r="BIE69" s="2936"/>
      <c r="BIF69" s="2936"/>
      <c r="BIG69" s="2936"/>
      <c r="BIH69" s="2936"/>
      <c r="BII69" s="2936"/>
      <c r="BIJ69" s="2936"/>
      <c r="BIK69" s="2936"/>
      <c r="BIL69" s="2936"/>
      <c r="BIM69" s="2936"/>
      <c r="BIN69" s="2936"/>
      <c r="BIO69" s="2936"/>
      <c r="BIP69" s="2936"/>
      <c r="BIQ69" s="2936"/>
      <c r="BIR69" s="2936"/>
      <c r="BIS69" s="2936"/>
      <c r="BIT69" s="2936"/>
      <c r="BIU69" s="2936"/>
      <c r="BIV69" s="2936"/>
      <c r="BIW69" s="2936"/>
      <c r="BIX69" s="2936"/>
      <c r="BIY69" s="2936"/>
      <c r="BIZ69" s="2936"/>
      <c r="BJA69" s="2936"/>
      <c r="BJB69" s="2936"/>
      <c r="BJC69" s="2936"/>
      <c r="BJD69" s="2936"/>
      <c r="BJE69" s="2936"/>
      <c r="BJF69" s="2936"/>
      <c r="BJG69" s="2936"/>
      <c r="BJH69" s="2936"/>
      <c r="BJI69" s="2936"/>
      <c r="BJJ69" s="2936"/>
      <c r="BJK69" s="2936"/>
      <c r="BJL69" s="2936"/>
      <c r="BJM69" s="2936"/>
      <c r="BJN69" s="2936"/>
      <c r="BJO69" s="2936"/>
      <c r="BJP69" s="2936"/>
      <c r="BJQ69" s="2936"/>
      <c r="BJR69" s="2936"/>
      <c r="BJS69" s="2936"/>
      <c r="BJT69" s="2936"/>
      <c r="BJU69" s="2936"/>
      <c r="BJV69" s="2936"/>
      <c r="BJW69" s="2936"/>
      <c r="BJX69" s="2936"/>
      <c r="BJY69" s="2936"/>
      <c r="BJZ69" s="2936"/>
      <c r="BKA69" s="2936"/>
      <c r="BKB69" s="2936"/>
      <c r="BKC69" s="2936"/>
      <c r="BKD69" s="2936"/>
      <c r="BKE69" s="2936"/>
      <c r="BKF69" s="2936"/>
      <c r="BKG69" s="2936"/>
      <c r="BKH69" s="2936"/>
      <c r="BKI69" s="2936"/>
      <c r="BKJ69" s="2936"/>
      <c r="BKK69" s="2936"/>
      <c r="BKL69" s="2936"/>
      <c r="BKM69" s="2936"/>
      <c r="BKN69" s="2936"/>
      <c r="BKO69" s="2936"/>
      <c r="BKP69" s="2936"/>
      <c r="BKQ69" s="2936"/>
      <c r="BKR69" s="2936"/>
      <c r="BKS69" s="2936"/>
      <c r="BKT69" s="2936"/>
      <c r="BKU69" s="2936"/>
      <c r="BKV69" s="2936"/>
      <c r="BKW69" s="2936"/>
      <c r="BKX69" s="2936"/>
      <c r="BKY69" s="2936"/>
      <c r="BKZ69" s="2936"/>
      <c r="BLA69" s="2936"/>
      <c r="BLB69" s="2936"/>
      <c r="BLC69" s="2936"/>
      <c r="BLD69" s="2936"/>
      <c r="BLE69" s="2936"/>
      <c r="BLF69" s="2936"/>
      <c r="BLG69" s="2936"/>
      <c r="BLH69" s="2936"/>
      <c r="BLI69" s="2936"/>
      <c r="BLJ69" s="2936"/>
      <c r="BLK69" s="2936"/>
      <c r="BLL69" s="2936"/>
      <c r="BLM69" s="2936"/>
      <c r="BLN69" s="2936"/>
      <c r="BLO69" s="2936"/>
      <c r="BLP69" s="2936"/>
      <c r="BLQ69" s="2936"/>
      <c r="BLR69" s="2936"/>
      <c r="BLS69" s="2936"/>
      <c r="BLT69" s="2936"/>
      <c r="BLU69" s="2936"/>
      <c r="BLV69" s="2936"/>
      <c r="BLW69" s="2936"/>
      <c r="BLX69" s="2936"/>
      <c r="BLY69" s="2936"/>
      <c r="BLZ69" s="2936"/>
      <c r="BMA69" s="2936"/>
      <c r="BMB69" s="2936"/>
      <c r="BMC69" s="2936"/>
      <c r="BMD69" s="2936"/>
      <c r="BME69" s="2936"/>
      <c r="BMF69" s="2936"/>
      <c r="BMG69" s="2936"/>
      <c r="BMH69" s="2936"/>
      <c r="BMI69" s="2936"/>
      <c r="BMJ69" s="2936"/>
      <c r="BMK69" s="2936"/>
      <c r="BML69" s="2936"/>
      <c r="BMM69" s="2936"/>
      <c r="BMN69" s="2936"/>
      <c r="BMO69" s="2936"/>
      <c r="BMP69" s="2936"/>
      <c r="BMQ69" s="2936"/>
      <c r="BMR69" s="2936"/>
      <c r="BMS69" s="2936"/>
      <c r="BMT69" s="2936"/>
      <c r="BMU69" s="2936"/>
      <c r="BMV69" s="2936"/>
      <c r="BMW69" s="2936"/>
      <c r="BMX69" s="2936"/>
      <c r="BMY69" s="2936"/>
      <c r="BMZ69" s="2936"/>
      <c r="BNA69" s="2936"/>
      <c r="BNB69" s="2936"/>
      <c r="BNC69" s="2936"/>
      <c r="BND69" s="2936"/>
      <c r="BNE69" s="2936"/>
      <c r="BNF69" s="2936"/>
      <c r="BNG69" s="2936"/>
      <c r="BNH69" s="2936"/>
      <c r="BNI69" s="2936"/>
      <c r="BNJ69" s="2936"/>
      <c r="BNK69" s="2936"/>
      <c r="BNL69" s="2936"/>
      <c r="BNM69" s="2936"/>
      <c r="BNN69" s="2936"/>
      <c r="BNO69" s="2936"/>
      <c r="BNP69" s="2936"/>
      <c r="BNQ69" s="2936"/>
      <c r="BNR69" s="2936"/>
      <c r="BNS69" s="2936"/>
      <c r="BNT69" s="2936"/>
      <c r="BNU69" s="2936"/>
      <c r="BNV69" s="2936"/>
      <c r="BNW69" s="2936"/>
      <c r="BNX69" s="2936"/>
      <c r="BNY69" s="2936"/>
      <c r="BNZ69" s="2936"/>
      <c r="BOA69" s="2936"/>
      <c r="BOB69" s="2936"/>
      <c r="BOC69" s="2936"/>
      <c r="BOD69" s="2936"/>
      <c r="BOE69" s="2936"/>
      <c r="BOF69" s="2936"/>
      <c r="BOG69" s="2936"/>
      <c r="BOH69" s="2936"/>
      <c r="BOI69" s="2936"/>
      <c r="BOJ69" s="2936"/>
      <c r="BOK69" s="2936"/>
      <c r="BOL69" s="2936"/>
      <c r="BOM69" s="2936"/>
      <c r="BON69" s="2936"/>
      <c r="BOO69" s="2936"/>
      <c r="BOP69" s="2936"/>
      <c r="BOQ69" s="2936"/>
      <c r="BOR69" s="2936"/>
      <c r="BOS69" s="2936"/>
      <c r="BOT69" s="2936"/>
      <c r="BOU69" s="2936"/>
      <c r="BOV69" s="2936"/>
      <c r="BOW69" s="2936"/>
      <c r="BOX69" s="2936"/>
      <c r="BOY69" s="2936"/>
      <c r="BOZ69" s="2936"/>
      <c r="BPA69" s="2936"/>
      <c r="BPB69" s="2936"/>
      <c r="BPC69" s="2936"/>
      <c r="BPD69" s="2936"/>
      <c r="BPE69" s="2936"/>
      <c r="BPF69" s="2936"/>
      <c r="BPG69" s="2936"/>
      <c r="BPH69" s="2936"/>
      <c r="BPI69" s="2936"/>
      <c r="BPJ69" s="2936"/>
      <c r="BPK69" s="2936"/>
      <c r="BPL69" s="2936"/>
      <c r="BPM69" s="2936"/>
      <c r="BPN69" s="2936"/>
      <c r="BPO69" s="2936"/>
      <c r="BPP69" s="2936"/>
      <c r="BPQ69" s="2936"/>
      <c r="BPR69" s="2936"/>
      <c r="BPS69" s="2936"/>
      <c r="BPT69" s="2936"/>
      <c r="BPU69" s="2936"/>
      <c r="BPV69" s="2936"/>
      <c r="BPW69" s="2936"/>
      <c r="BPX69" s="2936"/>
      <c r="BPY69" s="2936"/>
      <c r="BPZ69" s="2936"/>
      <c r="BQA69" s="2936"/>
      <c r="BQB69" s="2936"/>
      <c r="BQC69" s="2936"/>
      <c r="BQD69" s="2936"/>
      <c r="BQE69" s="2936"/>
      <c r="BQF69" s="2936"/>
      <c r="BQG69" s="2936"/>
      <c r="BQH69" s="2936"/>
      <c r="BQI69" s="2936"/>
      <c r="BQJ69" s="2936"/>
      <c r="BQK69" s="2936"/>
      <c r="BQL69" s="2936"/>
      <c r="BQM69" s="2936"/>
      <c r="BQN69" s="2936"/>
      <c r="BQO69" s="2936"/>
      <c r="BQP69" s="2936"/>
      <c r="BQQ69" s="2936"/>
      <c r="BQR69" s="2936"/>
      <c r="BQS69" s="2936"/>
      <c r="BQT69" s="2936"/>
      <c r="BQU69" s="2936"/>
      <c r="BQV69" s="2936"/>
      <c r="BQW69" s="2936"/>
      <c r="BQX69" s="2936"/>
      <c r="BQY69" s="2936"/>
      <c r="BQZ69" s="2936"/>
      <c r="BRA69" s="2936"/>
      <c r="BRB69" s="2936"/>
      <c r="BRC69" s="2936"/>
      <c r="BRD69" s="2936"/>
      <c r="BRE69" s="2936"/>
      <c r="BRF69" s="2936"/>
      <c r="BRG69" s="2936"/>
      <c r="BRH69" s="2936"/>
      <c r="BRI69" s="2936"/>
      <c r="BRJ69" s="2936"/>
      <c r="BRK69" s="2936"/>
      <c r="BRL69" s="2936"/>
      <c r="BRM69" s="2936"/>
      <c r="BRN69" s="2936"/>
      <c r="BRO69" s="2936"/>
      <c r="BRP69" s="2936"/>
      <c r="BRQ69" s="2936"/>
      <c r="BRR69" s="2936"/>
      <c r="BRS69" s="2936"/>
      <c r="BRT69" s="2936"/>
      <c r="BRU69" s="2936"/>
      <c r="BRV69" s="2936"/>
      <c r="BRW69" s="2936"/>
      <c r="BRX69" s="2936"/>
      <c r="BRY69" s="2936"/>
      <c r="BRZ69" s="2936"/>
      <c r="BSA69" s="2936"/>
      <c r="BSB69" s="2936"/>
      <c r="BSC69" s="2936"/>
      <c r="BSD69" s="2936"/>
      <c r="BSE69" s="2936"/>
      <c r="BSF69" s="2936"/>
      <c r="BSG69" s="2936"/>
      <c r="BSH69" s="2936"/>
      <c r="BSI69" s="2936"/>
      <c r="BSJ69" s="2936"/>
      <c r="BSK69" s="2936"/>
      <c r="BSL69" s="2936"/>
      <c r="BSM69" s="2936"/>
      <c r="BSN69" s="2936"/>
      <c r="BSO69" s="2936"/>
      <c r="BSP69" s="2936"/>
      <c r="BSQ69" s="2936"/>
      <c r="BSR69" s="2936"/>
      <c r="BSS69" s="2936"/>
      <c r="BST69" s="2936"/>
      <c r="BSU69" s="2936"/>
      <c r="BSV69" s="2936"/>
      <c r="BSW69" s="2936"/>
      <c r="BSX69" s="2936"/>
      <c r="BSY69" s="2936"/>
      <c r="BSZ69" s="2936"/>
      <c r="BTA69" s="2936"/>
      <c r="BTB69" s="2936"/>
      <c r="BTC69" s="2936"/>
      <c r="BTD69" s="2936"/>
      <c r="BTE69" s="2936"/>
      <c r="BTF69" s="2936"/>
      <c r="BTG69" s="2936"/>
      <c r="BTH69" s="2936"/>
      <c r="BTI69" s="2936"/>
      <c r="BTJ69" s="2936"/>
      <c r="BTK69" s="2936"/>
      <c r="BTL69" s="2936"/>
      <c r="BTM69" s="2936"/>
      <c r="BTN69" s="2936"/>
      <c r="BTO69" s="2936"/>
      <c r="BTP69" s="2936"/>
      <c r="BTQ69" s="2936"/>
      <c r="BTR69" s="2936"/>
      <c r="BTS69" s="2936"/>
      <c r="BTT69" s="2936"/>
      <c r="BTU69" s="2936"/>
      <c r="BTV69" s="2936"/>
      <c r="BTW69" s="2936"/>
      <c r="BTX69" s="2936"/>
      <c r="BTY69" s="2936"/>
      <c r="BTZ69" s="2936"/>
      <c r="BUA69" s="2936"/>
      <c r="BUB69" s="2936"/>
      <c r="BUC69" s="2936"/>
      <c r="BUD69" s="2936"/>
      <c r="BUE69" s="2936"/>
      <c r="BUF69" s="2936"/>
      <c r="BUG69" s="2936"/>
      <c r="BUH69" s="2936"/>
      <c r="BUI69" s="2936"/>
      <c r="BUJ69" s="2936"/>
      <c r="BUK69" s="2936"/>
      <c r="BUL69" s="2936"/>
      <c r="BUM69" s="2936"/>
      <c r="BUN69" s="2936"/>
      <c r="BUO69" s="2936"/>
      <c r="BUP69" s="2936"/>
      <c r="BUQ69" s="2936"/>
      <c r="BUR69" s="2936"/>
      <c r="BUS69" s="2936"/>
      <c r="BUT69" s="2936"/>
      <c r="BUU69" s="2936"/>
      <c r="BUV69" s="2936"/>
      <c r="BUW69" s="2936"/>
      <c r="BUX69" s="2936"/>
      <c r="BUY69" s="2936"/>
      <c r="BUZ69" s="2936"/>
      <c r="BVA69" s="2936"/>
      <c r="BVB69" s="2936"/>
      <c r="BVC69" s="2936"/>
      <c r="BVD69" s="2936"/>
      <c r="BVE69" s="2936"/>
      <c r="BVF69" s="2936"/>
      <c r="BVG69" s="2936"/>
      <c r="BVH69" s="2936"/>
      <c r="BVI69" s="2936"/>
      <c r="BVJ69" s="2936"/>
      <c r="BVK69" s="2936"/>
      <c r="BVL69" s="2936"/>
      <c r="BVM69" s="2936"/>
      <c r="BVN69" s="2936"/>
      <c r="BVO69" s="2936"/>
      <c r="BVP69" s="2936"/>
      <c r="BVQ69" s="2936"/>
      <c r="BVR69" s="2936"/>
      <c r="BVS69" s="2936"/>
      <c r="BVT69" s="2936"/>
      <c r="BVU69" s="2936"/>
      <c r="BVV69" s="2936"/>
      <c r="BVW69" s="2936"/>
      <c r="BVX69" s="2936"/>
      <c r="BVY69" s="2936"/>
      <c r="BVZ69" s="2936"/>
      <c r="BWA69" s="2936"/>
      <c r="BWB69" s="2936"/>
      <c r="BWC69" s="2936"/>
      <c r="BWD69" s="2936"/>
      <c r="BWE69" s="2936"/>
      <c r="BWF69" s="2936"/>
      <c r="BWG69" s="2936"/>
      <c r="BWH69" s="2936"/>
      <c r="BWI69" s="2936"/>
      <c r="BWJ69" s="2936"/>
      <c r="BWK69" s="2936"/>
      <c r="BWL69" s="2936"/>
      <c r="BWM69" s="2936"/>
      <c r="BWN69" s="2936"/>
      <c r="BWO69" s="2936"/>
      <c r="BWP69" s="2936"/>
      <c r="BWQ69" s="2936"/>
      <c r="BWR69" s="2936"/>
      <c r="BWS69" s="2936"/>
      <c r="BWT69" s="2936"/>
      <c r="BWU69" s="2936"/>
      <c r="BWV69" s="2936"/>
      <c r="BWW69" s="2936"/>
      <c r="BWX69" s="2936"/>
      <c r="BWY69" s="2936"/>
      <c r="BWZ69" s="2936"/>
      <c r="BXA69" s="2936"/>
      <c r="BXB69" s="2936"/>
      <c r="BXC69" s="2936"/>
      <c r="BXD69" s="2936"/>
      <c r="BXE69" s="2936"/>
      <c r="BXF69" s="2936"/>
      <c r="BXG69" s="2936"/>
      <c r="BXH69" s="2936"/>
      <c r="BXI69" s="2936"/>
      <c r="BXJ69" s="2936"/>
      <c r="BXK69" s="2936"/>
      <c r="BXL69" s="2936"/>
      <c r="BXM69" s="2936"/>
      <c r="BXN69" s="2936"/>
      <c r="BXO69" s="2936"/>
      <c r="BXP69" s="2936"/>
      <c r="BXQ69" s="2936"/>
      <c r="BXR69" s="2936"/>
      <c r="BXS69" s="2936"/>
      <c r="BXT69" s="2936"/>
      <c r="BXU69" s="2936"/>
      <c r="BXV69" s="2936"/>
      <c r="BXW69" s="2936"/>
      <c r="BXX69" s="2936"/>
      <c r="BXY69" s="2936"/>
      <c r="BXZ69" s="2936"/>
      <c r="BYA69" s="2936"/>
      <c r="BYB69" s="2936"/>
      <c r="BYC69" s="2936"/>
      <c r="BYD69" s="2936"/>
      <c r="BYE69" s="2936"/>
      <c r="BYF69" s="2936"/>
      <c r="BYG69" s="2936"/>
      <c r="BYH69" s="2936"/>
      <c r="BYI69" s="2936"/>
      <c r="BYJ69" s="2936"/>
      <c r="BYK69" s="2936"/>
      <c r="BYL69" s="2936"/>
      <c r="BYM69" s="2936"/>
      <c r="BYN69" s="2936"/>
      <c r="BYO69" s="2936"/>
      <c r="BYP69" s="2936"/>
      <c r="BYQ69" s="2936"/>
      <c r="BYR69" s="2936"/>
      <c r="BYS69" s="2936"/>
      <c r="BYT69" s="2936"/>
      <c r="BYU69" s="2936"/>
      <c r="BYV69" s="2936"/>
      <c r="BYW69" s="2936"/>
      <c r="BYX69" s="2936"/>
      <c r="BYY69" s="2936"/>
      <c r="BYZ69" s="2936"/>
      <c r="BZA69" s="2936"/>
      <c r="BZB69" s="2936"/>
      <c r="BZC69" s="2936"/>
      <c r="BZD69" s="2936"/>
      <c r="BZE69" s="2936"/>
      <c r="BZF69" s="2936"/>
      <c r="BZG69" s="2936"/>
      <c r="BZH69" s="2936"/>
      <c r="BZI69" s="2936"/>
      <c r="BZJ69" s="2936"/>
      <c r="BZK69" s="2936"/>
      <c r="BZL69" s="2936"/>
      <c r="BZM69" s="2936"/>
      <c r="BZN69" s="2936"/>
      <c r="BZO69" s="2936"/>
      <c r="BZP69" s="2936"/>
      <c r="BZQ69" s="2936"/>
      <c r="BZR69" s="2936"/>
      <c r="BZS69" s="2936"/>
      <c r="BZT69" s="2936"/>
      <c r="BZU69" s="2936"/>
      <c r="BZV69" s="2936"/>
      <c r="BZW69" s="2936"/>
      <c r="BZX69" s="2936"/>
      <c r="BZY69" s="2936"/>
      <c r="BZZ69" s="2936"/>
      <c r="CAA69" s="2936"/>
      <c r="CAB69" s="2936"/>
      <c r="CAC69" s="2936"/>
      <c r="CAD69" s="2936"/>
      <c r="CAE69" s="2936"/>
      <c r="CAF69" s="2936"/>
      <c r="CAG69" s="2936"/>
      <c r="CAH69" s="2936"/>
      <c r="CAI69" s="2936"/>
      <c r="CAJ69" s="2936"/>
      <c r="CAK69" s="2936"/>
      <c r="CAL69" s="2936"/>
      <c r="CAM69" s="2936"/>
      <c r="CAN69" s="2936"/>
      <c r="CAO69" s="2936"/>
      <c r="CAP69" s="2936"/>
      <c r="CAQ69" s="2936"/>
      <c r="CAR69" s="2936"/>
      <c r="CAS69" s="2936"/>
      <c r="CAT69" s="2936"/>
      <c r="CAU69" s="2936"/>
      <c r="CAV69" s="2936"/>
      <c r="CAW69" s="2936"/>
      <c r="CAX69" s="2936"/>
      <c r="CAY69" s="2936"/>
      <c r="CAZ69" s="2936"/>
      <c r="CBA69" s="2936"/>
      <c r="CBB69" s="2936"/>
      <c r="CBC69" s="2936"/>
      <c r="CBD69" s="2936"/>
      <c r="CBE69" s="2936"/>
      <c r="CBF69" s="2936"/>
      <c r="CBG69" s="2936"/>
      <c r="CBH69" s="2936"/>
      <c r="CBI69" s="2936"/>
      <c r="CBJ69" s="2936"/>
      <c r="CBK69" s="2936"/>
      <c r="CBL69" s="2936"/>
      <c r="CBM69" s="2936"/>
      <c r="CBN69" s="2936"/>
      <c r="CBO69" s="2936"/>
      <c r="CBP69" s="2936"/>
      <c r="CBQ69" s="2936"/>
      <c r="CBR69" s="2936"/>
      <c r="CBS69" s="2936"/>
      <c r="CBT69" s="2936"/>
      <c r="CBU69" s="2936"/>
      <c r="CBV69" s="2936"/>
      <c r="CBW69" s="2936"/>
      <c r="CBX69" s="2936"/>
      <c r="CBY69" s="2936"/>
      <c r="CBZ69" s="2936"/>
      <c r="CCA69" s="2936"/>
      <c r="CCB69" s="2936"/>
      <c r="CCC69" s="2936"/>
      <c r="CCD69" s="2936"/>
      <c r="CCE69" s="2936"/>
      <c r="CCF69" s="2936"/>
      <c r="CCG69" s="2936"/>
      <c r="CCH69" s="2936"/>
      <c r="CCI69" s="2936"/>
      <c r="CCJ69" s="2936"/>
      <c r="CCK69" s="2936"/>
      <c r="CCL69" s="2936"/>
      <c r="CCM69" s="2936"/>
      <c r="CCN69" s="2936"/>
      <c r="CCO69" s="2936"/>
      <c r="CCP69" s="2936"/>
      <c r="CCQ69" s="2936"/>
      <c r="CCR69" s="2936"/>
      <c r="CCS69" s="2936"/>
      <c r="CCT69" s="2936"/>
      <c r="CCU69" s="2936"/>
      <c r="CCV69" s="2936"/>
      <c r="CCW69" s="2936"/>
      <c r="CCX69" s="2936"/>
      <c r="CCY69" s="2936"/>
      <c r="CCZ69" s="2936"/>
      <c r="CDA69" s="2936"/>
      <c r="CDB69" s="2936"/>
      <c r="CDC69" s="2936"/>
      <c r="CDD69" s="2936"/>
      <c r="CDE69" s="2936"/>
      <c r="CDF69" s="2936"/>
      <c r="CDG69" s="2936"/>
      <c r="CDH69" s="2936"/>
      <c r="CDI69" s="2936"/>
      <c r="CDJ69" s="2936"/>
      <c r="CDK69" s="2936"/>
      <c r="CDL69" s="2936"/>
      <c r="CDM69" s="2936"/>
      <c r="CDN69" s="2936"/>
      <c r="CDO69" s="2936"/>
      <c r="CDP69" s="2936"/>
      <c r="CDQ69" s="2936"/>
      <c r="CDR69" s="2936"/>
      <c r="CDS69" s="2936"/>
      <c r="CDT69" s="2936"/>
      <c r="CDU69" s="2936"/>
      <c r="CDV69" s="2936"/>
      <c r="CDW69" s="2936"/>
      <c r="CDX69" s="2936"/>
      <c r="CDY69" s="2936"/>
      <c r="CDZ69" s="2936"/>
      <c r="CEA69" s="2936"/>
      <c r="CEB69" s="2936"/>
      <c r="CEC69" s="2936"/>
      <c r="CED69" s="2936"/>
      <c r="CEE69" s="2936"/>
      <c r="CEF69" s="2936"/>
      <c r="CEG69" s="2936"/>
      <c r="CEH69" s="2936"/>
      <c r="CEI69" s="2936"/>
      <c r="CEJ69" s="2936"/>
      <c r="CEK69" s="2936"/>
      <c r="CEL69" s="2936"/>
      <c r="CEM69" s="2936"/>
      <c r="CEN69" s="2936"/>
      <c r="CEO69" s="2936"/>
      <c r="CEP69" s="2936"/>
      <c r="CEQ69" s="2936"/>
      <c r="CER69" s="2936"/>
      <c r="CES69" s="2936"/>
      <c r="CET69" s="2936"/>
      <c r="CEU69" s="2936"/>
      <c r="CEV69" s="2936"/>
      <c r="CEW69" s="2936"/>
      <c r="CEX69" s="2936"/>
      <c r="CEY69" s="2936"/>
      <c r="CEZ69" s="2936"/>
      <c r="CFA69" s="2936"/>
      <c r="CFB69" s="2936"/>
      <c r="CFC69" s="2936"/>
      <c r="CFD69" s="2936"/>
      <c r="CFE69" s="2936"/>
      <c r="CFF69" s="2936"/>
      <c r="CFG69" s="2936"/>
      <c r="CFH69" s="2936"/>
      <c r="CFI69" s="2936"/>
      <c r="CFJ69" s="2936"/>
      <c r="CFK69" s="2936"/>
      <c r="CFL69" s="2936"/>
      <c r="CFM69" s="2936"/>
      <c r="CFN69" s="2936"/>
      <c r="CFO69" s="2936"/>
      <c r="CFP69" s="2936"/>
      <c r="CFQ69" s="2936"/>
      <c r="CFR69" s="2936"/>
      <c r="CFS69" s="2936"/>
      <c r="CFT69" s="2936"/>
      <c r="CFU69" s="2936"/>
      <c r="CFV69" s="2936"/>
      <c r="CFW69" s="2936"/>
      <c r="CFX69" s="2936"/>
      <c r="CFY69" s="2936"/>
      <c r="CFZ69" s="2936"/>
      <c r="CGA69" s="2936"/>
      <c r="CGB69" s="2936"/>
      <c r="CGC69" s="2936"/>
      <c r="CGD69" s="2936"/>
      <c r="CGE69" s="2936"/>
      <c r="CGF69" s="2936"/>
      <c r="CGG69" s="2936"/>
      <c r="CGH69" s="2936"/>
      <c r="CGI69" s="2936"/>
      <c r="CGJ69" s="2936"/>
      <c r="CGK69" s="2936"/>
      <c r="CGL69" s="2936"/>
      <c r="CGM69" s="2936"/>
      <c r="CGN69" s="2936"/>
      <c r="CGO69" s="2936"/>
      <c r="CGP69" s="2936"/>
      <c r="CGQ69" s="2936"/>
      <c r="CGR69" s="2936"/>
      <c r="CGS69" s="2936"/>
      <c r="CGT69" s="2936"/>
      <c r="CGU69" s="2936"/>
      <c r="CGV69" s="2936"/>
      <c r="CGW69" s="2936"/>
      <c r="CGX69" s="2936"/>
      <c r="CGY69" s="2936"/>
      <c r="CGZ69" s="2936"/>
      <c r="CHA69" s="2936"/>
      <c r="CHB69" s="2936"/>
      <c r="CHC69" s="2936"/>
      <c r="CHD69" s="2936"/>
      <c r="CHE69" s="2936"/>
      <c r="CHF69" s="2936"/>
      <c r="CHG69" s="2936"/>
      <c r="CHH69" s="2936"/>
      <c r="CHI69" s="2936"/>
      <c r="CHJ69" s="2936"/>
      <c r="CHK69" s="2936"/>
      <c r="CHL69" s="2936"/>
      <c r="CHM69" s="2936"/>
      <c r="CHN69" s="2936"/>
      <c r="CHO69" s="2936"/>
      <c r="CHP69" s="2936"/>
      <c r="CHQ69" s="2936"/>
      <c r="CHR69" s="2936"/>
      <c r="CHS69" s="2936"/>
      <c r="CHT69" s="2936"/>
      <c r="CHU69" s="2936"/>
      <c r="CHV69" s="2936"/>
      <c r="CHW69" s="2936"/>
      <c r="CHX69" s="2936"/>
      <c r="CHY69" s="2936"/>
      <c r="CHZ69" s="2936"/>
      <c r="CIA69" s="2936"/>
      <c r="CIB69" s="2936"/>
      <c r="CIC69" s="2936"/>
      <c r="CID69" s="2936"/>
      <c r="CIE69" s="2936"/>
      <c r="CIF69" s="2936"/>
      <c r="CIG69" s="2936"/>
      <c r="CIH69" s="2936"/>
      <c r="CII69" s="2936"/>
      <c r="CIJ69" s="2936"/>
      <c r="CIK69" s="2936"/>
      <c r="CIL69" s="2936"/>
      <c r="CIM69" s="2936"/>
      <c r="CIN69" s="2936"/>
      <c r="CIO69" s="2936"/>
      <c r="CIP69" s="2936"/>
      <c r="CIQ69" s="2936"/>
      <c r="CIR69" s="2936"/>
      <c r="CIS69" s="2936"/>
      <c r="CIT69" s="2936"/>
      <c r="CIU69" s="2936"/>
      <c r="CIV69" s="2936"/>
      <c r="CIW69" s="2936"/>
      <c r="CIX69" s="2936"/>
      <c r="CIY69" s="2936"/>
      <c r="CIZ69" s="2936"/>
      <c r="CJA69" s="2936"/>
      <c r="CJB69" s="2936"/>
      <c r="CJC69" s="2936"/>
      <c r="CJD69" s="2936"/>
      <c r="CJE69" s="2936"/>
      <c r="CJF69" s="2936"/>
      <c r="CJG69" s="2936"/>
      <c r="CJH69" s="2936"/>
      <c r="CJI69" s="2936"/>
      <c r="CJJ69" s="2936"/>
      <c r="CJK69" s="2936"/>
      <c r="CJL69" s="2936"/>
      <c r="CJM69" s="2936"/>
      <c r="CJN69" s="2936"/>
      <c r="CJO69" s="2936"/>
      <c r="CJP69" s="2936"/>
      <c r="CJQ69" s="2936"/>
      <c r="CJR69" s="2936"/>
      <c r="CJS69" s="2936"/>
      <c r="CJT69" s="2936"/>
      <c r="CJU69" s="2936"/>
      <c r="CJV69" s="2936"/>
      <c r="CJW69" s="2936"/>
      <c r="CJX69" s="2936"/>
      <c r="CJY69" s="2936"/>
      <c r="CJZ69" s="2936"/>
      <c r="CKA69" s="2936"/>
      <c r="CKB69" s="2936"/>
      <c r="CKC69" s="2936"/>
      <c r="CKD69" s="2936"/>
      <c r="CKE69" s="2936"/>
      <c r="CKF69" s="2936"/>
      <c r="CKG69" s="2936"/>
      <c r="CKH69" s="2936"/>
      <c r="CKI69" s="2936"/>
      <c r="CKJ69" s="2936"/>
      <c r="CKK69" s="2936"/>
      <c r="CKL69" s="2936"/>
      <c r="CKM69" s="2936"/>
      <c r="CKN69" s="2936"/>
      <c r="CKO69" s="2936"/>
      <c r="CKP69" s="2936"/>
      <c r="CKQ69" s="2936"/>
      <c r="CKR69" s="2936"/>
      <c r="CKS69" s="2936"/>
      <c r="CKT69" s="2936"/>
      <c r="CKU69" s="2936"/>
      <c r="CKV69" s="2936"/>
      <c r="CKW69" s="2936"/>
      <c r="CKX69" s="2936"/>
      <c r="CKY69" s="2936"/>
      <c r="CKZ69" s="2936"/>
      <c r="CLA69" s="2936"/>
      <c r="CLB69" s="2936"/>
      <c r="CLC69" s="2936"/>
      <c r="CLD69" s="2936"/>
      <c r="CLE69" s="2936"/>
      <c r="CLF69" s="2936"/>
      <c r="CLG69" s="2936"/>
      <c r="CLH69" s="2936"/>
      <c r="CLI69" s="2936"/>
      <c r="CLJ69" s="2936"/>
      <c r="CLK69" s="2936"/>
      <c r="CLL69" s="2936"/>
      <c r="CLM69" s="2936"/>
      <c r="CLN69" s="2936"/>
      <c r="CLO69" s="2936"/>
      <c r="CLP69" s="2936"/>
      <c r="CLQ69" s="2936"/>
      <c r="CLR69" s="2936"/>
      <c r="CLS69" s="2936"/>
      <c r="CLT69" s="2936"/>
      <c r="CLU69" s="2936"/>
      <c r="CLV69" s="2936"/>
      <c r="CLW69" s="2936"/>
      <c r="CLX69" s="2936"/>
      <c r="CLY69" s="2936"/>
      <c r="CLZ69" s="2936"/>
      <c r="CMA69" s="2936"/>
      <c r="CMB69" s="2936"/>
      <c r="CMC69" s="2936"/>
      <c r="CMD69" s="2936"/>
      <c r="CME69" s="2936"/>
      <c r="CMF69" s="2936"/>
      <c r="CMG69" s="2936"/>
      <c r="CMH69" s="2936"/>
      <c r="CMI69" s="2936"/>
      <c r="CMJ69" s="2936"/>
      <c r="CMK69" s="2936"/>
      <c r="CML69" s="2936"/>
      <c r="CMM69" s="2936"/>
      <c r="CMN69" s="2936"/>
      <c r="CMO69" s="2936"/>
      <c r="CMP69" s="2936"/>
      <c r="CMQ69" s="2936"/>
      <c r="CMR69" s="2936"/>
      <c r="CMS69" s="2936"/>
      <c r="CMT69" s="2936"/>
      <c r="CMU69" s="2936"/>
      <c r="CMV69" s="2936"/>
      <c r="CMW69" s="2936"/>
      <c r="CMX69" s="2936"/>
      <c r="CMY69" s="2936"/>
      <c r="CMZ69" s="2936"/>
      <c r="CNA69" s="2936"/>
      <c r="CNB69" s="2936"/>
      <c r="CNC69" s="2936"/>
      <c r="CND69" s="2936"/>
      <c r="CNE69" s="2936"/>
      <c r="CNF69" s="2936"/>
      <c r="CNG69" s="2936"/>
      <c r="CNH69" s="2936"/>
      <c r="CNI69" s="2936"/>
      <c r="CNJ69" s="2936"/>
      <c r="CNK69" s="2936"/>
      <c r="CNL69" s="2936"/>
      <c r="CNM69" s="2936"/>
      <c r="CNN69" s="2936"/>
      <c r="CNO69" s="2936"/>
      <c r="CNP69" s="2936"/>
      <c r="CNQ69" s="2936"/>
      <c r="CNR69" s="2936"/>
      <c r="CNS69" s="2936"/>
      <c r="CNT69" s="2936"/>
      <c r="CNU69" s="2936"/>
      <c r="CNV69" s="2936"/>
      <c r="CNW69" s="2936"/>
      <c r="CNX69" s="2936"/>
      <c r="CNY69" s="2936"/>
      <c r="CNZ69" s="2936"/>
      <c r="COA69" s="2936"/>
      <c r="COB69" s="2936"/>
      <c r="COC69" s="2936"/>
      <c r="COD69" s="2936"/>
      <c r="COE69" s="2936"/>
      <c r="COF69" s="2936"/>
      <c r="COG69" s="2936"/>
      <c r="COH69" s="2936"/>
      <c r="COI69" s="2936"/>
      <c r="COJ69" s="2936"/>
      <c r="COK69" s="2936"/>
      <c r="COL69" s="2936"/>
      <c r="COM69" s="2936"/>
      <c r="CON69" s="2936"/>
      <c r="COO69" s="2936"/>
      <c r="COP69" s="2936"/>
      <c r="COQ69" s="2936"/>
      <c r="COR69" s="2936"/>
      <c r="COS69" s="2936"/>
      <c r="COT69" s="2936"/>
      <c r="COU69" s="2936"/>
      <c r="COV69" s="2936"/>
      <c r="COW69" s="2936"/>
      <c r="COX69" s="2936"/>
      <c r="COY69" s="2936"/>
      <c r="COZ69" s="2936"/>
      <c r="CPA69" s="2936"/>
      <c r="CPB69" s="2936"/>
      <c r="CPC69" s="2936"/>
      <c r="CPD69" s="2936"/>
      <c r="CPE69" s="2936"/>
      <c r="CPF69" s="2936"/>
      <c r="CPG69" s="2936"/>
      <c r="CPH69" s="2936"/>
      <c r="CPI69" s="2936"/>
      <c r="CPJ69" s="2936"/>
      <c r="CPK69" s="2936"/>
      <c r="CPL69" s="2936"/>
      <c r="CPM69" s="2936"/>
      <c r="CPN69" s="2936"/>
      <c r="CPO69" s="2936"/>
      <c r="CPP69" s="2936"/>
      <c r="CPQ69" s="2936"/>
      <c r="CPR69" s="2936"/>
      <c r="CPS69" s="2936"/>
      <c r="CPT69" s="2936"/>
      <c r="CPU69" s="2936"/>
      <c r="CPV69" s="2936"/>
      <c r="CPW69" s="2936"/>
      <c r="CPX69" s="2936"/>
      <c r="CPY69" s="2936"/>
      <c r="CPZ69" s="2936"/>
      <c r="CQA69" s="2936"/>
      <c r="CQB69" s="2936"/>
      <c r="CQC69" s="2936"/>
      <c r="CQD69" s="2936"/>
      <c r="CQE69" s="2936"/>
      <c r="CQF69" s="2936"/>
      <c r="CQG69" s="2936"/>
      <c r="CQH69" s="2936"/>
      <c r="CQI69" s="2936"/>
      <c r="CQJ69" s="2936"/>
      <c r="CQK69" s="2936"/>
      <c r="CQL69" s="2936"/>
      <c r="CQM69" s="2936"/>
      <c r="CQN69" s="2936"/>
      <c r="CQO69" s="2936"/>
      <c r="CQP69" s="2936"/>
      <c r="CQQ69" s="2936"/>
      <c r="CQR69" s="2936"/>
      <c r="CQS69" s="2936"/>
      <c r="CQT69" s="2936"/>
      <c r="CQU69" s="2936"/>
      <c r="CQV69" s="2936"/>
      <c r="CQW69" s="2936"/>
      <c r="CQX69" s="2936"/>
      <c r="CQY69" s="2936"/>
      <c r="CQZ69" s="2936"/>
      <c r="CRA69" s="2936"/>
      <c r="CRB69" s="2936"/>
      <c r="CRC69" s="2936"/>
      <c r="CRD69" s="2936"/>
      <c r="CRE69" s="2936"/>
      <c r="CRF69" s="2936"/>
      <c r="CRG69" s="2936"/>
      <c r="CRH69" s="2936"/>
      <c r="CRI69" s="2936"/>
      <c r="CRJ69" s="2936"/>
      <c r="CRK69" s="2936"/>
      <c r="CRL69" s="2936"/>
      <c r="CRM69" s="2936"/>
      <c r="CRN69" s="2936"/>
      <c r="CRO69" s="2936"/>
      <c r="CRP69" s="2936"/>
      <c r="CRQ69" s="2936"/>
      <c r="CRR69" s="2936"/>
      <c r="CRS69" s="2936"/>
      <c r="CRT69" s="2936"/>
      <c r="CRU69" s="2936"/>
      <c r="CRV69" s="2936"/>
      <c r="CRW69" s="2936"/>
      <c r="CRX69" s="2936"/>
      <c r="CRY69" s="2936"/>
      <c r="CRZ69" s="2936"/>
      <c r="CSA69" s="2936"/>
      <c r="CSB69" s="2936"/>
      <c r="CSC69" s="2936"/>
      <c r="CSD69" s="2936"/>
      <c r="CSE69" s="2936"/>
      <c r="CSF69" s="2936"/>
      <c r="CSG69" s="2936"/>
      <c r="CSH69" s="2936"/>
      <c r="CSI69" s="2936"/>
      <c r="CSJ69" s="2936"/>
      <c r="CSK69" s="2936"/>
      <c r="CSL69" s="2936"/>
      <c r="CSM69" s="2936"/>
      <c r="CSN69" s="2936"/>
      <c r="CSO69" s="2936"/>
      <c r="CSP69" s="2936"/>
      <c r="CSQ69" s="2936"/>
      <c r="CSR69" s="2936"/>
      <c r="CSS69" s="2936"/>
      <c r="CST69" s="2936"/>
      <c r="CSU69" s="2936"/>
      <c r="CSV69" s="2936"/>
      <c r="CSW69" s="2936"/>
      <c r="CSX69" s="2936"/>
      <c r="CSY69" s="2936"/>
      <c r="CSZ69" s="2936"/>
      <c r="CTA69" s="2936"/>
      <c r="CTB69" s="2936"/>
      <c r="CTC69" s="2936"/>
      <c r="CTD69" s="2936"/>
      <c r="CTE69" s="2936"/>
      <c r="CTF69" s="2936"/>
      <c r="CTG69" s="2936"/>
      <c r="CTH69" s="2936"/>
      <c r="CTI69" s="2936"/>
      <c r="CTJ69" s="2936"/>
      <c r="CTK69" s="2936"/>
      <c r="CTL69" s="2936"/>
      <c r="CTM69" s="2936"/>
      <c r="CTN69" s="2936"/>
      <c r="CTO69" s="2936"/>
      <c r="CTP69" s="2936"/>
      <c r="CTQ69" s="2936"/>
      <c r="CTR69" s="2936"/>
      <c r="CTS69" s="2936"/>
      <c r="CTT69" s="2936"/>
      <c r="CTU69" s="2936"/>
      <c r="CTV69" s="2936"/>
      <c r="CTW69" s="2936"/>
      <c r="CTX69" s="2936"/>
      <c r="CTY69" s="2936"/>
      <c r="CTZ69" s="2936"/>
      <c r="CUA69" s="2936"/>
      <c r="CUB69" s="2936"/>
      <c r="CUC69" s="2936"/>
      <c r="CUD69" s="2936"/>
      <c r="CUE69" s="2936"/>
      <c r="CUF69" s="2936"/>
      <c r="CUG69" s="2936"/>
      <c r="CUH69" s="2936"/>
      <c r="CUI69" s="2936"/>
      <c r="CUJ69" s="2936"/>
      <c r="CUK69" s="2936"/>
      <c r="CUL69" s="2936"/>
      <c r="CUM69" s="2936"/>
      <c r="CUN69" s="2936"/>
      <c r="CUO69" s="2936"/>
      <c r="CUP69" s="2936"/>
      <c r="CUQ69" s="2936"/>
      <c r="CUR69" s="2936"/>
      <c r="CUS69" s="2936"/>
      <c r="CUT69" s="2936"/>
      <c r="CUU69" s="2936"/>
      <c r="CUV69" s="2936"/>
      <c r="CUW69" s="2936"/>
      <c r="CUX69" s="2936"/>
      <c r="CUY69" s="2936"/>
      <c r="CUZ69" s="2936"/>
      <c r="CVA69" s="2936"/>
      <c r="CVB69" s="2936"/>
      <c r="CVC69" s="2936"/>
      <c r="CVD69" s="2936"/>
      <c r="CVE69" s="2936"/>
      <c r="CVF69" s="2936"/>
      <c r="CVG69" s="2936"/>
      <c r="CVH69" s="2936"/>
      <c r="CVI69" s="2936"/>
      <c r="CVJ69" s="2936"/>
      <c r="CVK69" s="2936"/>
      <c r="CVL69" s="2936"/>
      <c r="CVM69" s="2936"/>
      <c r="CVN69" s="2936"/>
      <c r="CVO69" s="2936"/>
      <c r="CVP69" s="2936"/>
      <c r="CVQ69" s="2936"/>
      <c r="CVR69" s="2936"/>
      <c r="CVS69" s="2936"/>
      <c r="CVT69" s="2936"/>
      <c r="CVU69" s="2936"/>
      <c r="CVV69" s="2936"/>
      <c r="CVW69" s="2936"/>
      <c r="CVX69" s="2936"/>
      <c r="CVY69" s="2936"/>
      <c r="CVZ69" s="2936"/>
      <c r="CWA69" s="2936"/>
      <c r="CWB69" s="2936"/>
      <c r="CWC69" s="2936"/>
      <c r="CWD69" s="2936"/>
      <c r="CWE69" s="2936"/>
      <c r="CWF69" s="2936"/>
      <c r="CWG69" s="2936"/>
      <c r="CWH69" s="2936"/>
      <c r="CWI69" s="2936"/>
      <c r="CWJ69" s="2936"/>
      <c r="CWK69" s="2936"/>
      <c r="CWL69" s="2936"/>
      <c r="CWM69" s="2936"/>
      <c r="CWN69" s="2936"/>
      <c r="CWO69" s="2936"/>
      <c r="CWP69" s="2936"/>
      <c r="CWQ69" s="2936"/>
      <c r="CWR69" s="2936"/>
      <c r="CWS69" s="2936"/>
      <c r="CWT69" s="2936"/>
      <c r="CWU69" s="2936"/>
      <c r="CWV69" s="2936"/>
      <c r="CWW69" s="2936"/>
      <c r="CWX69" s="2936"/>
      <c r="CWY69" s="2936"/>
      <c r="CWZ69" s="2936"/>
      <c r="CXA69" s="2936"/>
      <c r="CXB69" s="2936"/>
      <c r="CXC69" s="2936"/>
      <c r="CXD69" s="2936"/>
      <c r="CXE69" s="2936"/>
      <c r="CXF69" s="2936"/>
      <c r="CXG69" s="2936"/>
      <c r="CXH69" s="2936"/>
      <c r="CXI69" s="2936"/>
      <c r="CXJ69" s="2936"/>
      <c r="CXK69" s="2936"/>
      <c r="CXL69" s="2936"/>
      <c r="CXM69" s="2936"/>
      <c r="CXN69" s="2936"/>
      <c r="CXO69" s="2936"/>
      <c r="CXP69" s="2936"/>
      <c r="CXQ69" s="2936"/>
      <c r="CXR69" s="2936"/>
      <c r="CXS69" s="2936"/>
      <c r="CXT69" s="2936"/>
      <c r="CXU69" s="2936"/>
      <c r="CXV69" s="2936"/>
      <c r="CXW69" s="2936"/>
      <c r="CXX69" s="2936"/>
      <c r="CXY69" s="2936"/>
      <c r="CXZ69" s="2936"/>
      <c r="CYA69" s="2936"/>
      <c r="CYB69" s="2936"/>
      <c r="CYC69" s="2936"/>
      <c r="CYD69" s="2936"/>
      <c r="CYE69" s="2936"/>
      <c r="CYF69" s="2936"/>
      <c r="CYG69" s="2936"/>
      <c r="CYH69" s="2936"/>
      <c r="CYI69" s="2936"/>
      <c r="CYJ69" s="2936"/>
      <c r="CYK69" s="2936"/>
      <c r="CYL69" s="2936"/>
      <c r="CYM69" s="2936"/>
      <c r="CYN69" s="2936"/>
      <c r="CYO69" s="2936"/>
      <c r="CYP69" s="2936"/>
      <c r="CYQ69" s="2936"/>
      <c r="CYR69" s="2936"/>
      <c r="CYS69" s="2936"/>
      <c r="CYT69" s="2936"/>
      <c r="CYU69" s="2936"/>
      <c r="CYV69" s="2936"/>
      <c r="CYW69" s="2936"/>
      <c r="CYX69" s="2936"/>
      <c r="CYY69" s="2936"/>
      <c r="CYZ69" s="2936"/>
      <c r="CZA69" s="2936"/>
      <c r="CZB69" s="2936"/>
      <c r="CZC69" s="2936"/>
      <c r="CZD69" s="2936"/>
      <c r="CZE69" s="2936"/>
      <c r="CZF69" s="2936"/>
      <c r="CZG69" s="2936"/>
      <c r="CZH69" s="2936"/>
      <c r="CZI69" s="2936"/>
      <c r="CZJ69" s="2936"/>
      <c r="CZK69" s="2936"/>
      <c r="CZL69" s="2936"/>
      <c r="CZM69" s="2936"/>
      <c r="CZN69" s="2936"/>
      <c r="CZO69" s="2936"/>
      <c r="CZP69" s="2936"/>
      <c r="CZQ69" s="2936"/>
      <c r="CZR69" s="2936"/>
      <c r="CZS69" s="2936"/>
      <c r="CZT69" s="2936"/>
      <c r="CZU69" s="2936"/>
      <c r="CZV69" s="2936"/>
      <c r="CZW69" s="2936"/>
      <c r="CZX69" s="2936"/>
      <c r="CZY69" s="2936"/>
      <c r="CZZ69" s="2936"/>
      <c r="DAA69" s="2936"/>
      <c r="DAB69" s="2936"/>
      <c r="DAC69" s="2936"/>
      <c r="DAD69" s="2936"/>
      <c r="DAE69" s="2936"/>
      <c r="DAF69" s="2936"/>
      <c r="DAG69" s="2936"/>
      <c r="DAH69" s="2936"/>
      <c r="DAI69" s="2936"/>
      <c r="DAJ69" s="2936"/>
      <c r="DAK69" s="2936"/>
      <c r="DAL69" s="2936"/>
      <c r="DAM69" s="2936"/>
      <c r="DAN69" s="2936"/>
      <c r="DAO69" s="2936"/>
      <c r="DAP69" s="2936"/>
      <c r="DAQ69" s="2936"/>
      <c r="DAR69" s="2936"/>
      <c r="DAS69" s="2936"/>
      <c r="DAT69" s="2936"/>
      <c r="DAU69" s="2936"/>
      <c r="DAV69" s="2936"/>
      <c r="DAW69" s="2936"/>
      <c r="DAX69" s="2936"/>
      <c r="DAY69" s="2936"/>
      <c r="DAZ69" s="2936"/>
      <c r="DBA69" s="2936"/>
      <c r="DBB69" s="2936"/>
      <c r="DBC69" s="2936"/>
      <c r="DBD69" s="2936"/>
      <c r="DBE69" s="2936"/>
      <c r="DBF69" s="2936"/>
      <c r="DBG69" s="2936"/>
      <c r="DBH69" s="2936"/>
      <c r="DBI69" s="2936"/>
      <c r="DBJ69" s="2936"/>
      <c r="DBK69" s="2936"/>
      <c r="DBL69" s="2936"/>
      <c r="DBM69" s="2936"/>
      <c r="DBN69" s="2936"/>
      <c r="DBO69" s="2936"/>
      <c r="DBP69" s="2936"/>
      <c r="DBQ69" s="2936"/>
      <c r="DBR69" s="2936"/>
      <c r="DBS69" s="2936"/>
      <c r="DBT69" s="2936"/>
      <c r="DBU69" s="2936"/>
      <c r="DBV69" s="2936"/>
      <c r="DBW69" s="2936"/>
      <c r="DBX69" s="2936"/>
      <c r="DBY69" s="2936"/>
      <c r="DBZ69" s="2936"/>
      <c r="DCA69" s="2936"/>
      <c r="DCB69" s="2936"/>
      <c r="DCC69" s="2936"/>
      <c r="DCD69" s="2936"/>
      <c r="DCE69" s="2936"/>
      <c r="DCF69" s="2936"/>
      <c r="DCG69" s="2936"/>
      <c r="DCH69" s="2936"/>
      <c r="DCI69" s="2936"/>
      <c r="DCJ69" s="2936"/>
      <c r="DCK69" s="2936"/>
      <c r="DCL69" s="2936"/>
      <c r="DCM69" s="2936"/>
      <c r="DCN69" s="2936"/>
      <c r="DCO69" s="2936"/>
      <c r="DCP69" s="2936"/>
      <c r="DCQ69" s="2936"/>
      <c r="DCR69" s="2936"/>
      <c r="DCS69" s="2936"/>
      <c r="DCT69" s="2936"/>
      <c r="DCU69" s="2936"/>
      <c r="DCV69" s="2936"/>
      <c r="DCW69" s="2936"/>
      <c r="DCX69" s="2936"/>
      <c r="DCY69" s="2936"/>
      <c r="DCZ69" s="2936"/>
      <c r="DDA69" s="2936"/>
      <c r="DDB69" s="2936"/>
      <c r="DDC69" s="2936"/>
      <c r="DDD69" s="2936"/>
      <c r="DDE69" s="2936"/>
      <c r="DDF69" s="2936"/>
      <c r="DDG69" s="2936"/>
      <c r="DDH69" s="2936"/>
      <c r="DDI69" s="2936"/>
      <c r="DDJ69" s="2936"/>
      <c r="DDK69" s="2936"/>
      <c r="DDL69" s="2936"/>
      <c r="DDM69" s="2936"/>
      <c r="DDN69" s="2936"/>
      <c r="DDO69" s="2936"/>
      <c r="DDP69" s="2936"/>
      <c r="DDQ69" s="2936"/>
      <c r="DDR69" s="2936"/>
      <c r="DDS69" s="2936"/>
      <c r="DDT69" s="2936"/>
      <c r="DDU69" s="2936"/>
      <c r="DDV69" s="2936"/>
      <c r="DDW69" s="2936"/>
      <c r="DDX69" s="2936"/>
      <c r="DDY69" s="2936"/>
      <c r="DDZ69" s="2936"/>
      <c r="DEA69" s="2936"/>
      <c r="DEB69" s="2936"/>
      <c r="DEC69" s="2936"/>
      <c r="DED69" s="2936"/>
      <c r="DEE69" s="2936"/>
      <c r="DEF69" s="2936"/>
      <c r="DEG69" s="2936"/>
      <c r="DEH69" s="2936"/>
      <c r="DEI69" s="2936"/>
      <c r="DEJ69" s="2936"/>
      <c r="DEK69" s="2936"/>
      <c r="DEL69" s="2936"/>
      <c r="DEM69" s="2936"/>
      <c r="DEN69" s="2936"/>
      <c r="DEO69" s="2936"/>
      <c r="DEP69" s="2936"/>
      <c r="DEQ69" s="2936"/>
      <c r="DER69" s="2936"/>
      <c r="DES69" s="2936"/>
      <c r="DET69" s="2936"/>
      <c r="DEU69" s="2936"/>
      <c r="DEV69" s="2936"/>
      <c r="DEW69" s="2936"/>
      <c r="DEX69" s="2936"/>
      <c r="DEY69" s="2936"/>
      <c r="DEZ69" s="2936"/>
      <c r="DFA69" s="2936"/>
      <c r="DFB69" s="2936"/>
      <c r="DFC69" s="2936"/>
      <c r="DFD69" s="2936"/>
      <c r="DFE69" s="2936"/>
      <c r="DFF69" s="2936"/>
      <c r="DFG69" s="2936"/>
      <c r="DFH69" s="2936"/>
      <c r="DFI69" s="2936"/>
      <c r="DFJ69" s="2936"/>
      <c r="DFK69" s="2936"/>
      <c r="DFL69" s="2936"/>
      <c r="DFM69" s="2936"/>
      <c r="DFN69" s="2936"/>
      <c r="DFO69" s="2936"/>
      <c r="DFP69" s="2936"/>
      <c r="DFQ69" s="2936"/>
      <c r="DFR69" s="2936"/>
      <c r="DFS69" s="2936"/>
      <c r="DFT69" s="2936"/>
      <c r="DFU69" s="2936"/>
      <c r="DFV69" s="2936"/>
      <c r="DFW69" s="2936"/>
      <c r="DFX69" s="2936"/>
      <c r="DFY69" s="2936"/>
      <c r="DFZ69" s="2936"/>
      <c r="DGA69" s="2936"/>
      <c r="DGB69" s="2936"/>
      <c r="DGC69" s="2936"/>
      <c r="DGD69" s="2936"/>
      <c r="DGE69" s="2936"/>
      <c r="DGF69" s="2936"/>
      <c r="DGG69" s="2936"/>
      <c r="DGH69" s="2936"/>
      <c r="DGI69" s="2936"/>
      <c r="DGJ69" s="2936"/>
      <c r="DGK69" s="2936"/>
      <c r="DGL69" s="2936"/>
      <c r="DGM69" s="2936"/>
      <c r="DGN69" s="2936"/>
      <c r="DGO69" s="2936"/>
      <c r="DGP69" s="2936"/>
      <c r="DGQ69" s="2936"/>
      <c r="DGR69" s="2936"/>
      <c r="DGS69" s="2936"/>
      <c r="DGT69" s="2936"/>
      <c r="DGU69" s="2936"/>
      <c r="DGV69" s="2936"/>
      <c r="DGW69" s="2936"/>
      <c r="DGX69" s="2936"/>
      <c r="DGY69" s="2936"/>
      <c r="DGZ69" s="2936"/>
      <c r="DHA69" s="2936"/>
      <c r="DHB69" s="2936"/>
      <c r="DHC69" s="2936"/>
      <c r="DHD69" s="2936"/>
      <c r="DHE69" s="2936"/>
      <c r="DHF69" s="2936"/>
      <c r="DHG69" s="2936"/>
      <c r="DHH69" s="2936"/>
      <c r="DHI69" s="2936"/>
      <c r="DHJ69" s="2936"/>
      <c r="DHK69" s="2936"/>
      <c r="DHL69" s="2936"/>
      <c r="DHM69" s="2936"/>
      <c r="DHN69" s="2936"/>
      <c r="DHO69" s="2936"/>
      <c r="DHP69" s="2936"/>
      <c r="DHQ69" s="2936"/>
      <c r="DHR69" s="2936"/>
      <c r="DHS69" s="2936"/>
      <c r="DHT69" s="2936"/>
      <c r="DHU69" s="2936"/>
      <c r="DHV69" s="2936"/>
      <c r="DHW69" s="2936"/>
      <c r="DHX69" s="2936"/>
      <c r="DHY69" s="2936"/>
      <c r="DHZ69" s="2936"/>
      <c r="DIA69" s="2936"/>
      <c r="DIB69" s="2936"/>
      <c r="DIC69" s="2936"/>
      <c r="DID69" s="2936"/>
      <c r="DIE69" s="2936"/>
      <c r="DIF69" s="2936"/>
      <c r="DIG69" s="2936"/>
      <c r="DIH69" s="2936"/>
      <c r="DII69" s="2936"/>
      <c r="DIJ69" s="2936"/>
      <c r="DIK69" s="2936"/>
      <c r="DIL69" s="2936"/>
      <c r="DIM69" s="2936"/>
      <c r="DIN69" s="2936"/>
      <c r="DIO69" s="2936"/>
      <c r="DIP69" s="2936"/>
      <c r="DIQ69" s="2936"/>
      <c r="DIR69" s="2936"/>
      <c r="DIS69" s="2936"/>
      <c r="DIT69" s="2936"/>
      <c r="DIU69" s="2936"/>
      <c r="DIV69" s="2936"/>
      <c r="DIW69" s="2936"/>
      <c r="DIX69" s="2936"/>
      <c r="DIY69" s="2936"/>
      <c r="DIZ69" s="2936"/>
      <c r="DJA69" s="2936"/>
      <c r="DJB69" s="2936"/>
      <c r="DJC69" s="2936"/>
      <c r="DJD69" s="2936"/>
      <c r="DJE69" s="2936"/>
      <c r="DJF69" s="2936"/>
      <c r="DJG69" s="2936"/>
      <c r="DJH69" s="2936"/>
      <c r="DJI69" s="2936"/>
      <c r="DJJ69" s="2936"/>
      <c r="DJK69" s="2936"/>
      <c r="DJL69" s="2936"/>
      <c r="DJM69" s="2936"/>
      <c r="DJN69" s="2936"/>
      <c r="DJO69" s="2936"/>
      <c r="DJP69" s="2936"/>
      <c r="DJQ69" s="2936"/>
      <c r="DJR69" s="2936"/>
      <c r="DJS69" s="2936"/>
      <c r="DJT69" s="2936"/>
      <c r="DJU69" s="2936"/>
      <c r="DJV69" s="2936"/>
      <c r="DJW69" s="2936"/>
      <c r="DJX69" s="2936"/>
      <c r="DJY69" s="2936"/>
      <c r="DJZ69" s="2936"/>
      <c r="DKA69" s="2936"/>
      <c r="DKB69" s="2936"/>
      <c r="DKC69" s="2936"/>
      <c r="DKD69" s="2936"/>
      <c r="DKE69" s="2936"/>
      <c r="DKF69" s="2936"/>
      <c r="DKG69" s="2936"/>
      <c r="DKH69" s="2936"/>
      <c r="DKI69" s="2936"/>
      <c r="DKJ69" s="2936"/>
      <c r="DKK69" s="2936"/>
      <c r="DKL69" s="2936"/>
      <c r="DKM69" s="2936"/>
      <c r="DKN69" s="2936"/>
      <c r="DKO69" s="2936"/>
      <c r="DKP69" s="2936"/>
      <c r="DKQ69" s="2936"/>
      <c r="DKR69" s="2936"/>
      <c r="DKS69" s="2936"/>
      <c r="DKT69" s="2936"/>
      <c r="DKU69" s="2936"/>
      <c r="DKV69" s="2936"/>
      <c r="DKW69" s="2936"/>
      <c r="DKX69" s="2936"/>
      <c r="DKY69" s="2936"/>
      <c r="DKZ69" s="2936"/>
      <c r="DLA69" s="2936"/>
      <c r="DLB69" s="2936"/>
      <c r="DLC69" s="2936"/>
      <c r="DLD69" s="2936"/>
      <c r="DLE69" s="2936"/>
      <c r="DLF69" s="2936"/>
      <c r="DLG69" s="2936"/>
      <c r="DLH69" s="2936"/>
      <c r="DLI69" s="2936"/>
      <c r="DLJ69" s="2936"/>
      <c r="DLK69" s="2936"/>
      <c r="DLL69" s="2936"/>
      <c r="DLM69" s="2936"/>
      <c r="DLN69" s="2936"/>
      <c r="DLO69" s="2936"/>
      <c r="DLP69" s="2936"/>
      <c r="DLQ69" s="2936"/>
      <c r="DLR69" s="2936"/>
      <c r="DLS69" s="2936"/>
      <c r="DLT69" s="2936"/>
      <c r="DLU69" s="2936"/>
      <c r="DLV69" s="2936"/>
      <c r="DLW69" s="2936"/>
      <c r="DLX69" s="2936"/>
      <c r="DLY69" s="2936"/>
      <c r="DLZ69" s="2936"/>
      <c r="DMA69" s="2936"/>
      <c r="DMB69" s="2936"/>
      <c r="DMC69" s="2936"/>
      <c r="DMD69" s="2936"/>
      <c r="DME69" s="2936"/>
      <c r="DMF69" s="2936"/>
      <c r="DMG69" s="2936"/>
      <c r="DMH69" s="2936"/>
      <c r="DMI69" s="2936"/>
      <c r="DMJ69" s="2936"/>
      <c r="DMK69" s="2936"/>
      <c r="DML69" s="2936"/>
      <c r="DMM69" s="2936"/>
      <c r="DMN69" s="2936"/>
      <c r="DMO69" s="2936"/>
      <c r="DMP69" s="2936"/>
      <c r="DMQ69" s="2936"/>
      <c r="DMR69" s="2936"/>
      <c r="DMS69" s="2936"/>
      <c r="DMT69" s="2936"/>
      <c r="DMU69" s="2936"/>
      <c r="DMV69" s="2936"/>
      <c r="DMW69" s="2936"/>
      <c r="DMX69" s="2936"/>
      <c r="DMY69" s="2936"/>
      <c r="DMZ69" s="2936"/>
      <c r="DNA69" s="2936"/>
      <c r="DNB69" s="2936"/>
      <c r="DNC69" s="2936"/>
      <c r="DND69" s="2936"/>
      <c r="DNE69" s="2936"/>
      <c r="DNF69" s="2936"/>
      <c r="DNG69" s="2936"/>
      <c r="DNH69" s="2936"/>
      <c r="DNI69" s="2936"/>
      <c r="DNJ69" s="2936"/>
      <c r="DNK69" s="2936"/>
      <c r="DNL69" s="2936"/>
      <c r="DNM69" s="2936"/>
      <c r="DNN69" s="2936"/>
      <c r="DNO69" s="2936"/>
      <c r="DNP69" s="2936"/>
      <c r="DNQ69" s="2936"/>
      <c r="DNR69" s="2936"/>
      <c r="DNS69" s="2936"/>
      <c r="DNT69" s="2936"/>
      <c r="DNU69" s="2936"/>
      <c r="DNV69" s="2936"/>
      <c r="DNW69" s="2936"/>
      <c r="DNX69" s="2936"/>
      <c r="DNY69" s="2936"/>
      <c r="DNZ69" s="2936"/>
      <c r="DOA69" s="2936"/>
      <c r="DOB69" s="2936"/>
      <c r="DOC69" s="2936"/>
      <c r="DOD69" s="2936"/>
      <c r="DOE69" s="2936"/>
      <c r="DOF69" s="2936"/>
      <c r="DOG69" s="2936"/>
      <c r="DOH69" s="2936"/>
      <c r="DOI69" s="2936"/>
      <c r="DOJ69" s="2936"/>
      <c r="DOK69" s="2936"/>
      <c r="DOL69" s="2936"/>
      <c r="DOM69" s="2936"/>
      <c r="DON69" s="2936"/>
      <c r="DOO69" s="2936"/>
      <c r="DOP69" s="2936"/>
      <c r="DOQ69" s="2936"/>
      <c r="DOR69" s="2936"/>
      <c r="DOS69" s="2936"/>
      <c r="DOT69" s="2936"/>
      <c r="DOU69" s="2936"/>
      <c r="DOV69" s="2936"/>
      <c r="DOW69" s="2936"/>
      <c r="DOX69" s="2936"/>
      <c r="DOY69" s="2936"/>
      <c r="DOZ69" s="2936"/>
      <c r="DPA69" s="2936"/>
      <c r="DPB69" s="2936"/>
      <c r="DPC69" s="2936"/>
      <c r="DPD69" s="2936"/>
      <c r="DPE69" s="2936"/>
      <c r="DPF69" s="2936"/>
      <c r="DPG69" s="2936"/>
      <c r="DPH69" s="2936"/>
      <c r="DPI69" s="2936"/>
      <c r="DPJ69" s="2936"/>
      <c r="DPK69" s="2936"/>
      <c r="DPL69" s="2936"/>
      <c r="DPM69" s="2936"/>
      <c r="DPN69" s="2936"/>
      <c r="DPO69" s="2936"/>
      <c r="DPP69" s="2936"/>
      <c r="DPQ69" s="2936"/>
      <c r="DPR69" s="2936"/>
      <c r="DPS69" s="2936"/>
      <c r="DPT69" s="2936"/>
      <c r="DPU69" s="2936"/>
      <c r="DPV69" s="2936"/>
      <c r="DPW69" s="2936"/>
      <c r="DPX69" s="2936"/>
      <c r="DPY69" s="2936"/>
      <c r="DPZ69" s="2936"/>
      <c r="DQA69" s="2936"/>
      <c r="DQB69" s="2936"/>
      <c r="DQC69" s="2936"/>
      <c r="DQD69" s="2936"/>
      <c r="DQE69" s="2936"/>
      <c r="DQF69" s="2936"/>
      <c r="DQG69" s="2936"/>
      <c r="DQH69" s="2936"/>
      <c r="DQI69" s="2936"/>
      <c r="DQJ69" s="2936"/>
      <c r="DQK69" s="2936"/>
      <c r="DQL69" s="2936"/>
      <c r="DQM69" s="2936"/>
      <c r="DQN69" s="2936"/>
      <c r="DQO69" s="2936"/>
      <c r="DQP69" s="2936"/>
      <c r="DQQ69" s="2936"/>
      <c r="DQR69" s="2936"/>
      <c r="DQS69" s="2936"/>
      <c r="DQT69" s="2936"/>
      <c r="DQU69" s="2936"/>
      <c r="DQV69" s="2936"/>
      <c r="DQW69" s="2936"/>
      <c r="DQX69" s="2936"/>
      <c r="DQY69" s="2936"/>
      <c r="DQZ69" s="2936"/>
      <c r="DRA69" s="2936"/>
      <c r="DRB69" s="2936"/>
      <c r="DRC69" s="2936"/>
      <c r="DRD69" s="2936"/>
      <c r="DRE69" s="2936"/>
      <c r="DRF69" s="2936"/>
      <c r="DRG69" s="2936"/>
      <c r="DRH69" s="2936"/>
      <c r="DRI69" s="2936"/>
      <c r="DRJ69" s="2936"/>
      <c r="DRK69" s="2936"/>
      <c r="DRL69" s="2936"/>
      <c r="DRM69" s="2936"/>
      <c r="DRN69" s="2936"/>
      <c r="DRO69" s="2936"/>
      <c r="DRP69" s="2936"/>
      <c r="DRQ69" s="2936"/>
      <c r="DRR69" s="2936"/>
      <c r="DRS69" s="2936"/>
      <c r="DRT69" s="2936"/>
      <c r="DRU69" s="2936"/>
      <c r="DRV69" s="2936"/>
      <c r="DRW69" s="2936"/>
      <c r="DRX69" s="2936"/>
      <c r="DRY69" s="2936"/>
      <c r="DRZ69" s="2936"/>
      <c r="DSA69" s="2936"/>
      <c r="DSB69" s="2936"/>
      <c r="DSC69" s="2936"/>
      <c r="DSD69" s="2936"/>
      <c r="DSE69" s="2936"/>
      <c r="DSF69" s="2936"/>
      <c r="DSG69" s="2936"/>
      <c r="DSH69" s="2936"/>
      <c r="DSI69" s="2936"/>
      <c r="DSJ69" s="2936"/>
      <c r="DSK69" s="2936"/>
      <c r="DSL69" s="2936"/>
      <c r="DSM69" s="2936"/>
      <c r="DSN69" s="2936"/>
      <c r="DSO69" s="2936"/>
      <c r="DSP69" s="2936"/>
      <c r="DSQ69" s="2936"/>
      <c r="DSR69" s="2936"/>
      <c r="DSS69" s="2936"/>
      <c r="DST69" s="2936"/>
      <c r="DSU69" s="2936"/>
      <c r="DSV69" s="2936"/>
      <c r="DSW69" s="2936"/>
      <c r="DSX69" s="2936"/>
      <c r="DSY69" s="2936"/>
      <c r="DSZ69" s="2936"/>
      <c r="DTA69" s="2936"/>
      <c r="DTB69" s="2936"/>
      <c r="DTC69" s="2936"/>
      <c r="DTD69" s="2936"/>
      <c r="DTE69" s="2936"/>
      <c r="DTF69" s="2936"/>
      <c r="DTG69" s="2936"/>
      <c r="DTH69" s="2936"/>
      <c r="DTI69" s="2936"/>
      <c r="DTJ69" s="2936"/>
      <c r="DTK69" s="2936"/>
      <c r="DTL69" s="2936"/>
      <c r="DTM69" s="2936"/>
      <c r="DTN69" s="2936"/>
      <c r="DTO69" s="2936"/>
      <c r="DTP69" s="2936"/>
      <c r="DTQ69" s="2936"/>
      <c r="DTR69" s="2936"/>
      <c r="DTS69" s="2936"/>
      <c r="DTT69" s="2936"/>
      <c r="DTU69" s="2936"/>
      <c r="DTV69" s="2936"/>
      <c r="DTW69" s="2936"/>
      <c r="DTX69" s="2936"/>
      <c r="DTY69" s="2936"/>
      <c r="DTZ69" s="2936"/>
      <c r="DUA69" s="2936"/>
      <c r="DUB69" s="2936"/>
      <c r="DUC69" s="2936"/>
      <c r="DUD69" s="2936"/>
      <c r="DUE69" s="2936"/>
      <c r="DUF69" s="2936"/>
      <c r="DUG69" s="2936"/>
      <c r="DUH69" s="2936"/>
      <c r="DUI69" s="2936"/>
      <c r="DUJ69" s="2936"/>
      <c r="DUK69" s="2936"/>
      <c r="DUL69" s="2936"/>
      <c r="DUM69" s="2936"/>
      <c r="DUN69" s="2936"/>
      <c r="DUO69" s="2936"/>
      <c r="DUP69" s="2936"/>
      <c r="DUQ69" s="2936"/>
      <c r="DUR69" s="2936"/>
      <c r="DUS69" s="2936"/>
      <c r="DUT69" s="2936"/>
      <c r="DUU69" s="2936"/>
      <c r="DUV69" s="2936"/>
      <c r="DUW69" s="2936"/>
      <c r="DUX69" s="2936"/>
      <c r="DUY69" s="2936"/>
      <c r="DUZ69" s="2936"/>
      <c r="DVA69" s="2936"/>
      <c r="DVB69" s="2936"/>
      <c r="DVC69" s="2936"/>
      <c r="DVD69" s="2936"/>
      <c r="DVE69" s="2936"/>
      <c r="DVF69" s="2936"/>
      <c r="DVG69" s="2936"/>
      <c r="DVH69" s="2936"/>
      <c r="DVI69" s="2936"/>
      <c r="DVJ69" s="2936"/>
      <c r="DVK69" s="2936"/>
      <c r="DVL69" s="2936"/>
      <c r="DVM69" s="2936"/>
      <c r="DVN69" s="2936"/>
      <c r="DVO69" s="2936"/>
      <c r="DVP69" s="2936"/>
      <c r="DVQ69" s="2936"/>
      <c r="DVR69" s="2936"/>
      <c r="DVS69" s="2936"/>
      <c r="DVT69" s="2936"/>
      <c r="DVU69" s="2936"/>
      <c r="DVV69" s="2936"/>
      <c r="DVW69" s="2936"/>
      <c r="DVX69" s="2936"/>
      <c r="DVY69" s="2936"/>
      <c r="DVZ69" s="2936"/>
      <c r="DWA69" s="2936"/>
      <c r="DWB69" s="2936"/>
      <c r="DWC69" s="2936"/>
      <c r="DWD69" s="2936"/>
      <c r="DWE69" s="2936"/>
      <c r="DWF69" s="2936"/>
      <c r="DWG69" s="2936"/>
      <c r="DWH69" s="2936"/>
      <c r="DWI69" s="2936"/>
      <c r="DWJ69" s="2936"/>
      <c r="DWK69" s="2936"/>
      <c r="DWL69" s="2936"/>
      <c r="DWM69" s="2936"/>
      <c r="DWN69" s="2936"/>
      <c r="DWO69" s="2936"/>
      <c r="DWP69" s="2936"/>
      <c r="DWQ69" s="2936"/>
      <c r="DWR69" s="2936"/>
      <c r="DWS69" s="2936"/>
      <c r="DWT69" s="2936"/>
      <c r="DWU69" s="2936"/>
      <c r="DWV69" s="2936"/>
      <c r="DWW69" s="2936"/>
      <c r="DWX69" s="2936"/>
      <c r="DWY69" s="2936"/>
      <c r="DWZ69" s="2936"/>
      <c r="DXA69" s="2936"/>
      <c r="DXB69" s="2936"/>
      <c r="DXC69" s="2936"/>
      <c r="DXD69" s="2936"/>
      <c r="DXE69" s="2936"/>
      <c r="DXF69" s="2936"/>
      <c r="DXG69" s="2936"/>
      <c r="DXH69" s="2936"/>
      <c r="DXI69" s="2936"/>
      <c r="DXJ69" s="2936"/>
      <c r="DXK69" s="2936"/>
      <c r="DXL69" s="2936"/>
      <c r="DXM69" s="2936"/>
      <c r="DXN69" s="2936"/>
      <c r="DXO69" s="2936"/>
      <c r="DXP69" s="2936"/>
      <c r="DXQ69" s="2936"/>
      <c r="DXR69" s="2936"/>
      <c r="DXS69" s="2936"/>
      <c r="DXT69" s="2936"/>
      <c r="DXU69" s="2936"/>
      <c r="DXV69" s="2936"/>
      <c r="DXW69" s="2936"/>
      <c r="DXX69" s="2936"/>
      <c r="DXY69" s="2936"/>
      <c r="DXZ69" s="2936"/>
      <c r="DYA69" s="2936"/>
      <c r="DYB69" s="2936"/>
      <c r="DYC69" s="2936"/>
      <c r="DYD69" s="2936"/>
      <c r="DYE69" s="2936"/>
      <c r="DYF69" s="2936"/>
      <c r="DYG69" s="2936"/>
      <c r="DYH69" s="2936"/>
      <c r="DYI69" s="2936"/>
      <c r="DYJ69" s="2936"/>
      <c r="DYK69" s="2936"/>
      <c r="DYL69" s="2936"/>
      <c r="DYM69" s="2936"/>
      <c r="DYN69" s="2936"/>
      <c r="DYO69" s="2936"/>
      <c r="DYP69" s="2936"/>
      <c r="DYQ69" s="2936"/>
      <c r="DYR69" s="2936"/>
      <c r="DYS69" s="2936"/>
      <c r="DYT69" s="2936"/>
      <c r="DYU69" s="2936"/>
      <c r="DYV69" s="2936"/>
      <c r="DYW69" s="2936"/>
      <c r="DYX69" s="2936"/>
      <c r="DYY69" s="2936"/>
      <c r="DYZ69" s="2936"/>
      <c r="DZA69" s="2936"/>
      <c r="DZB69" s="2936"/>
      <c r="DZC69" s="2936"/>
      <c r="DZD69" s="2936"/>
      <c r="DZE69" s="2936"/>
      <c r="DZF69" s="2936"/>
      <c r="DZG69" s="2936"/>
      <c r="DZH69" s="2936"/>
      <c r="DZI69" s="2936"/>
      <c r="DZJ69" s="2936"/>
      <c r="DZK69" s="2936"/>
      <c r="DZL69" s="2936"/>
      <c r="DZM69" s="2936"/>
      <c r="DZN69" s="2936"/>
      <c r="DZO69" s="2936"/>
      <c r="DZP69" s="2936"/>
      <c r="DZQ69" s="2936"/>
      <c r="DZR69" s="2936"/>
      <c r="DZS69" s="2936"/>
      <c r="DZT69" s="2936"/>
      <c r="DZU69" s="2936"/>
      <c r="DZV69" s="2936"/>
      <c r="DZW69" s="2936"/>
      <c r="DZX69" s="2936"/>
      <c r="DZY69" s="2936"/>
      <c r="DZZ69" s="2936"/>
      <c r="EAA69" s="2936"/>
      <c r="EAB69" s="2936"/>
      <c r="EAC69" s="2936"/>
      <c r="EAD69" s="2936"/>
      <c r="EAE69" s="2936"/>
      <c r="EAF69" s="2936"/>
      <c r="EAG69" s="2936"/>
      <c r="EAH69" s="2936"/>
      <c r="EAI69" s="2936"/>
      <c r="EAJ69" s="2936"/>
      <c r="EAK69" s="2936"/>
      <c r="EAL69" s="2936"/>
      <c r="EAM69" s="2936"/>
      <c r="EAN69" s="2936"/>
      <c r="EAO69" s="2936"/>
      <c r="EAP69" s="2936"/>
      <c r="EAQ69" s="2936"/>
      <c r="EAR69" s="2936"/>
      <c r="EAS69" s="2936"/>
      <c r="EAT69" s="2936"/>
      <c r="EAU69" s="2936"/>
      <c r="EAV69" s="2936"/>
      <c r="EAW69" s="2936"/>
      <c r="EAX69" s="2936"/>
      <c r="EAY69" s="2936"/>
      <c r="EAZ69" s="2936"/>
      <c r="EBA69" s="2936"/>
      <c r="EBB69" s="2936"/>
      <c r="EBC69" s="2936"/>
      <c r="EBD69" s="2936"/>
      <c r="EBE69" s="2936"/>
      <c r="EBF69" s="2936"/>
      <c r="EBG69" s="2936"/>
      <c r="EBH69" s="2936"/>
      <c r="EBI69" s="2936"/>
      <c r="EBJ69" s="2936"/>
      <c r="EBK69" s="2936"/>
      <c r="EBL69" s="2936"/>
      <c r="EBM69" s="2936"/>
      <c r="EBN69" s="2936"/>
      <c r="EBO69" s="2936"/>
      <c r="EBP69" s="2936"/>
      <c r="EBQ69" s="2936"/>
      <c r="EBR69" s="2936"/>
      <c r="EBS69" s="2936"/>
      <c r="EBT69" s="2936"/>
      <c r="EBU69" s="2936"/>
      <c r="EBV69" s="2936"/>
      <c r="EBW69" s="2936"/>
      <c r="EBX69" s="2936"/>
      <c r="EBY69" s="2936"/>
      <c r="EBZ69" s="2936"/>
      <c r="ECA69" s="2936"/>
      <c r="ECB69" s="2936"/>
      <c r="ECC69" s="2936"/>
      <c r="ECD69" s="2936"/>
      <c r="ECE69" s="2936"/>
      <c r="ECF69" s="2936"/>
      <c r="ECG69" s="2936"/>
      <c r="ECH69" s="2936"/>
      <c r="ECI69" s="2936"/>
      <c r="ECJ69" s="2936"/>
      <c r="ECK69" s="2936"/>
      <c r="ECL69" s="2936"/>
      <c r="ECM69" s="2936"/>
      <c r="ECN69" s="2936"/>
      <c r="ECO69" s="2936"/>
      <c r="ECP69" s="2936"/>
      <c r="ECQ69" s="2936"/>
      <c r="ECR69" s="2936"/>
      <c r="ECS69" s="2936"/>
      <c r="ECT69" s="2936"/>
      <c r="ECU69" s="2936"/>
      <c r="ECV69" s="2936"/>
      <c r="ECW69" s="2936"/>
      <c r="ECX69" s="2936"/>
      <c r="ECY69" s="2936"/>
      <c r="ECZ69" s="2936"/>
      <c r="EDA69" s="2936"/>
      <c r="EDB69" s="2936"/>
      <c r="EDC69" s="2936"/>
      <c r="EDD69" s="2936"/>
      <c r="EDE69" s="2936"/>
      <c r="EDF69" s="2936"/>
      <c r="EDG69" s="2936"/>
      <c r="EDH69" s="2936"/>
      <c r="EDI69" s="2936"/>
      <c r="EDJ69" s="2936"/>
      <c r="EDK69" s="2936"/>
      <c r="EDL69" s="2936"/>
      <c r="EDM69" s="2936"/>
      <c r="EDN69" s="2936"/>
      <c r="EDO69" s="2936"/>
      <c r="EDP69" s="2936"/>
      <c r="EDQ69" s="2936"/>
      <c r="EDR69" s="2936"/>
      <c r="EDS69" s="2936"/>
      <c r="EDT69" s="2936"/>
      <c r="EDU69" s="2936"/>
      <c r="EDV69" s="2936"/>
      <c r="EDW69" s="2936"/>
      <c r="EDX69" s="2936"/>
      <c r="EDY69" s="2936"/>
      <c r="EDZ69" s="2936"/>
      <c r="EEA69" s="2936"/>
      <c r="EEB69" s="2936"/>
      <c r="EEC69" s="2936"/>
      <c r="EED69" s="2936"/>
      <c r="EEE69" s="2936"/>
      <c r="EEF69" s="2936"/>
      <c r="EEG69" s="2936"/>
      <c r="EEH69" s="2936"/>
      <c r="EEI69" s="2936"/>
      <c r="EEJ69" s="2936"/>
      <c r="EEK69" s="2936"/>
      <c r="EEL69" s="2936"/>
      <c r="EEM69" s="2936"/>
      <c r="EEN69" s="2936"/>
      <c r="EEO69" s="2936"/>
      <c r="EEP69" s="2936"/>
      <c r="EEQ69" s="2936"/>
      <c r="EER69" s="2936"/>
      <c r="EES69" s="2936"/>
      <c r="EET69" s="2936"/>
      <c r="EEU69" s="2936"/>
      <c r="EEV69" s="2936"/>
      <c r="EEW69" s="2936"/>
      <c r="EEX69" s="2936"/>
      <c r="EEY69" s="2936"/>
      <c r="EEZ69" s="2936"/>
      <c r="EFA69" s="2936"/>
      <c r="EFB69" s="2936"/>
      <c r="EFC69" s="2936"/>
      <c r="EFD69" s="2936"/>
      <c r="EFE69" s="2936"/>
      <c r="EFF69" s="2936"/>
      <c r="EFG69" s="2936"/>
      <c r="EFH69" s="2936"/>
      <c r="EFI69" s="2936"/>
      <c r="EFJ69" s="2936"/>
      <c r="EFK69" s="2936"/>
      <c r="EFL69" s="2936"/>
      <c r="EFM69" s="2936"/>
      <c r="EFN69" s="2936"/>
      <c r="EFO69" s="2936"/>
      <c r="EFP69" s="2936"/>
      <c r="EFQ69" s="2936"/>
      <c r="EFR69" s="2936"/>
      <c r="EFS69" s="2936"/>
      <c r="EFT69" s="2936"/>
      <c r="EFU69" s="2936"/>
      <c r="EFV69" s="2936"/>
      <c r="EFW69" s="2936"/>
      <c r="EFX69" s="2936"/>
      <c r="EFY69" s="2936"/>
      <c r="EFZ69" s="2936"/>
      <c r="EGA69" s="2936"/>
      <c r="EGB69" s="2936"/>
      <c r="EGC69" s="2936"/>
      <c r="EGD69" s="2936"/>
      <c r="EGE69" s="2936"/>
      <c r="EGF69" s="2936"/>
      <c r="EGG69" s="2936"/>
      <c r="EGH69" s="2936"/>
      <c r="EGI69" s="2936"/>
      <c r="EGJ69" s="2936"/>
      <c r="EGK69" s="2936"/>
      <c r="EGL69" s="2936"/>
      <c r="EGM69" s="2936"/>
      <c r="EGN69" s="2936"/>
      <c r="EGO69" s="2936"/>
      <c r="EGP69" s="2936"/>
      <c r="EGQ69" s="2936"/>
      <c r="EGR69" s="2936"/>
      <c r="EGS69" s="2936"/>
      <c r="EGT69" s="2936"/>
      <c r="EGU69" s="2936"/>
      <c r="EGV69" s="2936"/>
      <c r="EGW69" s="2936"/>
      <c r="EGX69" s="2936"/>
      <c r="EGY69" s="2936"/>
      <c r="EGZ69" s="2936"/>
      <c r="EHA69" s="2936"/>
      <c r="EHB69" s="2936"/>
      <c r="EHC69" s="2936"/>
      <c r="EHD69" s="2936"/>
      <c r="EHE69" s="2936"/>
      <c r="EHF69" s="2936"/>
      <c r="EHG69" s="2936"/>
      <c r="EHH69" s="2936"/>
      <c r="EHI69" s="2936"/>
      <c r="EHJ69" s="2936"/>
      <c r="EHK69" s="2936"/>
      <c r="EHL69" s="2936"/>
      <c r="EHM69" s="2936"/>
      <c r="EHN69" s="2936"/>
      <c r="EHO69" s="2936"/>
      <c r="EHP69" s="2936"/>
      <c r="EHQ69" s="2936"/>
      <c r="EHR69" s="2936"/>
      <c r="EHS69" s="2936"/>
      <c r="EHT69" s="2936"/>
      <c r="EHU69" s="2936"/>
      <c r="EHV69" s="2936"/>
      <c r="EHW69" s="2936"/>
      <c r="EHX69" s="2936"/>
      <c r="EHY69" s="2936"/>
      <c r="EHZ69" s="2936"/>
      <c r="EIA69" s="2936"/>
      <c r="EIB69" s="2936"/>
      <c r="EIC69" s="2936"/>
      <c r="EID69" s="2936"/>
      <c r="EIE69" s="2936"/>
      <c r="EIF69" s="2936"/>
      <c r="EIG69" s="2936"/>
      <c r="EIH69" s="2936"/>
      <c r="EII69" s="2936"/>
      <c r="EIJ69" s="2936"/>
      <c r="EIK69" s="2936"/>
      <c r="EIL69" s="2936"/>
      <c r="EIM69" s="2936"/>
      <c r="EIN69" s="2936"/>
      <c r="EIO69" s="2936"/>
      <c r="EIP69" s="2936"/>
      <c r="EIQ69" s="2936"/>
      <c r="EIR69" s="2936"/>
      <c r="EIS69" s="2936"/>
      <c r="EIT69" s="2936"/>
      <c r="EIU69" s="2936"/>
      <c r="EIV69" s="2936"/>
      <c r="EIW69" s="2936"/>
      <c r="EIX69" s="2936"/>
      <c r="EIY69" s="2936"/>
      <c r="EIZ69" s="2936"/>
      <c r="EJA69" s="2936"/>
      <c r="EJB69" s="2936"/>
      <c r="EJC69" s="2936"/>
      <c r="EJD69" s="2936"/>
      <c r="EJE69" s="2936"/>
      <c r="EJF69" s="2936"/>
      <c r="EJG69" s="2936"/>
      <c r="EJH69" s="2936"/>
      <c r="EJI69" s="2936"/>
      <c r="EJJ69" s="2936"/>
      <c r="EJK69" s="2936"/>
      <c r="EJL69" s="2936"/>
      <c r="EJM69" s="2936"/>
      <c r="EJN69" s="2936"/>
      <c r="EJO69" s="2936"/>
      <c r="EJP69" s="2936"/>
      <c r="EJQ69" s="2936"/>
      <c r="EJR69" s="2936"/>
      <c r="EJS69" s="2936"/>
      <c r="EJT69" s="2936"/>
      <c r="EJU69" s="2936"/>
      <c r="EJV69" s="2936"/>
      <c r="EJW69" s="2936"/>
      <c r="EJX69" s="2936"/>
      <c r="EJY69" s="2936"/>
      <c r="EJZ69" s="2936"/>
      <c r="EKA69" s="2936"/>
      <c r="EKB69" s="2936"/>
      <c r="EKC69" s="2936"/>
      <c r="EKD69" s="2936"/>
      <c r="EKE69" s="2936"/>
      <c r="EKF69" s="2936"/>
      <c r="EKG69" s="2936"/>
      <c r="EKH69" s="2936"/>
      <c r="EKI69" s="2936"/>
      <c r="EKJ69" s="2936"/>
      <c r="EKK69" s="2936"/>
      <c r="EKL69" s="2936"/>
      <c r="EKM69" s="2936"/>
      <c r="EKN69" s="2936"/>
      <c r="EKO69" s="2936"/>
      <c r="EKP69" s="2936"/>
      <c r="EKQ69" s="2936"/>
      <c r="EKR69" s="2936"/>
      <c r="EKS69" s="2936"/>
      <c r="EKT69" s="2936"/>
      <c r="EKU69" s="2936"/>
      <c r="EKV69" s="2936"/>
      <c r="EKW69" s="2936"/>
      <c r="EKX69" s="2936"/>
      <c r="EKY69" s="2936"/>
      <c r="EKZ69" s="2936"/>
      <c r="ELA69" s="2936"/>
      <c r="ELB69" s="2936"/>
      <c r="ELC69" s="2936"/>
      <c r="ELD69" s="2936"/>
      <c r="ELE69" s="2936"/>
      <c r="ELF69" s="2936"/>
      <c r="ELG69" s="2936"/>
      <c r="ELH69" s="2936"/>
      <c r="ELI69" s="2936"/>
      <c r="ELJ69" s="2936"/>
      <c r="ELK69" s="2936"/>
      <c r="ELL69" s="2936"/>
      <c r="ELM69" s="2936"/>
      <c r="ELN69" s="2936"/>
      <c r="ELO69" s="2936"/>
      <c r="ELP69" s="2936"/>
      <c r="ELQ69" s="2936"/>
      <c r="ELR69" s="2936"/>
      <c r="ELS69" s="2936"/>
      <c r="ELT69" s="2936"/>
      <c r="ELU69" s="2936"/>
      <c r="ELV69" s="2936"/>
      <c r="ELW69" s="2936"/>
      <c r="ELX69" s="2936"/>
      <c r="ELY69" s="2936"/>
      <c r="ELZ69" s="2936"/>
      <c r="EMA69" s="2936"/>
      <c r="EMB69" s="2936"/>
      <c r="EMC69" s="2936"/>
      <c r="EMD69" s="2936"/>
      <c r="EME69" s="2936"/>
      <c r="EMF69" s="2936"/>
      <c r="EMG69" s="2936"/>
      <c r="EMH69" s="2936"/>
      <c r="EMI69" s="2936"/>
      <c r="EMJ69" s="2936"/>
      <c r="EMK69" s="2936"/>
      <c r="EML69" s="2936"/>
      <c r="EMM69" s="2936"/>
      <c r="EMN69" s="2936"/>
      <c r="EMO69" s="2936"/>
      <c r="EMP69" s="2936"/>
      <c r="EMQ69" s="2936"/>
      <c r="EMR69" s="2936"/>
      <c r="EMS69" s="2936"/>
      <c r="EMT69" s="2936"/>
      <c r="EMU69" s="2936"/>
      <c r="EMV69" s="2936"/>
      <c r="EMW69" s="2936"/>
      <c r="EMX69" s="2936"/>
      <c r="EMY69" s="2936"/>
      <c r="EMZ69" s="2936"/>
      <c r="ENA69" s="2936"/>
      <c r="ENB69" s="2936"/>
      <c r="ENC69" s="2936"/>
      <c r="END69" s="2936"/>
      <c r="ENE69" s="2936"/>
      <c r="ENF69" s="2936"/>
      <c r="ENG69" s="2936"/>
      <c r="ENH69" s="2936"/>
      <c r="ENI69" s="2936"/>
      <c r="ENJ69" s="2936"/>
      <c r="ENK69" s="2936"/>
      <c r="ENL69" s="2936"/>
      <c r="ENM69" s="2936"/>
      <c r="ENN69" s="2936"/>
      <c r="ENO69" s="2936"/>
      <c r="ENP69" s="2936"/>
      <c r="ENQ69" s="2936"/>
      <c r="ENR69" s="2936"/>
      <c r="ENS69" s="2936"/>
      <c r="ENT69" s="2936"/>
      <c r="ENU69" s="2936"/>
      <c r="ENV69" s="2936"/>
      <c r="ENW69" s="2936"/>
      <c r="ENX69" s="2936"/>
      <c r="ENY69" s="2936"/>
      <c r="ENZ69" s="2936"/>
      <c r="EOA69" s="2936"/>
      <c r="EOB69" s="2936"/>
      <c r="EOC69" s="2936"/>
      <c r="EOD69" s="2936"/>
      <c r="EOE69" s="2936"/>
      <c r="EOF69" s="2936"/>
      <c r="EOG69" s="2936"/>
      <c r="EOH69" s="2936"/>
      <c r="EOI69" s="2936"/>
      <c r="EOJ69" s="2936"/>
      <c r="EOK69" s="2936"/>
      <c r="EOL69" s="2936"/>
      <c r="EOM69" s="2936"/>
      <c r="EON69" s="2936"/>
      <c r="EOO69" s="2936"/>
      <c r="EOP69" s="2936"/>
      <c r="EOQ69" s="2936"/>
      <c r="EOR69" s="2936"/>
      <c r="EOS69" s="2936"/>
      <c r="EOT69" s="2936"/>
      <c r="EOU69" s="2936"/>
      <c r="EOV69" s="2936"/>
      <c r="EOW69" s="2936"/>
      <c r="EOX69" s="2936"/>
      <c r="EOY69" s="2936"/>
      <c r="EOZ69" s="2936"/>
      <c r="EPA69" s="2936"/>
      <c r="EPB69" s="2936"/>
      <c r="EPC69" s="2936"/>
      <c r="EPD69" s="2936"/>
      <c r="EPE69" s="2936"/>
      <c r="EPF69" s="2936"/>
      <c r="EPG69" s="2936"/>
      <c r="EPH69" s="2936"/>
      <c r="EPI69" s="2936"/>
      <c r="EPJ69" s="2936"/>
      <c r="EPK69" s="2936"/>
      <c r="EPL69" s="2936"/>
      <c r="EPM69" s="2936"/>
      <c r="EPN69" s="2936"/>
      <c r="EPO69" s="2936"/>
      <c r="EPP69" s="2936"/>
      <c r="EPQ69" s="2936"/>
      <c r="EPR69" s="2936"/>
      <c r="EPS69" s="2936"/>
      <c r="EPT69" s="2936"/>
      <c r="EPU69" s="2936"/>
      <c r="EPV69" s="2936"/>
      <c r="EPW69" s="2936"/>
      <c r="EPX69" s="2936"/>
      <c r="EPY69" s="2936"/>
      <c r="EPZ69" s="2936"/>
      <c r="EQA69" s="2936"/>
      <c r="EQB69" s="2936"/>
      <c r="EQC69" s="2936"/>
      <c r="EQD69" s="2936"/>
      <c r="EQE69" s="2936"/>
      <c r="EQF69" s="2936"/>
      <c r="EQG69" s="2936"/>
      <c r="EQH69" s="2936"/>
      <c r="EQI69" s="2936"/>
      <c r="EQJ69" s="2936"/>
      <c r="EQK69" s="2936"/>
      <c r="EQL69" s="2936"/>
      <c r="EQM69" s="2936"/>
      <c r="EQN69" s="2936"/>
      <c r="EQO69" s="2936"/>
      <c r="EQP69" s="2936"/>
      <c r="EQQ69" s="2936"/>
      <c r="EQR69" s="2936"/>
      <c r="EQS69" s="2936"/>
      <c r="EQT69" s="2936"/>
      <c r="EQU69" s="2936"/>
      <c r="EQV69" s="2936"/>
      <c r="EQW69" s="2936"/>
      <c r="EQX69" s="2936"/>
      <c r="EQY69" s="2936"/>
      <c r="EQZ69" s="2936"/>
      <c r="ERA69" s="2936"/>
      <c r="ERB69" s="2936"/>
      <c r="ERC69" s="2936"/>
      <c r="ERD69" s="2936"/>
      <c r="ERE69" s="2936"/>
      <c r="ERF69" s="2936"/>
      <c r="ERG69" s="2936"/>
      <c r="ERH69" s="2936"/>
      <c r="ERI69" s="2936"/>
      <c r="ERJ69" s="2936"/>
      <c r="ERK69" s="2936"/>
      <c r="ERL69" s="2936"/>
      <c r="ERM69" s="2936"/>
      <c r="ERN69" s="2936"/>
      <c r="ERO69" s="2936"/>
      <c r="ERP69" s="2936"/>
      <c r="ERQ69" s="2936"/>
      <c r="ERR69" s="2936"/>
      <c r="ERS69" s="2936"/>
      <c r="ERT69" s="2936"/>
      <c r="ERU69" s="2936"/>
      <c r="ERV69" s="2936"/>
      <c r="ERW69" s="2936"/>
      <c r="ERX69" s="2936"/>
      <c r="ERY69" s="2936"/>
      <c r="ERZ69" s="2936"/>
      <c r="ESA69" s="2936"/>
      <c r="ESB69" s="2936"/>
      <c r="ESC69" s="2936"/>
      <c r="ESD69" s="2936"/>
      <c r="ESE69" s="2936"/>
      <c r="ESF69" s="2936"/>
      <c r="ESG69" s="2936"/>
      <c r="ESH69" s="2936"/>
      <c r="ESI69" s="2936"/>
      <c r="ESJ69" s="2936"/>
      <c r="ESK69" s="2936"/>
      <c r="ESL69" s="2936"/>
      <c r="ESM69" s="2936"/>
      <c r="ESN69" s="2936"/>
      <c r="ESO69" s="2936"/>
      <c r="ESP69" s="2936"/>
      <c r="ESQ69" s="2936"/>
      <c r="ESR69" s="2936"/>
      <c r="ESS69" s="2936"/>
      <c r="EST69" s="2936"/>
      <c r="ESU69" s="2936"/>
      <c r="ESV69" s="2936"/>
      <c r="ESW69" s="2936"/>
      <c r="ESX69" s="2936"/>
      <c r="ESY69" s="2936"/>
      <c r="ESZ69" s="2936"/>
      <c r="ETA69" s="2936"/>
      <c r="ETB69" s="2936"/>
      <c r="ETC69" s="2936"/>
      <c r="ETD69" s="2936"/>
      <c r="ETE69" s="2936"/>
      <c r="ETF69" s="2936"/>
      <c r="ETG69" s="2936"/>
      <c r="ETH69" s="2936"/>
      <c r="ETI69" s="2936"/>
      <c r="ETJ69" s="2936"/>
      <c r="ETK69" s="2936"/>
      <c r="ETL69" s="2936"/>
      <c r="ETM69" s="2936"/>
      <c r="ETN69" s="2936"/>
      <c r="ETO69" s="2936"/>
      <c r="ETP69" s="2936"/>
      <c r="ETQ69" s="2936"/>
      <c r="ETR69" s="2936"/>
      <c r="ETS69" s="2936"/>
      <c r="ETT69" s="2936"/>
      <c r="ETU69" s="2936"/>
      <c r="ETV69" s="2936"/>
      <c r="ETW69" s="2936"/>
      <c r="ETX69" s="2936"/>
      <c r="ETY69" s="2936"/>
      <c r="ETZ69" s="2936"/>
      <c r="EUA69" s="2936"/>
      <c r="EUB69" s="2936"/>
      <c r="EUC69" s="2936"/>
      <c r="EUD69" s="2936"/>
      <c r="EUE69" s="2936"/>
      <c r="EUF69" s="2936"/>
      <c r="EUG69" s="2936"/>
      <c r="EUH69" s="2936"/>
      <c r="EUI69" s="2936"/>
      <c r="EUJ69" s="2936"/>
      <c r="EUK69" s="2936"/>
      <c r="EUL69" s="2936"/>
      <c r="EUM69" s="2936"/>
      <c r="EUN69" s="2936"/>
      <c r="EUO69" s="2936"/>
      <c r="EUP69" s="2936"/>
      <c r="EUQ69" s="2936"/>
      <c r="EUR69" s="2936"/>
      <c r="EUS69" s="2936"/>
      <c r="EUT69" s="2936"/>
      <c r="EUU69" s="2936"/>
      <c r="EUV69" s="2936"/>
      <c r="EUW69" s="2936"/>
      <c r="EUX69" s="2936"/>
      <c r="EUY69" s="2936"/>
      <c r="EUZ69" s="2936"/>
      <c r="EVA69" s="2936"/>
      <c r="EVB69" s="2936"/>
      <c r="EVC69" s="2936"/>
      <c r="EVD69" s="2936"/>
      <c r="EVE69" s="2936"/>
      <c r="EVF69" s="2936"/>
      <c r="EVG69" s="2936"/>
      <c r="EVH69" s="2936"/>
      <c r="EVI69" s="2936"/>
      <c r="EVJ69" s="2936"/>
      <c r="EVK69" s="2936"/>
      <c r="EVL69" s="2936"/>
      <c r="EVM69" s="2936"/>
      <c r="EVN69" s="2936"/>
      <c r="EVO69" s="2936"/>
      <c r="EVP69" s="2936"/>
      <c r="EVQ69" s="2936"/>
      <c r="EVR69" s="2936"/>
      <c r="EVS69" s="2936"/>
      <c r="EVT69" s="2936"/>
      <c r="EVU69" s="2936"/>
      <c r="EVV69" s="2936"/>
      <c r="EVW69" s="2936"/>
      <c r="EVX69" s="2936"/>
      <c r="EVY69" s="2936"/>
      <c r="EVZ69" s="2936"/>
      <c r="EWA69" s="2936"/>
      <c r="EWB69" s="2936"/>
      <c r="EWC69" s="2936"/>
      <c r="EWD69" s="2936"/>
      <c r="EWE69" s="2936"/>
      <c r="EWF69" s="2936"/>
      <c r="EWG69" s="2936"/>
      <c r="EWH69" s="2936"/>
      <c r="EWI69" s="2936"/>
      <c r="EWJ69" s="2936"/>
      <c r="EWK69" s="2936"/>
      <c r="EWL69" s="2936"/>
      <c r="EWM69" s="2936"/>
      <c r="EWN69" s="2936"/>
      <c r="EWO69" s="2936"/>
      <c r="EWP69" s="2936"/>
      <c r="EWQ69" s="2936"/>
      <c r="EWR69" s="2936"/>
      <c r="EWS69" s="2936"/>
      <c r="EWT69" s="2936"/>
      <c r="EWU69" s="2936"/>
      <c r="EWV69" s="2936"/>
      <c r="EWW69" s="2936"/>
      <c r="EWX69" s="2936"/>
      <c r="EWY69" s="2936"/>
      <c r="EWZ69" s="2936"/>
      <c r="EXA69" s="2936"/>
      <c r="EXB69" s="2936"/>
      <c r="EXC69" s="2936"/>
      <c r="EXD69" s="2936"/>
      <c r="EXE69" s="2936"/>
      <c r="EXF69" s="2936"/>
      <c r="EXG69" s="2936"/>
      <c r="EXH69" s="2936"/>
      <c r="EXI69" s="2936"/>
      <c r="EXJ69" s="2936"/>
      <c r="EXK69" s="2936"/>
      <c r="EXL69" s="2936"/>
      <c r="EXM69" s="2936"/>
      <c r="EXN69" s="2936"/>
      <c r="EXO69" s="2936"/>
      <c r="EXP69" s="2936"/>
      <c r="EXQ69" s="2936"/>
      <c r="EXR69" s="2936"/>
      <c r="EXS69" s="2936"/>
      <c r="EXT69" s="2936"/>
      <c r="EXU69" s="2936"/>
      <c r="EXV69" s="2936"/>
      <c r="EXW69" s="2936"/>
      <c r="EXX69" s="2936"/>
      <c r="EXY69" s="2936"/>
      <c r="EXZ69" s="2936"/>
      <c r="EYA69" s="2936"/>
      <c r="EYB69" s="2936"/>
      <c r="EYC69" s="2936"/>
      <c r="EYD69" s="2936"/>
      <c r="EYE69" s="2936"/>
      <c r="EYF69" s="2936"/>
      <c r="EYG69" s="2936"/>
      <c r="EYH69" s="2936"/>
      <c r="EYI69" s="2936"/>
      <c r="EYJ69" s="2936"/>
      <c r="EYK69" s="2936"/>
      <c r="EYL69" s="2936"/>
      <c r="EYM69" s="2936"/>
      <c r="EYN69" s="2936"/>
      <c r="EYO69" s="2936"/>
      <c r="EYP69" s="2936"/>
      <c r="EYQ69" s="2936"/>
      <c r="EYR69" s="2936"/>
      <c r="EYS69" s="2936"/>
      <c r="EYT69" s="2936"/>
      <c r="EYU69" s="2936"/>
      <c r="EYV69" s="2936"/>
      <c r="EYW69" s="2936"/>
      <c r="EYX69" s="2936"/>
      <c r="EYY69" s="2936"/>
      <c r="EYZ69" s="2936"/>
      <c r="EZA69" s="2936"/>
      <c r="EZB69" s="2936"/>
      <c r="EZC69" s="2936"/>
      <c r="EZD69" s="2936"/>
      <c r="EZE69" s="2936"/>
      <c r="EZF69" s="2936"/>
      <c r="EZG69" s="2936"/>
      <c r="EZH69" s="2936"/>
      <c r="EZI69" s="2936"/>
      <c r="EZJ69" s="2936"/>
      <c r="EZK69" s="2936"/>
      <c r="EZL69" s="2936"/>
      <c r="EZM69" s="2936"/>
      <c r="EZN69" s="2936"/>
      <c r="EZO69" s="2936"/>
      <c r="EZP69" s="2936"/>
      <c r="EZQ69" s="2936"/>
      <c r="EZR69" s="2936"/>
      <c r="EZS69" s="2936"/>
      <c r="EZT69" s="2936"/>
      <c r="EZU69" s="2936"/>
      <c r="EZV69" s="2936"/>
      <c r="EZW69" s="2936"/>
      <c r="EZX69" s="2936"/>
      <c r="EZY69" s="2936"/>
      <c r="EZZ69" s="2936"/>
      <c r="FAA69" s="2936"/>
      <c r="FAB69" s="2936"/>
      <c r="FAC69" s="2936"/>
      <c r="FAD69" s="2936"/>
      <c r="FAE69" s="2936"/>
      <c r="FAF69" s="2936"/>
      <c r="FAG69" s="2936"/>
      <c r="FAH69" s="2936"/>
      <c r="FAI69" s="2936"/>
      <c r="FAJ69" s="2936"/>
      <c r="FAK69" s="2936"/>
      <c r="FAL69" s="2936"/>
      <c r="FAM69" s="2936"/>
      <c r="FAN69" s="2936"/>
      <c r="FAO69" s="2936"/>
      <c r="FAP69" s="2936"/>
      <c r="FAQ69" s="2936"/>
      <c r="FAR69" s="2936"/>
      <c r="FAS69" s="2936"/>
      <c r="FAT69" s="2936"/>
      <c r="FAU69" s="2936"/>
      <c r="FAV69" s="2936"/>
      <c r="FAW69" s="2936"/>
      <c r="FAX69" s="2936"/>
      <c r="FAY69" s="2936"/>
      <c r="FAZ69" s="2936"/>
      <c r="FBA69" s="2936"/>
      <c r="FBB69" s="2936"/>
      <c r="FBC69" s="2936"/>
      <c r="FBD69" s="2936"/>
      <c r="FBE69" s="2936"/>
      <c r="FBF69" s="2936"/>
      <c r="FBG69" s="2936"/>
      <c r="FBH69" s="2936"/>
      <c r="FBI69" s="2936"/>
      <c r="FBJ69" s="2936"/>
      <c r="FBK69" s="2936"/>
      <c r="FBL69" s="2936"/>
      <c r="FBM69" s="2936"/>
      <c r="FBN69" s="2936"/>
      <c r="FBO69" s="2936"/>
      <c r="FBP69" s="2936"/>
      <c r="FBQ69" s="2936"/>
      <c r="FBR69" s="2936"/>
      <c r="FBS69" s="2936"/>
      <c r="FBT69" s="2936"/>
      <c r="FBU69" s="2936"/>
      <c r="FBV69" s="2936"/>
      <c r="FBW69" s="2936"/>
      <c r="FBX69" s="2936"/>
      <c r="FBY69" s="2936"/>
      <c r="FBZ69" s="2936"/>
      <c r="FCA69" s="2936"/>
      <c r="FCB69" s="2936"/>
      <c r="FCC69" s="2936"/>
      <c r="FCD69" s="2936"/>
      <c r="FCE69" s="2936"/>
      <c r="FCF69" s="2936"/>
      <c r="FCG69" s="2936"/>
      <c r="FCH69" s="2936"/>
      <c r="FCI69" s="2936"/>
      <c r="FCJ69" s="2936"/>
      <c r="FCK69" s="2936"/>
      <c r="FCL69" s="2936"/>
      <c r="FCM69" s="2936"/>
      <c r="FCN69" s="2936"/>
      <c r="FCO69" s="2936"/>
      <c r="FCP69" s="2936"/>
      <c r="FCQ69" s="2936"/>
      <c r="FCR69" s="2936"/>
      <c r="FCS69" s="2936"/>
      <c r="FCT69" s="2936"/>
      <c r="FCU69" s="2936"/>
      <c r="FCV69" s="2936"/>
      <c r="FCW69" s="2936"/>
      <c r="FCX69" s="2936"/>
      <c r="FCY69" s="2936"/>
      <c r="FCZ69" s="2936"/>
      <c r="FDA69" s="2936"/>
      <c r="FDB69" s="2936"/>
      <c r="FDC69" s="2936"/>
      <c r="FDD69" s="2936"/>
      <c r="FDE69" s="2936"/>
      <c r="FDF69" s="2936"/>
      <c r="FDG69" s="2936"/>
      <c r="FDH69" s="2936"/>
      <c r="FDI69" s="2936"/>
      <c r="FDJ69" s="2936"/>
      <c r="FDK69" s="2936"/>
      <c r="FDL69" s="2936"/>
      <c r="FDM69" s="2936"/>
      <c r="FDN69" s="2936"/>
      <c r="FDO69" s="2936"/>
      <c r="FDP69" s="2936"/>
      <c r="FDQ69" s="2936"/>
      <c r="FDR69" s="2936"/>
      <c r="FDS69" s="2936"/>
      <c r="FDT69" s="2936"/>
      <c r="FDU69" s="2936"/>
      <c r="FDV69" s="2936"/>
      <c r="FDW69" s="2936"/>
      <c r="FDX69" s="2936"/>
      <c r="FDY69" s="2936"/>
      <c r="FDZ69" s="2936"/>
      <c r="FEA69" s="2936"/>
      <c r="FEB69" s="2936"/>
      <c r="FEC69" s="2936"/>
      <c r="FED69" s="2936"/>
      <c r="FEE69" s="2936"/>
      <c r="FEF69" s="2936"/>
      <c r="FEG69" s="2936"/>
      <c r="FEH69" s="2936"/>
      <c r="FEI69" s="2936"/>
      <c r="FEJ69" s="2936"/>
      <c r="FEK69" s="2936"/>
      <c r="FEL69" s="2936"/>
      <c r="FEM69" s="2936"/>
      <c r="FEN69" s="2936"/>
      <c r="FEO69" s="2936"/>
      <c r="FEP69" s="2936"/>
      <c r="FEQ69" s="2936"/>
      <c r="FER69" s="2936"/>
      <c r="FES69" s="2936"/>
      <c r="FET69" s="2936"/>
      <c r="FEU69" s="2936"/>
      <c r="FEV69" s="2936"/>
      <c r="FEW69" s="2936"/>
      <c r="FEX69" s="2936"/>
      <c r="FEY69" s="2936"/>
      <c r="FEZ69" s="2936"/>
      <c r="FFA69" s="2936"/>
      <c r="FFB69" s="2936"/>
      <c r="FFC69" s="2936"/>
      <c r="FFD69" s="2936"/>
      <c r="FFE69" s="2936"/>
      <c r="FFF69" s="2936"/>
      <c r="FFG69" s="2936"/>
      <c r="FFH69" s="2936"/>
      <c r="FFI69" s="2936"/>
      <c r="FFJ69" s="2936"/>
      <c r="FFK69" s="2936"/>
      <c r="FFL69" s="2936"/>
      <c r="FFM69" s="2936"/>
      <c r="FFN69" s="2936"/>
      <c r="FFO69" s="2936"/>
      <c r="FFP69" s="2936"/>
      <c r="FFQ69" s="2936"/>
      <c r="FFR69" s="2936"/>
      <c r="FFS69" s="2936"/>
      <c r="FFT69" s="2936"/>
      <c r="FFU69" s="2936"/>
      <c r="FFV69" s="2936"/>
      <c r="FFW69" s="2936"/>
      <c r="FFX69" s="2936"/>
      <c r="FFY69" s="2936"/>
      <c r="FFZ69" s="2936"/>
      <c r="FGA69" s="2936"/>
      <c r="FGB69" s="2936"/>
      <c r="FGC69" s="2936"/>
      <c r="FGD69" s="2936"/>
      <c r="FGE69" s="2936"/>
      <c r="FGF69" s="2936"/>
      <c r="FGG69" s="2936"/>
      <c r="FGH69" s="2936"/>
      <c r="FGI69" s="2936"/>
      <c r="FGJ69" s="2936"/>
      <c r="FGK69" s="2936"/>
      <c r="FGL69" s="2936"/>
      <c r="FGM69" s="2936"/>
      <c r="FGN69" s="2936"/>
      <c r="FGO69" s="2936"/>
      <c r="FGP69" s="2936"/>
      <c r="FGQ69" s="2936"/>
      <c r="FGR69" s="2936"/>
      <c r="FGS69" s="2936"/>
      <c r="FGT69" s="2936"/>
      <c r="FGU69" s="2936"/>
      <c r="FGV69" s="2936"/>
      <c r="FGW69" s="2936"/>
      <c r="FGX69" s="2936"/>
      <c r="FGY69" s="2936"/>
      <c r="FGZ69" s="2936"/>
      <c r="FHA69" s="2936"/>
      <c r="FHB69" s="2936"/>
      <c r="FHC69" s="2936"/>
      <c r="FHD69" s="2936"/>
      <c r="FHE69" s="2936"/>
      <c r="FHF69" s="2936"/>
      <c r="FHG69" s="2936"/>
      <c r="FHH69" s="2936"/>
      <c r="FHI69" s="2936"/>
      <c r="FHJ69" s="2936"/>
      <c r="FHK69" s="2936"/>
      <c r="FHL69" s="2936"/>
      <c r="FHM69" s="2936"/>
      <c r="FHN69" s="2936"/>
      <c r="FHO69" s="2936"/>
      <c r="FHP69" s="2936"/>
      <c r="FHQ69" s="2936"/>
      <c r="FHR69" s="2936"/>
      <c r="FHS69" s="2936"/>
      <c r="FHT69" s="2936"/>
      <c r="FHU69" s="2936"/>
      <c r="FHV69" s="2936"/>
      <c r="FHW69" s="2936"/>
      <c r="FHX69" s="2936"/>
      <c r="FHY69" s="2936"/>
      <c r="FHZ69" s="2936"/>
      <c r="FIA69" s="2936"/>
      <c r="FIB69" s="2936"/>
      <c r="FIC69" s="2936"/>
      <c r="FID69" s="2936"/>
      <c r="FIE69" s="2936"/>
      <c r="FIF69" s="2936"/>
      <c r="FIG69" s="2936"/>
      <c r="FIH69" s="2936"/>
      <c r="FII69" s="2936"/>
      <c r="FIJ69" s="2936"/>
      <c r="FIK69" s="2936"/>
      <c r="FIL69" s="2936"/>
      <c r="FIM69" s="2936"/>
      <c r="FIN69" s="2936"/>
      <c r="FIO69" s="2936"/>
      <c r="FIP69" s="2936"/>
      <c r="FIQ69" s="2936"/>
      <c r="FIR69" s="2936"/>
      <c r="FIS69" s="2936"/>
      <c r="FIT69" s="2936"/>
      <c r="FIU69" s="2936"/>
      <c r="FIV69" s="2936"/>
      <c r="FIW69" s="2936"/>
      <c r="FIX69" s="2936"/>
      <c r="FIY69" s="2936"/>
      <c r="FIZ69" s="2936"/>
      <c r="FJA69" s="2936"/>
      <c r="FJB69" s="2936"/>
      <c r="FJC69" s="2936"/>
      <c r="FJD69" s="2936"/>
      <c r="FJE69" s="2936"/>
      <c r="FJF69" s="2936"/>
      <c r="FJG69" s="2936"/>
      <c r="FJH69" s="2936"/>
      <c r="FJI69" s="2936"/>
      <c r="FJJ69" s="2936"/>
      <c r="FJK69" s="2936"/>
      <c r="FJL69" s="2936"/>
      <c r="FJM69" s="2936"/>
      <c r="FJN69" s="2936"/>
      <c r="FJO69" s="2936"/>
      <c r="FJP69" s="2936"/>
      <c r="FJQ69" s="2936"/>
      <c r="FJR69" s="2936"/>
      <c r="FJS69" s="2936"/>
      <c r="FJT69" s="2936"/>
      <c r="FJU69" s="2936"/>
      <c r="FJV69" s="2936"/>
      <c r="FJW69" s="2936"/>
      <c r="FJX69" s="2936"/>
      <c r="FJY69" s="2936"/>
      <c r="FJZ69" s="2936"/>
      <c r="FKA69" s="2936"/>
      <c r="FKB69" s="2936"/>
      <c r="FKC69" s="2936"/>
      <c r="FKD69" s="2936"/>
      <c r="FKE69" s="2936"/>
      <c r="FKF69" s="2936"/>
      <c r="FKG69" s="2936"/>
      <c r="FKH69" s="2936"/>
      <c r="FKI69" s="2936"/>
      <c r="FKJ69" s="2936"/>
      <c r="FKK69" s="2936"/>
      <c r="FKL69" s="2936"/>
      <c r="FKM69" s="2936"/>
      <c r="FKN69" s="2936"/>
      <c r="FKO69" s="2936"/>
      <c r="FKP69" s="2936"/>
      <c r="FKQ69" s="2936"/>
      <c r="FKR69" s="2936"/>
      <c r="FKS69" s="2936"/>
      <c r="FKT69" s="2936"/>
      <c r="FKU69" s="2936"/>
      <c r="FKV69" s="2936"/>
      <c r="FKW69" s="2936"/>
      <c r="FKX69" s="2936"/>
      <c r="FKY69" s="2936"/>
      <c r="FKZ69" s="2936"/>
      <c r="FLA69" s="2936"/>
      <c r="FLB69" s="2936"/>
      <c r="FLC69" s="2936"/>
      <c r="FLD69" s="2936"/>
      <c r="FLE69" s="2936"/>
      <c r="FLF69" s="2936"/>
      <c r="FLG69" s="2936"/>
      <c r="FLH69" s="2936"/>
      <c r="FLI69" s="2936"/>
      <c r="FLJ69" s="2936"/>
      <c r="FLK69" s="2936"/>
      <c r="FLL69" s="2936"/>
      <c r="FLM69" s="2936"/>
      <c r="FLN69" s="2936"/>
      <c r="FLO69" s="2936"/>
      <c r="FLP69" s="2936"/>
      <c r="FLQ69" s="2936"/>
      <c r="FLR69" s="2936"/>
      <c r="FLS69" s="2936"/>
      <c r="FLT69" s="2936"/>
      <c r="FLU69" s="2936"/>
      <c r="FLV69" s="2936"/>
      <c r="FLW69" s="2936"/>
      <c r="FLX69" s="2936"/>
      <c r="FLY69" s="2936"/>
      <c r="FLZ69" s="2936"/>
      <c r="FMA69" s="2936"/>
      <c r="FMB69" s="2936"/>
      <c r="FMC69" s="2936"/>
      <c r="FMD69" s="2936"/>
      <c r="FME69" s="2936"/>
      <c r="FMF69" s="2936"/>
      <c r="FMG69" s="2936"/>
      <c r="FMH69" s="2936"/>
      <c r="FMI69" s="2936"/>
      <c r="FMJ69" s="2936"/>
      <c r="FMK69" s="2936"/>
      <c r="FML69" s="2936"/>
      <c r="FMM69" s="2936"/>
      <c r="FMN69" s="2936"/>
      <c r="FMO69" s="2936"/>
      <c r="FMP69" s="2936"/>
      <c r="FMQ69" s="2936"/>
      <c r="FMR69" s="2936"/>
      <c r="FMS69" s="2936"/>
      <c r="FMT69" s="2936"/>
      <c r="FMU69" s="2936"/>
      <c r="FMV69" s="2936"/>
      <c r="FMW69" s="2936"/>
      <c r="FMX69" s="2936"/>
      <c r="FMY69" s="2936"/>
      <c r="FMZ69" s="2936"/>
      <c r="FNA69" s="2936"/>
      <c r="FNB69" s="2936"/>
      <c r="FNC69" s="2936"/>
      <c r="FND69" s="2936"/>
      <c r="FNE69" s="2936"/>
      <c r="FNF69" s="2936"/>
      <c r="FNG69" s="2936"/>
      <c r="FNH69" s="2936"/>
      <c r="FNI69" s="2936"/>
      <c r="FNJ69" s="2936"/>
      <c r="FNK69" s="2936"/>
      <c r="FNL69" s="2936"/>
      <c r="FNM69" s="2936"/>
      <c r="FNN69" s="2936"/>
      <c r="FNO69" s="2936"/>
      <c r="FNP69" s="2936"/>
      <c r="FNQ69" s="2936"/>
      <c r="FNR69" s="2936"/>
      <c r="FNS69" s="2936"/>
      <c r="FNT69" s="2936"/>
      <c r="FNU69" s="2936"/>
      <c r="FNV69" s="2936"/>
      <c r="FNW69" s="2936"/>
      <c r="FNX69" s="2936"/>
      <c r="FNY69" s="2936"/>
      <c r="FNZ69" s="2936"/>
      <c r="FOA69" s="2936"/>
      <c r="FOB69" s="2936"/>
      <c r="FOC69" s="2936"/>
      <c r="FOD69" s="2936"/>
      <c r="FOE69" s="2936"/>
      <c r="FOF69" s="2936"/>
      <c r="FOG69" s="2936"/>
      <c r="FOH69" s="2936"/>
      <c r="FOI69" s="2936"/>
      <c r="FOJ69" s="2936"/>
      <c r="FOK69" s="2936"/>
      <c r="FOL69" s="2936"/>
      <c r="FOM69" s="2936"/>
      <c r="FON69" s="2936"/>
      <c r="FOO69" s="2936"/>
      <c r="FOP69" s="2936"/>
      <c r="FOQ69" s="2936"/>
      <c r="FOR69" s="2936"/>
      <c r="FOS69" s="2936"/>
      <c r="FOT69" s="2936"/>
      <c r="FOU69" s="2936"/>
      <c r="FOV69" s="2936"/>
      <c r="FOW69" s="2936"/>
      <c r="FOX69" s="2936"/>
      <c r="FOY69" s="2936"/>
      <c r="FOZ69" s="2936"/>
      <c r="FPA69" s="2936"/>
      <c r="FPB69" s="2936"/>
      <c r="FPC69" s="2936"/>
      <c r="FPD69" s="2936"/>
      <c r="FPE69" s="2936"/>
      <c r="FPF69" s="2936"/>
      <c r="FPG69" s="2936"/>
      <c r="FPH69" s="2936"/>
      <c r="FPI69" s="2936"/>
      <c r="FPJ69" s="2936"/>
      <c r="FPK69" s="2936"/>
      <c r="FPL69" s="2936"/>
      <c r="FPM69" s="2936"/>
      <c r="FPN69" s="2936"/>
      <c r="FPO69" s="2936"/>
      <c r="FPP69" s="2936"/>
      <c r="FPQ69" s="2936"/>
      <c r="FPR69" s="2936"/>
      <c r="FPS69" s="2936"/>
      <c r="FPT69" s="2936"/>
      <c r="FPU69" s="2936"/>
      <c r="FPV69" s="2936"/>
      <c r="FPW69" s="2936"/>
      <c r="FPX69" s="2936"/>
      <c r="FPY69" s="2936"/>
      <c r="FPZ69" s="2936"/>
      <c r="FQA69" s="2936"/>
      <c r="FQB69" s="2936"/>
      <c r="FQC69" s="2936"/>
      <c r="FQD69" s="2936"/>
      <c r="FQE69" s="2936"/>
      <c r="FQF69" s="2936"/>
      <c r="FQG69" s="2936"/>
      <c r="FQH69" s="2936"/>
      <c r="FQI69" s="2936"/>
      <c r="FQJ69" s="2936"/>
      <c r="FQK69" s="2936"/>
      <c r="FQL69" s="2936"/>
      <c r="FQM69" s="2936"/>
      <c r="FQN69" s="2936"/>
      <c r="FQO69" s="2936"/>
      <c r="FQP69" s="2936"/>
      <c r="FQQ69" s="2936"/>
      <c r="FQR69" s="2936"/>
      <c r="FQS69" s="2936"/>
      <c r="FQT69" s="2936"/>
      <c r="FQU69" s="2936"/>
      <c r="FQV69" s="2936"/>
      <c r="FQW69" s="2936"/>
      <c r="FQX69" s="2936"/>
      <c r="FQY69" s="2936"/>
      <c r="FQZ69" s="2936"/>
      <c r="FRA69" s="2936"/>
      <c r="FRB69" s="2936"/>
      <c r="FRC69" s="2936"/>
      <c r="FRD69" s="2936"/>
      <c r="FRE69" s="2936"/>
      <c r="FRF69" s="2936"/>
      <c r="FRG69" s="2936"/>
      <c r="FRH69" s="2936"/>
      <c r="FRI69" s="2936"/>
      <c r="FRJ69" s="2936"/>
      <c r="FRK69" s="2936"/>
      <c r="FRL69" s="2936"/>
      <c r="FRM69" s="2936"/>
      <c r="FRN69" s="2936"/>
      <c r="FRO69" s="2936"/>
      <c r="FRP69" s="2936"/>
      <c r="FRQ69" s="2936"/>
      <c r="FRR69" s="2936"/>
      <c r="FRS69" s="2936"/>
      <c r="FRT69" s="2936"/>
      <c r="FRU69" s="2936"/>
      <c r="FRV69" s="2936"/>
      <c r="FRW69" s="2936"/>
      <c r="FRX69" s="2936"/>
      <c r="FRY69" s="2936"/>
      <c r="FRZ69" s="2936"/>
      <c r="FSA69" s="2936"/>
      <c r="FSB69" s="2936"/>
      <c r="FSC69" s="2936"/>
      <c r="FSD69" s="2936"/>
      <c r="FSE69" s="2936"/>
      <c r="FSF69" s="2936"/>
      <c r="FSG69" s="2936"/>
      <c r="FSH69" s="2936"/>
      <c r="FSI69" s="2936"/>
      <c r="FSJ69" s="2936"/>
      <c r="FSK69" s="2936"/>
      <c r="FSL69" s="2936"/>
      <c r="FSM69" s="2936"/>
      <c r="FSN69" s="2936"/>
      <c r="FSO69" s="2936"/>
      <c r="FSP69" s="2936"/>
      <c r="FSQ69" s="2936"/>
      <c r="FSR69" s="2936"/>
      <c r="FSS69" s="2936"/>
      <c r="FST69" s="2936"/>
      <c r="FSU69" s="2936"/>
      <c r="FSV69" s="2936"/>
      <c r="FSW69" s="2936"/>
      <c r="FSX69" s="2936"/>
      <c r="FSY69" s="2936"/>
      <c r="FSZ69" s="2936"/>
      <c r="FTA69" s="2936"/>
      <c r="FTB69" s="2936"/>
      <c r="FTC69" s="2936"/>
      <c r="FTD69" s="2936"/>
      <c r="FTE69" s="2936"/>
      <c r="FTF69" s="2936"/>
      <c r="FTG69" s="2936"/>
      <c r="FTH69" s="2936"/>
      <c r="FTI69" s="2936"/>
      <c r="FTJ69" s="2936"/>
      <c r="FTK69" s="2936"/>
      <c r="FTL69" s="2936"/>
      <c r="FTM69" s="2936"/>
      <c r="FTN69" s="2936"/>
      <c r="FTO69" s="2936"/>
      <c r="FTP69" s="2936"/>
      <c r="FTQ69" s="2936"/>
      <c r="FTR69" s="2936"/>
      <c r="FTS69" s="2936"/>
      <c r="FTT69" s="2936"/>
      <c r="FTU69" s="2936"/>
      <c r="FTV69" s="2936"/>
      <c r="FTW69" s="2936"/>
      <c r="FTX69" s="2936"/>
      <c r="FTY69" s="2936"/>
      <c r="FTZ69" s="2936"/>
      <c r="FUA69" s="2936"/>
      <c r="FUB69" s="2936"/>
      <c r="FUC69" s="2936"/>
      <c r="FUD69" s="2936"/>
      <c r="FUE69" s="2936"/>
      <c r="FUF69" s="2936"/>
      <c r="FUG69" s="2936"/>
      <c r="FUH69" s="2936"/>
      <c r="FUI69" s="2936"/>
      <c r="FUJ69" s="2936"/>
      <c r="FUK69" s="2936"/>
      <c r="FUL69" s="2936"/>
      <c r="FUM69" s="2936"/>
      <c r="FUN69" s="2936"/>
      <c r="FUO69" s="2936"/>
      <c r="FUP69" s="2936"/>
      <c r="FUQ69" s="2936"/>
      <c r="FUR69" s="2936"/>
      <c r="FUS69" s="2936"/>
      <c r="FUT69" s="2936"/>
      <c r="FUU69" s="2936"/>
      <c r="FUV69" s="2936"/>
      <c r="FUW69" s="2936"/>
      <c r="FUX69" s="2936"/>
      <c r="FUY69" s="2936"/>
      <c r="FUZ69" s="2936"/>
      <c r="FVA69" s="2936"/>
      <c r="FVB69" s="2936"/>
      <c r="FVC69" s="2936"/>
      <c r="FVD69" s="2936"/>
      <c r="FVE69" s="2936"/>
      <c r="FVF69" s="2936"/>
      <c r="FVG69" s="2936"/>
      <c r="FVH69" s="2936"/>
      <c r="FVI69" s="2936"/>
      <c r="FVJ69" s="2936"/>
      <c r="FVK69" s="2936"/>
      <c r="FVL69" s="2936"/>
      <c r="FVM69" s="2936"/>
      <c r="FVN69" s="2936"/>
      <c r="FVO69" s="2936"/>
      <c r="FVP69" s="2936"/>
      <c r="FVQ69" s="2936"/>
      <c r="FVR69" s="2936"/>
      <c r="FVS69" s="2936"/>
      <c r="FVT69" s="2936"/>
      <c r="FVU69" s="2936"/>
      <c r="FVV69" s="2936"/>
      <c r="FVW69" s="2936"/>
      <c r="FVX69" s="2936"/>
      <c r="FVY69" s="2936"/>
      <c r="FVZ69" s="2936"/>
      <c r="FWA69" s="2936"/>
      <c r="FWB69" s="2936"/>
      <c r="FWC69" s="2936"/>
      <c r="FWD69" s="2936"/>
      <c r="FWE69" s="2936"/>
      <c r="FWF69" s="2936"/>
      <c r="FWG69" s="2936"/>
      <c r="FWH69" s="2936"/>
      <c r="FWI69" s="2936"/>
      <c r="FWJ69" s="2936"/>
      <c r="FWK69" s="2936"/>
      <c r="FWL69" s="2936"/>
      <c r="FWM69" s="2936"/>
      <c r="FWN69" s="2936"/>
      <c r="FWO69" s="2936"/>
      <c r="FWP69" s="2936"/>
      <c r="FWQ69" s="2936"/>
      <c r="FWR69" s="2936"/>
      <c r="FWS69" s="2936"/>
      <c r="FWT69" s="2936"/>
      <c r="FWU69" s="2936"/>
      <c r="FWV69" s="2936"/>
      <c r="FWW69" s="2936"/>
      <c r="FWX69" s="2936"/>
      <c r="FWY69" s="2936"/>
      <c r="FWZ69" s="2936"/>
      <c r="FXA69" s="2936"/>
      <c r="FXB69" s="2936"/>
      <c r="FXC69" s="2936"/>
      <c r="FXD69" s="2936"/>
      <c r="FXE69" s="2936"/>
      <c r="FXF69" s="2936"/>
      <c r="FXG69" s="2936"/>
      <c r="FXH69" s="2936"/>
      <c r="FXI69" s="2936"/>
      <c r="FXJ69" s="2936"/>
      <c r="FXK69" s="2936"/>
      <c r="FXL69" s="2936"/>
      <c r="FXM69" s="2936"/>
      <c r="FXN69" s="2936"/>
      <c r="FXO69" s="2936"/>
      <c r="FXP69" s="2936"/>
      <c r="FXQ69" s="2936"/>
      <c r="FXR69" s="2936"/>
      <c r="FXS69" s="2936"/>
      <c r="FXT69" s="2936"/>
      <c r="FXU69" s="2936"/>
      <c r="FXV69" s="2936"/>
      <c r="FXW69" s="2936"/>
      <c r="FXX69" s="2936"/>
      <c r="FXY69" s="2936"/>
      <c r="FXZ69" s="2936"/>
      <c r="FYA69" s="2936"/>
      <c r="FYB69" s="2936"/>
      <c r="FYC69" s="2936"/>
      <c r="FYD69" s="2936"/>
      <c r="FYE69" s="2936"/>
      <c r="FYF69" s="2936"/>
      <c r="FYG69" s="2936"/>
      <c r="FYH69" s="2936"/>
      <c r="FYI69" s="2936"/>
      <c r="FYJ69" s="2936"/>
      <c r="FYK69" s="2936"/>
      <c r="FYL69" s="2936"/>
      <c r="FYM69" s="2936"/>
      <c r="FYN69" s="2936"/>
      <c r="FYO69" s="2936"/>
      <c r="FYP69" s="2936"/>
      <c r="FYQ69" s="2936"/>
      <c r="FYR69" s="2936"/>
      <c r="FYS69" s="2936"/>
      <c r="FYT69" s="2936"/>
      <c r="FYU69" s="2936"/>
      <c r="FYV69" s="2936"/>
      <c r="FYW69" s="2936"/>
      <c r="FYX69" s="2936"/>
      <c r="FYY69" s="2936"/>
      <c r="FYZ69" s="2936"/>
      <c r="FZA69" s="2936"/>
      <c r="FZB69" s="2936"/>
      <c r="FZC69" s="2936"/>
      <c r="FZD69" s="2936"/>
      <c r="FZE69" s="2936"/>
      <c r="FZF69" s="2936"/>
      <c r="FZG69" s="2936"/>
      <c r="FZH69" s="2936"/>
      <c r="FZI69" s="2936"/>
      <c r="FZJ69" s="2936"/>
      <c r="FZK69" s="2936"/>
      <c r="FZL69" s="2936"/>
      <c r="FZM69" s="2936"/>
      <c r="FZN69" s="2936"/>
      <c r="FZO69" s="2936"/>
      <c r="FZP69" s="2936"/>
      <c r="FZQ69" s="2936"/>
      <c r="FZR69" s="2936"/>
      <c r="FZS69" s="2936"/>
      <c r="FZT69" s="2936"/>
      <c r="FZU69" s="2936"/>
      <c r="FZV69" s="2936"/>
      <c r="FZW69" s="2936"/>
      <c r="FZX69" s="2936"/>
      <c r="FZY69" s="2936"/>
      <c r="FZZ69" s="2936"/>
      <c r="GAA69" s="2936"/>
      <c r="GAB69" s="2936"/>
      <c r="GAC69" s="2936"/>
      <c r="GAD69" s="2936"/>
      <c r="GAE69" s="2936"/>
      <c r="GAF69" s="2936"/>
      <c r="GAG69" s="2936"/>
      <c r="GAH69" s="2936"/>
      <c r="GAI69" s="2936"/>
      <c r="GAJ69" s="2936"/>
      <c r="GAK69" s="2936"/>
      <c r="GAL69" s="2936"/>
      <c r="GAM69" s="2936"/>
      <c r="GAN69" s="2936"/>
      <c r="GAO69" s="2936"/>
      <c r="GAP69" s="2936"/>
      <c r="GAQ69" s="2936"/>
      <c r="GAR69" s="2936"/>
      <c r="GAS69" s="2936"/>
      <c r="GAT69" s="2936"/>
      <c r="GAU69" s="2936"/>
      <c r="GAV69" s="2936"/>
      <c r="GAW69" s="2936"/>
      <c r="GAX69" s="2936"/>
      <c r="GAY69" s="2936"/>
      <c r="GAZ69" s="2936"/>
      <c r="GBA69" s="2936"/>
      <c r="GBB69" s="2936"/>
      <c r="GBC69" s="2936"/>
      <c r="GBD69" s="2936"/>
      <c r="GBE69" s="2936"/>
      <c r="GBF69" s="2936"/>
      <c r="GBG69" s="2936"/>
      <c r="GBH69" s="2936"/>
      <c r="GBI69" s="2936"/>
      <c r="GBJ69" s="2936"/>
      <c r="GBK69" s="2936"/>
      <c r="GBL69" s="2936"/>
      <c r="GBM69" s="2936"/>
      <c r="GBN69" s="2936"/>
      <c r="GBO69" s="2936"/>
      <c r="GBP69" s="2936"/>
      <c r="GBQ69" s="2936"/>
      <c r="GBR69" s="2936"/>
      <c r="GBS69" s="2936"/>
      <c r="GBT69" s="2936"/>
      <c r="GBU69" s="2936"/>
      <c r="GBV69" s="2936"/>
      <c r="GBW69" s="2936"/>
      <c r="GBX69" s="2936"/>
      <c r="GBY69" s="2936"/>
      <c r="GBZ69" s="2936"/>
      <c r="GCA69" s="2936"/>
      <c r="GCB69" s="2936"/>
      <c r="GCC69" s="2936"/>
      <c r="GCD69" s="2936"/>
      <c r="GCE69" s="2936"/>
      <c r="GCF69" s="2936"/>
      <c r="GCG69" s="2936"/>
      <c r="GCH69" s="2936"/>
      <c r="GCI69" s="2936"/>
      <c r="GCJ69" s="2936"/>
      <c r="GCK69" s="2936"/>
      <c r="GCL69" s="2936"/>
      <c r="GCM69" s="2936"/>
      <c r="GCN69" s="2936"/>
      <c r="GCO69" s="2936"/>
      <c r="GCP69" s="2936"/>
      <c r="GCQ69" s="2936"/>
      <c r="GCR69" s="2936"/>
      <c r="GCS69" s="2936"/>
      <c r="GCT69" s="2936"/>
      <c r="GCU69" s="2936"/>
      <c r="GCV69" s="2936"/>
      <c r="GCW69" s="2936"/>
      <c r="GCX69" s="2936"/>
      <c r="GCY69" s="2936"/>
      <c r="GCZ69" s="2936"/>
      <c r="GDA69" s="2936"/>
      <c r="GDB69" s="2936"/>
      <c r="GDC69" s="2936"/>
      <c r="GDD69" s="2936"/>
      <c r="GDE69" s="2936"/>
      <c r="GDF69" s="2936"/>
      <c r="GDG69" s="2936"/>
      <c r="GDH69" s="2936"/>
      <c r="GDI69" s="2936"/>
      <c r="GDJ69" s="2936"/>
      <c r="GDK69" s="2936"/>
      <c r="GDL69" s="2936"/>
      <c r="GDM69" s="2936"/>
      <c r="GDN69" s="2936"/>
      <c r="GDO69" s="2936"/>
      <c r="GDP69" s="2936"/>
      <c r="GDQ69" s="2936"/>
      <c r="GDR69" s="2936"/>
      <c r="GDS69" s="2936"/>
      <c r="GDT69" s="2936"/>
      <c r="GDU69" s="2936"/>
      <c r="GDV69" s="2936"/>
      <c r="GDW69" s="2936"/>
      <c r="GDX69" s="2936"/>
      <c r="GDY69" s="2936"/>
      <c r="GDZ69" s="2936"/>
      <c r="GEA69" s="2936"/>
      <c r="GEB69" s="2936"/>
      <c r="GEC69" s="2936"/>
      <c r="GED69" s="2936"/>
      <c r="GEE69" s="2936"/>
      <c r="GEF69" s="2936"/>
      <c r="GEG69" s="2936"/>
      <c r="GEH69" s="2936"/>
      <c r="GEI69" s="2936"/>
      <c r="GEJ69" s="2936"/>
      <c r="GEK69" s="2936"/>
      <c r="GEL69" s="2936"/>
      <c r="GEM69" s="2936"/>
      <c r="GEN69" s="2936"/>
      <c r="GEO69" s="2936"/>
      <c r="GEP69" s="2936"/>
      <c r="GEQ69" s="2936"/>
      <c r="GER69" s="2936"/>
      <c r="GES69" s="2936"/>
      <c r="GET69" s="2936"/>
      <c r="GEU69" s="2936"/>
      <c r="GEV69" s="2936"/>
      <c r="GEW69" s="2936"/>
      <c r="GEX69" s="2936"/>
      <c r="GEY69" s="2936"/>
      <c r="GEZ69" s="2936"/>
      <c r="GFA69" s="2936"/>
      <c r="GFB69" s="2936"/>
      <c r="GFC69" s="2936"/>
      <c r="GFD69" s="2936"/>
      <c r="GFE69" s="2936"/>
      <c r="GFF69" s="2936"/>
      <c r="GFG69" s="2936"/>
      <c r="GFH69" s="2936"/>
      <c r="GFI69" s="2936"/>
      <c r="GFJ69" s="2936"/>
      <c r="GFK69" s="2936"/>
      <c r="GFL69" s="2936"/>
      <c r="GFM69" s="2936"/>
      <c r="GFN69" s="2936"/>
      <c r="GFO69" s="2936"/>
      <c r="GFP69" s="2936"/>
      <c r="GFQ69" s="2936"/>
      <c r="GFR69" s="2936"/>
      <c r="GFS69" s="2936"/>
      <c r="GFT69" s="2936"/>
      <c r="GFU69" s="2936"/>
      <c r="GFV69" s="2936"/>
      <c r="GFW69" s="2936"/>
      <c r="GFX69" s="2936"/>
      <c r="GFY69" s="2936"/>
      <c r="GFZ69" s="2936"/>
      <c r="GGA69" s="2936"/>
      <c r="GGB69" s="2936"/>
      <c r="GGC69" s="2936"/>
      <c r="GGD69" s="2936"/>
      <c r="GGE69" s="2936"/>
      <c r="GGF69" s="2936"/>
      <c r="GGG69" s="2936"/>
      <c r="GGH69" s="2936"/>
      <c r="GGI69" s="2936"/>
      <c r="GGJ69" s="2936"/>
      <c r="GGK69" s="2936"/>
      <c r="GGL69" s="2936"/>
      <c r="GGM69" s="2936"/>
      <c r="GGN69" s="2936"/>
      <c r="GGO69" s="2936"/>
      <c r="GGP69" s="2936"/>
      <c r="GGQ69" s="2936"/>
      <c r="GGR69" s="2936"/>
      <c r="GGS69" s="2936"/>
      <c r="GGT69" s="2936"/>
      <c r="GGU69" s="2936"/>
      <c r="GGV69" s="2936"/>
      <c r="GGW69" s="2936"/>
      <c r="GGX69" s="2936"/>
      <c r="GGY69" s="2936"/>
      <c r="GGZ69" s="2936"/>
      <c r="GHA69" s="2936"/>
      <c r="GHB69" s="2936"/>
      <c r="GHC69" s="2936"/>
      <c r="GHD69" s="2936"/>
      <c r="GHE69" s="2936"/>
      <c r="GHF69" s="2936"/>
      <c r="GHG69" s="2936"/>
      <c r="GHH69" s="2936"/>
      <c r="GHI69" s="2936"/>
      <c r="GHJ69" s="2936"/>
      <c r="GHK69" s="2936"/>
      <c r="GHL69" s="2936"/>
      <c r="GHM69" s="2936"/>
      <c r="GHN69" s="2936"/>
      <c r="GHO69" s="2936"/>
      <c r="GHP69" s="2936"/>
      <c r="GHQ69" s="2936"/>
      <c r="GHR69" s="2936"/>
      <c r="GHS69" s="2936"/>
      <c r="GHT69" s="2936"/>
      <c r="GHU69" s="2936"/>
      <c r="GHV69" s="2936"/>
      <c r="GHW69" s="2936"/>
      <c r="GHX69" s="2936"/>
      <c r="GHY69" s="2936"/>
      <c r="GHZ69" s="2936"/>
      <c r="GIA69" s="2936"/>
      <c r="GIB69" s="2936"/>
      <c r="GIC69" s="2936"/>
      <c r="GID69" s="2936"/>
      <c r="GIE69" s="2936"/>
      <c r="GIF69" s="2936"/>
      <c r="GIG69" s="2936"/>
      <c r="GIH69" s="2936"/>
      <c r="GII69" s="2936"/>
      <c r="GIJ69" s="2936"/>
      <c r="GIK69" s="2936"/>
      <c r="GIL69" s="2936"/>
      <c r="GIM69" s="2936"/>
      <c r="GIN69" s="2936"/>
      <c r="GIO69" s="2936"/>
      <c r="GIP69" s="2936"/>
      <c r="GIQ69" s="2936"/>
      <c r="GIR69" s="2936"/>
      <c r="GIS69" s="2936"/>
      <c r="GIT69" s="2936"/>
      <c r="GIU69" s="2936"/>
      <c r="GIV69" s="2936"/>
      <c r="GIW69" s="2936"/>
      <c r="GIX69" s="2936"/>
      <c r="GIY69" s="2936"/>
      <c r="GIZ69" s="2936"/>
      <c r="GJA69" s="2936"/>
      <c r="GJB69" s="2936"/>
      <c r="GJC69" s="2936"/>
      <c r="GJD69" s="2936"/>
      <c r="GJE69" s="2936"/>
      <c r="GJF69" s="2936"/>
      <c r="GJG69" s="2936"/>
      <c r="GJH69" s="2936"/>
      <c r="GJI69" s="2936"/>
      <c r="GJJ69" s="2936"/>
      <c r="GJK69" s="2936"/>
      <c r="GJL69" s="2936"/>
      <c r="GJM69" s="2936"/>
      <c r="GJN69" s="2936"/>
      <c r="GJO69" s="2936"/>
      <c r="GJP69" s="2936"/>
      <c r="GJQ69" s="2936"/>
      <c r="GJR69" s="2936"/>
      <c r="GJS69" s="2936"/>
      <c r="GJT69" s="2936"/>
      <c r="GJU69" s="2936"/>
      <c r="GJV69" s="2936"/>
      <c r="GJW69" s="2936"/>
      <c r="GJX69" s="2936"/>
      <c r="GJY69" s="2936"/>
      <c r="GJZ69" s="2936"/>
      <c r="GKA69" s="2936"/>
      <c r="GKB69" s="2936"/>
      <c r="GKC69" s="2936"/>
      <c r="GKD69" s="2936"/>
      <c r="GKE69" s="2936"/>
      <c r="GKF69" s="2936"/>
      <c r="GKG69" s="2936"/>
      <c r="GKH69" s="2936"/>
      <c r="GKI69" s="2936"/>
      <c r="GKJ69" s="2936"/>
      <c r="GKK69" s="2936"/>
      <c r="GKL69" s="2936"/>
      <c r="GKM69" s="2936"/>
      <c r="GKN69" s="2936"/>
      <c r="GKO69" s="2936"/>
      <c r="GKP69" s="2936"/>
      <c r="GKQ69" s="2936"/>
      <c r="GKR69" s="2936"/>
      <c r="GKS69" s="2936"/>
      <c r="GKT69" s="2936"/>
      <c r="GKU69" s="2936"/>
      <c r="GKV69" s="2936"/>
      <c r="GKW69" s="2936"/>
      <c r="GKX69" s="2936"/>
      <c r="GKY69" s="2936"/>
      <c r="GKZ69" s="2936"/>
      <c r="GLA69" s="2936"/>
      <c r="GLB69" s="2936"/>
      <c r="GLC69" s="2936"/>
      <c r="GLD69" s="2936"/>
      <c r="GLE69" s="2936"/>
      <c r="GLF69" s="2936"/>
      <c r="GLG69" s="2936"/>
      <c r="GLH69" s="2936"/>
      <c r="GLI69" s="2936"/>
      <c r="GLJ69" s="2936"/>
      <c r="GLK69" s="2936"/>
      <c r="GLL69" s="2936"/>
      <c r="GLM69" s="2936"/>
      <c r="GLN69" s="2936"/>
      <c r="GLO69" s="2936"/>
      <c r="GLP69" s="2936"/>
      <c r="GLQ69" s="2936"/>
      <c r="GLR69" s="2936"/>
      <c r="GLS69" s="2936"/>
      <c r="GLT69" s="2936"/>
      <c r="GLU69" s="2936"/>
      <c r="GLV69" s="2936"/>
      <c r="GLW69" s="2936"/>
      <c r="GLX69" s="2936"/>
      <c r="GLY69" s="2936"/>
      <c r="GLZ69" s="2936"/>
      <c r="GMA69" s="2936"/>
      <c r="GMB69" s="2936"/>
      <c r="GMC69" s="2936"/>
      <c r="GMD69" s="2936"/>
      <c r="GME69" s="2936"/>
      <c r="GMF69" s="2936"/>
      <c r="GMG69" s="2936"/>
      <c r="GMH69" s="2936"/>
      <c r="GMI69" s="2936"/>
      <c r="GMJ69" s="2936"/>
      <c r="GMK69" s="2936"/>
      <c r="GML69" s="2936"/>
      <c r="GMM69" s="2936"/>
      <c r="GMN69" s="2936"/>
      <c r="GMO69" s="2936"/>
      <c r="GMP69" s="2936"/>
      <c r="GMQ69" s="2936"/>
      <c r="GMR69" s="2936"/>
      <c r="GMS69" s="2936"/>
      <c r="GMT69" s="2936"/>
      <c r="GMU69" s="2936"/>
      <c r="GMV69" s="2936"/>
      <c r="GMW69" s="2936"/>
      <c r="GMX69" s="2936"/>
      <c r="GMY69" s="2936"/>
      <c r="GMZ69" s="2936"/>
      <c r="GNA69" s="2936"/>
      <c r="GNB69" s="2936"/>
      <c r="GNC69" s="2936"/>
      <c r="GND69" s="2936"/>
      <c r="GNE69" s="2936"/>
      <c r="GNF69" s="2936"/>
      <c r="GNG69" s="2936"/>
      <c r="GNH69" s="2936"/>
      <c r="GNI69" s="2936"/>
      <c r="GNJ69" s="2936"/>
      <c r="GNK69" s="2936"/>
      <c r="GNL69" s="2936"/>
      <c r="GNM69" s="2936"/>
      <c r="GNN69" s="2936"/>
      <c r="GNO69" s="2936"/>
      <c r="GNP69" s="2936"/>
      <c r="GNQ69" s="2936"/>
      <c r="GNR69" s="2936"/>
      <c r="GNS69" s="2936"/>
      <c r="GNT69" s="2936"/>
      <c r="GNU69" s="2936"/>
      <c r="GNV69" s="2936"/>
      <c r="GNW69" s="2936"/>
      <c r="GNX69" s="2936"/>
      <c r="GNY69" s="2936"/>
      <c r="GNZ69" s="2936"/>
      <c r="GOA69" s="2936"/>
      <c r="GOB69" s="2936"/>
      <c r="GOC69" s="2936"/>
      <c r="GOD69" s="2936"/>
      <c r="GOE69" s="2936"/>
      <c r="GOF69" s="2936"/>
      <c r="GOG69" s="2936"/>
      <c r="GOH69" s="2936"/>
      <c r="GOI69" s="2936"/>
      <c r="GOJ69" s="2936"/>
      <c r="GOK69" s="2936"/>
      <c r="GOL69" s="2936"/>
      <c r="GOM69" s="2936"/>
      <c r="GON69" s="2936"/>
      <c r="GOO69" s="2936"/>
      <c r="GOP69" s="2936"/>
      <c r="GOQ69" s="2936"/>
      <c r="GOR69" s="2936"/>
      <c r="GOS69" s="2936"/>
      <c r="GOT69" s="2936"/>
      <c r="GOU69" s="2936"/>
      <c r="GOV69" s="2936"/>
      <c r="GOW69" s="2936"/>
      <c r="GOX69" s="2936"/>
      <c r="GOY69" s="2936"/>
      <c r="GOZ69" s="2936"/>
      <c r="GPA69" s="2936"/>
      <c r="GPB69" s="2936"/>
      <c r="GPC69" s="2936"/>
      <c r="GPD69" s="2936"/>
      <c r="GPE69" s="2936"/>
      <c r="GPF69" s="2936"/>
      <c r="GPG69" s="2936"/>
      <c r="GPH69" s="2936"/>
      <c r="GPI69" s="2936"/>
      <c r="GPJ69" s="2936"/>
      <c r="GPK69" s="2936"/>
      <c r="GPL69" s="2936"/>
      <c r="GPM69" s="2936"/>
      <c r="GPN69" s="2936"/>
      <c r="GPO69" s="2936"/>
      <c r="GPP69" s="2936"/>
      <c r="GPQ69" s="2936"/>
      <c r="GPR69" s="2936"/>
      <c r="GPS69" s="2936"/>
      <c r="GPT69" s="2936"/>
      <c r="GPU69" s="2936"/>
      <c r="GPV69" s="2936"/>
      <c r="GPW69" s="2936"/>
      <c r="GPX69" s="2936"/>
      <c r="GPY69" s="2936"/>
      <c r="GPZ69" s="2936"/>
      <c r="GQA69" s="2936"/>
      <c r="GQB69" s="2936"/>
      <c r="GQC69" s="2936"/>
      <c r="GQD69" s="2936"/>
      <c r="GQE69" s="2936"/>
      <c r="GQF69" s="2936"/>
      <c r="GQG69" s="2936"/>
      <c r="GQH69" s="2936"/>
      <c r="GQI69" s="2936"/>
      <c r="GQJ69" s="2936"/>
      <c r="GQK69" s="2936"/>
      <c r="GQL69" s="2936"/>
      <c r="GQM69" s="2936"/>
      <c r="GQN69" s="2936"/>
      <c r="GQO69" s="2936"/>
      <c r="GQP69" s="2936"/>
      <c r="GQQ69" s="2936"/>
      <c r="GQR69" s="2936"/>
      <c r="GQS69" s="2936"/>
      <c r="GQT69" s="2936"/>
      <c r="GQU69" s="2936"/>
      <c r="GQV69" s="2936"/>
      <c r="GQW69" s="2936"/>
      <c r="GQX69" s="2936"/>
      <c r="GQY69" s="2936"/>
      <c r="GQZ69" s="2936"/>
      <c r="GRA69" s="2936"/>
      <c r="GRB69" s="2936"/>
      <c r="GRC69" s="2936"/>
      <c r="GRD69" s="2936"/>
      <c r="GRE69" s="2936"/>
      <c r="GRF69" s="2936"/>
      <c r="GRG69" s="2936"/>
      <c r="GRH69" s="2936"/>
      <c r="GRI69" s="2936"/>
      <c r="GRJ69" s="2936"/>
      <c r="GRK69" s="2936"/>
      <c r="GRL69" s="2936"/>
      <c r="GRM69" s="2936"/>
      <c r="GRN69" s="2936"/>
      <c r="GRO69" s="2936"/>
      <c r="GRP69" s="2936"/>
      <c r="GRQ69" s="2936"/>
      <c r="GRR69" s="2936"/>
      <c r="GRS69" s="2936"/>
      <c r="GRT69" s="2936"/>
      <c r="GRU69" s="2936"/>
      <c r="GRV69" s="2936"/>
      <c r="GRW69" s="2936"/>
      <c r="GRX69" s="2936"/>
      <c r="GRY69" s="2936"/>
      <c r="GRZ69" s="2936"/>
      <c r="GSA69" s="2936"/>
      <c r="GSB69" s="2936"/>
      <c r="GSC69" s="2936"/>
      <c r="GSD69" s="2936"/>
      <c r="GSE69" s="2936"/>
      <c r="GSF69" s="2936"/>
      <c r="GSG69" s="2936"/>
      <c r="GSH69" s="2936"/>
      <c r="GSI69" s="2936"/>
      <c r="GSJ69" s="2936"/>
      <c r="GSK69" s="2936"/>
      <c r="GSL69" s="2936"/>
      <c r="GSM69" s="2936"/>
      <c r="GSN69" s="2936"/>
      <c r="GSO69" s="2936"/>
      <c r="GSP69" s="2936"/>
      <c r="GSQ69" s="2936"/>
      <c r="GSR69" s="2936"/>
      <c r="GSS69" s="2936"/>
      <c r="GST69" s="2936"/>
      <c r="GSU69" s="2936"/>
      <c r="GSV69" s="2936"/>
      <c r="GSW69" s="2936"/>
      <c r="GSX69" s="2936"/>
      <c r="GSY69" s="2936"/>
      <c r="GSZ69" s="2936"/>
      <c r="GTA69" s="2936"/>
      <c r="GTB69" s="2936"/>
      <c r="GTC69" s="2936"/>
      <c r="GTD69" s="2936"/>
      <c r="GTE69" s="2936"/>
      <c r="GTF69" s="2936"/>
      <c r="GTG69" s="2936"/>
      <c r="GTH69" s="2936"/>
      <c r="GTI69" s="2936"/>
      <c r="GTJ69" s="2936"/>
      <c r="GTK69" s="2936"/>
      <c r="GTL69" s="2936"/>
      <c r="GTM69" s="2936"/>
      <c r="GTN69" s="2936"/>
      <c r="GTO69" s="2936"/>
      <c r="GTP69" s="2936"/>
      <c r="GTQ69" s="2936"/>
      <c r="GTR69" s="2936"/>
      <c r="GTS69" s="2936"/>
      <c r="GTT69" s="2936"/>
      <c r="GTU69" s="2936"/>
      <c r="GTV69" s="2936"/>
      <c r="GTW69" s="2936"/>
      <c r="GTX69" s="2936"/>
      <c r="GTY69" s="2936"/>
      <c r="GTZ69" s="2936"/>
      <c r="GUA69" s="2936"/>
      <c r="GUB69" s="2936"/>
      <c r="GUC69" s="2936"/>
      <c r="GUD69" s="2936"/>
      <c r="GUE69" s="2936"/>
      <c r="GUF69" s="2936"/>
      <c r="GUG69" s="2936"/>
      <c r="GUH69" s="2936"/>
      <c r="GUI69" s="2936"/>
      <c r="GUJ69" s="2936"/>
      <c r="GUK69" s="2936"/>
      <c r="GUL69" s="2936"/>
      <c r="GUM69" s="2936"/>
      <c r="GUN69" s="2936"/>
      <c r="GUO69" s="2936"/>
      <c r="GUP69" s="2936"/>
      <c r="GUQ69" s="2936"/>
      <c r="GUR69" s="2936"/>
      <c r="GUS69" s="2936"/>
      <c r="GUT69" s="2936"/>
      <c r="GUU69" s="2936"/>
      <c r="GUV69" s="2936"/>
      <c r="GUW69" s="2936"/>
      <c r="GUX69" s="2936"/>
      <c r="GUY69" s="2936"/>
      <c r="GUZ69" s="2936"/>
      <c r="GVA69" s="2936"/>
      <c r="GVB69" s="2936"/>
      <c r="GVC69" s="2936"/>
      <c r="GVD69" s="2936"/>
      <c r="GVE69" s="2936"/>
      <c r="GVF69" s="2936"/>
      <c r="GVG69" s="2936"/>
      <c r="GVH69" s="2936"/>
      <c r="GVI69" s="2936"/>
      <c r="GVJ69" s="2936"/>
      <c r="GVK69" s="2936"/>
      <c r="GVL69" s="2936"/>
      <c r="GVM69" s="2936"/>
      <c r="GVN69" s="2936"/>
      <c r="GVO69" s="2936"/>
      <c r="GVP69" s="2936"/>
      <c r="GVQ69" s="2936"/>
      <c r="GVR69" s="2936"/>
      <c r="GVS69" s="2936"/>
      <c r="GVT69" s="2936"/>
      <c r="GVU69" s="2936"/>
      <c r="GVV69" s="2936"/>
      <c r="GVW69" s="2936"/>
      <c r="GVX69" s="2936"/>
      <c r="GVY69" s="2936"/>
      <c r="GVZ69" s="2936"/>
      <c r="GWA69" s="2936"/>
      <c r="GWB69" s="2936"/>
      <c r="GWC69" s="2936"/>
      <c r="GWD69" s="2936"/>
      <c r="GWE69" s="2936"/>
      <c r="GWF69" s="2936"/>
      <c r="GWG69" s="2936"/>
      <c r="GWH69" s="2936"/>
      <c r="GWI69" s="2936"/>
      <c r="GWJ69" s="2936"/>
      <c r="GWK69" s="2936"/>
      <c r="GWL69" s="2936"/>
      <c r="GWM69" s="2936"/>
      <c r="GWN69" s="2936"/>
      <c r="GWO69" s="2936"/>
      <c r="GWP69" s="2936"/>
      <c r="GWQ69" s="2936"/>
      <c r="GWR69" s="2936"/>
      <c r="GWS69" s="2936"/>
      <c r="GWT69" s="2936"/>
      <c r="GWU69" s="2936"/>
      <c r="GWV69" s="2936"/>
      <c r="GWW69" s="2936"/>
      <c r="GWX69" s="2936"/>
      <c r="GWY69" s="2936"/>
      <c r="GWZ69" s="2936"/>
      <c r="GXA69" s="2936"/>
      <c r="GXB69" s="2936"/>
      <c r="GXC69" s="2936"/>
      <c r="GXD69" s="2936"/>
      <c r="GXE69" s="2936"/>
      <c r="GXF69" s="2936"/>
      <c r="GXG69" s="2936"/>
      <c r="GXH69" s="2936"/>
      <c r="GXI69" s="2936"/>
      <c r="GXJ69" s="2936"/>
      <c r="GXK69" s="2936"/>
      <c r="GXL69" s="2936"/>
      <c r="GXM69" s="2936"/>
      <c r="GXN69" s="2936"/>
      <c r="GXO69" s="2936"/>
      <c r="GXP69" s="2936"/>
      <c r="GXQ69" s="2936"/>
      <c r="GXR69" s="2936"/>
      <c r="GXS69" s="2936"/>
      <c r="GXT69" s="2936"/>
      <c r="GXU69" s="2936"/>
      <c r="GXV69" s="2936"/>
      <c r="GXW69" s="2936"/>
      <c r="GXX69" s="2936"/>
      <c r="GXY69" s="2936"/>
      <c r="GXZ69" s="2936"/>
      <c r="GYA69" s="2936"/>
      <c r="GYB69" s="2936"/>
      <c r="GYC69" s="2936"/>
      <c r="GYD69" s="2936"/>
      <c r="GYE69" s="2936"/>
      <c r="GYF69" s="2936"/>
      <c r="GYG69" s="2936"/>
      <c r="GYH69" s="2936"/>
      <c r="GYI69" s="2936"/>
      <c r="GYJ69" s="2936"/>
      <c r="GYK69" s="2936"/>
      <c r="GYL69" s="2936"/>
      <c r="GYM69" s="2936"/>
      <c r="GYN69" s="2936"/>
      <c r="GYO69" s="2936"/>
      <c r="GYP69" s="2936"/>
      <c r="GYQ69" s="2936"/>
      <c r="GYR69" s="2936"/>
      <c r="GYS69" s="2936"/>
      <c r="GYT69" s="2936"/>
      <c r="GYU69" s="2936"/>
      <c r="GYV69" s="2936"/>
      <c r="GYW69" s="2936"/>
      <c r="GYX69" s="2936"/>
      <c r="GYY69" s="2936"/>
      <c r="GYZ69" s="2936"/>
      <c r="GZA69" s="2936"/>
      <c r="GZB69" s="2936"/>
      <c r="GZC69" s="2936"/>
      <c r="GZD69" s="2936"/>
      <c r="GZE69" s="2936"/>
      <c r="GZF69" s="2936"/>
      <c r="GZG69" s="2936"/>
      <c r="GZH69" s="2936"/>
      <c r="GZI69" s="2936"/>
      <c r="GZJ69" s="2936"/>
      <c r="GZK69" s="2936"/>
      <c r="GZL69" s="2936"/>
      <c r="GZM69" s="2936"/>
      <c r="GZN69" s="2936"/>
      <c r="GZO69" s="2936"/>
      <c r="GZP69" s="2936"/>
      <c r="GZQ69" s="2936"/>
      <c r="GZR69" s="2936"/>
      <c r="GZS69" s="2936"/>
      <c r="GZT69" s="2936"/>
      <c r="GZU69" s="2936"/>
      <c r="GZV69" s="2936"/>
      <c r="GZW69" s="2936"/>
      <c r="GZX69" s="2936"/>
      <c r="GZY69" s="2936"/>
      <c r="GZZ69" s="2936"/>
      <c r="HAA69" s="2936"/>
      <c r="HAB69" s="2936"/>
      <c r="HAC69" s="2936"/>
      <c r="HAD69" s="2936"/>
      <c r="HAE69" s="2936"/>
      <c r="HAF69" s="2936"/>
      <c r="HAG69" s="2936"/>
      <c r="HAH69" s="2936"/>
      <c r="HAI69" s="2936"/>
      <c r="HAJ69" s="2936"/>
      <c r="HAK69" s="2936"/>
      <c r="HAL69" s="2936"/>
      <c r="HAM69" s="2936"/>
      <c r="HAN69" s="2936"/>
      <c r="HAO69" s="2936"/>
      <c r="HAP69" s="2936"/>
      <c r="HAQ69" s="2936"/>
      <c r="HAR69" s="2936"/>
      <c r="HAS69" s="2936"/>
      <c r="HAT69" s="2936"/>
      <c r="HAU69" s="2936"/>
      <c r="HAV69" s="2936"/>
      <c r="HAW69" s="2936"/>
      <c r="HAX69" s="2936"/>
      <c r="HAY69" s="2936"/>
      <c r="HAZ69" s="2936"/>
      <c r="HBA69" s="2936"/>
      <c r="HBB69" s="2936"/>
      <c r="HBC69" s="2936"/>
      <c r="HBD69" s="2936"/>
      <c r="HBE69" s="2936"/>
      <c r="HBF69" s="2936"/>
      <c r="HBG69" s="2936"/>
      <c r="HBH69" s="2936"/>
      <c r="HBI69" s="2936"/>
      <c r="HBJ69" s="2936"/>
      <c r="HBK69" s="2936"/>
      <c r="HBL69" s="2936"/>
      <c r="HBM69" s="2936"/>
      <c r="HBN69" s="2936"/>
      <c r="HBO69" s="2936"/>
      <c r="HBP69" s="2936"/>
      <c r="HBQ69" s="2936"/>
      <c r="HBR69" s="2936"/>
      <c r="HBS69" s="2936"/>
      <c r="HBT69" s="2936"/>
      <c r="HBU69" s="2936"/>
      <c r="HBV69" s="2936"/>
      <c r="HBW69" s="2936"/>
      <c r="HBX69" s="2936"/>
      <c r="HBY69" s="2936"/>
      <c r="HBZ69" s="2936"/>
      <c r="HCA69" s="2936"/>
      <c r="HCB69" s="2936"/>
      <c r="HCC69" s="2936"/>
      <c r="HCD69" s="2936"/>
      <c r="HCE69" s="2936"/>
      <c r="HCF69" s="2936"/>
      <c r="HCG69" s="2936"/>
      <c r="HCH69" s="2936"/>
      <c r="HCI69" s="2936"/>
      <c r="HCJ69" s="2936"/>
      <c r="HCK69" s="2936"/>
      <c r="HCL69" s="2936"/>
      <c r="HCM69" s="2936"/>
      <c r="HCN69" s="2936"/>
      <c r="HCO69" s="2936"/>
      <c r="HCP69" s="2936"/>
      <c r="HCQ69" s="2936"/>
      <c r="HCR69" s="2936"/>
      <c r="HCS69" s="2936"/>
      <c r="HCT69" s="2936"/>
      <c r="HCU69" s="2936"/>
      <c r="HCV69" s="2936"/>
      <c r="HCW69" s="2936"/>
      <c r="HCX69" s="2936"/>
      <c r="HCY69" s="2936"/>
      <c r="HCZ69" s="2936"/>
      <c r="HDA69" s="2936"/>
      <c r="HDB69" s="2936"/>
      <c r="HDC69" s="2936"/>
      <c r="HDD69" s="2936"/>
      <c r="HDE69" s="2936"/>
      <c r="HDF69" s="2936"/>
      <c r="HDG69" s="2936"/>
      <c r="HDH69" s="2936"/>
      <c r="HDI69" s="2936"/>
      <c r="HDJ69" s="2936"/>
      <c r="HDK69" s="2936"/>
      <c r="HDL69" s="2936"/>
      <c r="HDM69" s="2936"/>
      <c r="HDN69" s="2936"/>
      <c r="HDO69" s="2936"/>
      <c r="HDP69" s="2936"/>
      <c r="HDQ69" s="2936"/>
      <c r="HDR69" s="2936"/>
      <c r="HDS69" s="2936"/>
      <c r="HDT69" s="2936"/>
      <c r="HDU69" s="2936"/>
      <c r="HDV69" s="2936"/>
      <c r="HDW69" s="2936"/>
      <c r="HDX69" s="2936"/>
      <c r="HDY69" s="2936"/>
      <c r="HDZ69" s="2936"/>
      <c r="HEA69" s="2936"/>
      <c r="HEB69" s="2936"/>
      <c r="HEC69" s="2936"/>
      <c r="HED69" s="2936"/>
      <c r="HEE69" s="2936"/>
      <c r="HEF69" s="2936"/>
      <c r="HEG69" s="2936"/>
      <c r="HEH69" s="2936"/>
      <c r="HEI69" s="2936"/>
      <c r="HEJ69" s="2936"/>
      <c r="HEK69" s="2936"/>
      <c r="HEL69" s="2936"/>
      <c r="HEM69" s="2936"/>
      <c r="HEN69" s="2936"/>
      <c r="HEO69" s="2936"/>
      <c r="HEP69" s="2936"/>
      <c r="HEQ69" s="2936"/>
      <c r="HER69" s="2936"/>
      <c r="HES69" s="2936"/>
      <c r="HET69" s="2936"/>
      <c r="HEU69" s="2936"/>
      <c r="HEV69" s="2936"/>
      <c r="HEW69" s="2936"/>
      <c r="HEX69" s="2936"/>
      <c r="HEY69" s="2936"/>
      <c r="HEZ69" s="2936"/>
      <c r="HFA69" s="2936"/>
      <c r="HFB69" s="2936"/>
      <c r="HFC69" s="2936"/>
      <c r="HFD69" s="2936"/>
      <c r="HFE69" s="2936"/>
      <c r="HFF69" s="2936"/>
      <c r="HFG69" s="2936"/>
      <c r="HFH69" s="2936"/>
      <c r="HFI69" s="2936"/>
      <c r="HFJ69" s="2936"/>
      <c r="HFK69" s="2936"/>
      <c r="HFL69" s="2936"/>
      <c r="HFM69" s="2936"/>
      <c r="HFN69" s="2936"/>
      <c r="HFO69" s="2936"/>
      <c r="HFP69" s="2936"/>
      <c r="HFQ69" s="2936"/>
      <c r="HFR69" s="2936"/>
      <c r="HFS69" s="2936"/>
      <c r="HFT69" s="2936"/>
      <c r="HFU69" s="2936"/>
      <c r="HFV69" s="2936"/>
      <c r="HFW69" s="2936"/>
      <c r="HFX69" s="2936"/>
      <c r="HFY69" s="2936"/>
      <c r="HFZ69" s="2936"/>
      <c r="HGA69" s="2936"/>
      <c r="HGB69" s="2936"/>
      <c r="HGC69" s="2936"/>
      <c r="HGD69" s="2936"/>
      <c r="HGE69" s="2936"/>
      <c r="HGF69" s="2936"/>
      <c r="HGG69" s="2936"/>
      <c r="HGH69" s="2936"/>
      <c r="HGI69" s="2936"/>
      <c r="HGJ69" s="2936"/>
      <c r="HGK69" s="2936"/>
      <c r="HGL69" s="2936"/>
      <c r="HGM69" s="2936"/>
      <c r="HGN69" s="2936"/>
      <c r="HGO69" s="2936"/>
      <c r="HGP69" s="2936"/>
      <c r="HGQ69" s="2936"/>
      <c r="HGR69" s="2936"/>
      <c r="HGS69" s="2936"/>
      <c r="HGT69" s="2936"/>
      <c r="HGU69" s="2936"/>
      <c r="HGV69" s="2936"/>
      <c r="HGW69" s="2936"/>
      <c r="HGX69" s="2936"/>
      <c r="HGY69" s="2936"/>
      <c r="HGZ69" s="2936"/>
      <c r="HHA69" s="2936"/>
      <c r="HHB69" s="2936"/>
      <c r="HHC69" s="2936"/>
      <c r="HHD69" s="2936"/>
      <c r="HHE69" s="2936"/>
      <c r="HHF69" s="2936"/>
      <c r="HHG69" s="2936"/>
      <c r="HHH69" s="2936"/>
      <c r="HHI69" s="2936"/>
      <c r="HHJ69" s="2936"/>
      <c r="HHK69" s="2936"/>
      <c r="HHL69" s="2936"/>
      <c r="HHM69" s="2936"/>
      <c r="HHN69" s="2936"/>
      <c r="HHO69" s="2936"/>
      <c r="HHP69" s="2936"/>
      <c r="HHQ69" s="2936"/>
      <c r="HHR69" s="2936"/>
      <c r="HHS69" s="2936"/>
      <c r="HHT69" s="2936"/>
      <c r="HHU69" s="2936"/>
      <c r="HHV69" s="2936"/>
      <c r="HHW69" s="2936"/>
      <c r="HHX69" s="2936"/>
      <c r="HHY69" s="2936"/>
      <c r="HHZ69" s="2936"/>
      <c r="HIA69" s="2936"/>
      <c r="HIB69" s="2936"/>
      <c r="HIC69" s="2936"/>
      <c r="HID69" s="2936"/>
      <c r="HIE69" s="2936"/>
      <c r="HIF69" s="2936"/>
      <c r="HIG69" s="2936"/>
      <c r="HIH69" s="2936"/>
      <c r="HII69" s="2936"/>
      <c r="HIJ69" s="2936"/>
      <c r="HIK69" s="2936"/>
      <c r="HIL69" s="2936"/>
      <c r="HIM69" s="2936"/>
      <c r="HIN69" s="2936"/>
      <c r="HIO69" s="2936"/>
      <c r="HIP69" s="2936"/>
      <c r="HIQ69" s="2936"/>
      <c r="HIR69" s="2936"/>
      <c r="HIS69" s="2936"/>
      <c r="HIT69" s="2936"/>
      <c r="HIU69" s="2936"/>
      <c r="HIV69" s="2936"/>
      <c r="HIW69" s="2936"/>
      <c r="HIX69" s="2936"/>
      <c r="HIY69" s="2936"/>
      <c r="HIZ69" s="2936"/>
      <c r="HJA69" s="2936"/>
      <c r="HJB69" s="2936"/>
      <c r="HJC69" s="2936"/>
      <c r="HJD69" s="2936"/>
      <c r="HJE69" s="2936"/>
      <c r="HJF69" s="2936"/>
      <c r="HJG69" s="2936"/>
      <c r="HJH69" s="2936"/>
      <c r="HJI69" s="2936"/>
      <c r="HJJ69" s="2936"/>
      <c r="HJK69" s="2936"/>
      <c r="HJL69" s="2936"/>
      <c r="HJM69" s="2936"/>
      <c r="HJN69" s="2936"/>
      <c r="HJO69" s="2936"/>
      <c r="HJP69" s="2936"/>
      <c r="HJQ69" s="2936"/>
      <c r="HJR69" s="2936"/>
      <c r="HJS69" s="2936"/>
      <c r="HJT69" s="2936"/>
      <c r="HJU69" s="2936"/>
      <c r="HJV69" s="2936"/>
      <c r="HJW69" s="2936"/>
      <c r="HJX69" s="2936"/>
      <c r="HJY69" s="2936"/>
      <c r="HJZ69" s="2936"/>
      <c r="HKA69" s="2936"/>
      <c r="HKB69" s="2936"/>
      <c r="HKC69" s="2936"/>
      <c r="HKD69" s="2936"/>
      <c r="HKE69" s="2936"/>
      <c r="HKF69" s="2936"/>
      <c r="HKG69" s="2936"/>
      <c r="HKH69" s="2936"/>
      <c r="HKI69" s="2936"/>
      <c r="HKJ69" s="2936"/>
      <c r="HKK69" s="2936"/>
      <c r="HKL69" s="2936"/>
      <c r="HKM69" s="2936"/>
      <c r="HKN69" s="2936"/>
      <c r="HKO69" s="2936"/>
      <c r="HKP69" s="2936"/>
      <c r="HKQ69" s="2936"/>
      <c r="HKR69" s="2936"/>
      <c r="HKS69" s="2936"/>
      <c r="HKT69" s="2936"/>
      <c r="HKU69" s="2936"/>
      <c r="HKV69" s="2936"/>
      <c r="HKW69" s="2936"/>
      <c r="HKX69" s="2936"/>
      <c r="HKY69" s="2936"/>
      <c r="HKZ69" s="2936"/>
      <c r="HLA69" s="2936"/>
      <c r="HLB69" s="2936"/>
      <c r="HLC69" s="2936"/>
      <c r="HLD69" s="2936"/>
      <c r="HLE69" s="2936"/>
      <c r="HLF69" s="2936"/>
      <c r="HLG69" s="2936"/>
      <c r="HLH69" s="2936"/>
      <c r="HLI69" s="2936"/>
      <c r="HLJ69" s="2936"/>
      <c r="HLK69" s="2936"/>
      <c r="HLL69" s="2936"/>
      <c r="HLM69" s="2936"/>
      <c r="HLN69" s="2936"/>
      <c r="HLO69" s="2936"/>
      <c r="HLP69" s="2936"/>
      <c r="HLQ69" s="2936"/>
      <c r="HLR69" s="2936"/>
      <c r="HLS69" s="2936"/>
      <c r="HLT69" s="2936"/>
      <c r="HLU69" s="2936"/>
      <c r="HLV69" s="2936"/>
      <c r="HLW69" s="2936"/>
      <c r="HLX69" s="2936"/>
      <c r="HLY69" s="2936"/>
      <c r="HLZ69" s="2936"/>
      <c r="HMA69" s="2936"/>
      <c r="HMB69" s="2936"/>
      <c r="HMC69" s="2936"/>
      <c r="HMD69" s="2936"/>
      <c r="HME69" s="2936"/>
      <c r="HMF69" s="2936"/>
      <c r="HMG69" s="2936"/>
      <c r="HMH69" s="2936"/>
      <c r="HMI69" s="2936"/>
      <c r="HMJ69" s="2936"/>
      <c r="HMK69" s="2936"/>
      <c r="HML69" s="2936"/>
      <c r="HMM69" s="2936"/>
      <c r="HMN69" s="2936"/>
      <c r="HMO69" s="2936"/>
      <c r="HMP69" s="2936"/>
      <c r="HMQ69" s="2936"/>
      <c r="HMR69" s="2936"/>
      <c r="HMS69" s="2936"/>
      <c r="HMT69" s="2936"/>
      <c r="HMU69" s="2936"/>
      <c r="HMV69" s="2936"/>
      <c r="HMW69" s="2936"/>
      <c r="HMX69" s="2936"/>
      <c r="HMY69" s="2936"/>
      <c r="HMZ69" s="2936"/>
      <c r="HNA69" s="2936"/>
      <c r="HNB69" s="2936"/>
      <c r="HNC69" s="2936"/>
      <c r="HND69" s="2936"/>
      <c r="HNE69" s="2936"/>
      <c r="HNF69" s="2936"/>
      <c r="HNG69" s="2936"/>
      <c r="HNH69" s="2936"/>
      <c r="HNI69" s="2936"/>
      <c r="HNJ69" s="2936"/>
      <c r="HNK69" s="2936"/>
      <c r="HNL69" s="2936"/>
      <c r="HNM69" s="2936"/>
      <c r="HNN69" s="2936"/>
      <c r="HNO69" s="2936"/>
      <c r="HNP69" s="2936"/>
      <c r="HNQ69" s="2936"/>
      <c r="HNR69" s="2936"/>
      <c r="HNS69" s="2936"/>
      <c r="HNT69" s="2936"/>
      <c r="HNU69" s="2936"/>
      <c r="HNV69" s="2936"/>
      <c r="HNW69" s="2936"/>
      <c r="HNX69" s="2936"/>
      <c r="HNY69" s="2936"/>
      <c r="HNZ69" s="2936"/>
      <c r="HOA69" s="2936"/>
      <c r="HOB69" s="2936"/>
      <c r="HOC69" s="2936"/>
      <c r="HOD69" s="2936"/>
      <c r="HOE69" s="2936"/>
      <c r="HOF69" s="2936"/>
      <c r="HOG69" s="2936"/>
      <c r="HOH69" s="2936"/>
      <c r="HOI69" s="2936"/>
      <c r="HOJ69" s="2936"/>
      <c r="HOK69" s="2936"/>
      <c r="HOL69" s="2936"/>
      <c r="HOM69" s="2936"/>
      <c r="HON69" s="2936"/>
      <c r="HOO69" s="2936"/>
      <c r="HOP69" s="2936"/>
      <c r="HOQ69" s="2936"/>
      <c r="HOR69" s="2936"/>
      <c r="HOS69" s="2936"/>
      <c r="HOT69" s="2936"/>
      <c r="HOU69" s="2936"/>
      <c r="HOV69" s="2936"/>
      <c r="HOW69" s="2936"/>
      <c r="HOX69" s="2936"/>
      <c r="HOY69" s="2936"/>
      <c r="HOZ69" s="2936"/>
      <c r="HPA69" s="2936"/>
      <c r="HPB69" s="2936"/>
      <c r="HPC69" s="2936"/>
      <c r="HPD69" s="2936"/>
      <c r="HPE69" s="2936"/>
      <c r="HPF69" s="2936"/>
      <c r="HPG69" s="2936"/>
      <c r="HPH69" s="2936"/>
      <c r="HPI69" s="2936"/>
      <c r="HPJ69" s="2936"/>
      <c r="HPK69" s="2936"/>
      <c r="HPL69" s="2936"/>
      <c r="HPM69" s="2936"/>
      <c r="HPN69" s="2936"/>
      <c r="HPO69" s="2936"/>
      <c r="HPP69" s="2936"/>
      <c r="HPQ69" s="2936"/>
      <c r="HPR69" s="2936"/>
      <c r="HPS69" s="2936"/>
      <c r="HPT69" s="2936"/>
      <c r="HPU69" s="2936"/>
      <c r="HPV69" s="2936"/>
      <c r="HPW69" s="2936"/>
      <c r="HPX69" s="2936"/>
      <c r="HPY69" s="2936"/>
      <c r="HPZ69" s="2936"/>
      <c r="HQA69" s="2936"/>
      <c r="HQB69" s="2936"/>
      <c r="HQC69" s="2936"/>
      <c r="HQD69" s="2936"/>
      <c r="HQE69" s="2936"/>
      <c r="HQF69" s="2936"/>
      <c r="HQG69" s="2936"/>
      <c r="HQH69" s="2936"/>
      <c r="HQI69" s="2936"/>
      <c r="HQJ69" s="2936"/>
      <c r="HQK69" s="2936"/>
      <c r="HQL69" s="2936"/>
      <c r="HQM69" s="2936"/>
      <c r="HQN69" s="2936"/>
      <c r="HQO69" s="2936"/>
      <c r="HQP69" s="2936"/>
      <c r="HQQ69" s="2936"/>
      <c r="HQR69" s="2936"/>
      <c r="HQS69" s="2936"/>
      <c r="HQT69" s="2936"/>
      <c r="HQU69" s="2936"/>
      <c r="HQV69" s="2936"/>
      <c r="HQW69" s="2936"/>
      <c r="HQX69" s="2936"/>
      <c r="HQY69" s="2936"/>
      <c r="HQZ69" s="2936"/>
      <c r="HRA69" s="2936"/>
      <c r="HRB69" s="2936"/>
      <c r="HRC69" s="2936"/>
      <c r="HRD69" s="2936"/>
      <c r="HRE69" s="2936"/>
      <c r="HRF69" s="2936"/>
      <c r="HRG69" s="2936"/>
      <c r="HRH69" s="2936"/>
      <c r="HRI69" s="2936"/>
      <c r="HRJ69" s="2936"/>
      <c r="HRK69" s="2936"/>
      <c r="HRL69" s="2936"/>
      <c r="HRM69" s="2936"/>
      <c r="HRN69" s="2936"/>
      <c r="HRO69" s="2936"/>
      <c r="HRP69" s="2936"/>
      <c r="HRQ69" s="2936"/>
      <c r="HRR69" s="2936"/>
      <c r="HRS69" s="2936"/>
      <c r="HRT69" s="2936"/>
      <c r="HRU69" s="2936"/>
      <c r="HRV69" s="2936"/>
      <c r="HRW69" s="2936"/>
      <c r="HRX69" s="2936"/>
      <c r="HRY69" s="2936"/>
      <c r="HRZ69" s="2936"/>
      <c r="HSA69" s="2936"/>
      <c r="HSB69" s="2936"/>
      <c r="HSC69" s="2936"/>
      <c r="HSD69" s="2936"/>
      <c r="HSE69" s="2936"/>
      <c r="HSF69" s="2936"/>
      <c r="HSG69" s="2936"/>
      <c r="HSH69" s="2936"/>
      <c r="HSI69" s="2936"/>
      <c r="HSJ69" s="2936"/>
      <c r="HSK69" s="2936"/>
      <c r="HSL69" s="2936"/>
      <c r="HSM69" s="2936"/>
      <c r="HSN69" s="2936"/>
      <c r="HSO69" s="2936"/>
      <c r="HSP69" s="2936"/>
      <c r="HSQ69" s="2936"/>
      <c r="HSR69" s="2936"/>
      <c r="HSS69" s="2936"/>
      <c r="HST69" s="2936"/>
      <c r="HSU69" s="2936"/>
      <c r="HSV69" s="2936"/>
      <c r="HSW69" s="2936"/>
      <c r="HSX69" s="2936"/>
      <c r="HSY69" s="2936"/>
      <c r="HSZ69" s="2936"/>
      <c r="HTA69" s="2936"/>
      <c r="HTB69" s="2936"/>
      <c r="HTC69" s="2936"/>
      <c r="HTD69" s="2936"/>
      <c r="HTE69" s="2936"/>
      <c r="HTF69" s="2936"/>
      <c r="HTG69" s="2936"/>
      <c r="HTH69" s="2936"/>
      <c r="HTI69" s="2936"/>
      <c r="HTJ69" s="2936"/>
      <c r="HTK69" s="2936"/>
      <c r="HTL69" s="2936"/>
      <c r="HTM69" s="2936"/>
      <c r="HTN69" s="2936"/>
      <c r="HTO69" s="2936"/>
      <c r="HTP69" s="2936"/>
      <c r="HTQ69" s="2936"/>
      <c r="HTR69" s="2936"/>
      <c r="HTS69" s="2936"/>
      <c r="HTT69" s="2936"/>
      <c r="HTU69" s="2936"/>
      <c r="HTV69" s="2936"/>
      <c r="HTW69" s="2936"/>
      <c r="HTX69" s="2936"/>
      <c r="HTY69" s="2936"/>
      <c r="HTZ69" s="2936"/>
      <c r="HUA69" s="2936"/>
      <c r="HUB69" s="2936"/>
      <c r="HUC69" s="2936"/>
      <c r="HUD69" s="2936"/>
      <c r="HUE69" s="2936"/>
      <c r="HUF69" s="2936"/>
      <c r="HUG69" s="2936"/>
      <c r="HUH69" s="2936"/>
      <c r="HUI69" s="2936"/>
      <c r="HUJ69" s="2936"/>
      <c r="HUK69" s="2936"/>
      <c r="HUL69" s="2936"/>
      <c r="HUM69" s="2936"/>
      <c r="HUN69" s="2936"/>
      <c r="HUO69" s="2936"/>
      <c r="HUP69" s="2936"/>
      <c r="HUQ69" s="2936"/>
      <c r="HUR69" s="2936"/>
      <c r="HUS69" s="2936"/>
      <c r="HUT69" s="2936"/>
      <c r="HUU69" s="2936"/>
      <c r="HUV69" s="2936"/>
      <c r="HUW69" s="2936"/>
      <c r="HUX69" s="2936"/>
      <c r="HUY69" s="2936"/>
      <c r="HUZ69" s="2936"/>
      <c r="HVA69" s="2936"/>
      <c r="HVB69" s="2936"/>
      <c r="HVC69" s="2936"/>
      <c r="HVD69" s="2936"/>
      <c r="HVE69" s="2936"/>
      <c r="HVF69" s="2936"/>
      <c r="HVG69" s="2936"/>
      <c r="HVH69" s="2936"/>
      <c r="HVI69" s="2936"/>
      <c r="HVJ69" s="2936"/>
      <c r="HVK69" s="2936"/>
      <c r="HVL69" s="2936"/>
      <c r="HVM69" s="2936"/>
      <c r="HVN69" s="2936"/>
      <c r="HVO69" s="2936"/>
      <c r="HVP69" s="2936"/>
      <c r="HVQ69" s="2936"/>
      <c r="HVR69" s="2936"/>
      <c r="HVS69" s="2936"/>
      <c r="HVT69" s="2936"/>
      <c r="HVU69" s="2936"/>
      <c r="HVV69" s="2936"/>
      <c r="HVW69" s="2936"/>
      <c r="HVX69" s="2936"/>
      <c r="HVY69" s="2936"/>
      <c r="HVZ69" s="2936"/>
      <c r="HWA69" s="2936"/>
      <c r="HWB69" s="2936"/>
      <c r="HWC69" s="2936"/>
      <c r="HWD69" s="2936"/>
      <c r="HWE69" s="2936"/>
      <c r="HWF69" s="2936"/>
      <c r="HWG69" s="2936"/>
      <c r="HWH69" s="2936"/>
      <c r="HWI69" s="2936"/>
      <c r="HWJ69" s="2936"/>
      <c r="HWK69" s="2936"/>
      <c r="HWL69" s="2936"/>
      <c r="HWM69" s="2936"/>
      <c r="HWN69" s="2936"/>
      <c r="HWO69" s="2936"/>
      <c r="HWP69" s="2936"/>
      <c r="HWQ69" s="2936"/>
      <c r="HWR69" s="2936"/>
      <c r="HWS69" s="2936"/>
      <c r="HWT69" s="2936"/>
      <c r="HWU69" s="2936"/>
      <c r="HWV69" s="2936"/>
      <c r="HWW69" s="2936"/>
      <c r="HWX69" s="2936"/>
      <c r="HWY69" s="2936"/>
      <c r="HWZ69" s="2936"/>
      <c r="HXA69" s="2936"/>
      <c r="HXB69" s="2936"/>
      <c r="HXC69" s="2936"/>
      <c r="HXD69" s="2936"/>
      <c r="HXE69" s="2936"/>
      <c r="HXF69" s="2936"/>
      <c r="HXG69" s="2936"/>
      <c r="HXH69" s="2936"/>
      <c r="HXI69" s="2936"/>
      <c r="HXJ69" s="2936"/>
      <c r="HXK69" s="2936"/>
      <c r="HXL69" s="2936"/>
      <c r="HXM69" s="2936"/>
      <c r="HXN69" s="2936"/>
      <c r="HXO69" s="2936"/>
      <c r="HXP69" s="2936"/>
      <c r="HXQ69" s="2936"/>
      <c r="HXR69" s="2936"/>
      <c r="HXS69" s="2936"/>
      <c r="HXT69" s="2936"/>
      <c r="HXU69" s="2936"/>
      <c r="HXV69" s="2936"/>
      <c r="HXW69" s="2936"/>
      <c r="HXX69" s="2936"/>
      <c r="HXY69" s="2936"/>
      <c r="HXZ69" s="2936"/>
      <c r="HYA69" s="2936"/>
      <c r="HYB69" s="2936"/>
      <c r="HYC69" s="2936"/>
      <c r="HYD69" s="2936"/>
      <c r="HYE69" s="2936"/>
      <c r="HYF69" s="2936"/>
      <c r="HYG69" s="2936"/>
      <c r="HYH69" s="2936"/>
      <c r="HYI69" s="2936"/>
      <c r="HYJ69" s="2936"/>
      <c r="HYK69" s="2936"/>
      <c r="HYL69" s="2936"/>
      <c r="HYM69" s="2936"/>
      <c r="HYN69" s="2936"/>
      <c r="HYO69" s="2936"/>
      <c r="HYP69" s="2936"/>
      <c r="HYQ69" s="2936"/>
      <c r="HYR69" s="2936"/>
      <c r="HYS69" s="2936"/>
      <c r="HYT69" s="2936"/>
      <c r="HYU69" s="2936"/>
      <c r="HYV69" s="2936"/>
      <c r="HYW69" s="2936"/>
      <c r="HYX69" s="2936"/>
      <c r="HYY69" s="2936"/>
      <c r="HYZ69" s="2936"/>
      <c r="HZA69" s="2936"/>
      <c r="HZB69" s="2936"/>
      <c r="HZC69" s="2936"/>
      <c r="HZD69" s="2936"/>
      <c r="HZE69" s="2936"/>
      <c r="HZF69" s="2936"/>
      <c r="HZG69" s="2936"/>
      <c r="HZH69" s="2936"/>
      <c r="HZI69" s="2936"/>
      <c r="HZJ69" s="2936"/>
      <c r="HZK69" s="2936"/>
      <c r="HZL69" s="2936"/>
      <c r="HZM69" s="2936"/>
      <c r="HZN69" s="2936"/>
      <c r="HZO69" s="2936"/>
      <c r="HZP69" s="2936"/>
      <c r="HZQ69" s="2936"/>
      <c r="HZR69" s="2936"/>
      <c r="HZS69" s="2936"/>
      <c r="HZT69" s="2936"/>
      <c r="HZU69" s="2936"/>
      <c r="HZV69" s="2936"/>
      <c r="HZW69" s="2936"/>
      <c r="HZX69" s="2936"/>
      <c r="HZY69" s="2936"/>
      <c r="HZZ69" s="2936"/>
      <c r="IAA69" s="2936"/>
      <c r="IAB69" s="2936"/>
      <c r="IAC69" s="2936"/>
      <c r="IAD69" s="2936"/>
      <c r="IAE69" s="2936"/>
      <c r="IAF69" s="2936"/>
      <c r="IAG69" s="2936"/>
      <c r="IAH69" s="2936"/>
      <c r="IAI69" s="2936"/>
      <c r="IAJ69" s="2936"/>
      <c r="IAK69" s="2936"/>
      <c r="IAL69" s="2936"/>
      <c r="IAM69" s="2936"/>
      <c r="IAN69" s="2936"/>
      <c r="IAO69" s="2936"/>
      <c r="IAP69" s="2936"/>
      <c r="IAQ69" s="2936"/>
      <c r="IAR69" s="2936"/>
      <c r="IAS69" s="2936"/>
      <c r="IAT69" s="2936"/>
      <c r="IAU69" s="2936"/>
      <c r="IAV69" s="2936"/>
      <c r="IAW69" s="2936"/>
      <c r="IAX69" s="2936"/>
      <c r="IAY69" s="2936"/>
      <c r="IAZ69" s="2936"/>
      <c r="IBA69" s="2936"/>
      <c r="IBB69" s="2936"/>
      <c r="IBC69" s="2936"/>
      <c r="IBD69" s="2936"/>
      <c r="IBE69" s="2936"/>
      <c r="IBF69" s="2936"/>
      <c r="IBG69" s="2936"/>
      <c r="IBH69" s="2936"/>
      <c r="IBI69" s="2936"/>
      <c r="IBJ69" s="2936"/>
      <c r="IBK69" s="2936"/>
      <c r="IBL69" s="2936"/>
      <c r="IBM69" s="2936"/>
      <c r="IBN69" s="2936"/>
      <c r="IBO69" s="2936"/>
      <c r="IBP69" s="2936"/>
      <c r="IBQ69" s="2936"/>
      <c r="IBR69" s="2936"/>
      <c r="IBS69" s="2936"/>
      <c r="IBT69" s="2936"/>
      <c r="IBU69" s="2936"/>
      <c r="IBV69" s="2936"/>
      <c r="IBW69" s="2936"/>
      <c r="IBX69" s="2936"/>
      <c r="IBY69" s="2936"/>
      <c r="IBZ69" s="2936"/>
      <c r="ICA69" s="2936"/>
      <c r="ICB69" s="2936"/>
      <c r="ICC69" s="2936"/>
      <c r="ICD69" s="2936"/>
      <c r="ICE69" s="2936"/>
      <c r="ICF69" s="2936"/>
      <c r="ICG69" s="2936"/>
      <c r="ICH69" s="2936"/>
      <c r="ICI69" s="2936"/>
      <c r="ICJ69" s="2936"/>
      <c r="ICK69" s="2936"/>
      <c r="ICL69" s="2936"/>
      <c r="ICM69" s="2936"/>
      <c r="ICN69" s="2936"/>
      <c r="ICO69" s="2936"/>
      <c r="ICP69" s="2936"/>
      <c r="ICQ69" s="2936"/>
      <c r="ICR69" s="2936"/>
      <c r="ICS69" s="2936"/>
      <c r="ICT69" s="2936"/>
      <c r="ICU69" s="2936"/>
      <c r="ICV69" s="2936"/>
      <c r="ICW69" s="2936"/>
      <c r="ICX69" s="2936"/>
      <c r="ICY69" s="2936"/>
      <c r="ICZ69" s="2936"/>
      <c r="IDA69" s="2936"/>
      <c r="IDB69" s="2936"/>
      <c r="IDC69" s="2936"/>
      <c r="IDD69" s="2936"/>
      <c r="IDE69" s="2936"/>
      <c r="IDF69" s="2936"/>
      <c r="IDG69" s="2936"/>
      <c r="IDH69" s="2936"/>
      <c r="IDI69" s="2936"/>
      <c r="IDJ69" s="2936"/>
      <c r="IDK69" s="2936"/>
      <c r="IDL69" s="2936"/>
      <c r="IDM69" s="2936"/>
      <c r="IDN69" s="2936"/>
      <c r="IDO69" s="2936"/>
      <c r="IDP69" s="2936"/>
      <c r="IDQ69" s="2936"/>
      <c r="IDR69" s="2936"/>
      <c r="IDS69" s="2936"/>
      <c r="IDT69" s="2936"/>
      <c r="IDU69" s="2936"/>
      <c r="IDV69" s="2936"/>
      <c r="IDW69" s="2936"/>
      <c r="IDX69" s="2936"/>
      <c r="IDY69" s="2936"/>
      <c r="IDZ69" s="2936"/>
      <c r="IEA69" s="2936"/>
      <c r="IEB69" s="2936"/>
      <c r="IEC69" s="2936"/>
      <c r="IED69" s="2936"/>
      <c r="IEE69" s="2936"/>
      <c r="IEF69" s="2936"/>
      <c r="IEG69" s="2936"/>
      <c r="IEH69" s="2936"/>
      <c r="IEI69" s="2936"/>
      <c r="IEJ69" s="2936"/>
      <c r="IEK69" s="2936"/>
      <c r="IEL69" s="2936"/>
      <c r="IEM69" s="2936"/>
      <c r="IEN69" s="2936"/>
      <c r="IEO69" s="2936"/>
      <c r="IEP69" s="2936"/>
      <c r="IEQ69" s="2936"/>
      <c r="IER69" s="2936"/>
      <c r="IES69" s="2936"/>
      <c r="IET69" s="2936"/>
      <c r="IEU69" s="2936"/>
      <c r="IEV69" s="2936"/>
      <c r="IEW69" s="2936"/>
      <c r="IEX69" s="2936"/>
      <c r="IEY69" s="2936"/>
      <c r="IEZ69" s="2936"/>
      <c r="IFA69" s="2936"/>
      <c r="IFB69" s="2936"/>
      <c r="IFC69" s="2936"/>
      <c r="IFD69" s="2936"/>
      <c r="IFE69" s="2936"/>
      <c r="IFF69" s="2936"/>
      <c r="IFG69" s="2936"/>
      <c r="IFH69" s="2936"/>
      <c r="IFI69" s="2936"/>
      <c r="IFJ69" s="2936"/>
      <c r="IFK69" s="2936"/>
      <c r="IFL69" s="2936"/>
      <c r="IFM69" s="2936"/>
      <c r="IFN69" s="2936"/>
      <c r="IFO69" s="2936"/>
      <c r="IFP69" s="2936"/>
      <c r="IFQ69" s="2936"/>
      <c r="IFR69" s="2936"/>
      <c r="IFS69" s="2936"/>
      <c r="IFT69" s="2936"/>
      <c r="IFU69" s="2936"/>
      <c r="IFV69" s="2936"/>
      <c r="IFW69" s="2936"/>
      <c r="IFX69" s="2936"/>
      <c r="IFY69" s="2936"/>
      <c r="IFZ69" s="2936"/>
      <c r="IGA69" s="2936"/>
      <c r="IGB69" s="2936"/>
      <c r="IGC69" s="2936"/>
      <c r="IGD69" s="2936"/>
      <c r="IGE69" s="2936"/>
      <c r="IGF69" s="2936"/>
      <c r="IGG69" s="2936"/>
      <c r="IGH69" s="2936"/>
      <c r="IGI69" s="2936"/>
      <c r="IGJ69" s="2936"/>
      <c r="IGK69" s="2936"/>
      <c r="IGL69" s="2936"/>
      <c r="IGM69" s="2936"/>
      <c r="IGN69" s="2936"/>
      <c r="IGO69" s="2936"/>
      <c r="IGP69" s="2936"/>
      <c r="IGQ69" s="2936"/>
      <c r="IGR69" s="2936"/>
      <c r="IGS69" s="2936"/>
      <c r="IGT69" s="2936"/>
      <c r="IGU69" s="2936"/>
      <c r="IGV69" s="2936"/>
      <c r="IGW69" s="2936"/>
      <c r="IGX69" s="2936"/>
      <c r="IGY69" s="2936"/>
      <c r="IGZ69" s="2936"/>
      <c r="IHA69" s="2936"/>
      <c r="IHB69" s="2936"/>
      <c r="IHC69" s="2936"/>
      <c r="IHD69" s="2936"/>
      <c r="IHE69" s="2936"/>
      <c r="IHF69" s="2936"/>
      <c r="IHG69" s="2936"/>
      <c r="IHH69" s="2936"/>
      <c r="IHI69" s="2936"/>
      <c r="IHJ69" s="2936"/>
      <c r="IHK69" s="2936"/>
      <c r="IHL69" s="2936"/>
      <c r="IHM69" s="2936"/>
      <c r="IHN69" s="2936"/>
      <c r="IHO69" s="2936"/>
      <c r="IHP69" s="2936"/>
      <c r="IHQ69" s="2936"/>
      <c r="IHR69" s="2936"/>
      <c r="IHS69" s="2936"/>
      <c r="IHT69" s="2936"/>
      <c r="IHU69" s="2936"/>
      <c r="IHV69" s="2936"/>
      <c r="IHW69" s="2936"/>
      <c r="IHX69" s="2936"/>
      <c r="IHY69" s="2936"/>
      <c r="IHZ69" s="2936"/>
      <c r="IIA69" s="2936"/>
      <c r="IIB69" s="2936"/>
      <c r="IIC69" s="2936"/>
      <c r="IID69" s="2936"/>
      <c r="IIE69" s="2936"/>
      <c r="IIF69" s="2936"/>
      <c r="IIG69" s="2936"/>
      <c r="IIH69" s="2936"/>
      <c r="III69" s="2936"/>
      <c r="IIJ69" s="2936"/>
      <c r="IIK69" s="2936"/>
      <c r="IIL69" s="2936"/>
      <c r="IIM69" s="2936"/>
      <c r="IIN69" s="2936"/>
      <c r="IIO69" s="2936"/>
      <c r="IIP69" s="2936"/>
      <c r="IIQ69" s="2936"/>
      <c r="IIR69" s="2936"/>
      <c r="IIS69" s="2936"/>
      <c r="IIT69" s="2936"/>
      <c r="IIU69" s="2936"/>
      <c r="IIV69" s="2936"/>
      <c r="IIW69" s="2936"/>
      <c r="IIX69" s="2936"/>
      <c r="IIY69" s="2936"/>
      <c r="IIZ69" s="2936"/>
      <c r="IJA69" s="2936"/>
      <c r="IJB69" s="2936"/>
      <c r="IJC69" s="2936"/>
      <c r="IJD69" s="2936"/>
      <c r="IJE69" s="2936"/>
      <c r="IJF69" s="2936"/>
      <c r="IJG69" s="2936"/>
      <c r="IJH69" s="2936"/>
      <c r="IJI69" s="2936"/>
      <c r="IJJ69" s="2936"/>
      <c r="IJK69" s="2936"/>
      <c r="IJL69" s="2936"/>
      <c r="IJM69" s="2936"/>
      <c r="IJN69" s="2936"/>
      <c r="IJO69" s="2936"/>
      <c r="IJP69" s="2936"/>
      <c r="IJQ69" s="2936"/>
      <c r="IJR69" s="2936"/>
      <c r="IJS69" s="2936"/>
      <c r="IJT69" s="2936"/>
      <c r="IJU69" s="2936"/>
      <c r="IJV69" s="2936"/>
      <c r="IJW69" s="2936"/>
      <c r="IJX69" s="2936"/>
      <c r="IJY69" s="2936"/>
      <c r="IJZ69" s="2936"/>
      <c r="IKA69" s="2936"/>
      <c r="IKB69" s="2936"/>
      <c r="IKC69" s="2936"/>
      <c r="IKD69" s="2936"/>
      <c r="IKE69" s="2936"/>
      <c r="IKF69" s="2936"/>
      <c r="IKG69" s="2936"/>
      <c r="IKH69" s="2936"/>
      <c r="IKI69" s="2936"/>
      <c r="IKJ69" s="2936"/>
      <c r="IKK69" s="2936"/>
      <c r="IKL69" s="2936"/>
      <c r="IKM69" s="2936"/>
      <c r="IKN69" s="2936"/>
      <c r="IKO69" s="2936"/>
      <c r="IKP69" s="2936"/>
      <c r="IKQ69" s="2936"/>
      <c r="IKR69" s="2936"/>
      <c r="IKS69" s="2936"/>
      <c r="IKT69" s="2936"/>
      <c r="IKU69" s="2936"/>
      <c r="IKV69" s="2936"/>
      <c r="IKW69" s="2936"/>
      <c r="IKX69" s="2936"/>
      <c r="IKY69" s="2936"/>
      <c r="IKZ69" s="2936"/>
      <c r="ILA69" s="2936"/>
      <c r="ILB69" s="2936"/>
      <c r="ILC69" s="2936"/>
      <c r="ILD69" s="2936"/>
      <c r="ILE69" s="2936"/>
      <c r="ILF69" s="2936"/>
      <c r="ILG69" s="2936"/>
      <c r="ILH69" s="2936"/>
      <c r="ILI69" s="2936"/>
      <c r="ILJ69" s="2936"/>
      <c r="ILK69" s="2936"/>
      <c r="ILL69" s="2936"/>
      <c r="ILM69" s="2936"/>
      <c r="ILN69" s="2936"/>
      <c r="ILO69" s="2936"/>
      <c r="ILP69" s="2936"/>
      <c r="ILQ69" s="2936"/>
      <c r="ILR69" s="2936"/>
      <c r="ILS69" s="2936"/>
      <c r="ILT69" s="2936"/>
      <c r="ILU69" s="2936"/>
      <c r="ILV69" s="2936"/>
      <c r="ILW69" s="2936"/>
      <c r="ILX69" s="2936"/>
      <c r="ILY69" s="2936"/>
      <c r="ILZ69" s="2936"/>
      <c r="IMA69" s="2936"/>
      <c r="IMB69" s="2936"/>
      <c r="IMC69" s="2936"/>
      <c r="IMD69" s="2936"/>
      <c r="IME69" s="2936"/>
      <c r="IMF69" s="2936"/>
      <c r="IMG69" s="2936"/>
      <c r="IMH69" s="2936"/>
      <c r="IMI69" s="2936"/>
      <c r="IMJ69" s="2936"/>
      <c r="IMK69" s="2936"/>
      <c r="IML69" s="2936"/>
      <c r="IMM69" s="2936"/>
      <c r="IMN69" s="2936"/>
      <c r="IMO69" s="2936"/>
      <c r="IMP69" s="2936"/>
      <c r="IMQ69" s="2936"/>
      <c r="IMR69" s="2936"/>
      <c r="IMS69" s="2936"/>
      <c r="IMT69" s="2936"/>
      <c r="IMU69" s="2936"/>
      <c r="IMV69" s="2936"/>
      <c r="IMW69" s="2936"/>
      <c r="IMX69" s="2936"/>
      <c r="IMY69" s="2936"/>
      <c r="IMZ69" s="2936"/>
      <c r="INA69" s="2936"/>
      <c r="INB69" s="2936"/>
      <c r="INC69" s="2936"/>
      <c r="IND69" s="2936"/>
      <c r="INE69" s="2936"/>
      <c r="INF69" s="2936"/>
      <c r="ING69" s="2936"/>
      <c r="INH69" s="2936"/>
      <c r="INI69" s="2936"/>
      <c r="INJ69" s="2936"/>
      <c r="INK69" s="2936"/>
      <c r="INL69" s="2936"/>
      <c r="INM69" s="2936"/>
      <c r="INN69" s="2936"/>
      <c r="INO69" s="2936"/>
      <c r="INP69" s="2936"/>
      <c r="INQ69" s="2936"/>
      <c r="INR69" s="2936"/>
      <c r="INS69" s="2936"/>
      <c r="INT69" s="2936"/>
      <c r="INU69" s="2936"/>
      <c r="INV69" s="2936"/>
      <c r="INW69" s="2936"/>
      <c r="INX69" s="2936"/>
      <c r="INY69" s="2936"/>
      <c r="INZ69" s="2936"/>
      <c r="IOA69" s="2936"/>
      <c r="IOB69" s="2936"/>
      <c r="IOC69" s="2936"/>
      <c r="IOD69" s="2936"/>
      <c r="IOE69" s="2936"/>
      <c r="IOF69" s="2936"/>
      <c r="IOG69" s="2936"/>
      <c r="IOH69" s="2936"/>
      <c r="IOI69" s="2936"/>
      <c r="IOJ69" s="2936"/>
      <c r="IOK69" s="2936"/>
      <c r="IOL69" s="2936"/>
      <c r="IOM69" s="2936"/>
      <c r="ION69" s="2936"/>
      <c r="IOO69" s="2936"/>
      <c r="IOP69" s="2936"/>
      <c r="IOQ69" s="2936"/>
      <c r="IOR69" s="2936"/>
      <c r="IOS69" s="2936"/>
      <c r="IOT69" s="2936"/>
      <c r="IOU69" s="2936"/>
      <c r="IOV69" s="2936"/>
      <c r="IOW69" s="2936"/>
      <c r="IOX69" s="2936"/>
      <c r="IOY69" s="2936"/>
      <c r="IOZ69" s="2936"/>
      <c r="IPA69" s="2936"/>
      <c r="IPB69" s="2936"/>
      <c r="IPC69" s="2936"/>
      <c r="IPD69" s="2936"/>
      <c r="IPE69" s="2936"/>
      <c r="IPF69" s="2936"/>
      <c r="IPG69" s="2936"/>
      <c r="IPH69" s="2936"/>
      <c r="IPI69" s="2936"/>
      <c r="IPJ69" s="2936"/>
      <c r="IPK69" s="2936"/>
      <c r="IPL69" s="2936"/>
      <c r="IPM69" s="2936"/>
      <c r="IPN69" s="2936"/>
      <c r="IPO69" s="2936"/>
      <c r="IPP69" s="2936"/>
      <c r="IPQ69" s="2936"/>
      <c r="IPR69" s="2936"/>
      <c r="IPS69" s="2936"/>
      <c r="IPT69" s="2936"/>
      <c r="IPU69" s="2936"/>
      <c r="IPV69" s="2936"/>
      <c r="IPW69" s="2936"/>
      <c r="IPX69" s="2936"/>
      <c r="IPY69" s="2936"/>
      <c r="IPZ69" s="2936"/>
      <c r="IQA69" s="2936"/>
      <c r="IQB69" s="2936"/>
      <c r="IQC69" s="2936"/>
      <c r="IQD69" s="2936"/>
      <c r="IQE69" s="2936"/>
      <c r="IQF69" s="2936"/>
      <c r="IQG69" s="2936"/>
      <c r="IQH69" s="2936"/>
      <c r="IQI69" s="2936"/>
      <c r="IQJ69" s="2936"/>
      <c r="IQK69" s="2936"/>
      <c r="IQL69" s="2936"/>
      <c r="IQM69" s="2936"/>
      <c r="IQN69" s="2936"/>
      <c r="IQO69" s="2936"/>
      <c r="IQP69" s="2936"/>
      <c r="IQQ69" s="2936"/>
      <c r="IQR69" s="2936"/>
      <c r="IQS69" s="2936"/>
      <c r="IQT69" s="2936"/>
      <c r="IQU69" s="2936"/>
      <c r="IQV69" s="2936"/>
      <c r="IQW69" s="2936"/>
      <c r="IQX69" s="2936"/>
      <c r="IQY69" s="2936"/>
      <c r="IQZ69" s="2936"/>
      <c r="IRA69" s="2936"/>
      <c r="IRB69" s="2936"/>
      <c r="IRC69" s="2936"/>
      <c r="IRD69" s="2936"/>
      <c r="IRE69" s="2936"/>
      <c r="IRF69" s="2936"/>
      <c r="IRG69" s="2936"/>
      <c r="IRH69" s="2936"/>
      <c r="IRI69" s="2936"/>
      <c r="IRJ69" s="2936"/>
      <c r="IRK69" s="2936"/>
      <c r="IRL69" s="2936"/>
      <c r="IRM69" s="2936"/>
      <c r="IRN69" s="2936"/>
      <c r="IRO69" s="2936"/>
      <c r="IRP69" s="2936"/>
      <c r="IRQ69" s="2936"/>
      <c r="IRR69" s="2936"/>
      <c r="IRS69" s="2936"/>
      <c r="IRT69" s="2936"/>
      <c r="IRU69" s="2936"/>
      <c r="IRV69" s="2936"/>
      <c r="IRW69" s="2936"/>
      <c r="IRX69" s="2936"/>
      <c r="IRY69" s="2936"/>
      <c r="IRZ69" s="2936"/>
      <c r="ISA69" s="2936"/>
      <c r="ISB69" s="2936"/>
      <c r="ISC69" s="2936"/>
      <c r="ISD69" s="2936"/>
      <c r="ISE69" s="2936"/>
      <c r="ISF69" s="2936"/>
      <c r="ISG69" s="2936"/>
      <c r="ISH69" s="2936"/>
      <c r="ISI69" s="2936"/>
      <c r="ISJ69" s="2936"/>
      <c r="ISK69" s="2936"/>
      <c r="ISL69" s="2936"/>
      <c r="ISM69" s="2936"/>
      <c r="ISN69" s="2936"/>
      <c r="ISO69" s="2936"/>
      <c r="ISP69" s="2936"/>
      <c r="ISQ69" s="2936"/>
      <c r="ISR69" s="2936"/>
      <c r="ISS69" s="2936"/>
      <c r="IST69" s="2936"/>
      <c r="ISU69" s="2936"/>
      <c r="ISV69" s="2936"/>
      <c r="ISW69" s="2936"/>
      <c r="ISX69" s="2936"/>
      <c r="ISY69" s="2936"/>
      <c r="ISZ69" s="2936"/>
      <c r="ITA69" s="2936"/>
      <c r="ITB69" s="2936"/>
      <c r="ITC69" s="2936"/>
      <c r="ITD69" s="2936"/>
      <c r="ITE69" s="2936"/>
      <c r="ITF69" s="2936"/>
      <c r="ITG69" s="2936"/>
      <c r="ITH69" s="2936"/>
      <c r="ITI69" s="2936"/>
      <c r="ITJ69" s="2936"/>
      <c r="ITK69" s="2936"/>
      <c r="ITL69" s="2936"/>
      <c r="ITM69" s="2936"/>
      <c r="ITN69" s="2936"/>
      <c r="ITO69" s="2936"/>
      <c r="ITP69" s="2936"/>
      <c r="ITQ69" s="2936"/>
      <c r="ITR69" s="2936"/>
      <c r="ITS69" s="2936"/>
      <c r="ITT69" s="2936"/>
      <c r="ITU69" s="2936"/>
      <c r="ITV69" s="2936"/>
      <c r="ITW69" s="2936"/>
      <c r="ITX69" s="2936"/>
      <c r="ITY69" s="2936"/>
      <c r="ITZ69" s="2936"/>
      <c r="IUA69" s="2936"/>
      <c r="IUB69" s="2936"/>
      <c r="IUC69" s="2936"/>
      <c r="IUD69" s="2936"/>
      <c r="IUE69" s="2936"/>
      <c r="IUF69" s="2936"/>
      <c r="IUG69" s="2936"/>
      <c r="IUH69" s="2936"/>
      <c r="IUI69" s="2936"/>
      <c r="IUJ69" s="2936"/>
      <c r="IUK69" s="2936"/>
      <c r="IUL69" s="2936"/>
      <c r="IUM69" s="2936"/>
      <c r="IUN69" s="2936"/>
      <c r="IUO69" s="2936"/>
      <c r="IUP69" s="2936"/>
      <c r="IUQ69" s="2936"/>
      <c r="IUR69" s="2936"/>
      <c r="IUS69" s="2936"/>
      <c r="IUT69" s="2936"/>
      <c r="IUU69" s="2936"/>
      <c r="IUV69" s="2936"/>
      <c r="IUW69" s="2936"/>
      <c r="IUX69" s="2936"/>
      <c r="IUY69" s="2936"/>
      <c r="IUZ69" s="2936"/>
      <c r="IVA69" s="2936"/>
      <c r="IVB69" s="2936"/>
      <c r="IVC69" s="2936"/>
      <c r="IVD69" s="2936"/>
      <c r="IVE69" s="2936"/>
      <c r="IVF69" s="2936"/>
      <c r="IVG69" s="2936"/>
      <c r="IVH69" s="2936"/>
      <c r="IVI69" s="2936"/>
      <c r="IVJ69" s="2936"/>
      <c r="IVK69" s="2936"/>
      <c r="IVL69" s="2936"/>
      <c r="IVM69" s="2936"/>
      <c r="IVN69" s="2936"/>
      <c r="IVO69" s="2936"/>
      <c r="IVP69" s="2936"/>
      <c r="IVQ69" s="2936"/>
      <c r="IVR69" s="2936"/>
      <c r="IVS69" s="2936"/>
      <c r="IVT69" s="2936"/>
      <c r="IVU69" s="2936"/>
      <c r="IVV69" s="2936"/>
      <c r="IVW69" s="2936"/>
      <c r="IVX69" s="2936"/>
      <c r="IVY69" s="2936"/>
      <c r="IVZ69" s="2936"/>
      <c r="IWA69" s="2936"/>
      <c r="IWB69" s="2936"/>
      <c r="IWC69" s="2936"/>
      <c r="IWD69" s="2936"/>
      <c r="IWE69" s="2936"/>
      <c r="IWF69" s="2936"/>
      <c r="IWG69" s="2936"/>
      <c r="IWH69" s="2936"/>
      <c r="IWI69" s="2936"/>
      <c r="IWJ69" s="2936"/>
      <c r="IWK69" s="2936"/>
      <c r="IWL69" s="2936"/>
      <c r="IWM69" s="2936"/>
      <c r="IWN69" s="2936"/>
      <c r="IWO69" s="2936"/>
      <c r="IWP69" s="2936"/>
      <c r="IWQ69" s="2936"/>
      <c r="IWR69" s="2936"/>
      <c r="IWS69" s="2936"/>
      <c r="IWT69" s="2936"/>
      <c r="IWU69" s="2936"/>
      <c r="IWV69" s="2936"/>
      <c r="IWW69" s="2936"/>
      <c r="IWX69" s="2936"/>
      <c r="IWY69" s="2936"/>
      <c r="IWZ69" s="2936"/>
      <c r="IXA69" s="2936"/>
      <c r="IXB69" s="2936"/>
      <c r="IXC69" s="2936"/>
      <c r="IXD69" s="2936"/>
      <c r="IXE69" s="2936"/>
      <c r="IXF69" s="2936"/>
      <c r="IXG69" s="2936"/>
      <c r="IXH69" s="2936"/>
      <c r="IXI69" s="2936"/>
      <c r="IXJ69" s="2936"/>
      <c r="IXK69" s="2936"/>
      <c r="IXL69" s="2936"/>
      <c r="IXM69" s="2936"/>
      <c r="IXN69" s="2936"/>
      <c r="IXO69" s="2936"/>
      <c r="IXP69" s="2936"/>
      <c r="IXQ69" s="2936"/>
      <c r="IXR69" s="2936"/>
      <c r="IXS69" s="2936"/>
      <c r="IXT69" s="2936"/>
      <c r="IXU69" s="2936"/>
      <c r="IXV69" s="2936"/>
      <c r="IXW69" s="2936"/>
      <c r="IXX69" s="2936"/>
      <c r="IXY69" s="2936"/>
      <c r="IXZ69" s="2936"/>
      <c r="IYA69" s="2936"/>
      <c r="IYB69" s="2936"/>
      <c r="IYC69" s="2936"/>
      <c r="IYD69" s="2936"/>
      <c r="IYE69" s="2936"/>
      <c r="IYF69" s="2936"/>
      <c r="IYG69" s="2936"/>
      <c r="IYH69" s="2936"/>
      <c r="IYI69" s="2936"/>
      <c r="IYJ69" s="2936"/>
      <c r="IYK69" s="2936"/>
      <c r="IYL69" s="2936"/>
      <c r="IYM69" s="2936"/>
      <c r="IYN69" s="2936"/>
      <c r="IYO69" s="2936"/>
      <c r="IYP69" s="2936"/>
      <c r="IYQ69" s="2936"/>
      <c r="IYR69" s="2936"/>
      <c r="IYS69" s="2936"/>
      <c r="IYT69" s="2936"/>
      <c r="IYU69" s="2936"/>
      <c r="IYV69" s="2936"/>
      <c r="IYW69" s="2936"/>
      <c r="IYX69" s="2936"/>
      <c r="IYY69" s="2936"/>
      <c r="IYZ69" s="2936"/>
      <c r="IZA69" s="2936"/>
      <c r="IZB69" s="2936"/>
      <c r="IZC69" s="2936"/>
      <c r="IZD69" s="2936"/>
      <c r="IZE69" s="2936"/>
      <c r="IZF69" s="2936"/>
      <c r="IZG69" s="2936"/>
      <c r="IZH69" s="2936"/>
      <c r="IZI69" s="2936"/>
      <c r="IZJ69" s="2936"/>
      <c r="IZK69" s="2936"/>
      <c r="IZL69" s="2936"/>
      <c r="IZM69" s="2936"/>
      <c r="IZN69" s="2936"/>
      <c r="IZO69" s="2936"/>
      <c r="IZP69" s="2936"/>
      <c r="IZQ69" s="2936"/>
      <c r="IZR69" s="2936"/>
      <c r="IZS69" s="2936"/>
      <c r="IZT69" s="2936"/>
      <c r="IZU69" s="2936"/>
      <c r="IZV69" s="2936"/>
      <c r="IZW69" s="2936"/>
      <c r="IZX69" s="2936"/>
      <c r="IZY69" s="2936"/>
      <c r="IZZ69" s="2936"/>
      <c r="JAA69" s="2936"/>
      <c r="JAB69" s="2936"/>
      <c r="JAC69" s="2936"/>
      <c r="JAD69" s="2936"/>
      <c r="JAE69" s="2936"/>
      <c r="JAF69" s="2936"/>
      <c r="JAG69" s="2936"/>
      <c r="JAH69" s="2936"/>
      <c r="JAI69" s="2936"/>
      <c r="JAJ69" s="2936"/>
      <c r="JAK69" s="2936"/>
      <c r="JAL69" s="2936"/>
      <c r="JAM69" s="2936"/>
      <c r="JAN69" s="2936"/>
      <c r="JAO69" s="2936"/>
      <c r="JAP69" s="2936"/>
      <c r="JAQ69" s="2936"/>
      <c r="JAR69" s="2936"/>
      <c r="JAS69" s="2936"/>
      <c r="JAT69" s="2936"/>
      <c r="JAU69" s="2936"/>
      <c r="JAV69" s="2936"/>
      <c r="JAW69" s="2936"/>
      <c r="JAX69" s="2936"/>
      <c r="JAY69" s="2936"/>
      <c r="JAZ69" s="2936"/>
      <c r="JBA69" s="2936"/>
      <c r="JBB69" s="2936"/>
      <c r="JBC69" s="2936"/>
      <c r="JBD69" s="2936"/>
      <c r="JBE69" s="2936"/>
      <c r="JBF69" s="2936"/>
      <c r="JBG69" s="2936"/>
      <c r="JBH69" s="2936"/>
      <c r="JBI69" s="2936"/>
      <c r="JBJ69" s="2936"/>
      <c r="JBK69" s="2936"/>
      <c r="JBL69" s="2936"/>
      <c r="JBM69" s="2936"/>
      <c r="JBN69" s="2936"/>
      <c r="JBO69" s="2936"/>
      <c r="JBP69" s="2936"/>
      <c r="JBQ69" s="2936"/>
      <c r="JBR69" s="2936"/>
      <c r="JBS69" s="2936"/>
      <c r="JBT69" s="2936"/>
      <c r="JBU69" s="2936"/>
      <c r="JBV69" s="2936"/>
      <c r="JBW69" s="2936"/>
      <c r="JBX69" s="2936"/>
      <c r="JBY69" s="2936"/>
      <c r="JBZ69" s="2936"/>
      <c r="JCA69" s="2936"/>
      <c r="JCB69" s="2936"/>
      <c r="JCC69" s="2936"/>
      <c r="JCD69" s="2936"/>
      <c r="JCE69" s="2936"/>
      <c r="JCF69" s="2936"/>
      <c r="JCG69" s="2936"/>
      <c r="JCH69" s="2936"/>
      <c r="JCI69" s="2936"/>
      <c r="JCJ69" s="2936"/>
      <c r="JCK69" s="2936"/>
      <c r="JCL69" s="2936"/>
      <c r="JCM69" s="2936"/>
      <c r="JCN69" s="2936"/>
      <c r="JCO69" s="2936"/>
      <c r="JCP69" s="2936"/>
      <c r="JCQ69" s="2936"/>
      <c r="JCR69" s="2936"/>
      <c r="JCS69" s="2936"/>
      <c r="JCT69" s="2936"/>
      <c r="JCU69" s="2936"/>
      <c r="JCV69" s="2936"/>
      <c r="JCW69" s="2936"/>
      <c r="JCX69" s="2936"/>
      <c r="JCY69" s="2936"/>
      <c r="JCZ69" s="2936"/>
      <c r="JDA69" s="2936"/>
      <c r="JDB69" s="2936"/>
      <c r="JDC69" s="2936"/>
      <c r="JDD69" s="2936"/>
      <c r="JDE69" s="2936"/>
      <c r="JDF69" s="2936"/>
      <c r="JDG69" s="2936"/>
      <c r="JDH69" s="2936"/>
      <c r="JDI69" s="2936"/>
      <c r="JDJ69" s="2936"/>
      <c r="JDK69" s="2936"/>
      <c r="JDL69" s="2936"/>
      <c r="JDM69" s="2936"/>
      <c r="JDN69" s="2936"/>
      <c r="JDO69" s="2936"/>
      <c r="JDP69" s="2936"/>
      <c r="JDQ69" s="2936"/>
      <c r="JDR69" s="2936"/>
      <c r="JDS69" s="2936"/>
      <c r="JDT69" s="2936"/>
      <c r="JDU69" s="2936"/>
      <c r="JDV69" s="2936"/>
      <c r="JDW69" s="2936"/>
      <c r="JDX69" s="2936"/>
      <c r="JDY69" s="2936"/>
      <c r="JDZ69" s="2936"/>
      <c r="JEA69" s="2936"/>
      <c r="JEB69" s="2936"/>
      <c r="JEC69" s="2936"/>
      <c r="JED69" s="2936"/>
      <c r="JEE69" s="2936"/>
      <c r="JEF69" s="2936"/>
      <c r="JEG69" s="2936"/>
      <c r="JEH69" s="2936"/>
      <c r="JEI69" s="2936"/>
      <c r="JEJ69" s="2936"/>
      <c r="JEK69" s="2936"/>
      <c r="JEL69" s="2936"/>
      <c r="JEM69" s="2936"/>
      <c r="JEN69" s="2936"/>
      <c r="JEO69" s="2936"/>
      <c r="JEP69" s="2936"/>
      <c r="JEQ69" s="2936"/>
      <c r="JER69" s="2936"/>
      <c r="JES69" s="2936"/>
      <c r="JET69" s="2936"/>
      <c r="JEU69" s="2936"/>
      <c r="JEV69" s="2936"/>
      <c r="JEW69" s="2936"/>
      <c r="JEX69" s="2936"/>
      <c r="JEY69" s="2936"/>
      <c r="JEZ69" s="2936"/>
      <c r="JFA69" s="2936"/>
      <c r="JFB69" s="2936"/>
      <c r="JFC69" s="2936"/>
      <c r="JFD69" s="2936"/>
      <c r="JFE69" s="2936"/>
      <c r="JFF69" s="2936"/>
      <c r="JFG69" s="2936"/>
      <c r="JFH69" s="2936"/>
      <c r="JFI69" s="2936"/>
      <c r="JFJ69" s="2936"/>
      <c r="JFK69" s="2936"/>
      <c r="JFL69" s="2936"/>
      <c r="JFM69" s="2936"/>
      <c r="JFN69" s="2936"/>
      <c r="JFO69" s="2936"/>
      <c r="JFP69" s="2936"/>
      <c r="JFQ69" s="2936"/>
      <c r="JFR69" s="2936"/>
      <c r="JFS69" s="2936"/>
      <c r="JFT69" s="2936"/>
      <c r="JFU69" s="2936"/>
      <c r="JFV69" s="2936"/>
      <c r="JFW69" s="2936"/>
      <c r="JFX69" s="2936"/>
      <c r="JFY69" s="2936"/>
      <c r="JFZ69" s="2936"/>
      <c r="JGA69" s="2936"/>
      <c r="JGB69" s="2936"/>
      <c r="JGC69" s="2936"/>
      <c r="JGD69" s="2936"/>
      <c r="JGE69" s="2936"/>
      <c r="JGF69" s="2936"/>
      <c r="JGG69" s="2936"/>
      <c r="JGH69" s="2936"/>
      <c r="JGI69" s="2936"/>
      <c r="JGJ69" s="2936"/>
      <c r="JGK69" s="2936"/>
      <c r="JGL69" s="2936"/>
      <c r="JGM69" s="2936"/>
      <c r="JGN69" s="2936"/>
      <c r="JGO69" s="2936"/>
      <c r="JGP69" s="2936"/>
      <c r="JGQ69" s="2936"/>
      <c r="JGR69" s="2936"/>
      <c r="JGS69" s="2936"/>
      <c r="JGT69" s="2936"/>
      <c r="JGU69" s="2936"/>
      <c r="JGV69" s="2936"/>
      <c r="JGW69" s="2936"/>
      <c r="JGX69" s="2936"/>
      <c r="JGY69" s="2936"/>
      <c r="JGZ69" s="2936"/>
      <c r="JHA69" s="2936"/>
      <c r="JHB69" s="2936"/>
      <c r="JHC69" s="2936"/>
      <c r="JHD69" s="2936"/>
      <c r="JHE69" s="2936"/>
      <c r="JHF69" s="2936"/>
      <c r="JHG69" s="2936"/>
      <c r="JHH69" s="2936"/>
      <c r="JHI69" s="2936"/>
      <c r="JHJ69" s="2936"/>
      <c r="JHK69" s="2936"/>
      <c r="JHL69" s="2936"/>
      <c r="JHM69" s="2936"/>
      <c r="JHN69" s="2936"/>
      <c r="JHO69" s="2936"/>
      <c r="JHP69" s="2936"/>
      <c r="JHQ69" s="2936"/>
      <c r="JHR69" s="2936"/>
      <c r="JHS69" s="2936"/>
      <c r="JHT69" s="2936"/>
      <c r="JHU69" s="2936"/>
      <c r="JHV69" s="2936"/>
      <c r="JHW69" s="2936"/>
      <c r="JHX69" s="2936"/>
      <c r="JHY69" s="2936"/>
      <c r="JHZ69" s="2936"/>
      <c r="JIA69" s="2936"/>
      <c r="JIB69" s="2936"/>
      <c r="JIC69" s="2936"/>
      <c r="JID69" s="2936"/>
      <c r="JIE69" s="2936"/>
      <c r="JIF69" s="2936"/>
      <c r="JIG69" s="2936"/>
      <c r="JIH69" s="2936"/>
      <c r="JII69" s="2936"/>
      <c r="JIJ69" s="2936"/>
      <c r="JIK69" s="2936"/>
      <c r="JIL69" s="2936"/>
      <c r="JIM69" s="2936"/>
      <c r="JIN69" s="2936"/>
      <c r="JIO69" s="2936"/>
      <c r="JIP69" s="2936"/>
      <c r="JIQ69" s="2936"/>
      <c r="JIR69" s="2936"/>
      <c r="JIS69" s="2936"/>
      <c r="JIT69" s="2936"/>
      <c r="JIU69" s="2936"/>
      <c r="JIV69" s="2936"/>
      <c r="JIW69" s="2936"/>
      <c r="JIX69" s="2936"/>
      <c r="JIY69" s="2936"/>
      <c r="JIZ69" s="2936"/>
      <c r="JJA69" s="2936"/>
      <c r="JJB69" s="2936"/>
      <c r="JJC69" s="2936"/>
      <c r="JJD69" s="2936"/>
      <c r="JJE69" s="2936"/>
      <c r="JJF69" s="2936"/>
      <c r="JJG69" s="2936"/>
      <c r="JJH69" s="2936"/>
      <c r="JJI69" s="2936"/>
      <c r="JJJ69" s="2936"/>
      <c r="JJK69" s="2936"/>
      <c r="JJL69" s="2936"/>
      <c r="JJM69" s="2936"/>
      <c r="JJN69" s="2936"/>
      <c r="JJO69" s="2936"/>
      <c r="JJP69" s="2936"/>
      <c r="JJQ69" s="2936"/>
      <c r="JJR69" s="2936"/>
      <c r="JJS69" s="2936"/>
      <c r="JJT69" s="2936"/>
      <c r="JJU69" s="2936"/>
      <c r="JJV69" s="2936"/>
      <c r="JJW69" s="2936"/>
      <c r="JJX69" s="2936"/>
      <c r="JJY69" s="2936"/>
      <c r="JJZ69" s="2936"/>
      <c r="JKA69" s="2936"/>
      <c r="JKB69" s="2936"/>
      <c r="JKC69" s="2936"/>
      <c r="JKD69" s="2936"/>
      <c r="JKE69" s="2936"/>
      <c r="JKF69" s="2936"/>
      <c r="JKG69" s="2936"/>
      <c r="JKH69" s="2936"/>
      <c r="JKI69" s="2936"/>
      <c r="JKJ69" s="2936"/>
      <c r="JKK69" s="2936"/>
      <c r="JKL69" s="2936"/>
      <c r="JKM69" s="2936"/>
      <c r="JKN69" s="2936"/>
      <c r="JKO69" s="2936"/>
      <c r="JKP69" s="2936"/>
      <c r="JKQ69" s="2936"/>
      <c r="JKR69" s="2936"/>
      <c r="JKS69" s="2936"/>
      <c r="JKT69" s="2936"/>
      <c r="JKU69" s="2936"/>
      <c r="JKV69" s="2936"/>
      <c r="JKW69" s="2936"/>
      <c r="JKX69" s="2936"/>
      <c r="JKY69" s="2936"/>
      <c r="JKZ69" s="2936"/>
      <c r="JLA69" s="2936"/>
      <c r="JLB69" s="2936"/>
      <c r="JLC69" s="2936"/>
      <c r="JLD69" s="2936"/>
      <c r="JLE69" s="2936"/>
      <c r="JLF69" s="2936"/>
      <c r="JLG69" s="2936"/>
      <c r="JLH69" s="2936"/>
      <c r="JLI69" s="2936"/>
      <c r="JLJ69" s="2936"/>
      <c r="JLK69" s="2936"/>
      <c r="JLL69" s="2936"/>
      <c r="JLM69" s="2936"/>
      <c r="JLN69" s="2936"/>
      <c r="JLO69" s="2936"/>
      <c r="JLP69" s="2936"/>
      <c r="JLQ69" s="2936"/>
      <c r="JLR69" s="2936"/>
      <c r="JLS69" s="2936"/>
      <c r="JLT69" s="2936"/>
      <c r="JLU69" s="2936"/>
      <c r="JLV69" s="2936"/>
      <c r="JLW69" s="2936"/>
      <c r="JLX69" s="2936"/>
      <c r="JLY69" s="2936"/>
      <c r="JLZ69" s="2936"/>
      <c r="JMA69" s="2936"/>
      <c r="JMB69" s="2936"/>
      <c r="JMC69" s="2936"/>
      <c r="JMD69" s="2936"/>
      <c r="JME69" s="2936"/>
      <c r="JMF69" s="2936"/>
      <c r="JMG69" s="2936"/>
      <c r="JMH69" s="2936"/>
      <c r="JMI69" s="2936"/>
      <c r="JMJ69" s="2936"/>
      <c r="JMK69" s="2936"/>
      <c r="JML69" s="2936"/>
      <c r="JMM69" s="2936"/>
      <c r="JMN69" s="2936"/>
      <c r="JMO69" s="2936"/>
      <c r="JMP69" s="2936"/>
      <c r="JMQ69" s="2936"/>
      <c r="JMR69" s="2936"/>
      <c r="JMS69" s="2936"/>
      <c r="JMT69" s="2936"/>
      <c r="JMU69" s="2936"/>
      <c r="JMV69" s="2936"/>
      <c r="JMW69" s="2936"/>
      <c r="JMX69" s="2936"/>
      <c r="JMY69" s="2936"/>
      <c r="JMZ69" s="2936"/>
      <c r="JNA69" s="2936"/>
      <c r="JNB69" s="2936"/>
      <c r="JNC69" s="2936"/>
      <c r="JND69" s="2936"/>
      <c r="JNE69" s="2936"/>
      <c r="JNF69" s="2936"/>
      <c r="JNG69" s="2936"/>
      <c r="JNH69" s="2936"/>
      <c r="JNI69" s="2936"/>
      <c r="JNJ69" s="2936"/>
      <c r="JNK69" s="2936"/>
      <c r="JNL69" s="2936"/>
      <c r="JNM69" s="2936"/>
      <c r="JNN69" s="2936"/>
      <c r="JNO69" s="2936"/>
      <c r="JNP69" s="2936"/>
      <c r="JNQ69" s="2936"/>
      <c r="JNR69" s="2936"/>
      <c r="JNS69" s="2936"/>
      <c r="JNT69" s="2936"/>
      <c r="JNU69" s="2936"/>
      <c r="JNV69" s="2936"/>
      <c r="JNW69" s="2936"/>
      <c r="JNX69" s="2936"/>
      <c r="JNY69" s="2936"/>
      <c r="JNZ69" s="2936"/>
      <c r="JOA69" s="2936"/>
      <c r="JOB69" s="2936"/>
      <c r="JOC69" s="2936"/>
      <c r="JOD69" s="2936"/>
      <c r="JOE69" s="2936"/>
      <c r="JOF69" s="2936"/>
      <c r="JOG69" s="2936"/>
      <c r="JOH69" s="2936"/>
      <c r="JOI69" s="2936"/>
      <c r="JOJ69" s="2936"/>
      <c r="JOK69" s="2936"/>
      <c r="JOL69" s="2936"/>
      <c r="JOM69" s="2936"/>
      <c r="JON69" s="2936"/>
      <c r="JOO69" s="2936"/>
      <c r="JOP69" s="2936"/>
      <c r="JOQ69" s="2936"/>
      <c r="JOR69" s="2936"/>
      <c r="JOS69" s="2936"/>
      <c r="JOT69" s="2936"/>
      <c r="JOU69" s="2936"/>
      <c r="JOV69" s="2936"/>
      <c r="JOW69" s="2936"/>
      <c r="JOX69" s="2936"/>
      <c r="JOY69" s="2936"/>
      <c r="JOZ69" s="2936"/>
      <c r="JPA69" s="2936"/>
      <c r="JPB69" s="2936"/>
      <c r="JPC69" s="2936"/>
      <c r="JPD69" s="2936"/>
      <c r="JPE69" s="2936"/>
      <c r="JPF69" s="2936"/>
      <c r="JPG69" s="2936"/>
      <c r="JPH69" s="2936"/>
      <c r="JPI69" s="2936"/>
      <c r="JPJ69" s="2936"/>
      <c r="JPK69" s="2936"/>
      <c r="JPL69" s="2936"/>
      <c r="JPM69" s="2936"/>
      <c r="JPN69" s="2936"/>
      <c r="JPO69" s="2936"/>
      <c r="JPP69" s="2936"/>
      <c r="JPQ69" s="2936"/>
      <c r="JPR69" s="2936"/>
      <c r="JPS69" s="2936"/>
      <c r="JPT69" s="2936"/>
      <c r="JPU69" s="2936"/>
      <c r="JPV69" s="2936"/>
      <c r="JPW69" s="2936"/>
      <c r="JPX69" s="2936"/>
      <c r="JPY69" s="2936"/>
      <c r="JPZ69" s="2936"/>
      <c r="JQA69" s="2936"/>
      <c r="JQB69" s="2936"/>
      <c r="JQC69" s="2936"/>
      <c r="JQD69" s="2936"/>
      <c r="JQE69" s="2936"/>
      <c r="JQF69" s="2936"/>
      <c r="JQG69" s="2936"/>
      <c r="JQH69" s="2936"/>
      <c r="JQI69" s="2936"/>
      <c r="JQJ69" s="2936"/>
      <c r="JQK69" s="2936"/>
      <c r="JQL69" s="2936"/>
      <c r="JQM69" s="2936"/>
      <c r="JQN69" s="2936"/>
      <c r="JQO69" s="2936"/>
      <c r="JQP69" s="2936"/>
      <c r="JQQ69" s="2936"/>
      <c r="JQR69" s="2936"/>
      <c r="JQS69" s="2936"/>
      <c r="JQT69" s="2936"/>
      <c r="JQU69" s="2936"/>
      <c r="JQV69" s="2936"/>
      <c r="JQW69" s="2936"/>
      <c r="JQX69" s="2936"/>
      <c r="JQY69" s="2936"/>
      <c r="JQZ69" s="2936"/>
      <c r="JRA69" s="2936"/>
      <c r="JRB69" s="2936"/>
      <c r="JRC69" s="2936"/>
      <c r="JRD69" s="2936"/>
      <c r="JRE69" s="2936"/>
      <c r="JRF69" s="2936"/>
      <c r="JRG69" s="2936"/>
      <c r="JRH69" s="2936"/>
      <c r="JRI69" s="2936"/>
      <c r="JRJ69" s="2936"/>
      <c r="JRK69" s="2936"/>
      <c r="JRL69" s="2936"/>
      <c r="JRM69" s="2936"/>
      <c r="JRN69" s="2936"/>
      <c r="JRO69" s="2936"/>
      <c r="JRP69" s="2936"/>
      <c r="JRQ69" s="2936"/>
      <c r="JRR69" s="2936"/>
      <c r="JRS69" s="2936"/>
      <c r="JRT69" s="2936"/>
      <c r="JRU69" s="2936"/>
      <c r="JRV69" s="2936"/>
      <c r="JRW69" s="2936"/>
      <c r="JRX69" s="2936"/>
      <c r="JRY69" s="2936"/>
      <c r="JRZ69" s="2936"/>
      <c r="JSA69" s="2936"/>
      <c r="JSB69" s="2936"/>
      <c r="JSC69" s="2936"/>
      <c r="JSD69" s="2936"/>
      <c r="JSE69" s="2936"/>
      <c r="JSF69" s="2936"/>
      <c r="JSG69" s="2936"/>
      <c r="JSH69" s="2936"/>
      <c r="JSI69" s="2936"/>
      <c r="JSJ69" s="2936"/>
      <c r="JSK69" s="2936"/>
      <c r="JSL69" s="2936"/>
      <c r="JSM69" s="2936"/>
      <c r="JSN69" s="2936"/>
      <c r="JSO69" s="2936"/>
      <c r="JSP69" s="2936"/>
      <c r="JSQ69" s="2936"/>
      <c r="JSR69" s="2936"/>
      <c r="JSS69" s="2936"/>
      <c r="JST69" s="2936"/>
      <c r="JSU69" s="2936"/>
      <c r="JSV69" s="2936"/>
      <c r="JSW69" s="2936"/>
      <c r="JSX69" s="2936"/>
      <c r="JSY69" s="2936"/>
      <c r="JSZ69" s="2936"/>
      <c r="JTA69" s="2936"/>
      <c r="JTB69" s="2936"/>
      <c r="JTC69" s="2936"/>
      <c r="JTD69" s="2936"/>
      <c r="JTE69" s="2936"/>
      <c r="JTF69" s="2936"/>
      <c r="JTG69" s="2936"/>
      <c r="JTH69" s="2936"/>
      <c r="JTI69" s="2936"/>
      <c r="JTJ69" s="2936"/>
      <c r="JTK69" s="2936"/>
      <c r="JTL69" s="2936"/>
      <c r="JTM69" s="2936"/>
      <c r="JTN69" s="2936"/>
      <c r="JTO69" s="2936"/>
      <c r="JTP69" s="2936"/>
      <c r="JTQ69" s="2936"/>
      <c r="JTR69" s="2936"/>
      <c r="JTS69" s="2936"/>
      <c r="JTT69" s="2936"/>
      <c r="JTU69" s="2936"/>
      <c r="JTV69" s="2936"/>
      <c r="JTW69" s="2936"/>
      <c r="JTX69" s="2936"/>
      <c r="JTY69" s="2936"/>
      <c r="JTZ69" s="2936"/>
      <c r="JUA69" s="2936"/>
      <c r="JUB69" s="2936"/>
      <c r="JUC69" s="2936"/>
      <c r="JUD69" s="2936"/>
      <c r="JUE69" s="2936"/>
      <c r="JUF69" s="2936"/>
      <c r="JUG69" s="2936"/>
      <c r="JUH69" s="2936"/>
      <c r="JUI69" s="2936"/>
      <c r="JUJ69" s="2936"/>
      <c r="JUK69" s="2936"/>
      <c r="JUL69" s="2936"/>
      <c r="JUM69" s="2936"/>
      <c r="JUN69" s="2936"/>
      <c r="JUO69" s="2936"/>
      <c r="JUP69" s="2936"/>
      <c r="JUQ69" s="2936"/>
      <c r="JUR69" s="2936"/>
      <c r="JUS69" s="2936"/>
      <c r="JUT69" s="2936"/>
      <c r="JUU69" s="2936"/>
      <c r="JUV69" s="2936"/>
      <c r="JUW69" s="2936"/>
      <c r="JUX69" s="2936"/>
      <c r="JUY69" s="2936"/>
      <c r="JUZ69" s="2936"/>
      <c r="JVA69" s="2936"/>
      <c r="JVB69" s="2936"/>
      <c r="JVC69" s="2936"/>
      <c r="JVD69" s="2936"/>
      <c r="JVE69" s="2936"/>
      <c r="JVF69" s="2936"/>
      <c r="JVG69" s="2936"/>
      <c r="JVH69" s="2936"/>
      <c r="JVI69" s="2936"/>
      <c r="JVJ69" s="2936"/>
      <c r="JVK69" s="2936"/>
      <c r="JVL69" s="2936"/>
      <c r="JVM69" s="2936"/>
      <c r="JVN69" s="2936"/>
      <c r="JVO69" s="2936"/>
      <c r="JVP69" s="2936"/>
      <c r="JVQ69" s="2936"/>
      <c r="JVR69" s="2936"/>
      <c r="JVS69" s="2936"/>
      <c r="JVT69" s="2936"/>
      <c r="JVU69" s="2936"/>
      <c r="JVV69" s="2936"/>
      <c r="JVW69" s="2936"/>
      <c r="JVX69" s="2936"/>
      <c r="JVY69" s="2936"/>
      <c r="JVZ69" s="2936"/>
      <c r="JWA69" s="2936"/>
      <c r="JWB69" s="2936"/>
      <c r="JWC69" s="2936"/>
      <c r="JWD69" s="2936"/>
      <c r="JWE69" s="2936"/>
      <c r="JWF69" s="2936"/>
      <c r="JWG69" s="2936"/>
      <c r="JWH69" s="2936"/>
      <c r="JWI69" s="2936"/>
      <c r="JWJ69" s="2936"/>
      <c r="JWK69" s="2936"/>
      <c r="JWL69" s="2936"/>
      <c r="JWM69" s="2936"/>
      <c r="JWN69" s="2936"/>
      <c r="JWO69" s="2936"/>
      <c r="JWP69" s="2936"/>
      <c r="JWQ69" s="2936"/>
      <c r="JWR69" s="2936"/>
      <c r="JWS69" s="2936"/>
      <c r="JWT69" s="2936"/>
      <c r="JWU69" s="2936"/>
      <c r="JWV69" s="2936"/>
      <c r="JWW69" s="2936"/>
      <c r="JWX69" s="2936"/>
      <c r="JWY69" s="2936"/>
      <c r="JWZ69" s="2936"/>
      <c r="JXA69" s="2936"/>
      <c r="JXB69" s="2936"/>
      <c r="JXC69" s="2936"/>
      <c r="JXD69" s="2936"/>
      <c r="JXE69" s="2936"/>
      <c r="JXF69" s="2936"/>
      <c r="JXG69" s="2936"/>
      <c r="JXH69" s="2936"/>
      <c r="JXI69" s="2936"/>
      <c r="JXJ69" s="2936"/>
      <c r="JXK69" s="2936"/>
      <c r="JXL69" s="2936"/>
      <c r="JXM69" s="2936"/>
      <c r="JXN69" s="2936"/>
      <c r="JXO69" s="2936"/>
      <c r="JXP69" s="2936"/>
      <c r="JXQ69" s="2936"/>
      <c r="JXR69" s="2936"/>
      <c r="JXS69" s="2936"/>
      <c r="JXT69" s="2936"/>
      <c r="JXU69" s="2936"/>
      <c r="JXV69" s="2936"/>
      <c r="JXW69" s="2936"/>
      <c r="JXX69" s="2936"/>
      <c r="JXY69" s="2936"/>
      <c r="JXZ69" s="2936"/>
      <c r="JYA69" s="2936"/>
      <c r="JYB69" s="2936"/>
      <c r="JYC69" s="2936"/>
      <c r="JYD69" s="2936"/>
      <c r="JYE69" s="2936"/>
      <c r="JYF69" s="2936"/>
      <c r="JYG69" s="2936"/>
      <c r="JYH69" s="2936"/>
      <c r="JYI69" s="2936"/>
      <c r="JYJ69" s="2936"/>
      <c r="JYK69" s="2936"/>
      <c r="JYL69" s="2936"/>
      <c r="JYM69" s="2936"/>
      <c r="JYN69" s="2936"/>
      <c r="JYO69" s="2936"/>
      <c r="JYP69" s="2936"/>
      <c r="JYQ69" s="2936"/>
      <c r="JYR69" s="2936"/>
      <c r="JYS69" s="2936"/>
      <c r="JYT69" s="2936"/>
      <c r="JYU69" s="2936"/>
      <c r="JYV69" s="2936"/>
      <c r="JYW69" s="2936"/>
      <c r="JYX69" s="2936"/>
      <c r="JYY69" s="2936"/>
      <c r="JYZ69" s="2936"/>
      <c r="JZA69" s="2936"/>
      <c r="JZB69" s="2936"/>
      <c r="JZC69" s="2936"/>
      <c r="JZD69" s="2936"/>
      <c r="JZE69" s="2936"/>
      <c r="JZF69" s="2936"/>
      <c r="JZG69" s="2936"/>
      <c r="JZH69" s="2936"/>
      <c r="JZI69" s="2936"/>
      <c r="JZJ69" s="2936"/>
      <c r="JZK69" s="2936"/>
      <c r="JZL69" s="2936"/>
      <c r="JZM69" s="2936"/>
      <c r="JZN69" s="2936"/>
      <c r="JZO69" s="2936"/>
      <c r="JZP69" s="2936"/>
      <c r="JZQ69" s="2936"/>
      <c r="JZR69" s="2936"/>
      <c r="JZS69" s="2936"/>
      <c r="JZT69" s="2936"/>
      <c r="JZU69" s="2936"/>
      <c r="JZV69" s="2936"/>
      <c r="JZW69" s="2936"/>
      <c r="JZX69" s="2936"/>
      <c r="JZY69" s="2936"/>
      <c r="JZZ69" s="2936"/>
      <c r="KAA69" s="2936"/>
      <c r="KAB69" s="2936"/>
      <c r="KAC69" s="2936"/>
      <c r="KAD69" s="2936"/>
      <c r="KAE69" s="2936"/>
      <c r="KAF69" s="2936"/>
      <c r="KAG69" s="2936"/>
      <c r="KAH69" s="2936"/>
      <c r="KAI69" s="2936"/>
      <c r="KAJ69" s="2936"/>
      <c r="KAK69" s="2936"/>
      <c r="KAL69" s="2936"/>
      <c r="KAM69" s="2936"/>
      <c r="KAN69" s="2936"/>
      <c r="KAO69" s="2936"/>
      <c r="KAP69" s="2936"/>
      <c r="KAQ69" s="2936"/>
      <c r="KAR69" s="2936"/>
      <c r="KAS69" s="2936"/>
      <c r="KAT69" s="2936"/>
      <c r="KAU69" s="2936"/>
      <c r="KAV69" s="2936"/>
      <c r="KAW69" s="2936"/>
      <c r="KAX69" s="2936"/>
      <c r="KAY69" s="2936"/>
      <c r="KAZ69" s="2936"/>
      <c r="KBA69" s="2936"/>
      <c r="KBB69" s="2936"/>
      <c r="KBC69" s="2936"/>
      <c r="KBD69" s="2936"/>
      <c r="KBE69" s="2936"/>
      <c r="KBF69" s="2936"/>
      <c r="KBG69" s="2936"/>
      <c r="KBH69" s="2936"/>
      <c r="KBI69" s="2936"/>
      <c r="KBJ69" s="2936"/>
      <c r="KBK69" s="2936"/>
      <c r="KBL69" s="2936"/>
      <c r="KBM69" s="2936"/>
      <c r="KBN69" s="2936"/>
      <c r="KBO69" s="2936"/>
      <c r="KBP69" s="2936"/>
      <c r="KBQ69" s="2936"/>
      <c r="KBR69" s="2936"/>
      <c r="KBS69" s="2936"/>
      <c r="KBT69" s="2936"/>
      <c r="KBU69" s="2936"/>
      <c r="KBV69" s="2936"/>
      <c r="KBW69" s="2936"/>
      <c r="KBX69" s="2936"/>
      <c r="KBY69" s="2936"/>
      <c r="KBZ69" s="2936"/>
      <c r="KCA69" s="2936"/>
      <c r="KCB69" s="2936"/>
      <c r="KCC69" s="2936"/>
      <c r="KCD69" s="2936"/>
      <c r="KCE69" s="2936"/>
      <c r="KCF69" s="2936"/>
      <c r="KCG69" s="2936"/>
      <c r="KCH69" s="2936"/>
      <c r="KCI69" s="2936"/>
      <c r="KCJ69" s="2936"/>
      <c r="KCK69" s="2936"/>
      <c r="KCL69" s="2936"/>
      <c r="KCM69" s="2936"/>
      <c r="KCN69" s="2936"/>
      <c r="KCO69" s="2936"/>
      <c r="KCP69" s="2936"/>
      <c r="KCQ69" s="2936"/>
      <c r="KCR69" s="2936"/>
      <c r="KCS69" s="2936"/>
      <c r="KCT69" s="2936"/>
      <c r="KCU69" s="2936"/>
      <c r="KCV69" s="2936"/>
      <c r="KCW69" s="2936"/>
      <c r="KCX69" s="2936"/>
      <c r="KCY69" s="2936"/>
      <c r="KCZ69" s="2936"/>
      <c r="KDA69" s="2936"/>
      <c r="KDB69" s="2936"/>
      <c r="KDC69" s="2936"/>
      <c r="KDD69" s="2936"/>
      <c r="KDE69" s="2936"/>
      <c r="KDF69" s="2936"/>
      <c r="KDG69" s="2936"/>
      <c r="KDH69" s="2936"/>
      <c r="KDI69" s="2936"/>
      <c r="KDJ69" s="2936"/>
      <c r="KDK69" s="2936"/>
      <c r="KDL69" s="2936"/>
      <c r="KDM69" s="2936"/>
      <c r="KDN69" s="2936"/>
      <c r="KDO69" s="2936"/>
      <c r="KDP69" s="2936"/>
      <c r="KDQ69" s="2936"/>
      <c r="KDR69" s="2936"/>
      <c r="KDS69" s="2936"/>
      <c r="KDT69" s="2936"/>
      <c r="KDU69" s="2936"/>
      <c r="KDV69" s="2936"/>
      <c r="KDW69" s="2936"/>
      <c r="KDX69" s="2936"/>
      <c r="KDY69" s="2936"/>
      <c r="KDZ69" s="2936"/>
      <c r="KEA69" s="2936"/>
      <c r="KEB69" s="2936"/>
      <c r="KEC69" s="2936"/>
      <c r="KED69" s="2936"/>
      <c r="KEE69" s="2936"/>
      <c r="KEF69" s="2936"/>
      <c r="KEG69" s="2936"/>
      <c r="KEH69" s="2936"/>
      <c r="KEI69" s="2936"/>
      <c r="KEJ69" s="2936"/>
      <c r="KEK69" s="2936"/>
      <c r="KEL69" s="2936"/>
      <c r="KEM69" s="2936"/>
      <c r="KEN69" s="2936"/>
      <c r="KEO69" s="2936"/>
      <c r="KEP69" s="2936"/>
      <c r="KEQ69" s="2936"/>
      <c r="KER69" s="2936"/>
      <c r="KES69" s="2936"/>
      <c r="KET69" s="2936"/>
      <c r="KEU69" s="2936"/>
      <c r="KEV69" s="2936"/>
      <c r="KEW69" s="2936"/>
      <c r="KEX69" s="2936"/>
      <c r="KEY69" s="2936"/>
      <c r="KEZ69" s="2936"/>
      <c r="KFA69" s="2936"/>
      <c r="KFB69" s="2936"/>
      <c r="KFC69" s="2936"/>
      <c r="KFD69" s="2936"/>
      <c r="KFE69" s="2936"/>
      <c r="KFF69" s="2936"/>
      <c r="KFG69" s="2936"/>
      <c r="KFH69" s="2936"/>
      <c r="KFI69" s="2936"/>
      <c r="KFJ69" s="2936"/>
      <c r="KFK69" s="2936"/>
      <c r="KFL69" s="2936"/>
      <c r="KFM69" s="2936"/>
      <c r="KFN69" s="2936"/>
      <c r="KFO69" s="2936"/>
      <c r="KFP69" s="2936"/>
      <c r="KFQ69" s="2936"/>
      <c r="KFR69" s="2936"/>
      <c r="KFS69" s="2936"/>
      <c r="KFT69" s="2936"/>
      <c r="KFU69" s="2936"/>
      <c r="KFV69" s="2936"/>
      <c r="KFW69" s="2936"/>
      <c r="KFX69" s="2936"/>
      <c r="KFY69" s="2936"/>
      <c r="KFZ69" s="2936"/>
      <c r="KGA69" s="2936"/>
      <c r="KGB69" s="2936"/>
      <c r="KGC69" s="2936"/>
      <c r="KGD69" s="2936"/>
      <c r="KGE69" s="2936"/>
      <c r="KGF69" s="2936"/>
      <c r="KGG69" s="2936"/>
      <c r="KGH69" s="2936"/>
      <c r="KGI69" s="2936"/>
      <c r="KGJ69" s="2936"/>
      <c r="KGK69" s="2936"/>
      <c r="KGL69" s="2936"/>
      <c r="KGM69" s="2936"/>
      <c r="KGN69" s="2936"/>
      <c r="KGO69" s="2936"/>
      <c r="KGP69" s="2936"/>
      <c r="KGQ69" s="2936"/>
      <c r="KGR69" s="2936"/>
      <c r="KGS69" s="2936"/>
      <c r="KGT69" s="2936"/>
      <c r="KGU69" s="2936"/>
      <c r="KGV69" s="2936"/>
      <c r="KGW69" s="2936"/>
      <c r="KGX69" s="2936"/>
      <c r="KGY69" s="2936"/>
      <c r="KGZ69" s="2936"/>
      <c r="KHA69" s="2936"/>
      <c r="KHB69" s="2936"/>
      <c r="KHC69" s="2936"/>
      <c r="KHD69" s="2936"/>
      <c r="KHE69" s="2936"/>
      <c r="KHF69" s="2936"/>
      <c r="KHG69" s="2936"/>
      <c r="KHH69" s="2936"/>
      <c r="KHI69" s="2936"/>
      <c r="KHJ69" s="2936"/>
      <c r="KHK69" s="2936"/>
      <c r="KHL69" s="2936"/>
      <c r="KHM69" s="2936"/>
      <c r="KHN69" s="2936"/>
      <c r="KHO69" s="2936"/>
      <c r="KHP69" s="2936"/>
      <c r="KHQ69" s="2936"/>
      <c r="KHR69" s="2936"/>
      <c r="KHS69" s="2936"/>
      <c r="KHT69" s="2936"/>
      <c r="KHU69" s="2936"/>
      <c r="KHV69" s="2936"/>
      <c r="KHW69" s="2936"/>
      <c r="KHX69" s="2936"/>
      <c r="KHY69" s="2936"/>
      <c r="KHZ69" s="2936"/>
      <c r="KIA69" s="2936"/>
      <c r="KIB69" s="2936"/>
      <c r="KIC69" s="2936"/>
      <c r="KID69" s="2936"/>
      <c r="KIE69" s="2936"/>
      <c r="KIF69" s="2936"/>
      <c r="KIG69" s="2936"/>
      <c r="KIH69" s="2936"/>
      <c r="KII69" s="2936"/>
      <c r="KIJ69" s="2936"/>
      <c r="KIK69" s="2936"/>
      <c r="KIL69" s="2936"/>
      <c r="KIM69" s="2936"/>
      <c r="KIN69" s="2936"/>
      <c r="KIO69" s="2936"/>
      <c r="KIP69" s="2936"/>
      <c r="KIQ69" s="2936"/>
      <c r="KIR69" s="2936"/>
      <c r="KIS69" s="2936"/>
      <c r="KIT69" s="2936"/>
      <c r="KIU69" s="2936"/>
      <c r="KIV69" s="2936"/>
      <c r="KIW69" s="2936"/>
      <c r="KIX69" s="2936"/>
      <c r="KIY69" s="2936"/>
      <c r="KIZ69" s="2936"/>
      <c r="KJA69" s="2936"/>
      <c r="KJB69" s="2936"/>
      <c r="KJC69" s="2936"/>
      <c r="KJD69" s="2936"/>
      <c r="KJE69" s="2936"/>
      <c r="KJF69" s="2936"/>
      <c r="KJG69" s="2936"/>
      <c r="KJH69" s="2936"/>
      <c r="KJI69" s="2936"/>
      <c r="KJJ69" s="2936"/>
      <c r="KJK69" s="2936"/>
      <c r="KJL69" s="2936"/>
      <c r="KJM69" s="2936"/>
      <c r="KJN69" s="2936"/>
      <c r="KJO69" s="2936"/>
      <c r="KJP69" s="2936"/>
      <c r="KJQ69" s="2936"/>
      <c r="KJR69" s="2936"/>
      <c r="KJS69" s="2936"/>
      <c r="KJT69" s="2936"/>
      <c r="KJU69" s="2936"/>
      <c r="KJV69" s="2936"/>
      <c r="KJW69" s="2936"/>
      <c r="KJX69" s="2936"/>
      <c r="KJY69" s="2936"/>
      <c r="KJZ69" s="2936"/>
      <c r="KKA69" s="2936"/>
      <c r="KKB69" s="2936"/>
      <c r="KKC69" s="2936"/>
      <c r="KKD69" s="2936"/>
      <c r="KKE69" s="2936"/>
      <c r="KKF69" s="2936"/>
      <c r="KKG69" s="2936"/>
      <c r="KKH69" s="2936"/>
      <c r="KKI69" s="2936"/>
      <c r="KKJ69" s="2936"/>
      <c r="KKK69" s="2936"/>
      <c r="KKL69" s="2936"/>
      <c r="KKM69" s="2936"/>
      <c r="KKN69" s="2936"/>
      <c r="KKO69" s="2936"/>
      <c r="KKP69" s="2936"/>
      <c r="KKQ69" s="2936"/>
      <c r="KKR69" s="2936"/>
      <c r="KKS69" s="2936"/>
      <c r="KKT69" s="2936"/>
      <c r="KKU69" s="2936"/>
      <c r="KKV69" s="2936"/>
      <c r="KKW69" s="2936"/>
      <c r="KKX69" s="2936"/>
      <c r="KKY69" s="2936"/>
      <c r="KKZ69" s="2936"/>
      <c r="KLA69" s="2936"/>
      <c r="KLB69" s="2936"/>
      <c r="KLC69" s="2936"/>
      <c r="KLD69" s="2936"/>
      <c r="KLE69" s="2936"/>
      <c r="KLF69" s="2936"/>
      <c r="KLG69" s="2936"/>
      <c r="KLH69" s="2936"/>
      <c r="KLI69" s="2936"/>
      <c r="KLJ69" s="2936"/>
      <c r="KLK69" s="2936"/>
      <c r="KLL69" s="2936"/>
      <c r="KLM69" s="2936"/>
      <c r="KLN69" s="2936"/>
      <c r="KLO69" s="2936"/>
      <c r="KLP69" s="2936"/>
      <c r="KLQ69" s="2936"/>
      <c r="KLR69" s="2936"/>
      <c r="KLS69" s="2936"/>
      <c r="KLT69" s="2936"/>
      <c r="KLU69" s="2936"/>
      <c r="KLV69" s="2936"/>
      <c r="KLW69" s="2936"/>
      <c r="KLX69" s="2936"/>
      <c r="KLY69" s="2936"/>
      <c r="KLZ69" s="2936"/>
      <c r="KMA69" s="2936"/>
      <c r="KMB69" s="2936"/>
      <c r="KMC69" s="2936"/>
      <c r="KMD69" s="2936"/>
      <c r="KME69" s="2936"/>
      <c r="KMF69" s="2936"/>
      <c r="KMG69" s="2936"/>
      <c r="KMH69" s="2936"/>
      <c r="KMI69" s="2936"/>
      <c r="KMJ69" s="2936"/>
      <c r="KMK69" s="2936"/>
      <c r="KML69" s="2936"/>
      <c r="KMM69" s="2936"/>
      <c r="KMN69" s="2936"/>
      <c r="KMO69" s="2936"/>
      <c r="KMP69" s="2936"/>
      <c r="KMQ69" s="2936"/>
      <c r="KMR69" s="2936"/>
      <c r="KMS69" s="2936"/>
      <c r="KMT69" s="2936"/>
      <c r="KMU69" s="2936"/>
      <c r="KMV69" s="2936"/>
      <c r="KMW69" s="2936"/>
      <c r="KMX69" s="2936"/>
      <c r="KMY69" s="2936"/>
      <c r="KMZ69" s="2936"/>
      <c r="KNA69" s="2936"/>
      <c r="KNB69" s="2936"/>
      <c r="KNC69" s="2936"/>
      <c r="KND69" s="2936"/>
      <c r="KNE69" s="2936"/>
      <c r="KNF69" s="2936"/>
      <c r="KNG69" s="2936"/>
      <c r="KNH69" s="2936"/>
      <c r="KNI69" s="2936"/>
      <c r="KNJ69" s="2936"/>
      <c r="KNK69" s="2936"/>
      <c r="KNL69" s="2936"/>
      <c r="KNM69" s="2936"/>
      <c r="KNN69" s="2936"/>
      <c r="KNO69" s="2936"/>
      <c r="KNP69" s="2936"/>
      <c r="KNQ69" s="2936"/>
      <c r="KNR69" s="2936"/>
      <c r="KNS69" s="2936"/>
      <c r="KNT69" s="2936"/>
      <c r="KNU69" s="2936"/>
      <c r="KNV69" s="2936"/>
      <c r="KNW69" s="2936"/>
      <c r="KNX69" s="2936"/>
      <c r="KNY69" s="2936"/>
      <c r="KNZ69" s="2936"/>
      <c r="KOA69" s="2936"/>
      <c r="KOB69" s="2936"/>
      <c r="KOC69" s="2936"/>
      <c r="KOD69" s="2936"/>
      <c r="KOE69" s="2936"/>
      <c r="KOF69" s="2936"/>
      <c r="KOG69" s="2936"/>
      <c r="KOH69" s="2936"/>
      <c r="KOI69" s="2936"/>
      <c r="KOJ69" s="2936"/>
      <c r="KOK69" s="2936"/>
      <c r="KOL69" s="2936"/>
      <c r="KOM69" s="2936"/>
      <c r="KON69" s="2936"/>
      <c r="KOO69" s="2936"/>
      <c r="KOP69" s="2936"/>
      <c r="KOQ69" s="2936"/>
      <c r="KOR69" s="2936"/>
      <c r="KOS69" s="2936"/>
      <c r="KOT69" s="2936"/>
      <c r="KOU69" s="2936"/>
      <c r="KOV69" s="2936"/>
      <c r="KOW69" s="2936"/>
      <c r="KOX69" s="2936"/>
      <c r="KOY69" s="2936"/>
      <c r="KOZ69" s="2936"/>
      <c r="KPA69" s="2936"/>
      <c r="KPB69" s="2936"/>
      <c r="KPC69" s="2936"/>
      <c r="KPD69" s="2936"/>
      <c r="KPE69" s="2936"/>
      <c r="KPF69" s="2936"/>
      <c r="KPG69" s="2936"/>
      <c r="KPH69" s="2936"/>
      <c r="KPI69" s="2936"/>
      <c r="KPJ69" s="2936"/>
      <c r="KPK69" s="2936"/>
      <c r="KPL69" s="2936"/>
      <c r="KPM69" s="2936"/>
      <c r="KPN69" s="2936"/>
      <c r="KPO69" s="2936"/>
      <c r="KPP69" s="2936"/>
      <c r="KPQ69" s="2936"/>
      <c r="KPR69" s="2936"/>
      <c r="KPS69" s="2936"/>
      <c r="KPT69" s="2936"/>
      <c r="KPU69" s="2936"/>
      <c r="KPV69" s="2936"/>
      <c r="KPW69" s="2936"/>
      <c r="KPX69" s="2936"/>
      <c r="KPY69" s="2936"/>
      <c r="KPZ69" s="2936"/>
      <c r="KQA69" s="2936"/>
      <c r="KQB69" s="2936"/>
      <c r="KQC69" s="2936"/>
      <c r="KQD69" s="2936"/>
      <c r="KQE69" s="2936"/>
      <c r="KQF69" s="2936"/>
      <c r="KQG69" s="2936"/>
      <c r="KQH69" s="2936"/>
      <c r="KQI69" s="2936"/>
      <c r="KQJ69" s="2936"/>
      <c r="KQK69" s="2936"/>
      <c r="KQL69" s="2936"/>
      <c r="KQM69" s="2936"/>
      <c r="KQN69" s="2936"/>
      <c r="KQO69" s="2936"/>
      <c r="KQP69" s="2936"/>
      <c r="KQQ69" s="2936"/>
      <c r="KQR69" s="2936"/>
      <c r="KQS69" s="2936"/>
      <c r="KQT69" s="2936"/>
      <c r="KQU69" s="2936"/>
      <c r="KQV69" s="2936"/>
      <c r="KQW69" s="2936"/>
      <c r="KQX69" s="2936"/>
      <c r="KQY69" s="2936"/>
      <c r="KQZ69" s="2936"/>
      <c r="KRA69" s="2936"/>
      <c r="KRB69" s="2936"/>
      <c r="KRC69" s="2936"/>
      <c r="KRD69" s="2936"/>
      <c r="KRE69" s="2936"/>
      <c r="KRF69" s="2936"/>
      <c r="KRG69" s="2936"/>
      <c r="KRH69" s="2936"/>
      <c r="KRI69" s="2936"/>
      <c r="KRJ69" s="2936"/>
      <c r="KRK69" s="2936"/>
      <c r="KRL69" s="2936"/>
      <c r="KRM69" s="2936"/>
      <c r="KRN69" s="2936"/>
      <c r="KRO69" s="2936"/>
      <c r="KRP69" s="2936"/>
      <c r="KRQ69" s="2936"/>
      <c r="KRR69" s="2936"/>
      <c r="KRS69" s="2936"/>
      <c r="KRT69" s="2936"/>
      <c r="KRU69" s="2936"/>
      <c r="KRV69" s="2936"/>
      <c r="KRW69" s="2936"/>
      <c r="KRX69" s="2936"/>
      <c r="KRY69" s="2936"/>
      <c r="KRZ69" s="2936"/>
      <c r="KSA69" s="2936"/>
      <c r="KSB69" s="2936"/>
      <c r="KSC69" s="2936"/>
      <c r="KSD69" s="2936"/>
      <c r="KSE69" s="2936"/>
      <c r="KSF69" s="2936"/>
      <c r="KSG69" s="2936"/>
      <c r="KSH69" s="2936"/>
      <c r="KSI69" s="2936"/>
      <c r="KSJ69" s="2936"/>
      <c r="KSK69" s="2936"/>
      <c r="KSL69" s="2936"/>
      <c r="KSM69" s="2936"/>
      <c r="KSN69" s="2936"/>
      <c r="KSO69" s="2936"/>
      <c r="KSP69" s="2936"/>
      <c r="KSQ69" s="2936"/>
      <c r="KSR69" s="2936"/>
      <c r="KSS69" s="2936"/>
      <c r="KST69" s="2936"/>
      <c r="KSU69" s="2936"/>
      <c r="KSV69" s="2936"/>
      <c r="KSW69" s="2936"/>
      <c r="KSX69" s="2936"/>
      <c r="KSY69" s="2936"/>
      <c r="KSZ69" s="2936"/>
      <c r="KTA69" s="2936"/>
      <c r="KTB69" s="2936"/>
      <c r="KTC69" s="2936"/>
      <c r="KTD69" s="2936"/>
      <c r="KTE69" s="2936"/>
      <c r="KTF69" s="2936"/>
      <c r="KTG69" s="2936"/>
      <c r="KTH69" s="2936"/>
      <c r="KTI69" s="2936"/>
      <c r="KTJ69" s="2936"/>
      <c r="KTK69" s="2936"/>
      <c r="KTL69" s="2936"/>
      <c r="KTM69" s="2936"/>
      <c r="KTN69" s="2936"/>
      <c r="KTO69" s="2936"/>
      <c r="KTP69" s="2936"/>
      <c r="KTQ69" s="2936"/>
      <c r="KTR69" s="2936"/>
      <c r="KTS69" s="2936"/>
      <c r="KTT69" s="2936"/>
      <c r="KTU69" s="2936"/>
      <c r="KTV69" s="2936"/>
      <c r="KTW69" s="2936"/>
      <c r="KTX69" s="2936"/>
      <c r="KTY69" s="2936"/>
      <c r="KTZ69" s="2936"/>
      <c r="KUA69" s="2936"/>
      <c r="KUB69" s="2936"/>
      <c r="KUC69" s="2936"/>
      <c r="KUD69" s="2936"/>
      <c r="KUE69" s="2936"/>
      <c r="KUF69" s="2936"/>
      <c r="KUG69" s="2936"/>
      <c r="KUH69" s="2936"/>
      <c r="KUI69" s="2936"/>
      <c r="KUJ69" s="2936"/>
      <c r="KUK69" s="2936"/>
      <c r="KUL69" s="2936"/>
      <c r="KUM69" s="2936"/>
      <c r="KUN69" s="2936"/>
      <c r="KUO69" s="2936"/>
      <c r="KUP69" s="2936"/>
      <c r="KUQ69" s="2936"/>
      <c r="KUR69" s="2936"/>
      <c r="KUS69" s="2936"/>
      <c r="KUT69" s="2936"/>
      <c r="KUU69" s="2936"/>
      <c r="KUV69" s="2936"/>
      <c r="KUW69" s="2936"/>
      <c r="KUX69" s="2936"/>
      <c r="KUY69" s="2936"/>
      <c r="KUZ69" s="2936"/>
      <c r="KVA69" s="2936"/>
      <c r="KVB69" s="2936"/>
      <c r="KVC69" s="2936"/>
      <c r="KVD69" s="2936"/>
      <c r="KVE69" s="2936"/>
      <c r="KVF69" s="2936"/>
      <c r="KVG69" s="2936"/>
      <c r="KVH69" s="2936"/>
      <c r="KVI69" s="2936"/>
      <c r="KVJ69" s="2936"/>
      <c r="KVK69" s="2936"/>
      <c r="KVL69" s="2936"/>
      <c r="KVM69" s="2936"/>
      <c r="KVN69" s="2936"/>
      <c r="KVO69" s="2936"/>
      <c r="KVP69" s="2936"/>
      <c r="KVQ69" s="2936"/>
      <c r="KVR69" s="2936"/>
      <c r="KVS69" s="2936"/>
      <c r="KVT69" s="2936"/>
      <c r="KVU69" s="2936"/>
      <c r="KVV69" s="2936"/>
      <c r="KVW69" s="2936"/>
      <c r="KVX69" s="2936"/>
      <c r="KVY69" s="2936"/>
      <c r="KVZ69" s="2936"/>
      <c r="KWA69" s="2936"/>
      <c r="KWB69" s="2936"/>
      <c r="KWC69" s="2936"/>
      <c r="KWD69" s="2936"/>
      <c r="KWE69" s="2936"/>
      <c r="KWF69" s="2936"/>
      <c r="KWG69" s="2936"/>
      <c r="KWH69" s="2936"/>
      <c r="KWI69" s="2936"/>
      <c r="KWJ69" s="2936"/>
      <c r="KWK69" s="2936"/>
      <c r="KWL69" s="2936"/>
      <c r="KWM69" s="2936"/>
      <c r="KWN69" s="2936"/>
      <c r="KWO69" s="2936"/>
      <c r="KWP69" s="2936"/>
      <c r="KWQ69" s="2936"/>
      <c r="KWR69" s="2936"/>
      <c r="KWS69" s="2936"/>
      <c r="KWT69" s="2936"/>
      <c r="KWU69" s="2936"/>
      <c r="KWV69" s="2936"/>
      <c r="KWW69" s="2936"/>
      <c r="KWX69" s="2936"/>
      <c r="KWY69" s="2936"/>
      <c r="KWZ69" s="2936"/>
      <c r="KXA69" s="2936"/>
      <c r="KXB69" s="2936"/>
      <c r="KXC69" s="2936"/>
      <c r="KXD69" s="2936"/>
      <c r="KXE69" s="2936"/>
      <c r="KXF69" s="2936"/>
      <c r="KXG69" s="2936"/>
      <c r="KXH69" s="2936"/>
      <c r="KXI69" s="2936"/>
      <c r="KXJ69" s="2936"/>
      <c r="KXK69" s="2936"/>
      <c r="KXL69" s="2936"/>
      <c r="KXM69" s="2936"/>
      <c r="KXN69" s="2936"/>
      <c r="KXO69" s="2936"/>
      <c r="KXP69" s="2936"/>
      <c r="KXQ69" s="2936"/>
      <c r="KXR69" s="2936"/>
      <c r="KXS69" s="2936"/>
      <c r="KXT69" s="2936"/>
      <c r="KXU69" s="2936"/>
      <c r="KXV69" s="2936"/>
      <c r="KXW69" s="2936"/>
      <c r="KXX69" s="2936"/>
      <c r="KXY69" s="2936"/>
      <c r="KXZ69" s="2936"/>
      <c r="KYA69" s="2936"/>
      <c r="KYB69" s="2936"/>
      <c r="KYC69" s="2936"/>
      <c r="KYD69" s="2936"/>
      <c r="KYE69" s="2936"/>
      <c r="KYF69" s="2936"/>
      <c r="KYG69" s="2936"/>
      <c r="KYH69" s="2936"/>
      <c r="KYI69" s="2936"/>
      <c r="KYJ69" s="2936"/>
      <c r="KYK69" s="2936"/>
      <c r="KYL69" s="2936"/>
      <c r="KYM69" s="2936"/>
      <c r="KYN69" s="2936"/>
      <c r="KYO69" s="2936"/>
      <c r="KYP69" s="2936"/>
      <c r="KYQ69" s="2936"/>
      <c r="KYR69" s="2936"/>
      <c r="KYS69" s="2936"/>
      <c r="KYT69" s="2936"/>
      <c r="KYU69" s="2936"/>
      <c r="KYV69" s="2936"/>
      <c r="KYW69" s="2936"/>
      <c r="KYX69" s="2936"/>
      <c r="KYY69" s="2936"/>
      <c r="KYZ69" s="2936"/>
      <c r="KZA69" s="2936"/>
      <c r="KZB69" s="2936"/>
      <c r="KZC69" s="2936"/>
      <c r="KZD69" s="2936"/>
      <c r="KZE69" s="2936"/>
      <c r="KZF69" s="2936"/>
      <c r="KZG69" s="2936"/>
      <c r="KZH69" s="2936"/>
      <c r="KZI69" s="2936"/>
      <c r="KZJ69" s="2936"/>
      <c r="KZK69" s="2936"/>
      <c r="KZL69" s="2936"/>
      <c r="KZM69" s="2936"/>
      <c r="KZN69" s="2936"/>
      <c r="KZO69" s="2936"/>
      <c r="KZP69" s="2936"/>
      <c r="KZQ69" s="2936"/>
      <c r="KZR69" s="2936"/>
      <c r="KZS69" s="2936"/>
      <c r="KZT69" s="2936"/>
      <c r="KZU69" s="2936"/>
      <c r="KZV69" s="2936"/>
      <c r="KZW69" s="2936"/>
      <c r="KZX69" s="2936"/>
      <c r="KZY69" s="2936"/>
      <c r="KZZ69" s="2936"/>
      <c r="LAA69" s="2936"/>
      <c r="LAB69" s="2936"/>
      <c r="LAC69" s="2936"/>
      <c r="LAD69" s="2936"/>
      <c r="LAE69" s="2936"/>
      <c r="LAF69" s="2936"/>
      <c r="LAG69" s="2936"/>
      <c r="LAH69" s="2936"/>
      <c r="LAI69" s="2936"/>
      <c r="LAJ69" s="2936"/>
      <c r="LAK69" s="2936"/>
      <c r="LAL69" s="2936"/>
      <c r="LAM69" s="2936"/>
      <c r="LAN69" s="2936"/>
      <c r="LAO69" s="2936"/>
      <c r="LAP69" s="2936"/>
      <c r="LAQ69" s="2936"/>
      <c r="LAR69" s="2936"/>
      <c r="LAS69" s="2936"/>
      <c r="LAT69" s="2936"/>
      <c r="LAU69" s="2936"/>
      <c r="LAV69" s="2936"/>
      <c r="LAW69" s="2936"/>
      <c r="LAX69" s="2936"/>
      <c r="LAY69" s="2936"/>
      <c r="LAZ69" s="2936"/>
      <c r="LBA69" s="2936"/>
      <c r="LBB69" s="2936"/>
      <c r="LBC69" s="2936"/>
      <c r="LBD69" s="2936"/>
      <c r="LBE69" s="2936"/>
      <c r="LBF69" s="2936"/>
      <c r="LBG69" s="2936"/>
      <c r="LBH69" s="2936"/>
      <c r="LBI69" s="2936"/>
      <c r="LBJ69" s="2936"/>
      <c r="LBK69" s="2936"/>
      <c r="LBL69" s="2936"/>
      <c r="LBM69" s="2936"/>
      <c r="LBN69" s="2936"/>
      <c r="LBO69" s="2936"/>
      <c r="LBP69" s="2936"/>
      <c r="LBQ69" s="2936"/>
      <c r="LBR69" s="2936"/>
      <c r="LBS69" s="2936"/>
      <c r="LBT69" s="2936"/>
      <c r="LBU69" s="2936"/>
      <c r="LBV69" s="2936"/>
      <c r="LBW69" s="2936"/>
      <c r="LBX69" s="2936"/>
      <c r="LBY69" s="2936"/>
      <c r="LBZ69" s="2936"/>
      <c r="LCA69" s="2936"/>
      <c r="LCB69" s="2936"/>
      <c r="LCC69" s="2936"/>
      <c r="LCD69" s="2936"/>
      <c r="LCE69" s="2936"/>
      <c r="LCF69" s="2936"/>
      <c r="LCG69" s="2936"/>
      <c r="LCH69" s="2936"/>
      <c r="LCI69" s="2936"/>
      <c r="LCJ69" s="2936"/>
      <c r="LCK69" s="2936"/>
      <c r="LCL69" s="2936"/>
      <c r="LCM69" s="2936"/>
      <c r="LCN69" s="2936"/>
      <c r="LCO69" s="2936"/>
      <c r="LCP69" s="2936"/>
      <c r="LCQ69" s="2936"/>
      <c r="LCR69" s="2936"/>
      <c r="LCS69" s="2936"/>
      <c r="LCT69" s="2936"/>
      <c r="LCU69" s="2936"/>
      <c r="LCV69" s="2936"/>
      <c r="LCW69" s="2936"/>
      <c r="LCX69" s="2936"/>
      <c r="LCY69" s="2936"/>
      <c r="LCZ69" s="2936"/>
      <c r="LDA69" s="2936"/>
      <c r="LDB69" s="2936"/>
      <c r="LDC69" s="2936"/>
      <c r="LDD69" s="2936"/>
      <c r="LDE69" s="2936"/>
      <c r="LDF69" s="2936"/>
      <c r="LDG69" s="2936"/>
      <c r="LDH69" s="2936"/>
      <c r="LDI69" s="2936"/>
      <c r="LDJ69" s="2936"/>
      <c r="LDK69" s="2936"/>
      <c r="LDL69" s="2936"/>
      <c r="LDM69" s="2936"/>
      <c r="LDN69" s="2936"/>
      <c r="LDO69" s="2936"/>
      <c r="LDP69" s="2936"/>
      <c r="LDQ69" s="2936"/>
      <c r="LDR69" s="2936"/>
      <c r="LDS69" s="2936"/>
      <c r="LDT69" s="2936"/>
      <c r="LDU69" s="2936"/>
      <c r="LDV69" s="2936"/>
      <c r="LDW69" s="2936"/>
      <c r="LDX69" s="2936"/>
      <c r="LDY69" s="2936"/>
      <c r="LDZ69" s="2936"/>
      <c r="LEA69" s="2936"/>
      <c r="LEB69" s="2936"/>
      <c r="LEC69" s="2936"/>
      <c r="LED69" s="2936"/>
      <c r="LEE69" s="2936"/>
      <c r="LEF69" s="2936"/>
      <c r="LEG69" s="2936"/>
      <c r="LEH69" s="2936"/>
      <c r="LEI69" s="2936"/>
      <c r="LEJ69" s="2936"/>
      <c r="LEK69" s="2936"/>
      <c r="LEL69" s="2936"/>
      <c r="LEM69" s="2936"/>
      <c r="LEN69" s="2936"/>
      <c r="LEO69" s="2936"/>
      <c r="LEP69" s="2936"/>
      <c r="LEQ69" s="2936"/>
      <c r="LER69" s="2936"/>
      <c r="LES69" s="2936"/>
      <c r="LET69" s="2936"/>
      <c r="LEU69" s="2936"/>
      <c r="LEV69" s="2936"/>
      <c r="LEW69" s="2936"/>
      <c r="LEX69" s="2936"/>
      <c r="LEY69" s="2936"/>
      <c r="LEZ69" s="2936"/>
      <c r="LFA69" s="2936"/>
      <c r="LFB69" s="2936"/>
      <c r="LFC69" s="2936"/>
      <c r="LFD69" s="2936"/>
      <c r="LFE69" s="2936"/>
      <c r="LFF69" s="2936"/>
      <c r="LFG69" s="2936"/>
      <c r="LFH69" s="2936"/>
      <c r="LFI69" s="2936"/>
      <c r="LFJ69" s="2936"/>
      <c r="LFK69" s="2936"/>
      <c r="LFL69" s="2936"/>
      <c r="LFM69" s="2936"/>
      <c r="LFN69" s="2936"/>
      <c r="LFO69" s="2936"/>
      <c r="LFP69" s="2936"/>
      <c r="LFQ69" s="2936"/>
      <c r="LFR69" s="2936"/>
      <c r="LFS69" s="2936"/>
      <c r="LFT69" s="2936"/>
      <c r="LFU69" s="2936"/>
      <c r="LFV69" s="2936"/>
      <c r="LFW69" s="2936"/>
      <c r="LFX69" s="2936"/>
      <c r="LFY69" s="2936"/>
      <c r="LFZ69" s="2936"/>
      <c r="LGA69" s="2936"/>
      <c r="LGB69" s="2936"/>
      <c r="LGC69" s="2936"/>
      <c r="LGD69" s="2936"/>
      <c r="LGE69" s="2936"/>
      <c r="LGF69" s="2936"/>
      <c r="LGG69" s="2936"/>
      <c r="LGH69" s="2936"/>
      <c r="LGI69" s="2936"/>
      <c r="LGJ69" s="2936"/>
      <c r="LGK69" s="2936"/>
      <c r="LGL69" s="2936"/>
      <c r="LGM69" s="2936"/>
      <c r="LGN69" s="2936"/>
      <c r="LGO69" s="2936"/>
      <c r="LGP69" s="2936"/>
      <c r="LGQ69" s="2936"/>
      <c r="LGR69" s="2936"/>
      <c r="LGS69" s="2936"/>
      <c r="LGT69" s="2936"/>
      <c r="LGU69" s="2936"/>
      <c r="LGV69" s="2936"/>
      <c r="LGW69" s="2936"/>
      <c r="LGX69" s="2936"/>
      <c r="LGY69" s="2936"/>
      <c r="LGZ69" s="2936"/>
      <c r="LHA69" s="2936"/>
      <c r="LHB69" s="2936"/>
      <c r="LHC69" s="2936"/>
      <c r="LHD69" s="2936"/>
      <c r="LHE69" s="2936"/>
      <c r="LHF69" s="2936"/>
      <c r="LHG69" s="2936"/>
      <c r="LHH69" s="2936"/>
      <c r="LHI69" s="2936"/>
      <c r="LHJ69" s="2936"/>
      <c r="LHK69" s="2936"/>
      <c r="LHL69" s="2936"/>
      <c r="LHM69" s="2936"/>
      <c r="LHN69" s="2936"/>
      <c r="LHO69" s="2936"/>
      <c r="LHP69" s="2936"/>
      <c r="LHQ69" s="2936"/>
      <c r="LHR69" s="2936"/>
      <c r="LHS69" s="2936"/>
      <c r="LHT69" s="2936"/>
      <c r="LHU69" s="2936"/>
      <c r="LHV69" s="2936"/>
      <c r="LHW69" s="2936"/>
      <c r="LHX69" s="2936"/>
      <c r="LHY69" s="2936"/>
      <c r="LHZ69" s="2936"/>
      <c r="LIA69" s="2936"/>
      <c r="LIB69" s="2936"/>
      <c r="LIC69" s="2936"/>
      <c r="LID69" s="2936"/>
      <c r="LIE69" s="2936"/>
      <c r="LIF69" s="2936"/>
      <c r="LIG69" s="2936"/>
      <c r="LIH69" s="2936"/>
      <c r="LII69" s="2936"/>
      <c r="LIJ69" s="2936"/>
      <c r="LIK69" s="2936"/>
      <c r="LIL69" s="2936"/>
      <c r="LIM69" s="2936"/>
      <c r="LIN69" s="2936"/>
      <c r="LIO69" s="2936"/>
      <c r="LIP69" s="2936"/>
      <c r="LIQ69" s="2936"/>
      <c r="LIR69" s="2936"/>
      <c r="LIS69" s="2936"/>
      <c r="LIT69" s="2936"/>
      <c r="LIU69" s="2936"/>
      <c r="LIV69" s="2936"/>
      <c r="LIW69" s="2936"/>
      <c r="LIX69" s="2936"/>
      <c r="LIY69" s="2936"/>
      <c r="LIZ69" s="2936"/>
      <c r="LJA69" s="2936"/>
      <c r="LJB69" s="2936"/>
      <c r="LJC69" s="2936"/>
      <c r="LJD69" s="2936"/>
      <c r="LJE69" s="2936"/>
      <c r="LJF69" s="2936"/>
      <c r="LJG69" s="2936"/>
      <c r="LJH69" s="2936"/>
      <c r="LJI69" s="2936"/>
      <c r="LJJ69" s="2936"/>
      <c r="LJK69" s="2936"/>
      <c r="LJL69" s="2936"/>
      <c r="LJM69" s="2936"/>
      <c r="LJN69" s="2936"/>
      <c r="LJO69" s="2936"/>
      <c r="LJP69" s="2936"/>
      <c r="LJQ69" s="2936"/>
      <c r="LJR69" s="2936"/>
      <c r="LJS69" s="2936"/>
      <c r="LJT69" s="2936"/>
      <c r="LJU69" s="2936"/>
      <c r="LJV69" s="2936"/>
      <c r="LJW69" s="2936"/>
      <c r="LJX69" s="2936"/>
      <c r="LJY69" s="2936"/>
      <c r="LJZ69" s="2936"/>
      <c r="LKA69" s="2936"/>
      <c r="LKB69" s="2936"/>
      <c r="LKC69" s="2936"/>
      <c r="LKD69" s="2936"/>
      <c r="LKE69" s="2936"/>
      <c r="LKF69" s="2936"/>
      <c r="LKG69" s="2936"/>
      <c r="LKH69" s="2936"/>
      <c r="LKI69" s="2936"/>
      <c r="LKJ69" s="2936"/>
      <c r="LKK69" s="2936"/>
      <c r="LKL69" s="2936"/>
      <c r="LKM69" s="2936"/>
      <c r="LKN69" s="2936"/>
      <c r="LKO69" s="2936"/>
      <c r="LKP69" s="2936"/>
      <c r="LKQ69" s="2936"/>
      <c r="LKR69" s="2936"/>
      <c r="LKS69" s="2936"/>
      <c r="LKT69" s="2936"/>
      <c r="LKU69" s="2936"/>
      <c r="LKV69" s="2936"/>
      <c r="LKW69" s="2936"/>
      <c r="LKX69" s="2936"/>
      <c r="LKY69" s="2936"/>
      <c r="LKZ69" s="2936"/>
      <c r="LLA69" s="2936"/>
      <c r="LLB69" s="2936"/>
      <c r="LLC69" s="2936"/>
      <c r="LLD69" s="2936"/>
      <c r="LLE69" s="2936"/>
      <c r="LLF69" s="2936"/>
      <c r="LLG69" s="2936"/>
      <c r="LLH69" s="2936"/>
      <c r="LLI69" s="2936"/>
      <c r="LLJ69" s="2936"/>
      <c r="LLK69" s="2936"/>
      <c r="LLL69" s="2936"/>
      <c r="LLM69" s="2936"/>
      <c r="LLN69" s="2936"/>
      <c r="LLO69" s="2936"/>
      <c r="LLP69" s="2936"/>
      <c r="LLQ69" s="2936"/>
      <c r="LLR69" s="2936"/>
      <c r="LLS69" s="2936"/>
      <c r="LLT69" s="2936"/>
      <c r="LLU69" s="2936"/>
      <c r="LLV69" s="2936"/>
      <c r="LLW69" s="2936"/>
      <c r="LLX69" s="2936"/>
      <c r="LLY69" s="2936"/>
      <c r="LLZ69" s="2936"/>
      <c r="LMA69" s="2936"/>
      <c r="LMB69" s="2936"/>
      <c r="LMC69" s="2936"/>
      <c r="LMD69" s="2936"/>
      <c r="LME69" s="2936"/>
      <c r="LMF69" s="2936"/>
      <c r="LMG69" s="2936"/>
      <c r="LMH69" s="2936"/>
      <c r="LMI69" s="2936"/>
      <c r="LMJ69" s="2936"/>
      <c r="LMK69" s="2936"/>
      <c r="LML69" s="2936"/>
      <c r="LMM69" s="2936"/>
      <c r="LMN69" s="2936"/>
      <c r="LMO69" s="2936"/>
      <c r="LMP69" s="2936"/>
      <c r="LMQ69" s="2936"/>
      <c r="LMR69" s="2936"/>
      <c r="LMS69" s="2936"/>
      <c r="LMT69" s="2936"/>
      <c r="LMU69" s="2936"/>
      <c r="LMV69" s="2936"/>
      <c r="LMW69" s="2936"/>
      <c r="LMX69" s="2936"/>
      <c r="LMY69" s="2936"/>
      <c r="LMZ69" s="2936"/>
      <c r="LNA69" s="2936"/>
      <c r="LNB69" s="2936"/>
      <c r="LNC69" s="2936"/>
      <c r="LND69" s="2936"/>
      <c r="LNE69" s="2936"/>
      <c r="LNF69" s="2936"/>
      <c r="LNG69" s="2936"/>
      <c r="LNH69" s="2936"/>
      <c r="LNI69" s="2936"/>
      <c r="LNJ69" s="2936"/>
      <c r="LNK69" s="2936"/>
      <c r="LNL69" s="2936"/>
      <c r="LNM69" s="2936"/>
      <c r="LNN69" s="2936"/>
      <c r="LNO69" s="2936"/>
      <c r="LNP69" s="2936"/>
      <c r="LNQ69" s="2936"/>
      <c r="LNR69" s="2936"/>
      <c r="LNS69" s="2936"/>
      <c r="LNT69" s="2936"/>
      <c r="LNU69" s="2936"/>
      <c r="LNV69" s="2936"/>
      <c r="LNW69" s="2936"/>
      <c r="LNX69" s="2936"/>
      <c r="LNY69" s="2936"/>
      <c r="LNZ69" s="2936"/>
      <c r="LOA69" s="2936"/>
      <c r="LOB69" s="2936"/>
      <c r="LOC69" s="2936"/>
      <c r="LOD69" s="2936"/>
      <c r="LOE69" s="2936"/>
      <c r="LOF69" s="2936"/>
      <c r="LOG69" s="2936"/>
      <c r="LOH69" s="2936"/>
      <c r="LOI69" s="2936"/>
      <c r="LOJ69" s="2936"/>
      <c r="LOK69" s="2936"/>
      <c r="LOL69" s="2936"/>
      <c r="LOM69" s="2936"/>
      <c r="LON69" s="2936"/>
      <c r="LOO69" s="2936"/>
      <c r="LOP69" s="2936"/>
      <c r="LOQ69" s="2936"/>
      <c r="LOR69" s="2936"/>
      <c r="LOS69" s="2936"/>
      <c r="LOT69" s="2936"/>
      <c r="LOU69" s="2936"/>
      <c r="LOV69" s="2936"/>
      <c r="LOW69" s="2936"/>
      <c r="LOX69" s="2936"/>
      <c r="LOY69" s="2936"/>
      <c r="LOZ69" s="2936"/>
      <c r="LPA69" s="2936"/>
      <c r="LPB69" s="2936"/>
      <c r="LPC69" s="2936"/>
      <c r="LPD69" s="2936"/>
      <c r="LPE69" s="2936"/>
      <c r="LPF69" s="2936"/>
      <c r="LPG69" s="2936"/>
      <c r="LPH69" s="2936"/>
      <c r="LPI69" s="2936"/>
      <c r="LPJ69" s="2936"/>
      <c r="LPK69" s="2936"/>
      <c r="LPL69" s="2936"/>
      <c r="LPM69" s="2936"/>
      <c r="LPN69" s="2936"/>
      <c r="LPO69" s="2936"/>
      <c r="LPP69" s="2936"/>
      <c r="LPQ69" s="2936"/>
      <c r="LPR69" s="2936"/>
      <c r="LPS69" s="2936"/>
      <c r="LPT69" s="2936"/>
      <c r="LPU69" s="2936"/>
      <c r="LPV69" s="2936"/>
      <c r="LPW69" s="2936"/>
      <c r="LPX69" s="2936"/>
      <c r="LPY69" s="2936"/>
      <c r="LPZ69" s="2936"/>
      <c r="LQA69" s="2936"/>
      <c r="LQB69" s="2936"/>
      <c r="LQC69" s="2936"/>
      <c r="LQD69" s="2936"/>
      <c r="LQE69" s="2936"/>
      <c r="LQF69" s="2936"/>
      <c r="LQG69" s="2936"/>
      <c r="LQH69" s="2936"/>
      <c r="LQI69" s="2936"/>
      <c r="LQJ69" s="2936"/>
      <c r="LQK69" s="2936"/>
      <c r="LQL69" s="2936"/>
      <c r="LQM69" s="2936"/>
      <c r="LQN69" s="2936"/>
      <c r="LQO69" s="2936"/>
      <c r="LQP69" s="2936"/>
      <c r="LQQ69" s="2936"/>
      <c r="LQR69" s="2936"/>
      <c r="LQS69" s="2936"/>
      <c r="LQT69" s="2936"/>
      <c r="LQU69" s="2936"/>
      <c r="LQV69" s="2936"/>
      <c r="LQW69" s="2936"/>
      <c r="LQX69" s="2936"/>
      <c r="LQY69" s="2936"/>
      <c r="LQZ69" s="2936"/>
      <c r="LRA69" s="2936"/>
      <c r="LRB69" s="2936"/>
      <c r="LRC69" s="2936"/>
      <c r="LRD69" s="2936"/>
      <c r="LRE69" s="2936"/>
      <c r="LRF69" s="2936"/>
      <c r="LRG69" s="2936"/>
      <c r="LRH69" s="2936"/>
      <c r="LRI69" s="2936"/>
      <c r="LRJ69" s="2936"/>
      <c r="LRK69" s="2936"/>
      <c r="LRL69" s="2936"/>
      <c r="LRM69" s="2936"/>
      <c r="LRN69" s="2936"/>
      <c r="LRO69" s="2936"/>
      <c r="LRP69" s="2936"/>
      <c r="LRQ69" s="2936"/>
      <c r="LRR69" s="2936"/>
      <c r="LRS69" s="2936"/>
      <c r="LRT69" s="2936"/>
      <c r="LRU69" s="2936"/>
      <c r="LRV69" s="2936"/>
      <c r="LRW69" s="2936"/>
      <c r="LRX69" s="2936"/>
      <c r="LRY69" s="2936"/>
      <c r="LRZ69" s="2936"/>
      <c r="LSA69" s="2936"/>
      <c r="LSB69" s="2936"/>
      <c r="LSC69" s="2936"/>
      <c r="LSD69" s="2936"/>
      <c r="LSE69" s="2936"/>
      <c r="LSF69" s="2936"/>
      <c r="LSG69" s="2936"/>
      <c r="LSH69" s="2936"/>
      <c r="LSI69" s="2936"/>
      <c r="LSJ69" s="2936"/>
      <c r="LSK69" s="2936"/>
      <c r="LSL69" s="2936"/>
      <c r="LSM69" s="2936"/>
      <c r="LSN69" s="2936"/>
      <c r="LSO69" s="2936"/>
      <c r="LSP69" s="2936"/>
      <c r="LSQ69" s="2936"/>
      <c r="LSR69" s="2936"/>
      <c r="LSS69" s="2936"/>
      <c r="LST69" s="2936"/>
      <c r="LSU69" s="2936"/>
      <c r="LSV69" s="2936"/>
      <c r="LSW69" s="2936"/>
      <c r="LSX69" s="2936"/>
      <c r="LSY69" s="2936"/>
      <c r="LSZ69" s="2936"/>
      <c r="LTA69" s="2936"/>
      <c r="LTB69" s="2936"/>
      <c r="LTC69" s="2936"/>
      <c r="LTD69" s="2936"/>
      <c r="LTE69" s="2936"/>
      <c r="LTF69" s="2936"/>
      <c r="LTG69" s="2936"/>
      <c r="LTH69" s="2936"/>
      <c r="LTI69" s="2936"/>
      <c r="LTJ69" s="2936"/>
      <c r="LTK69" s="2936"/>
      <c r="LTL69" s="2936"/>
      <c r="LTM69" s="2936"/>
      <c r="LTN69" s="2936"/>
      <c r="LTO69" s="2936"/>
      <c r="LTP69" s="2936"/>
      <c r="LTQ69" s="2936"/>
      <c r="LTR69" s="2936"/>
      <c r="LTS69" s="2936"/>
      <c r="LTT69" s="2936"/>
      <c r="LTU69" s="2936"/>
      <c r="LTV69" s="2936"/>
      <c r="LTW69" s="2936"/>
      <c r="LTX69" s="2936"/>
      <c r="LTY69" s="2936"/>
      <c r="LTZ69" s="2936"/>
      <c r="LUA69" s="2936"/>
      <c r="LUB69" s="2936"/>
      <c r="LUC69" s="2936"/>
      <c r="LUD69" s="2936"/>
      <c r="LUE69" s="2936"/>
      <c r="LUF69" s="2936"/>
      <c r="LUG69" s="2936"/>
      <c r="LUH69" s="2936"/>
      <c r="LUI69" s="2936"/>
      <c r="LUJ69" s="2936"/>
      <c r="LUK69" s="2936"/>
      <c r="LUL69" s="2936"/>
      <c r="LUM69" s="2936"/>
      <c r="LUN69" s="2936"/>
      <c r="LUO69" s="2936"/>
      <c r="LUP69" s="2936"/>
      <c r="LUQ69" s="2936"/>
      <c r="LUR69" s="2936"/>
      <c r="LUS69" s="2936"/>
      <c r="LUT69" s="2936"/>
      <c r="LUU69" s="2936"/>
      <c r="LUV69" s="2936"/>
      <c r="LUW69" s="2936"/>
      <c r="LUX69" s="2936"/>
      <c r="LUY69" s="2936"/>
      <c r="LUZ69" s="2936"/>
      <c r="LVA69" s="2936"/>
      <c r="LVB69" s="2936"/>
      <c r="LVC69" s="2936"/>
      <c r="LVD69" s="2936"/>
      <c r="LVE69" s="2936"/>
      <c r="LVF69" s="2936"/>
      <c r="LVG69" s="2936"/>
      <c r="LVH69" s="2936"/>
      <c r="LVI69" s="2936"/>
      <c r="LVJ69" s="2936"/>
      <c r="LVK69" s="2936"/>
      <c r="LVL69" s="2936"/>
      <c r="LVM69" s="2936"/>
      <c r="LVN69" s="2936"/>
      <c r="LVO69" s="2936"/>
      <c r="LVP69" s="2936"/>
      <c r="LVQ69" s="2936"/>
      <c r="LVR69" s="2936"/>
      <c r="LVS69" s="2936"/>
      <c r="LVT69" s="2936"/>
      <c r="LVU69" s="2936"/>
      <c r="LVV69" s="2936"/>
      <c r="LVW69" s="2936"/>
      <c r="LVX69" s="2936"/>
      <c r="LVY69" s="2936"/>
      <c r="LVZ69" s="2936"/>
      <c r="LWA69" s="2936"/>
      <c r="LWB69" s="2936"/>
      <c r="LWC69" s="2936"/>
      <c r="LWD69" s="2936"/>
      <c r="LWE69" s="2936"/>
      <c r="LWF69" s="2936"/>
      <c r="LWG69" s="2936"/>
      <c r="LWH69" s="2936"/>
      <c r="LWI69" s="2936"/>
      <c r="LWJ69" s="2936"/>
      <c r="LWK69" s="2936"/>
      <c r="LWL69" s="2936"/>
      <c r="LWM69" s="2936"/>
      <c r="LWN69" s="2936"/>
      <c r="LWO69" s="2936"/>
      <c r="LWP69" s="2936"/>
      <c r="LWQ69" s="2936"/>
      <c r="LWR69" s="2936"/>
      <c r="LWS69" s="2936"/>
      <c r="LWT69" s="2936"/>
      <c r="LWU69" s="2936"/>
      <c r="LWV69" s="2936"/>
      <c r="LWW69" s="2936"/>
      <c r="LWX69" s="2936"/>
      <c r="LWY69" s="2936"/>
      <c r="LWZ69" s="2936"/>
      <c r="LXA69" s="2936"/>
      <c r="LXB69" s="2936"/>
      <c r="LXC69" s="2936"/>
      <c r="LXD69" s="2936"/>
      <c r="LXE69" s="2936"/>
      <c r="LXF69" s="2936"/>
      <c r="LXG69" s="2936"/>
      <c r="LXH69" s="2936"/>
      <c r="LXI69" s="2936"/>
      <c r="LXJ69" s="2936"/>
      <c r="LXK69" s="2936"/>
      <c r="LXL69" s="2936"/>
      <c r="LXM69" s="2936"/>
      <c r="LXN69" s="2936"/>
      <c r="LXO69" s="2936"/>
      <c r="LXP69" s="2936"/>
      <c r="LXQ69" s="2936"/>
      <c r="LXR69" s="2936"/>
      <c r="LXS69" s="2936"/>
      <c r="LXT69" s="2936"/>
      <c r="LXU69" s="2936"/>
      <c r="LXV69" s="2936"/>
      <c r="LXW69" s="2936"/>
      <c r="LXX69" s="2936"/>
      <c r="LXY69" s="2936"/>
      <c r="LXZ69" s="2936"/>
      <c r="LYA69" s="2936"/>
      <c r="LYB69" s="2936"/>
      <c r="LYC69" s="2936"/>
      <c r="LYD69" s="2936"/>
      <c r="LYE69" s="2936"/>
      <c r="LYF69" s="2936"/>
      <c r="LYG69" s="2936"/>
      <c r="LYH69" s="2936"/>
      <c r="LYI69" s="2936"/>
      <c r="LYJ69" s="2936"/>
      <c r="LYK69" s="2936"/>
      <c r="LYL69" s="2936"/>
      <c r="LYM69" s="2936"/>
      <c r="LYN69" s="2936"/>
      <c r="LYO69" s="2936"/>
      <c r="LYP69" s="2936"/>
      <c r="LYQ69" s="2936"/>
      <c r="LYR69" s="2936"/>
      <c r="LYS69" s="2936"/>
      <c r="LYT69" s="2936"/>
      <c r="LYU69" s="2936"/>
      <c r="LYV69" s="2936"/>
      <c r="LYW69" s="2936"/>
      <c r="LYX69" s="2936"/>
      <c r="LYY69" s="2936"/>
      <c r="LYZ69" s="2936"/>
      <c r="LZA69" s="2936"/>
      <c r="LZB69" s="2936"/>
      <c r="LZC69" s="2936"/>
      <c r="LZD69" s="2936"/>
      <c r="LZE69" s="2936"/>
      <c r="LZF69" s="2936"/>
      <c r="LZG69" s="2936"/>
      <c r="LZH69" s="2936"/>
      <c r="LZI69" s="2936"/>
      <c r="LZJ69" s="2936"/>
      <c r="LZK69" s="2936"/>
      <c r="LZL69" s="2936"/>
      <c r="LZM69" s="2936"/>
      <c r="LZN69" s="2936"/>
      <c r="LZO69" s="2936"/>
      <c r="LZP69" s="2936"/>
      <c r="LZQ69" s="2936"/>
      <c r="LZR69" s="2936"/>
      <c r="LZS69" s="2936"/>
      <c r="LZT69" s="2936"/>
      <c r="LZU69" s="2936"/>
      <c r="LZV69" s="2936"/>
      <c r="LZW69" s="2936"/>
      <c r="LZX69" s="2936"/>
      <c r="LZY69" s="2936"/>
      <c r="LZZ69" s="2936"/>
      <c r="MAA69" s="2936"/>
      <c r="MAB69" s="2936"/>
      <c r="MAC69" s="2936"/>
      <c r="MAD69" s="2936"/>
      <c r="MAE69" s="2936"/>
      <c r="MAF69" s="2936"/>
      <c r="MAG69" s="2936"/>
      <c r="MAH69" s="2936"/>
      <c r="MAI69" s="2936"/>
      <c r="MAJ69" s="2936"/>
      <c r="MAK69" s="2936"/>
      <c r="MAL69" s="2936"/>
      <c r="MAM69" s="2936"/>
      <c r="MAN69" s="2936"/>
      <c r="MAO69" s="2936"/>
      <c r="MAP69" s="2936"/>
      <c r="MAQ69" s="2936"/>
      <c r="MAR69" s="2936"/>
      <c r="MAS69" s="2936"/>
      <c r="MAT69" s="2936"/>
      <c r="MAU69" s="2936"/>
      <c r="MAV69" s="2936"/>
      <c r="MAW69" s="2936"/>
      <c r="MAX69" s="2936"/>
      <c r="MAY69" s="2936"/>
      <c r="MAZ69" s="2936"/>
      <c r="MBA69" s="2936"/>
      <c r="MBB69" s="2936"/>
      <c r="MBC69" s="2936"/>
      <c r="MBD69" s="2936"/>
      <c r="MBE69" s="2936"/>
      <c r="MBF69" s="2936"/>
      <c r="MBG69" s="2936"/>
      <c r="MBH69" s="2936"/>
      <c r="MBI69" s="2936"/>
      <c r="MBJ69" s="2936"/>
      <c r="MBK69" s="2936"/>
      <c r="MBL69" s="2936"/>
      <c r="MBM69" s="2936"/>
      <c r="MBN69" s="2936"/>
      <c r="MBO69" s="2936"/>
      <c r="MBP69" s="2936"/>
      <c r="MBQ69" s="2936"/>
      <c r="MBR69" s="2936"/>
      <c r="MBS69" s="2936"/>
      <c r="MBT69" s="2936"/>
      <c r="MBU69" s="2936"/>
      <c r="MBV69" s="2936"/>
      <c r="MBW69" s="2936"/>
      <c r="MBX69" s="2936"/>
      <c r="MBY69" s="2936"/>
      <c r="MBZ69" s="2936"/>
      <c r="MCA69" s="2936"/>
      <c r="MCB69" s="2936"/>
      <c r="MCC69" s="2936"/>
      <c r="MCD69" s="2936"/>
      <c r="MCE69" s="2936"/>
      <c r="MCF69" s="2936"/>
      <c r="MCG69" s="2936"/>
      <c r="MCH69" s="2936"/>
      <c r="MCI69" s="2936"/>
      <c r="MCJ69" s="2936"/>
      <c r="MCK69" s="2936"/>
      <c r="MCL69" s="2936"/>
      <c r="MCM69" s="2936"/>
      <c r="MCN69" s="2936"/>
      <c r="MCO69" s="2936"/>
      <c r="MCP69" s="2936"/>
      <c r="MCQ69" s="2936"/>
      <c r="MCR69" s="2936"/>
      <c r="MCS69" s="2936"/>
      <c r="MCT69" s="2936"/>
      <c r="MCU69" s="2936"/>
      <c r="MCV69" s="2936"/>
      <c r="MCW69" s="2936"/>
      <c r="MCX69" s="2936"/>
      <c r="MCY69" s="2936"/>
      <c r="MCZ69" s="2936"/>
      <c r="MDA69" s="2936"/>
      <c r="MDB69" s="2936"/>
      <c r="MDC69" s="2936"/>
      <c r="MDD69" s="2936"/>
      <c r="MDE69" s="2936"/>
      <c r="MDF69" s="2936"/>
      <c r="MDG69" s="2936"/>
      <c r="MDH69" s="2936"/>
      <c r="MDI69" s="2936"/>
      <c r="MDJ69" s="2936"/>
      <c r="MDK69" s="2936"/>
      <c r="MDL69" s="2936"/>
      <c r="MDM69" s="2936"/>
      <c r="MDN69" s="2936"/>
      <c r="MDO69" s="2936"/>
      <c r="MDP69" s="2936"/>
      <c r="MDQ69" s="2936"/>
      <c r="MDR69" s="2936"/>
      <c r="MDS69" s="2936"/>
      <c r="MDT69" s="2936"/>
      <c r="MDU69" s="2936"/>
      <c r="MDV69" s="2936"/>
      <c r="MDW69" s="2936"/>
      <c r="MDX69" s="2936"/>
      <c r="MDY69" s="2936"/>
      <c r="MDZ69" s="2936"/>
      <c r="MEA69" s="2936"/>
      <c r="MEB69" s="2936"/>
      <c r="MEC69" s="2936"/>
      <c r="MED69" s="2936"/>
      <c r="MEE69" s="2936"/>
      <c r="MEF69" s="2936"/>
      <c r="MEG69" s="2936"/>
      <c r="MEH69" s="2936"/>
      <c r="MEI69" s="2936"/>
      <c r="MEJ69" s="2936"/>
      <c r="MEK69" s="2936"/>
      <c r="MEL69" s="2936"/>
      <c r="MEM69" s="2936"/>
      <c r="MEN69" s="2936"/>
      <c r="MEO69" s="2936"/>
      <c r="MEP69" s="2936"/>
      <c r="MEQ69" s="2936"/>
      <c r="MER69" s="2936"/>
      <c r="MES69" s="2936"/>
      <c r="MET69" s="2936"/>
      <c r="MEU69" s="2936"/>
      <c r="MEV69" s="2936"/>
      <c r="MEW69" s="2936"/>
      <c r="MEX69" s="2936"/>
      <c r="MEY69" s="2936"/>
      <c r="MEZ69" s="2936"/>
      <c r="MFA69" s="2936"/>
      <c r="MFB69" s="2936"/>
      <c r="MFC69" s="2936"/>
      <c r="MFD69" s="2936"/>
      <c r="MFE69" s="2936"/>
      <c r="MFF69" s="2936"/>
      <c r="MFG69" s="2936"/>
      <c r="MFH69" s="2936"/>
      <c r="MFI69" s="2936"/>
      <c r="MFJ69" s="2936"/>
      <c r="MFK69" s="2936"/>
      <c r="MFL69" s="2936"/>
      <c r="MFM69" s="2936"/>
      <c r="MFN69" s="2936"/>
      <c r="MFO69" s="2936"/>
      <c r="MFP69" s="2936"/>
      <c r="MFQ69" s="2936"/>
      <c r="MFR69" s="2936"/>
      <c r="MFS69" s="2936"/>
      <c r="MFT69" s="2936"/>
      <c r="MFU69" s="2936"/>
      <c r="MFV69" s="2936"/>
      <c r="MFW69" s="2936"/>
      <c r="MFX69" s="2936"/>
      <c r="MFY69" s="2936"/>
      <c r="MFZ69" s="2936"/>
      <c r="MGA69" s="2936"/>
      <c r="MGB69" s="2936"/>
      <c r="MGC69" s="2936"/>
      <c r="MGD69" s="2936"/>
      <c r="MGE69" s="2936"/>
      <c r="MGF69" s="2936"/>
      <c r="MGG69" s="2936"/>
      <c r="MGH69" s="2936"/>
      <c r="MGI69" s="2936"/>
      <c r="MGJ69" s="2936"/>
      <c r="MGK69" s="2936"/>
      <c r="MGL69" s="2936"/>
      <c r="MGM69" s="2936"/>
      <c r="MGN69" s="2936"/>
      <c r="MGO69" s="2936"/>
      <c r="MGP69" s="2936"/>
      <c r="MGQ69" s="2936"/>
      <c r="MGR69" s="2936"/>
      <c r="MGS69" s="2936"/>
      <c r="MGT69" s="2936"/>
      <c r="MGU69" s="2936"/>
      <c r="MGV69" s="2936"/>
      <c r="MGW69" s="2936"/>
      <c r="MGX69" s="2936"/>
      <c r="MGY69" s="2936"/>
      <c r="MGZ69" s="2936"/>
      <c r="MHA69" s="2936"/>
      <c r="MHB69" s="2936"/>
      <c r="MHC69" s="2936"/>
      <c r="MHD69" s="2936"/>
      <c r="MHE69" s="2936"/>
      <c r="MHF69" s="2936"/>
      <c r="MHG69" s="2936"/>
      <c r="MHH69" s="2936"/>
      <c r="MHI69" s="2936"/>
      <c r="MHJ69" s="2936"/>
      <c r="MHK69" s="2936"/>
      <c r="MHL69" s="2936"/>
      <c r="MHM69" s="2936"/>
      <c r="MHN69" s="2936"/>
      <c r="MHO69" s="2936"/>
      <c r="MHP69" s="2936"/>
      <c r="MHQ69" s="2936"/>
      <c r="MHR69" s="2936"/>
      <c r="MHS69" s="2936"/>
      <c r="MHT69" s="2936"/>
      <c r="MHU69" s="2936"/>
      <c r="MHV69" s="2936"/>
      <c r="MHW69" s="2936"/>
      <c r="MHX69" s="2936"/>
      <c r="MHY69" s="2936"/>
      <c r="MHZ69" s="2936"/>
      <c r="MIA69" s="2936"/>
      <c r="MIB69" s="2936"/>
      <c r="MIC69" s="2936"/>
      <c r="MID69" s="2936"/>
      <c r="MIE69" s="2936"/>
      <c r="MIF69" s="2936"/>
      <c r="MIG69" s="2936"/>
      <c r="MIH69" s="2936"/>
      <c r="MII69" s="2936"/>
      <c r="MIJ69" s="2936"/>
      <c r="MIK69" s="2936"/>
      <c r="MIL69" s="2936"/>
      <c r="MIM69" s="2936"/>
      <c r="MIN69" s="2936"/>
      <c r="MIO69" s="2936"/>
      <c r="MIP69" s="2936"/>
      <c r="MIQ69" s="2936"/>
      <c r="MIR69" s="2936"/>
      <c r="MIS69" s="2936"/>
      <c r="MIT69" s="2936"/>
      <c r="MIU69" s="2936"/>
      <c r="MIV69" s="2936"/>
      <c r="MIW69" s="2936"/>
      <c r="MIX69" s="2936"/>
      <c r="MIY69" s="2936"/>
      <c r="MIZ69" s="2936"/>
      <c r="MJA69" s="2936"/>
      <c r="MJB69" s="2936"/>
      <c r="MJC69" s="2936"/>
      <c r="MJD69" s="2936"/>
      <c r="MJE69" s="2936"/>
      <c r="MJF69" s="2936"/>
      <c r="MJG69" s="2936"/>
      <c r="MJH69" s="2936"/>
      <c r="MJI69" s="2936"/>
      <c r="MJJ69" s="2936"/>
      <c r="MJK69" s="2936"/>
      <c r="MJL69" s="2936"/>
      <c r="MJM69" s="2936"/>
      <c r="MJN69" s="2936"/>
      <c r="MJO69" s="2936"/>
      <c r="MJP69" s="2936"/>
      <c r="MJQ69" s="2936"/>
      <c r="MJR69" s="2936"/>
      <c r="MJS69" s="2936"/>
      <c r="MJT69" s="2936"/>
      <c r="MJU69" s="2936"/>
      <c r="MJV69" s="2936"/>
      <c r="MJW69" s="2936"/>
      <c r="MJX69" s="2936"/>
      <c r="MJY69" s="2936"/>
      <c r="MJZ69" s="2936"/>
      <c r="MKA69" s="2936"/>
      <c r="MKB69" s="2936"/>
      <c r="MKC69" s="2936"/>
      <c r="MKD69" s="2936"/>
      <c r="MKE69" s="2936"/>
      <c r="MKF69" s="2936"/>
      <c r="MKG69" s="2936"/>
      <c r="MKH69" s="2936"/>
      <c r="MKI69" s="2936"/>
      <c r="MKJ69" s="2936"/>
      <c r="MKK69" s="2936"/>
      <c r="MKL69" s="2936"/>
      <c r="MKM69" s="2936"/>
      <c r="MKN69" s="2936"/>
      <c r="MKO69" s="2936"/>
      <c r="MKP69" s="2936"/>
      <c r="MKQ69" s="2936"/>
      <c r="MKR69" s="2936"/>
      <c r="MKS69" s="2936"/>
      <c r="MKT69" s="2936"/>
      <c r="MKU69" s="2936"/>
      <c r="MKV69" s="2936"/>
      <c r="MKW69" s="2936"/>
      <c r="MKX69" s="2936"/>
      <c r="MKY69" s="2936"/>
      <c r="MKZ69" s="2936"/>
      <c r="MLA69" s="2936"/>
      <c r="MLB69" s="2936"/>
      <c r="MLC69" s="2936"/>
      <c r="MLD69" s="2936"/>
      <c r="MLE69" s="2936"/>
      <c r="MLF69" s="2936"/>
      <c r="MLG69" s="2936"/>
      <c r="MLH69" s="2936"/>
      <c r="MLI69" s="2936"/>
      <c r="MLJ69" s="2936"/>
      <c r="MLK69" s="2936"/>
      <c r="MLL69" s="2936"/>
      <c r="MLM69" s="2936"/>
      <c r="MLN69" s="2936"/>
      <c r="MLO69" s="2936"/>
      <c r="MLP69" s="2936"/>
      <c r="MLQ69" s="2936"/>
      <c r="MLR69" s="2936"/>
      <c r="MLS69" s="2936"/>
      <c r="MLT69" s="2936"/>
      <c r="MLU69" s="2936"/>
      <c r="MLV69" s="2936"/>
      <c r="MLW69" s="2936"/>
      <c r="MLX69" s="2936"/>
      <c r="MLY69" s="2936"/>
      <c r="MLZ69" s="2936"/>
      <c r="MMA69" s="2936"/>
      <c r="MMB69" s="2936"/>
      <c r="MMC69" s="2936"/>
      <c r="MMD69" s="2936"/>
      <c r="MME69" s="2936"/>
      <c r="MMF69" s="2936"/>
      <c r="MMG69" s="2936"/>
      <c r="MMH69" s="2936"/>
      <c r="MMI69" s="2936"/>
      <c r="MMJ69" s="2936"/>
      <c r="MMK69" s="2936"/>
      <c r="MML69" s="2936"/>
      <c r="MMM69" s="2936"/>
      <c r="MMN69" s="2936"/>
      <c r="MMO69" s="2936"/>
      <c r="MMP69" s="2936"/>
      <c r="MMQ69" s="2936"/>
      <c r="MMR69" s="2936"/>
      <c r="MMS69" s="2936"/>
      <c r="MMT69" s="2936"/>
      <c r="MMU69" s="2936"/>
      <c r="MMV69" s="2936"/>
      <c r="MMW69" s="2936"/>
      <c r="MMX69" s="2936"/>
      <c r="MMY69" s="2936"/>
      <c r="MMZ69" s="2936"/>
      <c r="MNA69" s="2936"/>
      <c r="MNB69" s="2936"/>
      <c r="MNC69" s="2936"/>
      <c r="MND69" s="2936"/>
      <c r="MNE69" s="2936"/>
      <c r="MNF69" s="2936"/>
      <c r="MNG69" s="2936"/>
      <c r="MNH69" s="2936"/>
      <c r="MNI69" s="2936"/>
      <c r="MNJ69" s="2936"/>
      <c r="MNK69" s="2936"/>
      <c r="MNL69" s="2936"/>
      <c r="MNM69" s="2936"/>
      <c r="MNN69" s="2936"/>
      <c r="MNO69" s="2936"/>
      <c r="MNP69" s="2936"/>
      <c r="MNQ69" s="2936"/>
      <c r="MNR69" s="2936"/>
      <c r="MNS69" s="2936"/>
      <c r="MNT69" s="2936"/>
      <c r="MNU69" s="2936"/>
      <c r="MNV69" s="2936"/>
      <c r="MNW69" s="2936"/>
      <c r="MNX69" s="2936"/>
      <c r="MNY69" s="2936"/>
      <c r="MNZ69" s="2936"/>
      <c r="MOA69" s="2936"/>
      <c r="MOB69" s="2936"/>
      <c r="MOC69" s="2936"/>
      <c r="MOD69" s="2936"/>
      <c r="MOE69" s="2936"/>
      <c r="MOF69" s="2936"/>
      <c r="MOG69" s="2936"/>
      <c r="MOH69" s="2936"/>
      <c r="MOI69" s="2936"/>
      <c r="MOJ69" s="2936"/>
      <c r="MOK69" s="2936"/>
      <c r="MOL69" s="2936"/>
      <c r="MOM69" s="2936"/>
      <c r="MON69" s="2936"/>
      <c r="MOO69" s="2936"/>
      <c r="MOP69" s="2936"/>
      <c r="MOQ69" s="2936"/>
      <c r="MOR69" s="2936"/>
      <c r="MOS69" s="2936"/>
      <c r="MOT69" s="2936"/>
      <c r="MOU69" s="2936"/>
      <c r="MOV69" s="2936"/>
      <c r="MOW69" s="2936"/>
      <c r="MOX69" s="2936"/>
      <c r="MOY69" s="2936"/>
      <c r="MOZ69" s="2936"/>
      <c r="MPA69" s="2936"/>
      <c r="MPB69" s="2936"/>
      <c r="MPC69" s="2936"/>
      <c r="MPD69" s="2936"/>
      <c r="MPE69" s="2936"/>
      <c r="MPF69" s="2936"/>
      <c r="MPG69" s="2936"/>
      <c r="MPH69" s="2936"/>
      <c r="MPI69" s="2936"/>
      <c r="MPJ69" s="2936"/>
      <c r="MPK69" s="2936"/>
      <c r="MPL69" s="2936"/>
      <c r="MPM69" s="2936"/>
      <c r="MPN69" s="2936"/>
      <c r="MPO69" s="2936"/>
      <c r="MPP69" s="2936"/>
      <c r="MPQ69" s="2936"/>
      <c r="MPR69" s="2936"/>
      <c r="MPS69" s="2936"/>
      <c r="MPT69" s="2936"/>
      <c r="MPU69" s="2936"/>
      <c r="MPV69" s="2936"/>
      <c r="MPW69" s="2936"/>
      <c r="MPX69" s="2936"/>
      <c r="MPY69" s="2936"/>
      <c r="MPZ69" s="2936"/>
      <c r="MQA69" s="2936"/>
      <c r="MQB69" s="2936"/>
      <c r="MQC69" s="2936"/>
      <c r="MQD69" s="2936"/>
      <c r="MQE69" s="2936"/>
      <c r="MQF69" s="2936"/>
      <c r="MQG69" s="2936"/>
      <c r="MQH69" s="2936"/>
      <c r="MQI69" s="2936"/>
      <c r="MQJ69" s="2936"/>
      <c r="MQK69" s="2936"/>
      <c r="MQL69" s="2936"/>
      <c r="MQM69" s="2936"/>
      <c r="MQN69" s="2936"/>
      <c r="MQO69" s="2936"/>
      <c r="MQP69" s="2936"/>
      <c r="MQQ69" s="2936"/>
      <c r="MQR69" s="2936"/>
      <c r="MQS69" s="2936"/>
      <c r="MQT69" s="2936"/>
      <c r="MQU69" s="2936"/>
      <c r="MQV69" s="2936"/>
      <c r="MQW69" s="2936"/>
      <c r="MQX69" s="2936"/>
      <c r="MQY69" s="2936"/>
      <c r="MQZ69" s="2936"/>
      <c r="MRA69" s="2936"/>
      <c r="MRB69" s="2936"/>
      <c r="MRC69" s="2936"/>
      <c r="MRD69" s="2936"/>
      <c r="MRE69" s="2936"/>
      <c r="MRF69" s="2936"/>
      <c r="MRG69" s="2936"/>
      <c r="MRH69" s="2936"/>
      <c r="MRI69" s="2936"/>
      <c r="MRJ69" s="2936"/>
      <c r="MRK69" s="2936"/>
      <c r="MRL69" s="2936"/>
      <c r="MRM69" s="2936"/>
      <c r="MRN69" s="2936"/>
      <c r="MRO69" s="2936"/>
      <c r="MRP69" s="2936"/>
      <c r="MRQ69" s="2936"/>
      <c r="MRR69" s="2936"/>
      <c r="MRS69" s="2936"/>
      <c r="MRT69" s="2936"/>
      <c r="MRU69" s="2936"/>
      <c r="MRV69" s="2936"/>
      <c r="MRW69" s="2936"/>
      <c r="MRX69" s="2936"/>
      <c r="MRY69" s="2936"/>
      <c r="MRZ69" s="2936"/>
      <c r="MSA69" s="2936"/>
      <c r="MSB69" s="2936"/>
      <c r="MSC69" s="2936"/>
      <c r="MSD69" s="2936"/>
      <c r="MSE69" s="2936"/>
      <c r="MSF69" s="2936"/>
      <c r="MSG69" s="2936"/>
      <c r="MSH69" s="2936"/>
      <c r="MSI69" s="2936"/>
      <c r="MSJ69" s="2936"/>
      <c r="MSK69" s="2936"/>
      <c r="MSL69" s="2936"/>
      <c r="MSM69" s="2936"/>
      <c r="MSN69" s="2936"/>
      <c r="MSO69" s="2936"/>
      <c r="MSP69" s="2936"/>
      <c r="MSQ69" s="2936"/>
      <c r="MSR69" s="2936"/>
      <c r="MSS69" s="2936"/>
      <c r="MST69" s="2936"/>
      <c r="MSU69" s="2936"/>
      <c r="MSV69" s="2936"/>
      <c r="MSW69" s="2936"/>
      <c r="MSX69" s="2936"/>
      <c r="MSY69" s="2936"/>
      <c r="MSZ69" s="2936"/>
      <c r="MTA69" s="2936"/>
      <c r="MTB69" s="2936"/>
      <c r="MTC69" s="2936"/>
      <c r="MTD69" s="2936"/>
      <c r="MTE69" s="2936"/>
      <c r="MTF69" s="2936"/>
      <c r="MTG69" s="2936"/>
      <c r="MTH69" s="2936"/>
      <c r="MTI69" s="2936"/>
      <c r="MTJ69" s="2936"/>
      <c r="MTK69" s="2936"/>
      <c r="MTL69" s="2936"/>
      <c r="MTM69" s="2936"/>
      <c r="MTN69" s="2936"/>
      <c r="MTO69" s="2936"/>
      <c r="MTP69" s="2936"/>
      <c r="MTQ69" s="2936"/>
      <c r="MTR69" s="2936"/>
      <c r="MTS69" s="2936"/>
      <c r="MTT69" s="2936"/>
      <c r="MTU69" s="2936"/>
      <c r="MTV69" s="2936"/>
      <c r="MTW69" s="2936"/>
      <c r="MTX69" s="2936"/>
      <c r="MTY69" s="2936"/>
      <c r="MTZ69" s="2936"/>
      <c r="MUA69" s="2936"/>
      <c r="MUB69" s="2936"/>
      <c r="MUC69" s="2936"/>
      <c r="MUD69" s="2936"/>
      <c r="MUE69" s="2936"/>
      <c r="MUF69" s="2936"/>
      <c r="MUG69" s="2936"/>
      <c r="MUH69" s="2936"/>
      <c r="MUI69" s="2936"/>
      <c r="MUJ69" s="2936"/>
      <c r="MUK69" s="2936"/>
      <c r="MUL69" s="2936"/>
      <c r="MUM69" s="2936"/>
      <c r="MUN69" s="2936"/>
      <c r="MUO69" s="2936"/>
      <c r="MUP69" s="2936"/>
      <c r="MUQ69" s="2936"/>
      <c r="MUR69" s="2936"/>
      <c r="MUS69" s="2936"/>
      <c r="MUT69" s="2936"/>
      <c r="MUU69" s="2936"/>
      <c r="MUV69" s="2936"/>
      <c r="MUW69" s="2936"/>
      <c r="MUX69" s="2936"/>
      <c r="MUY69" s="2936"/>
      <c r="MUZ69" s="2936"/>
      <c r="MVA69" s="2936"/>
      <c r="MVB69" s="2936"/>
      <c r="MVC69" s="2936"/>
      <c r="MVD69" s="2936"/>
      <c r="MVE69" s="2936"/>
      <c r="MVF69" s="2936"/>
      <c r="MVG69" s="2936"/>
      <c r="MVH69" s="2936"/>
      <c r="MVI69" s="2936"/>
      <c r="MVJ69" s="2936"/>
      <c r="MVK69" s="2936"/>
      <c r="MVL69" s="2936"/>
      <c r="MVM69" s="2936"/>
      <c r="MVN69" s="2936"/>
      <c r="MVO69" s="2936"/>
      <c r="MVP69" s="2936"/>
      <c r="MVQ69" s="2936"/>
      <c r="MVR69" s="2936"/>
      <c r="MVS69" s="2936"/>
      <c r="MVT69" s="2936"/>
      <c r="MVU69" s="2936"/>
      <c r="MVV69" s="2936"/>
      <c r="MVW69" s="2936"/>
      <c r="MVX69" s="2936"/>
      <c r="MVY69" s="2936"/>
      <c r="MVZ69" s="2936"/>
      <c r="MWA69" s="2936"/>
      <c r="MWB69" s="2936"/>
      <c r="MWC69" s="2936"/>
      <c r="MWD69" s="2936"/>
      <c r="MWE69" s="2936"/>
      <c r="MWF69" s="2936"/>
      <c r="MWG69" s="2936"/>
      <c r="MWH69" s="2936"/>
      <c r="MWI69" s="2936"/>
      <c r="MWJ69" s="2936"/>
      <c r="MWK69" s="2936"/>
      <c r="MWL69" s="2936"/>
      <c r="MWM69" s="2936"/>
      <c r="MWN69" s="2936"/>
      <c r="MWO69" s="2936"/>
      <c r="MWP69" s="2936"/>
      <c r="MWQ69" s="2936"/>
      <c r="MWR69" s="2936"/>
      <c r="MWS69" s="2936"/>
      <c r="MWT69" s="2936"/>
      <c r="MWU69" s="2936"/>
      <c r="MWV69" s="2936"/>
      <c r="MWW69" s="2936"/>
      <c r="MWX69" s="2936"/>
      <c r="MWY69" s="2936"/>
      <c r="MWZ69" s="2936"/>
      <c r="MXA69" s="2936"/>
      <c r="MXB69" s="2936"/>
      <c r="MXC69" s="2936"/>
      <c r="MXD69" s="2936"/>
      <c r="MXE69" s="2936"/>
      <c r="MXF69" s="2936"/>
      <c r="MXG69" s="2936"/>
      <c r="MXH69" s="2936"/>
      <c r="MXI69" s="2936"/>
      <c r="MXJ69" s="2936"/>
      <c r="MXK69" s="2936"/>
      <c r="MXL69" s="2936"/>
      <c r="MXM69" s="2936"/>
      <c r="MXN69" s="2936"/>
      <c r="MXO69" s="2936"/>
      <c r="MXP69" s="2936"/>
      <c r="MXQ69" s="2936"/>
      <c r="MXR69" s="2936"/>
      <c r="MXS69" s="2936"/>
      <c r="MXT69" s="2936"/>
      <c r="MXU69" s="2936"/>
      <c r="MXV69" s="2936"/>
      <c r="MXW69" s="2936"/>
      <c r="MXX69" s="2936"/>
      <c r="MXY69" s="2936"/>
      <c r="MXZ69" s="2936"/>
      <c r="MYA69" s="2936"/>
      <c r="MYB69" s="2936"/>
      <c r="MYC69" s="2936"/>
      <c r="MYD69" s="2936"/>
      <c r="MYE69" s="2936"/>
      <c r="MYF69" s="2936"/>
      <c r="MYG69" s="2936"/>
      <c r="MYH69" s="2936"/>
      <c r="MYI69" s="2936"/>
      <c r="MYJ69" s="2936"/>
      <c r="MYK69" s="2936"/>
      <c r="MYL69" s="2936"/>
      <c r="MYM69" s="2936"/>
      <c r="MYN69" s="2936"/>
      <c r="MYO69" s="2936"/>
      <c r="MYP69" s="2936"/>
      <c r="MYQ69" s="2936"/>
      <c r="MYR69" s="2936"/>
      <c r="MYS69" s="2936"/>
      <c r="MYT69" s="2936"/>
      <c r="MYU69" s="2936"/>
      <c r="MYV69" s="2936"/>
      <c r="MYW69" s="2936"/>
      <c r="MYX69" s="2936"/>
      <c r="MYY69" s="2936"/>
      <c r="MYZ69" s="2936"/>
      <c r="MZA69" s="2936"/>
      <c r="MZB69" s="2936"/>
      <c r="MZC69" s="2936"/>
      <c r="MZD69" s="2936"/>
      <c r="MZE69" s="2936"/>
      <c r="MZF69" s="2936"/>
      <c r="MZG69" s="2936"/>
      <c r="MZH69" s="2936"/>
      <c r="MZI69" s="2936"/>
      <c r="MZJ69" s="2936"/>
      <c r="MZK69" s="2936"/>
      <c r="MZL69" s="2936"/>
      <c r="MZM69" s="2936"/>
      <c r="MZN69" s="2936"/>
      <c r="MZO69" s="2936"/>
      <c r="MZP69" s="2936"/>
      <c r="MZQ69" s="2936"/>
      <c r="MZR69" s="2936"/>
      <c r="MZS69" s="2936"/>
      <c r="MZT69" s="2936"/>
      <c r="MZU69" s="2936"/>
      <c r="MZV69" s="2936"/>
      <c r="MZW69" s="2936"/>
      <c r="MZX69" s="2936"/>
      <c r="MZY69" s="2936"/>
      <c r="MZZ69" s="2936"/>
      <c r="NAA69" s="2936"/>
      <c r="NAB69" s="2936"/>
      <c r="NAC69" s="2936"/>
      <c r="NAD69" s="2936"/>
      <c r="NAE69" s="2936"/>
      <c r="NAF69" s="2936"/>
      <c r="NAG69" s="2936"/>
      <c r="NAH69" s="2936"/>
      <c r="NAI69" s="2936"/>
      <c r="NAJ69" s="2936"/>
      <c r="NAK69" s="2936"/>
      <c r="NAL69" s="2936"/>
      <c r="NAM69" s="2936"/>
      <c r="NAN69" s="2936"/>
      <c r="NAO69" s="2936"/>
      <c r="NAP69" s="2936"/>
      <c r="NAQ69" s="2936"/>
      <c r="NAR69" s="2936"/>
      <c r="NAS69" s="2936"/>
      <c r="NAT69" s="2936"/>
      <c r="NAU69" s="2936"/>
      <c r="NAV69" s="2936"/>
      <c r="NAW69" s="2936"/>
      <c r="NAX69" s="2936"/>
      <c r="NAY69" s="2936"/>
      <c r="NAZ69" s="2936"/>
      <c r="NBA69" s="2936"/>
      <c r="NBB69" s="2936"/>
      <c r="NBC69" s="2936"/>
      <c r="NBD69" s="2936"/>
      <c r="NBE69" s="2936"/>
      <c r="NBF69" s="2936"/>
      <c r="NBG69" s="2936"/>
      <c r="NBH69" s="2936"/>
      <c r="NBI69" s="2936"/>
      <c r="NBJ69" s="2936"/>
      <c r="NBK69" s="2936"/>
      <c r="NBL69" s="2936"/>
      <c r="NBM69" s="2936"/>
      <c r="NBN69" s="2936"/>
      <c r="NBO69" s="2936"/>
      <c r="NBP69" s="2936"/>
      <c r="NBQ69" s="2936"/>
      <c r="NBR69" s="2936"/>
      <c r="NBS69" s="2936"/>
      <c r="NBT69" s="2936"/>
      <c r="NBU69" s="2936"/>
      <c r="NBV69" s="2936"/>
      <c r="NBW69" s="2936"/>
      <c r="NBX69" s="2936"/>
      <c r="NBY69" s="2936"/>
      <c r="NBZ69" s="2936"/>
      <c r="NCA69" s="2936"/>
      <c r="NCB69" s="2936"/>
      <c r="NCC69" s="2936"/>
      <c r="NCD69" s="2936"/>
      <c r="NCE69" s="2936"/>
      <c r="NCF69" s="2936"/>
      <c r="NCG69" s="2936"/>
      <c r="NCH69" s="2936"/>
      <c r="NCI69" s="2936"/>
      <c r="NCJ69" s="2936"/>
      <c r="NCK69" s="2936"/>
      <c r="NCL69" s="2936"/>
      <c r="NCM69" s="2936"/>
      <c r="NCN69" s="2936"/>
      <c r="NCO69" s="2936"/>
      <c r="NCP69" s="2936"/>
      <c r="NCQ69" s="2936"/>
      <c r="NCR69" s="2936"/>
      <c r="NCS69" s="2936"/>
      <c r="NCT69" s="2936"/>
      <c r="NCU69" s="2936"/>
      <c r="NCV69" s="2936"/>
      <c r="NCW69" s="2936"/>
      <c r="NCX69" s="2936"/>
      <c r="NCY69" s="2936"/>
      <c r="NCZ69" s="2936"/>
      <c r="NDA69" s="2936"/>
      <c r="NDB69" s="2936"/>
      <c r="NDC69" s="2936"/>
      <c r="NDD69" s="2936"/>
      <c r="NDE69" s="2936"/>
      <c r="NDF69" s="2936"/>
      <c r="NDG69" s="2936"/>
      <c r="NDH69" s="2936"/>
      <c r="NDI69" s="2936"/>
      <c r="NDJ69" s="2936"/>
      <c r="NDK69" s="2936"/>
      <c r="NDL69" s="2936"/>
      <c r="NDM69" s="2936"/>
      <c r="NDN69" s="2936"/>
      <c r="NDO69" s="2936"/>
      <c r="NDP69" s="2936"/>
      <c r="NDQ69" s="2936"/>
      <c r="NDR69" s="2936"/>
      <c r="NDS69" s="2936"/>
      <c r="NDT69" s="2936"/>
      <c r="NDU69" s="2936"/>
      <c r="NDV69" s="2936"/>
      <c r="NDW69" s="2936"/>
      <c r="NDX69" s="2936"/>
      <c r="NDY69" s="2936"/>
      <c r="NDZ69" s="2936"/>
      <c r="NEA69" s="2936"/>
      <c r="NEB69" s="2936"/>
      <c r="NEC69" s="2936"/>
      <c r="NED69" s="2936"/>
      <c r="NEE69" s="2936"/>
      <c r="NEF69" s="2936"/>
      <c r="NEG69" s="2936"/>
      <c r="NEH69" s="2936"/>
      <c r="NEI69" s="2936"/>
      <c r="NEJ69" s="2936"/>
      <c r="NEK69" s="2936"/>
      <c r="NEL69" s="2936"/>
      <c r="NEM69" s="2936"/>
      <c r="NEN69" s="2936"/>
      <c r="NEO69" s="2936"/>
      <c r="NEP69" s="2936"/>
      <c r="NEQ69" s="2936"/>
      <c r="NER69" s="2936"/>
      <c r="NES69" s="2936"/>
      <c r="NET69" s="2936"/>
      <c r="NEU69" s="2936"/>
      <c r="NEV69" s="2936"/>
      <c r="NEW69" s="2936"/>
      <c r="NEX69" s="2936"/>
      <c r="NEY69" s="2936"/>
      <c r="NEZ69" s="2936"/>
      <c r="NFA69" s="2936"/>
      <c r="NFB69" s="2936"/>
      <c r="NFC69" s="2936"/>
      <c r="NFD69" s="2936"/>
      <c r="NFE69" s="2936"/>
      <c r="NFF69" s="2936"/>
      <c r="NFG69" s="2936"/>
      <c r="NFH69" s="2936"/>
      <c r="NFI69" s="2936"/>
      <c r="NFJ69" s="2936"/>
      <c r="NFK69" s="2936"/>
      <c r="NFL69" s="2936"/>
      <c r="NFM69" s="2936"/>
      <c r="NFN69" s="2936"/>
      <c r="NFO69" s="2936"/>
      <c r="NFP69" s="2936"/>
      <c r="NFQ69" s="2936"/>
      <c r="NFR69" s="2936"/>
      <c r="NFS69" s="2936"/>
      <c r="NFT69" s="2936"/>
      <c r="NFU69" s="2936"/>
      <c r="NFV69" s="2936"/>
      <c r="NFW69" s="2936"/>
      <c r="NFX69" s="2936"/>
      <c r="NFY69" s="2936"/>
      <c r="NFZ69" s="2936"/>
      <c r="NGA69" s="2936"/>
      <c r="NGB69" s="2936"/>
      <c r="NGC69" s="2936"/>
      <c r="NGD69" s="2936"/>
      <c r="NGE69" s="2936"/>
      <c r="NGF69" s="2936"/>
      <c r="NGG69" s="2936"/>
      <c r="NGH69" s="2936"/>
      <c r="NGI69" s="2936"/>
      <c r="NGJ69" s="2936"/>
      <c r="NGK69" s="2936"/>
      <c r="NGL69" s="2936"/>
      <c r="NGM69" s="2936"/>
      <c r="NGN69" s="2936"/>
      <c r="NGO69" s="2936"/>
      <c r="NGP69" s="2936"/>
      <c r="NGQ69" s="2936"/>
      <c r="NGR69" s="2936"/>
      <c r="NGS69" s="2936"/>
      <c r="NGT69" s="2936"/>
      <c r="NGU69" s="2936"/>
      <c r="NGV69" s="2936"/>
      <c r="NGW69" s="2936"/>
      <c r="NGX69" s="2936"/>
      <c r="NGY69" s="2936"/>
      <c r="NGZ69" s="2936"/>
      <c r="NHA69" s="2936"/>
      <c r="NHB69" s="2936"/>
      <c r="NHC69" s="2936"/>
      <c r="NHD69" s="2936"/>
      <c r="NHE69" s="2936"/>
      <c r="NHF69" s="2936"/>
      <c r="NHG69" s="2936"/>
      <c r="NHH69" s="2936"/>
      <c r="NHI69" s="2936"/>
      <c r="NHJ69" s="2936"/>
      <c r="NHK69" s="2936"/>
      <c r="NHL69" s="2936"/>
      <c r="NHM69" s="2936"/>
      <c r="NHN69" s="2936"/>
      <c r="NHO69" s="2936"/>
      <c r="NHP69" s="2936"/>
      <c r="NHQ69" s="2936"/>
      <c r="NHR69" s="2936"/>
      <c r="NHS69" s="2936"/>
      <c r="NHT69" s="2936"/>
      <c r="NHU69" s="2936"/>
      <c r="NHV69" s="2936"/>
      <c r="NHW69" s="2936"/>
      <c r="NHX69" s="2936"/>
      <c r="NHY69" s="2936"/>
      <c r="NHZ69" s="2936"/>
      <c r="NIA69" s="2936"/>
      <c r="NIB69" s="2936"/>
      <c r="NIC69" s="2936"/>
      <c r="NID69" s="2936"/>
      <c r="NIE69" s="2936"/>
      <c r="NIF69" s="2936"/>
      <c r="NIG69" s="2936"/>
      <c r="NIH69" s="2936"/>
      <c r="NII69" s="2936"/>
      <c r="NIJ69" s="2936"/>
      <c r="NIK69" s="2936"/>
      <c r="NIL69" s="2936"/>
      <c r="NIM69" s="2936"/>
      <c r="NIN69" s="2936"/>
      <c r="NIO69" s="2936"/>
      <c r="NIP69" s="2936"/>
      <c r="NIQ69" s="2936"/>
      <c r="NIR69" s="2936"/>
      <c r="NIS69" s="2936"/>
      <c r="NIT69" s="2936"/>
      <c r="NIU69" s="2936"/>
      <c r="NIV69" s="2936"/>
      <c r="NIW69" s="2936"/>
      <c r="NIX69" s="2936"/>
      <c r="NIY69" s="2936"/>
      <c r="NIZ69" s="2936"/>
      <c r="NJA69" s="2936"/>
      <c r="NJB69" s="2936"/>
      <c r="NJC69" s="2936"/>
      <c r="NJD69" s="2936"/>
      <c r="NJE69" s="2936"/>
      <c r="NJF69" s="2936"/>
      <c r="NJG69" s="2936"/>
      <c r="NJH69" s="2936"/>
      <c r="NJI69" s="2936"/>
      <c r="NJJ69" s="2936"/>
      <c r="NJK69" s="2936"/>
      <c r="NJL69" s="2936"/>
      <c r="NJM69" s="2936"/>
      <c r="NJN69" s="2936"/>
      <c r="NJO69" s="2936"/>
      <c r="NJP69" s="2936"/>
      <c r="NJQ69" s="2936"/>
      <c r="NJR69" s="2936"/>
      <c r="NJS69" s="2936"/>
      <c r="NJT69" s="2936"/>
      <c r="NJU69" s="2936"/>
      <c r="NJV69" s="2936"/>
      <c r="NJW69" s="2936"/>
      <c r="NJX69" s="2936"/>
      <c r="NJY69" s="2936"/>
      <c r="NJZ69" s="2936"/>
      <c r="NKA69" s="2936"/>
      <c r="NKB69" s="2936"/>
      <c r="NKC69" s="2936"/>
      <c r="NKD69" s="2936"/>
      <c r="NKE69" s="2936"/>
      <c r="NKF69" s="2936"/>
      <c r="NKG69" s="2936"/>
      <c r="NKH69" s="2936"/>
      <c r="NKI69" s="2936"/>
      <c r="NKJ69" s="2936"/>
      <c r="NKK69" s="2936"/>
      <c r="NKL69" s="2936"/>
      <c r="NKM69" s="2936"/>
      <c r="NKN69" s="2936"/>
      <c r="NKO69" s="2936"/>
      <c r="NKP69" s="2936"/>
      <c r="NKQ69" s="2936"/>
      <c r="NKR69" s="2936"/>
      <c r="NKS69" s="2936"/>
      <c r="NKT69" s="2936"/>
      <c r="NKU69" s="2936"/>
      <c r="NKV69" s="2936"/>
      <c r="NKW69" s="2936"/>
      <c r="NKX69" s="2936"/>
      <c r="NKY69" s="2936"/>
      <c r="NKZ69" s="2936"/>
      <c r="NLA69" s="2936"/>
      <c r="NLB69" s="2936"/>
      <c r="NLC69" s="2936"/>
      <c r="NLD69" s="2936"/>
      <c r="NLE69" s="2936"/>
      <c r="NLF69" s="2936"/>
      <c r="NLG69" s="2936"/>
      <c r="NLH69" s="2936"/>
      <c r="NLI69" s="2936"/>
      <c r="NLJ69" s="2936"/>
      <c r="NLK69" s="2936"/>
      <c r="NLL69" s="2936"/>
      <c r="NLM69" s="2936"/>
      <c r="NLN69" s="2936"/>
      <c r="NLO69" s="2936"/>
      <c r="NLP69" s="2936"/>
      <c r="NLQ69" s="2936"/>
      <c r="NLR69" s="2936"/>
      <c r="NLS69" s="2936"/>
      <c r="NLT69" s="2936"/>
      <c r="NLU69" s="2936"/>
      <c r="NLV69" s="2936"/>
      <c r="NLW69" s="2936"/>
      <c r="NLX69" s="2936"/>
      <c r="NLY69" s="2936"/>
      <c r="NLZ69" s="2936"/>
      <c r="NMA69" s="2936"/>
      <c r="NMB69" s="2936"/>
      <c r="NMC69" s="2936"/>
      <c r="NMD69" s="2936"/>
      <c r="NME69" s="2936"/>
      <c r="NMF69" s="2936"/>
      <c r="NMG69" s="2936"/>
      <c r="NMH69" s="2936"/>
      <c r="NMI69" s="2936"/>
      <c r="NMJ69" s="2936"/>
      <c r="NMK69" s="2936"/>
      <c r="NML69" s="2936"/>
      <c r="NMM69" s="2936"/>
      <c r="NMN69" s="2936"/>
      <c r="NMO69" s="2936"/>
      <c r="NMP69" s="2936"/>
      <c r="NMQ69" s="2936"/>
      <c r="NMR69" s="2936"/>
      <c r="NMS69" s="2936"/>
      <c r="NMT69" s="2936"/>
      <c r="NMU69" s="2936"/>
      <c r="NMV69" s="2936"/>
      <c r="NMW69" s="2936"/>
      <c r="NMX69" s="2936"/>
      <c r="NMY69" s="2936"/>
      <c r="NMZ69" s="2936"/>
      <c r="NNA69" s="2936"/>
      <c r="NNB69" s="2936"/>
      <c r="NNC69" s="2936"/>
      <c r="NND69" s="2936"/>
      <c r="NNE69" s="2936"/>
      <c r="NNF69" s="2936"/>
      <c r="NNG69" s="2936"/>
      <c r="NNH69" s="2936"/>
      <c r="NNI69" s="2936"/>
      <c r="NNJ69" s="2936"/>
      <c r="NNK69" s="2936"/>
      <c r="NNL69" s="2936"/>
      <c r="NNM69" s="2936"/>
      <c r="NNN69" s="2936"/>
      <c r="NNO69" s="2936"/>
      <c r="NNP69" s="2936"/>
      <c r="NNQ69" s="2936"/>
      <c r="NNR69" s="2936"/>
      <c r="NNS69" s="2936"/>
      <c r="NNT69" s="2936"/>
      <c r="NNU69" s="2936"/>
      <c r="NNV69" s="2936"/>
      <c r="NNW69" s="2936"/>
      <c r="NNX69" s="2936"/>
      <c r="NNY69" s="2936"/>
      <c r="NNZ69" s="2936"/>
      <c r="NOA69" s="2936"/>
      <c r="NOB69" s="2936"/>
      <c r="NOC69" s="2936"/>
      <c r="NOD69" s="2936"/>
      <c r="NOE69" s="2936"/>
      <c r="NOF69" s="2936"/>
      <c r="NOG69" s="2936"/>
      <c r="NOH69" s="2936"/>
      <c r="NOI69" s="2936"/>
      <c r="NOJ69" s="2936"/>
      <c r="NOK69" s="2936"/>
      <c r="NOL69" s="2936"/>
      <c r="NOM69" s="2936"/>
      <c r="NON69" s="2936"/>
      <c r="NOO69" s="2936"/>
      <c r="NOP69" s="2936"/>
      <c r="NOQ69" s="2936"/>
      <c r="NOR69" s="2936"/>
      <c r="NOS69" s="2936"/>
      <c r="NOT69" s="2936"/>
      <c r="NOU69" s="2936"/>
      <c r="NOV69" s="2936"/>
      <c r="NOW69" s="2936"/>
      <c r="NOX69" s="2936"/>
      <c r="NOY69" s="2936"/>
      <c r="NOZ69" s="2936"/>
      <c r="NPA69" s="2936"/>
      <c r="NPB69" s="2936"/>
      <c r="NPC69" s="2936"/>
      <c r="NPD69" s="2936"/>
      <c r="NPE69" s="2936"/>
      <c r="NPF69" s="2936"/>
      <c r="NPG69" s="2936"/>
      <c r="NPH69" s="2936"/>
      <c r="NPI69" s="2936"/>
      <c r="NPJ69" s="2936"/>
      <c r="NPK69" s="2936"/>
      <c r="NPL69" s="2936"/>
      <c r="NPM69" s="2936"/>
      <c r="NPN69" s="2936"/>
      <c r="NPO69" s="2936"/>
      <c r="NPP69" s="2936"/>
      <c r="NPQ69" s="2936"/>
      <c r="NPR69" s="2936"/>
      <c r="NPS69" s="2936"/>
      <c r="NPT69" s="2936"/>
      <c r="NPU69" s="2936"/>
      <c r="NPV69" s="2936"/>
      <c r="NPW69" s="2936"/>
      <c r="NPX69" s="2936"/>
      <c r="NPY69" s="2936"/>
      <c r="NPZ69" s="2936"/>
      <c r="NQA69" s="2936"/>
      <c r="NQB69" s="2936"/>
      <c r="NQC69" s="2936"/>
      <c r="NQD69" s="2936"/>
      <c r="NQE69" s="2936"/>
      <c r="NQF69" s="2936"/>
      <c r="NQG69" s="2936"/>
      <c r="NQH69" s="2936"/>
      <c r="NQI69" s="2936"/>
      <c r="NQJ69" s="2936"/>
      <c r="NQK69" s="2936"/>
      <c r="NQL69" s="2936"/>
      <c r="NQM69" s="2936"/>
      <c r="NQN69" s="2936"/>
      <c r="NQO69" s="2936"/>
      <c r="NQP69" s="2936"/>
      <c r="NQQ69" s="2936"/>
      <c r="NQR69" s="2936"/>
      <c r="NQS69" s="2936"/>
      <c r="NQT69" s="2936"/>
      <c r="NQU69" s="2936"/>
      <c r="NQV69" s="2936"/>
      <c r="NQW69" s="2936"/>
      <c r="NQX69" s="2936"/>
      <c r="NQY69" s="2936"/>
      <c r="NQZ69" s="2936"/>
      <c r="NRA69" s="2936"/>
      <c r="NRB69" s="2936"/>
      <c r="NRC69" s="2936"/>
      <c r="NRD69" s="2936"/>
      <c r="NRE69" s="2936"/>
      <c r="NRF69" s="2936"/>
      <c r="NRG69" s="2936"/>
      <c r="NRH69" s="2936"/>
      <c r="NRI69" s="2936"/>
      <c r="NRJ69" s="2936"/>
      <c r="NRK69" s="2936"/>
      <c r="NRL69" s="2936"/>
      <c r="NRM69" s="2936"/>
      <c r="NRN69" s="2936"/>
      <c r="NRO69" s="2936"/>
      <c r="NRP69" s="2936"/>
      <c r="NRQ69" s="2936"/>
      <c r="NRR69" s="2936"/>
      <c r="NRS69" s="2936"/>
      <c r="NRT69" s="2936"/>
      <c r="NRU69" s="2936"/>
      <c r="NRV69" s="2936"/>
      <c r="NRW69" s="2936"/>
      <c r="NRX69" s="2936"/>
      <c r="NRY69" s="2936"/>
      <c r="NRZ69" s="2936"/>
      <c r="NSA69" s="2936"/>
      <c r="NSB69" s="2936"/>
      <c r="NSC69" s="2936"/>
      <c r="NSD69" s="2936"/>
      <c r="NSE69" s="2936"/>
      <c r="NSF69" s="2936"/>
      <c r="NSG69" s="2936"/>
      <c r="NSH69" s="2936"/>
      <c r="NSI69" s="2936"/>
      <c r="NSJ69" s="2936"/>
      <c r="NSK69" s="2936"/>
      <c r="NSL69" s="2936"/>
      <c r="NSM69" s="2936"/>
      <c r="NSN69" s="2936"/>
      <c r="NSO69" s="2936"/>
      <c r="NSP69" s="2936"/>
      <c r="NSQ69" s="2936"/>
      <c r="NSR69" s="2936"/>
      <c r="NSS69" s="2936"/>
      <c r="NST69" s="2936"/>
      <c r="NSU69" s="2936"/>
      <c r="NSV69" s="2936"/>
      <c r="NSW69" s="2936"/>
      <c r="NSX69" s="2936"/>
      <c r="NSY69" s="2936"/>
      <c r="NSZ69" s="2936"/>
      <c r="NTA69" s="2936"/>
      <c r="NTB69" s="2936"/>
      <c r="NTC69" s="2936"/>
      <c r="NTD69" s="2936"/>
      <c r="NTE69" s="2936"/>
      <c r="NTF69" s="2936"/>
      <c r="NTG69" s="2936"/>
      <c r="NTH69" s="2936"/>
      <c r="NTI69" s="2936"/>
      <c r="NTJ69" s="2936"/>
      <c r="NTK69" s="2936"/>
      <c r="NTL69" s="2936"/>
      <c r="NTM69" s="2936"/>
      <c r="NTN69" s="2936"/>
      <c r="NTO69" s="2936"/>
      <c r="NTP69" s="2936"/>
      <c r="NTQ69" s="2936"/>
      <c r="NTR69" s="2936"/>
      <c r="NTS69" s="2936"/>
      <c r="NTT69" s="2936"/>
      <c r="NTU69" s="2936"/>
      <c r="NTV69" s="2936"/>
      <c r="NTW69" s="2936"/>
      <c r="NTX69" s="2936"/>
      <c r="NTY69" s="2936"/>
      <c r="NTZ69" s="2936"/>
      <c r="NUA69" s="2936"/>
      <c r="NUB69" s="2936"/>
      <c r="NUC69" s="2936"/>
      <c r="NUD69" s="2936"/>
      <c r="NUE69" s="2936"/>
      <c r="NUF69" s="2936"/>
      <c r="NUG69" s="2936"/>
      <c r="NUH69" s="2936"/>
      <c r="NUI69" s="2936"/>
      <c r="NUJ69" s="2936"/>
      <c r="NUK69" s="2936"/>
      <c r="NUL69" s="2936"/>
      <c r="NUM69" s="2936"/>
      <c r="NUN69" s="2936"/>
      <c r="NUO69" s="2936"/>
      <c r="NUP69" s="2936"/>
      <c r="NUQ69" s="2936"/>
      <c r="NUR69" s="2936"/>
      <c r="NUS69" s="2936"/>
      <c r="NUT69" s="2936"/>
      <c r="NUU69" s="2936"/>
      <c r="NUV69" s="2936"/>
      <c r="NUW69" s="2936"/>
      <c r="NUX69" s="2936"/>
      <c r="NUY69" s="2936"/>
      <c r="NUZ69" s="2936"/>
      <c r="NVA69" s="2936"/>
      <c r="NVB69" s="2936"/>
      <c r="NVC69" s="2936"/>
      <c r="NVD69" s="2936"/>
      <c r="NVE69" s="2936"/>
      <c r="NVF69" s="2936"/>
      <c r="NVG69" s="2936"/>
      <c r="NVH69" s="2936"/>
      <c r="NVI69" s="2936"/>
      <c r="NVJ69" s="2936"/>
      <c r="NVK69" s="2936"/>
      <c r="NVL69" s="2936"/>
      <c r="NVM69" s="2936"/>
      <c r="NVN69" s="2936"/>
      <c r="NVO69" s="2936"/>
      <c r="NVP69" s="2936"/>
      <c r="NVQ69" s="2936"/>
      <c r="NVR69" s="2936"/>
      <c r="NVS69" s="2936"/>
      <c r="NVT69" s="2936"/>
      <c r="NVU69" s="2936"/>
      <c r="NVV69" s="2936"/>
      <c r="NVW69" s="2936"/>
      <c r="NVX69" s="2936"/>
      <c r="NVY69" s="2936"/>
      <c r="NVZ69" s="2936"/>
      <c r="NWA69" s="2936"/>
      <c r="NWB69" s="2936"/>
      <c r="NWC69" s="2936"/>
      <c r="NWD69" s="2936"/>
      <c r="NWE69" s="2936"/>
      <c r="NWF69" s="2936"/>
      <c r="NWG69" s="2936"/>
      <c r="NWH69" s="2936"/>
      <c r="NWI69" s="2936"/>
      <c r="NWJ69" s="2936"/>
      <c r="NWK69" s="2936"/>
      <c r="NWL69" s="2936"/>
      <c r="NWM69" s="2936"/>
      <c r="NWN69" s="2936"/>
      <c r="NWO69" s="2936"/>
      <c r="NWP69" s="2936"/>
      <c r="NWQ69" s="2936"/>
      <c r="NWR69" s="2936"/>
      <c r="NWS69" s="2936"/>
      <c r="NWT69" s="2936"/>
      <c r="NWU69" s="2936"/>
      <c r="NWV69" s="2936"/>
      <c r="NWW69" s="2936"/>
      <c r="NWX69" s="2936"/>
      <c r="NWY69" s="2936"/>
      <c r="NWZ69" s="2936"/>
      <c r="NXA69" s="2936"/>
      <c r="NXB69" s="2936"/>
      <c r="NXC69" s="2936"/>
      <c r="NXD69" s="2936"/>
      <c r="NXE69" s="2936"/>
      <c r="NXF69" s="2936"/>
      <c r="NXG69" s="2936"/>
      <c r="NXH69" s="2936"/>
      <c r="NXI69" s="2936"/>
      <c r="NXJ69" s="2936"/>
      <c r="NXK69" s="2936"/>
      <c r="NXL69" s="2936"/>
      <c r="NXM69" s="2936"/>
      <c r="NXN69" s="2936"/>
      <c r="NXO69" s="2936"/>
      <c r="NXP69" s="2936"/>
      <c r="NXQ69" s="2936"/>
      <c r="NXR69" s="2936"/>
      <c r="NXS69" s="2936"/>
      <c r="NXT69" s="2936"/>
      <c r="NXU69" s="2936"/>
      <c r="NXV69" s="2936"/>
      <c r="NXW69" s="2936"/>
      <c r="NXX69" s="2936"/>
      <c r="NXY69" s="2936"/>
      <c r="NXZ69" s="2936"/>
      <c r="NYA69" s="2936"/>
      <c r="NYB69" s="2936"/>
      <c r="NYC69" s="2936"/>
      <c r="NYD69" s="2936"/>
      <c r="NYE69" s="2936"/>
      <c r="NYF69" s="2936"/>
      <c r="NYG69" s="2936"/>
      <c r="NYH69" s="2936"/>
      <c r="NYI69" s="2936"/>
      <c r="NYJ69" s="2936"/>
      <c r="NYK69" s="2936"/>
      <c r="NYL69" s="2936"/>
      <c r="NYM69" s="2936"/>
      <c r="NYN69" s="2936"/>
      <c r="NYO69" s="2936"/>
      <c r="NYP69" s="2936"/>
      <c r="NYQ69" s="2936"/>
      <c r="NYR69" s="2936"/>
      <c r="NYS69" s="2936"/>
      <c r="NYT69" s="2936"/>
      <c r="NYU69" s="2936"/>
      <c r="NYV69" s="2936"/>
      <c r="NYW69" s="2936"/>
      <c r="NYX69" s="2936"/>
      <c r="NYY69" s="2936"/>
      <c r="NYZ69" s="2936"/>
      <c r="NZA69" s="2936"/>
      <c r="NZB69" s="2936"/>
      <c r="NZC69" s="2936"/>
      <c r="NZD69" s="2936"/>
      <c r="NZE69" s="2936"/>
      <c r="NZF69" s="2936"/>
      <c r="NZG69" s="2936"/>
      <c r="NZH69" s="2936"/>
      <c r="NZI69" s="2936"/>
      <c r="NZJ69" s="2936"/>
      <c r="NZK69" s="2936"/>
      <c r="NZL69" s="2936"/>
      <c r="NZM69" s="2936"/>
      <c r="NZN69" s="2936"/>
      <c r="NZO69" s="2936"/>
      <c r="NZP69" s="2936"/>
      <c r="NZQ69" s="2936"/>
      <c r="NZR69" s="2936"/>
      <c r="NZS69" s="2936"/>
      <c r="NZT69" s="2936"/>
      <c r="NZU69" s="2936"/>
      <c r="NZV69" s="2936"/>
      <c r="NZW69" s="2936"/>
      <c r="NZX69" s="2936"/>
      <c r="NZY69" s="2936"/>
      <c r="NZZ69" s="2936"/>
      <c r="OAA69" s="2936"/>
      <c r="OAB69" s="2936"/>
      <c r="OAC69" s="2936"/>
      <c r="OAD69" s="2936"/>
      <c r="OAE69" s="2936"/>
      <c r="OAF69" s="2936"/>
      <c r="OAG69" s="2936"/>
      <c r="OAH69" s="2936"/>
      <c r="OAI69" s="2936"/>
      <c r="OAJ69" s="2936"/>
      <c r="OAK69" s="2936"/>
      <c r="OAL69" s="2936"/>
      <c r="OAM69" s="2936"/>
      <c r="OAN69" s="2936"/>
      <c r="OAO69" s="2936"/>
      <c r="OAP69" s="2936"/>
      <c r="OAQ69" s="2936"/>
      <c r="OAR69" s="2936"/>
      <c r="OAS69" s="2936"/>
      <c r="OAT69" s="2936"/>
      <c r="OAU69" s="2936"/>
      <c r="OAV69" s="2936"/>
      <c r="OAW69" s="2936"/>
      <c r="OAX69" s="2936"/>
      <c r="OAY69" s="2936"/>
      <c r="OAZ69" s="2936"/>
      <c r="OBA69" s="2936"/>
      <c r="OBB69" s="2936"/>
      <c r="OBC69" s="2936"/>
      <c r="OBD69" s="2936"/>
      <c r="OBE69" s="2936"/>
      <c r="OBF69" s="2936"/>
      <c r="OBG69" s="2936"/>
      <c r="OBH69" s="2936"/>
      <c r="OBI69" s="2936"/>
      <c r="OBJ69" s="2936"/>
      <c r="OBK69" s="2936"/>
      <c r="OBL69" s="2936"/>
      <c r="OBM69" s="2936"/>
      <c r="OBN69" s="2936"/>
      <c r="OBO69" s="2936"/>
      <c r="OBP69" s="2936"/>
      <c r="OBQ69" s="2936"/>
      <c r="OBR69" s="2936"/>
      <c r="OBS69" s="2936"/>
      <c r="OBT69" s="2936"/>
      <c r="OBU69" s="2936"/>
      <c r="OBV69" s="2936"/>
      <c r="OBW69" s="2936"/>
      <c r="OBX69" s="2936"/>
      <c r="OBY69" s="2936"/>
      <c r="OBZ69" s="2936"/>
      <c r="OCA69" s="2936"/>
      <c r="OCB69" s="2936"/>
      <c r="OCC69" s="2936"/>
      <c r="OCD69" s="2936"/>
      <c r="OCE69" s="2936"/>
      <c r="OCF69" s="2936"/>
      <c r="OCG69" s="2936"/>
      <c r="OCH69" s="2936"/>
      <c r="OCI69" s="2936"/>
      <c r="OCJ69" s="2936"/>
      <c r="OCK69" s="2936"/>
      <c r="OCL69" s="2936"/>
      <c r="OCM69" s="2936"/>
      <c r="OCN69" s="2936"/>
      <c r="OCO69" s="2936"/>
      <c r="OCP69" s="2936"/>
      <c r="OCQ69" s="2936"/>
      <c r="OCR69" s="2936"/>
      <c r="OCS69" s="2936"/>
      <c r="OCT69" s="2936"/>
      <c r="OCU69" s="2936"/>
      <c r="OCV69" s="2936"/>
      <c r="OCW69" s="2936"/>
      <c r="OCX69" s="2936"/>
      <c r="OCY69" s="2936"/>
      <c r="OCZ69" s="2936"/>
      <c r="ODA69" s="2936"/>
      <c r="ODB69" s="2936"/>
      <c r="ODC69" s="2936"/>
      <c r="ODD69" s="2936"/>
      <c r="ODE69" s="2936"/>
      <c r="ODF69" s="2936"/>
      <c r="ODG69" s="2936"/>
      <c r="ODH69" s="2936"/>
      <c r="ODI69" s="2936"/>
      <c r="ODJ69" s="2936"/>
      <c r="ODK69" s="2936"/>
      <c r="ODL69" s="2936"/>
      <c r="ODM69" s="2936"/>
      <c r="ODN69" s="2936"/>
      <c r="ODO69" s="2936"/>
      <c r="ODP69" s="2936"/>
      <c r="ODQ69" s="2936"/>
      <c r="ODR69" s="2936"/>
      <c r="ODS69" s="2936"/>
      <c r="ODT69" s="2936"/>
      <c r="ODU69" s="2936"/>
      <c r="ODV69" s="2936"/>
      <c r="ODW69" s="2936"/>
      <c r="ODX69" s="2936"/>
      <c r="ODY69" s="2936"/>
      <c r="ODZ69" s="2936"/>
      <c r="OEA69" s="2936"/>
      <c r="OEB69" s="2936"/>
      <c r="OEC69" s="2936"/>
      <c r="OED69" s="2936"/>
      <c r="OEE69" s="2936"/>
      <c r="OEF69" s="2936"/>
      <c r="OEG69" s="2936"/>
      <c r="OEH69" s="2936"/>
      <c r="OEI69" s="2936"/>
      <c r="OEJ69" s="2936"/>
      <c r="OEK69" s="2936"/>
      <c r="OEL69" s="2936"/>
      <c r="OEM69" s="2936"/>
      <c r="OEN69" s="2936"/>
      <c r="OEO69" s="2936"/>
      <c r="OEP69" s="2936"/>
      <c r="OEQ69" s="2936"/>
      <c r="OER69" s="2936"/>
      <c r="OES69" s="2936"/>
      <c r="OET69" s="2936"/>
      <c r="OEU69" s="2936"/>
      <c r="OEV69" s="2936"/>
      <c r="OEW69" s="2936"/>
      <c r="OEX69" s="2936"/>
      <c r="OEY69" s="2936"/>
      <c r="OEZ69" s="2936"/>
      <c r="OFA69" s="2936"/>
      <c r="OFB69" s="2936"/>
      <c r="OFC69" s="2936"/>
      <c r="OFD69" s="2936"/>
      <c r="OFE69" s="2936"/>
      <c r="OFF69" s="2936"/>
      <c r="OFG69" s="2936"/>
      <c r="OFH69" s="2936"/>
      <c r="OFI69" s="2936"/>
      <c r="OFJ69" s="2936"/>
      <c r="OFK69" s="2936"/>
      <c r="OFL69" s="2936"/>
      <c r="OFM69" s="2936"/>
      <c r="OFN69" s="2936"/>
      <c r="OFO69" s="2936"/>
      <c r="OFP69" s="2936"/>
      <c r="OFQ69" s="2936"/>
      <c r="OFR69" s="2936"/>
      <c r="OFS69" s="2936"/>
      <c r="OFT69" s="2936"/>
      <c r="OFU69" s="2936"/>
      <c r="OFV69" s="2936"/>
      <c r="OFW69" s="2936"/>
      <c r="OFX69" s="2936"/>
      <c r="OFY69" s="2936"/>
      <c r="OFZ69" s="2936"/>
      <c r="OGA69" s="2936"/>
      <c r="OGB69" s="2936"/>
      <c r="OGC69" s="2936"/>
      <c r="OGD69" s="2936"/>
      <c r="OGE69" s="2936"/>
      <c r="OGF69" s="2936"/>
      <c r="OGG69" s="2936"/>
      <c r="OGH69" s="2936"/>
      <c r="OGI69" s="2936"/>
      <c r="OGJ69" s="2936"/>
      <c r="OGK69" s="2936"/>
      <c r="OGL69" s="2936"/>
      <c r="OGM69" s="2936"/>
      <c r="OGN69" s="2936"/>
      <c r="OGO69" s="2936"/>
      <c r="OGP69" s="2936"/>
      <c r="OGQ69" s="2936"/>
      <c r="OGR69" s="2936"/>
      <c r="OGS69" s="2936"/>
      <c r="OGT69" s="2936"/>
      <c r="OGU69" s="2936"/>
      <c r="OGV69" s="2936"/>
      <c r="OGW69" s="2936"/>
      <c r="OGX69" s="2936"/>
      <c r="OGY69" s="2936"/>
      <c r="OGZ69" s="2936"/>
      <c r="OHA69" s="2936"/>
      <c r="OHB69" s="2936"/>
      <c r="OHC69" s="2936"/>
      <c r="OHD69" s="2936"/>
      <c r="OHE69" s="2936"/>
      <c r="OHF69" s="2936"/>
      <c r="OHG69" s="2936"/>
      <c r="OHH69" s="2936"/>
      <c r="OHI69" s="2936"/>
      <c r="OHJ69" s="2936"/>
      <c r="OHK69" s="2936"/>
      <c r="OHL69" s="2936"/>
      <c r="OHM69" s="2936"/>
      <c r="OHN69" s="2936"/>
      <c r="OHO69" s="2936"/>
      <c r="OHP69" s="2936"/>
      <c r="OHQ69" s="2936"/>
      <c r="OHR69" s="2936"/>
      <c r="OHS69" s="2936"/>
      <c r="OHT69" s="2936"/>
      <c r="OHU69" s="2936"/>
      <c r="OHV69" s="2936"/>
      <c r="OHW69" s="2936"/>
      <c r="OHX69" s="2936"/>
      <c r="OHY69" s="2936"/>
      <c r="OHZ69" s="2936"/>
      <c r="OIA69" s="2936"/>
      <c r="OIB69" s="2936"/>
      <c r="OIC69" s="2936"/>
      <c r="OID69" s="2936"/>
      <c r="OIE69" s="2936"/>
      <c r="OIF69" s="2936"/>
      <c r="OIG69" s="2936"/>
      <c r="OIH69" s="2936"/>
      <c r="OII69" s="2936"/>
      <c r="OIJ69" s="2936"/>
      <c r="OIK69" s="2936"/>
      <c r="OIL69" s="2936"/>
      <c r="OIM69" s="2936"/>
      <c r="OIN69" s="2936"/>
      <c r="OIO69" s="2936"/>
      <c r="OIP69" s="2936"/>
      <c r="OIQ69" s="2936"/>
      <c r="OIR69" s="2936"/>
      <c r="OIS69" s="2936"/>
      <c r="OIT69" s="2936"/>
      <c r="OIU69" s="2936"/>
      <c r="OIV69" s="2936"/>
      <c r="OIW69" s="2936"/>
      <c r="OIX69" s="2936"/>
      <c r="OIY69" s="2936"/>
      <c r="OIZ69" s="2936"/>
      <c r="OJA69" s="2936"/>
      <c r="OJB69" s="2936"/>
      <c r="OJC69" s="2936"/>
      <c r="OJD69" s="2936"/>
      <c r="OJE69" s="2936"/>
      <c r="OJF69" s="2936"/>
      <c r="OJG69" s="2936"/>
      <c r="OJH69" s="2936"/>
      <c r="OJI69" s="2936"/>
      <c r="OJJ69" s="2936"/>
      <c r="OJK69" s="2936"/>
      <c r="OJL69" s="2936"/>
      <c r="OJM69" s="2936"/>
      <c r="OJN69" s="2936"/>
      <c r="OJO69" s="2936"/>
      <c r="OJP69" s="2936"/>
      <c r="OJQ69" s="2936"/>
      <c r="OJR69" s="2936"/>
      <c r="OJS69" s="2936"/>
      <c r="OJT69" s="2936"/>
      <c r="OJU69" s="2936"/>
      <c r="OJV69" s="2936"/>
      <c r="OJW69" s="2936"/>
      <c r="OJX69" s="2936"/>
      <c r="OJY69" s="2936"/>
      <c r="OJZ69" s="2936"/>
      <c r="OKA69" s="2936"/>
      <c r="OKB69" s="2936"/>
      <c r="OKC69" s="2936"/>
      <c r="OKD69" s="2936"/>
      <c r="OKE69" s="2936"/>
      <c r="OKF69" s="2936"/>
      <c r="OKG69" s="2936"/>
      <c r="OKH69" s="2936"/>
      <c r="OKI69" s="2936"/>
      <c r="OKJ69" s="2936"/>
      <c r="OKK69" s="2936"/>
      <c r="OKL69" s="2936"/>
      <c r="OKM69" s="2936"/>
      <c r="OKN69" s="2936"/>
      <c r="OKO69" s="2936"/>
      <c r="OKP69" s="2936"/>
      <c r="OKQ69" s="2936"/>
      <c r="OKR69" s="2936"/>
      <c r="OKS69" s="2936"/>
      <c r="OKT69" s="2936"/>
      <c r="OKU69" s="2936"/>
      <c r="OKV69" s="2936"/>
      <c r="OKW69" s="2936"/>
      <c r="OKX69" s="2936"/>
      <c r="OKY69" s="2936"/>
      <c r="OKZ69" s="2936"/>
      <c r="OLA69" s="2936"/>
      <c r="OLB69" s="2936"/>
      <c r="OLC69" s="2936"/>
      <c r="OLD69" s="2936"/>
      <c r="OLE69" s="2936"/>
      <c r="OLF69" s="2936"/>
      <c r="OLG69" s="2936"/>
      <c r="OLH69" s="2936"/>
      <c r="OLI69" s="2936"/>
      <c r="OLJ69" s="2936"/>
      <c r="OLK69" s="2936"/>
      <c r="OLL69" s="2936"/>
      <c r="OLM69" s="2936"/>
      <c r="OLN69" s="2936"/>
      <c r="OLO69" s="2936"/>
      <c r="OLP69" s="2936"/>
      <c r="OLQ69" s="2936"/>
      <c r="OLR69" s="2936"/>
      <c r="OLS69" s="2936"/>
      <c r="OLT69" s="2936"/>
      <c r="OLU69" s="2936"/>
      <c r="OLV69" s="2936"/>
      <c r="OLW69" s="2936"/>
      <c r="OLX69" s="2936"/>
      <c r="OLY69" s="2936"/>
      <c r="OLZ69" s="2936"/>
      <c r="OMA69" s="2936"/>
      <c r="OMB69" s="2936"/>
      <c r="OMC69" s="2936"/>
      <c r="OMD69" s="2936"/>
      <c r="OME69" s="2936"/>
      <c r="OMF69" s="2936"/>
      <c r="OMG69" s="2936"/>
      <c r="OMH69" s="2936"/>
      <c r="OMI69" s="2936"/>
      <c r="OMJ69" s="2936"/>
      <c r="OMK69" s="2936"/>
      <c r="OML69" s="2936"/>
      <c r="OMM69" s="2936"/>
      <c r="OMN69" s="2936"/>
      <c r="OMO69" s="2936"/>
      <c r="OMP69" s="2936"/>
      <c r="OMQ69" s="2936"/>
      <c r="OMR69" s="2936"/>
      <c r="OMS69" s="2936"/>
      <c r="OMT69" s="2936"/>
      <c r="OMU69" s="2936"/>
      <c r="OMV69" s="2936"/>
      <c r="OMW69" s="2936"/>
      <c r="OMX69" s="2936"/>
      <c r="OMY69" s="2936"/>
      <c r="OMZ69" s="2936"/>
      <c r="ONA69" s="2936"/>
      <c r="ONB69" s="2936"/>
      <c r="ONC69" s="2936"/>
      <c r="OND69" s="2936"/>
      <c r="ONE69" s="2936"/>
      <c r="ONF69" s="2936"/>
      <c r="ONG69" s="2936"/>
      <c r="ONH69" s="2936"/>
      <c r="ONI69" s="2936"/>
      <c r="ONJ69" s="2936"/>
      <c r="ONK69" s="2936"/>
      <c r="ONL69" s="2936"/>
      <c r="ONM69" s="2936"/>
      <c r="ONN69" s="2936"/>
      <c r="ONO69" s="2936"/>
      <c r="ONP69" s="2936"/>
      <c r="ONQ69" s="2936"/>
      <c r="ONR69" s="2936"/>
      <c r="ONS69" s="2936"/>
      <c r="ONT69" s="2936"/>
      <c r="ONU69" s="2936"/>
      <c r="ONV69" s="2936"/>
      <c r="ONW69" s="2936"/>
      <c r="ONX69" s="2936"/>
      <c r="ONY69" s="2936"/>
      <c r="ONZ69" s="2936"/>
      <c r="OOA69" s="2936"/>
      <c r="OOB69" s="2936"/>
      <c r="OOC69" s="2936"/>
      <c r="OOD69" s="2936"/>
      <c r="OOE69" s="2936"/>
      <c r="OOF69" s="2936"/>
      <c r="OOG69" s="2936"/>
      <c r="OOH69" s="2936"/>
      <c r="OOI69" s="2936"/>
      <c r="OOJ69" s="2936"/>
      <c r="OOK69" s="2936"/>
      <c r="OOL69" s="2936"/>
      <c r="OOM69" s="2936"/>
      <c r="OON69" s="2936"/>
      <c r="OOO69" s="2936"/>
      <c r="OOP69" s="2936"/>
      <c r="OOQ69" s="2936"/>
      <c r="OOR69" s="2936"/>
      <c r="OOS69" s="2936"/>
      <c r="OOT69" s="2936"/>
      <c r="OOU69" s="2936"/>
      <c r="OOV69" s="2936"/>
      <c r="OOW69" s="2936"/>
      <c r="OOX69" s="2936"/>
      <c r="OOY69" s="2936"/>
      <c r="OOZ69" s="2936"/>
      <c r="OPA69" s="2936"/>
      <c r="OPB69" s="2936"/>
      <c r="OPC69" s="2936"/>
      <c r="OPD69" s="2936"/>
      <c r="OPE69" s="2936"/>
      <c r="OPF69" s="2936"/>
      <c r="OPG69" s="2936"/>
      <c r="OPH69" s="2936"/>
      <c r="OPI69" s="2936"/>
      <c r="OPJ69" s="2936"/>
      <c r="OPK69" s="2936"/>
      <c r="OPL69" s="2936"/>
      <c r="OPM69" s="2936"/>
      <c r="OPN69" s="2936"/>
      <c r="OPO69" s="2936"/>
      <c r="OPP69" s="2936"/>
      <c r="OPQ69" s="2936"/>
      <c r="OPR69" s="2936"/>
      <c r="OPS69" s="2936"/>
      <c r="OPT69" s="2936"/>
      <c r="OPU69" s="2936"/>
      <c r="OPV69" s="2936"/>
      <c r="OPW69" s="2936"/>
      <c r="OPX69" s="2936"/>
      <c r="OPY69" s="2936"/>
      <c r="OPZ69" s="2936"/>
      <c r="OQA69" s="2936"/>
      <c r="OQB69" s="2936"/>
      <c r="OQC69" s="2936"/>
      <c r="OQD69" s="2936"/>
      <c r="OQE69" s="2936"/>
      <c r="OQF69" s="2936"/>
      <c r="OQG69" s="2936"/>
      <c r="OQH69" s="2936"/>
      <c r="OQI69" s="2936"/>
      <c r="OQJ69" s="2936"/>
      <c r="OQK69" s="2936"/>
      <c r="OQL69" s="2936"/>
      <c r="OQM69" s="2936"/>
      <c r="OQN69" s="2936"/>
      <c r="OQO69" s="2936"/>
      <c r="OQP69" s="2936"/>
      <c r="OQQ69" s="2936"/>
      <c r="OQR69" s="2936"/>
      <c r="OQS69" s="2936"/>
      <c r="OQT69" s="2936"/>
      <c r="OQU69" s="2936"/>
      <c r="OQV69" s="2936"/>
      <c r="OQW69" s="2936"/>
      <c r="OQX69" s="2936"/>
      <c r="OQY69" s="2936"/>
      <c r="OQZ69" s="2936"/>
      <c r="ORA69" s="2936"/>
      <c r="ORB69" s="2936"/>
      <c r="ORC69" s="2936"/>
      <c r="ORD69" s="2936"/>
      <c r="ORE69" s="2936"/>
      <c r="ORF69" s="2936"/>
      <c r="ORG69" s="2936"/>
      <c r="ORH69" s="2936"/>
      <c r="ORI69" s="2936"/>
      <c r="ORJ69" s="2936"/>
      <c r="ORK69" s="2936"/>
      <c r="ORL69" s="2936"/>
      <c r="ORM69" s="2936"/>
      <c r="ORN69" s="2936"/>
      <c r="ORO69" s="2936"/>
      <c r="ORP69" s="2936"/>
      <c r="ORQ69" s="2936"/>
      <c r="ORR69" s="2936"/>
      <c r="ORS69" s="2936"/>
      <c r="ORT69" s="2936"/>
      <c r="ORU69" s="2936"/>
      <c r="ORV69" s="2936"/>
      <c r="ORW69" s="2936"/>
      <c r="ORX69" s="2936"/>
      <c r="ORY69" s="2936"/>
      <c r="ORZ69" s="2936"/>
      <c r="OSA69" s="2936"/>
      <c r="OSB69" s="2936"/>
      <c r="OSC69" s="2936"/>
      <c r="OSD69" s="2936"/>
      <c r="OSE69" s="2936"/>
      <c r="OSF69" s="2936"/>
      <c r="OSG69" s="2936"/>
      <c r="OSH69" s="2936"/>
      <c r="OSI69" s="2936"/>
      <c r="OSJ69" s="2936"/>
      <c r="OSK69" s="2936"/>
      <c r="OSL69" s="2936"/>
      <c r="OSM69" s="2936"/>
      <c r="OSN69" s="2936"/>
      <c r="OSO69" s="2936"/>
      <c r="OSP69" s="2936"/>
      <c r="OSQ69" s="2936"/>
      <c r="OSR69" s="2936"/>
      <c r="OSS69" s="2936"/>
      <c r="OST69" s="2936"/>
      <c r="OSU69" s="2936"/>
      <c r="OSV69" s="2936"/>
      <c r="OSW69" s="2936"/>
      <c r="OSX69" s="2936"/>
      <c r="OSY69" s="2936"/>
      <c r="OSZ69" s="2936"/>
      <c r="OTA69" s="2936"/>
      <c r="OTB69" s="2936"/>
      <c r="OTC69" s="2936"/>
      <c r="OTD69" s="2936"/>
      <c r="OTE69" s="2936"/>
      <c r="OTF69" s="2936"/>
      <c r="OTG69" s="2936"/>
      <c r="OTH69" s="2936"/>
      <c r="OTI69" s="2936"/>
      <c r="OTJ69" s="2936"/>
      <c r="OTK69" s="2936"/>
      <c r="OTL69" s="2936"/>
      <c r="OTM69" s="2936"/>
      <c r="OTN69" s="2936"/>
      <c r="OTO69" s="2936"/>
      <c r="OTP69" s="2936"/>
      <c r="OTQ69" s="2936"/>
      <c r="OTR69" s="2936"/>
      <c r="OTS69" s="2936"/>
      <c r="OTT69" s="2936"/>
      <c r="OTU69" s="2936"/>
      <c r="OTV69" s="2936"/>
      <c r="OTW69" s="2936"/>
      <c r="OTX69" s="2936"/>
      <c r="OTY69" s="2936"/>
      <c r="OTZ69" s="2936"/>
      <c r="OUA69" s="2936"/>
      <c r="OUB69" s="2936"/>
      <c r="OUC69" s="2936"/>
      <c r="OUD69" s="2936"/>
      <c r="OUE69" s="2936"/>
      <c r="OUF69" s="2936"/>
      <c r="OUG69" s="2936"/>
      <c r="OUH69" s="2936"/>
      <c r="OUI69" s="2936"/>
      <c r="OUJ69" s="2936"/>
      <c r="OUK69" s="2936"/>
      <c r="OUL69" s="2936"/>
      <c r="OUM69" s="2936"/>
      <c r="OUN69" s="2936"/>
      <c r="OUO69" s="2936"/>
      <c r="OUP69" s="2936"/>
      <c r="OUQ69" s="2936"/>
      <c r="OUR69" s="2936"/>
      <c r="OUS69" s="2936"/>
      <c r="OUT69" s="2936"/>
      <c r="OUU69" s="2936"/>
      <c r="OUV69" s="2936"/>
      <c r="OUW69" s="2936"/>
      <c r="OUX69" s="2936"/>
      <c r="OUY69" s="2936"/>
      <c r="OUZ69" s="2936"/>
      <c r="OVA69" s="2936"/>
      <c r="OVB69" s="2936"/>
      <c r="OVC69" s="2936"/>
      <c r="OVD69" s="2936"/>
      <c r="OVE69" s="2936"/>
      <c r="OVF69" s="2936"/>
      <c r="OVG69" s="2936"/>
      <c r="OVH69" s="2936"/>
      <c r="OVI69" s="2936"/>
      <c r="OVJ69" s="2936"/>
      <c r="OVK69" s="2936"/>
      <c r="OVL69" s="2936"/>
      <c r="OVM69" s="2936"/>
      <c r="OVN69" s="2936"/>
      <c r="OVO69" s="2936"/>
      <c r="OVP69" s="2936"/>
      <c r="OVQ69" s="2936"/>
      <c r="OVR69" s="2936"/>
      <c r="OVS69" s="2936"/>
      <c r="OVT69" s="2936"/>
      <c r="OVU69" s="2936"/>
      <c r="OVV69" s="2936"/>
      <c r="OVW69" s="2936"/>
      <c r="OVX69" s="2936"/>
      <c r="OVY69" s="2936"/>
      <c r="OVZ69" s="2936"/>
      <c r="OWA69" s="2936"/>
      <c r="OWB69" s="2936"/>
      <c r="OWC69" s="2936"/>
      <c r="OWD69" s="2936"/>
      <c r="OWE69" s="2936"/>
      <c r="OWF69" s="2936"/>
      <c r="OWG69" s="2936"/>
      <c r="OWH69" s="2936"/>
      <c r="OWI69" s="2936"/>
      <c r="OWJ69" s="2936"/>
      <c r="OWK69" s="2936"/>
      <c r="OWL69" s="2936"/>
      <c r="OWM69" s="2936"/>
      <c r="OWN69" s="2936"/>
      <c r="OWO69" s="2936"/>
      <c r="OWP69" s="2936"/>
      <c r="OWQ69" s="2936"/>
      <c r="OWR69" s="2936"/>
      <c r="OWS69" s="2936"/>
      <c r="OWT69" s="2936"/>
      <c r="OWU69" s="2936"/>
      <c r="OWV69" s="2936"/>
      <c r="OWW69" s="2936"/>
      <c r="OWX69" s="2936"/>
      <c r="OWY69" s="2936"/>
      <c r="OWZ69" s="2936"/>
      <c r="OXA69" s="2936"/>
      <c r="OXB69" s="2936"/>
      <c r="OXC69" s="2936"/>
      <c r="OXD69" s="2936"/>
      <c r="OXE69" s="2936"/>
      <c r="OXF69" s="2936"/>
      <c r="OXG69" s="2936"/>
      <c r="OXH69" s="2936"/>
      <c r="OXI69" s="2936"/>
      <c r="OXJ69" s="2936"/>
      <c r="OXK69" s="2936"/>
      <c r="OXL69" s="2936"/>
      <c r="OXM69" s="2936"/>
      <c r="OXN69" s="2936"/>
      <c r="OXO69" s="2936"/>
      <c r="OXP69" s="2936"/>
      <c r="OXQ69" s="2936"/>
      <c r="OXR69" s="2936"/>
      <c r="OXS69" s="2936"/>
      <c r="OXT69" s="2936"/>
      <c r="OXU69" s="2936"/>
      <c r="OXV69" s="2936"/>
      <c r="OXW69" s="2936"/>
      <c r="OXX69" s="2936"/>
      <c r="OXY69" s="2936"/>
      <c r="OXZ69" s="2936"/>
      <c r="OYA69" s="2936"/>
      <c r="OYB69" s="2936"/>
      <c r="OYC69" s="2936"/>
      <c r="OYD69" s="2936"/>
      <c r="OYE69" s="2936"/>
      <c r="OYF69" s="2936"/>
      <c r="OYG69" s="2936"/>
      <c r="OYH69" s="2936"/>
      <c r="OYI69" s="2936"/>
      <c r="OYJ69" s="2936"/>
      <c r="OYK69" s="2936"/>
      <c r="OYL69" s="2936"/>
      <c r="OYM69" s="2936"/>
      <c r="OYN69" s="2936"/>
      <c r="OYO69" s="2936"/>
      <c r="OYP69" s="2936"/>
      <c r="OYQ69" s="2936"/>
      <c r="OYR69" s="2936"/>
      <c r="OYS69" s="2936"/>
      <c r="OYT69" s="2936"/>
      <c r="OYU69" s="2936"/>
      <c r="OYV69" s="2936"/>
      <c r="OYW69" s="2936"/>
      <c r="OYX69" s="2936"/>
      <c r="OYY69" s="2936"/>
      <c r="OYZ69" s="2936"/>
      <c r="OZA69" s="2936"/>
      <c r="OZB69" s="2936"/>
      <c r="OZC69" s="2936"/>
      <c r="OZD69" s="2936"/>
      <c r="OZE69" s="2936"/>
      <c r="OZF69" s="2936"/>
      <c r="OZG69" s="2936"/>
      <c r="OZH69" s="2936"/>
      <c r="OZI69" s="2936"/>
      <c r="OZJ69" s="2936"/>
      <c r="OZK69" s="2936"/>
      <c r="OZL69" s="2936"/>
      <c r="OZM69" s="2936"/>
      <c r="OZN69" s="2936"/>
      <c r="OZO69" s="2936"/>
      <c r="OZP69" s="2936"/>
      <c r="OZQ69" s="2936"/>
      <c r="OZR69" s="2936"/>
      <c r="OZS69" s="2936"/>
      <c r="OZT69" s="2936"/>
      <c r="OZU69" s="2936"/>
      <c r="OZV69" s="2936"/>
      <c r="OZW69" s="2936"/>
      <c r="OZX69" s="2936"/>
      <c r="OZY69" s="2936"/>
      <c r="OZZ69" s="2936"/>
      <c r="PAA69" s="2936"/>
      <c r="PAB69" s="2936"/>
      <c r="PAC69" s="2936"/>
      <c r="PAD69" s="2936"/>
      <c r="PAE69" s="2936"/>
      <c r="PAF69" s="2936"/>
      <c r="PAG69" s="2936"/>
      <c r="PAH69" s="2936"/>
      <c r="PAI69" s="2936"/>
      <c r="PAJ69" s="2936"/>
      <c r="PAK69" s="2936"/>
      <c r="PAL69" s="2936"/>
      <c r="PAM69" s="2936"/>
      <c r="PAN69" s="2936"/>
      <c r="PAO69" s="2936"/>
      <c r="PAP69" s="2936"/>
      <c r="PAQ69" s="2936"/>
      <c r="PAR69" s="2936"/>
      <c r="PAS69" s="2936"/>
      <c r="PAT69" s="2936"/>
      <c r="PAU69" s="2936"/>
      <c r="PAV69" s="2936"/>
      <c r="PAW69" s="2936"/>
      <c r="PAX69" s="2936"/>
      <c r="PAY69" s="2936"/>
      <c r="PAZ69" s="2936"/>
      <c r="PBA69" s="2936"/>
      <c r="PBB69" s="2936"/>
      <c r="PBC69" s="2936"/>
      <c r="PBD69" s="2936"/>
      <c r="PBE69" s="2936"/>
      <c r="PBF69" s="2936"/>
      <c r="PBG69" s="2936"/>
      <c r="PBH69" s="2936"/>
      <c r="PBI69" s="2936"/>
      <c r="PBJ69" s="2936"/>
      <c r="PBK69" s="2936"/>
      <c r="PBL69" s="2936"/>
      <c r="PBM69" s="2936"/>
      <c r="PBN69" s="2936"/>
      <c r="PBO69" s="2936"/>
      <c r="PBP69" s="2936"/>
      <c r="PBQ69" s="2936"/>
      <c r="PBR69" s="2936"/>
      <c r="PBS69" s="2936"/>
      <c r="PBT69" s="2936"/>
      <c r="PBU69" s="2936"/>
      <c r="PBV69" s="2936"/>
      <c r="PBW69" s="2936"/>
      <c r="PBX69" s="2936"/>
      <c r="PBY69" s="2936"/>
      <c r="PBZ69" s="2936"/>
      <c r="PCA69" s="2936"/>
      <c r="PCB69" s="2936"/>
      <c r="PCC69" s="2936"/>
      <c r="PCD69" s="2936"/>
      <c r="PCE69" s="2936"/>
      <c r="PCF69" s="2936"/>
      <c r="PCG69" s="2936"/>
      <c r="PCH69" s="2936"/>
      <c r="PCI69" s="2936"/>
      <c r="PCJ69" s="2936"/>
      <c r="PCK69" s="2936"/>
      <c r="PCL69" s="2936"/>
      <c r="PCM69" s="2936"/>
      <c r="PCN69" s="2936"/>
      <c r="PCO69" s="2936"/>
      <c r="PCP69" s="2936"/>
      <c r="PCQ69" s="2936"/>
      <c r="PCR69" s="2936"/>
      <c r="PCS69" s="2936"/>
      <c r="PCT69" s="2936"/>
      <c r="PCU69" s="2936"/>
      <c r="PCV69" s="2936"/>
      <c r="PCW69" s="2936"/>
      <c r="PCX69" s="2936"/>
      <c r="PCY69" s="2936"/>
      <c r="PCZ69" s="2936"/>
      <c r="PDA69" s="2936"/>
      <c r="PDB69" s="2936"/>
      <c r="PDC69" s="2936"/>
      <c r="PDD69" s="2936"/>
      <c r="PDE69" s="2936"/>
      <c r="PDF69" s="2936"/>
      <c r="PDG69" s="2936"/>
      <c r="PDH69" s="2936"/>
      <c r="PDI69" s="2936"/>
      <c r="PDJ69" s="2936"/>
      <c r="PDK69" s="2936"/>
      <c r="PDL69" s="2936"/>
      <c r="PDM69" s="2936"/>
      <c r="PDN69" s="2936"/>
      <c r="PDO69" s="2936"/>
      <c r="PDP69" s="2936"/>
      <c r="PDQ69" s="2936"/>
      <c r="PDR69" s="2936"/>
      <c r="PDS69" s="2936"/>
      <c r="PDT69" s="2936"/>
      <c r="PDU69" s="2936"/>
      <c r="PDV69" s="2936"/>
      <c r="PDW69" s="2936"/>
      <c r="PDX69" s="2936"/>
      <c r="PDY69" s="2936"/>
      <c r="PDZ69" s="2936"/>
      <c r="PEA69" s="2936"/>
      <c r="PEB69" s="2936"/>
      <c r="PEC69" s="2936"/>
      <c r="PED69" s="2936"/>
      <c r="PEE69" s="2936"/>
      <c r="PEF69" s="2936"/>
      <c r="PEG69" s="2936"/>
      <c r="PEH69" s="2936"/>
      <c r="PEI69" s="2936"/>
      <c r="PEJ69" s="2936"/>
      <c r="PEK69" s="2936"/>
      <c r="PEL69" s="2936"/>
      <c r="PEM69" s="2936"/>
      <c r="PEN69" s="2936"/>
      <c r="PEO69" s="2936"/>
      <c r="PEP69" s="2936"/>
      <c r="PEQ69" s="2936"/>
      <c r="PER69" s="2936"/>
      <c r="PES69" s="2936"/>
      <c r="PET69" s="2936"/>
      <c r="PEU69" s="2936"/>
      <c r="PEV69" s="2936"/>
      <c r="PEW69" s="2936"/>
      <c r="PEX69" s="2936"/>
      <c r="PEY69" s="2936"/>
      <c r="PEZ69" s="2936"/>
      <c r="PFA69" s="2936"/>
      <c r="PFB69" s="2936"/>
      <c r="PFC69" s="2936"/>
      <c r="PFD69" s="2936"/>
      <c r="PFE69" s="2936"/>
      <c r="PFF69" s="2936"/>
      <c r="PFG69" s="2936"/>
      <c r="PFH69" s="2936"/>
      <c r="PFI69" s="2936"/>
      <c r="PFJ69" s="2936"/>
      <c r="PFK69" s="2936"/>
      <c r="PFL69" s="2936"/>
      <c r="PFM69" s="2936"/>
      <c r="PFN69" s="2936"/>
      <c r="PFO69" s="2936"/>
      <c r="PFP69" s="2936"/>
      <c r="PFQ69" s="2936"/>
      <c r="PFR69" s="2936"/>
      <c r="PFS69" s="2936"/>
      <c r="PFT69" s="2936"/>
      <c r="PFU69" s="2936"/>
      <c r="PFV69" s="2936"/>
      <c r="PFW69" s="2936"/>
      <c r="PFX69" s="2936"/>
      <c r="PFY69" s="2936"/>
      <c r="PFZ69" s="2936"/>
      <c r="PGA69" s="2936"/>
      <c r="PGB69" s="2936"/>
      <c r="PGC69" s="2936"/>
      <c r="PGD69" s="2936"/>
      <c r="PGE69" s="2936"/>
      <c r="PGF69" s="2936"/>
      <c r="PGG69" s="2936"/>
      <c r="PGH69" s="2936"/>
      <c r="PGI69" s="2936"/>
      <c r="PGJ69" s="2936"/>
      <c r="PGK69" s="2936"/>
      <c r="PGL69" s="2936"/>
      <c r="PGM69" s="2936"/>
      <c r="PGN69" s="2936"/>
      <c r="PGO69" s="2936"/>
      <c r="PGP69" s="2936"/>
      <c r="PGQ69" s="2936"/>
      <c r="PGR69" s="2936"/>
      <c r="PGS69" s="2936"/>
      <c r="PGT69" s="2936"/>
      <c r="PGU69" s="2936"/>
      <c r="PGV69" s="2936"/>
      <c r="PGW69" s="2936"/>
      <c r="PGX69" s="2936"/>
      <c r="PGY69" s="2936"/>
      <c r="PGZ69" s="2936"/>
      <c r="PHA69" s="2936"/>
      <c r="PHB69" s="2936"/>
      <c r="PHC69" s="2936"/>
      <c r="PHD69" s="2936"/>
      <c r="PHE69" s="2936"/>
      <c r="PHF69" s="2936"/>
      <c r="PHG69" s="2936"/>
      <c r="PHH69" s="2936"/>
      <c r="PHI69" s="2936"/>
      <c r="PHJ69" s="2936"/>
      <c r="PHK69" s="2936"/>
      <c r="PHL69" s="2936"/>
      <c r="PHM69" s="2936"/>
      <c r="PHN69" s="2936"/>
      <c r="PHO69" s="2936"/>
      <c r="PHP69" s="2936"/>
      <c r="PHQ69" s="2936"/>
      <c r="PHR69" s="2936"/>
      <c r="PHS69" s="2936"/>
      <c r="PHT69" s="2936"/>
      <c r="PHU69" s="2936"/>
      <c r="PHV69" s="2936"/>
      <c r="PHW69" s="2936"/>
      <c r="PHX69" s="2936"/>
      <c r="PHY69" s="2936"/>
      <c r="PHZ69" s="2936"/>
      <c r="PIA69" s="2936"/>
      <c r="PIB69" s="2936"/>
      <c r="PIC69" s="2936"/>
      <c r="PID69" s="2936"/>
      <c r="PIE69" s="2936"/>
      <c r="PIF69" s="2936"/>
      <c r="PIG69" s="2936"/>
      <c r="PIH69" s="2936"/>
      <c r="PII69" s="2936"/>
      <c r="PIJ69" s="2936"/>
      <c r="PIK69" s="2936"/>
      <c r="PIL69" s="2936"/>
      <c r="PIM69" s="2936"/>
      <c r="PIN69" s="2936"/>
      <c r="PIO69" s="2936"/>
      <c r="PIP69" s="2936"/>
      <c r="PIQ69" s="2936"/>
      <c r="PIR69" s="2936"/>
      <c r="PIS69" s="2936"/>
      <c r="PIT69" s="2936"/>
      <c r="PIU69" s="2936"/>
      <c r="PIV69" s="2936"/>
      <c r="PIW69" s="2936"/>
      <c r="PIX69" s="2936"/>
      <c r="PIY69" s="2936"/>
      <c r="PIZ69" s="2936"/>
      <c r="PJA69" s="2936"/>
      <c r="PJB69" s="2936"/>
      <c r="PJC69" s="2936"/>
      <c r="PJD69" s="2936"/>
      <c r="PJE69" s="2936"/>
      <c r="PJF69" s="2936"/>
      <c r="PJG69" s="2936"/>
      <c r="PJH69" s="2936"/>
      <c r="PJI69" s="2936"/>
      <c r="PJJ69" s="2936"/>
      <c r="PJK69" s="2936"/>
      <c r="PJL69" s="2936"/>
      <c r="PJM69" s="2936"/>
      <c r="PJN69" s="2936"/>
      <c r="PJO69" s="2936"/>
      <c r="PJP69" s="2936"/>
      <c r="PJQ69" s="2936"/>
      <c r="PJR69" s="2936"/>
      <c r="PJS69" s="2936"/>
      <c r="PJT69" s="2936"/>
      <c r="PJU69" s="2936"/>
      <c r="PJV69" s="2936"/>
      <c r="PJW69" s="2936"/>
      <c r="PJX69" s="2936"/>
      <c r="PJY69" s="2936"/>
      <c r="PJZ69" s="2936"/>
      <c r="PKA69" s="2936"/>
      <c r="PKB69" s="2936"/>
      <c r="PKC69" s="2936"/>
      <c r="PKD69" s="2936"/>
      <c r="PKE69" s="2936"/>
      <c r="PKF69" s="2936"/>
      <c r="PKG69" s="2936"/>
      <c r="PKH69" s="2936"/>
      <c r="PKI69" s="2936"/>
      <c r="PKJ69" s="2936"/>
      <c r="PKK69" s="2936"/>
      <c r="PKL69" s="2936"/>
      <c r="PKM69" s="2936"/>
      <c r="PKN69" s="2936"/>
      <c r="PKO69" s="2936"/>
      <c r="PKP69" s="2936"/>
      <c r="PKQ69" s="2936"/>
      <c r="PKR69" s="2936"/>
      <c r="PKS69" s="2936"/>
      <c r="PKT69" s="2936"/>
      <c r="PKU69" s="2936"/>
      <c r="PKV69" s="2936"/>
      <c r="PKW69" s="2936"/>
      <c r="PKX69" s="2936"/>
      <c r="PKY69" s="2936"/>
      <c r="PKZ69" s="2936"/>
      <c r="PLA69" s="2936"/>
      <c r="PLB69" s="2936"/>
      <c r="PLC69" s="2936"/>
      <c r="PLD69" s="2936"/>
      <c r="PLE69" s="2936"/>
      <c r="PLF69" s="2936"/>
      <c r="PLG69" s="2936"/>
      <c r="PLH69" s="2936"/>
      <c r="PLI69" s="2936"/>
      <c r="PLJ69" s="2936"/>
      <c r="PLK69" s="2936"/>
      <c r="PLL69" s="2936"/>
      <c r="PLM69" s="2936"/>
      <c r="PLN69" s="2936"/>
      <c r="PLO69" s="2936"/>
      <c r="PLP69" s="2936"/>
      <c r="PLQ69" s="2936"/>
      <c r="PLR69" s="2936"/>
      <c r="PLS69" s="2936"/>
      <c r="PLT69" s="2936"/>
      <c r="PLU69" s="2936"/>
      <c r="PLV69" s="2936"/>
      <c r="PLW69" s="2936"/>
      <c r="PLX69" s="2936"/>
      <c r="PLY69" s="2936"/>
      <c r="PLZ69" s="2936"/>
      <c r="PMA69" s="2936"/>
      <c r="PMB69" s="2936"/>
      <c r="PMC69" s="2936"/>
      <c r="PMD69" s="2936"/>
      <c r="PME69" s="2936"/>
      <c r="PMF69" s="2936"/>
      <c r="PMG69" s="2936"/>
      <c r="PMH69" s="2936"/>
      <c r="PMI69" s="2936"/>
      <c r="PMJ69" s="2936"/>
      <c r="PMK69" s="2936"/>
      <c r="PML69" s="2936"/>
      <c r="PMM69" s="2936"/>
      <c r="PMN69" s="2936"/>
      <c r="PMO69" s="2936"/>
      <c r="PMP69" s="2936"/>
      <c r="PMQ69" s="2936"/>
      <c r="PMR69" s="2936"/>
      <c r="PMS69" s="2936"/>
      <c r="PMT69" s="2936"/>
      <c r="PMU69" s="2936"/>
      <c r="PMV69" s="2936"/>
      <c r="PMW69" s="2936"/>
      <c r="PMX69" s="2936"/>
      <c r="PMY69" s="2936"/>
      <c r="PMZ69" s="2936"/>
      <c r="PNA69" s="2936"/>
      <c r="PNB69" s="2936"/>
      <c r="PNC69" s="2936"/>
      <c r="PND69" s="2936"/>
      <c r="PNE69" s="2936"/>
      <c r="PNF69" s="2936"/>
      <c r="PNG69" s="2936"/>
      <c r="PNH69" s="2936"/>
      <c r="PNI69" s="2936"/>
      <c r="PNJ69" s="2936"/>
      <c r="PNK69" s="2936"/>
      <c r="PNL69" s="2936"/>
      <c r="PNM69" s="2936"/>
      <c r="PNN69" s="2936"/>
      <c r="PNO69" s="2936"/>
      <c r="PNP69" s="2936"/>
      <c r="PNQ69" s="2936"/>
      <c r="PNR69" s="2936"/>
      <c r="PNS69" s="2936"/>
      <c r="PNT69" s="2936"/>
      <c r="PNU69" s="2936"/>
      <c r="PNV69" s="2936"/>
      <c r="PNW69" s="2936"/>
      <c r="PNX69" s="2936"/>
      <c r="PNY69" s="2936"/>
      <c r="PNZ69" s="2936"/>
      <c r="POA69" s="2936"/>
      <c r="POB69" s="2936"/>
      <c r="POC69" s="2936"/>
      <c r="POD69" s="2936"/>
      <c r="POE69" s="2936"/>
      <c r="POF69" s="2936"/>
      <c r="POG69" s="2936"/>
      <c r="POH69" s="2936"/>
      <c r="POI69" s="2936"/>
      <c r="POJ69" s="2936"/>
      <c r="POK69" s="2936"/>
      <c r="POL69" s="2936"/>
      <c r="POM69" s="2936"/>
      <c r="PON69" s="2936"/>
      <c r="POO69" s="2936"/>
      <c r="POP69" s="2936"/>
      <c r="POQ69" s="2936"/>
      <c r="POR69" s="2936"/>
      <c r="POS69" s="2936"/>
      <c r="POT69" s="2936"/>
      <c r="POU69" s="2936"/>
      <c r="POV69" s="2936"/>
      <c r="POW69" s="2936"/>
      <c r="POX69" s="2936"/>
      <c r="POY69" s="2936"/>
      <c r="POZ69" s="2936"/>
      <c r="PPA69" s="2936"/>
      <c r="PPB69" s="2936"/>
      <c r="PPC69" s="2936"/>
      <c r="PPD69" s="2936"/>
      <c r="PPE69" s="2936"/>
      <c r="PPF69" s="2936"/>
      <c r="PPG69" s="2936"/>
      <c r="PPH69" s="2936"/>
      <c r="PPI69" s="2936"/>
      <c r="PPJ69" s="2936"/>
      <c r="PPK69" s="2936"/>
      <c r="PPL69" s="2936"/>
      <c r="PPM69" s="2936"/>
      <c r="PPN69" s="2936"/>
      <c r="PPO69" s="2936"/>
      <c r="PPP69" s="2936"/>
      <c r="PPQ69" s="2936"/>
      <c r="PPR69" s="2936"/>
      <c r="PPS69" s="2936"/>
      <c r="PPT69" s="2936"/>
      <c r="PPU69" s="2936"/>
      <c r="PPV69" s="2936"/>
      <c r="PPW69" s="2936"/>
      <c r="PPX69" s="2936"/>
      <c r="PPY69" s="2936"/>
      <c r="PPZ69" s="2936"/>
      <c r="PQA69" s="2936"/>
      <c r="PQB69" s="2936"/>
      <c r="PQC69" s="2936"/>
      <c r="PQD69" s="2936"/>
      <c r="PQE69" s="2936"/>
      <c r="PQF69" s="2936"/>
      <c r="PQG69" s="2936"/>
      <c r="PQH69" s="2936"/>
      <c r="PQI69" s="2936"/>
      <c r="PQJ69" s="2936"/>
      <c r="PQK69" s="2936"/>
      <c r="PQL69" s="2936"/>
      <c r="PQM69" s="2936"/>
      <c r="PQN69" s="2936"/>
      <c r="PQO69" s="2936"/>
      <c r="PQP69" s="2936"/>
      <c r="PQQ69" s="2936"/>
      <c r="PQR69" s="2936"/>
      <c r="PQS69" s="2936"/>
      <c r="PQT69" s="2936"/>
      <c r="PQU69" s="2936"/>
      <c r="PQV69" s="2936"/>
      <c r="PQW69" s="2936"/>
      <c r="PQX69" s="2936"/>
      <c r="PQY69" s="2936"/>
      <c r="PQZ69" s="2936"/>
      <c r="PRA69" s="2936"/>
      <c r="PRB69" s="2936"/>
      <c r="PRC69" s="2936"/>
      <c r="PRD69" s="2936"/>
      <c r="PRE69" s="2936"/>
      <c r="PRF69" s="2936"/>
      <c r="PRG69" s="2936"/>
      <c r="PRH69" s="2936"/>
      <c r="PRI69" s="2936"/>
      <c r="PRJ69" s="2936"/>
      <c r="PRK69" s="2936"/>
      <c r="PRL69" s="2936"/>
      <c r="PRM69" s="2936"/>
      <c r="PRN69" s="2936"/>
      <c r="PRO69" s="2936"/>
      <c r="PRP69" s="2936"/>
      <c r="PRQ69" s="2936"/>
      <c r="PRR69" s="2936"/>
      <c r="PRS69" s="2936"/>
      <c r="PRT69" s="2936"/>
      <c r="PRU69" s="2936"/>
      <c r="PRV69" s="2936"/>
      <c r="PRW69" s="2936"/>
      <c r="PRX69" s="2936"/>
      <c r="PRY69" s="2936"/>
      <c r="PRZ69" s="2936"/>
      <c r="PSA69" s="2936"/>
      <c r="PSB69" s="2936"/>
      <c r="PSC69" s="2936"/>
      <c r="PSD69" s="2936"/>
      <c r="PSE69" s="2936"/>
      <c r="PSF69" s="2936"/>
      <c r="PSG69" s="2936"/>
      <c r="PSH69" s="2936"/>
      <c r="PSI69" s="2936"/>
      <c r="PSJ69" s="2936"/>
      <c r="PSK69" s="2936"/>
      <c r="PSL69" s="2936"/>
      <c r="PSM69" s="2936"/>
      <c r="PSN69" s="2936"/>
      <c r="PSO69" s="2936"/>
      <c r="PSP69" s="2936"/>
      <c r="PSQ69" s="2936"/>
      <c r="PSR69" s="2936"/>
      <c r="PSS69" s="2936"/>
      <c r="PST69" s="2936"/>
      <c r="PSU69" s="2936"/>
      <c r="PSV69" s="2936"/>
      <c r="PSW69" s="2936"/>
      <c r="PSX69" s="2936"/>
      <c r="PSY69" s="2936"/>
      <c r="PSZ69" s="2936"/>
      <c r="PTA69" s="2936"/>
      <c r="PTB69" s="2936"/>
      <c r="PTC69" s="2936"/>
      <c r="PTD69" s="2936"/>
      <c r="PTE69" s="2936"/>
      <c r="PTF69" s="2936"/>
      <c r="PTG69" s="2936"/>
      <c r="PTH69" s="2936"/>
      <c r="PTI69" s="2936"/>
      <c r="PTJ69" s="2936"/>
      <c r="PTK69" s="2936"/>
      <c r="PTL69" s="2936"/>
      <c r="PTM69" s="2936"/>
      <c r="PTN69" s="2936"/>
      <c r="PTO69" s="2936"/>
      <c r="PTP69" s="2936"/>
      <c r="PTQ69" s="2936"/>
      <c r="PTR69" s="2936"/>
      <c r="PTS69" s="2936"/>
      <c r="PTT69" s="2936"/>
      <c r="PTU69" s="2936"/>
      <c r="PTV69" s="2936"/>
      <c r="PTW69" s="2936"/>
      <c r="PTX69" s="2936"/>
      <c r="PTY69" s="2936"/>
      <c r="PTZ69" s="2936"/>
      <c r="PUA69" s="2936"/>
      <c r="PUB69" s="2936"/>
      <c r="PUC69" s="2936"/>
      <c r="PUD69" s="2936"/>
      <c r="PUE69" s="2936"/>
      <c r="PUF69" s="2936"/>
      <c r="PUG69" s="2936"/>
      <c r="PUH69" s="2936"/>
      <c r="PUI69" s="2936"/>
      <c r="PUJ69" s="2936"/>
      <c r="PUK69" s="2936"/>
      <c r="PUL69" s="2936"/>
      <c r="PUM69" s="2936"/>
      <c r="PUN69" s="2936"/>
      <c r="PUO69" s="2936"/>
      <c r="PUP69" s="2936"/>
      <c r="PUQ69" s="2936"/>
      <c r="PUR69" s="2936"/>
      <c r="PUS69" s="2936"/>
      <c r="PUT69" s="2936"/>
      <c r="PUU69" s="2936"/>
      <c r="PUV69" s="2936"/>
      <c r="PUW69" s="2936"/>
      <c r="PUX69" s="2936"/>
      <c r="PUY69" s="2936"/>
      <c r="PUZ69" s="2936"/>
      <c r="PVA69" s="2936"/>
      <c r="PVB69" s="2936"/>
      <c r="PVC69" s="2936"/>
      <c r="PVD69" s="2936"/>
      <c r="PVE69" s="2936"/>
      <c r="PVF69" s="2936"/>
      <c r="PVG69" s="2936"/>
      <c r="PVH69" s="2936"/>
      <c r="PVI69" s="2936"/>
      <c r="PVJ69" s="2936"/>
      <c r="PVK69" s="2936"/>
      <c r="PVL69" s="2936"/>
      <c r="PVM69" s="2936"/>
      <c r="PVN69" s="2936"/>
      <c r="PVO69" s="2936"/>
      <c r="PVP69" s="2936"/>
      <c r="PVQ69" s="2936"/>
      <c r="PVR69" s="2936"/>
      <c r="PVS69" s="2936"/>
      <c r="PVT69" s="2936"/>
      <c r="PVU69" s="2936"/>
      <c r="PVV69" s="2936"/>
      <c r="PVW69" s="2936"/>
      <c r="PVX69" s="2936"/>
      <c r="PVY69" s="2936"/>
      <c r="PVZ69" s="2936"/>
      <c r="PWA69" s="2936"/>
      <c r="PWB69" s="2936"/>
      <c r="PWC69" s="2936"/>
      <c r="PWD69" s="2936"/>
      <c r="PWE69" s="2936"/>
      <c r="PWF69" s="2936"/>
      <c r="PWG69" s="2936"/>
      <c r="PWH69" s="2936"/>
      <c r="PWI69" s="2936"/>
      <c r="PWJ69" s="2936"/>
      <c r="PWK69" s="2936"/>
      <c r="PWL69" s="2936"/>
      <c r="PWM69" s="2936"/>
      <c r="PWN69" s="2936"/>
      <c r="PWO69" s="2936"/>
      <c r="PWP69" s="2936"/>
      <c r="PWQ69" s="2936"/>
      <c r="PWR69" s="2936"/>
      <c r="PWS69" s="2936"/>
      <c r="PWT69" s="2936"/>
      <c r="PWU69" s="2936"/>
      <c r="PWV69" s="2936"/>
      <c r="PWW69" s="2936"/>
      <c r="PWX69" s="2936"/>
      <c r="PWY69" s="2936"/>
      <c r="PWZ69" s="2936"/>
      <c r="PXA69" s="2936"/>
      <c r="PXB69" s="2936"/>
      <c r="PXC69" s="2936"/>
      <c r="PXD69" s="2936"/>
      <c r="PXE69" s="2936"/>
      <c r="PXF69" s="2936"/>
      <c r="PXG69" s="2936"/>
      <c r="PXH69" s="2936"/>
      <c r="PXI69" s="2936"/>
      <c r="PXJ69" s="2936"/>
      <c r="PXK69" s="2936"/>
      <c r="PXL69" s="2936"/>
      <c r="PXM69" s="2936"/>
      <c r="PXN69" s="2936"/>
      <c r="PXO69" s="2936"/>
      <c r="PXP69" s="2936"/>
      <c r="PXQ69" s="2936"/>
      <c r="PXR69" s="2936"/>
      <c r="PXS69" s="2936"/>
      <c r="PXT69" s="2936"/>
      <c r="PXU69" s="2936"/>
      <c r="PXV69" s="2936"/>
      <c r="PXW69" s="2936"/>
      <c r="PXX69" s="2936"/>
      <c r="PXY69" s="2936"/>
      <c r="PXZ69" s="2936"/>
      <c r="PYA69" s="2936"/>
      <c r="PYB69" s="2936"/>
      <c r="PYC69" s="2936"/>
      <c r="PYD69" s="2936"/>
      <c r="PYE69" s="2936"/>
      <c r="PYF69" s="2936"/>
      <c r="PYG69" s="2936"/>
      <c r="PYH69" s="2936"/>
      <c r="PYI69" s="2936"/>
      <c r="PYJ69" s="2936"/>
      <c r="PYK69" s="2936"/>
      <c r="PYL69" s="2936"/>
      <c r="PYM69" s="2936"/>
      <c r="PYN69" s="2936"/>
      <c r="PYO69" s="2936"/>
      <c r="PYP69" s="2936"/>
      <c r="PYQ69" s="2936"/>
      <c r="PYR69" s="2936"/>
      <c r="PYS69" s="2936"/>
      <c r="PYT69" s="2936"/>
      <c r="PYU69" s="2936"/>
      <c r="PYV69" s="2936"/>
      <c r="PYW69" s="2936"/>
      <c r="PYX69" s="2936"/>
      <c r="PYY69" s="2936"/>
      <c r="PYZ69" s="2936"/>
      <c r="PZA69" s="2936"/>
      <c r="PZB69" s="2936"/>
      <c r="PZC69" s="2936"/>
      <c r="PZD69" s="2936"/>
      <c r="PZE69" s="2936"/>
      <c r="PZF69" s="2936"/>
      <c r="PZG69" s="2936"/>
      <c r="PZH69" s="2936"/>
      <c r="PZI69" s="2936"/>
      <c r="PZJ69" s="2936"/>
      <c r="PZK69" s="2936"/>
      <c r="PZL69" s="2936"/>
      <c r="PZM69" s="2936"/>
      <c r="PZN69" s="2936"/>
      <c r="PZO69" s="2936"/>
      <c r="PZP69" s="2936"/>
      <c r="PZQ69" s="2936"/>
      <c r="PZR69" s="2936"/>
      <c r="PZS69" s="2936"/>
      <c r="PZT69" s="2936"/>
      <c r="PZU69" s="2936"/>
      <c r="PZV69" s="2936"/>
      <c r="PZW69" s="2936"/>
      <c r="PZX69" s="2936"/>
      <c r="PZY69" s="2936"/>
      <c r="PZZ69" s="2936"/>
      <c r="QAA69" s="2936"/>
      <c r="QAB69" s="2936"/>
      <c r="QAC69" s="2936"/>
      <c r="QAD69" s="2936"/>
      <c r="QAE69" s="2936"/>
      <c r="QAF69" s="2936"/>
      <c r="QAG69" s="2936"/>
      <c r="QAH69" s="2936"/>
      <c r="QAI69" s="2936"/>
      <c r="QAJ69" s="2936"/>
      <c r="QAK69" s="2936"/>
      <c r="QAL69" s="2936"/>
      <c r="QAM69" s="2936"/>
      <c r="QAN69" s="2936"/>
      <c r="QAO69" s="2936"/>
      <c r="QAP69" s="2936"/>
      <c r="QAQ69" s="2936"/>
      <c r="QAR69" s="2936"/>
      <c r="QAS69" s="2936"/>
      <c r="QAT69" s="2936"/>
      <c r="QAU69" s="2936"/>
      <c r="QAV69" s="2936"/>
      <c r="QAW69" s="2936"/>
      <c r="QAX69" s="2936"/>
      <c r="QAY69" s="2936"/>
      <c r="QAZ69" s="2936"/>
      <c r="QBA69" s="2936"/>
      <c r="QBB69" s="2936"/>
      <c r="QBC69" s="2936"/>
      <c r="QBD69" s="2936"/>
      <c r="QBE69" s="2936"/>
      <c r="QBF69" s="2936"/>
      <c r="QBG69" s="2936"/>
      <c r="QBH69" s="2936"/>
      <c r="QBI69" s="2936"/>
      <c r="QBJ69" s="2936"/>
      <c r="QBK69" s="2936"/>
      <c r="QBL69" s="2936"/>
      <c r="QBM69" s="2936"/>
      <c r="QBN69" s="2936"/>
      <c r="QBO69" s="2936"/>
      <c r="QBP69" s="2936"/>
      <c r="QBQ69" s="2936"/>
      <c r="QBR69" s="2936"/>
      <c r="QBS69" s="2936"/>
      <c r="QBT69" s="2936"/>
      <c r="QBU69" s="2936"/>
      <c r="QBV69" s="2936"/>
      <c r="QBW69" s="2936"/>
      <c r="QBX69" s="2936"/>
      <c r="QBY69" s="2936"/>
      <c r="QBZ69" s="2936"/>
      <c r="QCA69" s="2936"/>
      <c r="QCB69" s="2936"/>
      <c r="QCC69" s="2936"/>
      <c r="QCD69" s="2936"/>
      <c r="QCE69" s="2936"/>
      <c r="QCF69" s="2936"/>
      <c r="QCG69" s="2936"/>
      <c r="QCH69" s="2936"/>
      <c r="QCI69" s="2936"/>
      <c r="QCJ69" s="2936"/>
      <c r="QCK69" s="2936"/>
      <c r="QCL69" s="2936"/>
      <c r="QCM69" s="2936"/>
      <c r="QCN69" s="2936"/>
      <c r="QCO69" s="2936"/>
      <c r="QCP69" s="2936"/>
      <c r="QCQ69" s="2936"/>
      <c r="QCR69" s="2936"/>
      <c r="QCS69" s="2936"/>
      <c r="QCT69" s="2936"/>
      <c r="QCU69" s="2936"/>
      <c r="QCV69" s="2936"/>
      <c r="QCW69" s="2936"/>
      <c r="QCX69" s="2936"/>
      <c r="QCY69" s="2936"/>
      <c r="QCZ69" s="2936"/>
      <c r="QDA69" s="2936"/>
      <c r="QDB69" s="2936"/>
      <c r="QDC69" s="2936"/>
      <c r="QDD69" s="2936"/>
      <c r="QDE69" s="2936"/>
      <c r="QDF69" s="2936"/>
      <c r="QDG69" s="2936"/>
      <c r="QDH69" s="2936"/>
      <c r="QDI69" s="2936"/>
      <c r="QDJ69" s="2936"/>
      <c r="QDK69" s="2936"/>
      <c r="QDL69" s="2936"/>
      <c r="QDM69" s="2936"/>
      <c r="QDN69" s="2936"/>
      <c r="QDO69" s="2936"/>
      <c r="QDP69" s="2936"/>
      <c r="QDQ69" s="2936"/>
      <c r="QDR69" s="2936"/>
      <c r="QDS69" s="2936"/>
      <c r="QDT69" s="2936"/>
      <c r="QDU69" s="2936"/>
      <c r="QDV69" s="2936"/>
      <c r="QDW69" s="2936"/>
      <c r="QDX69" s="2936"/>
      <c r="QDY69" s="2936"/>
      <c r="QDZ69" s="2936"/>
      <c r="QEA69" s="2936"/>
      <c r="QEB69" s="2936"/>
      <c r="QEC69" s="2936"/>
      <c r="QED69" s="2936"/>
      <c r="QEE69" s="2936"/>
      <c r="QEF69" s="2936"/>
      <c r="QEG69" s="2936"/>
      <c r="QEH69" s="2936"/>
      <c r="QEI69" s="2936"/>
      <c r="QEJ69" s="2936"/>
      <c r="QEK69" s="2936"/>
      <c r="QEL69" s="2936"/>
      <c r="QEM69" s="2936"/>
      <c r="QEN69" s="2936"/>
      <c r="QEO69" s="2936"/>
      <c r="QEP69" s="2936"/>
      <c r="QEQ69" s="2936"/>
      <c r="QER69" s="2936"/>
      <c r="QES69" s="2936"/>
      <c r="QET69" s="2936"/>
      <c r="QEU69" s="2936"/>
      <c r="QEV69" s="2936"/>
      <c r="QEW69" s="2936"/>
      <c r="QEX69" s="2936"/>
      <c r="QEY69" s="2936"/>
      <c r="QEZ69" s="2936"/>
      <c r="QFA69" s="2936"/>
      <c r="QFB69" s="2936"/>
      <c r="QFC69" s="2936"/>
      <c r="QFD69" s="2936"/>
      <c r="QFE69" s="2936"/>
      <c r="QFF69" s="2936"/>
      <c r="QFG69" s="2936"/>
      <c r="QFH69" s="2936"/>
      <c r="QFI69" s="2936"/>
      <c r="QFJ69" s="2936"/>
      <c r="QFK69" s="2936"/>
      <c r="QFL69" s="2936"/>
      <c r="QFM69" s="2936"/>
      <c r="QFN69" s="2936"/>
      <c r="QFO69" s="2936"/>
      <c r="QFP69" s="2936"/>
      <c r="QFQ69" s="2936"/>
      <c r="QFR69" s="2936"/>
      <c r="QFS69" s="2936"/>
      <c r="QFT69" s="2936"/>
      <c r="QFU69" s="2936"/>
      <c r="QFV69" s="2936"/>
      <c r="QFW69" s="2936"/>
      <c r="QFX69" s="2936"/>
      <c r="QFY69" s="2936"/>
      <c r="QFZ69" s="2936"/>
      <c r="QGA69" s="2936"/>
      <c r="QGB69" s="2936"/>
      <c r="QGC69" s="2936"/>
      <c r="QGD69" s="2936"/>
      <c r="QGE69" s="2936"/>
      <c r="QGF69" s="2936"/>
      <c r="QGG69" s="2936"/>
      <c r="QGH69" s="2936"/>
      <c r="QGI69" s="2936"/>
      <c r="QGJ69" s="2936"/>
      <c r="QGK69" s="2936"/>
      <c r="QGL69" s="2936"/>
      <c r="QGM69" s="2936"/>
      <c r="QGN69" s="2936"/>
      <c r="QGO69" s="2936"/>
      <c r="QGP69" s="2936"/>
      <c r="QGQ69" s="2936"/>
      <c r="QGR69" s="2936"/>
      <c r="QGS69" s="2936"/>
      <c r="QGT69" s="2936"/>
      <c r="QGU69" s="2936"/>
      <c r="QGV69" s="2936"/>
      <c r="QGW69" s="2936"/>
      <c r="QGX69" s="2936"/>
      <c r="QGY69" s="2936"/>
      <c r="QGZ69" s="2936"/>
      <c r="QHA69" s="2936"/>
      <c r="QHB69" s="2936"/>
      <c r="QHC69" s="2936"/>
      <c r="QHD69" s="2936"/>
      <c r="QHE69" s="2936"/>
      <c r="QHF69" s="2936"/>
      <c r="QHG69" s="2936"/>
      <c r="QHH69" s="2936"/>
      <c r="QHI69" s="2936"/>
      <c r="QHJ69" s="2936"/>
      <c r="QHK69" s="2936"/>
      <c r="QHL69" s="2936"/>
      <c r="QHM69" s="2936"/>
      <c r="QHN69" s="2936"/>
      <c r="QHO69" s="2936"/>
      <c r="QHP69" s="2936"/>
      <c r="QHQ69" s="2936"/>
      <c r="QHR69" s="2936"/>
      <c r="QHS69" s="2936"/>
      <c r="QHT69" s="2936"/>
      <c r="QHU69" s="2936"/>
      <c r="QHV69" s="2936"/>
      <c r="QHW69" s="2936"/>
      <c r="QHX69" s="2936"/>
      <c r="QHY69" s="2936"/>
      <c r="QHZ69" s="2936"/>
      <c r="QIA69" s="2936"/>
      <c r="QIB69" s="2936"/>
      <c r="QIC69" s="2936"/>
      <c r="QID69" s="2936"/>
      <c r="QIE69" s="2936"/>
      <c r="QIF69" s="2936"/>
      <c r="QIG69" s="2936"/>
      <c r="QIH69" s="2936"/>
      <c r="QII69" s="2936"/>
      <c r="QIJ69" s="2936"/>
      <c r="QIK69" s="2936"/>
      <c r="QIL69" s="2936"/>
      <c r="QIM69" s="2936"/>
      <c r="QIN69" s="2936"/>
      <c r="QIO69" s="2936"/>
      <c r="QIP69" s="2936"/>
      <c r="QIQ69" s="2936"/>
      <c r="QIR69" s="2936"/>
      <c r="QIS69" s="2936"/>
      <c r="QIT69" s="2936"/>
      <c r="QIU69" s="2936"/>
      <c r="QIV69" s="2936"/>
      <c r="QIW69" s="2936"/>
      <c r="QIX69" s="2936"/>
      <c r="QIY69" s="2936"/>
      <c r="QIZ69" s="2936"/>
      <c r="QJA69" s="2936"/>
      <c r="QJB69" s="2936"/>
      <c r="QJC69" s="2936"/>
      <c r="QJD69" s="2936"/>
      <c r="QJE69" s="2936"/>
      <c r="QJF69" s="2936"/>
      <c r="QJG69" s="2936"/>
      <c r="QJH69" s="2936"/>
      <c r="QJI69" s="2936"/>
      <c r="QJJ69" s="2936"/>
      <c r="QJK69" s="2936"/>
      <c r="QJL69" s="2936"/>
      <c r="QJM69" s="2936"/>
      <c r="QJN69" s="2936"/>
      <c r="QJO69" s="2936"/>
      <c r="QJP69" s="2936"/>
      <c r="QJQ69" s="2936"/>
      <c r="QJR69" s="2936"/>
      <c r="QJS69" s="2936"/>
      <c r="QJT69" s="2936"/>
      <c r="QJU69" s="2936"/>
      <c r="QJV69" s="2936"/>
      <c r="QJW69" s="2936"/>
      <c r="QJX69" s="2936"/>
      <c r="QJY69" s="2936"/>
      <c r="QJZ69" s="2936"/>
      <c r="QKA69" s="2936"/>
      <c r="QKB69" s="2936"/>
      <c r="QKC69" s="2936"/>
      <c r="QKD69" s="2936"/>
      <c r="QKE69" s="2936"/>
      <c r="QKF69" s="2936"/>
      <c r="QKG69" s="2936"/>
      <c r="QKH69" s="2936"/>
      <c r="QKI69" s="2936"/>
      <c r="QKJ69" s="2936"/>
      <c r="QKK69" s="2936"/>
      <c r="QKL69" s="2936"/>
      <c r="QKM69" s="2936"/>
      <c r="QKN69" s="2936"/>
      <c r="QKO69" s="2936"/>
      <c r="QKP69" s="2936"/>
      <c r="QKQ69" s="2936"/>
      <c r="QKR69" s="2936"/>
      <c r="QKS69" s="2936"/>
      <c r="QKT69" s="2936"/>
      <c r="QKU69" s="2936"/>
      <c r="QKV69" s="2936"/>
      <c r="QKW69" s="2936"/>
      <c r="QKX69" s="2936"/>
      <c r="QKY69" s="2936"/>
      <c r="QKZ69" s="2936"/>
      <c r="QLA69" s="2936"/>
      <c r="QLB69" s="2936"/>
      <c r="QLC69" s="2936"/>
      <c r="QLD69" s="2936"/>
      <c r="QLE69" s="2936"/>
      <c r="QLF69" s="2936"/>
      <c r="QLG69" s="2936"/>
      <c r="QLH69" s="2936"/>
      <c r="QLI69" s="2936"/>
      <c r="QLJ69" s="2936"/>
      <c r="QLK69" s="2936"/>
      <c r="QLL69" s="2936"/>
      <c r="QLM69" s="2936"/>
      <c r="QLN69" s="2936"/>
      <c r="QLO69" s="2936"/>
      <c r="QLP69" s="2936"/>
      <c r="QLQ69" s="2936"/>
      <c r="QLR69" s="2936"/>
      <c r="QLS69" s="2936"/>
      <c r="QLT69" s="2936"/>
      <c r="QLU69" s="2936"/>
      <c r="QLV69" s="2936"/>
      <c r="QLW69" s="2936"/>
      <c r="QLX69" s="2936"/>
      <c r="QLY69" s="2936"/>
      <c r="QLZ69" s="2936"/>
      <c r="QMA69" s="2936"/>
      <c r="QMB69" s="2936"/>
      <c r="QMC69" s="2936"/>
      <c r="QMD69" s="2936"/>
      <c r="QME69" s="2936"/>
      <c r="QMF69" s="2936"/>
      <c r="QMG69" s="2936"/>
      <c r="QMH69" s="2936"/>
      <c r="QMI69" s="2936"/>
      <c r="QMJ69" s="2936"/>
      <c r="QMK69" s="2936"/>
      <c r="QML69" s="2936"/>
      <c r="QMM69" s="2936"/>
      <c r="QMN69" s="2936"/>
      <c r="QMO69" s="2936"/>
      <c r="QMP69" s="2936"/>
      <c r="QMQ69" s="2936"/>
      <c r="QMR69" s="2936"/>
      <c r="QMS69" s="2936"/>
      <c r="QMT69" s="2936"/>
      <c r="QMU69" s="2936"/>
      <c r="QMV69" s="2936"/>
      <c r="QMW69" s="2936"/>
      <c r="QMX69" s="2936"/>
      <c r="QMY69" s="2936"/>
      <c r="QMZ69" s="2936"/>
      <c r="QNA69" s="2936"/>
      <c r="QNB69" s="2936"/>
      <c r="QNC69" s="2936"/>
      <c r="QND69" s="2936"/>
      <c r="QNE69" s="2936"/>
      <c r="QNF69" s="2936"/>
      <c r="QNG69" s="2936"/>
      <c r="QNH69" s="2936"/>
      <c r="QNI69" s="2936"/>
      <c r="QNJ69" s="2936"/>
      <c r="QNK69" s="2936"/>
      <c r="QNL69" s="2936"/>
      <c r="QNM69" s="2936"/>
      <c r="QNN69" s="2936"/>
      <c r="QNO69" s="2936"/>
      <c r="QNP69" s="2936"/>
      <c r="QNQ69" s="2936"/>
      <c r="QNR69" s="2936"/>
      <c r="QNS69" s="2936"/>
      <c r="QNT69" s="2936"/>
      <c r="QNU69" s="2936"/>
      <c r="QNV69" s="2936"/>
      <c r="QNW69" s="2936"/>
      <c r="QNX69" s="2936"/>
      <c r="QNY69" s="2936"/>
      <c r="QNZ69" s="2936"/>
      <c r="QOA69" s="2936"/>
      <c r="QOB69" s="2936"/>
      <c r="QOC69" s="2936"/>
      <c r="QOD69" s="2936"/>
      <c r="QOE69" s="2936"/>
      <c r="QOF69" s="2936"/>
      <c r="QOG69" s="2936"/>
      <c r="QOH69" s="2936"/>
      <c r="QOI69" s="2936"/>
      <c r="QOJ69" s="2936"/>
      <c r="QOK69" s="2936"/>
      <c r="QOL69" s="2936"/>
      <c r="QOM69" s="2936"/>
      <c r="QON69" s="2936"/>
      <c r="QOO69" s="2936"/>
      <c r="QOP69" s="2936"/>
      <c r="QOQ69" s="2936"/>
      <c r="QOR69" s="2936"/>
      <c r="QOS69" s="2936"/>
      <c r="QOT69" s="2936"/>
      <c r="QOU69" s="2936"/>
      <c r="QOV69" s="2936"/>
      <c r="QOW69" s="2936"/>
      <c r="QOX69" s="2936"/>
      <c r="QOY69" s="2936"/>
      <c r="QOZ69" s="2936"/>
      <c r="QPA69" s="2936"/>
      <c r="QPB69" s="2936"/>
      <c r="QPC69" s="2936"/>
      <c r="QPD69" s="2936"/>
      <c r="QPE69" s="2936"/>
      <c r="QPF69" s="2936"/>
      <c r="QPG69" s="2936"/>
      <c r="QPH69" s="2936"/>
      <c r="QPI69" s="2936"/>
      <c r="QPJ69" s="2936"/>
      <c r="QPK69" s="2936"/>
      <c r="QPL69" s="2936"/>
      <c r="QPM69" s="2936"/>
      <c r="QPN69" s="2936"/>
      <c r="QPO69" s="2936"/>
      <c r="QPP69" s="2936"/>
      <c r="QPQ69" s="2936"/>
      <c r="QPR69" s="2936"/>
      <c r="QPS69" s="2936"/>
      <c r="QPT69" s="2936"/>
      <c r="QPU69" s="2936"/>
      <c r="QPV69" s="2936"/>
      <c r="QPW69" s="2936"/>
      <c r="QPX69" s="2936"/>
      <c r="QPY69" s="2936"/>
      <c r="QPZ69" s="2936"/>
      <c r="QQA69" s="2936"/>
      <c r="QQB69" s="2936"/>
      <c r="QQC69" s="2936"/>
      <c r="QQD69" s="2936"/>
      <c r="QQE69" s="2936"/>
      <c r="QQF69" s="2936"/>
      <c r="QQG69" s="2936"/>
      <c r="QQH69" s="2936"/>
      <c r="QQI69" s="2936"/>
      <c r="QQJ69" s="2936"/>
      <c r="QQK69" s="2936"/>
      <c r="QQL69" s="2936"/>
      <c r="QQM69" s="2936"/>
      <c r="QQN69" s="2936"/>
      <c r="QQO69" s="2936"/>
      <c r="QQP69" s="2936"/>
      <c r="QQQ69" s="2936"/>
      <c r="QQR69" s="2936"/>
      <c r="QQS69" s="2936"/>
      <c r="QQT69" s="2936"/>
      <c r="QQU69" s="2936"/>
      <c r="QQV69" s="2936"/>
      <c r="QQW69" s="2936"/>
      <c r="QQX69" s="2936"/>
      <c r="QQY69" s="2936"/>
      <c r="QQZ69" s="2936"/>
      <c r="QRA69" s="2936"/>
      <c r="QRB69" s="2936"/>
      <c r="QRC69" s="2936"/>
      <c r="QRD69" s="2936"/>
      <c r="QRE69" s="2936"/>
      <c r="QRF69" s="2936"/>
      <c r="QRG69" s="2936"/>
      <c r="QRH69" s="2936"/>
      <c r="QRI69" s="2936"/>
      <c r="QRJ69" s="2936"/>
      <c r="QRK69" s="2936"/>
      <c r="QRL69" s="2936"/>
      <c r="QRM69" s="2936"/>
      <c r="QRN69" s="2936"/>
      <c r="QRO69" s="2936"/>
      <c r="QRP69" s="2936"/>
      <c r="QRQ69" s="2936"/>
      <c r="QRR69" s="2936"/>
      <c r="QRS69" s="2936"/>
      <c r="QRT69" s="2936"/>
      <c r="QRU69" s="2936"/>
      <c r="QRV69" s="2936"/>
      <c r="QRW69" s="2936"/>
      <c r="QRX69" s="2936"/>
      <c r="QRY69" s="2936"/>
      <c r="QRZ69" s="2936"/>
      <c r="QSA69" s="2936"/>
      <c r="QSB69" s="2936"/>
      <c r="QSC69" s="2936"/>
      <c r="QSD69" s="2936"/>
      <c r="QSE69" s="2936"/>
      <c r="QSF69" s="2936"/>
      <c r="QSG69" s="2936"/>
      <c r="QSH69" s="2936"/>
      <c r="QSI69" s="2936"/>
      <c r="QSJ69" s="2936"/>
      <c r="QSK69" s="2936"/>
      <c r="QSL69" s="2936"/>
      <c r="QSM69" s="2936"/>
      <c r="QSN69" s="2936"/>
      <c r="QSO69" s="2936"/>
      <c r="QSP69" s="2936"/>
      <c r="QSQ69" s="2936"/>
      <c r="QSR69" s="2936"/>
      <c r="QSS69" s="2936"/>
      <c r="QST69" s="2936"/>
      <c r="QSU69" s="2936"/>
      <c r="QSV69" s="2936"/>
      <c r="QSW69" s="2936"/>
      <c r="QSX69" s="2936"/>
      <c r="QSY69" s="2936"/>
      <c r="QSZ69" s="2936"/>
      <c r="QTA69" s="2936"/>
      <c r="QTB69" s="2936"/>
      <c r="QTC69" s="2936"/>
      <c r="QTD69" s="2936"/>
      <c r="QTE69" s="2936"/>
      <c r="QTF69" s="2936"/>
      <c r="QTG69" s="2936"/>
      <c r="QTH69" s="2936"/>
      <c r="QTI69" s="2936"/>
      <c r="QTJ69" s="2936"/>
      <c r="QTK69" s="2936"/>
      <c r="QTL69" s="2936"/>
      <c r="QTM69" s="2936"/>
      <c r="QTN69" s="2936"/>
      <c r="QTO69" s="2936"/>
      <c r="QTP69" s="2936"/>
      <c r="QTQ69" s="2936"/>
      <c r="QTR69" s="2936"/>
      <c r="QTS69" s="2936"/>
      <c r="QTT69" s="2936"/>
      <c r="QTU69" s="2936"/>
      <c r="QTV69" s="2936"/>
      <c r="QTW69" s="2936"/>
      <c r="QTX69" s="2936"/>
      <c r="QTY69" s="2936"/>
      <c r="QTZ69" s="2936"/>
      <c r="QUA69" s="2936"/>
      <c r="QUB69" s="2936"/>
      <c r="QUC69" s="2936"/>
      <c r="QUD69" s="2936"/>
      <c r="QUE69" s="2936"/>
      <c r="QUF69" s="2936"/>
      <c r="QUG69" s="2936"/>
      <c r="QUH69" s="2936"/>
      <c r="QUI69" s="2936"/>
      <c r="QUJ69" s="2936"/>
      <c r="QUK69" s="2936"/>
      <c r="QUL69" s="2936"/>
      <c r="QUM69" s="2936"/>
      <c r="QUN69" s="2936"/>
      <c r="QUO69" s="2936"/>
      <c r="QUP69" s="2936"/>
      <c r="QUQ69" s="2936"/>
      <c r="QUR69" s="2936"/>
      <c r="QUS69" s="2936"/>
      <c r="QUT69" s="2936"/>
      <c r="QUU69" s="2936"/>
      <c r="QUV69" s="2936"/>
      <c r="QUW69" s="2936"/>
      <c r="QUX69" s="2936"/>
      <c r="QUY69" s="2936"/>
      <c r="QUZ69" s="2936"/>
      <c r="QVA69" s="2936"/>
      <c r="QVB69" s="2936"/>
      <c r="QVC69" s="2936"/>
      <c r="QVD69" s="2936"/>
      <c r="QVE69" s="2936"/>
      <c r="QVF69" s="2936"/>
      <c r="QVG69" s="2936"/>
      <c r="QVH69" s="2936"/>
      <c r="QVI69" s="2936"/>
      <c r="QVJ69" s="2936"/>
      <c r="QVK69" s="2936"/>
      <c r="QVL69" s="2936"/>
      <c r="QVM69" s="2936"/>
      <c r="QVN69" s="2936"/>
      <c r="QVO69" s="2936"/>
      <c r="QVP69" s="2936"/>
      <c r="QVQ69" s="2936"/>
      <c r="QVR69" s="2936"/>
      <c r="QVS69" s="2936"/>
      <c r="QVT69" s="2936"/>
      <c r="QVU69" s="2936"/>
      <c r="QVV69" s="2936"/>
      <c r="QVW69" s="2936"/>
      <c r="QVX69" s="2936"/>
      <c r="QVY69" s="2936"/>
      <c r="QVZ69" s="2936"/>
      <c r="QWA69" s="2936"/>
      <c r="QWB69" s="2936"/>
      <c r="QWC69" s="2936"/>
      <c r="QWD69" s="2936"/>
      <c r="QWE69" s="2936"/>
      <c r="QWF69" s="2936"/>
      <c r="QWG69" s="2936"/>
      <c r="QWH69" s="2936"/>
      <c r="QWI69" s="2936"/>
      <c r="QWJ69" s="2936"/>
      <c r="QWK69" s="2936"/>
      <c r="QWL69" s="2936"/>
      <c r="QWM69" s="2936"/>
      <c r="QWN69" s="2936"/>
      <c r="QWO69" s="2936"/>
      <c r="QWP69" s="2936"/>
      <c r="QWQ69" s="2936"/>
      <c r="QWR69" s="2936"/>
      <c r="QWS69" s="2936"/>
      <c r="QWT69" s="2936"/>
      <c r="QWU69" s="2936"/>
      <c r="QWV69" s="2936"/>
      <c r="QWW69" s="2936"/>
      <c r="QWX69" s="2936"/>
      <c r="QWY69" s="2936"/>
      <c r="QWZ69" s="2936"/>
      <c r="QXA69" s="2936"/>
      <c r="QXB69" s="2936"/>
      <c r="QXC69" s="2936"/>
      <c r="QXD69" s="2936"/>
      <c r="QXE69" s="2936"/>
      <c r="QXF69" s="2936"/>
      <c r="QXG69" s="2936"/>
      <c r="QXH69" s="2936"/>
      <c r="QXI69" s="2936"/>
      <c r="QXJ69" s="2936"/>
      <c r="QXK69" s="2936"/>
      <c r="QXL69" s="2936"/>
      <c r="QXM69" s="2936"/>
      <c r="QXN69" s="2936"/>
      <c r="QXO69" s="2936"/>
      <c r="QXP69" s="2936"/>
      <c r="QXQ69" s="2936"/>
      <c r="QXR69" s="2936"/>
      <c r="QXS69" s="2936"/>
      <c r="QXT69" s="2936"/>
      <c r="QXU69" s="2936"/>
      <c r="QXV69" s="2936"/>
      <c r="QXW69" s="2936"/>
      <c r="QXX69" s="2936"/>
      <c r="QXY69" s="2936"/>
      <c r="QXZ69" s="2936"/>
      <c r="QYA69" s="2936"/>
      <c r="QYB69" s="2936"/>
      <c r="QYC69" s="2936"/>
      <c r="QYD69" s="2936"/>
      <c r="QYE69" s="2936"/>
      <c r="QYF69" s="2936"/>
      <c r="QYG69" s="2936"/>
      <c r="QYH69" s="2936"/>
      <c r="QYI69" s="2936"/>
      <c r="QYJ69" s="2936"/>
      <c r="QYK69" s="2936"/>
      <c r="QYL69" s="2936"/>
      <c r="QYM69" s="2936"/>
      <c r="QYN69" s="2936"/>
      <c r="QYO69" s="2936"/>
      <c r="QYP69" s="2936"/>
      <c r="QYQ69" s="2936"/>
      <c r="QYR69" s="2936"/>
      <c r="QYS69" s="2936"/>
      <c r="QYT69" s="2936"/>
      <c r="QYU69" s="2936"/>
      <c r="QYV69" s="2936"/>
      <c r="QYW69" s="2936"/>
      <c r="QYX69" s="2936"/>
      <c r="QYY69" s="2936"/>
      <c r="QYZ69" s="2936"/>
      <c r="QZA69" s="2936"/>
      <c r="QZB69" s="2936"/>
      <c r="QZC69" s="2936"/>
      <c r="QZD69" s="2936"/>
      <c r="QZE69" s="2936"/>
      <c r="QZF69" s="2936"/>
      <c r="QZG69" s="2936"/>
      <c r="QZH69" s="2936"/>
      <c r="QZI69" s="2936"/>
      <c r="QZJ69" s="2936"/>
      <c r="QZK69" s="2936"/>
      <c r="QZL69" s="2936"/>
      <c r="QZM69" s="2936"/>
      <c r="QZN69" s="2936"/>
      <c r="QZO69" s="2936"/>
      <c r="QZP69" s="2936"/>
      <c r="QZQ69" s="2936"/>
      <c r="QZR69" s="2936"/>
      <c r="QZS69" s="2936"/>
      <c r="QZT69" s="2936"/>
      <c r="QZU69" s="2936"/>
      <c r="QZV69" s="2936"/>
      <c r="QZW69" s="2936"/>
      <c r="QZX69" s="2936"/>
      <c r="QZY69" s="2936"/>
      <c r="QZZ69" s="2936"/>
      <c r="RAA69" s="2936"/>
      <c r="RAB69" s="2936"/>
      <c r="RAC69" s="2936"/>
      <c r="RAD69" s="2936"/>
      <c r="RAE69" s="2936"/>
      <c r="RAF69" s="2936"/>
      <c r="RAG69" s="2936"/>
      <c r="RAH69" s="2936"/>
      <c r="RAI69" s="2936"/>
      <c r="RAJ69" s="2936"/>
      <c r="RAK69" s="2936"/>
      <c r="RAL69" s="2936"/>
      <c r="RAM69" s="2936"/>
      <c r="RAN69" s="2936"/>
      <c r="RAO69" s="2936"/>
      <c r="RAP69" s="2936"/>
      <c r="RAQ69" s="2936"/>
      <c r="RAR69" s="2936"/>
      <c r="RAS69" s="2936"/>
      <c r="RAT69" s="2936"/>
      <c r="RAU69" s="2936"/>
      <c r="RAV69" s="2936"/>
      <c r="RAW69" s="2936"/>
      <c r="RAX69" s="2936"/>
      <c r="RAY69" s="2936"/>
      <c r="RAZ69" s="2936"/>
      <c r="RBA69" s="2936"/>
      <c r="RBB69" s="2936"/>
      <c r="RBC69" s="2936"/>
      <c r="RBD69" s="2936"/>
      <c r="RBE69" s="2936"/>
      <c r="RBF69" s="2936"/>
      <c r="RBG69" s="2936"/>
      <c r="RBH69" s="2936"/>
      <c r="RBI69" s="2936"/>
      <c r="RBJ69" s="2936"/>
      <c r="RBK69" s="2936"/>
      <c r="RBL69" s="2936"/>
      <c r="RBM69" s="2936"/>
      <c r="RBN69" s="2936"/>
      <c r="RBO69" s="2936"/>
      <c r="RBP69" s="2936"/>
      <c r="RBQ69" s="2936"/>
      <c r="RBR69" s="2936"/>
      <c r="RBS69" s="2936"/>
      <c r="RBT69" s="2936"/>
      <c r="RBU69" s="2936"/>
      <c r="RBV69" s="2936"/>
      <c r="RBW69" s="2936"/>
      <c r="RBX69" s="2936"/>
      <c r="RBY69" s="2936"/>
      <c r="RBZ69" s="2936"/>
      <c r="RCA69" s="2936"/>
      <c r="RCB69" s="2936"/>
      <c r="RCC69" s="2936"/>
      <c r="RCD69" s="2936"/>
      <c r="RCE69" s="2936"/>
      <c r="RCF69" s="2936"/>
      <c r="RCG69" s="2936"/>
      <c r="RCH69" s="2936"/>
      <c r="RCI69" s="2936"/>
      <c r="RCJ69" s="2936"/>
      <c r="RCK69" s="2936"/>
      <c r="RCL69" s="2936"/>
      <c r="RCM69" s="2936"/>
      <c r="RCN69" s="2936"/>
      <c r="RCO69" s="2936"/>
      <c r="RCP69" s="2936"/>
      <c r="RCQ69" s="2936"/>
      <c r="RCR69" s="2936"/>
      <c r="RCS69" s="2936"/>
      <c r="RCT69" s="2936"/>
      <c r="RCU69" s="2936"/>
      <c r="RCV69" s="2936"/>
      <c r="RCW69" s="2936"/>
      <c r="RCX69" s="2936"/>
      <c r="RCY69" s="2936"/>
      <c r="RCZ69" s="2936"/>
      <c r="RDA69" s="2936"/>
      <c r="RDB69" s="2936"/>
      <c r="RDC69" s="2936"/>
      <c r="RDD69" s="2936"/>
      <c r="RDE69" s="2936"/>
      <c r="RDF69" s="2936"/>
      <c r="RDG69" s="2936"/>
      <c r="RDH69" s="2936"/>
      <c r="RDI69" s="2936"/>
      <c r="RDJ69" s="2936"/>
      <c r="RDK69" s="2936"/>
      <c r="RDL69" s="2936"/>
      <c r="RDM69" s="2936"/>
      <c r="RDN69" s="2936"/>
      <c r="RDO69" s="2936"/>
      <c r="RDP69" s="2936"/>
      <c r="RDQ69" s="2936"/>
      <c r="RDR69" s="2936"/>
      <c r="RDS69" s="2936"/>
      <c r="RDT69" s="2936"/>
      <c r="RDU69" s="2936"/>
      <c r="RDV69" s="2936"/>
      <c r="RDW69" s="2936"/>
      <c r="RDX69" s="2936"/>
      <c r="RDY69" s="2936"/>
      <c r="RDZ69" s="2936"/>
      <c r="REA69" s="2936"/>
      <c r="REB69" s="2936"/>
      <c r="REC69" s="2936"/>
      <c r="RED69" s="2936"/>
      <c r="REE69" s="2936"/>
      <c r="REF69" s="2936"/>
      <c r="REG69" s="2936"/>
      <c r="REH69" s="2936"/>
      <c r="REI69" s="2936"/>
      <c r="REJ69" s="2936"/>
      <c r="REK69" s="2936"/>
      <c r="REL69" s="2936"/>
      <c r="REM69" s="2936"/>
      <c r="REN69" s="2936"/>
      <c r="REO69" s="2936"/>
      <c r="REP69" s="2936"/>
      <c r="REQ69" s="2936"/>
      <c r="RER69" s="2936"/>
      <c r="RES69" s="2936"/>
      <c r="RET69" s="2936"/>
      <c r="REU69" s="2936"/>
      <c r="REV69" s="2936"/>
      <c r="REW69" s="2936"/>
      <c r="REX69" s="2936"/>
      <c r="REY69" s="2936"/>
      <c r="REZ69" s="2936"/>
      <c r="RFA69" s="2936"/>
      <c r="RFB69" s="2936"/>
      <c r="RFC69" s="2936"/>
      <c r="RFD69" s="2936"/>
      <c r="RFE69" s="2936"/>
      <c r="RFF69" s="2936"/>
      <c r="RFG69" s="2936"/>
      <c r="RFH69" s="2936"/>
      <c r="RFI69" s="2936"/>
      <c r="RFJ69" s="2936"/>
      <c r="RFK69" s="2936"/>
      <c r="RFL69" s="2936"/>
      <c r="RFM69" s="2936"/>
      <c r="RFN69" s="2936"/>
      <c r="RFO69" s="2936"/>
      <c r="RFP69" s="2936"/>
      <c r="RFQ69" s="2936"/>
      <c r="RFR69" s="2936"/>
      <c r="RFS69" s="2936"/>
      <c r="RFT69" s="2936"/>
      <c r="RFU69" s="2936"/>
      <c r="RFV69" s="2936"/>
      <c r="RFW69" s="2936"/>
      <c r="RFX69" s="2936"/>
      <c r="RFY69" s="2936"/>
      <c r="RFZ69" s="2936"/>
      <c r="RGA69" s="2936"/>
      <c r="RGB69" s="2936"/>
      <c r="RGC69" s="2936"/>
      <c r="RGD69" s="2936"/>
      <c r="RGE69" s="2936"/>
      <c r="RGF69" s="2936"/>
      <c r="RGG69" s="2936"/>
      <c r="RGH69" s="2936"/>
      <c r="RGI69" s="2936"/>
      <c r="RGJ69" s="2936"/>
      <c r="RGK69" s="2936"/>
      <c r="RGL69" s="2936"/>
      <c r="RGM69" s="2936"/>
      <c r="RGN69" s="2936"/>
      <c r="RGO69" s="2936"/>
      <c r="RGP69" s="2936"/>
      <c r="RGQ69" s="2936"/>
      <c r="RGR69" s="2936"/>
      <c r="RGS69" s="2936"/>
      <c r="RGT69" s="2936"/>
      <c r="RGU69" s="2936"/>
      <c r="RGV69" s="2936"/>
      <c r="RGW69" s="2936"/>
      <c r="RGX69" s="2936"/>
      <c r="RGY69" s="2936"/>
      <c r="RGZ69" s="2936"/>
      <c r="RHA69" s="2936"/>
      <c r="RHB69" s="2936"/>
      <c r="RHC69" s="2936"/>
      <c r="RHD69" s="2936"/>
      <c r="RHE69" s="2936"/>
      <c r="RHF69" s="2936"/>
      <c r="RHG69" s="2936"/>
      <c r="RHH69" s="2936"/>
      <c r="RHI69" s="2936"/>
      <c r="RHJ69" s="2936"/>
      <c r="RHK69" s="2936"/>
      <c r="RHL69" s="2936"/>
      <c r="RHM69" s="2936"/>
      <c r="RHN69" s="2936"/>
      <c r="RHO69" s="2936"/>
      <c r="RHP69" s="2936"/>
      <c r="RHQ69" s="2936"/>
      <c r="RHR69" s="2936"/>
      <c r="RHS69" s="2936"/>
      <c r="RHT69" s="2936"/>
      <c r="RHU69" s="2936"/>
      <c r="RHV69" s="2936"/>
      <c r="RHW69" s="2936"/>
      <c r="RHX69" s="2936"/>
      <c r="RHY69" s="2936"/>
      <c r="RHZ69" s="2936"/>
      <c r="RIA69" s="2936"/>
      <c r="RIB69" s="2936"/>
      <c r="RIC69" s="2936"/>
      <c r="RID69" s="2936"/>
      <c r="RIE69" s="2936"/>
      <c r="RIF69" s="2936"/>
      <c r="RIG69" s="2936"/>
      <c r="RIH69" s="2936"/>
      <c r="RII69" s="2936"/>
      <c r="RIJ69" s="2936"/>
      <c r="RIK69" s="2936"/>
      <c r="RIL69" s="2936"/>
      <c r="RIM69" s="2936"/>
      <c r="RIN69" s="2936"/>
      <c r="RIO69" s="2936"/>
      <c r="RIP69" s="2936"/>
      <c r="RIQ69" s="2936"/>
      <c r="RIR69" s="2936"/>
      <c r="RIS69" s="2936"/>
      <c r="RIT69" s="2936"/>
      <c r="RIU69" s="2936"/>
      <c r="RIV69" s="2936"/>
      <c r="RIW69" s="2936"/>
      <c r="RIX69" s="2936"/>
      <c r="RIY69" s="2936"/>
      <c r="RIZ69" s="2936"/>
      <c r="RJA69" s="2936"/>
      <c r="RJB69" s="2936"/>
      <c r="RJC69" s="2936"/>
      <c r="RJD69" s="2936"/>
      <c r="RJE69" s="2936"/>
      <c r="RJF69" s="2936"/>
      <c r="RJG69" s="2936"/>
      <c r="RJH69" s="2936"/>
      <c r="RJI69" s="2936"/>
      <c r="RJJ69" s="2936"/>
      <c r="RJK69" s="2936"/>
      <c r="RJL69" s="2936"/>
      <c r="RJM69" s="2936"/>
      <c r="RJN69" s="2936"/>
      <c r="RJO69" s="2936"/>
      <c r="RJP69" s="2936"/>
      <c r="RJQ69" s="2936"/>
      <c r="RJR69" s="2936"/>
      <c r="RJS69" s="2936"/>
      <c r="RJT69" s="2936"/>
      <c r="RJU69" s="2936"/>
      <c r="RJV69" s="2936"/>
      <c r="RJW69" s="2936"/>
      <c r="RJX69" s="2936"/>
      <c r="RJY69" s="2936"/>
      <c r="RJZ69" s="2936"/>
      <c r="RKA69" s="2936"/>
      <c r="RKB69" s="2936"/>
      <c r="RKC69" s="2936"/>
      <c r="RKD69" s="2936"/>
      <c r="RKE69" s="2936"/>
      <c r="RKF69" s="2936"/>
      <c r="RKG69" s="2936"/>
      <c r="RKH69" s="2936"/>
      <c r="RKI69" s="2936"/>
      <c r="RKJ69" s="2936"/>
      <c r="RKK69" s="2936"/>
      <c r="RKL69" s="2936"/>
      <c r="RKM69" s="2936"/>
      <c r="RKN69" s="2936"/>
      <c r="RKO69" s="2936"/>
      <c r="RKP69" s="2936"/>
      <c r="RKQ69" s="2936"/>
      <c r="RKR69" s="2936"/>
      <c r="RKS69" s="2936"/>
      <c r="RKT69" s="2936"/>
      <c r="RKU69" s="2936"/>
      <c r="RKV69" s="2936"/>
      <c r="RKW69" s="2936"/>
      <c r="RKX69" s="2936"/>
      <c r="RKY69" s="2936"/>
      <c r="RKZ69" s="2936"/>
      <c r="RLA69" s="2936"/>
      <c r="RLB69" s="2936"/>
      <c r="RLC69" s="2936"/>
      <c r="RLD69" s="2936"/>
      <c r="RLE69" s="2936"/>
      <c r="RLF69" s="2936"/>
      <c r="RLG69" s="2936"/>
      <c r="RLH69" s="2936"/>
      <c r="RLI69" s="2936"/>
      <c r="RLJ69" s="2936"/>
      <c r="RLK69" s="2936"/>
      <c r="RLL69" s="2936"/>
      <c r="RLM69" s="2936"/>
      <c r="RLN69" s="2936"/>
      <c r="RLO69" s="2936"/>
      <c r="RLP69" s="2936"/>
      <c r="RLQ69" s="2936"/>
      <c r="RLR69" s="2936"/>
      <c r="RLS69" s="2936"/>
      <c r="RLT69" s="2936"/>
      <c r="RLU69" s="2936"/>
      <c r="RLV69" s="2936"/>
      <c r="RLW69" s="2936"/>
      <c r="RLX69" s="2936"/>
      <c r="RLY69" s="2936"/>
      <c r="RLZ69" s="2936"/>
      <c r="RMA69" s="2936"/>
      <c r="RMB69" s="2936"/>
      <c r="RMC69" s="2936"/>
      <c r="RMD69" s="2936"/>
      <c r="RME69" s="2936"/>
      <c r="RMF69" s="2936"/>
      <c r="RMG69" s="2936"/>
      <c r="RMH69" s="2936"/>
      <c r="RMI69" s="2936"/>
      <c r="RMJ69" s="2936"/>
      <c r="RMK69" s="2936"/>
      <c r="RML69" s="2936"/>
      <c r="RMM69" s="2936"/>
      <c r="RMN69" s="2936"/>
      <c r="RMO69" s="2936"/>
      <c r="RMP69" s="2936"/>
      <c r="RMQ69" s="2936"/>
      <c r="RMR69" s="2936"/>
      <c r="RMS69" s="2936"/>
      <c r="RMT69" s="2936"/>
      <c r="RMU69" s="2936"/>
      <c r="RMV69" s="2936"/>
      <c r="RMW69" s="2936"/>
      <c r="RMX69" s="2936"/>
      <c r="RMY69" s="2936"/>
      <c r="RMZ69" s="2936"/>
      <c r="RNA69" s="2936"/>
      <c r="RNB69" s="2936"/>
      <c r="RNC69" s="2936"/>
      <c r="RND69" s="2936"/>
      <c r="RNE69" s="2936"/>
      <c r="RNF69" s="2936"/>
      <c r="RNG69" s="2936"/>
      <c r="RNH69" s="2936"/>
      <c r="RNI69" s="2936"/>
      <c r="RNJ69" s="2936"/>
      <c r="RNK69" s="2936"/>
      <c r="RNL69" s="2936"/>
      <c r="RNM69" s="2936"/>
      <c r="RNN69" s="2936"/>
      <c r="RNO69" s="2936"/>
      <c r="RNP69" s="2936"/>
      <c r="RNQ69" s="2936"/>
      <c r="RNR69" s="2936"/>
      <c r="RNS69" s="2936"/>
      <c r="RNT69" s="2936"/>
      <c r="RNU69" s="2936"/>
      <c r="RNV69" s="2936"/>
      <c r="RNW69" s="2936"/>
      <c r="RNX69" s="2936"/>
      <c r="RNY69" s="2936"/>
      <c r="RNZ69" s="2936"/>
      <c r="ROA69" s="2936"/>
      <c r="ROB69" s="2936"/>
      <c r="ROC69" s="2936"/>
      <c r="ROD69" s="2936"/>
      <c r="ROE69" s="2936"/>
      <c r="ROF69" s="2936"/>
      <c r="ROG69" s="2936"/>
      <c r="ROH69" s="2936"/>
      <c r="ROI69" s="2936"/>
      <c r="ROJ69" s="2936"/>
      <c r="ROK69" s="2936"/>
      <c r="ROL69" s="2936"/>
      <c r="ROM69" s="2936"/>
      <c r="RON69" s="2936"/>
      <c r="ROO69" s="2936"/>
      <c r="ROP69" s="2936"/>
      <c r="ROQ69" s="2936"/>
      <c r="ROR69" s="2936"/>
      <c r="ROS69" s="2936"/>
      <c r="ROT69" s="2936"/>
      <c r="ROU69" s="2936"/>
      <c r="ROV69" s="2936"/>
      <c r="ROW69" s="2936"/>
      <c r="ROX69" s="2936"/>
      <c r="ROY69" s="2936"/>
      <c r="ROZ69" s="2936"/>
      <c r="RPA69" s="2936"/>
      <c r="RPB69" s="2936"/>
      <c r="RPC69" s="2936"/>
      <c r="RPD69" s="2936"/>
      <c r="RPE69" s="2936"/>
      <c r="RPF69" s="2936"/>
      <c r="RPG69" s="2936"/>
      <c r="RPH69" s="2936"/>
      <c r="RPI69" s="2936"/>
      <c r="RPJ69" s="2936"/>
      <c r="RPK69" s="2936"/>
      <c r="RPL69" s="2936"/>
      <c r="RPM69" s="2936"/>
      <c r="RPN69" s="2936"/>
      <c r="RPO69" s="2936"/>
      <c r="RPP69" s="2936"/>
      <c r="RPQ69" s="2936"/>
      <c r="RPR69" s="2936"/>
      <c r="RPS69" s="2936"/>
      <c r="RPT69" s="2936"/>
      <c r="RPU69" s="2936"/>
      <c r="RPV69" s="2936"/>
      <c r="RPW69" s="2936"/>
      <c r="RPX69" s="2936"/>
      <c r="RPY69" s="2936"/>
      <c r="RPZ69" s="2936"/>
      <c r="RQA69" s="2936"/>
      <c r="RQB69" s="2936"/>
      <c r="RQC69" s="2936"/>
      <c r="RQD69" s="2936"/>
      <c r="RQE69" s="2936"/>
      <c r="RQF69" s="2936"/>
      <c r="RQG69" s="2936"/>
      <c r="RQH69" s="2936"/>
      <c r="RQI69" s="2936"/>
      <c r="RQJ69" s="2936"/>
      <c r="RQK69" s="2936"/>
      <c r="RQL69" s="2936"/>
      <c r="RQM69" s="2936"/>
      <c r="RQN69" s="2936"/>
      <c r="RQO69" s="2936"/>
      <c r="RQP69" s="2936"/>
      <c r="RQQ69" s="2936"/>
      <c r="RQR69" s="2936"/>
      <c r="RQS69" s="2936"/>
      <c r="RQT69" s="2936"/>
      <c r="RQU69" s="2936"/>
      <c r="RQV69" s="2936"/>
      <c r="RQW69" s="2936"/>
      <c r="RQX69" s="2936"/>
      <c r="RQY69" s="2936"/>
      <c r="RQZ69" s="2936"/>
      <c r="RRA69" s="2936"/>
      <c r="RRB69" s="2936"/>
      <c r="RRC69" s="2936"/>
      <c r="RRD69" s="2936"/>
      <c r="RRE69" s="2936"/>
      <c r="RRF69" s="2936"/>
      <c r="RRG69" s="2936"/>
      <c r="RRH69" s="2936"/>
      <c r="RRI69" s="2936"/>
      <c r="RRJ69" s="2936"/>
      <c r="RRK69" s="2936"/>
      <c r="RRL69" s="2936"/>
      <c r="RRM69" s="2936"/>
      <c r="RRN69" s="2936"/>
      <c r="RRO69" s="2936"/>
      <c r="RRP69" s="2936"/>
      <c r="RRQ69" s="2936"/>
      <c r="RRR69" s="2936"/>
      <c r="RRS69" s="2936"/>
      <c r="RRT69" s="2936"/>
      <c r="RRU69" s="2936"/>
      <c r="RRV69" s="2936"/>
      <c r="RRW69" s="2936"/>
      <c r="RRX69" s="2936"/>
      <c r="RRY69" s="2936"/>
      <c r="RRZ69" s="2936"/>
      <c r="RSA69" s="2936"/>
      <c r="RSB69" s="2936"/>
      <c r="RSC69" s="2936"/>
      <c r="RSD69" s="2936"/>
      <c r="RSE69" s="2936"/>
      <c r="RSF69" s="2936"/>
      <c r="RSG69" s="2936"/>
      <c r="RSH69" s="2936"/>
      <c r="RSI69" s="2936"/>
      <c r="RSJ69" s="2936"/>
      <c r="RSK69" s="2936"/>
      <c r="RSL69" s="2936"/>
      <c r="RSM69" s="2936"/>
      <c r="RSN69" s="2936"/>
      <c r="RSO69" s="2936"/>
      <c r="RSP69" s="2936"/>
      <c r="RSQ69" s="2936"/>
      <c r="RSR69" s="2936"/>
      <c r="RSS69" s="2936"/>
      <c r="RST69" s="2936"/>
      <c r="RSU69" s="2936"/>
      <c r="RSV69" s="2936"/>
      <c r="RSW69" s="2936"/>
      <c r="RSX69" s="2936"/>
      <c r="RSY69" s="2936"/>
      <c r="RSZ69" s="2936"/>
      <c r="RTA69" s="2936"/>
      <c r="RTB69" s="2936"/>
      <c r="RTC69" s="2936"/>
      <c r="RTD69" s="2936"/>
      <c r="RTE69" s="2936"/>
      <c r="RTF69" s="2936"/>
      <c r="RTG69" s="2936"/>
      <c r="RTH69" s="2936"/>
      <c r="RTI69" s="2936"/>
      <c r="RTJ69" s="2936"/>
      <c r="RTK69" s="2936"/>
      <c r="RTL69" s="2936"/>
      <c r="RTM69" s="2936"/>
      <c r="RTN69" s="2936"/>
      <c r="RTO69" s="2936"/>
      <c r="RTP69" s="2936"/>
      <c r="RTQ69" s="2936"/>
      <c r="RTR69" s="2936"/>
      <c r="RTS69" s="2936"/>
      <c r="RTT69" s="2936"/>
      <c r="RTU69" s="2936"/>
      <c r="RTV69" s="2936"/>
      <c r="RTW69" s="2936"/>
      <c r="RTX69" s="2936"/>
      <c r="RTY69" s="2936"/>
      <c r="RTZ69" s="2936"/>
      <c r="RUA69" s="2936"/>
      <c r="RUB69" s="2936"/>
      <c r="RUC69" s="2936"/>
      <c r="RUD69" s="2936"/>
      <c r="RUE69" s="2936"/>
      <c r="RUF69" s="2936"/>
      <c r="RUG69" s="2936"/>
      <c r="RUH69" s="2936"/>
      <c r="RUI69" s="2936"/>
      <c r="RUJ69" s="2936"/>
      <c r="RUK69" s="2936"/>
      <c r="RUL69" s="2936"/>
      <c r="RUM69" s="2936"/>
      <c r="RUN69" s="2936"/>
      <c r="RUO69" s="2936"/>
      <c r="RUP69" s="2936"/>
      <c r="RUQ69" s="2936"/>
      <c r="RUR69" s="2936"/>
      <c r="RUS69" s="2936"/>
      <c r="RUT69" s="2936"/>
      <c r="RUU69" s="2936"/>
      <c r="RUV69" s="2936"/>
      <c r="RUW69" s="2936"/>
      <c r="RUX69" s="2936"/>
      <c r="RUY69" s="2936"/>
      <c r="RUZ69" s="2936"/>
      <c r="RVA69" s="2936"/>
      <c r="RVB69" s="2936"/>
      <c r="RVC69" s="2936"/>
      <c r="RVD69" s="2936"/>
      <c r="RVE69" s="2936"/>
      <c r="RVF69" s="2936"/>
      <c r="RVG69" s="2936"/>
      <c r="RVH69" s="2936"/>
      <c r="RVI69" s="2936"/>
      <c r="RVJ69" s="2936"/>
      <c r="RVK69" s="2936"/>
      <c r="RVL69" s="2936"/>
      <c r="RVM69" s="2936"/>
      <c r="RVN69" s="2936"/>
      <c r="RVO69" s="2936"/>
      <c r="RVP69" s="2936"/>
      <c r="RVQ69" s="2936"/>
      <c r="RVR69" s="2936"/>
      <c r="RVS69" s="2936"/>
      <c r="RVT69" s="2936"/>
      <c r="RVU69" s="2936"/>
      <c r="RVV69" s="2936"/>
      <c r="RVW69" s="2936"/>
      <c r="RVX69" s="2936"/>
      <c r="RVY69" s="2936"/>
      <c r="RVZ69" s="2936"/>
      <c r="RWA69" s="2936"/>
      <c r="RWB69" s="2936"/>
      <c r="RWC69" s="2936"/>
      <c r="RWD69" s="2936"/>
      <c r="RWE69" s="2936"/>
      <c r="RWF69" s="2936"/>
      <c r="RWG69" s="2936"/>
      <c r="RWH69" s="2936"/>
      <c r="RWI69" s="2936"/>
      <c r="RWJ69" s="2936"/>
      <c r="RWK69" s="2936"/>
      <c r="RWL69" s="2936"/>
      <c r="RWM69" s="2936"/>
      <c r="RWN69" s="2936"/>
      <c r="RWO69" s="2936"/>
      <c r="RWP69" s="2936"/>
      <c r="RWQ69" s="2936"/>
      <c r="RWR69" s="2936"/>
      <c r="RWS69" s="2936"/>
      <c r="RWT69" s="2936"/>
      <c r="RWU69" s="2936"/>
      <c r="RWV69" s="2936"/>
      <c r="RWW69" s="2936"/>
      <c r="RWX69" s="2936"/>
      <c r="RWY69" s="2936"/>
      <c r="RWZ69" s="2936"/>
      <c r="RXA69" s="2936"/>
      <c r="RXB69" s="2936"/>
      <c r="RXC69" s="2936"/>
      <c r="RXD69" s="2936"/>
      <c r="RXE69" s="2936"/>
      <c r="RXF69" s="2936"/>
      <c r="RXG69" s="2936"/>
      <c r="RXH69" s="2936"/>
      <c r="RXI69" s="2936"/>
      <c r="RXJ69" s="2936"/>
      <c r="RXK69" s="2936"/>
      <c r="RXL69" s="2936"/>
      <c r="RXM69" s="2936"/>
      <c r="RXN69" s="2936"/>
      <c r="RXO69" s="2936"/>
      <c r="RXP69" s="2936"/>
      <c r="RXQ69" s="2936"/>
      <c r="RXR69" s="2936"/>
      <c r="RXS69" s="2936"/>
      <c r="RXT69" s="2936"/>
      <c r="RXU69" s="2936"/>
      <c r="RXV69" s="2936"/>
      <c r="RXW69" s="2936"/>
      <c r="RXX69" s="2936"/>
      <c r="RXY69" s="2936"/>
      <c r="RXZ69" s="2936"/>
      <c r="RYA69" s="2936"/>
      <c r="RYB69" s="2936"/>
      <c r="RYC69" s="2936"/>
      <c r="RYD69" s="2936"/>
      <c r="RYE69" s="2936"/>
      <c r="RYF69" s="2936"/>
      <c r="RYG69" s="2936"/>
      <c r="RYH69" s="2936"/>
      <c r="RYI69" s="2936"/>
      <c r="RYJ69" s="2936"/>
      <c r="RYK69" s="2936"/>
      <c r="RYL69" s="2936"/>
      <c r="RYM69" s="2936"/>
      <c r="RYN69" s="2936"/>
      <c r="RYO69" s="2936"/>
      <c r="RYP69" s="2936"/>
      <c r="RYQ69" s="2936"/>
      <c r="RYR69" s="2936"/>
      <c r="RYS69" s="2936"/>
      <c r="RYT69" s="2936"/>
      <c r="RYU69" s="2936"/>
      <c r="RYV69" s="2936"/>
      <c r="RYW69" s="2936"/>
      <c r="RYX69" s="2936"/>
      <c r="RYY69" s="2936"/>
      <c r="RYZ69" s="2936"/>
      <c r="RZA69" s="2936"/>
      <c r="RZB69" s="2936"/>
      <c r="RZC69" s="2936"/>
      <c r="RZD69" s="2936"/>
      <c r="RZE69" s="2936"/>
      <c r="RZF69" s="2936"/>
      <c r="RZG69" s="2936"/>
      <c r="RZH69" s="2936"/>
      <c r="RZI69" s="2936"/>
      <c r="RZJ69" s="2936"/>
      <c r="RZK69" s="2936"/>
      <c r="RZL69" s="2936"/>
      <c r="RZM69" s="2936"/>
      <c r="RZN69" s="2936"/>
      <c r="RZO69" s="2936"/>
      <c r="RZP69" s="2936"/>
      <c r="RZQ69" s="2936"/>
      <c r="RZR69" s="2936"/>
      <c r="RZS69" s="2936"/>
      <c r="RZT69" s="2936"/>
      <c r="RZU69" s="2936"/>
      <c r="RZV69" s="2936"/>
      <c r="RZW69" s="2936"/>
      <c r="RZX69" s="2936"/>
      <c r="RZY69" s="2936"/>
      <c r="RZZ69" s="2936"/>
      <c r="SAA69" s="2936"/>
      <c r="SAB69" s="2936"/>
      <c r="SAC69" s="2936"/>
      <c r="SAD69" s="2936"/>
      <c r="SAE69" s="2936"/>
      <c r="SAF69" s="2936"/>
      <c r="SAG69" s="2936"/>
      <c r="SAH69" s="2936"/>
      <c r="SAI69" s="2936"/>
      <c r="SAJ69" s="2936"/>
      <c r="SAK69" s="2936"/>
      <c r="SAL69" s="2936"/>
      <c r="SAM69" s="2936"/>
      <c r="SAN69" s="2936"/>
      <c r="SAO69" s="2936"/>
      <c r="SAP69" s="2936"/>
      <c r="SAQ69" s="2936"/>
      <c r="SAR69" s="2936"/>
      <c r="SAS69" s="2936"/>
      <c r="SAT69" s="2936"/>
      <c r="SAU69" s="2936"/>
      <c r="SAV69" s="2936"/>
      <c r="SAW69" s="2936"/>
      <c r="SAX69" s="2936"/>
      <c r="SAY69" s="2936"/>
      <c r="SAZ69" s="2936"/>
      <c r="SBA69" s="2936"/>
      <c r="SBB69" s="2936"/>
      <c r="SBC69" s="2936"/>
      <c r="SBD69" s="2936"/>
      <c r="SBE69" s="2936"/>
      <c r="SBF69" s="2936"/>
      <c r="SBG69" s="2936"/>
      <c r="SBH69" s="2936"/>
      <c r="SBI69" s="2936"/>
      <c r="SBJ69" s="2936"/>
      <c r="SBK69" s="2936"/>
      <c r="SBL69" s="2936"/>
      <c r="SBM69" s="2936"/>
      <c r="SBN69" s="2936"/>
      <c r="SBO69" s="2936"/>
      <c r="SBP69" s="2936"/>
      <c r="SBQ69" s="2936"/>
      <c r="SBR69" s="2936"/>
      <c r="SBS69" s="2936"/>
      <c r="SBT69" s="2936"/>
      <c r="SBU69" s="2936"/>
      <c r="SBV69" s="2936"/>
      <c r="SBW69" s="2936"/>
      <c r="SBX69" s="2936"/>
      <c r="SBY69" s="2936"/>
      <c r="SBZ69" s="2936"/>
      <c r="SCA69" s="2936"/>
      <c r="SCB69" s="2936"/>
      <c r="SCC69" s="2936"/>
      <c r="SCD69" s="2936"/>
      <c r="SCE69" s="2936"/>
      <c r="SCF69" s="2936"/>
      <c r="SCG69" s="2936"/>
      <c r="SCH69" s="2936"/>
      <c r="SCI69" s="2936"/>
      <c r="SCJ69" s="2936"/>
      <c r="SCK69" s="2936"/>
      <c r="SCL69" s="2936"/>
      <c r="SCM69" s="2936"/>
      <c r="SCN69" s="2936"/>
      <c r="SCO69" s="2936"/>
      <c r="SCP69" s="2936"/>
      <c r="SCQ69" s="2936"/>
      <c r="SCR69" s="2936"/>
      <c r="SCS69" s="2936"/>
      <c r="SCT69" s="2936"/>
      <c r="SCU69" s="2936"/>
      <c r="SCV69" s="2936"/>
      <c r="SCW69" s="2936"/>
      <c r="SCX69" s="2936"/>
      <c r="SCY69" s="2936"/>
      <c r="SCZ69" s="2936"/>
      <c r="SDA69" s="2936"/>
      <c r="SDB69" s="2936"/>
      <c r="SDC69" s="2936"/>
      <c r="SDD69" s="2936"/>
      <c r="SDE69" s="2936"/>
      <c r="SDF69" s="2936"/>
      <c r="SDG69" s="2936"/>
      <c r="SDH69" s="2936"/>
      <c r="SDI69" s="2936"/>
      <c r="SDJ69" s="2936"/>
      <c r="SDK69" s="2936"/>
      <c r="SDL69" s="2936"/>
      <c r="SDM69" s="2936"/>
      <c r="SDN69" s="2936"/>
      <c r="SDO69" s="2936"/>
      <c r="SDP69" s="2936"/>
      <c r="SDQ69" s="2936"/>
      <c r="SDR69" s="2936"/>
      <c r="SDS69" s="2936"/>
      <c r="SDT69" s="2936"/>
      <c r="SDU69" s="2936"/>
      <c r="SDV69" s="2936"/>
      <c r="SDW69" s="2936"/>
      <c r="SDX69" s="2936"/>
      <c r="SDY69" s="2936"/>
      <c r="SDZ69" s="2936"/>
      <c r="SEA69" s="2936"/>
      <c r="SEB69" s="2936"/>
      <c r="SEC69" s="2936"/>
      <c r="SED69" s="2936"/>
      <c r="SEE69" s="2936"/>
      <c r="SEF69" s="2936"/>
      <c r="SEG69" s="2936"/>
      <c r="SEH69" s="2936"/>
      <c r="SEI69" s="2936"/>
      <c r="SEJ69" s="2936"/>
      <c r="SEK69" s="2936"/>
      <c r="SEL69" s="2936"/>
      <c r="SEM69" s="2936"/>
      <c r="SEN69" s="2936"/>
      <c r="SEO69" s="2936"/>
      <c r="SEP69" s="2936"/>
      <c r="SEQ69" s="2936"/>
      <c r="SER69" s="2936"/>
      <c r="SES69" s="2936"/>
      <c r="SET69" s="2936"/>
      <c r="SEU69" s="2936"/>
      <c r="SEV69" s="2936"/>
      <c r="SEW69" s="2936"/>
      <c r="SEX69" s="2936"/>
      <c r="SEY69" s="2936"/>
      <c r="SEZ69" s="2936"/>
      <c r="SFA69" s="2936"/>
      <c r="SFB69" s="2936"/>
      <c r="SFC69" s="2936"/>
      <c r="SFD69" s="2936"/>
      <c r="SFE69" s="2936"/>
      <c r="SFF69" s="2936"/>
      <c r="SFG69" s="2936"/>
      <c r="SFH69" s="2936"/>
      <c r="SFI69" s="2936"/>
      <c r="SFJ69" s="2936"/>
      <c r="SFK69" s="2936"/>
      <c r="SFL69" s="2936"/>
      <c r="SFM69" s="2936"/>
      <c r="SFN69" s="2936"/>
      <c r="SFO69" s="2936"/>
      <c r="SFP69" s="2936"/>
      <c r="SFQ69" s="2936"/>
      <c r="SFR69" s="2936"/>
      <c r="SFS69" s="2936"/>
      <c r="SFT69" s="2936"/>
      <c r="SFU69" s="2936"/>
      <c r="SFV69" s="2936"/>
      <c r="SFW69" s="2936"/>
      <c r="SFX69" s="2936"/>
      <c r="SFY69" s="2936"/>
      <c r="SFZ69" s="2936"/>
      <c r="SGA69" s="2936"/>
      <c r="SGB69" s="2936"/>
      <c r="SGC69" s="2936"/>
      <c r="SGD69" s="2936"/>
      <c r="SGE69" s="2936"/>
      <c r="SGF69" s="2936"/>
      <c r="SGG69" s="2936"/>
      <c r="SGH69" s="2936"/>
      <c r="SGI69" s="2936"/>
      <c r="SGJ69" s="2936"/>
      <c r="SGK69" s="2936"/>
      <c r="SGL69" s="2936"/>
      <c r="SGM69" s="2936"/>
      <c r="SGN69" s="2936"/>
      <c r="SGO69" s="2936"/>
      <c r="SGP69" s="2936"/>
      <c r="SGQ69" s="2936"/>
      <c r="SGR69" s="2936"/>
      <c r="SGS69" s="2936"/>
      <c r="SGT69" s="2936"/>
      <c r="SGU69" s="2936"/>
      <c r="SGV69" s="2936"/>
      <c r="SGW69" s="2936"/>
      <c r="SGX69" s="2936"/>
      <c r="SGY69" s="2936"/>
      <c r="SGZ69" s="2936"/>
      <c r="SHA69" s="2936"/>
      <c r="SHB69" s="2936"/>
      <c r="SHC69" s="2936"/>
      <c r="SHD69" s="2936"/>
      <c r="SHE69" s="2936"/>
      <c r="SHF69" s="2936"/>
      <c r="SHG69" s="2936"/>
      <c r="SHH69" s="2936"/>
      <c r="SHI69" s="2936"/>
      <c r="SHJ69" s="2936"/>
      <c r="SHK69" s="2936"/>
      <c r="SHL69" s="2936"/>
      <c r="SHM69" s="2936"/>
      <c r="SHN69" s="2936"/>
      <c r="SHO69" s="2936"/>
      <c r="SHP69" s="2936"/>
      <c r="SHQ69" s="2936"/>
      <c r="SHR69" s="2936"/>
      <c r="SHS69" s="2936"/>
      <c r="SHT69" s="2936"/>
      <c r="SHU69" s="2936"/>
      <c r="SHV69" s="2936"/>
      <c r="SHW69" s="2936"/>
      <c r="SHX69" s="2936"/>
      <c r="SHY69" s="2936"/>
      <c r="SHZ69" s="2936"/>
      <c r="SIA69" s="2936"/>
      <c r="SIB69" s="2936"/>
      <c r="SIC69" s="2936"/>
      <c r="SID69" s="2936"/>
      <c r="SIE69" s="2936"/>
      <c r="SIF69" s="2936"/>
      <c r="SIG69" s="2936"/>
      <c r="SIH69" s="2936"/>
      <c r="SII69" s="2936"/>
      <c r="SIJ69" s="2936"/>
      <c r="SIK69" s="2936"/>
      <c r="SIL69" s="2936"/>
      <c r="SIM69" s="2936"/>
      <c r="SIN69" s="2936"/>
      <c r="SIO69" s="2936"/>
      <c r="SIP69" s="2936"/>
      <c r="SIQ69" s="2936"/>
      <c r="SIR69" s="2936"/>
      <c r="SIS69" s="2936"/>
      <c r="SIT69" s="2936"/>
      <c r="SIU69" s="2936"/>
      <c r="SIV69" s="2936"/>
      <c r="SIW69" s="2936"/>
      <c r="SIX69" s="2936"/>
      <c r="SIY69" s="2936"/>
      <c r="SIZ69" s="2936"/>
      <c r="SJA69" s="2936"/>
      <c r="SJB69" s="2936"/>
      <c r="SJC69" s="2936"/>
      <c r="SJD69" s="2936"/>
      <c r="SJE69" s="2936"/>
      <c r="SJF69" s="2936"/>
      <c r="SJG69" s="2936"/>
      <c r="SJH69" s="2936"/>
      <c r="SJI69" s="2936"/>
      <c r="SJJ69" s="2936"/>
      <c r="SJK69" s="2936"/>
      <c r="SJL69" s="2936"/>
      <c r="SJM69" s="2936"/>
      <c r="SJN69" s="2936"/>
      <c r="SJO69" s="2936"/>
      <c r="SJP69" s="2936"/>
      <c r="SJQ69" s="2936"/>
      <c r="SJR69" s="2936"/>
      <c r="SJS69" s="2936"/>
      <c r="SJT69" s="2936"/>
      <c r="SJU69" s="2936"/>
      <c r="SJV69" s="2936"/>
      <c r="SJW69" s="2936"/>
      <c r="SJX69" s="2936"/>
      <c r="SJY69" s="2936"/>
      <c r="SJZ69" s="2936"/>
      <c r="SKA69" s="2936"/>
      <c r="SKB69" s="2936"/>
      <c r="SKC69" s="2936"/>
      <c r="SKD69" s="2936"/>
      <c r="SKE69" s="2936"/>
      <c r="SKF69" s="2936"/>
      <c r="SKG69" s="2936"/>
      <c r="SKH69" s="2936"/>
      <c r="SKI69" s="2936"/>
      <c r="SKJ69" s="2936"/>
      <c r="SKK69" s="2936"/>
      <c r="SKL69" s="2936"/>
      <c r="SKM69" s="2936"/>
      <c r="SKN69" s="2936"/>
      <c r="SKO69" s="2936"/>
      <c r="SKP69" s="2936"/>
      <c r="SKQ69" s="2936"/>
      <c r="SKR69" s="2936"/>
      <c r="SKS69" s="2936"/>
      <c r="SKT69" s="2936"/>
      <c r="SKU69" s="2936"/>
      <c r="SKV69" s="2936"/>
      <c r="SKW69" s="2936"/>
      <c r="SKX69" s="2936"/>
      <c r="SKY69" s="2936"/>
      <c r="SKZ69" s="2936"/>
      <c r="SLA69" s="2936"/>
      <c r="SLB69" s="2936"/>
      <c r="SLC69" s="2936"/>
      <c r="SLD69" s="2936"/>
      <c r="SLE69" s="2936"/>
      <c r="SLF69" s="2936"/>
      <c r="SLG69" s="2936"/>
      <c r="SLH69" s="2936"/>
      <c r="SLI69" s="2936"/>
      <c r="SLJ69" s="2936"/>
      <c r="SLK69" s="2936"/>
      <c r="SLL69" s="2936"/>
      <c r="SLM69" s="2936"/>
      <c r="SLN69" s="2936"/>
      <c r="SLO69" s="2936"/>
      <c r="SLP69" s="2936"/>
      <c r="SLQ69" s="2936"/>
      <c r="SLR69" s="2936"/>
      <c r="SLS69" s="2936"/>
      <c r="SLT69" s="2936"/>
      <c r="SLU69" s="2936"/>
      <c r="SLV69" s="2936"/>
      <c r="SLW69" s="2936"/>
      <c r="SLX69" s="2936"/>
      <c r="SLY69" s="2936"/>
      <c r="SLZ69" s="2936"/>
      <c r="SMA69" s="2936"/>
      <c r="SMB69" s="2936"/>
      <c r="SMC69" s="2936"/>
      <c r="SMD69" s="2936"/>
      <c r="SME69" s="2936"/>
      <c r="SMF69" s="2936"/>
      <c r="SMG69" s="2936"/>
      <c r="SMH69" s="2936"/>
      <c r="SMI69" s="2936"/>
      <c r="SMJ69" s="2936"/>
      <c r="SMK69" s="2936"/>
      <c r="SML69" s="2936"/>
      <c r="SMM69" s="2936"/>
      <c r="SMN69" s="2936"/>
      <c r="SMO69" s="2936"/>
      <c r="SMP69" s="2936"/>
      <c r="SMQ69" s="2936"/>
      <c r="SMR69" s="2936"/>
      <c r="SMS69" s="2936"/>
      <c r="SMT69" s="2936"/>
      <c r="SMU69" s="2936"/>
      <c r="SMV69" s="2936"/>
      <c r="SMW69" s="2936"/>
      <c r="SMX69" s="2936"/>
      <c r="SMY69" s="2936"/>
      <c r="SMZ69" s="2936"/>
      <c r="SNA69" s="2936"/>
      <c r="SNB69" s="2936"/>
      <c r="SNC69" s="2936"/>
      <c r="SND69" s="2936"/>
      <c r="SNE69" s="2936"/>
      <c r="SNF69" s="2936"/>
      <c r="SNG69" s="2936"/>
      <c r="SNH69" s="2936"/>
      <c r="SNI69" s="2936"/>
      <c r="SNJ69" s="2936"/>
      <c r="SNK69" s="2936"/>
      <c r="SNL69" s="2936"/>
      <c r="SNM69" s="2936"/>
      <c r="SNN69" s="2936"/>
      <c r="SNO69" s="2936"/>
      <c r="SNP69" s="2936"/>
      <c r="SNQ69" s="2936"/>
      <c r="SNR69" s="2936"/>
      <c r="SNS69" s="2936"/>
      <c r="SNT69" s="2936"/>
      <c r="SNU69" s="2936"/>
      <c r="SNV69" s="2936"/>
      <c r="SNW69" s="2936"/>
      <c r="SNX69" s="2936"/>
      <c r="SNY69" s="2936"/>
      <c r="SNZ69" s="2936"/>
      <c r="SOA69" s="2936"/>
      <c r="SOB69" s="2936"/>
      <c r="SOC69" s="2936"/>
      <c r="SOD69" s="2936"/>
      <c r="SOE69" s="2936"/>
      <c r="SOF69" s="2936"/>
      <c r="SOG69" s="2936"/>
      <c r="SOH69" s="2936"/>
      <c r="SOI69" s="2936"/>
      <c r="SOJ69" s="2936"/>
      <c r="SOK69" s="2936"/>
      <c r="SOL69" s="2936"/>
      <c r="SOM69" s="2936"/>
      <c r="SON69" s="2936"/>
      <c r="SOO69" s="2936"/>
      <c r="SOP69" s="2936"/>
      <c r="SOQ69" s="2936"/>
      <c r="SOR69" s="2936"/>
      <c r="SOS69" s="2936"/>
      <c r="SOT69" s="2936"/>
      <c r="SOU69" s="2936"/>
      <c r="SOV69" s="2936"/>
      <c r="SOW69" s="2936"/>
      <c r="SOX69" s="2936"/>
      <c r="SOY69" s="2936"/>
      <c r="SOZ69" s="2936"/>
      <c r="SPA69" s="2936"/>
      <c r="SPB69" s="2936"/>
      <c r="SPC69" s="2936"/>
      <c r="SPD69" s="2936"/>
      <c r="SPE69" s="2936"/>
      <c r="SPF69" s="2936"/>
      <c r="SPG69" s="2936"/>
      <c r="SPH69" s="2936"/>
      <c r="SPI69" s="2936"/>
      <c r="SPJ69" s="2936"/>
      <c r="SPK69" s="2936"/>
      <c r="SPL69" s="2936"/>
      <c r="SPM69" s="2936"/>
      <c r="SPN69" s="2936"/>
      <c r="SPO69" s="2936"/>
      <c r="SPP69" s="2936"/>
      <c r="SPQ69" s="2936"/>
      <c r="SPR69" s="2936"/>
      <c r="SPS69" s="2936"/>
      <c r="SPT69" s="2936"/>
      <c r="SPU69" s="2936"/>
      <c r="SPV69" s="2936"/>
      <c r="SPW69" s="2936"/>
      <c r="SPX69" s="2936"/>
      <c r="SPY69" s="2936"/>
      <c r="SPZ69" s="2936"/>
      <c r="SQA69" s="2936"/>
      <c r="SQB69" s="2936"/>
      <c r="SQC69" s="2936"/>
      <c r="SQD69" s="2936"/>
      <c r="SQE69" s="2936"/>
      <c r="SQF69" s="2936"/>
      <c r="SQG69" s="2936"/>
      <c r="SQH69" s="2936"/>
      <c r="SQI69" s="2936"/>
      <c r="SQJ69" s="2936"/>
      <c r="SQK69" s="2936"/>
      <c r="SQL69" s="2936"/>
      <c r="SQM69" s="2936"/>
      <c r="SQN69" s="2936"/>
      <c r="SQO69" s="2936"/>
      <c r="SQP69" s="2936"/>
      <c r="SQQ69" s="2936"/>
      <c r="SQR69" s="2936"/>
      <c r="SQS69" s="2936"/>
      <c r="SQT69" s="2936"/>
      <c r="SQU69" s="2936"/>
      <c r="SQV69" s="2936"/>
      <c r="SQW69" s="2936"/>
      <c r="SQX69" s="2936"/>
      <c r="SQY69" s="2936"/>
      <c r="SQZ69" s="2936"/>
      <c r="SRA69" s="2936"/>
      <c r="SRB69" s="2936"/>
      <c r="SRC69" s="2936"/>
      <c r="SRD69" s="2936"/>
      <c r="SRE69" s="2936"/>
      <c r="SRF69" s="2936"/>
      <c r="SRG69" s="2936"/>
      <c r="SRH69" s="2936"/>
      <c r="SRI69" s="2936"/>
      <c r="SRJ69" s="2936"/>
      <c r="SRK69" s="2936"/>
      <c r="SRL69" s="2936"/>
      <c r="SRM69" s="2936"/>
      <c r="SRN69" s="2936"/>
      <c r="SRO69" s="2936"/>
      <c r="SRP69" s="2936"/>
      <c r="SRQ69" s="2936"/>
      <c r="SRR69" s="2936"/>
      <c r="SRS69" s="2936"/>
      <c r="SRT69" s="2936"/>
      <c r="SRU69" s="2936"/>
      <c r="SRV69" s="2936"/>
      <c r="SRW69" s="2936"/>
      <c r="SRX69" s="2936"/>
      <c r="SRY69" s="2936"/>
      <c r="SRZ69" s="2936"/>
      <c r="SSA69" s="2936"/>
      <c r="SSB69" s="2936"/>
      <c r="SSC69" s="2936"/>
      <c r="SSD69" s="2936"/>
      <c r="SSE69" s="2936"/>
      <c r="SSF69" s="2936"/>
      <c r="SSG69" s="2936"/>
      <c r="SSH69" s="2936"/>
      <c r="SSI69" s="2936"/>
      <c r="SSJ69" s="2936"/>
      <c r="SSK69" s="2936"/>
      <c r="SSL69" s="2936"/>
      <c r="SSM69" s="2936"/>
      <c r="SSN69" s="2936"/>
      <c r="SSO69" s="2936"/>
      <c r="SSP69" s="2936"/>
      <c r="SSQ69" s="2936"/>
      <c r="SSR69" s="2936"/>
      <c r="SSS69" s="2936"/>
      <c r="SST69" s="2936"/>
      <c r="SSU69" s="2936"/>
      <c r="SSV69" s="2936"/>
      <c r="SSW69" s="2936"/>
      <c r="SSX69" s="2936"/>
      <c r="SSY69" s="2936"/>
      <c r="SSZ69" s="2936"/>
      <c r="STA69" s="2936"/>
      <c r="STB69" s="2936"/>
      <c r="STC69" s="2936"/>
      <c r="STD69" s="2936"/>
      <c r="STE69" s="2936"/>
      <c r="STF69" s="2936"/>
      <c r="STG69" s="2936"/>
      <c r="STH69" s="2936"/>
      <c r="STI69" s="2936"/>
      <c r="STJ69" s="2936"/>
      <c r="STK69" s="2936"/>
      <c r="STL69" s="2936"/>
      <c r="STM69" s="2936"/>
      <c r="STN69" s="2936"/>
      <c r="STO69" s="2936"/>
      <c r="STP69" s="2936"/>
      <c r="STQ69" s="2936"/>
      <c r="STR69" s="2936"/>
      <c r="STS69" s="2936"/>
      <c r="STT69" s="2936"/>
      <c r="STU69" s="2936"/>
      <c r="STV69" s="2936"/>
      <c r="STW69" s="2936"/>
      <c r="STX69" s="2936"/>
      <c r="STY69" s="2936"/>
      <c r="STZ69" s="2936"/>
      <c r="SUA69" s="2936"/>
      <c r="SUB69" s="2936"/>
      <c r="SUC69" s="2936"/>
      <c r="SUD69" s="2936"/>
      <c r="SUE69" s="2936"/>
      <c r="SUF69" s="2936"/>
      <c r="SUG69" s="2936"/>
      <c r="SUH69" s="2936"/>
      <c r="SUI69" s="2936"/>
      <c r="SUJ69" s="2936"/>
      <c r="SUK69" s="2936"/>
      <c r="SUL69" s="2936"/>
      <c r="SUM69" s="2936"/>
      <c r="SUN69" s="2936"/>
      <c r="SUO69" s="2936"/>
      <c r="SUP69" s="2936"/>
      <c r="SUQ69" s="2936"/>
      <c r="SUR69" s="2936"/>
      <c r="SUS69" s="2936"/>
      <c r="SUT69" s="2936"/>
      <c r="SUU69" s="2936"/>
      <c r="SUV69" s="2936"/>
      <c r="SUW69" s="2936"/>
      <c r="SUX69" s="2936"/>
      <c r="SUY69" s="2936"/>
      <c r="SUZ69" s="2936"/>
      <c r="SVA69" s="2936"/>
      <c r="SVB69" s="2936"/>
      <c r="SVC69" s="2936"/>
      <c r="SVD69" s="2936"/>
      <c r="SVE69" s="2936"/>
      <c r="SVF69" s="2936"/>
      <c r="SVG69" s="2936"/>
      <c r="SVH69" s="2936"/>
      <c r="SVI69" s="2936"/>
      <c r="SVJ69" s="2936"/>
      <c r="SVK69" s="2936"/>
      <c r="SVL69" s="2936"/>
      <c r="SVM69" s="2936"/>
      <c r="SVN69" s="2936"/>
      <c r="SVO69" s="2936"/>
      <c r="SVP69" s="2936"/>
      <c r="SVQ69" s="2936"/>
      <c r="SVR69" s="2936"/>
      <c r="SVS69" s="2936"/>
      <c r="SVT69" s="2936"/>
      <c r="SVU69" s="2936"/>
      <c r="SVV69" s="2936"/>
      <c r="SVW69" s="2936"/>
      <c r="SVX69" s="2936"/>
      <c r="SVY69" s="2936"/>
      <c r="SVZ69" s="2936"/>
      <c r="SWA69" s="2936"/>
      <c r="SWB69" s="2936"/>
      <c r="SWC69" s="2936"/>
      <c r="SWD69" s="2936"/>
      <c r="SWE69" s="2936"/>
      <c r="SWF69" s="2936"/>
      <c r="SWG69" s="2936"/>
      <c r="SWH69" s="2936"/>
      <c r="SWI69" s="2936"/>
      <c r="SWJ69" s="2936"/>
      <c r="SWK69" s="2936"/>
      <c r="SWL69" s="2936"/>
      <c r="SWM69" s="2936"/>
      <c r="SWN69" s="2936"/>
      <c r="SWO69" s="2936"/>
      <c r="SWP69" s="2936"/>
      <c r="SWQ69" s="2936"/>
      <c r="SWR69" s="2936"/>
      <c r="SWS69" s="2936"/>
      <c r="SWT69" s="2936"/>
      <c r="SWU69" s="2936"/>
      <c r="SWV69" s="2936"/>
      <c r="SWW69" s="2936"/>
      <c r="SWX69" s="2936"/>
      <c r="SWY69" s="2936"/>
      <c r="SWZ69" s="2936"/>
      <c r="SXA69" s="2936"/>
      <c r="SXB69" s="2936"/>
      <c r="SXC69" s="2936"/>
      <c r="SXD69" s="2936"/>
      <c r="SXE69" s="2936"/>
      <c r="SXF69" s="2936"/>
      <c r="SXG69" s="2936"/>
      <c r="SXH69" s="2936"/>
      <c r="SXI69" s="2936"/>
      <c r="SXJ69" s="2936"/>
      <c r="SXK69" s="2936"/>
      <c r="SXL69" s="2936"/>
      <c r="SXM69" s="2936"/>
      <c r="SXN69" s="2936"/>
      <c r="SXO69" s="2936"/>
      <c r="SXP69" s="2936"/>
      <c r="SXQ69" s="2936"/>
      <c r="SXR69" s="2936"/>
      <c r="SXS69" s="2936"/>
      <c r="SXT69" s="2936"/>
      <c r="SXU69" s="2936"/>
      <c r="SXV69" s="2936"/>
      <c r="SXW69" s="2936"/>
      <c r="SXX69" s="2936"/>
      <c r="SXY69" s="2936"/>
      <c r="SXZ69" s="2936"/>
      <c r="SYA69" s="2936"/>
      <c r="SYB69" s="2936"/>
      <c r="SYC69" s="2936"/>
      <c r="SYD69" s="2936"/>
      <c r="SYE69" s="2936"/>
      <c r="SYF69" s="2936"/>
      <c r="SYG69" s="2936"/>
      <c r="SYH69" s="2936"/>
      <c r="SYI69" s="2936"/>
      <c r="SYJ69" s="2936"/>
      <c r="SYK69" s="2936"/>
      <c r="SYL69" s="2936"/>
      <c r="SYM69" s="2936"/>
      <c r="SYN69" s="2936"/>
      <c r="SYO69" s="2936"/>
      <c r="SYP69" s="2936"/>
      <c r="SYQ69" s="2936"/>
      <c r="SYR69" s="2936"/>
      <c r="SYS69" s="2936"/>
      <c r="SYT69" s="2936"/>
      <c r="SYU69" s="2936"/>
      <c r="SYV69" s="2936"/>
      <c r="SYW69" s="2936"/>
      <c r="SYX69" s="2936"/>
      <c r="SYY69" s="2936"/>
      <c r="SYZ69" s="2936"/>
      <c r="SZA69" s="2936"/>
      <c r="SZB69" s="2936"/>
      <c r="SZC69" s="2936"/>
      <c r="SZD69" s="2936"/>
      <c r="SZE69" s="2936"/>
      <c r="SZF69" s="2936"/>
      <c r="SZG69" s="2936"/>
      <c r="SZH69" s="2936"/>
      <c r="SZI69" s="2936"/>
      <c r="SZJ69" s="2936"/>
      <c r="SZK69" s="2936"/>
      <c r="SZL69" s="2936"/>
      <c r="SZM69" s="2936"/>
      <c r="SZN69" s="2936"/>
      <c r="SZO69" s="2936"/>
      <c r="SZP69" s="2936"/>
      <c r="SZQ69" s="2936"/>
      <c r="SZR69" s="2936"/>
      <c r="SZS69" s="2936"/>
      <c r="SZT69" s="2936"/>
      <c r="SZU69" s="2936"/>
      <c r="SZV69" s="2936"/>
      <c r="SZW69" s="2936"/>
      <c r="SZX69" s="2936"/>
      <c r="SZY69" s="2936"/>
      <c r="SZZ69" s="2936"/>
      <c r="TAA69" s="2936"/>
      <c r="TAB69" s="2936"/>
      <c r="TAC69" s="2936"/>
      <c r="TAD69" s="2936"/>
      <c r="TAE69" s="2936"/>
      <c r="TAF69" s="2936"/>
      <c r="TAG69" s="2936"/>
      <c r="TAH69" s="2936"/>
      <c r="TAI69" s="2936"/>
      <c r="TAJ69" s="2936"/>
      <c r="TAK69" s="2936"/>
      <c r="TAL69" s="2936"/>
      <c r="TAM69" s="2936"/>
      <c r="TAN69" s="2936"/>
      <c r="TAO69" s="2936"/>
      <c r="TAP69" s="2936"/>
      <c r="TAQ69" s="2936"/>
      <c r="TAR69" s="2936"/>
      <c r="TAS69" s="2936"/>
      <c r="TAT69" s="2936"/>
      <c r="TAU69" s="2936"/>
      <c r="TAV69" s="2936"/>
      <c r="TAW69" s="2936"/>
      <c r="TAX69" s="2936"/>
      <c r="TAY69" s="2936"/>
      <c r="TAZ69" s="2936"/>
      <c r="TBA69" s="2936"/>
      <c r="TBB69" s="2936"/>
      <c r="TBC69" s="2936"/>
      <c r="TBD69" s="2936"/>
      <c r="TBE69" s="2936"/>
      <c r="TBF69" s="2936"/>
      <c r="TBG69" s="2936"/>
      <c r="TBH69" s="2936"/>
      <c r="TBI69" s="2936"/>
      <c r="TBJ69" s="2936"/>
      <c r="TBK69" s="2936"/>
      <c r="TBL69" s="2936"/>
      <c r="TBM69" s="2936"/>
      <c r="TBN69" s="2936"/>
      <c r="TBO69" s="2936"/>
      <c r="TBP69" s="2936"/>
      <c r="TBQ69" s="2936"/>
      <c r="TBR69" s="2936"/>
      <c r="TBS69" s="2936"/>
      <c r="TBT69" s="2936"/>
      <c r="TBU69" s="2936"/>
      <c r="TBV69" s="2936"/>
      <c r="TBW69" s="2936"/>
      <c r="TBX69" s="2936"/>
      <c r="TBY69" s="2936"/>
      <c r="TBZ69" s="2936"/>
      <c r="TCA69" s="2936"/>
      <c r="TCB69" s="2936"/>
      <c r="TCC69" s="2936"/>
      <c r="TCD69" s="2936"/>
      <c r="TCE69" s="2936"/>
      <c r="TCF69" s="2936"/>
      <c r="TCG69" s="2936"/>
      <c r="TCH69" s="2936"/>
      <c r="TCI69" s="2936"/>
      <c r="TCJ69" s="2936"/>
      <c r="TCK69" s="2936"/>
      <c r="TCL69" s="2936"/>
      <c r="TCM69" s="2936"/>
      <c r="TCN69" s="2936"/>
      <c r="TCO69" s="2936"/>
      <c r="TCP69" s="2936"/>
      <c r="TCQ69" s="2936"/>
      <c r="TCR69" s="2936"/>
      <c r="TCS69" s="2936"/>
      <c r="TCT69" s="2936"/>
      <c r="TCU69" s="2936"/>
      <c r="TCV69" s="2936"/>
      <c r="TCW69" s="2936"/>
      <c r="TCX69" s="2936"/>
      <c r="TCY69" s="2936"/>
      <c r="TCZ69" s="2936"/>
      <c r="TDA69" s="2936"/>
      <c r="TDB69" s="2936"/>
      <c r="TDC69" s="2936"/>
      <c r="TDD69" s="2936"/>
      <c r="TDE69" s="2936"/>
      <c r="TDF69" s="2936"/>
      <c r="TDG69" s="2936"/>
      <c r="TDH69" s="2936"/>
      <c r="TDI69" s="2936"/>
      <c r="TDJ69" s="2936"/>
      <c r="TDK69" s="2936"/>
      <c r="TDL69" s="2936"/>
      <c r="TDM69" s="2936"/>
      <c r="TDN69" s="2936"/>
      <c r="TDO69" s="2936"/>
      <c r="TDP69" s="2936"/>
      <c r="TDQ69" s="2936"/>
      <c r="TDR69" s="2936"/>
      <c r="TDS69" s="2936"/>
      <c r="TDT69" s="2936"/>
      <c r="TDU69" s="2936"/>
      <c r="TDV69" s="2936"/>
      <c r="TDW69" s="2936"/>
      <c r="TDX69" s="2936"/>
      <c r="TDY69" s="2936"/>
      <c r="TDZ69" s="2936"/>
      <c r="TEA69" s="2936"/>
      <c r="TEB69" s="2936"/>
      <c r="TEC69" s="2936"/>
      <c r="TED69" s="2936"/>
      <c r="TEE69" s="2936"/>
      <c r="TEF69" s="2936"/>
      <c r="TEG69" s="2936"/>
      <c r="TEH69" s="2936"/>
      <c r="TEI69" s="2936"/>
      <c r="TEJ69" s="2936"/>
      <c r="TEK69" s="2936"/>
      <c r="TEL69" s="2936"/>
      <c r="TEM69" s="2936"/>
      <c r="TEN69" s="2936"/>
      <c r="TEO69" s="2936"/>
      <c r="TEP69" s="2936"/>
      <c r="TEQ69" s="2936"/>
      <c r="TER69" s="2936"/>
      <c r="TES69" s="2936"/>
      <c r="TET69" s="2936"/>
      <c r="TEU69" s="2936"/>
      <c r="TEV69" s="2936"/>
      <c r="TEW69" s="2936"/>
      <c r="TEX69" s="2936"/>
      <c r="TEY69" s="2936"/>
      <c r="TEZ69" s="2936"/>
      <c r="TFA69" s="2936"/>
      <c r="TFB69" s="2936"/>
      <c r="TFC69" s="2936"/>
      <c r="TFD69" s="2936"/>
      <c r="TFE69" s="2936"/>
      <c r="TFF69" s="2936"/>
      <c r="TFG69" s="2936"/>
      <c r="TFH69" s="2936"/>
      <c r="TFI69" s="2936"/>
      <c r="TFJ69" s="2936"/>
      <c r="TFK69" s="2936"/>
      <c r="TFL69" s="2936"/>
      <c r="TFM69" s="2936"/>
      <c r="TFN69" s="2936"/>
      <c r="TFO69" s="2936"/>
      <c r="TFP69" s="2936"/>
      <c r="TFQ69" s="2936"/>
      <c r="TFR69" s="2936"/>
      <c r="TFS69" s="2936"/>
      <c r="TFT69" s="2936"/>
      <c r="TFU69" s="2936"/>
      <c r="TFV69" s="2936"/>
      <c r="TFW69" s="2936"/>
      <c r="TFX69" s="2936"/>
      <c r="TFY69" s="2936"/>
      <c r="TFZ69" s="2936"/>
      <c r="TGA69" s="2936"/>
      <c r="TGB69" s="2936"/>
      <c r="TGC69" s="2936"/>
      <c r="TGD69" s="2936"/>
      <c r="TGE69" s="2936"/>
      <c r="TGF69" s="2936"/>
      <c r="TGG69" s="2936"/>
      <c r="TGH69" s="2936"/>
      <c r="TGI69" s="2936"/>
      <c r="TGJ69" s="2936"/>
      <c r="TGK69" s="2936"/>
      <c r="TGL69" s="2936"/>
      <c r="TGM69" s="2936"/>
      <c r="TGN69" s="2936"/>
      <c r="TGO69" s="2936"/>
      <c r="TGP69" s="2936"/>
      <c r="TGQ69" s="2936"/>
      <c r="TGR69" s="2936"/>
      <c r="TGS69" s="2936"/>
      <c r="TGT69" s="2936"/>
      <c r="TGU69" s="2936"/>
      <c r="TGV69" s="2936"/>
      <c r="TGW69" s="2936"/>
      <c r="TGX69" s="2936"/>
      <c r="TGY69" s="2936"/>
      <c r="TGZ69" s="2936"/>
      <c r="THA69" s="2936"/>
      <c r="THB69" s="2936"/>
      <c r="THC69" s="2936"/>
      <c r="THD69" s="2936"/>
      <c r="THE69" s="2936"/>
      <c r="THF69" s="2936"/>
      <c r="THG69" s="2936"/>
      <c r="THH69" s="2936"/>
      <c r="THI69" s="2936"/>
      <c r="THJ69" s="2936"/>
      <c r="THK69" s="2936"/>
      <c r="THL69" s="2936"/>
      <c r="THM69" s="2936"/>
      <c r="THN69" s="2936"/>
      <c r="THO69" s="2936"/>
      <c r="THP69" s="2936"/>
      <c r="THQ69" s="2936"/>
      <c r="THR69" s="2936"/>
      <c r="THS69" s="2936"/>
      <c r="THT69" s="2936"/>
      <c r="THU69" s="2936"/>
      <c r="THV69" s="2936"/>
      <c r="THW69" s="2936"/>
      <c r="THX69" s="2936"/>
      <c r="THY69" s="2936"/>
      <c r="THZ69" s="2936"/>
      <c r="TIA69" s="2936"/>
      <c r="TIB69" s="2936"/>
      <c r="TIC69" s="2936"/>
      <c r="TID69" s="2936"/>
      <c r="TIE69" s="2936"/>
      <c r="TIF69" s="2936"/>
      <c r="TIG69" s="2936"/>
      <c r="TIH69" s="2936"/>
      <c r="TII69" s="2936"/>
      <c r="TIJ69" s="2936"/>
      <c r="TIK69" s="2936"/>
      <c r="TIL69" s="2936"/>
      <c r="TIM69" s="2936"/>
      <c r="TIN69" s="2936"/>
      <c r="TIO69" s="2936"/>
      <c r="TIP69" s="2936"/>
      <c r="TIQ69" s="2936"/>
      <c r="TIR69" s="2936"/>
      <c r="TIS69" s="2936"/>
      <c r="TIT69" s="2936"/>
      <c r="TIU69" s="2936"/>
      <c r="TIV69" s="2936"/>
      <c r="TIW69" s="2936"/>
      <c r="TIX69" s="2936"/>
      <c r="TIY69" s="2936"/>
      <c r="TIZ69" s="2936"/>
      <c r="TJA69" s="2936"/>
      <c r="TJB69" s="2936"/>
      <c r="TJC69" s="2936"/>
      <c r="TJD69" s="2936"/>
      <c r="TJE69" s="2936"/>
      <c r="TJF69" s="2936"/>
      <c r="TJG69" s="2936"/>
      <c r="TJH69" s="2936"/>
      <c r="TJI69" s="2936"/>
      <c r="TJJ69" s="2936"/>
      <c r="TJK69" s="2936"/>
      <c r="TJL69" s="2936"/>
      <c r="TJM69" s="2936"/>
      <c r="TJN69" s="2936"/>
      <c r="TJO69" s="2936"/>
      <c r="TJP69" s="2936"/>
      <c r="TJQ69" s="2936"/>
      <c r="TJR69" s="2936"/>
      <c r="TJS69" s="2936"/>
      <c r="TJT69" s="2936"/>
      <c r="TJU69" s="2936"/>
      <c r="TJV69" s="2936"/>
      <c r="TJW69" s="2936"/>
      <c r="TJX69" s="2936"/>
      <c r="TJY69" s="2936"/>
      <c r="TJZ69" s="2936"/>
      <c r="TKA69" s="2936"/>
      <c r="TKB69" s="2936"/>
      <c r="TKC69" s="2936"/>
      <c r="TKD69" s="2936"/>
      <c r="TKE69" s="2936"/>
      <c r="TKF69" s="2936"/>
      <c r="TKG69" s="2936"/>
      <c r="TKH69" s="2936"/>
      <c r="TKI69" s="2936"/>
      <c r="TKJ69" s="2936"/>
      <c r="TKK69" s="2936"/>
      <c r="TKL69" s="2936"/>
      <c r="TKM69" s="2936"/>
      <c r="TKN69" s="2936"/>
      <c r="TKO69" s="2936"/>
      <c r="TKP69" s="2936"/>
      <c r="TKQ69" s="2936"/>
      <c r="TKR69" s="2936"/>
      <c r="TKS69" s="2936"/>
      <c r="TKT69" s="2936"/>
      <c r="TKU69" s="2936"/>
      <c r="TKV69" s="2936"/>
      <c r="TKW69" s="2936"/>
      <c r="TKX69" s="2936"/>
      <c r="TKY69" s="2936"/>
      <c r="TKZ69" s="2936"/>
      <c r="TLA69" s="2936"/>
      <c r="TLB69" s="2936"/>
      <c r="TLC69" s="2936"/>
      <c r="TLD69" s="2936"/>
      <c r="TLE69" s="2936"/>
      <c r="TLF69" s="2936"/>
      <c r="TLG69" s="2936"/>
      <c r="TLH69" s="2936"/>
      <c r="TLI69" s="2936"/>
      <c r="TLJ69" s="2936"/>
      <c r="TLK69" s="2936"/>
      <c r="TLL69" s="2936"/>
      <c r="TLM69" s="2936"/>
      <c r="TLN69" s="2936"/>
      <c r="TLO69" s="2936"/>
      <c r="TLP69" s="2936"/>
      <c r="TLQ69" s="2936"/>
      <c r="TLR69" s="2936"/>
      <c r="TLS69" s="2936"/>
      <c r="TLT69" s="2936"/>
      <c r="TLU69" s="2936"/>
      <c r="TLV69" s="2936"/>
      <c r="TLW69" s="2936"/>
      <c r="TLX69" s="2936"/>
      <c r="TLY69" s="2936"/>
      <c r="TLZ69" s="2936"/>
      <c r="TMA69" s="2936"/>
      <c r="TMB69" s="2936"/>
      <c r="TMC69" s="2936"/>
      <c r="TMD69" s="2936"/>
      <c r="TME69" s="2936"/>
      <c r="TMF69" s="2936"/>
      <c r="TMG69" s="2936"/>
      <c r="TMH69" s="2936"/>
      <c r="TMI69" s="2936"/>
      <c r="TMJ69" s="2936"/>
      <c r="TMK69" s="2936"/>
      <c r="TML69" s="2936"/>
      <c r="TMM69" s="2936"/>
      <c r="TMN69" s="2936"/>
      <c r="TMO69" s="2936"/>
      <c r="TMP69" s="2936"/>
      <c r="TMQ69" s="2936"/>
      <c r="TMR69" s="2936"/>
      <c r="TMS69" s="2936"/>
      <c r="TMT69" s="2936"/>
      <c r="TMU69" s="2936"/>
      <c r="TMV69" s="2936"/>
      <c r="TMW69" s="2936"/>
      <c r="TMX69" s="2936"/>
      <c r="TMY69" s="2936"/>
      <c r="TMZ69" s="2936"/>
      <c r="TNA69" s="2936"/>
      <c r="TNB69" s="2936"/>
      <c r="TNC69" s="2936"/>
      <c r="TND69" s="2936"/>
      <c r="TNE69" s="2936"/>
      <c r="TNF69" s="2936"/>
      <c r="TNG69" s="2936"/>
      <c r="TNH69" s="2936"/>
      <c r="TNI69" s="2936"/>
      <c r="TNJ69" s="2936"/>
      <c r="TNK69" s="2936"/>
      <c r="TNL69" s="2936"/>
      <c r="TNM69" s="2936"/>
      <c r="TNN69" s="2936"/>
      <c r="TNO69" s="2936"/>
      <c r="TNP69" s="2936"/>
      <c r="TNQ69" s="2936"/>
      <c r="TNR69" s="2936"/>
      <c r="TNS69" s="2936"/>
      <c r="TNT69" s="2936"/>
      <c r="TNU69" s="2936"/>
      <c r="TNV69" s="2936"/>
      <c r="TNW69" s="2936"/>
      <c r="TNX69" s="2936"/>
      <c r="TNY69" s="2936"/>
      <c r="TNZ69" s="2936"/>
      <c r="TOA69" s="2936"/>
      <c r="TOB69" s="2936"/>
      <c r="TOC69" s="2936"/>
      <c r="TOD69" s="2936"/>
      <c r="TOE69" s="2936"/>
      <c r="TOF69" s="2936"/>
      <c r="TOG69" s="2936"/>
      <c r="TOH69" s="2936"/>
      <c r="TOI69" s="2936"/>
      <c r="TOJ69" s="2936"/>
      <c r="TOK69" s="2936"/>
      <c r="TOL69" s="2936"/>
      <c r="TOM69" s="2936"/>
      <c r="TON69" s="2936"/>
      <c r="TOO69" s="2936"/>
      <c r="TOP69" s="2936"/>
      <c r="TOQ69" s="2936"/>
      <c r="TOR69" s="2936"/>
      <c r="TOS69" s="2936"/>
      <c r="TOT69" s="2936"/>
      <c r="TOU69" s="2936"/>
      <c r="TOV69" s="2936"/>
      <c r="TOW69" s="2936"/>
      <c r="TOX69" s="2936"/>
      <c r="TOY69" s="2936"/>
      <c r="TOZ69" s="2936"/>
      <c r="TPA69" s="2936"/>
      <c r="TPB69" s="2936"/>
      <c r="TPC69" s="2936"/>
      <c r="TPD69" s="2936"/>
      <c r="TPE69" s="2936"/>
      <c r="TPF69" s="2936"/>
      <c r="TPG69" s="2936"/>
      <c r="TPH69" s="2936"/>
      <c r="TPI69" s="2936"/>
      <c r="TPJ69" s="2936"/>
      <c r="TPK69" s="2936"/>
      <c r="TPL69" s="2936"/>
      <c r="TPM69" s="2936"/>
      <c r="TPN69" s="2936"/>
      <c r="TPO69" s="2936"/>
      <c r="TPP69" s="2936"/>
      <c r="TPQ69" s="2936"/>
      <c r="TPR69" s="2936"/>
      <c r="TPS69" s="2936"/>
      <c r="TPT69" s="2936"/>
      <c r="TPU69" s="2936"/>
      <c r="TPV69" s="2936"/>
      <c r="TPW69" s="2936"/>
      <c r="TPX69" s="2936"/>
      <c r="TPY69" s="2936"/>
      <c r="TPZ69" s="2936"/>
      <c r="TQA69" s="2936"/>
      <c r="TQB69" s="2936"/>
      <c r="TQC69" s="2936"/>
      <c r="TQD69" s="2936"/>
      <c r="TQE69" s="2936"/>
      <c r="TQF69" s="2936"/>
      <c r="TQG69" s="2936"/>
      <c r="TQH69" s="2936"/>
      <c r="TQI69" s="2936"/>
      <c r="TQJ69" s="2936"/>
      <c r="TQK69" s="2936"/>
      <c r="TQL69" s="2936"/>
      <c r="TQM69" s="2936"/>
      <c r="TQN69" s="2936"/>
      <c r="TQO69" s="2936"/>
      <c r="TQP69" s="2936"/>
      <c r="TQQ69" s="2936"/>
      <c r="TQR69" s="2936"/>
      <c r="TQS69" s="2936"/>
      <c r="TQT69" s="2936"/>
      <c r="TQU69" s="2936"/>
      <c r="TQV69" s="2936"/>
      <c r="TQW69" s="2936"/>
      <c r="TQX69" s="2936"/>
      <c r="TQY69" s="2936"/>
      <c r="TQZ69" s="2936"/>
      <c r="TRA69" s="2936"/>
      <c r="TRB69" s="2936"/>
      <c r="TRC69" s="2936"/>
      <c r="TRD69" s="2936"/>
      <c r="TRE69" s="2936"/>
      <c r="TRF69" s="2936"/>
      <c r="TRG69" s="2936"/>
      <c r="TRH69" s="2936"/>
      <c r="TRI69" s="2936"/>
      <c r="TRJ69" s="2936"/>
      <c r="TRK69" s="2936"/>
      <c r="TRL69" s="2936"/>
      <c r="TRM69" s="2936"/>
      <c r="TRN69" s="2936"/>
      <c r="TRO69" s="2936"/>
      <c r="TRP69" s="2936"/>
      <c r="TRQ69" s="2936"/>
      <c r="TRR69" s="2936"/>
      <c r="TRS69" s="2936"/>
      <c r="TRT69" s="2936"/>
      <c r="TRU69" s="2936"/>
      <c r="TRV69" s="2936"/>
      <c r="TRW69" s="2936"/>
      <c r="TRX69" s="2936"/>
      <c r="TRY69" s="2936"/>
      <c r="TRZ69" s="2936"/>
      <c r="TSA69" s="2936"/>
      <c r="TSB69" s="2936"/>
      <c r="TSC69" s="2936"/>
      <c r="TSD69" s="2936"/>
      <c r="TSE69" s="2936"/>
      <c r="TSF69" s="2936"/>
      <c r="TSG69" s="2936"/>
      <c r="TSH69" s="2936"/>
      <c r="TSI69" s="2936"/>
      <c r="TSJ69" s="2936"/>
      <c r="TSK69" s="2936"/>
      <c r="TSL69" s="2936"/>
      <c r="TSM69" s="2936"/>
      <c r="TSN69" s="2936"/>
      <c r="TSO69" s="2936"/>
      <c r="TSP69" s="2936"/>
      <c r="TSQ69" s="2936"/>
      <c r="TSR69" s="2936"/>
      <c r="TSS69" s="2936"/>
      <c r="TST69" s="2936"/>
      <c r="TSU69" s="2936"/>
      <c r="TSV69" s="2936"/>
      <c r="TSW69" s="2936"/>
      <c r="TSX69" s="2936"/>
      <c r="TSY69" s="2936"/>
      <c r="TSZ69" s="2936"/>
      <c r="TTA69" s="2936"/>
      <c r="TTB69" s="2936"/>
      <c r="TTC69" s="2936"/>
      <c r="TTD69" s="2936"/>
      <c r="TTE69" s="2936"/>
      <c r="TTF69" s="2936"/>
      <c r="TTG69" s="2936"/>
      <c r="TTH69" s="2936"/>
      <c r="TTI69" s="2936"/>
      <c r="TTJ69" s="2936"/>
      <c r="TTK69" s="2936"/>
      <c r="TTL69" s="2936"/>
      <c r="TTM69" s="2936"/>
      <c r="TTN69" s="2936"/>
      <c r="TTO69" s="2936"/>
      <c r="TTP69" s="2936"/>
      <c r="TTQ69" s="2936"/>
      <c r="TTR69" s="2936"/>
      <c r="TTS69" s="2936"/>
      <c r="TTT69" s="2936"/>
      <c r="TTU69" s="2936"/>
      <c r="TTV69" s="2936"/>
      <c r="TTW69" s="2936"/>
      <c r="TTX69" s="2936"/>
      <c r="TTY69" s="2936"/>
      <c r="TTZ69" s="2936"/>
      <c r="TUA69" s="2936"/>
      <c r="TUB69" s="2936"/>
      <c r="TUC69" s="2936"/>
      <c r="TUD69" s="2936"/>
      <c r="TUE69" s="2936"/>
      <c r="TUF69" s="2936"/>
      <c r="TUG69" s="2936"/>
      <c r="TUH69" s="2936"/>
      <c r="TUI69" s="2936"/>
      <c r="TUJ69" s="2936"/>
      <c r="TUK69" s="2936"/>
      <c r="TUL69" s="2936"/>
      <c r="TUM69" s="2936"/>
      <c r="TUN69" s="2936"/>
      <c r="TUO69" s="2936"/>
      <c r="TUP69" s="2936"/>
      <c r="TUQ69" s="2936"/>
      <c r="TUR69" s="2936"/>
      <c r="TUS69" s="2936"/>
      <c r="TUT69" s="2936"/>
      <c r="TUU69" s="2936"/>
      <c r="TUV69" s="2936"/>
      <c r="TUW69" s="2936"/>
      <c r="TUX69" s="2936"/>
      <c r="TUY69" s="2936"/>
      <c r="TUZ69" s="2936"/>
      <c r="TVA69" s="2936"/>
      <c r="TVB69" s="2936"/>
      <c r="TVC69" s="2936"/>
      <c r="TVD69" s="2936"/>
      <c r="TVE69" s="2936"/>
      <c r="TVF69" s="2936"/>
      <c r="TVG69" s="2936"/>
      <c r="TVH69" s="2936"/>
      <c r="TVI69" s="2936"/>
      <c r="TVJ69" s="2936"/>
      <c r="TVK69" s="2936"/>
      <c r="TVL69" s="2936"/>
      <c r="TVM69" s="2936"/>
      <c r="TVN69" s="2936"/>
      <c r="TVO69" s="2936"/>
      <c r="TVP69" s="2936"/>
      <c r="TVQ69" s="2936"/>
      <c r="TVR69" s="2936"/>
      <c r="TVS69" s="2936"/>
      <c r="TVT69" s="2936"/>
      <c r="TVU69" s="2936"/>
      <c r="TVV69" s="2936"/>
      <c r="TVW69" s="2936"/>
      <c r="TVX69" s="2936"/>
      <c r="TVY69" s="2936"/>
      <c r="TVZ69" s="2936"/>
      <c r="TWA69" s="2936"/>
      <c r="TWB69" s="2936"/>
      <c r="TWC69" s="2936"/>
      <c r="TWD69" s="2936"/>
      <c r="TWE69" s="2936"/>
      <c r="TWF69" s="2936"/>
      <c r="TWG69" s="2936"/>
      <c r="TWH69" s="2936"/>
      <c r="TWI69" s="2936"/>
      <c r="TWJ69" s="2936"/>
      <c r="TWK69" s="2936"/>
      <c r="TWL69" s="2936"/>
      <c r="TWM69" s="2936"/>
      <c r="TWN69" s="2936"/>
      <c r="TWO69" s="2936"/>
      <c r="TWP69" s="2936"/>
      <c r="TWQ69" s="2936"/>
      <c r="TWR69" s="2936"/>
      <c r="TWS69" s="2936"/>
      <c r="TWT69" s="2936"/>
      <c r="TWU69" s="2936"/>
      <c r="TWV69" s="2936"/>
      <c r="TWW69" s="2936"/>
      <c r="TWX69" s="2936"/>
      <c r="TWY69" s="2936"/>
      <c r="TWZ69" s="2936"/>
      <c r="TXA69" s="2936"/>
      <c r="TXB69" s="2936"/>
      <c r="TXC69" s="2936"/>
      <c r="TXD69" s="2936"/>
      <c r="TXE69" s="2936"/>
      <c r="TXF69" s="2936"/>
      <c r="TXG69" s="2936"/>
      <c r="TXH69" s="2936"/>
      <c r="TXI69" s="2936"/>
      <c r="TXJ69" s="2936"/>
      <c r="TXK69" s="2936"/>
      <c r="TXL69" s="2936"/>
      <c r="TXM69" s="2936"/>
      <c r="TXN69" s="2936"/>
      <c r="TXO69" s="2936"/>
      <c r="TXP69" s="2936"/>
      <c r="TXQ69" s="2936"/>
      <c r="TXR69" s="2936"/>
      <c r="TXS69" s="2936"/>
      <c r="TXT69" s="2936"/>
      <c r="TXU69" s="2936"/>
      <c r="TXV69" s="2936"/>
      <c r="TXW69" s="2936"/>
      <c r="TXX69" s="2936"/>
      <c r="TXY69" s="2936"/>
      <c r="TXZ69" s="2936"/>
      <c r="TYA69" s="2936"/>
      <c r="TYB69" s="2936"/>
      <c r="TYC69" s="2936"/>
      <c r="TYD69" s="2936"/>
      <c r="TYE69" s="2936"/>
      <c r="TYF69" s="2936"/>
      <c r="TYG69" s="2936"/>
      <c r="TYH69" s="2936"/>
      <c r="TYI69" s="2936"/>
      <c r="TYJ69" s="2936"/>
      <c r="TYK69" s="2936"/>
      <c r="TYL69" s="2936"/>
      <c r="TYM69" s="2936"/>
      <c r="TYN69" s="2936"/>
      <c r="TYO69" s="2936"/>
      <c r="TYP69" s="2936"/>
      <c r="TYQ69" s="2936"/>
      <c r="TYR69" s="2936"/>
      <c r="TYS69" s="2936"/>
      <c r="TYT69" s="2936"/>
      <c r="TYU69" s="2936"/>
      <c r="TYV69" s="2936"/>
      <c r="TYW69" s="2936"/>
      <c r="TYX69" s="2936"/>
      <c r="TYY69" s="2936"/>
      <c r="TYZ69" s="2936"/>
      <c r="TZA69" s="2936"/>
      <c r="TZB69" s="2936"/>
      <c r="TZC69" s="2936"/>
      <c r="TZD69" s="2936"/>
      <c r="TZE69" s="2936"/>
      <c r="TZF69" s="2936"/>
      <c r="TZG69" s="2936"/>
      <c r="TZH69" s="2936"/>
      <c r="TZI69" s="2936"/>
      <c r="TZJ69" s="2936"/>
      <c r="TZK69" s="2936"/>
      <c r="TZL69" s="2936"/>
      <c r="TZM69" s="2936"/>
      <c r="TZN69" s="2936"/>
      <c r="TZO69" s="2936"/>
      <c r="TZP69" s="2936"/>
      <c r="TZQ69" s="2936"/>
      <c r="TZR69" s="2936"/>
      <c r="TZS69" s="2936"/>
      <c r="TZT69" s="2936"/>
      <c r="TZU69" s="2936"/>
      <c r="TZV69" s="2936"/>
      <c r="TZW69" s="2936"/>
      <c r="TZX69" s="2936"/>
      <c r="TZY69" s="2936"/>
      <c r="TZZ69" s="2936"/>
      <c r="UAA69" s="2936"/>
      <c r="UAB69" s="2936"/>
      <c r="UAC69" s="2936"/>
      <c r="UAD69" s="2936"/>
      <c r="UAE69" s="2936"/>
      <c r="UAF69" s="2936"/>
      <c r="UAG69" s="2936"/>
      <c r="UAH69" s="2936"/>
      <c r="UAI69" s="2936"/>
      <c r="UAJ69" s="2936"/>
      <c r="UAK69" s="2936"/>
      <c r="UAL69" s="2936"/>
      <c r="UAM69" s="2936"/>
      <c r="UAN69" s="2936"/>
      <c r="UAO69" s="2936"/>
      <c r="UAP69" s="2936"/>
      <c r="UAQ69" s="2936"/>
      <c r="UAR69" s="2936"/>
      <c r="UAS69" s="2936"/>
      <c r="UAT69" s="2936"/>
      <c r="UAU69" s="2936"/>
      <c r="UAV69" s="2936"/>
      <c r="UAW69" s="2936"/>
      <c r="UAX69" s="2936"/>
      <c r="UAY69" s="2936"/>
      <c r="UAZ69" s="2936"/>
      <c r="UBA69" s="2936"/>
      <c r="UBB69" s="2936"/>
      <c r="UBC69" s="2936"/>
      <c r="UBD69" s="2936"/>
      <c r="UBE69" s="2936"/>
      <c r="UBF69" s="2936"/>
      <c r="UBG69" s="2936"/>
      <c r="UBH69" s="2936"/>
      <c r="UBI69" s="2936"/>
      <c r="UBJ69" s="2936"/>
      <c r="UBK69" s="2936"/>
      <c r="UBL69" s="2936"/>
      <c r="UBM69" s="2936"/>
      <c r="UBN69" s="2936"/>
      <c r="UBO69" s="2936"/>
      <c r="UBP69" s="2936"/>
      <c r="UBQ69" s="2936"/>
      <c r="UBR69" s="2936"/>
      <c r="UBS69" s="2936"/>
      <c r="UBT69" s="2936"/>
      <c r="UBU69" s="2936"/>
      <c r="UBV69" s="2936"/>
      <c r="UBW69" s="2936"/>
      <c r="UBX69" s="2936"/>
      <c r="UBY69" s="2936"/>
      <c r="UBZ69" s="2936"/>
      <c r="UCA69" s="2936"/>
      <c r="UCB69" s="2936"/>
      <c r="UCC69" s="2936"/>
      <c r="UCD69" s="2936"/>
      <c r="UCE69" s="2936"/>
      <c r="UCF69" s="2936"/>
      <c r="UCG69" s="2936"/>
      <c r="UCH69" s="2936"/>
      <c r="UCI69" s="2936"/>
      <c r="UCJ69" s="2936"/>
      <c r="UCK69" s="2936"/>
      <c r="UCL69" s="2936"/>
      <c r="UCM69" s="2936"/>
      <c r="UCN69" s="2936"/>
      <c r="UCO69" s="2936"/>
      <c r="UCP69" s="2936"/>
      <c r="UCQ69" s="2936"/>
      <c r="UCR69" s="2936"/>
      <c r="UCS69" s="2936"/>
      <c r="UCT69" s="2936"/>
      <c r="UCU69" s="2936"/>
      <c r="UCV69" s="2936"/>
      <c r="UCW69" s="2936"/>
      <c r="UCX69" s="2936"/>
      <c r="UCY69" s="2936"/>
      <c r="UCZ69" s="2936"/>
      <c r="UDA69" s="2936"/>
      <c r="UDB69" s="2936"/>
      <c r="UDC69" s="2936"/>
      <c r="UDD69" s="2936"/>
      <c r="UDE69" s="2936"/>
      <c r="UDF69" s="2936"/>
      <c r="UDG69" s="2936"/>
      <c r="UDH69" s="2936"/>
      <c r="UDI69" s="2936"/>
      <c r="UDJ69" s="2936"/>
      <c r="UDK69" s="2936"/>
      <c r="UDL69" s="2936"/>
      <c r="UDM69" s="2936"/>
      <c r="UDN69" s="2936"/>
      <c r="UDO69" s="2936"/>
      <c r="UDP69" s="2936"/>
      <c r="UDQ69" s="2936"/>
      <c r="UDR69" s="2936"/>
      <c r="UDS69" s="2936"/>
      <c r="UDT69" s="2936"/>
      <c r="UDU69" s="2936"/>
      <c r="UDV69" s="2936"/>
      <c r="UDW69" s="2936"/>
      <c r="UDX69" s="2936"/>
      <c r="UDY69" s="2936"/>
      <c r="UDZ69" s="2936"/>
      <c r="UEA69" s="2936"/>
      <c r="UEB69" s="2936"/>
      <c r="UEC69" s="2936"/>
      <c r="UED69" s="2936"/>
      <c r="UEE69" s="2936"/>
      <c r="UEF69" s="2936"/>
      <c r="UEG69" s="2936"/>
      <c r="UEH69" s="2936"/>
      <c r="UEI69" s="2936"/>
      <c r="UEJ69" s="2936"/>
      <c r="UEK69" s="2936"/>
      <c r="UEL69" s="2936"/>
      <c r="UEM69" s="2936"/>
      <c r="UEN69" s="2936"/>
      <c r="UEO69" s="2936"/>
      <c r="UEP69" s="2936"/>
      <c r="UEQ69" s="2936"/>
      <c r="UER69" s="2936"/>
      <c r="UES69" s="2936"/>
      <c r="UET69" s="2936"/>
      <c r="UEU69" s="2936"/>
      <c r="UEV69" s="2936"/>
      <c r="UEW69" s="2936"/>
      <c r="UEX69" s="2936"/>
      <c r="UEY69" s="2936"/>
      <c r="UEZ69" s="2936"/>
      <c r="UFA69" s="2936"/>
      <c r="UFB69" s="2936"/>
      <c r="UFC69" s="2936"/>
      <c r="UFD69" s="2936"/>
      <c r="UFE69" s="2936"/>
      <c r="UFF69" s="2936"/>
      <c r="UFG69" s="2936"/>
      <c r="UFH69" s="2936"/>
      <c r="UFI69" s="2936"/>
      <c r="UFJ69" s="2936"/>
      <c r="UFK69" s="2936"/>
      <c r="UFL69" s="2936"/>
      <c r="UFM69" s="2936"/>
      <c r="UFN69" s="2936"/>
      <c r="UFO69" s="2936"/>
      <c r="UFP69" s="2936"/>
      <c r="UFQ69" s="2936"/>
      <c r="UFR69" s="2936"/>
      <c r="UFS69" s="2936"/>
      <c r="UFT69" s="2936"/>
      <c r="UFU69" s="2936"/>
      <c r="UFV69" s="2936"/>
      <c r="UFW69" s="2936"/>
      <c r="UFX69" s="2936"/>
      <c r="UFY69" s="2936"/>
      <c r="UFZ69" s="2936"/>
      <c r="UGA69" s="2936"/>
      <c r="UGB69" s="2936"/>
      <c r="UGC69" s="2936"/>
      <c r="UGD69" s="2936"/>
      <c r="UGE69" s="2936"/>
      <c r="UGF69" s="2936"/>
      <c r="UGG69" s="2936"/>
      <c r="UGH69" s="2936"/>
      <c r="UGI69" s="2936"/>
      <c r="UGJ69" s="2936"/>
      <c r="UGK69" s="2936"/>
      <c r="UGL69" s="2936"/>
      <c r="UGM69" s="2936"/>
      <c r="UGN69" s="2936"/>
      <c r="UGO69" s="2936"/>
      <c r="UGP69" s="2936"/>
      <c r="UGQ69" s="2936"/>
      <c r="UGR69" s="2936"/>
      <c r="UGS69" s="2936"/>
      <c r="UGT69" s="2936"/>
      <c r="UGU69" s="2936"/>
      <c r="UGV69" s="2936"/>
      <c r="UGW69" s="2936"/>
      <c r="UGX69" s="2936"/>
      <c r="UGY69" s="2936"/>
      <c r="UGZ69" s="2936"/>
      <c r="UHA69" s="2936"/>
      <c r="UHB69" s="2936"/>
      <c r="UHC69" s="2936"/>
      <c r="UHD69" s="2936"/>
      <c r="UHE69" s="2936"/>
      <c r="UHF69" s="2936"/>
      <c r="UHG69" s="2936"/>
      <c r="UHH69" s="2936"/>
      <c r="UHI69" s="2936"/>
      <c r="UHJ69" s="2936"/>
      <c r="UHK69" s="2936"/>
      <c r="UHL69" s="2936"/>
      <c r="UHM69" s="2936"/>
      <c r="UHN69" s="2936"/>
      <c r="UHO69" s="2936"/>
      <c r="UHP69" s="2936"/>
      <c r="UHQ69" s="2936"/>
      <c r="UHR69" s="2936"/>
      <c r="UHS69" s="2936"/>
      <c r="UHT69" s="2936"/>
      <c r="UHU69" s="2936"/>
      <c r="UHV69" s="2936"/>
      <c r="UHW69" s="2936"/>
      <c r="UHX69" s="2936"/>
      <c r="UHY69" s="2936"/>
      <c r="UHZ69" s="2936"/>
      <c r="UIA69" s="2936"/>
      <c r="UIB69" s="2936"/>
      <c r="UIC69" s="2936"/>
      <c r="UID69" s="2936"/>
      <c r="UIE69" s="2936"/>
      <c r="UIF69" s="2936"/>
      <c r="UIG69" s="2936"/>
      <c r="UIH69" s="2936"/>
      <c r="UII69" s="2936"/>
      <c r="UIJ69" s="2936"/>
      <c r="UIK69" s="2936"/>
      <c r="UIL69" s="2936"/>
      <c r="UIM69" s="2936"/>
      <c r="UIN69" s="2936"/>
      <c r="UIO69" s="2936"/>
      <c r="UIP69" s="2936"/>
      <c r="UIQ69" s="2936"/>
      <c r="UIR69" s="2936"/>
      <c r="UIS69" s="2936"/>
      <c r="UIT69" s="2936"/>
      <c r="UIU69" s="2936"/>
      <c r="UIV69" s="2936"/>
      <c r="UIW69" s="2936"/>
      <c r="UIX69" s="2936"/>
      <c r="UIY69" s="2936"/>
      <c r="UIZ69" s="2936"/>
      <c r="UJA69" s="2936"/>
      <c r="UJB69" s="2936"/>
      <c r="UJC69" s="2936"/>
      <c r="UJD69" s="2936"/>
      <c r="UJE69" s="2936"/>
      <c r="UJF69" s="2936"/>
      <c r="UJG69" s="2936"/>
      <c r="UJH69" s="2936"/>
      <c r="UJI69" s="2936"/>
      <c r="UJJ69" s="2936"/>
      <c r="UJK69" s="2936"/>
      <c r="UJL69" s="2936"/>
      <c r="UJM69" s="2936"/>
      <c r="UJN69" s="2936"/>
      <c r="UJO69" s="2936"/>
      <c r="UJP69" s="2936"/>
      <c r="UJQ69" s="2936"/>
      <c r="UJR69" s="2936"/>
      <c r="UJS69" s="2936"/>
      <c r="UJT69" s="2936"/>
      <c r="UJU69" s="2936"/>
      <c r="UJV69" s="2936"/>
      <c r="UJW69" s="2936"/>
      <c r="UJX69" s="2936"/>
      <c r="UJY69" s="2936"/>
      <c r="UJZ69" s="2936"/>
      <c r="UKA69" s="2936"/>
      <c r="UKB69" s="2936"/>
      <c r="UKC69" s="2936"/>
      <c r="UKD69" s="2936"/>
      <c r="UKE69" s="2936"/>
      <c r="UKF69" s="2936"/>
      <c r="UKG69" s="2936"/>
      <c r="UKH69" s="2936"/>
      <c r="UKI69" s="2936"/>
      <c r="UKJ69" s="2936"/>
      <c r="UKK69" s="2936"/>
      <c r="UKL69" s="2936"/>
      <c r="UKM69" s="2936"/>
      <c r="UKN69" s="2936"/>
      <c r="UKO69" s="2936"/>
      <c r="UKP69" s="2936"/>
      <c r="UKQ69" s="2936"/>
      <c r="UKR69" s="2936"/>
      <c r="UKS69" s="2936"/>
      <c r="UKT69" s="2936"/>
      <c r="UKU69" s="2936"/>
      <c r="UKV69" s="2936"/>
      <c r="UKW69" s="2936"/>
      <c r="UKX69" s="2936"/>
      <c r="UKY69" s="2936"/>
      <c r="UKZ69" s="2936"/>
      <c r="ULA69" s="2936"/>
      <c r="ULB69" s="2936"/>
      <c r="ULC69" s="2936"/>
      <c r="ULD69" s="2936"/>
      <c r="ULE69" s="2936"/>
      <c r="ULF69" s="2936"/>
      <c r="ULG69" s="2936"/>
      <c r="ULH69" s="2936"/>
      <c r="ULI69" s="2936"/>
      <c r="ULJ69" s="2936"/>
      <c r="ULK69" s="2936"/>
      <c r="ULL69" s="2936"/>
      <c r="ULM69" s="2936"/>
      <c r="ULN69" s="2936"/>
      <c r="ULO69" s="2936"/>
      <c r="ULP69" s="2936"/>
      <c r="ULQ69" s="2936"/>
      <c r="ULR69" s="2936"/>
      <c r="ULS69" s="2936"/>
      <c r="ULT69" s="2936"/>
      <c r="ULU69" s="2936"/>
      <c r="ULV69" s="2936"/>
      <c r="ULW69" s="2936"/>
      <c r="ULX69" s="2936"/>
      <c r="ULY69" s="2936"/>
      <c r="ULZ69" s="2936"/>
      <c r="UMA69" s="2936"/>
      <c r="UMB69" s="2936"/>
      <c r="UMC69" s="2936"/>
      <c r="UMD69" s="2936"/>
      <c r="UME69" s="2936"/>
      <c r="UMF69" s="2936"/>
      <c r="UMG69" s="2936"/>
      <c r="UMH69" s="2936"/>
      <c r="UMI69" s="2936"/>
      <c r="UMJ69" s="2936"/>
      <c r="UMK69" s="2936"/>
      <c r="UML69" s="2936"/>
      <c r="UMM69" s="2936"/>
      <c r="UMN69" s="2936"/>
      <c r="UMO69" s="2936"/>
      <c r="UMP69" s="2936"/>
      <c r="UMQ69" s="2936"/>
      <c r="UMR69" s="2936"/>
      <c r="UMS69" s="2936"/>
      <c r="UMT69" s="2936"/>
      <c r="UMU69" s="2936"/>
      <c r="UMV69" s="2936"/>
      <c r="UMW69" s="2936"/>
      <c r="UMX69" s="2936"/>
      <c r="UMY69" s="2936"/>
      <c r="UMZ69" s="2936"/>
      <c r="UNA69" s="2936"/>
      <c r="UNB69" s="2936"/>
      <c r="UNC69" s="2936"/>
      <c r="UND69" s="2936"/>
      <c r="UNE69" s="2936"/>
      <c r="UNF69" s="2936"/>
      <c r="UNG69" s="2936"/>
      <c r="UNH69" s="2936"/>
      <c r="UNI69" s="2936"/>
      <c r="UNJ69" s="2936"/>
      <c r="UNK69" s="2936"/>
      <c r="UNL69" s="2936"/>
      <c r="UNM69" s="2936"/>
      <c r="UNN69" s="2936"/>
      <c r="UNO69" s="2936"/>
      <c r="UNP69" s="2936"/>
      <c r="UNQ69" s="2936"/>
      <c r="UNR69" s="2936"/>
      <c r="UNS69" s="2936"/>
      <c r="UNT69" s="2936"/>
      <c r="UNU69" s="2936"/>
      <c r="UNV69" s="2936"/>
      <c r="UNW69" s="2936"/>
      <c r="UNX69" s="2936"/>
      <c r="UNY69" s="2936"/>
      <c r="UNZ69" s="2936"/>
      <c r="UOA69" s="2936"/>
      <c r="UOB69" s="2936"/>
      <c r="UOC69" s="2936"/>
      <c r="UOD69" s="2936"/>
      <c r="UOE69" s="2936"/>
      <c r="UOF69" s="2936"/>
      <c r="UOG69" s="2936"/>
      <c r="UOH69" s="2936"/>
      <c r="UOI69" s="2936"/>
      <c r="UOJ69" s="2936"/>
      <c r="UOK69" s="2936"/>
      <c r="UOL69" s="2936"/>
      <c r="UOM69" s="2936"/>
      <c r="UON69" s="2936"/>
      <c r="UOO69" s="2936"/>
      <c r="UOP69" s="2936"/>
      <c r="UOQ69" s="2936"/>
      <c r="UOR69" s="2936"/>
      <c r="UOS69" s="2936"/>
      <c r="UOT69" s="2936"/>
      <c r="UOU69" s="2936"/>
      <c r="UOV69" s="2936"/>
      <c r="UOW69" s="2936"/>
      <c r="UOX69" s="2936"/>
      <c r="UOY69" s="2936"/>
      <c r="UOZ69" s="2936"/>
      <c r="UPA69" s="2936"/>
      <c r="UPB69" s="2936"/>
      <c r="UPC69" s="2936"/>
      <c r="UPD69" s="2936"/>
      <c r="UPE69" s="2936"/>
      <c r="UPF69" s="2936"/>
      <c r="UPG69" s="2936"/>
      <c r="UPH69" s="2936"/>
      <c r="UPI69" s="2936"/>
      <c r="UPJ69" s="2936"/>
      <c r="UPK69" s="2936"/>
      <c r="UPL69" s="2936"/>
      <c r="UPM69" s="2936"/>
      <c r="UPN69" s="2936"/>
      <c r="UPO69" s="2936"/>
      <c r="UPP69" s="2936"/>
      <c r="UPQ69" s="2936"/>
      <c r="UPR69" s="2936"/>
      <c r="UPS69" s="2936"/>
      <c r="UPT69" s="2936"/>
      <c r="UPU69" s="2936"/>
      <c r="UPV69" s="2936"/>
      <c r="UPW69" s="2936"/>
      <c r="UPX69" s="2936"/>
      <c r="UPY69" s="2936"/>
      <c r="UPZ69" s="2936"/>
      <c r="UQA69" s="2936"/>
      <c r="UQB69" s="2936"/>
      <c r="UQC69" s="2936"/>
      <c r="UQD69" s="2936"/>
      <c r="UQE69" s="2936"/>
      <c r="UQF69" s="2936"/>
      <c r="UQG69" s="2936"/>
      <c r="UQH69" s="2936"/>
      <c r="UQI69" s="2936"/>
      <c r="UQJ69" s="2936"/>
      <c r="UQK69" s="2936"/>
      <c r="UQL69" s="2936"/>
      <c r="UQM69" s="2936"/>
      <c r="UQN69" s="2936"/>
      <c r="UQO69" s="2936"/>
      <c r="UQP69" s="2936"/>
      <c r="UQQ69" s="2936"/>
      <c r="UQR69" s="2936"/>
      <c r="UQS69" s="2936"/>
      <c r="UQT69" s="2936"/>
      <c r="UQU69" s="2936"/>
      <c r="UQV69" s="2936"/>
      <c r="UQW69" s="2936"/>
      <c r="UQX69" s="2936"/>
      <c r="UQY69" s="2936"/>
      <c r="UQZ69" s="2936"/>
      <c r="URA69" s="2936"/>
      <c r="URB69" s="2936"/>
      <c r="URC69" s="2936"/>
      <c r="URD69" s="2936"/>
      <c r="URE69" s="2936"/>
      <c r="URF69" s="2936"/>
      <c r="URG69" s="2936"/>
      <c r="URH69" s="2936"/>
      <c r="URI69" s="2936"/>
      <c r="URJ69" s="2936"/>
      <c r="URK69" s="2936"/>
      <c r="URL69" s="2936"/>
      <c r="URM69" s="2936"/>
      <c r="URN69" s="2936"/>
      <c r="URO69" s="2936"/>
      <c r="URP69" s="2936"/>
      <c r="URQ69" s="2936"/>
      <c r="URR69" s="2936"/>
      <c r="URS69" s="2936"/>
      <c r="URT69" s="2936"/>
      <c r="URU69" s="2936"/>
      <c r="URV69" s="2936"/>
      <c r="URW69" s="2936"/>
      <c r="URX69" s="2936"/>
      <c r="URY69" s="2936"/>
      <c r="URZ69" s="2936"/>
      <c r="USA69" s="2936"/>
      <c r="USB69" s="2936"/>
      <c r="USC69" s="2936"/>
      <c r="USD69" s="2936"/>
      <c r="USE69" s="2936"/>
      <c r="USF69" s="2936"/>
      <c r="USG69" s="2936"/>
      <c r="USH69" s="2936"/>
      <c r="USI69" s="2936"/>
      <c r="USJ69" s="2936"/>
      <c r="USK69" s="2936"/>
      <c r="USL69" s="2936"/>
      <c r="USM69" s="2936"/>
      <c r="USN69" s="2936"/>
      <c r="USO69" s="2936"/>
      <c r="USP69" s="2936"/>
      <c r="USQ69" s="2936"/>
      <c r="USR69" s="2936"/>
      <c r="USS69" s="2936"/>
      <c r="UST69" s="2936"/>
      <c r="USU69" s="2936"/>
      <c r="USV69" s="2936"/>
      <c r="USW69" s="2936"/>
      <c r="USX69" s="2936"/>
      <c r="USY69" s="2936"/>
      <c r="USZ69" s="2936"/>
      <c r="UTA69" s="2936"/>
      <c r="UTB69" s="2936"/>
      <c r="UTC69" s="2936"/>
      <c r="UTD69" s="2936"/>
      <c r="UTE69" s="2936"/>
      <c r="UTF69" s="2936"/>
      <c r="UTG69" s="2936"/>
      <c r="UTH69" s="2936"/>
      <c r="UTI69" s="2936"/>
      <c r="UTJ69" s="2936"/>
      <c r="UTK69" s="2936"/>
      <c r="UTL69" s="2936"/>
      <c r="UTM69" s="2936"/>
      <c r="UTN69" s="2936"/>
      <c r="UTO69" s="2936"/>
      <c r="UTP69" s="2936"/>
      <c r="UTQ69" s="2936"/>
      <c r="UTR69" s="2936"/>
      <c r="UTS69" s="2936"/>
      <c r="UTT69" s="2936"/>
      <c r="UTU69" s="2936"/>
      <c r="UTV69" s="2936"/>
      <c r="UTW69" s="2936"/>
      <c r="UTX69" s="2936"/>
      <c r="UTY69" s="2936"/>
      <c r="UTZ69" s="2936"/>
      <c r="UUA69" s="2936"/>
      <c r="UUB69" s="2936"/>
      <c r="UUC69" s="2936"/>
      <c r="UUD69" s="2936"/>
      <c r="UUE69" s="2936"/>
      <c r="UUF69" s="2936"/>
      <c r="UUG69" s="2936"/>
      <c r="UUH69" s="2936"/>
      <c r="UUI69" s="2936"/>
      <c r="UUJ69" s="2936"/>
      <c r="UUK69" s="2936"/>
      <c r="UUL69" s="2936"/>
      <c r="UUM69" s="2936"/>
      <c r="UUN69" s="2936"/>
      <c r="UUO69" s="2936"/>
      <c r="UUP69" s="2936"/>
      <c r="UUQ69" s="2936"/>
      <c r="UUR69" s="2936"/>
      <c r="UUS69" s="2936"/>
      <c r="UUT69" s="2936"/>
      <c r="UUU69" s="2936"/>
      <c r="UUV69" s="2936"/>
      <c r="UUW69" s="2936"/>
      <c r="UUX69" s="2936"/>
      <c r="UUY69" s="2936"/>
      <c r="UUZ69" s="2936"/>
      <c r="UVA69" s="2936"/>
      <c r="UVB69" s="2936"/>
      <c r="UVC69" s="2936"/>
      <c r="UVD69" s="2936"/>
      <c r="UVE69" s="2936"/>
      <c r="UVF69" s="2936"/>
      <c r="UVG69" s="2936"/>
      <c r="UVH69" s="2936"/>
      <c r="UVI69" s="2936"/>
      <c r="UVJ69" s="2936"/>
      <c r="UVK69" s="2936"/>
      <c r="UVL69" s="2936"/>
      <c r="UVM69" s="2936"/>
      <c r="UVN69" s="2936"/>
      <c r="UVO69" s="2936"/>
      <c r="UVP69" s="2936"/>
      <c r="UVQ69" s="2936"/>
      <c r="UVR69" s="2936"/>
      <c r="UVS69" s="2936"/>
      <c r="UVT69" s="2936"/>
      <c r="UVU69" s="2936"/>
      <c r="UVV69" s="2936"/>
      <c r="UVW69" s="2936"/>
      <c r="UVX69" s="2936"/>
      <c r="UVY69" s="2936"/>
      <c r="UVZ69" s="2936"/>
      <c r="UWA69" s="2936"/>
      <c r="UWB69" s="2936"/>
      <c r="UWC69" s="2936"/>
      <c r="UWD69" s="2936"/>
      <c r="UWE69" s="2936"/>
      <c r="UWF69" s="2936"/>
      <c r="UWG69" s="2936"/>
      <c r="UWH69" s="2936"/>
      <c r="UWI69" s="2936"/>
      <c r="UWJ69" s="2936"/>
      <c r="UWK69" s="2936"/>
      <c r="UWL69" s="2936"/>
      <c r="UWM69" s="2936"/>
      <c r="UWN69" s="2936"/>
      <c r="UWO69" s="2936"/>
      <c r="UWP69" s="2936"/>
      <c r="UWQ69" s="2936"/>
      <c r="UWR69" s="2936"/>
      <c r="UWS69" s="2936"/>
      <c r="UWT69" s="2936"/>
      <c r="UWU69" s="2936"/>
      <c r="UWV69" s="2936"/>
      <c r="UWW69" s="2936"/>
      <c r="UWX69" s="2936"/>
      <c r="UWY69" s="2936"/>
      <c r="UWZ69" s="2936"/>
      <c r="UXA69" s="2936"/>
      <c r="UXB69" s="2936"/>
      <c r="UXC69" s="2936"/>
      <c r="UXD69" s="2936"/>
      <c r="UXE69" s="2936"/>
      <c r="UXF69" s="2936"/>
      <c r="UXG69" s="2936"/>
      <c r="UXH69" s="2936"/>
      <c r="UXI69" s="2936"/>
      <c r="UXJ69" s="2936"/>
      <c r="UXK69" s="2936"/>
      <c r="UXL69" s="2936"/>
      <c r="UXM69" s="2936"/>
      <c r="UXN69" s="2936"/>
      <c r="UXO69" s="2936"/>
      <c r="UXP69" s="2936"/>
      <c r="UXQ69" s="2936"/>
      <c r="UXR69" s="2936"/>
      <c r="UXS69" s="2936"/>
      <c r="UXT69" s="2936"/>
      <c r="UXU69" s="2936"/>
      <c r="UXV69" s="2936"/>
      <c r="UXW69" s="2936"/>
      <c r="UXX69" s="2936"/>
      <c r="UXY69" s="2936"/>
      <c r="UXZ69" s="2936"/>
      <c r="UYA69" s="2936"/>
      <c r="UYB69" s="2936"/>
      <c r="UYC69" s="2936"/>
      <c r="UYD69" s="2936"/>
      <c r="UYE69" s="2936"/>
      <c r="UYF69" s="2936"/>
      <c r="UYG69" s="2936"/>
      <c r="UYH69" s="2936"/>
      <c r="UYI69" s="2936"/>
      <c r="UYJ69" s="2936"/>
      <c r="UYK69" s="2936"/>
      <c r="UYL69" s="2936"/>
      <c r="UYM69" s="2936"/>
      <c r="UYN69" s="2936"/>
      <c r="UYO69" s="2936"/>
      <c r="UYP69" s="2936"/>
      <c r="UYQ69" s="2936"/>
      <c r="UYR69" s="2936"/>
      <c r="UYS69" s="2936"/>
      <c r="UYT69" s="2936"/>
      <c r="UYU69" s="2936"/>
      <c r="UYV69" s="2936"/>
      <c r="UYW69" s="2936"/>
      <c r="UYX69" s="2936"/>
      <c r="UYY69" s="2936"/>
      <c r="UYZ69" s="2936"/>
      <c r="UZA69" s="2936"/>
      <c r="UZB69" s="2936"/>
      <c r="UZC69" s="2936"/>
      <c r="UZD69" s="2936"/>
      <c r="UZE69" s="2936"/>
      <c r="UZF69" s="2936"/>
      <c r="UZG69" s="2936"/>
      <c r="UZH69" s="2936"/>
      <c r="UZI69" s="2936"/>
      <c r="UZJ69" s="2936"/>
      <c r="UZK69" s="2936"/>
      <c r="UZL69" s="2936"/>
      <c r="UZM69" s="2936"/>
      <c r="UZN69" s="2936"/>
      <c r="UZO69" s="2936"/>
      <c r="UZP69" s="2936"/>
      <c r="UZQ69" s="2936"/>
      <c r="UZR69" s="2936"/>
      <c r="UZS69" s="2936"/>
      <c r="UZT69" s="2936"/>
      <c r="UZU69" s="2936"/>
      <c r="UZV69" s="2936"/>
      <c r="UZW69" s="2936"/>
      <c r="UZX69" s="2936"/>
      <c r="UZY69" s="2936"/>
      <c r="UZZ69" s="2936"/>
      <c r="VAA69" s="2936"/>
      <c r="VAB69" s="2936"/>
      <c r="VAC69" s="2936"/>
      <c r="VAD69" s="2936"/>
      <c r="VAE69" s="2936"/>
      <c r="VAF69" s="2936"/>
      <c r="VAG69" s="2936"/>
      <c r="VAH69" s="2936"/>
      <c r="VAI69" s="2936"/>
      <c r="VAJ69" s="2936"/>
      <c r="VAK69" s="2936"/>
      <c r="VAL69" s="2936"/>
      <c r="VAM69" s="2936"/>
      <c r="VAN69" s="2936"/>
      <c r="VAO69" s="2936"/>
      <c r="VAP69" s="2936"/>
      <c r="VAQ69" s="2936"/>
      <c r="VAR69" s="2936"/>
      <c r="VAS69" s="2936"/>
      <c r="VAT69" s="2936"/>
      <c r="VAU69" s="2936"/>
      <c r="VAV69" s="2936"/>
      <c r="VAW69" s="2936"/>
      <c r="VAX69" s="2936"/>
      <c r="VAY69" s="2936"/>
      <c r="VAZ69" s="2936"/>
      <c r="VBA69" s="2936"/>
      <c r="VBB69" s="2936"/>
      <c r="VBC69" s="2936"/>
      <c r="VBD69" s="2936"/>
      <c r="VBE69" s="2936"/>
      <c r="VBF69" s="2936"/>
      <c r="VBG69" s="2936"/>
      <c r="VBH69" s="2936"/>
      <c r="VBI69" s="2936"/>
      <c r="VBJ69" s="2936"/>
      <c r="VBK69" s="2936"/>
      <c r="VBL69" s="2936"/>
      <c r="VBM69" s="2936"/>
      <c r="VBN69" s="2936"/>
      <c r="VBO69" s="2936"/>
      <c r="VBP69" s="2936"/>
      <c r="VBQ69" s="2936"/>
      <c r="VBR69" s="2936"/>
      <c r="VBS69" s="2936"/>
      <c r="VBT69" s="2936"/>
      <c r="VBU69" s="2936"/>
      <c r="VBV69" s="2936"/>
      <c r="VBW69" s="2936"/>
      <c r="VBX69" s="2936"/>
      <c r="VBY69" s="2936"/>
      <c r="VBZ69" s="2936"/>
      <c r="VCA69" s="2936"/>
      <c r="VCB69" s="2936"/>
      <c r="VCC69" s="2936"/>
      <c r="VCD69" s="2936"/>
      <c r="VCE69" s="2936"/>
      <c r="VCF69" s="2936"/>
      <c r="VCG69" s="2936"/>
      <c r="VCH69" s="2936"/>
      <c r="VCI69" s="2936"/>
      <c r="VCJ69" s="2936"/>
      <c r="VCK69" s="2936"/>
      <c r="VCL69" s="2936"/>
      <c r="VCM69" s="2936"/>
      <c r="VCN69" s="2936"/>
      <c r="VCO69" s="2936"/>
      <c r="VCP69" s="2936"/>
      <c r="VCQ69" s="2936"/>
      <c r="VCR69" s="2936"/>
      <c r="VCS69" s="2936"/>
      <c r="VCT69" s="2936"/>
      <c r="VCU69" s="2936"/>
      <c r="VCV69" s="2936"/>
      <c r="VCW69" s="2936"/>
      <c r="VCX69" s="2936"/>
      <c r="VCY69" s="2936"/>
      <c r="VCZ69" s="2936"/>
      <c r="VDA69" s="2936"/>
      <c r="VDB69" s="2936"/>
      <c r="VDC69" s="2936"/>
      <c r="VDD69" s="2936"/>
      <c r="VDE69" s="2936"/>
      <c r="VDF69" s="2936"/>
      <c r="VDG69" s="2936"/>
      <c r="VDH69" s="2936"/>
      <c r="VDI69" s="2936"/>
      <c r="VDJ69" s="2936"/>
      <c r="VDK69" s="2936"/>
      <c r="VDL69" s="2936"/>
      <c r="VDM69" s="2936"/>
      <c r="VDN69" s="2936"/>
      <c r="VDO69" s="2936"/>
      <c r="VDP69" s="2936"/>
      <c r="VDQ69" s="2936"/>
      <c r="VDR69" s="2936"/>
      <c r="VDS69" s="2936"/>
      <c r="VDT69" s="2936"/>
      <c r="VDU69" s="2936"/>
      <c r="VDV69" s="2936"/>
      <c r="VDW69" s="2936"/>
      <c r="VDX69" s="2936"/>
      <c r="VDY69" s="2936"/>
      <c r="VDZ69" s="2936"/>
      <c r="VEA69" s="2936"/>
      <c r="VEB69" s="2936"/>
      <c r="VEC69" s="2936"/>
      <c r="VED69" s="2936"/>
      <c r="VEE69" s="2936"/>
      <c r="VEF69" s="2936"/>
      <c r="VEG69" s="2936"/>
      <c r="VEH69" s="2936"/>
      <c r="VEI69" s="2936"/>
      <c r="VEJ69" s="2936"/>
      <c r="VEK69" s="2936"/>
      <c r="VEL69" s="2936"/>
      <c r="VEM69" s="2936"/>
      <c r="VEN69" s="2936"/>
      <c r="VEO69" s="2936"/>
      <c r="VEP69" s="2936"/>
      <c r="VEQ69" s="2936"/>
      <c r="VER69" s="2936"/>
      <c r="VES69" s="2936"/>
      <c r="VET69" s="2936"/>
      <c r="VEU69" s="2936"/>
      <c r="VEV69" s="2936"/>
      <c r="VEW69" s="2936"/>
      <c r="VEX69" s="2936"/>
      <c r="VEY69" s="2936"/>
      <c r="VEZ69" s="2936"/>
      <c r="VFA69" s="2936"/>
      <c r="VFB69" s="2936"/>
      <c r="VFC69" s="2936"/>
      <c r="VFD69" s="2936"/>
      <c r="VFE69" s="2936"/>
      <c r="VFF69" s="2936"/>
      <c r="VFG69" s="2936"/>
      <c r="VFH69" s="2936"/>
      <c r="VFI69" s="2936"/>
      <c r="VFJ69" s="2936"/>
      <c r="VFK69" s="2936"/>
      <c r="VFL69" s="2936"/>
      <c r="VFM69" s="2936"/>
      <c r="VFN69" s="2936"/>
      <c r="VFO69" s="2936"/>
      <c r="VFP69" s="2936"/>
      <c r="VFQ69" s="2936"/>
      <c r="VFR69" s="2936"/>
      <c r="VFS69" s="2936"/>
      <c r="VFT69" s="2936"/>
      <c r="VFU69" s="2936"/>
      <c r="VFV69" s="2936"/>
      <c r="VFW69" s="2936"/>
      <c r="VFX69" s="2936"/>
      <c r="VFY69" s="2936"/>
      <c r="VFZ69" s="2936"/>
      <c r="VGA69" s="2936"/>
      <c r="VGB69" s="2936"/>
      <c r="VGC69" s="2936"/>
      <c r="VGD69" s="2936"/>
      <c r="VGE69" s="2936"/>
      <c r="VGF69" s="2936"/>
      <c r="VGG69" s="2936"/>
      <c r="VGH69" s="2936"/>
      <c r="VGI69" s="2936"/>
      <c r="VGJ69" s="2936"/>
      <c r="VGK69" s="2936"/>
      <c r="VGL69" s="2936"/>
      <c r="VGM69" s="2936"/>
      <c r="VGN69" s="2936"/>
      <c r="VGO69" s="2936"/>
      <c r="VGP69" s="2936"/>
      <c r="VGQ69" s="2936"/>
      <c r="VGR69" s="2936"/>
      <c r="VGS69" s="2936"/>
      <c r="VGT69" s="2936"/>
      <c r="VGU69" s="2936"/>
      <c r="VGV69" s="2936"/>
      <c r="VGW69" s="2936"/>
      <c r="VGX69" s="2936"/>
      <c r="VGY69" s="2936"/>
      <c r="VGZ69" s="2936"/>
      <c r="VHA69" s="2936"/>
      <c r="VHB69" s="2936"/>
      <c r="VHC69" s="2936"/>
      <c r="VHD69" s="2936"/>
      <c r="VHE69" s="2936"/>
      <c r="VHF69" s="2936"/>
      <c r="VHG69" s="2936"/>
      <c r="VHH69" s="2936"/>
      <c r="VHI69" s="2936"/>
      <c r="VHJ69" s="2936"/>
      <c r="VHK69" s="2936"/>
      <c r="VHL69" s="2936"/>
      <c r="VHM69" s="2936"/>
      <c r="VHN69" s="2936"/>
      <c r="VHO69" s="2936"/>
      <c r="VHP69" s="2936"/>
      <c r="VHQ69" s="2936"/>
      <c r="VHR69" s="2936"/>
      <c r="VHS69" s="2936"/>
      <c r="VHT69" s="2936"/>
      <c r="VHU69" s="2936"/>
      <c r="VHV69" s="2936"/>
      <c r="VHW69" s="2936"/>
      <c r="VHX69" s="2936"/>
      <c r="VHY69" s="2936"/>
      <c r="VHZ69" s="2936"/>
      <c r="VIA69" s="2936"/>
      <c r="VIB69" s="2936"/>
      <c r="VIC69" s="2936"/>
      <c r="VID69" s="2936"/>
      <c r="VIE69" s="2936"/>
      <c r="VIF69" s="2936"/>
      <c r="VIG69" s="2936"/>
      <c r="VIH69" s="2936"/>
      <c r="VII69" s="2936"/>
      <c r="VIJ69" s="2936"/>
      <c r="VIK69" s="2936"/>
      <c r="VIL69" s="2936"/>
      <c r="VIM69" s="2936"/>
      <c r="VIN69" s="2936"/>
      <c r="VIO69" s="2936"/>
      <c r="VIP69" s="2936"/>
      <c r="VIQ69" s="2936"/>
      <c r="VIR69" s="2936"/>
      <c r="VIS69" s="2936"/>
      <c r="VIT69" s="2936"/>
      <c r="VIU69" s="2936"/>
      <c r="VIV69" s="2936"/>
      <c r="VIW69" s="2936"/>
      <c r="VIX69" s="2936"/>
      <c r="VIY69" s="2936"/>
      <c r="VIZ69" s="2936"/>
      <c r="VJA69" s="2936"/>
      <c r="VJB69" s="2936"/>
      <c r="VJC69" s="2936"/>
      <c r="VJD69" s="2936"/>
      <c r="VJE69" s="2936"/>
      <c r="VJF69" s="2936"/>
      <c r="VJG69" s="2936"/>
      <c r="VJH69" s="2936"/>
      <c r="VJI69" s="2936"/>
      <c r="VJJ69" s="2936"/>
      <c r="VJK69" s="2936"/>
      <c r="VJL69" s="2936"/>
      <c r="VJM69" s="2936"/>
      <c r="VJN69" s="2936"/>
      <c r="VJO69" s="2936"/>
      <c r="VJP69" s="2936"/>
      <c r="VJQ69" s="2936"/>
      <c r="VJR69" s="2936"/>
      <c r="VJS69" s="2936"/>
      <c r="VJT69" s="2936"/>
      <c r="VJU69" s="2936"/>
      <c r="VJV69" s="2936"/>
      <c r="VJW69" s="2936"/>
      <c r="VJX69" s="2936"/>
      <c r="VJY69" s="2936"/>
      <c r="VJZ69" s="2936"/>
      <c r="VKA69" s="2936"/>
      <c r="VKB69" s="2936"/>
      <c r="VKC69" s="2936"/>
      <c r="VKD69" s="2936"/>
      <c r="VKE69" s="2936"/>
      <c r="VKF69" s="2936"/>
      <c r="VKG69" s="2936"/>
      <c r="VKH69" s="2936"/>
      <c r="VKI69" s="2936"/>
      <c r="VKJ69" s="2936"/>
      <c r="VKK69" s="2936"/>
      <c r="VKL69" s="2936"/>
      <c r="VKM69" s="2936"/>
      <c r="VKN69" s="2936"/>
      <c r="VKO69" s="2936"/>
      <c r="VKP69" s="2936"/>
      <c r="VKQ69" s="2936"/>
      <c r="VKR69" s="2936"/>
      <c r="VKS69" s="2936"/>
      <c r="VKT69" s="2936"/>
      <c r="VKU69" s="2936"/>
      <c r="VKV69" s="2936"/>
      <c r="VKW69" s="2936"/>
      <c r="VKX69" s="2936"/>
      <c r="VKY69" s="2936"/>
      <c r="VKZ69" s="2936"/>
      <c r="VLA69" s="2936"/>
      <c r="VLB69" s="2936"/>
      <c r="VLC69" s="2936"/>
      <c r="VLD69" s="2936"/>
      <c r="VLE69" s="2936"/>
      <c r="VLF69" s="2936"/>
      <c r="VLG69" s="2936"/>
      <c r="VLH69" s="2936"/>
      <c r="VLI69" s="2936"/>
      <c r="VLJ69" s="2936"/>
      <c r="VLK69" s="2936"/>
      <c r="VLL69" s="2936"/>
      <c r="VLM69" s="2936"/>
      <c r="VLN69" s="2936"/>
      <c r="VLO69" s="2936"/>
      <c r="VLP69" s="2936"/>
      <c r="VLQ69" s="2936"/>
      <c r="VLR69" s="2936"/>
      <c r="VLS69" s="2936"/>
      <c r="VLT69" s="2936"/>
      <c r="VLU69" s="2936"/>
      <c r="VLV69" s="2936"/>
      <c r="VLW69" s="2936"/>
      <c r="VLX69" s="2936"/>
      <c r="VLY69" s="2936"/>
      <c r="VLZ69" s="2936"/>
      <c r="VMA69" s="2936"/>
      <c r="VMB69" s="2936"/>
      <c r="VMC69" s="2936"/>
      <c r="VMD69" s="2936"/>
      <c r="VME69" s="2936"/>
      <c r="VMF69" s="2936"/>
      <c r="VMG69" s="2936"/>
      <c r="VMH69" s="2936"/>
      <c r="VMI69" s="2936"/>
      <c r="VMJ69" s="2936"/>
      <c r="VMK69" s="2936"/>
      <c r="VML69" s="2936"/>
      <c r="VMM69" s="2936"/>
      <c r="VMN69" s="2936"/>
      <c r="VMO69" s="2936"/>
      <c r="VMP69" s="2936"/>
      <c r="VMQ69" s="2936"/>
      <c r="VMR69" s="2936"/>
      <c r="VMS69" s="2936"/>
      <c r="VMT69" s="2936"/>
      <c r="VMU69" s="2936"/>
      <c r="VMV69" s="2936"/>
      <c r="VMW69" s="2936"/>
      <c r="VMX69" s="2936"/>
      <c r="VMY69" s="2936"/>
      <c r="VMZ69" s="2936"/>
      <c r="VNA69" s="2936"/>
      <c r="VNB69" s="2936"/>
      <c r="VNC69" s="2936"/>
      <c r="VND69" s="2936"/>
      <c r="VNE69" s="2936"/>
      <c r="VNF69" s="2936"/>
      <c r="VNG69" s="2936"/>
      <c r="VNH69" s="2936"/>
      <c r="VNI69" s="2936"/>
      <c r="VNJ69" s="2936"/>
      <c r="VNK69" s="2936"/>
      <c r="VNL69" s="2936"/>
      <c r="VNM69" s="2936"/>
      <c r="VNN69" s="2936"/>
      <c r="VNO69" s="2936"/>
      <c r="VNP69" s="2936"/>
      <c r="VNQ69" s="2936"/>
      <c r="VNR69" s="2936"/>
      <c r="VNS69" s="2936"/>
      <c r="VNT69" s="2936"/>
      <c r="VNU69" s="2936"/>
      <c r="VNV69" s="2936"/>
      <c r="VNW69" s="2936"/>
      <c r="VNX69" s="2936"/>
      <c r="VNY69" s="2936"/>
      <c r="VNZ69" s="2936"/>
      <c r="VOA69" s="2936"/>
      <c r="VOB69" s="2936"/>
      <c r="VOC69" s="2936"/>
      <c r="VOD69" s="2936"/>
      <c r="VOE69" s="2936"/>
      <c r="VOF69" s="2936"/>
      <c r="VOG69" s="2936"/>
      <c r="VOH69" s="2936"/>
      <c r="VOI69" s="2936"/>
      <c r="VOJ69" s="2936"/>
      <c r="VOK69" s="2936"/>
      <c r="VOL69" s="2936"/>
      <c r="VOM69" s="2936"/>
      <c r="VON69" s="2936"/>
      <c r="VOO69" s="2936"/>
      <c r="VOP69" s="2936"/>
      <c r="VOQ69" s="2936"/>
      <c r="VOR69" s="2936"/>
      <c r="VOS69" s="2936"/>
      <c r="VOT69" s="2936"/>
      <c r="VOU69" s="2936"/>
      <c r="VOV69" s="2936"/>
      <c r="VOW69" s="2936"/>
      <c r="VOX69" s="2936"/>
      <c r="VOY69" s="2936"/>
      <c r="VOZ69" s="2936"/>
      <c r="VPA69" s="2936"/>
      <c r="VPB69" s="2936"/>
      <c r="VPC69" s="2936"/>
      <c r="VPD69" s="2936"/>
      <c r="VPE69" s="2936"/>
      <c r="VPF69" s="2936"/>
      <c r="VPG69" s="2936"/>
      <c r="VPH69" s="2936"/>
      <c r="VPI69" s="2936"/>
      <c r="VPJ69" s="2936"/>
      <c r="VPK69" s="2936"/>
      <c r="VPL69" s="2936"/>
      <c r="VPM69" s="2936"/>
      <c r="VPN69" s="2936"/>
      <c r="VPO69" s="2936"/>
      <c r="VPP69" s="2936"/>
      <c r="VPQ69" s="2936"/>
      <c r="VPR69" s="2936"/>
      <c r="VPS69" s="2936"/>
      <c r="VPT69" s="2936"/>
      <c r="VPU69" s="2936"/>
      <c r="VPV69" s="2936"/>
      <c r="VPW69" s="2936"/>
      <c r="VPX69" s="2936"/>
      <c r="VPY69" s="2936"/>
      <c r="VPZ69" s="2936"/>
      <c r="VQA69" s="2936"/>
      <c r="VQB69" s="2936"/>
      <c r="VQC69" s="2936"/>
      <c r="VQD69" s="2936"/>
      <c r="VQE69" s="2936"/>
      <c r="VQF69" s="2936"/>
      <c r="VQG69" s="2936"/>
      <c r="VQH69" s="2936"/>
      <c r="VQI69" s="2936"/>
      <c r="VQJ69" s="2936"/>
      <c r="VQK69" s="2936"/>
      <c r="VQL69" s="2936"/>
      <c r="VQM69" s="2936"/>
      <c r="VQN69" s="2936"/>
      <c r="VQO69" s="2936"/>
      <c r="VQP69" s="2936"/>
      <c r="VQQ69" s="2936"/>
      <c r="VQR69" s="2936"/>
      <c r="VQS69" s="2936"/>
      <c r="VQT69" s="2936"/>
      <c r="VQU69" s="2936"/>
      <c r="VQV69" s="2936"/>
      <c r="VQW69" s="2936"/>
      <c r="VQX69" s="2936"/>
      <c r="VQY69" s="2936"/>
      <c r="VQZ69" s="2936"/>
      <c r="VRA69" s="2936"/>
      <c r="VRB69" s="2936"/>
      <c r="VRC69" s="2936"/>
      <c r="VRD69" s="2936"/>
      <c r="VRE69" s="2936"/>
      <c r="VRF69" s="2936"/>
      <c r="VRG69" s="2936"/>
      <c r="VRH69" s="2936"/>
      <c r="VRI69" s="2936"/>
      <c r="VRJ69" s="2936"/>
      <c r="VRK69" s="2936"/>
      <c r="VRL69" s="2936"/>
      <c r="VRM69" s="2936"/>
      <c r="VRN69" s="2936"/>
      <c r="VRO69" s="2936"/>
      <c r="VRP69" s="2936"/>
      <c r="VRQ69" s="2936"/>
      <c r="VRR69" s="2936"/>
      <c r="VRS69" s="2936"/>
      <c r="VRT69" s="2936"/>
      <c r="VRU69" s="2936"/>
      <c r="VRV69" s="2936"/>
      <c r="VRW69" s="2936"/>
      <c r="VRX69" s="2936"/>
      <c r="VRY69" s="2936"/>
      <c r="VRZ69" s="2936"/>
      <c r="VSA69" s="2936"/>
      <c r="VSB69" s="2936"/>
      <c r="VSC69" s="2936"/>
      <c r="VSD69" s="2936"/>
      <c r="VSE69" s="2936"/>
      <c r="VSF69" s="2936"/>
      <c r="VSG69" s="2936"/>
      <c r="VSH69" s="2936"/>
      <c r="VSI69" s="2936"/>
      <c r="VSJ69" s="2936"/>
      <c r="VSK69" s="2936"/>
      <c r="VSL69" s="2936"/>
      <c r="VSM69" s="2936"/>
      <c r="VSN69" s="2936"/>
      <c r="VSO69" s="2936"/>
      <c r="VSP69" s="2936"/>
      <c r="VSQ69" s="2936"/>
      <c r="VSR69" s="2936"/>
      <c r="VSS69" s="2936"/>
      <c r="VST69" s="2936"/>
      <c r="VSU69" s="2936"/>
      <c r="VSV69" s="2936"/>
      <c r="VSW69" s="2936"/>
      <c r="VSX69" s="2936"/>
      <c r="VSY69" s="2936"/>
      <c r="VSZ69" s="2936"/>
      <c r="VTA69" s="2936"/>
      <c r="VTB69" s="2936"/>
      <c r="VTC69" s="2936"/>
      <c r="VTD69" s="2936"/>
      <c r="VTE69" s="2936"/>
      <c r="VTF69" s="2936"/>
      <c r="VTG69" s="2936"/>
      <c r="VTH69" s="2936"/>
      <c r="VTI69" s="2936"/>
      <c r="VTJ69" s="2936"/>
      <c r="VTK69" s="2936"/>
      <c r="VTL69" s="2936"/>
      <c r="VTM69" s="2936"/>
      <c r="VTN69" s="2936"/>
      <c r="VTO69" s="2936"/>
      <c r="VTP69" s="2936"/>
      <c r="VTQ69" s="2936"/>
      <c r="VTR69" s="2936"/>
      <c r="VTS69" s="2936"/>
      <c r="VTT69" s="2936"/>
      <c r="VTU69" s="2936"/>
      <c r="VTV69" s="2936"/>
      <c r="VTW69" s="2936"/>
      <c r="VTX69" s="2936"/>
      <c r="VTY69" s="2936"/>
      <c r="VTZ69" s="2936"/>
      <c r="VUA69" s="2936"/>
      <c r="VUB69" s="2936"/>
      <c r="VUC69" s="2936"/>
      <c r="VUD69" s="2936"/>
      <c r="VUE69" s="2936"/>
      <c r="VUF69" s="2936"/>
      <c r="VUG69" s="2936"/>
      <c r="VUH69" s="2936"/>
      <c r="VUI69" s="2936"/>
      <c r="VUJ69" s="2936"/>
      <c r="VUK69" s="2936"/>
      <c r="VUL69" s="2936"/>
      <c r="VUM69" s="2936"/>
      <c r="VUN69" s="2936"/>
      <c r="VUO69" s="2936"/>
      <c r="VUP69" s="2936"/>
      <c r="VUQ69" s="2936"/>
      <c r="VUR69" s="2936"/>
      <c r="VUS69" s="2936"/>
      <c r="VUT69" s="2936"/>
      <c r="VUU69" s="2936"/>
      <c r="VUV69" s="2936"/>
      <c r="VUW69" s="2936"/>
      <c r="VUX69" s="2936"/>
      <c r="VUY69" s="2936"/>
      <c r="VUZ69" s="2936"/>
      <c r="VVA69" s="2936"/>
      <c r="VVB69" s="2936"/>
      <c r="VVC69" s="2936"/>
      <c r="VVD69" s="2936"/>
      <c r="VVE69" s="2936"/>
      <c r="VVF69" s="2936"/>
      <c r="VVG69" s="2936"/>
      <c r="VVH69" s="2936"/>
      <c r="VVI69" s="2936"/>
      <c r="VVJ69" s="2936"/>
      <c r="VVK69" s="2936"/>
      <c r="VVL69" s="2936"/>
      <c r="VVM69" s="2936"/>
      <c r="VVN69" s="2936"/>
      <c r="VVO69" s="2936"/>
      <c r="VVP69" s="2936"/>
      <c r="VVQ69" s="2936"/>
      <c r="VVR69" s="2936"/>
      <c r="VVS69" s="2936"/>
      <c r="VVT69" s="2936"/>
      <c r="VVU69" s="2936"/>
      <c r="VVV69" s="2936"/>
      <c r="VVW69" s="2936"/>
      <c r="VVX69" s="2936"/>
      <c r="VVY69" s="2936"/>
      <c r="VVZ69" s="2936"/>
      <c r="VWA69" s="2936"/>
      <c r="VWB69" s="2936"/>
      <c r="VWC69" s="2936"/>
      <c r="VWD69" s="2936"/>
      <c r="VWE69" s="2936"/>
      <c r="VWF69" s="2936"/>
      <c r="VWG69" s="2936"/>
      <c r="VWH69" s="2936"/>
      <c r="VWI69" s="2936"/>
      <c r="VWJ69" s="2936"/>
      <c r="VWK69" s="2936"/>
      <c r="VWL69" s="2936"/>
      <c r="VWM69" s="2936"/>
      <c r="VWN69" s="2936"/>
      <c r="VWO69" s="2936"/>
      <c r="VWP69" s="2936"/>
      <c r="VWQ69" s="2936"/>
      <c r="VWR69" s="2936"/>
      <c r="VWS69" s="2936"/>
      <c r="VWT69" s="2936"/>
      <c r="VWU69" s="2936"/>
      <c r="VWV69" s="2936"/>
      <c r="VWW69" s="2936"/>
      <c r="VWX69" s="2936"/>
      <c r="VWY69" s="2936"/>
      <c r="VWZ69" s="2936"/>
      <c r="VXA69" s="2936"/>
      <c r="VXB69" s="2936"/>
      <c r="VXC69" s="2936"/>
      <c r="VXD69" s="2936"/>
      <c r="VXE69" s="2936"/>
      <c r="VXF69" s="2936"/>
      <c r="VXG69" s="2936"/>
      <c r="VXH69" s="2936"/>
      <c r="VXI69" s="2936"/>
      <c r="VXJ69" s="2936"/>
      <c r="VXK69" s="2936"/>
      <c r="VXL69" s="2936"/>
      <c r="VXM69" s="2936"/>
      <c r="VXN69" s="2936"/>
      <c r="VXO69" s="2936"/>
      <c r="VXP69" s="2936"/>
      <c r="VXQ69" s="2936"/>
      <c r="VXR69" s="2936"/>
      <c r="VXS69" s="2936"/>
      <c r="VXT69" s="2936"/>
      <c r="VXU69" s="2936"/>
      <c r="VXV69" s="2936"/>
      <c r="VXW69" s="2936"/>
      <c r="VXX69" s="2936"/>
      <c r="VXY69" s="2936"/>
      <c r="VXZ69" s="2936"/>
      <c r="VYA69" s="2936"/>
      <c r="VYB69" s="2936"/>
      <c r="VYC69" s="2936"/>
      <c r="VYD69" s="2936"/>
      <c r="VYE69" s="2936"/>
      <c r="VYF69" s="2936"/>
      <c r="VYG69" s="2936"/>
      <c r="VYH69" s="2936"/>
      <c r="VYI69" s="2936"/>
      <c r="VYJ69" s="2936"/>
      <c r="VYK69" s="2936"/>
      <c r="VYL69" s="2936"/>
      <c r="VYM69" s="2936"/>
      <c r="VYN69" s="2936"/>
      <c r="VYO69" s="2936"/>
      <c r="VYP69" s="2936"/>
      <c r="VYQ69" s="2936"/>
      <c r="VYR69" s="2936"/>
      <c r="VYS69" s="2936"/>
      <c r="VYT69" s="2936"/>
      <c r="VYU69" s="2936"/>
      <c r="VYV69" s="2936"/>
      <c r="VYW69" s="2936"/>
      <c r="VYX69" s="2936"/>
      <c r="VYY69" s="2936"/>
      <c r="VYZ69" s="2936"/>
      <c r="VZA69" s="2936"/>
      <c r="VZB69" s="2936"/>
      <c r="VZC69" s="2936"/>
      <c r="VZD69" s="2936"/>
      <c r="VZE69" s="2936"/>
      <c r="VZF69" s="2936"/>
      <c r="VZG69" s="2936"/>
      <c r="VZH69" s="2936"/>
      <c r="VZI69" s="2936"/>
      <c r="VZJ69" s="2936"/>
      <c r="VZK69" s="2936"/>
      <c r="VZL69" s="2936"/>
      <c r="VZM69" s="2936"/>
      <c r="VZN69" s="2936"/>
      <c r="VZO69" s="2936"/>
      <c r="VZP69" s="2936"/>
      <c r="VZQ69" s="2936"/>
      <c r="VZR69" s="2936"/>
      <c r="VZS69" s="2936"/>
      <c r="VZT69" s="2936"/>
      <c r="VZU69" s="2936"/>
      <c r="VZV69" s="2936"/>
      <c r="VZW69" s="2936"/>
      <c r="VZX69" s="2936"/>
      <c r="VZY69" s="2936"/>
      <c r="VZZ69" s="2936"/>
      <c r="WAA69" s="2936"/>
      <c r="WAB69" s="2936"/>
      <c r="WAC69" s="2936"/>
      <c r="WAD69" s="2936"/>
      <c r="WAE69" s="2936"/>
      <c r="WAF69" s="2936"/>
      <c r="WAG69" s="2936"/>
      <c r="WAH69" s="2936"/>
      <c r="WAI69" s="2936"/>
      <c r="WAJ69" s="2936"/>
      <c r="WAK69" s="2936"/>
      <c r="WAL69" s="2936"/>
      <c r="WAM69" s="2936"/>
      <c r="WAN69" s="2936"/>
      <c r="WAO69" s="2936"/>
      <c r="WAP69" s="2936"/>
      <c r="WAQ69" s="2936"/>
      <c r="WAR69" s="2936"/>
      <c r="WAS69" s="2936"/>
      <c r="WAT69" s="2936"/>
      <c r="WAU69" s="2936"/>
      <c r="WAV69" s="2936"/>
      <c r="WAW69" s="2936"/>
      <c r="WAX69" s="2936"/>
      <c r="WAY69" s="2936"/>
      <c r="WAZ69" s="2936"/>
      <c r="WBA69" s="2936"/>
      <c r="WBB69" s="2936"/>
      <c r="WBC69" s="2936"/>
      <c r="WBD69" s="2936"/>
      <c r="WBE69" s="2936"/>
      <c r="WBF69" s="2936"/>
      <c r="WBG69" s="2936"/>
      <c r="WBH69" s="2936"/>
      <c r="WBI69" s="2936"/>
      <c r="WBJ69" s="2936"/>
      <c r="WBK69" s="2936"/>
      <c r="WBL69" s="2936"/>
      <c r="WBM69" s="2936"/>
      <c r="WBN69" s="2936"/>
      <c r="WBO69" s="2936"/>
      <c r="WBP69" s="2936"/>
      <c r="WBQ69" s="2936"/>
      <c r="WBR69" s="2936"/>
      <c r="WBS69" s="2936"/>
      <c r="WBT69" s="2936"/>
      <c r="WBU69" s="2936"/>
      <c r="WBV69" s="2936"/>
      <c r="WBW69" s="2936"/>
      <c r="WBX69" s="2936"/>
      <c r="WBY69" s="2936"/>
      <c r="WBZ69" s="2936"/>
      <c r="WCA69" s="2936"/>
      <c r="WCB69" s="2936"/>
      <c r="WCC69" s="2936"/>
      <c r="WCD69" s="2936"/>
      <c r="WCE69" s="2936"/>
      <c r="WCF69" s="2936"/>
      <c r="WCG69" s="2936"/>
      <c r="WCH69" s="2936"/>
      <c r="WCI69" s="2936"/>
      <c r="WCJ69" s="2936"/>
      <c r="WCK69" s="2936"/>
      <c r="WCL69" s="2936"/>
      <c r="WCM69" s="2936"/>
      <c r="WCN69" s="2936"/>
      <c r="WCO69" s="2936"/>
      <c r="WCP69" s="2936"/>
      <c r="WCQ69" s="2936"/>
      <c r="WCR69" s="2936"/>
      <c r="WCS69" s="2936"/>
      <c r="WCT69" s="2936"/>
      <c r="WCU69" s="2936"/>
      <c r="WCV69" s="2936"/>
      <c r="WCW69" s="2936"/>
      <c r="WCX69" s="2936"/>
      <c r="WCY69" s="2936"/>
      <c r="WCZ69" s="2936"/>
      <c r="WDA69" s="2936"/>
      <c r="WDB69" s="2936"/>
      <c r="WDC69" s="2936"/>
      <c r="WDD69" s="2936"/>
      <c r="WDE69" s="2936"/>
      <c r="WDF69" s="2936"/>
      <c r="WDG69" s="2936"/>
      <c r="WDH69" s="2936"/>
      <c r="WDI69" s="2936"/>
      <c r="WDJ69" s="2936"/>
      <c r="WDK69" s="2936"/>
      <c r="WDL69" s="2936"/>
      <c r="WDM69" s="2936"/>
      <c r="WDN69" s="2936"/>
      <c r="WDO69" s="2936"/>
      <c r="WDP69" s="2936"/>
      <c r="WDQ69" s="2936"/>
      <c r="WDR69" s="2936"/>
      <c r="WDS69" s="2936"/>
      <c r="WDT69" s="2936"/>
      <c r="WDU69" s="2936"/>
      <c r="WDV69" s="2936"/>
      <c r="WDW69" s="2936"/>
      <c r="WDX69" s="2936"/>
      <c r="WDY69" s="2936"/>
      <c r="WDZ69" s="2936"/>
      <c r="WEA69" s="2936"/>
      <c r="WEB69" s="2936"/>
      <c r="WEC69" s="2936"/>
      <c r="WED69" s="2936"/>
      <c r="WEE69" s="2936"/>
      <c r="WEF69" s="2936"/>
      <c r="WEG69" s="2936"/>
      <c r="WEH69" s="2936"/>
      <c r="WEI69" s="2936"/>
      <c r="WEJ69" s="2936"/>
      <c r="WEK69" s="2936"/>
      <c r="WEL69" s="2936"/>
      <c r="WEM69" s="2936"/>
      <c r="WEN69" s="2936"/>
      <c r="WEO69" s="2936"/>
      <c r="WEP69" s="2936"/>
      <c r="WEQ69" s="2936"/>
      <c r="WER69" s="2936"/>
      <c r="WES69" s="2936"/>
      <c r="WET69" s="2936"/>
      <c r="WEU69" s="2936"/>
      <c r="WEV69" s="2936"/>
      <c r="WEW69" s="2936"/>
      <c r="WEX69" s="2936"/>
      <c r="WEY69" s="2936"/>
      <c r="WEZ69" s="2936"/>
      <c r="WFA69" s="2936"/>
      <c r="WFB69" s="2936"/>
      <c r="WFC69" s="2936"/>
      <c r="WFD69" s="2936"/>
      <c r="WFE69" s="2936"/>
      <c r="WFF69" s="2936"/>
      <c r="WFG69" s="2936"/>
      <c r="WFH69" s="2936"/>
      <c r="WFI69" s="2936"/>
      <c r="WFJ69" s="2936"/>
      <c r="WFK69" s="2936"/>
      <c r="WFL69" s="2936"/>
      <c r="WFM69" s="2936"/>
      <c r="WFN69" s="2936"/>
      <c r="WFO69" s="2936"/>
      <c r="WFP69" s="2936"/>
      <c r="WFQ69" s="2936"/>
      <c r="WFR69" s="2936"/>
      <c r="WFS69" s="2936"/>
      <c r="WFT69" s="2936"/>
      <c r="WFU69" s="2936"/>
      <c r="WFV69" s="2936"/>
      <c r="WFW69" s="2936"/>
      <c r="WFX69" s="2936"/>
      <c r="WFY69" s="2936"/>
      <c r="WFZ69" s="2936"/>
      <c r="WGA69" s="2936"/>
      <c r="WGB69" s="2936"/>
      <c r="WGC69" s="2936"/>
      <c r="WGD69" s="2936"/>
      <c r="WGE69" s="2936"/>
      <c r="WGF69" s="2936"/>
      <c r="WGG69" s="2936"/>
      <c r="WGH69" s="2936"/>
      <c r="WGI69" s="2936"/>
      <c r="WGJ69" s="2936"/>
      <c r="WGK69" s="2936"/>
      <c r="WGL69" s="2936"/>
      <c r="WGM69" s="2936"/>
      <c r="WGN69" s="2936"/>
      <c r="WGO69" s="2936"/>
      <c r="WGP69" s="2936"/>
      <c r="WGQ69" s="2936"/>
      <c r="WGR69" s="2936"/>
      <c r="WGS69" s="2936"/>
      <c r="WGT69" s="2936"/>
      <c r="WGU69" s="2936"/>
      <c r="WGV69" s="2936"/>
      <c r="WGW69" s="2936"/>
      <c r="WGX69" s="2936"/>
      <c r="WGY69" s="2936"/>
      <c r="WGZ69" s="2936"/>
      <c r="WHA69" s="2936"/>
      <c r="WHB69" s="2936"/>
      <c r="WHC69" s="2936"/>
      <c r="WHD69" s="2936"/>
      <c r="WHE69" s="2936"/>
      <c r="WHF69" s="2936"/>
      <c r="WHG69" s="2936"/>
      <c r="WHH69" s="2936"/>
      <c r="WHI69" s="2936"/>
      <c r="WHJ69" s="2936"/>
      <c r="WHK69" s="2936"/>
      <c r="WHL69" s="2936"/>
      <c r="WHM69" s="2936"/>
      <c r="WHN69" s="2936"/>
      <c r="WHO69" s="2936"/>
      <c r="WHP69" s="2936"/>
      <c r="WHQ69" s="2936"/>
      <c r="WHR69" s="2936"/>
      <c r="WHS69" s="2936"/>
      <c r="WHT69" s="2936"/>
      <c r="WHU69" s="2936"/>
      <c r="WHV69" s="2936"/>
      <c r="WHW69" s="2936"/>
      <c r="WHX69" s="2936"/>
      <c r="WHY69" s="2936"/>
      <c r="WHZ69" s="2936"/>
      <c r="WIA69" s="2936"/>
      <c r="WIB69" s="2936"/>
      <c r="WIC69" s="2936"/>
      <c r="WID69" s="2936"/>
      <c r="WIE69" s="2936"/>
      <c r="WIF69" s="2936"/>
      <c r="WIG69" s="2936"/>
      <c r="WIH69" s="2936"/>
      <c r="WII69" s="2936"/>
      <c r="WIJ69" s="2936"/>
      <c r="WIK69" s="2936"/>
      <c r="WIL69" s="2936"/>
      <c r="WIM69" s="2936"/>
      <c r="WIN69" s="2936"/>
      <c r="WIO69" s="2936"/>
      <c r="WIP69" s="2936"/>
      <c r="WIQ69" s="2936"/>
      <c r="WIR69" s="2936"/>
      <c r="WIS69" s="2936"/>
      <c r="WIT69" s="2936"/>
      <c r="WIU69" s="2936"/>
      <c r="WIV69" s="2936"/>
      <c r="WIW69" s="2936"/>
      <c r="WIX69" s="2936"/>
      <c r="WIY69" s="2936"/>
      <c r="WIZ69" s="2936"/>
      <c r="WJA69" s="2936"/>
      <c r="WJB69" s="2936"/>
      <c r="WJC69" s="2936"/>
      <c r="WJD69" s="2936"/>
      <c r="WJE69" s="2936"/>
      <c r="WJF69" s="2936"/>
      <c r="WJG69" s="2936"/>
      <c r="WJH69" s="2936"/>
      <c r="WJI69" s="2936"/>
      <c r="WJJ69" s="2936"/>
      <c r="WJK69" s="2936"/>
      <c r="WJL69" s="2936"/>
      <c r="WJM69" s="2936"/>
      <c r="WJN69" s="2936"/>
      <c r="WJO69" s="2936"/>
      <c r="WJP69" s="2936"/>
      <c r="WJQ69" s="2936"/>
      <c r="WJR69" s="2936"/>
      <c r="WJS69" s="2936"/>
      <c r="WJT69" s="2936"/>
      <c r="WJU69" s="2936"/>
      <c r="WJV69" s="2936"/>
      <c r="WJW69" s="2936"/>
      <c r="WJX69" s="2936"/>
      <c r="WJY69" s="2936"/>
      <c r="WJZ69" s="2936"/>
      <c r="WKA69" s="2936"/>
      <c r="WKB69" s="2936"/>
      <c r="WKC69" s="2936"/>
      <c r="WKD69" s="2936"/>
      <c r="WKE69" s="2936"/>
      <c r="WKF69" s="2936"/>
      <c r="WKG69" s="2936"/>
      <c r="WKH69" s="2936"/>
      <c r="WKI69" s="2936"/>
      <c r="WKJ69" s="2936"/>
      <c r="WKK69" s="2936"/>
      <c r="WKL69" s="2936"/>
      <c r="WKM69" s="2936"/>
      <c r="WKN69" s="2936"/>
      <c r="WKO69" s="2936"/>
      <c r="WKP69" s="2936"/>
      <c r="WKQ69" s="2936"/>
      <c r="WKR69" s="2936"/>
      <c r="WKS69" s="2936"/>
      <c r="WKT69" s="2936"/>
      <c r="WKU69" s="2936"/>
      <c r="WKV69" s="2936"/>
      <c r="WKW69" s="2936"/>
      <c r="WKX69" s="2936"/>
      <c r="WKY69" s="2936"/>
      <c r="WKZ69" s="2936"/>
      <c r="WLA69" s="2936"/>
      <c r="WLB69" s="2936"/>
      <c r="WLC69" s="2936"/>
      <c r="WLD69" s="2936"/>
      <c r="WLE69" s="2936"/>
      <c r="WLF69" s="2936"/>
      <c r="WLG69" s="2936"/>
      <c r="WLH69" s="2936"/>
      <c r="WLI69" s="2936"/>
      <c r="WLJ69" s="2936"/>
      <c r="WLK69" s="2936"/>
      <c r="WLL69" s="2936"/>
      <c r="WLM69" s="2936"/>
      <c r="WLN69" s="2936"/>
      <c r="WLO69" s="2936"/>
      <c r="WLP69" s="2936"/>
      <c r="WLQ69" s="2936"/>
      <c r="WLR69" s="2936"/>
      <c r="WLS69" s="2936"/>
      <c r="WLT69" s="2936"/>
      <c r="WLU69" s="2936"/>
      <c r="WLV69" s="2936"/>
      <c r="WLW69" s="2936"/>
      <c r="WLX69" s="2936"/>
      <c r="WLY69" s="2936"/>
      <c r="WLZ69" s="2936"/>
      <c r="WMA69" s="2936"/>
      <c r="WMB69" s="2936"/>
      <c r="WMC69" s="2936"/>
      <c r="WMD69" s="2936"/>
      <c r="WME69" s="2936"/>
      <c r="WMF69" s="2936"/>
      <c r="WMG69" s="2936"/>
      <c r="WMH69" s="2936"/>
      <c r="WMI69" s="2936"/>
      <c r="WMJ69" s="2936"/>
      <c r="WMK69" s="2936"/>
      <c r="WML69" s="2936"/>
      <c r="WMM69" s="2936"/>
      <c r="WMN69" s="2936"/>
      <c r="WMO69" s="2936"/>
      <c r="WMP69" s="2936"/>
      <c r="WMQ69" s="2936"/>
      <c r="WMR69" s="2936"/>
      <c r="WMS69" s="2936"/>
      <c r="WMT69" s="2936"/>
      <c r="WMU69" s="2936"/>
      <c r="WMV69" s="2936"/>
      <c r="WMW69" s="2936"/>
      <c r="WMX69" s="2936"/>
      <c r="WMY69" s="2936"/>
      <c r="WMZ69" s="2936"/>
      <c r="WNA69" s="2936"/>
      <c r="WNB69" s="2936"/>
      <c r="WNC69" s="2936"/>
      <c r="WND69" s="2936"/>
      <c r="WNE69" s="2936"/>
      <c r="WNF69" s="2936"/>
      <c r="WNG69" s="2936"/>
      <c r="WNH69" s="2936"/>
      <c r="WNI69" s="2936"/>
      <c r="WNJ69" s="2936"/>
      <c r="WNK69" s="2936"/>
      <c r="WNL69" s="2936"/>
      <c r="WNM69" s="2936"/>
      <c r="WNN69" s="2936"/>
      <c r="WNO69" s="2936"/>
      <c r="WNP69" s="2936"/>
      <c r="WNQ69" s="2936"/>
      <c r="WNR69" s="2936"/>
      <c r="WNS69" s="2936"/>
      <c r="WNT69" s="2936"/>
      <c r="WNU69" s="2936"/>
      <c r="WNV69" s="2936"/>
      <c r="WNW69" s="2936"/>
      <c r="WNX69" s="2936"/>
      <c r="WNY69" s="2936"/>
      <c r="WNZ69" s="2936"/>
      <c r="WOA69" s="2936"/>
      <c r="WOB69" s="2936"/>
      <c r="WOC69" s="2936"/>
      <c r="WOD69" s="2936"/>
      <c r="WOE69" s="2936"/>
      <c r="WOF69" s="2936"/>
      <c r="WOG69" s="2936"/>
      <c r="WOH69" s="2936"/>
      <c r="WOI69" s="2936"/>
      <c r="WOJ69" s="2936"/>
      <c r="WOK69" s="2936"/>
      <c r="WOL69" s="2936"/>
      <c r="WOM69" s="2936"/>
      <c r="WON69" s="2936"/>
      <c r="WOO69" s="2936"/>
      <c r="WOP69" s="2936"/>
      <c r="WOQ69" s="2936"/>
      <c r="WOR69" s="2936"/>
      <c r="WOS69" s="2936"/>
      <c r="WOT69" s="2936"/>
      <c r="WOU69" s="2936"/>
      <c r="WOV69" s="2936"/>
      <c r="WOW69" s="2936"/>
      <c r="WOX69" s="2936"/>
      <c r="WOY69" s="2936"/>
      <c r="WOZ69" s="2936"/>
      <c r="WPA69" s="2936"/>
      <c r="WPB69" s="2936"/>
      <c r="WPC69" s="2936"/>
      <c r="WPD69" s="2936"/>
      <c r="WPE69" s="2936"/>
      <c r="WPF69" s="2936"/>
      <c r="WPG69" s="2936"/>
      <c r="WPH69" s="2936"/>
      <c r="WPI69" s="2936"/>
      <c r="WPJ69" s="2936"/>
      <c r="WPK69" s="2936"/>
      <c r="WPL69" s="2936"/>
      <c r="WPM69" s="2936"/>
      <c r="WPN69" s="2936"/>
      <c r="WPO69" s="2936"/>
      <c r="WPP69" s="2936"/>
      <c r="WPQ69" s="2936"/>
      <c r="WPR69" s="2936"/>
      <c r="WPS69" s="2936"/>
      <c r="WPT69" s="2936"/>
      <c r="WPU69" s="2936"/>
      <c r="WPV69" s="2936"/>
      <c r="WPW69" s="2936"/>
      <c r="WPX69" s="2936"/>
      <c r="WPY69" s="2936"/>
      <c r="WPZ69" s="2936"/>
      <c r="WQA69" s="2936"/>
      <c r="WQB69" s="2936"/>
      <c r="WQC69" s="2936"/>
      <c r="WQD69" s="2936"/>
      <c r="WQE69" s="2936"/>
      <c r="WQF69" s="2936"/>
      <c r="WQG69" s="2936"/>
      <c r="WQH69" s="2936"/>
      <c r="WQI69" s="2936"/>
      <c r="WQJ69" s="2936"/>
      <c r="WQK69" s="2936"/>
      <c r="WQL69" s="2936"/>
      <c r="WQM69" s="2936"/>
      <c r="WQN69" s="2936"/>
      <c r="WQO69" s="2936"/>
      <c r="WQP69" s="2936"/>
      <c r="WQQ69" s="2936"/>
      <c r="WQR69" s="2936"/>
      <c r="WQS69" s="2936"/>
      <c r="WQT69" s="2936"/>
      <c r="WQU69" s="2936"/>
      <c r="WQV69" s="2936"/>
      <c r="WQW69" s="2936"/>
      <c r="WQX69" s="2936"/>
      <c r="WQY69" s="2936"/>
      <c r="WQZ69" s="2936"/>
      <c r="WRA69" s="2936"/>
      <c r="WRB69" s="2936"/>
      <c r="WRC69" s="2936"/>
      <c r="WRD69" s="2936"/>
      <c r="WRE69" s="2936"/>
      <c r="WRF69" s="2936"/>
      <c r="WRG69" s="2936"/>
      <c r="WRH69" s="2936"/>
      <c r="WRI69" s="2936"/>
      <c r="WRJ69" s="2936"/>
      <c r="WRK69" s="2936"/>
      <c r="WRL69" s="2936"/>
      <c r="WRM69" s="2936"/>
      <c r="WRN69" s="2936"/>
      <c r="WRO69" s="2936"/>
      <c r="WRP69" s="2936"/>
      <c r="WRQ69" s="2936"/>
      <c r="WRR69" s="2936"/>
      <c r="WRS69" s="2936"/>
      <c r="WRT69" s="2936"/>
      <c r="WRU69" s="2936"/>
      <c r="WRV69" s="2936"/>
      <c r="WRW69" s="2936"/>
      <c r="WRX69" s="2936"/>
      <c r="WRY69" s="2936"/>
      <c r="WRZ69" s="2936"/>
      <c r="WSA69" s="2936"/>
      <c r="WSB69" s="2936"/>
      <c r="WSC69" s="2936"/>
      <c r="WSD69" s="2936"/>
      <c r="WSE69" s="2936"/>
      <c r="WSF69" s="2936"/>
      <c r="WSG69" s="2936"/>
      <c r="WSH69" s="2936"/>
      <c r="WSI69" s="2936"/>
      <c r="WSJ69" s="2936"/>
      <c r="WSK69" s="2936"/>
      <c r="WSL69" s="2936"/>
      <c r="WSM69" s="2936"/>
      <c r="WSN69" s="2936"/>
      <c r="WSO69" s="2936"/>
      <c r="WSP69" s="2936"/>
      <c r="WSQ69" s="2936"/>
      <c r="WSR69" s="2936"/>
      <c r="WSS69" s="2936"/>
      <c r="WST69" s="2936"/>
      <c r="WSU69" s="2936"/>
      <c r="WSV69" s="2936"/>
      <c r="WSW69" s="2936"/>
      <c r="WSX69" s="2936"/>
      <c r="WSY69" s="2936"/>
      <c r="WSZ69" s="2936"/>
      <c r="WTA69" s="2936"/>
      <c r="WTB69" s="2936"/>
      <c r="WTC69" s="2936"/>
      <c r="WTD69" s="2936"/>
      <c r="WTE69" s="2936"/>
      <c r="WTF69" s="2936"/>
      <c r="WTG69" s="2936"/>
      <c r="WTH69" s="2936"/>
      <c r="WTI69" s="2936"/>
      <c r="WTJ69" s="2936"/>
      <c r="WTK69" s="2936"/>
      <c r="WTL69" s="2936"/>
      <c r="WTM69" s="2936"/>
      <c r="WTN69" s="2936"/>
      <c r="WTO69" s="2936"/>
      <c r="WTP69" s="2936"/>
      <c r="WTQ69" s="2936"/>
      <c r="WTR69" s="2936"/>
      <c r="WTS69" s="2936"/>
      <c r="WTT69" s="2936"/>
      <c r="WTU69" s="2936"/>
      <c r="WTV69" s="2936"/>
      <c r="WTW69" s="2936"/>
      <c r="WTX69" s="2936"/>
      <c r="WTY69" s="2936"/>
      <c r="WTZ69" s="2936"/>
      <c r="WUA69" s="2936"/>
      <c r="WUB69" s="2936"/>
      <c r="WUC69" s="2936"/>
      <c r="WUD69" s="2936"/>
      <c r="WUE69" s="2936"/>
      <c r="WUF69" s="2936"/>
      <c r="WUG69" s="2936"/>
      <c r="WUH69" s="2936"/>
      <c r="WUI69" s="2936"/>
      <c r="WUJ69" s="2936"/>
      <c r="WUK69" s="2936"/>
      <c r="WUL69" s="2936"/>
      <c r="WUM69" s="2936"/>
      <c r="WUN69" s="2936"/>
      <c r="WUO69" s="2936"/>
      <c r="WUP69" s="2936"/>
      <c r="WUQ69" s="2936"/>
      <c r="WUR69" s="2936"/>
      <c r="WUS69" s="2936"/>
      <c r="WUT69" s="2936"/>
      <c r="WUU69" s="2936"/>
      <c r="WUV69" s="2936"/>
      <c r="WUW69" s="2936"/>
      <c r="WUX69" s="2936"/>
      <c r="WUY69" s="2936"/>
      <c r="WUZ69" s="2936"/>
      <c r="WVA69" s="2936"/>
      <c r="WVB69" s="2936"/>
      <c r="WVC69" s="2936"/>
      <c r="WVD69" s="2936"/>
      <c r="WVE69" s="2936"/>
      <c r="WVF69" s="2936"/>
      <c r="WVG69" s="2936"/>
      <c r="WVH69" s="2936"/>
      <c r="WVI69" s="2936"/>
      <c r="WVJ69" s="2936"/>
      <c r="WVK69" s="2936"/>
      <c r="WVL69" s="2936"/>
      <c r="WVM69" s="2936"/>
      <c r="WVN69" s="2936"/>
      <c r="WVO69" s="2936"/>
      <c r="WVP69" s="2936"/>
      <c r="WVQ69" s="2936"/>
      <c r="WVR69" s="2936"/>
      <c r="WVS69" s="2936"/>
      <c r="WVT69" s="2936"/>
      <c r="WVU69" s="2936"/>
      <c r="WVV69" s="2936"/>
      <c r="WVW69" s="2936"/>
      <c r="WVX69" s="2936"/>
      <c r="WVY69" s="2936"/>
      <c r="WVZ69" s="2936"/>
      <c r="WWA69" s="2936"/>
      <c r="WWB69" s="2936"/>
      <c r="WWC69" s="2936"/>
      <c r="WWD69" s="2936"/>
      <c r="WWE69" s="2936"/>
      <c r="WWF69" s="2936"/>
      <c r="WWG69" s="2936"/>
      <c r="WWH69" s="2936"/>
      <c r="WWI69" s="2936"/>
      <c r="WWJ69" s="2936"/>
      <c r="WWK69" s="2936"/>
      <c r="WWL69" s="2936"/>
      <c r="WWM69" s="2936"/>
      <c r="WWN69" s="2936"/>
      <c r="WWO69" s="2936"/>
      <c r="WWP69" s="2936"/>
      <c r="WWQ69" s="2936"/>
      <c r="WWR69" s="2936"/>
      <c r="WWS69" s="2936"/>
      <c r="WWT69" s="2936"/>
      <c r="WWU69" s="2936"/>
      <c r="WWV69" s="2936"/>
      <c r="WWW69" s="2936"/>
      <c r="WWX69" s="2936"/>
      <c r="WWY69" s="2936"/>
      <c r="WWZ69" s="2936"/>
      <c r="WXA69" s="2936"/>
      <c r="WXB69" s="2936"/>
      <c r="WXC69" s="2936"/>
      <c r="WXD69" s="2936"/>
      <c r="WXE69" s="2936"/>
      <c r="WXF69" s="2936"/>
      <c r="WXG69" s="2936"/>
      <c r="WXH69" s="2936"/>
      <c r="WXI69" s="2936"/>
      <c r="WXJ69" s="2936"/>
      <c r="WXK69" s="2936"/>
      <c r="WXL69" s="2936"/>
      <c r="WXM69" s="2936"/>
      <c r="WXN69" s="2936"/>
      <c r="WXO69" s="2936"/>
      <c r="WXP69" s="2936"/>
      <c r="WXQ69" s="2936"/>
      <c r="WXR69" s="2936"/>
      <c r="WXS69" s="2936"/>
      <c r="WXT69" s="2936"/>
      <c r="WXU69" s="2936"/>
      <c r="WXV69" s="2936"/>
      <c r="WXW69" s="2936"/>
      <c r="WXX69" s="2936"/>
      <c r="WXY69" s="2936"/>
      <c r="WXZ69" s="2936"/>
      <c r="WYA69" s="2936"/>
      <c r="WYB69" s="2936"/>
      <c r="WYC69" s="2936"/>
      <c r="WYD69" s="2936"/>
      <c r="WYE69" s="2936"/>
      <c r="WYF69" s="2936"/>
      <c r="WYG69" s="2936"/>
      <c r="WYH69" s="2936"/>
      <c r="WYI69" s="2936"/>
      <c r="WYJ69" s="2936"/>
      <c r="WYK69" s="2936"/>
      <c r="WYL69" s="2936"/>
      <c r="WYM69" s="2936"/>
      <c r="WYN69" s="2936"/>
      <c r="WYO69" s="2936"/>
      <c r="WYP69" s="2936"/>
      <c r="WYQ69" s="2936"/>
      <c r="WYR69" s="2936"/>
      <c r="WYS69" s="2936"/>
      <c r="WYT69" s="2936"/>
      <c r="WYU69" s="2936"/>
      <c r="WYV69" s="2936"/>
      <c r="WYW69" s="2936"/>
      <c r="WYX69" s="2936"/>
      <c r="WYY69" s="2936"/>
      <c r="WYZ69" s="2936"/>
      <c r="WZA69" s="2936"/>
      <c r="WZB69" s="2936"/>
      <c r="WZC69" s="2936"/>
      <c r="WZD69" s="2936"/>
      <c r="WZE69" s="2936"/>
      <c r="WZF69" s="2936"/>
      <c r="WZG69" s="2936"/>
      <c r="WZH69" s="2936"/>
      <c r="WZI69" s="2936"/>
      <c r="WZJ69" s="2936"/>
      <c r="WZK69" s="2936"/>
      <c r="WZL69" s="2936"/>
      <c r="WZM69" s="2936"/>
      <c r="WZN69" s="2936"/>
      <c r="WZO69" s="2936"/>
      <c r="WZP69" s="2936"/>
      <c r="WZQ69" s="2936"/>
      <c r="WZR69" s="2936"/>
      <c r="WZS69" s="2936"/>
      <c r="WZT69" s="2936"/>
      <c r="WZU69" s="2936"/>
      <c r="WZV69" s="2936"/>
      <c r="WZW69" s="2936"/>
      <c r="WZX69" s="2936"/>
      <c r="WZY69" s="2936"/>
      <c r="WZZ69" s="2936"/>
      <c r="XAA69" s="2936"/>
      <c r="XAB69" s="2936"/>
      <c r="XAC69" s="2936"/>
      <c r="XAD69" s="2936"/>
      <c r="XAE69" s="2936"/>
      <c r="XAF69" s="2936"/>
      <c r="XAG69" s="2936"/>
      <c r="XAH69" s="2936"/>
      <c r="XAI69" s="2936"/>
      <c r="XAJ69" s="2936"/>
      <c r="XAK69" s="2936"/>
      <c r="XAL69" s="2936"/>
      <c r="XAM69" s="2936"/>
      <c r="XAN69" s="2936"/>
      <c r="XAO69" s="2936"/>
      <c r="XAP69" s="2936"/>
      <c r="XAQ69" s="2936"/>
      <c r="XAR69" s="2936"/>
      <c r="XAS69" s="2936"/>
      <c r="XAT69" s="2936"/>
      <c r="XAU69" s="2936"/>
      <c r="XAV69" s="2936"/>
      <c r="XAW69" s="2936"/>
      <c r="XAX69" s="2936"/>
      <c r="XAY69" s="2936"/>
      <c r="XAZ69" s="2936"/>
      <c r="XBA69" s="2936"/>
      <c r="XBB69" s="2936"/>
      <c r="XBC69" s="2936"/>
      <c r="XBD69" s="2936"/>
      <c r="XBE69" s="2936"/>
      <c r="XBF69" s="2936"/>
      <c r="XBG69" s="2936"/>
      <c r="XBH69" s="2936"/>
      <c r="XBI69" s="2936"/>
      <c r="XBJ69" s="2936"/>
      <c r="XBK69" s="2936"/>
      <c r="XBL69" s="2936"/>
      <c r="XBM69" s="2936"/>
      <c r="XBN69" s="2936"/>
      <c r="XBO69" s="2936"/>
      <c r="XBP69" s="2936"/>
      <c r="XBQ69" s="2936"/>
      <c r="XBR69" s="2936"/>
      <c r="XBS69" s="2936"/>
      <c r="XBT69" s="2936"/>
      <c r="XBU69" s="2936"/>
      <c r="XBV69" s="2936"/>
      <c r="XBW69" s="2936"/>
      <c r="XBX69" s="2936"/>
      <c r="XBY69" s="2936"/>
      <c r="XBZ69" s="2936"/>
      <c r="XCA69" s="2936"/>
      <c r="XCB69" s="2936"/>
      <c r="XCC69" s="2936"/>
      <c r="XCD69" s="2936"/>
      <c r="XCE69" s="2936"/>
      <c r="XCF69" s="2936"/>
      <c r="XCG69" s="2936"/>
      <c r="XCH69" s="2936"/>
      <c r="XCI69" s="2936"/>
      <c r="XCJ69" s="2936"/>
      <c r="XCK69" s="2936"/>
      <c r="XCL69" s="2936"/>
      <c r="XCM69" s="2936"/>
      <c r="XCN69" s="2936"/>
      <c r="XCO69" s="2936"/>
      <c r="XCP69" s="2936"/>
      <c r="XCQ69" s="2936"/>
      <c r="XCR69" s="2936"/>
      <c r="XCS69" s="2936"/>
      <c r="XCT69" s="2936"/>
      <c r="XCU69" s="2936"/>
      <c r="XCV69" s="2936"/>
      <c r="XCW69" s="2936"/>
      <c r="XCX69" s="2936"/>
      <c r="XCY69" s="2936"/>
      <c r="XCZ69" s="2936"/>
      <c r="XDA69" s="2936"/>
      <c r="XDB69" s="2936"/>
      <c r="XDC69" s="2936"/>
      <c r="XDD69" s="2936"/>
      <c r="XDE69" s="2936"/>
      <c r="XDF69" s="2936"/>
      <c r="XDG69" s="2936"/>
      <c r="XDH69" s="2936"/>
      <c r="XDI69" s="2936"/>
      <c r="XDJ69" s="2936"/>
      <c r="XDK69" s="2936"/>
      <c r="XDL69" s="2936"/>
      <c r="XDM69" s="2936"/>
      <c r="XDN69" s="2936"/>
      <c r="XDO69" s="2936"/>
      <c r="XDP69" s="2936"/>
      <c r="XDQ69" s="2936"/>
      <c r="XDR69" s="2936"/>
      <c r="XDS69" s="2936"/>
      <c r="XDT69" s="2936"/>
      <c r="XDU69" s="2936"/>
      <c r="XDV69" s="2936"/>
      <c r="XDW69" s="2936"/>
      <c r="XDX69" s="2936"/>
      <c r="XDY69" s="2936"/>
      <c r="XDZ69" s="2936"/>
      <c r="XEA69" s="2936"/>
      <c r="XEB69" s="2936"/>
      <c r="XEC69" s="2936"/>
      <c r="XED69" s="2936"/>
      <c r="XEE69" s="2936"/>
      <c r="XEF69" s="2936"/>
      <c r="XEG69" s="2936"/>
      <c r="XEH69" s="2936"/>
      <c r="XEI69" s="2936"/>
      <c r="XEJ69" s="2936"/>
      <c r="XEK69" s="2936"/>
      <c r="XEL69" s="2936"/>
      <c r="XEM69" s="2936"/>
      <c r="XEN69" s="2936"/>
      <c r="XEO69" s="2936"/>
      <c r="XEP69" s="2936"/>
      <c r="XEQ69" s="2936"/>
      <c r="XER69" s="2936"/>
      <c r="XES69" s="2936"/>
      <c r="XET69" s="2936"/>
      <c r="XEU69" s="2936"/>
      <c r="XEV69" s="2936"/>
      <c r="XEW69" s="2936"/>
      <c r="XEX69" s="2936"/>
      <c r="XEY69" s="2936"/>
      <c r="XEZ69" s="2936"/>
      <c r="XFA69" s="2936"/>
      <c r="XFB69" s="2936"/>
      <c r="XFC69" s="2936"/>
    </row>
    <row r="70" spans="1:16383" x14ac:dyDescent="0.25">
      <c r="A70" s="5" t="s">
        <v>157</v>
      </c>
      <c r="B70" s="2936"/>
      <c r="C70" s="2936"/>
      <c r="D70" s="2936"/>
      <c r="F70" s="2936"/>
      <c r="G70" s="2936"/>
      <c r="H70" s="2936"/>
      <c r="I70" s="2936"/>
      <c r="J70" s="2936"/>
      <c r="K70" s="2936"/>
      <c r="L70" s="2936"/>
      <c r="M70" s="2936"/>
      <c r="N70" s="2936"/>
      <c r="O70" s="2936"/>
      <c r="P70" s="2936"/>
      <c r="Q70" s="2936"/>
      <c r="R70" s="2936"/>
      <c r="S70" s="2936"/>
      <c r="T70" s="2936"/>
      <c r="U70" s="2936"/>
      <c r="V70" s="2936"/>
      <c r="W70" s="2936"/>
      <c r="X70" s="2936"/>
      <c r="Y70" s="2936"/>
      <c r="Z70" s="2936"/>
      <c r="AA70" s="2936"/>
      <c r="AB70" s="2936"/>
      <c r="AC70" s="2936"/>
      <c r="AD70" s="2936"/>
      <c r="AE70" s="2936"/>
      <c r="AF70" s="2936"/>
      <c r="AG70" s="2936"/>
      <c r="AH70" s="2936"/>
      <c r="AI70" s="2936"/>
      <c r="AJ70" s="2936"/>
      <c r="AK70" s="2936"/>
      <c r="AL70" s="2936"/>
      <c r="AM70" s="2936"/>
      <c r="AN70" s="2936"/>
      <c r="AO70" s="2936"/>
      <c r="AP70" s="2936"/>
      <c r="AQ70" s="2936"/>
      <c r="AR70" s="2936"/>
      <c r="AS70" s="2936"/>
      <c r="AT70" s="2936"/>
      <c r="AU70" s="2936"/>
      <c r="AV70" s="2936"/>
      <c r="AW70" s="2936"/>
      <c r="AX70" s="2936"/>
      <c r="AY70" s="2936"/>
      <c r="AZ70" s="2936"/>
      <c r="BA70" s="2936"/>
      <c r="BB70" s="2936"/>
      <c r="BC70" s="2936"/>
      <c r="BD70" s="2936"/>
      <c r="BE70" s="2936"/>
      <c r="BF70" s="2936"/>
      <c r="BG70" s="2936"/>
      <c r="BH70" s="2936"/>
      <c r="BI70" s="2936"/>
      <c r="BJ70" s="2936"/>
      <c r="BK70" s="2936"/>
      <c r="BL70" s="2936"/>
      <c r="BM70" s="2936"/>
      <c r="BN70" s="2936"/>
      <c r="BO70" s="2936"/>
      <c r="BP70" s="2936"/>
      <c r="BQ70" s="2936"/>
      <c r="BR70" s="2936"/>
      <c r="BS70" s="2936"/>
      <c r="BT70" s="2936"/>
      <c r="BU70" s="2936"/>
      <c r="BV70" s="2936"/>
      <c r="BW70" s="2936"/>
      <c r="BX70" s="2936"/>
      <c r="BY70" s="2936"/>
      <c r="BZ70" s="2936"/>
      <c r="CA70" s="2936"/>
      <c r="CB70" s="2936"/>
      <c r="CC70" s="2936"/>
      <c r="CD70" s="2936"/>
      <c r="CE70" s="2936"/>
      <c r="CF70" s="2936"/>
      <c r="CG70" s="2936"/>
      <c r="CH70" s="2936"/>
      <c r="CI70" s="2936"/>
      <c r="CJ70" s="2936"/>
      <c r="CK70" s="2936"/>
      <c r="CL70" s="2936"/>
      <c r="CM70" s="2936"/>
      <c r="CN70" s="2936"/>
      <c r="CO70" s="2936"/>
      <c r="CP70" s="2936"/>
      <c r="CQ70" s="2936"/>
      <c r="CR70" s="2936"/>
      <c r="CS70" s="2936"/>
      <c r="CT70" s="2936"/>
      <c r="CU70" s="2936"/>
      <c r="CV70" s="2936"/>
      <c r="CW70" s="2936"/>
      <c r="CX70" s="2936"/>
      <c r="CY70" s="2936"/>
      <c r="CZ70" s="2936"/>
      <c r="DA70" s="2936"/>
      <c r="DB70" s="2936"/>
      <c r="DC70" s="2936"/>
      <c r="DD70" s="2936"/>
      <c r="DE70" s="2936"/>
      <c r="DF70" s="2936"/>
      <c r="DG70" s="2936"/>
      <c r="DH70" s="2936"/>
      <c r="DI70" s="2936"/>
      <c r="DJ70" s="2936"/>
      <c r="DK70" s="2936"/>
      <c r="DL70" s="2936"/>
      <c r="DM70" s="2936"/>
      <c r="DN70" s="2936"/>
      <c r="DO70" s="2936"/>
      <c r="DP70" s="2936"/>
      <c r="DQ70" s="2936"/>
      <c r="DR70" s="2936"/>
      <c r="DS70" s="2936"/>
      <c r="DT70" s="2936"/>
      <c r="DU70" s="2936"/>
      <c r="DV70" s="2936"/>
      <c r="DW70" s="2936"/>
      <c r="DX70" s="2936"/>
      <c r="DY70" s="2936"/>
      <c r="DZ70" s="2936"/>
      <c r="EA70" s="2936"/>
      <c r="EB70" s="2936"/>
      <c r="EC70" s="2936"/>
      <c r="ED70" s="2936"/>
      <c r="EE70" s="2936"/>
      <c r="EF70" s="2936"/>
      <c r="EG70" s="2936"/>
      <c r="EH70" s="2936"/>
      <c r="EI70" s="2936"/>
      <c r="EJ70" s="2936"/>
      <c r="EK70" s="2936"/>
      <c r="EL70" s="2936"/>
      <c r="EM70" s="2936"/>
      <c r="EN70" s="2936"/>
      <c r="EO70" s="2936"/>
      <c r="EP70" s="2936"/>
      <c r="EQ70" s="2936"/>
      <c r="ER70" s="2936"/>
      <c r="ES70" s="2936"/>
      <c r="ET70" s="2936"/>
      <c r="EU70" s="2936"/>
      <c r="EV70" s="2936"/>
      <c r="EW70" s="2936"/>
      <c r="EX70" s="2936"/>
      <c r="EY70" s="2936"/>
      <c r="EZ70" s="2936"/>
      <c r="FA70" s="2936"/>
      <c r="FB70" s="2936"/>
      <c r="FC70" s="2936"/>
      <c r="FD70" s="2936"/>
      <c r="FE70" s="2936"/>
      <c r="FF70" s="2936"/>
      <c r="FG70" s="2936"/>
      <c r="FH70" s="2936"/>
      <c r="FI70" s="2936"/>
      <c r="FJ70" s="2936"/>
      <c r="FK70" s="2936"/>
      <c r="FL70" s="2936"/>
      <c r="FM70" s="2936"/>
      <c r="FN70" s="2936"/>
      <c r="FO70" s="2936"/>
      <c r="FP70" s="2936"/>
      <c r="FQ70" s="2936"/>
      <c r="FR70" s="2936"/>
      <c r="FS70" s="2936"/>
      <c r="FT70" s="2936"/>
      <c r="FU70" s="2936"/>
      <c r="FV70" s="2936"/>
      <c r="FW70" s="2936"/>
      <c r="FX70" s="2936"/>
      <c r="FY70" s="2936"/>
      <c r="FZ70" s="2936"/>
      <c r="GA70" s="2936"/>
      <c r="GB70" s="2936"/>
      <c r="GC70" s="2936"/>
      <c r="GD70" s="2936"/>
      <c r="GE70" s="2936"/>
      <c r="GF70" s="2936"/>
      <c r="GG70" s="2936"/>
      <c r="GH70" s="2936"/>
      <c r="GI70" s="2936"/>
      <c r="GJ70" s="2936"/>
      <c r="GK70" s="2936"/>
      <c r="GL70" s="2936"/>
      <c r="GM70" s="2936"/>
      <c r="GN70" s="2936"/>
      <c r="GO70" s="2936"/>
      <c r="GP70" s="2936"/>
      <c r="GQ70" s="2936"/>
      <c r="GR70" s="2936"/>
      <c r="GS70" s="2936"/>
      <c r="GT70" s="2936"/>
      <c r="GU70" s="2936"/>
      <c r="GV70" s="2936"/>
      <c r="GW70" s="2936"/>
      <c r="GX70" s="2936"/>
      <c r="GY70" s="2936"/>
      <c r="GZ70" s="2936"/>
      <c r="HA70" s="2936"/>
      <c r="HB70" s="2936"/>
      <c r="HC70" s="2936"/>
      <c r="HD70" s="2936"/>
      <c r="HE70" s="2936"/>
      <c r="HF70" s="2936"/>
      <c r="HG70" s="2936"/>
      <c r="HH70" s="2936"/>
      <c r="HI70" s="2936"/>
      <c r="HJ70" s="2936"/>
      <c r="HK70" s="2936"/>
      <c r="HL70" s="2936"/>
      <c r="HM70" s="2936"/>
      <c r="HN70" s="2936"/>
      <c r="HO70" s="2936"/>
      <c r="HP70" s="2936"/>
      <c r="HQ70" s="2936"/>
      <c r="HR70" s="2936"/>
      <c r="HS70" s="2936"/>
      <c r="HT70" s="2936"/>
      <c r="HU70" s="2936"/>
      <c r="HV70" s="2936"/>
      <c r="HW70" s="2936"/>
      <c r="HX70" s="2936"/>
      <c r="HY70" s="2936"/>
      <c r="HZ70" s="2936"/>
      <c r="IA70" s="2936"/>
      <c r="IB70" s="2936"/>
      <c r="IC70" s="2936"/>
      <c r="ID70" s="2936"/>
      <c r="IE70" s="2936"/>
      <c r="IF70" s="2936"/>
      <c r="IG70" s="2936"/>
      <c r="IH70" s="2936"/>
      <c r="II70" s="2936"/>
      <c r="IJ70" s="2936"/>
      <c r="IK70" s="2936"/>
      <c r="IL70" s="2936"/>
      <c r="IM70" s="2936"/>
      <c r="IN70" s="2936"/>
      <c r="IO70" s="2936"/>
      <c r="IP70" s="2936"/>
      <c r="IQ70" s="2936"/>
      <c r="IR70" s="2936"/>
      <c r="IS70" s="2936"/>
      <c r="IT70" s="2936"/>
      <c r="IU70" s="2936"/>
      <c r="IV70" s="2936"/>
      <c r="IW70" s="2936"/>
      <c r="IX70" s="2936"/>
      <c r="IY70" s="2936"/>
      <c r="IZ70" s="2936"/>
      <c r="JA70" s="2936"/>
      <c r="JB70" s="2936"/>
      <c r="JC70" s="2936"/>
      <c r="JD70" s="2936"/>
      <c r="JE70" s="2936"/>
      <c r="JF70" s="2936"/>
      <c r="JG70" s="2936"/>
      <c r="JH70" s="2936"/>
      <c r="JI70" s="2936"/>
      <c r="JJ70" s="2936"/>
      <c r="JK70" s="2936"/>
      <c r="JL70" s="2936"/>
      <c r="JM70" s="2936"/>
      <c r="JN70" s="2936"/>
      <c r="JO70" s="2936"/>
      <c r="JP70" s="2936"/>
      <c r="JQ70" s="2936"/>
      <c r="JR70" s="2936"/>
      <c r="JS70" s="2936"/>
      <c r="JT70" s="2936"/>
      <c r="JU70" s="2936"/>
      <c r="JV70" s="2936"/>
      <c r="JW70" s="2936"/>
      <c r="JX70" s="2936"/>
      <c r="JY70" s="2936"/>
      <c r="JZ70" s="2936"/>
      <c r="KA70" s="2936"/>
      <c r="KB70" s="2936"/>
      <c r="KC70" s="2936"/>
      <c r="KD70" s="2936"/>
      <c r="KE70" s="2936"/>
      <c r="KF70" s="2936"/>
      <c r="KG70" s="2936"/>
      <c r="KH70" s="2936"/>
      <c r="KI70" s="2936"/>
      <c r="KJ70" s="2936"/>
      <c r="KK70" s="2936"/>
      <c r="KL70" s="2936"/>
      <c r="KM70" s="2936"/>
      <c r="KN70" s="2936"/>
      <c r="KO70" s="2936"/>
      <c r="KP70" s="2936"/>
      <c r="KQ70" s="2936"/>
      <c r="KR70" s="2936"/>
      <c r="KS70" s="2936"/>
      <c r="KT70" s="2936"/>
      <c r="KU70" s="2936"/>
      <c r="KV70" s="2936"/>
      <c r="KW70" s="2936"/>
      <c r="KX70" s="2936"/>
      <c r="KY70" s="2936"/>
      <c r="KZ70" s="2936"/>
      <c r="LA70" s="2936"/>
      <c r="LB70" s="2936"/>
      <c r="LC70" s="2936"/>
      <c r="LD70" s="2936"/>
      <c r="LE70" s="2936"/>
      <c r="LF70" s="2936"/>
      <c r="LG70" s="2936"/>
      <c r="LH70" s="2936"/>
      <c r="LI70" s="2936"/>
      <c r="LJ70" s="2936"/>
      <c r="LK70" s="2936"/>
      <c r="LL70" s="2936"/>
      <c r="LM70" s="2936"/>
      <c r="LN70" s="2936"/>
      <c r="LO70" s="2936"/>
      <c r="LP70" s="2936"/>
      <c r="LQ70" s="2936"/>
      <c r="LR70" s="2936"/>
      <c r="LS70" s="2936"/>
      <c r="LT70" s="2936"/>
      <c r="LU70" s="2936"/>
      <c r="LV70" s="2936"/>
      <c r="LW70" s="2936"/>
      <c r="LX70" s="2936"/>
      <c r="LY70" s="2936"/>
      <c r="LZ70" s="2936"/>
      <c r="MA70" s="2936"/>
      <c r="MB70" s="2936"/>
      <c r="MC70" s="2936"/>
      <c r="MD70" s="2936"/>
      <c r="ME70" s="2936"/>
      <c r="MF70" s="2936"/>
      <c r="MG70" s="2936"/>
      <c r="MH70" s="2936"/>
      <c r="MI70" s="2936"/>
      <c r="MJ70" s="2936"/>
      <c r="MK70" s="2936"/>
      <c r="ML70" s="2936"/>
      <c r="MM70" s="2936"/>
      <c r="MN70" s="2936"/>
      <c r="MO70" s="2936"/>
      <c r="MP70" s="2936"/>
      <c r="MQ70" s="2936"/>
      <c r="MR70" s="2936"/>
      <c r="MS70" s="2936"/>
      <c r="MT70" s="2936"/>
      <c r="MU70" s="2936"/>
      <c r="MV70" s="2936"/>
      <c r="MW70" s="2936"/>
      <c r="MX70" s="2936"/>
      <c r="MY70" s="2936"/>
      <c r="MZ70" s="2936"/>
      <c r="NA70" s="2936"/>
      <c r="NB70" s="2936"/>
      <c r="NC70" s="2936"/>
      <c r="ND70" s="2936"/>
      <c r="NE70" s="2936"/>
      <c r="NF70" s="2936"/>
      <c r="NG70" s="2936"/>
      <c r="NH70" s="2936"/>
      <c r="NI70" s="2936"/>
      <c r="NJ70" s="2936"/>
      <c r="NK70" s="2936"/>
      <c r="NL70" s="2936"/>
      <c r="NM70" s="2936"/>
      <c r="NN70" s="2936"/>
      <c r="NO70" s="2936"/>
      <c r="NP70" s="2936"/>
      <c r="NQ70" s="2936"/>
      <c r="NR70" s="2936"/>
      <c r="NS70" s="2936"/>
      <c r="NT70" s="2936"/>
      <c r="NU70" s="2936"/>
      <c r="NV70" s="2936"/>
      <c r="NW70" s="2936"/>
      <c r="NX70" s="2936"/>
      <c r="NY70" s="2936"/>
      <c r="NZ70" s="2936"/>
      <c r="OA70" s="2936"/>
      <c r="OB70" s="2936"/>
      <c r="OC70" s="2936"/>
      <c r="OD70" s="2936"/>
      <c r="OE70" s="2936"/>
      <c r="OF70" s="2936"/>
      <c r="OG70" s="2936"/>
      <c r="OH70" s="2936"/>
      <c r="OI70" s="2936"/>
      <c r="OJ70" s="2936"/>
      <c r="OK70" s="2936"/>
      <c r="OL70" s="2936"/>
      <c r="OM70" s="2936"/>
      <c r="ON70" s="2936"/>
      <c r="OO70" s="2936"/>
      <c r="OP70" s="2936"/>
      <c r="OQ70" s="2936"/>
      <c r="OR70" s="2936"/>
      <c r="OS70" s="2936"/>
      <c r="OT70" s="2936"/>
      <c r="OU70" s="2936"/>
      <c r="OV70" s="2936"/>
      <c r="OW70" s="2936"/>
      <c r="OX70" s="2936"/>
      <c r="OY70" s="2936"/>
      <c r="OZ70" s="2936"/>
      <c r="PA70" s="2936"/>
      <c r="PB70" s="2936"/>
      <c r="PC70" s="2936"/>
      <c r="PD70" s="2936"/>
      <c r="PE70" s="2936"/>
      <c r="PF70" s="2936"/>
      <c r="PG70" s="2936"/>
      <c r="PH70" s="2936"/>
      <c r="PI70" s="2936"/>
      <c r="PJ70" s="2936"/>
      <c r="PK70" s="2936"/>
      <c r="PL70" s="2936"/>
      <c r="PM70" s="2936"/>
      <c r="PN70" s="2936"/>
      <c r="PO70" s="2936"/>
      <c r="PP70" s="2936"/>
      <c r="PQ70" s="2936"/>
      <c r="PR70" s="2936"/>
      <c r="PS70" s="2936"/>
      <c r="PT70" s="2936"/>
      <c r="PU70" s="2936"/>
      <c r="PV70" s="2936"/>
      <c r="PW70" s="2936"/>
      <c r="PX70" s="2936"/>
      <c r="PY70" s="2936"/>
      <c r="PZ70" s="2936"/>
      <c r="QA70" s="2936"/>
      <c r="QB70" s="2936"/>
      <c r="QC70" s="2936"/>
      <c r="QD70" s="2936"/>
      <c r="QE70" s="2936"/>
      <c r="QF70" s="2936"/>
      <c r="QG70" s="2936"/>
      <c r="QH70" s="2936"/>
      <c r="QI70" s="2936"/>
      <c r="QJ70" s="2936"/>
      <c r="QK70" s="2936"/>
      <c r="QL70" s="2936"/>
      <c r="QM70" s="2936"/>
      <c r="QN70" s="2936"/>
      <c r="QO70" s="2936"/>
      <c r="QP70" s="2936"/>
      <c r="QQ70" s="2936"/>
      <c r="QR70" s="2936"/>
      <c r="QS70" s="2936"/>
      <c r="QT70" s="2936"/>
      <c r="QU70" s="2936"/>
      <c r="QV70" s="2936"/>
      <c r="QW70" s="2936"/>
      <c r="QX70" s="2936"/>
      <c r="QY70" s="2936"/>
      <c r="QZ70" s="2936"/>
      <c r="RA70" s="2936"/>
      <c r="RB70" s="2936"/>
      <c r="RC70" s="2936"/>
      <c r="RD70" s="2936"/>
      <c r="RE70" s="2936"/>
      <c r="RF70" s="2936"/>
      <c r="RG70" s="2936"/>
      <c r="RH70" s="2936"/>
      <c r="RI70" s="2936"/>
      <c r="RJ70" s="2936"/>
      <c r="RK70" s="2936"/>
      <c r="RL70" s="2936"/>
      <c r="RM70" s="2936"/>
      <c r="RN70" s="2936"/>
      <c r="RO70" s="2936"/>
      <c r="RP70" s="2936"/>
      <c r="RQ70" s="2936"/>
      <c r="RR70" s="2936"/>
      <c r="RS70" s="2936"/>
      <c r="RT70" s="2936"/>
      <c r="RU70" s="2936"/>
      <c r="RV70" s="2936"/>
      <c r="RW70" s="2936"/>
      <c r="RX70" s="2936"/>
      <c r="RY70" s="2936"/>
      <c r="RZ70" s="2936"/>
      <c r="SA70" s="2936"/>
      <c r="SB70" s="2936"/>
      <c r="SC70" s="2936"/>
      <c r="SD70" s="2936"/>
      <c r="SE70" s="2936"/>
      <c r="SF70" s="2936"/>
      <c r="SG70" s="2936"/>
      <c r="SH70" s="2936"/>
      <c r="SI70" s="2936"/>
      <c r="SJ70" s="2936"/>
      <c r="SK70" s="2936"/>
      <c r="SL70" s="2936"/>
      <c r="SM70" s="2936"/>
      <c r="SN70" s="2936"/>
      <c r="SO70" s="2936"/>
      <c r="SP70" s="2936"/>
      <c r="SQ70" s="2936"/>
      <c r="SR70" s="2936"/>
      <c r="SS70" s="2936"/>
      <c r="ST70" s="2936"/>
      <c r="SU70" s="2936"/>
      <c r="SV70" s="2936"/>
      <c r="SW70" s="2936"/>
      <c r="SX70" s="2936"/>
      <c r="SY70" s="2936"/>
      <c r="SZ70" s="2936"/>
      <c r="TA70" s="2936"/>
      <c r="TB70" s="2936"/>
      <c r="TC70" s="2936"/>
      <c r="TD70" s="2936"/>
      <c r="TE70" s="2936"/>
      <c r="TF70" s="2936"/>
      <c r="TG70" s="2936"/>
      <c r="TH70" s="2936"/>
      <c r="TI70" s="2936"/>
      <c r="TJ70" s="2936"/>
      <c r="TK70" s="2936"/>
      <c r="TL70" s="2936"/>
      <c r="TM70" s="2936"/>
      <c r="TN70" s="2936"/>
      <c r="TO70" s="2936"/>
      <c r="TP70" s="2936"/>
      <c r="TQ70" s="2936"/>
      <c r="TR70" s="2936"/>
      <c r="TS70" s="2936"/>
      <c r="TT70" s="2936"/>
      <c r="TU70" s="2936"/>
      <c r="TV70" s="2936"/>
      <c r="TW70" s="2936"/>
      <c r="TX70" s="2936"/>
      <c r="TY70" s="2936"/>
      <c r="TZ70" s="2936"/>
      <c r="UA70" s="2936"/>
      <c r="UB70" s="2936"/>
      <c r="UC70" s="2936"/>
      <c r="UD70" s="2936"/>
      <c r="UE70" s="2936"/>
      <c r="UF70" s="2936"/>
      <c r="UG70" s="2936"/>
      <c r="UH70" s="2936"/>
      <c r="UI70" s="2936"/>
      <c r="UJ70" s="2936"/>
      <c r="UK70" s="2936"/>
      <c r="UL70" s="2936"/>
      <c r="UM70" s="2936"/>
      <c r="UN70" s="2936"/>
      <c r="UO70" s="2936"/>
      <c r="UP70" s="2936"/>
      <c r="UQ70" s="2936"/>
      <c r="UR70" s="2936"/>
      <c r="US70" s="2936"/>
      <c r="UT70" s="2936"/>
      <c r="UU70" s="2936"/>
      <c r="UV70" s="2936"/>
      <c r="UW70" s="2936"/>
      <c r="UX70" s="2936"/>
      <c r="UY70" s="2936"/>
      <c r="UZ70" s="2936"/>
      <c r="VA70" s="2936"/>
      <c r="VB70" s="2936"/>
      <c r="VC70" s="2936"/>
      <c r="VD70" s="2936"/>
      <c r="VE70" s="2936"/>
      <c r="VF70" s="2936"/>
      <c r="VG70" s="2936"/>
      <c r="VH70" s="2936"/>
      <c r="VI70" s="2936"/>
      <c r="VJ70" s="2936"/>
      <c r="VK70" s="2936"/>
      <c r="VL70" s="2936"/>
      <c r="VM70" s="2936"/>
      <c r="VN70" s="2936"/>
      <c r="VO70" s="2936"/>
      <c r="VP70" s="2936"/>
      <c r="VQ70" s="2936"/>
      <c r="VR70" s="2936"/>
      <c r="VS70" s="2936"/>
      <c r="VT70" s="2936"/>
      <c r="VU70" s="2936"/>
      <c r="VV70" s="2936"/>
      <c r="VW70" s="2936"/>
      <c r="VX70" s="2936"/>
      <c r="VY70" s="2936"/>
      <c r="VZ70" s="2936"/>
      <c r="WA70" s="2936"/>
      <c r="WB70" s="2936"/>
      <c r="WC70" s="2936"/>
      <c r="WD70" s="2936"/>
      <c r="WE70" s="2936"/>
      <c r="WF70" s="2936"/>
      <c r="WG70" s="2936"/>
      <c r="WH70" s="2936"/>
      <c r="WI70" s="2936"/>
      <c r="WJ70" s="2936"/>
      <c r="WK70" s="2936"/>
      <c r="WL70" s="2936"/>
      <c r="WM70" s="2936"/>
      <c r="WN70" s="2936"/>
      <c r="WO70" s="2936"/>
      <c r="WP70" s="2936"/>
      <c r="WQ70" s="2936"/>
      <c r="WR70" s="2936"/>
      <c r="WS70" s="2936"/>
      <c r="WT70" s="2936"/>
      <c r="WU70" s="2936"/>
      <c r="WV70" s="2936"/>
      <c r="WW70" s="2936"/>
      <c r="WX70" s="2936"/>
      <c r="WY70" s="2936"/>
      <c r="WZ70" s="2936"/>
      <c r="XA70" s="2936"/>
      <c r="XB70" s="2936"/>
      <c r="XC70" s="2936"/>
      <c r="XD70" s="2936"/>
      <c r="XE70" s="2936"/>
      <c r="XF70" s="2936"/>
      <c r="XG70" s="2936"/>
      <c r="XH70" s="2936"/>
      <c r="XI70" s="2936"/>
      <c r="XJ70" s="2936"/>
      <c r="XK70" s="2936"/>
      <c r="XL70" s="2936"/>
      <c r="XM70" s="2936"/>
      <c r="XN70" s="2936"/>
      <c r="XO70" s="2936"/>
      <c r="XP70" s="2936"/>
      <c r="XQ70" s="2936"/>
      <c r="XR70" s="2936"/>
      <c r="XS70" s="2936"/>
      <c r="XT70" s="2936"/>
      <c r="XU70" s="2936"/>
      <c r="XV70" s="2936"/>
      <c r="XW70" s="2936"/>
      <c r="XX70" s="2936"/>
      <c r="XY70" s="2936"/>
      <c r="XZ70" s="2936"/>
      <c r="YA70" s="2936"/>
      <c r="YB70" s="2936"/>
      <c r="YC70" s="2936"/>
      <c r="YD70" s="2936"/>
      <c r="YE70" s="2936"/>
      <c r="YF70" s="2936"/>
      <c r="YG70" s="2936"/>
      <c r="YH70" s="2936"/>
      <c r="YI70" s="2936"/>
      <c r="YJ70" s="2936"/>
      <c r="YK70" s="2936"/>
      <c r="YL70" s="2936"/>
      <c r="YM70" s="2936"/>
      <c r="YN70" s="2936"/>
      <c r="YO70" s="2936"/>
      <c r="YP70" s="2936"/>
      <c r="YQ70" s="2936"/>
      <c r="YR70" s="2936"/>
      <c r="YS70" s="2936"/>
      <c r="YT70" s="2936"/>
      <c r="YU70" s="2936"/>
      <c r="YV70" s="2936"/>
      <c r="YW70" s="2936"/>
      <c r="YX70" s="2936"/>
      <c r="YY70" s="2936"/>
      <c r="YZ70" s="2936"/>
      <c r="ZA70" s="2936"/>
      <c r="ZB70" s="2936"/>
      <c r="ZC70" s="2936"/>
      <c r="ZD70" s="2936"/>
      <c r="ZE70" s="2936"/>
      <c r="ZF70" s="2936"/>
      <c r="ZG70" s="2936"/>
      <c r="ZH70" s="2936"/>
      <c r="ZI70" s="2936"/>
      <c r="ZJ70" s="2936"/>
      <c r="ZK70" s="2936"/>
      <c r="ZL70" s="2936"/>
      <c r="ZM70" s="2936"/>
      <c r="ZN70" s="2936"/>
      <c r="ZO70" s="2936"/>
      <c r="ZP70" s="2936"/>
      <c r="ZQ70" s="2936"/>
      <c r="ZR70" s="2936"/>
      <c r="ZS70" s="2936"/>
      <c r="ZT70" s="2936"/>
      <c r="ZU70" s="2936"/>
      <c r="ZV70" s="2936"/>
      <c r="ZW70" s="2936"/>
      <c r="ZX70" s="2936"/>
      <c r="ZY70" s="2936"/>
      <c r="ZZ70" s="2936"/>
      <c r="AAA70" s="2936"/>
      <c r="AAB70" s="2936"/>
      <c r="AAC70" s="2936"/>
      <c r="AAD70" s="2936"/>
      <c r="AAE70" s="2936"/>
      <c r="AAF70" s="2936"/>
      <c r="AAG70" s="2936"/>
      <c r="AAH70" s="2936"/>
      <c r="AAI70" s="2936"/>
      <c r="AAJ70" s="2936"/>
      <c r="AAK70" s="2936"/>
      <c r="AAL70" s="2936"/>
      <c r="AAM70" s="2936"/>
      <c r="AAN70" s="2936"/>
      <c r="AAO70" s="2936"/>
      <c r="AAP70" s="2936"/>
      <c r="AAQ70" s="2936"/>
      <c r="AAR70" s="2936"/>
      <c r="AAS70" s="2936"/>
      <c r="AAT70" s="2936"/>
      <c r="AAU70" s="2936"/>
      <c r="AAV70" s="2936"/>
      <c r="AAW70" s="2936"/>
      <c r="AAX70" s="2936"/>
      <c r="AAY70" s="2936"/>
      <c r="AAZ70" s="2936"/>
      <c r="ABA70" s="2936"/>
      <c r="ABB70" s="2936"/>
      <c r="ABC70" s="2936"/>
      <c r="ABD70" s="2936"/>
      <c r="ABE70" s="2936"/>
      <c r="ABF70" s="2936"/>
      <c r="ABG70" s="2936"/>
      <c r="ABH70" s="2936"/>
      <c r="ABI70" s="2936"/>
      <c r="ABJ70" s="2936"/>
      <c r="ABK70" s="2936"/>
      <c r="ABL70" s="2936"/>
      <c r="ABM70" s="2936"/>
      <c r="ABN70" s="2936"/>
      <c r="ABO70" s="2936"/>
      <c r="ABP70" s="2936"/>
      <c r="ABQ70" s="2936"/>
      <c r="ABR70" s="2936"/>
      <c r="ABS70" s="2936"/>
      <c r="ABT70" s="2936"/>
      <c r="ABU70" s="2936"/>
      <c r="ABV70" s="2936"/>
      <c r="ABW70" s="2936"/>
      <c r="ABX70" s="2936"/>
      <c r="ABY70" s="2936"/>
      <c r="ABZ70" s="2936"/>
      <c r="ACA70" s="2936"/>
      <c r="ACB70" s="2936"/>
      <c r="ACC70" s="2936"/>
      <c r="ACD70" s="2936"/>
      <c r="ACE70" s="2936"/>
      <c r="ACF70" s="2936"/>
      <c r="ACG70" s="2936"/>
      <c r="ACH70" s="2936"/>
      <c r="ACI70" s="2936"/>
      <c r="ACJ70" s="2936"/>
      <c r="ACK70" s="2936"/>
      <c r="ACL70" s="2936"/>
      <c r="ACM70" s="2936"/>
      <c r="ACN70" s="2936"/>
      <c r="ACO70" s="2936"/>
      <c r="ACP70" s="2936"/>
      <c r="ACQ70" s="2936"/>
      <c r="ACR70" s="2936"/>
      <c r="ACS70" s="2936"/>
      <c r="ACT70" s="2936"/>
      <c r="ACU70" s="2936"/>
      <c r="ACV70" s="2936"/>
      <c r="ACW70" s="2936"/>
      <c r="ACX70" s="2936"/>
      <c r="ACY70" s="2936"/>
      <c r="ACZ70" s="2936"/>
      <c r="ADA70" s="2936"/>
      <c r="ADB70" s="2936"/>
      <c r="ADC70" s="2936"/>
      <c r="ADD70" s="2936"/>
      <c r="ADE70" s="2936"/>
      <c r="ADF70" s="2936"/>
      <c r="ADG70" s="2936"/>
      <c r="ADH70" s="2936"/>
      <c r="ADI70" s="2936"/>
      <c r="ADJ70" s="2936"/>
      <c r="ADK70" s="2936"/>
      <c r="ADL70" s="2936"/>
      <c r="ADM70" s="2936"/>
      <c r="ADN70" s="2936"/>
      <c r="ADO70" s="2936"/>
      <c r="ADP70" s="2936"/>
      <c r="ADQ70" s="2936"/>
      <c r="ADR70" s="2936"/>
      <c r="ADS70" s="2936"/>
      <c r="ADT70" s="2936"/>
      <c r="ADU70" s="2936"/>
      <c r="ADV70" s="2936"/>
      <c r="ADW70" s="2936"/>
      <c r="ADX70" s="2936"/>
      <c r="ADY70" s="2936"/>
      <c r="ADZ70" s="2936"/>
      <c r="AEA70" s="2936"/>
      <c r="AEB70" s="2936"/>
      <c r="AEC70" s="2936"/>
      <c r="AED70" s="2936"/>
      <c r="AEE70" s="2936"/>
      <c r="AEF70" s="2936"/>
      <c r="AEG70" s="2936"/>
      <c r="AEH70" s="2936"/>
      <c r="AEI70" s="2936"/>
      <c r="AEJ70" s="2936"/>
      <c r="AEK70" s="2936"/>
      <c r="AEL70" s="2936"/>
      <c r="AEM70" s="2936"/>
      <c r="AEN70" s="2936"/>
      <c r="AEO70" s="2936"/>
      <c r="AEP70" s="2936"/>
      <c r="AEQ70" s="2936"/>
      <c r="AER70" s="2936"/>
      <c r="AES70" s="2936"/>
      <c r="AET70" s="2936"/>
      <c r="AEU70" s="2936"/>
      <c r="AEV70" s="2936"/>
      <c r="AEW70" s="2936"/>
      <c r="AEX70" s="2936"/>
      <c r="AEY70" s="2936"/>
      <c r="AEZ70" s="2936"/>
      <c r="AFA70" s="2936"/>
      <c r="AFB70" s="2936"/>
      <c r="AFC70" s="2936"/>
      <c r="AFD70" s="2936"/>
      <c r="AFE70" s="2936"/>
      <c r="AFF70" s="2936"/>
      <c r="AFG70" s="2936"/>
      <c r="AFH70" s="2936"/>
      <c r="AFI70" s="2936"/>
      <c r="AFJ70" s="2936"/>
      <c r="AFK70" s="2936"/>
      <c r="AFL70" s="2936"/>
      <c r="AFM70" s="2936"/>
      <c r="AFN70" s="2936"/>
      <c r="AFO70" s="2936"/>
      <c r="AFP70" s="2936"/>
      <c r="AFQ70" s="2936"/>
      <c r="AFR70" s="2936"/>
      <c r="AFS70" s="2936"/>
      <c r="AFT70" s="2936"/>
      <c r="AFU70" s="2936"/>
      <c r="AFV70" s="2936"/>
      <c r="AFW70" s="2936"/>
      <c r="AFX70" s="2936"/>
      <c r="AFY70" s="2936"/>
      <c r="AFZ70" s="2936"/>
      <c r="AGA70" s="2936"/>
      <c r="AGB70" s="2936"/>
      <c r="AGC70" s="2936"/>
      <c r="AGD70" s="2936"/>
      <c r="AGE70" s="2936"/>
      <c r="AGF70" s="2936"/>
      <c r="AGG70" s="2936"/>
      <c r="AGH70" s="2936"/>
      <c r="AGI70" s="2936"/>
      <c r="AGJ70" s="2936"/>
      <c r="AGK70" s="2936"/>
      <c r="AGL70" s="2936"/>
      <c r="AGM70" s="2936"/>
      <c r="AGN70" s="2936"/>
      <c r="AGO70" s="2936"/>
      <c r="AGP70" s="2936"/>
      <c r="AGQ70" s="2936"/>
      <c r="AGR70" s="2936"/>
      <c r="AGS70" s="2936"/>
      <c r="AGT70" s="2936"/>
      <c r="AGU70" s="2936"/>
      <c r="AGV70" s="2936"/>
      <c r="AGW70" s="2936"/>
      <c r="AGX70" s="2936"/>
      <c r="AGY70" s="2936"/>
      <c r="AGZ70" s="2936"/>
      <c r="AHA70" s="2936"/>
      <c r="AHB70" s="2936"/>
      <c r="AHC70" s="2936"/>
      <c r="AHD70" s="2936"/>
      <c r="AHE70" s="2936"/>
      <c r="AHF70" s="2936"/>
      <c r="AHG70" s="2936"/>
      <c r="AHH70" s="2936"/>
      <c r="AHI70" s="2936"/>
      <c r="AHJ70" s="2936"/>
      <c r="AHK70" s="2936"/>
      <c r="AHL70" s="2936"/>
      <c r="AHM70" s="2936"/>
      <c r="AHN70" s="2936"/>
      <c r="AHO70" s="2936"/>
      <c r="AHP70" s="2936"/>
      <c r="AHQ70" s="2936"/>
      <c r="AHR70" s="2936"/>
      <c r="AHS70" s="2936"/>
      <c r="AHT70" s="2936"/>
      <c r="AHU70" s="2936"/>
      <c r="AHV70" s="2936"/>
      <c r="AHW70" s="2936"/>
      <c r="AHX70" s="2936"/>
      <c r="AHY70" s="2936"/>
      <c r="AHZ70" s="2936"/>
      <c r="AIA70" s="2936"/>
      <c r="AIB70" s="2936"/>
      <c r="AIC70" s="2936"/>
      <c r="AID70" s="2936"/>
      <c r="AIE70" s="2936"/>
      <c r="AIF70" s="2936"/>
      <c r="AIG70" s="2936"/>
      <c r="AIH70" s="2936"/>
      <c r="AII70" s="2936"/>
      <c r="AIJ70" s="2936"/>
      <c r="AIK70" s="2936"/>
      <c r="AIL70" s="2936"/>
      <c r="AIM70" s="2936"/>
      <c r="AIN70" s="2936"/>
      <c r="AIO70" s="2936"/>
      <c r="AIP70" s="2936"/>
      <c r="AIQ70" s="2936"/>
      <c r="AIR70" s="2936"/>
      <c r="AIS70" s="2936"/>
      <c r="AIT70" s="2936"/>
      <c r="AIU70" s="2936"/>
      <c r="AIV70" s="2936"/>
      <c r="AIW70" s="2936"/>
      <c r="AIX70" s="2936"/>
      <c r="AIY70" s="2936"/>
      <c r="AIZ70" s="2936"/>
      <c r="AJA70" s="2936"/>
      <c r="AJB70" s="2936"/>
      <c r="AJC70" s="2936"/>
      <c r="AJD70" s="2936"/>
      <c r="AJE70" s="2936"/>
      <c r="AJF70" s="2936"/>
      <c r="AJG70" s="2936"/>
      <c r="AJH70" s="2936"/>
      <c r="AJI70" s="2936"/>
      <c r="AJJ70" s="2936"/>
      <c r="AJK70" s="2936"/>
      <c r="AJL70" s="2936"/>
      <c r="AJM70" s="2936"/>
      <c r="AJN70" s="2936"/>
      <c r="AJO70" s="2936"/>
      <c r="AJP70" s="2936"/>
      <c r="AJQ70" s="2936"/>
      <c r="AJR70" s="2936"/>
      <c r="AJS70" s="2936"/>
      <c r="AJT70" s="2936"/>
      <c r="AJU70" s="2936"/>
      <c r="AJV70" s="2936"/>
      <c r="AJW70" s="2936"/>
      <c r="AJX70" s="2936"/>
      <c r="AJY70" s="2936"/>
      <c r="AJZ70" s="2936"/>
      <c r="AKA70" s="2936"/>
      <c r="AKB70" s="2936"/>
      <c r="AKC70" s="2936"/>
      <c r="AKD70" s="2936"/>
      <c r="AKE70" s="2936"/>
      <c r="AKF70" s="2936"/>
      <c r="AKG70" s="2936"/>
      <c r="AKH70" s="2936"/>
      <c r="AKI70" s="2936"/>
      <c r="AKJ70" s="2936"/>
      <c r="AKK70" s="2936"/>
      <c r="AKL70" s="2936"/>
      <c r="AKM70" s="2936"/>
      <c r="AKN70" s="2936"/>
      <c r="AKO70" s="2936"/>
      <c r="AKP70" s="2936"/>
      <c r="AKQ70" s="2936"/>
      <c r="AKR70" s="2936"/>
      <c r="AKS70" s="2936"/>
      <c r="AKT70" s="2936"/>
      <c r="AKU70" s="2936"/>
      <c r="AKV70" s="2936"/>
      <c r="AKW70" s="2936"/>
      <c r="AKX70" s="2936"/>
      <c r="AKY70" s="2936"/>
      <c r="AKZ70" s="2936"/>
      <c r="ALA70" s="2936"/>
      <c r="ALB70" s="2936"/>
      <c r="ALC70" s="2936"/>
      <c r="ALD70" s="2936"/>
      <c r="ALE70" s="2936"/>
      <c r="ALF70" s="2936"/>
      <c r="ALG70" s="2936"/>
      <c r="ALH70" s="2936"/>
      <c r="ALI70" s="2936"/>
      <c r="ALJ70" s="2936"/>
      <c r="ALK70" s="2936"/>
      <c r="ALL70" s="2936"/>
      <c r="ALM70" s="2936"/>
      <c r="ALN70" s="2936"/>
      <c r="ALO70" s="2936"/>
      <c r="ALP70" s="2936"/>
      <c r="ALQ70" s="2936"/>
      <c r="ALR70" s="2936"/>
      <c r="ALS70" s="2936"/>
      <c r="ALT70" s="2936"/>
      <c r="ALU70" s="2936"/>
      <c r="ALV70" s="2936"/>
      <c r="ALW70" s="2936"/>
      <c r="ALX70" s="2936"/>
      <c r="ALY70" s="2936"/>
      <c r="ALZ70" s="2936"/>
      <c r="AMA70" s="2936"/>
      <c r="AMB70" s="2936"/>
      <c r="AMC70" s="2936"/>
      <c r="AMD70" s="2936"/>
      <c r="AME70" s="2936"/>
      <c r="AMF70" s="2936"/>
      <c r="AMG70" s="2936"/>
      <c r="AMH70" s="2936"/>
      <c r="AMI70" s="2936"/>
      <c r="AMJ70" s="2936"/>
      <c r="AMK70" s="2936"/>
      <c r="AML70" s="2936"/>
      <c r="AMM70" s="2936"/>
      <c r="AMN70" s="2936"/>
      <c r="AMO70" s="2936"/>
      <c r="AMP70" s="2936"/>
      <c r="AMQ70" s="2936"/>
      <c r="AMR70" s="2936"/>
      <c r="AMS70" s="2936"/>
      <c r="AMT70" s="2936"/>
      <c r="AMU70" s="2936"/>
      <c r="AMV70" s="2936"/>
      <c r="AMW70" s="2936"/>
      <c r="AMX70" s="2936"/>
      <c r="AMY70" s="2936"/>
      <c r="AMZ70" s="2936"/>
      <c r="ANA70" s="2936"/>
      <c r="ANB70" s="2936"/>
      <c r="ANC70" s="2936"/>
      <c r="AND70" s="2936"/>
      <c r="ANE70" s="2936"/>
      <c r="ANF70" s="2936"/>
      <c r="ANG70" s="2936"/>
      <c r="ANH70" s="2936"/>
      <c r="ANI70" s="2936"/>
      <c r="ANJ70" s="2936"/>
      <c r="ANK70" s="2936"/>
      <c r="ANL70" s="2936"/>
      <c r="ANM70" s="2936"/>
      <c r="ANN70" s="2936"/>
      <c r="ANO70" s="2936"/>
      <c r="ANP70" s="2936"/>
      <c r="ANQ70" s="2936"/>
      <c r="ANR70" s="2936"/>
      <c r="ANS70" s="2936"/>
      <c r="ANT70" s="2936"/>
      <c r="ANU70" s="2936"/>
      <c r="ANV70" s="2936"/>
      <c r="ANW70" s="2936"/>
      <c r="ANX70" s="2936"/>
      <c r="ANY70" s="2936"/>
      <c r="ANZ70" s="2936"/>
      <c r="AOA70" s="2936"/>
      <c r="AOB70" s="2936"/>
      <c r="AOC70" s="2936"/>
      <c r="AOD70" s="2936"/>
      <c r="AOE70" s="2936"/>
      <c r="AOF70" s="2936"/>
      <c r="AOG70" s="2936"/>
      <c r="AOH70" s="2936"/>
      <c r="AOI70" s="2936"/>
      <c r="AOJ70" s="2936"/>
      <c r="AOK70" s="2936"/>
      <c r="AOL70" s="2936"/>
      <c r="AOM70" s="2936"/>
      <c r="AON70" s="2936"/>
      <c r="AOO70" s="2936"/>
      <c r="AOP70" s="2936"/>
      <c r="AOQ70" s="2936"/>
      <c r="AOR70" s="2936"/>
      <c r="AOS70" s="2936"/>
      <c r="AOT70" s="2936"/>
      <c r="AOU70" s="2936"/>
      <c r="AOV70" s="2936"/>
      <c r="AOW70" s="2936"/>
      <c r="AOX70" s="2936"/>
      <c r="AOY70" s="2936"/>
      <c r="AOZ70" s="2936"/>
      <c r="APA70" s="2936"/>
      <c r="APB70" s="2936"/>
      <c r="APC70" s="2936"/>
      <c r="APD70" s="2936"/>
      <c r="APE70" s="2936"/>
      <c r="APF70" s="2936"/>
      <c r="APG70" s="2936"/>
      <c r="APH70" s="2936"/>
      <c r="API70" s="2936"/>
      <c r="APJ70" s="2936"/>
      <c r="APK70" s="2936"/>
      <c r="APL70" s="2936"/>
      <c r="APM70" s="2936"/>
      <c r="APN70" s="2936"/>
      <c r="APO70" s="2936"/>
      <c r="APP70" s="2936"/>
      <c r="APQ70" s="2936"/>
      <c r="APR70" s="2936"/>
      <c r="APS70" s="2936"/>
      <c r="APT70" s="2936"/>
      <c r="APU70" s="2936"/>
      <c r="APV70" s="2936"/>
      <c r="APW70" s="2936"/>
      <c r="APX70" s="2936"/>
      <c r="APY70" s="2936"/>
      <c r="APZ70" s="2936"/>
      <c r="AQA70" s="2936"/>
      <c r="AQB70" s="2936"/>
      <c r="AQC70" s="2936"/>
      <c r="AQD70" s="2936"/>
      <c r="AQE70" s="2936"/>
      <c r="AQF70" s="2936"/>
      <c r="AQG70" s="2936"/>
      <c r="AQH70" s="2936"/>
      <c r="AQI70" s="2936"/>
      <c r="AQJ70" s="2936"/>
      <c r="AQK70" s="2936"/>
      <c r="AQL70" s="2936"/>
      <c r="AQM70" s="2936"/>
      <c r="AQN70" s="2936"/>
      <c r="AQO70" s="2936"/>
      <c r="AQP70" s="2936"/>
      <c r="AQQ70" s="2936"/>
      <c r="AQR70" s="2936"/>
      <c r="AQS70" s="2936"/>
      <c r="AQT70" s="2936"/>
      <c r="AQU70" s="2936"/>
      <c r="AQV70" s="2936"/>
      <c r="AQW70" s="2936"/>
      <c r="AQX70" s="2936"/>
      <c r="AQY70" s="2936"/>
      <c r="AQZ70" s="2936"/>
      <c r="ARA70" s="2936"/>
      <c r="ARB70" s="2936"/>
      <c r="ARC70" s="2936"/>
      <c r="ARD70" s="2936"/>
      <c r="ARE70" s="2936"/>
      <c r="ARF70" s="2936"/>
      <c r="ARG70" s="2936"/>
      <c r="ARH70" s="2936"/>
      <c r="ARI70" s="2936"/>
      <c r="ARJ70" s="2936"/>
      <c r="ARK70" s="2936"/>
      <c r="ARL70" s="2936"/>
      <c r="ARM70" s="2936"/>
      <c r="ARN70" s="2936"/>
      <c r="ARO70" s="2936"/>
      <c r="ARP70" s="2936"/>
      <c r="ARQ70" s="2936"/>
      <c r="ARR70" s="2936"/>
      <c r="ARS70" s="2936"/>
      <c r="ART70" s="2936"/>
      <c r="ARU70" s="2936"/>
      <c r="ARV70" s="2936"/>
      <c r="ARW70" s="2936"/>
      <c r="ARX70" s="2936"/>
      <c r="ARY70" s="2936"/>
      <c r="ARZ70" s="2936"/>
      <c r="ASA70" s="2936"/>
      <c r="ASB70" s="2936"/>
      <c r="ASC70" s="2936"/>
      <c r="ASD70" s="2936"/>
      <c r="ASE70" s="2936"/>
      <c r="ASF70" s="2936"/>
      <c r="ASG70" s="2936"/>
      <c r="ASH70" s="2936"/>
      <c r="ASI70" s="2936"/>
      <c r="ASJ70" s="2936"/>
      <c r="ASK70" s="2936"/>
      <c r="ASL70" s="2936"/>
      <c r="ASM70" s="2936"/>
      <c r="ASN70" s="2936"/>
      <c r="ASO70" s="2936"/>
      <c r="ASP70" s="2936"/>
      <c r="ASQ70" s="2936"/>
      <c r="ASR70" s="2936"/>
      <c r="ASS70" s="2936"/>
      <c r="AST70" s="2936"/>
      <c r="ASU70" s="2936"/>
      <c r="ASV70" s="2936"/>
      <c r="ASW70" s="2936"/>
      <c r="ASX70" s="2936"/>
      <c r="ASY70" s="2936"/>
      <c r="ASZ70" s="2936"/>
      <c r="ATA70" s="2936"/>
      <c r="ATB70" s="2936"/>
      <c r="ATC70" s="2936"/>
      <c r="ATD70" s="2936"/>
      <c r="ATE70" s="2936"/>
      <c r="ATF70" s="2936"/>
      <c r="ATG70" s="2936"/>
      <c r="ATH70" s="2936"/>
      <c r="ATI70" s="2936"/>
      <c r="ATJ70" s="2936"/>
      <c r="ATK70" s="2936"/>
      <c r="ATL70" s="2936"/>
      <c r="ATM70" s="2936"/>
      <c r="ATN70" s="2936"/>
      <c r="ATO70" s="2936"/>
      <c r="ATP70" s="2936"/>
      <c r="ATQ70" s="2936"/>
      <c r="ATR70" s="2936"/>
      <c r="ATS70" s="2936"/>
      <c r="ATT70" s="2936"/>
      <c r="ATU70" s="2936"/>
      <c r="ATV70" s="2936"/>
      <c r="ATW70" s="2936"/>
      <c r="ATX70" s="2936"/>
      <c r="ATY70" s="2936"/>
      <c r="ATZ70" s="2936"/>
      <c r="AUA70" s="2936"/>
      <c r="AUB70" s="2936"/>
      <c r="AUC70" s="2936"/>
      <c r="AUD70" s="2936"/>
      <c r="AUE70" s="2936"/>
      <c r="AUF70" s="2936"/>
      <c r="AUG70" s="2936"/>
      <c r="AUH70" s="2936"/>
      <c r="AUI70" s="2936"/>
      <c r="AUJ70" s="2936"/>
      <c r="AUK70" s="2936"/>
      <c r="AUL70" s="2936"/>
      <c r="AUM70" s="2936"/>
      <c r="AUN70" s="2936"/>
      <c r="AUO70" s="2936"/>
      <c r="AUP70" s="2936"/>
      <c r="AUQ70" s="2936"/>
      <c r="AUR70" s="2936"/>
      <c r="AUS70" s="2936"/>
      <c r="AUT70" s="2936"/>
      <c r="AUU70" s="2936"/>
      <c r="AUV70" s="2936"/>
      <c r="AUW70" s="2936"/>
      <c r="AUX70" s="2936"/>
      <c r="AUY70" s="2936"/>
      <c r="AUZ70" s="2936"/>
      <c r="AVA70" s="2936"/>
      <c r="AVB70" s="2936"/>
      <c r="AVC70" s="2936"/>
      <c r="AVD70" s="2936"/>
      <c r="AVE70" s="2936"/>
      <c r="AVF70" s="2936"/>
      <c r="AVG70" s="2936"/>
      <c r="AVH70" s="2936"/>
      <c r="AVI70" s="2936"/>
      <c r="AVJ70" s="2936"/>
      <c r="AVK70" s="2936"/>
      <c r="AVL70" s="2936"/>
      <c r="AVM70" s="2936"/>
      <c r="AVN70" s="2936"/>
      <c r="AVO70" s="2936"/>
      <c r="AVP70" s="2936"/>
      <c r="AVQ70" s="2936"/>
      <c r="AVR70" s="2936"/>
      <c r="AVS70" s="2936"/>
      <c r="AVT70" s="2936"/>
      <c r="AVU70" s="2936"/>
      <c r="AVV70" s="2936"/>
      <c r="AVW70" s="2936"/>
      <c r="AVX70" s="2936"/>
      <c r="AVY70" s="2936"/>
      <c r="AVZ70" s="2936"/>
      <c r="AWA70" s="2936"/>
      <c r="AWB70" s="2936"/>
      <c r="AWC70" s="2936"/>
      <c r="AWD70" s="2936"/>
      <c r="AWE70" s="2936"/>
      <c r="AWF70" s="2936"/>
      <c r="AWG70" s="2936"/>
      <c r="AWH70" s="2936"/>
      <c r="AWI70" s="2936"/>
      <c r="AWJ70" s="2936"/>
      <c r="AWK70" s="2936"/>
      <c r="AWL70" s="2936"/>
      <c r="AWM70" s="2936"/>
      <c r="AWN70" s="2936"/>
      <c r="AWO70" s="2936"/>
      <c r="AWP70" s="2936"/>
      <c r="AWQ70" s="2936"/>
      <c r="AWR70" s="2936"/>
      <c r="AWS70" s="2936"/>
      <c r="AWT70" s="2936"/>
      <c r="AWU70" s="2936"/>
      <c r="AWV70" s="2936"/>
      <c r="AWW70" s="2936"/>
      <c r="AWX70" s="2936"/>
      <c r="AWY70" s="2936"/>
      <c r="AWZ70" s="2936"/>
      <c r="AXA70" s="2936"/>
      <c r="AXB70" s="2936"/>
      <c r="AXC70" s="2936"/>
      <c r="AXD70" s="2936"/>
      <c r="AXE70" s="2936"/>
      <c r="AXF70" s="2936"/>
      <c r="AXG70" s="2936"/>
      <c r="AXH70" s="2936"/>
      <c r="AXI70" s="2936"/>
      <c r="AXJ70" s="2936"/>
      <c r="AXK70" s="2936"/>
      <c r="AXL70" s="2936"/>
      <c r="AXM70" s="2936"/>
      <c r="AXN70" s="2936"/>
      <c r="AXO70" s="2936"/>
      <c r="AXP70" s="2936"/>
      <c r="AXQ70" s="2936"/>
      <c r="AXR70" s="2936"/>
      <c r="AXS70" s="2936"/>
      <c r="AXT70" s="2936"/>
      <c r="AXU70" s="2936"/>
      <c r="AXV70" s="2936"/>
      <c r="AXW70" s="2936"/>
      <c r="AXX70" s="2936"/>
      <c r="AXY70" s="2936"/>
      <c r="AXZ70" s="2936"/>
      <c r="AYA70" s="2936"/>
      <c r="AYB70" s="2936"/>
      <c r="AYC70" s="2936"/>
      <c r="AYD70" s="2936"/>
      <c r="AYE70" s="2936"/>
      <c r="AYF70" s="2936"/>
      <c r="AYG70" s="2936"/>
      <c r="AYH70" s="2936"/>
      <c r="AYI70" s="2936"/>
      <c r="AYJ70" s="2936"/>
      <c r="AYK70" s="2936"/>
      <c r="AYL70" s="2936"/>
      <c r="AYM70" s="2936"/>
      <c r="AYN70" s="2936"/>
      <c r="AYO70" s="2936"/>
      <c r="AYP70" s="2936"/>
      <c r="AYQ70" s="2936"/>
      <c r="AYR70" s="2936"/>
      <c r="AYS70" s="2936"/>
      <c r="AYT70" s="2936"/>
      <c r="AYU70" s="2936"/>
      <c r="AYV70" s="2936"/>
      <c r="AYW70" s="2936"/>
      <c r="AYX70" s="2936"/>
      <c r="AYY70" s="2936"/>
      <c r="AYZ70" s="2936"/>
      <c r="AZA70" s="2936"/>
      <c r="AZB70" s="2936"/>
      <c r="AZC70" s="2936"/>
      <c r="AZD70" s="2936"/>
      <c r="AZE70" s="2936"/>
      <c r="AZF70" s="2936"/>
      <c r="AZG70" s="2936"/>
      <c r="AZH70" s="2936"/>
      <c r="AZI70" s="2936"/>
      <c r="AZJ70" s="2936"/>
      <c r="AZK70" s="2936"/>
      <c r="AZL70" s="2936"/>
      <c r="AZM70" s="2936"/>
      <c r="AZN70" s="2936"/>
      <c r="AZO70" s="2936"/>
      <c r="AZP70" s="2936"/>
      <c r="AZQ70" s="2936"/>
      <c r="AZR70" s="2936"/>
      <c r="AZS70" s="2936"/>
      <c r="AZT70" s="2936"/>
      <c r="AZU70" s="2936"/>
      <c r="AZV70" s="2936"/>
      <c r="AZW70" s="2936"/>
      <c r="AZX70" s="2936"/>
      <c r="AZY70" s="2936"/>
      <c r="AZZ70" s="2936"/>
      <c r="BAA70" s="2936"/>
      <c r="BAB70" s="2936"/>
      <c r="BAC70" s="2936"/>
      <c r="BAD70" s="2936"/>
      <c r="BAE70" s="2936"/>
      <c r="BAF70" s="2936"/>
      <c r="BAG70" s="2936"/>
      <c r="BAH70" s="2936"/>
      <c r="BAI70" s="2936"/>
      <c r="BAJ70" s="2936"/>
      <c r="BAK70" s="2936"/>
      <c r="BAL70" s="2936"/>
      <c r="BAM70" s="2936"/>
      <c r="BAN70" s="2936"/>
      <c r="BAO70" s="2936"/>
      <c r="BAP70" s="2936"/>
      <c r="BAQ70" s="2936"/>
      <c r="BAR70" s="2936"/>
      <c r="BAS70" s="2936"/>
      <c r="BAT70" s="2936"/>
      <c r="BAU70" s="2936"/>
      <c r="BAV70" s="2936"/>
      <c r="BAW70" s="2936"/>
      <c r="BAX70" s="2936"/>
      <c r="BAY70" s="2936"/>
      <c r="BAZ70" s="2936"/>
      <c r="BBA70" s="2936"/>
      <c r="BBB70" s="2936"/>
      <c r="BBC70" s="2936"/>
      <c r="BBD70" s="2936"/>
      <c r="BBE70" s="2936"/>
      <c r="BBF70" s="2936"/>
      <c r="BBG70" s="2936"/>
      <c r="BBH70" s="2936"/>
      <c r="BBI70" s="2936"/>
      <c r="BBJ70" s="2936"/>
      <c r="BBK70" s="2936"/>
      <c r="BBL70" s="2936"/>
      <c r="BBM70" s="2936"/>
      <c r="BBN70" s="2936"/>
      <c r="BBO70" s="2936"/>
      <c r="BBP70" s="2936"/>
      <c r="BBQ70" s="2936"/>
      <c r="BBR70" s="2936"/>
      <c r="BBS70" s="2936"/>
      <c r="BBT70" s="2936"/>
      <c r="BBU70" s="2936"/>
      <c r="BBV70" s="2936"/>
      <c r="BBW70" s="2936"/>
      <c r="BBX70" s="2936"/>
      <c r="BBY70" s="2936"/>
      <c r="BBZ70" s="2936"/>
      <c r="BCA70" s="2936"/>
      <c r="BCB70" s="2936"/>
      <c r="BCC70" s="2936"/>
      <c r="BCD70" s="2936"/>
      <c r="BCE70" s="2936"/>
      <c r="BCF70" s="2936"/>
      <c r="BCG70" s="2936"/>
      <c r="BCH70" s="2936"/>
      <c r="BCI70" s="2936"/>
      <c r="BCJ70" s="2936"/>
      <c r="BCK70" s="2936"/>
      <c r="BCL70" s="2936"/>
      <c r="BCM70" s="2936"/>
      <c r="BCN70" s="2936"/>
      <c r="BCO70" s="2936"/>
      <c r="BCP70" s="2936"/>
      <c r="BCQ70" s="2936"/>
      <c r="BCR70" s="2936"/>
      <c r="BCS70" s="2936"/>
      <c r="BCT70" s="2936"/>
      <c r="BCU70" s="2936"/>
      <c r="BCV70" s="2936"/>
      <c r="BCW70" s="2936"/>
      <c r="BCX70" s="2936"/>
      <c r="BCY70" s="2936"/>
      <c r="BCZ70" s="2936"/>
      <c r="BDA70" s="2936"/>
      <c r="BDB70" s="2936"/>
      <c r="BDC70" s="2936"/>
      <c r="BDD70" s="2936"/>
      <c r="BDE70" s="2936"/>
      <c r="BDF70" s="2936"/>
      <c r="BDG70" s="2936"/>
      <c r="BDH70" s="2936"/>
      <c r="BDI70" s="2936"/>
      <c r="BDJ70" s="2936"/>
      <c r="BDK70" s="2936"/>
      <c r="BDL70" s="2936"/>
      <c r="BDM70" s="2936"/>
      <c r="BDN70" s="2936"/>
      <c r="BDO70" s="2936"/>
      <c r="BDP70" s="2936"/>
      <c r="BDQ70" s="2936"/>
      <c r="BDR70" s="2936"/>
      <c r="BDS70" s="2936"/>
      <c r="BDT70" s="2936"/>
      <c r="BDU70" s="2936"/>
      <c r="BDV70" s="2936"/>
      <c r="BDW70" s="2936"/>
      <c r="BDX70" s="2936"/>
      <c r="BDY70" s="2936"/>
      <c r="BDZ70" s="2936"/>
      <c r="BEA70" s="2936"/>
      <c r="BEB70" s="2936"/>
      <c r="BEC70" s="2936"/>
      <c r="BED70" s="2936"/>
      <c r="BEE70" s="2936"/>
      <c r="BEF70" s="2936"/>
      <c r="BEG70" s="2936"/>
      <c r="BEH70" s="2936"/>
      <c r="BEI70" s="2936"/>
      <c r="BEJ70" s="2936"/>
      <c r="BEK70" s="2936"/>
      <c r="BEL70" s="2936"/>
      <c r="BEM70" s="2936"/>
      <c r="BEN70" s="2936"/>
      <c r="BEO70" s="2936"/>
      <c r="BEP70" s="2936"/>
      <c r="BEQ70" s="2936"/>
      <c r="BER70" s="2936"/>
      <c r="BES70" s="2936"/>
      <c r="BET70" s="2936"/>
      <c r="BEU70" s="2936"/>
      <c r="BEV70" s="2936"/>
      <c r="BEW70" s="2936"/>
      <c r="BEX70" s="2936"/>
      <c r="BEY70" s="2936"/>
      <c r="BEZ70" s="2936"/>
      <c r="BFA70" s="2936"/>
      <c r="BFB70" s="2936"/>
      <c r="BFC70" s="2936"/>
      <c r="BFD70" s="2936"/>
      <c r="BFE70" s="2936"/>
      <c r="BFF70" s="2936"/>
      <c r="BFG70" s="2936"/>
      <c r="BFH70" s="2936"/>
      <c r="BFI70" s="2936"/>
      <c r="BFJ70" s="2936"/>
      <c r="BFK70" s="2936"/>
      <c r="BFL70" s="2936"/>
      <c r="BFM70" s="2936"/>
      <c r="BFN70" s="2936"/>
      <c r="BFO70" s="2936"/>
      <c r="BFP70" s="2936"/>
      <c r="BFQ70" s="2936"/>
      <c r="BFR70" s="2936"/>
      <c r="BFS70" s="2936"/>
      <c r="BFT70" s="2936"/>
      <c r="BFU70" s="2936"/>
      <c r="BFV70" s="2936"/>
      <c r="BFW70" s="2936"/>
      <c r="BFX70" s="2936"/>
      <c r="BFY70" s="2936"/>
      <c r="BFZ70" s="2936"/>
      <c r="BGA70" s="2936"/>
      <c r="BGB70" s="2936"/>
      <c r="BGC70" s="2936"/>
      <c r="BGD70" s="2936"/>
      <c r="BGE70" s="2936"/>
      <c r="BGF70" s="2936"/>
      <c r="BGG70" s="2936"/>
      <c r="BGH70" s="2936"/>
      <c r="BGI70" s="2936"/>
      <c r="BGJ70" s="2936"/>
      <c r="BGK70" s="2936"/>
      <c r="BGL70" s="2936"/>
      <c r="BGM70" s="2936"/>
      <c r="BGN70" s="2936"/>
      <c r="BGO70" s="2936"/>
      <c r="BGP70" s="2936"/>
      <c r="BGQ70" s="2936"/>
      <c r="BGR70" s="2936"/>
      <c r="BGS70" s="2936"/>
      <c r="BGT70" s="2936"/>
      <c r="BGU70" s="2936"/>
      <c r="BGV70" s="2936"/>
      <c r="BGW70" s="2936"/>
      <c r="BGX70" s="2936"/>
      <c r="BGY70" s="2936"/>
      <c r="BGZ70" s="2936"/>
      <c r="BHA70" s="2936"/>
      <c r="BHB70" s="2936"/>
      <c r="BHC70" s="2936"/>
      <c r="BHD70" s="2936"/>
      <c r="BHE70" s="2936"/>
      <c r="BHF70" s="2936"/>
      <c r="BHG70" s="2936"/>
      <c r="BHH70" s="2936"/>
      <c r="BHI70" s="2936"/>
      <c r="BHJ70" s="2936"/>
      <c r="BHK70" s="2936"/>
      <c r="BHL70" s="2936"/>
      <c r="BHM70" s="2936"/>
      <c r="BHN70" s="2936"/>
      <c r="BHO70" s="2936"/>
      <c r="BHP70" s="2936"/>
      <c r="BHQ70" s="2936"/>
      <c r="BHR70" s="2936"/>
      <c r="BHS70" s="2936"/>
      <c r="BHT70" s="2936"/>
      <c r="BHU70" s="2936"/>
      <c r="BHV70" s="2936"/>
      <c r="BHW70" s="2936"/>
      <c r="BHX70" s="2936"/>
      <c r="BHY70" s="2936"/>
      <c r="BHZ70" s="2936"/>
      <c r="BIA70" s="2936"/>
      <c r="BIB70" s="2936"/>
      <c r="BIC70" s="2936"/>
      <c r="BID70" s="2936"/>
      <c r="BIE70" s="2936"/>
      <c r="BIF70" s="2936"/>
      <c r="BIG70" s="2936"/>
      <c r="BIH70" s="2936"/>
      <c r="BII70" s="2936"/>
      <c r="BIJ70" s="2936"/>
      <c r="BIK70" s="2936"/>
      <c r="BIL70" s="2936"/>
      <c r="BIM70" s="2936"/>
      <c r="BIN70" s="2936"/>
      <c r="BIO70" s="2936"/>
      <c r="BIP70" s="2936"/>
      <c r="BIQ70" s="2936"/>
      <c r="BIR70" s="2936"/>
      <c r="BIS70" s="2936"/>
      <c r="BIT70" s="2936"/>
      <c r="BIU70" s="2936"/>
      <c r="BIV70" s="2936"/>
      <c r="BIW70" s="2936"/>
      <c r="BIX70" s="2936"/>
      <c r="BIY70" s="2936"/>
      <c r="BIZ70" s="2936"/>
      <c r="BJA70" s="2936"/>
      <c r="BJB70" s="2936"/>
      <c r="BJC70" s="2936"/>
      <c r="BJD70" s="2936"/>
      <c r="BJE70" s="2936"/>
      <c r="BJF70" s="2936"/>
      <c r="BJG70" s="2936"/>
      <c r="BJH70" s="2936"/>
      <c r="BJI70" s="2936"/>
      <c r="BJJ70" s="2936"/>
      <c r="BJK70" s="2936"/>
      <c r="BJL70" s="2936"/>
      <c r="BJM70" s="2936"/>
      <c r="BJN70" s="2936"/>
      <c r="BJO70" s="2936"/>
      <c r="BJP70" s="2936"/>
      <c r="BJQ70" s="2936"/>
      <c r="BJR70" s="2936"/>
      <c r="BJS70" s="2936"/>
      <c r="BJT70" s="2936"/>
      <c r="BJU70" s="2936"/>
      <c r="BJV70" s="2936"/>
      <c r="BJW70" s="2936"/>
      <c r="BJX70" s="2936"/>
      <c r="BJY70" s="2936"/>
      <c r="BJZ70" s="2936"/>
      <c r="BKA70" s="2936"/>
      <c r="BKB70" s="2936"/>
      <c r="BKC70" s="2936"/>
      <c r="BKD70" s="2936"/>
      <c r="BKE70" s="2936"/>
      <c r="BKF70" s="2936"/>
      <c r="BKG70" s="2936"/>
      <c r="BKH70" s="2936"/>
      <c r="BKI70" s="2936"/>
      <c r="BKJ70" s="2936"/>
      <c r="BKK70" s="2936"/>
      <c r="BKL70" s="2936"/>
      <c r="BKM70" s="2936"/>
      <c r="BKN70" s="2936"/>
      <c r="BKO70" s="2936"/>
      <c r="BKP70" s="2936"/>
      <c r="BKQ70" s="2936"/>
      <c r="BKR70" s="2936"/>
      <c r="BKS70" s="2936"/>
      <c r="BKT70" s="2936"/>
      <c r="BKU70" s="2936"/>
      <c r="BKV70" s="2936"/>
      <c r="BKW70" s="2936"/>
      <c r="BKX70" s="2936"/>
      <c r="BKY70" s="2936"/>
      <c r="BKZ70" s="2936"/>
      <c r="BLA70" s="2936"/>
      <c r="BLB70" s="2936"/>
      <c r="BLC70" s="2936"/>
      <c r="BLD70" s="2936"/>
      <c r="BLE70" s="2936"/>
      <c r="BLF70" s="2936"/>
      <c r="BLG70" s="2936"/>
      <c r="BLH70" s="2936"/>
      <c r="BLI70" s="2936"/>
      <c r="BLJ70" s="2936"/>
      <c r="BLK70" s="2936"/>
      <c r="BLL70" s="2936"/>
      <c r="BLM70" s="2936"/>
      <c r="BLN70" s="2936"/>
      <c r="BLO70" s="2936"/>
      <c r="BLP70" s="2936"/>
      <c r="BLQ70" s="2936"/>
      <c r="BLR70" s="2936"/>
      <c r="BLS70" s="2936"/>
      <c r="BLT70" s="2936"/>
      <c r="BLU70" s="2936"/>
      <c r="BLV70" s="2936"/>
      <c r="BLW70" s="2936"/>
      <c r="BLX70" s="2936"/>
      <c r="BLY70" s="2936"/>
      <c r="BLZ70" s="2936"/>
      <c r="BMA70" s="2936"/>
      <c r="BMB70" s="2936"/>
      <c r="BMC70" s="2936"/>
      <c r="BMD70" s="2936"/>
      <c r="BME70" s="2936"/>
      <c r="BMF70" s="2936"/>
      <c r="BMG70" s="2936"/>
      <c r="BMH70" s="2936"/>
      <c r="BMI70" s="2936"/>
      <c r="BMJ70" s="2936"/>
      <c r="BMK70" s="2936"/>
      <c r="BML70" s="2936"/>
      <c r="BMM70" s="2936"/>
      <c r="BMN70" s="2936"/>
      <c r="BMO70" s="2936"/>
      <c r="BMP70" s="2936"/>
      <c r="BMQ70" s="2936"/>
      <c r="BMR70" s="2936"/>
      <c r="BMS70" s="2936"/>
      <c r="BMT70" s="2936"/>
      <c r="BMU70" s="2936"/>
      <c r="BMV70" s="2936"/>
      <c r="BMW70" s="2936"/>
      <c r="BMX70" s="2936"/>
      <c r="BMY70" s="2936"/>
      <c r="BMZ70" s="2936"/>
      <c r="BNA70" s="2936"/>
      <c r="BNB70" s="2936"/>
      <c r="BNC70" s="2936"/>
      <c r="BND70" s="2936"/>
      <c r="BNE70" s="2936"/>
      <c r="BNF70" s="2936"/>
      <c r="BNG70" s="2936"/>
      <c r="BNH70" s="2936"/>
      <c r="BNI70" s="2936"/>
      <c r="BNJ70" s="2936"/>
      <c r="BNK70" s="2936"/>
      <c r="BNL70" s="2936"/>
      <c r="BNM70" s="2936"/>
      <c r="BNN70" s="2936"/>
      <c r="BNO70" s="2936"/>
      <c r="BNP70" s="2936"/>
      <c r="BNQ70" s="2936"/>
      <c r="BNR70" s="2936"/>
      <c r="BNS70" s="2936"/>
      <c r="BNT70" s="2936"/>
      <c r="BNU70" s="2936"/>
      <c r="BNV70" s="2936"/>
      <c r="BNW70" s="2936"/>
      <c r="BNX70" s="2936"/>
      <c r="BNY70" s="2936"/>
      <c r="BNZ70" s="2936"/>
      <c r="BOA70" s="2936"/>
      <c r="BOB70" s="2936"/>
      <c r="BOC70" s="2936"/>
      <c r="BOD70" s="2936"/>
      <c r="BOE70" s="2936"/>
      <c r="BOF70" s="2936"/>
      <c r="BOG70" s="2936"/>
      <c r="BOH70" s="2936"/>
      <c r="BOI70" s="2936"/>
      <c r="BOJ70" s="2936"/>
      <c r="BOK70" s="2936"/>
      <c r="BOL70" s="2936"/>
      <c r="BOM70" s="2936"/>
      <c r="BON70" s="2936"/>
      <c r="BOO70" s="2936"/>
      <c r="BOP70" s="2936"/>
      <c r="BOQ70" s="2936"/>
      <c r="BOR70" s="2936"/>
      <c r="BOS70" s="2936"/>
      <c r="BOT70" s="2936"/>
      <c r="BOU70" s="2936"/>
      <c r="BOV70" s="2936"/>
      <c r="BOW70" s="2936"/>
      <c r="BOX70" s="2936"/>
      <c r="BOY70" s="2936"/>
      <c r="BOZ70" s="2936"/>
      <c r="BPA70" s="2936"/>
      <c r="BPB70" s="2936"/>
      <c r="BPC70" s="2936"/>
      <c r="BPD70" s="2936"/>
      <c r="BPE70" s="2936"/>
      <c r="BPF70" s="2936"/>
      <c r="BPG70" s="2936"/>
      <c r="BPH70" s="2936"/>
      <c r="BPI70" s="2936"/>
      <c r="BPJ70" s="2936"/>
      <c r="BPK70" s="2936"/>
      <c r="BPL70" s="2936"/>
      <c r="BPM70" s="2936"/>
      <c r="BPN70" s="2936"/>
      <c r="BPO70" s="2936"/>
      <c r="BPP70" s="2936"/>
      <c r="BPQ70" s="2936"/>
      <c r="BPR70" s="2936"/>
      <c r="BPS70" s="2936"/>
      <c r="BPT70" s="2936"/>
      <c r="BPU70" s="2936"/>
      <c r="BPV70" s="2936"/>
      <c r="BPW70" s="2936"/>
      <c r="BPX70" s="2936"/>
      <c r="BPY70" s="2936"/>
      <c r="BPZ70" s="2936"/>
      <c r="BQA70" s="2936"/>
      <c r="BQB70" s="2936"/>
      <c r="BQC70" s="2936"/>
      <c r="BQD70" s="2936"/>
      <c r="BQE70" s="2936"/>
      <c r="BQF70" s="2936"/>
      <c r="BQG70" s="2936"/>
      <c r="BQH70" s="2936"/>
      <c r="BQI70" s="2936"/>
      <c r="BQJ70" s="2936"/>
      <c r="BQK70" s="2936"/>
      <c r="BQL70" s="2936"/>
      <c r="BQM70" s="2936"/>
      <c r="BQN70" s="2936"/>
      <c r="BQO70" s="2936"/>
      <c r="BQP70" s="2936"/>
      <c r="BQQ70" s="2936"/>
      <c r="BQR70" s="2936"/>
      <c r="BQS70" s="2936"/>
      <c r="BQT70" s="2936"/>
      <c r="BQU70" s="2936"/>
      <c r="BQV70" s="2936"/>
      <c r="BQW70" s="2936"/>
      <c r="BQX70" s="2936"/>
      <c r="BQY70" s="2936"/>
      <c r="BQZ70" s="2936"/>
      <c r="BRA70" s="2936"/>
      <c r="BRB70" s="2936"/>
      <c r="BRC70" s="2936"/>
      <c r="BRD70" s="2936"/>
      <c r="BRE70" s="2936"/>
      <c r="BRF70" s="2936"/>
      <c r="BRG70" s="2936"/>
      <c r="BRH70" s="2936"/>
      <c r="BRI70" s="2936"/>
      <c r="BRJ70" s="2936"/>
      <c r="BRK70" s="2936"/>
      <c r="BRL70" s="2936"/>
      <c r="BRM70" s="2936"/>
      <c r="BRN70" s="2936"/>
      <c r="BRO70" s="2936"/>
      <c r="BRP70" s="2936"/>
      <c r="BRQ70" s="2936"/>
      <c r="BRR70" s="2936"/>
      <c r="BRS70" s="2936"/>
      <c r="BRT70" s="2936"/>
      <c r="BRU70" s="2936"/>
      <c r="BRV70" s="2936"/>
      <c r="BRW70" s="2936"/>
      <c r="BRX70" s="2936"/>
      <c r="BRY70" s="2936"/>
      <c r="BRZ70" s="2936"/>
      <c r="BSA70" s="2936"/>
      <c r="BSB70" s="2936"/>
      <c r="BSC70" s="2936"/>
      <c r="BSD70" s="2936"/>
      <c r="BSE70" s="2936"/>
      <c r="BSF70" s="2936"/>
      <c r="BSG70" s="2936"/>
      <c r="BSH70" s="2936"/>
      <c r="BSI70" s="2936"/>
      <c r="BSJ70" s="2936"/>
      <c r="BSK70" s="2936"/>
      <c r="BSL70" s="2936"/>
      <c r="BSM70" s="2936"/>
      <c r="BSN70" s="2936"/>
      <c r="BSO70" s="2936"/>
      <c r="BSP70" s="2936"/>
      <c r="BSQ70" s="2936"/>
      <c r="BSR70" s="2936"/>
      <c r="BSS70" s="2936"/>
      <c r="BST70" s="2936"/>
      <c r="BSU70" s="2936"/>
      <c r="BSV70" s="2936"/>
      <c r="BSW70" s="2936"/>
      <c r="BSX70" s="2936"/>
      <c r="BSY70" s="2936"/>
      <c r="BSZ70" s="2936"/>
      <c r="BTA70" s="2936"/>
      <c r="BTB70" s="2936"/>
      <c r="BTC70" s="2936"/>
      <c r="BTD70" s="2936"/>
      <c r="BTE70" s="2936"/>
      <c r="BTF70" s="2936"/>
      <c r="BTG70" s="2936"/>
      <c r="BTH70" s="2936"/>
      <c r="BTI70" s="2936"/>
      <c r="BTJ70" s="2936"/>
      <c r="BTK70" s="2936"/>
      <c r="BTL70" s="2936"/>
      <c r="BTM70" s="2936"/>
      <c r="BTN70" s="2936"/>
      <c r="BTO70" s="2936"/>
      <c r="BTP70" s="2936"/>
      <c r="BTQ70" s="2936"/>
      <c r="BTR70" s="2936"/>
      <c r="BTS70" s="2936"/>
      <c r="BTT70" s="2936"/>
      <c r="BTU70" s="2936"/>
      <c r="BTV70" s="2936"/>
      <c r="BTW70" s="2936"/>
      <c r="BTX70" s="2936"/>
      <c r="BTY70" s="2936"/>
      <c r="BTZ70" s="2936"/>
      <c r="BUA70" s="2936"/>
      <c r="BUB70" s="2936"/>
      <c r="BUC70" s="2936"/>
      <c r="BUD70" s="2936"/>
      <c r="BUE70" s="2936"/>
      <c r="BUF70" s="2936"/>
      <c r="BUG70" s="2936"/>
      <c r="BUH70" s="2936"/>
      <c r="BUI70" s="2936"/>
      <c r="BUJ70" s="2936"/>
      <c r="BUK70" s="2936"/>
      <c r="BUL70" s="2936"/>
      <c r="BUM70" s="2936"/>
      <c r="BUN70" s="2936"/>
      <c r="BUO70" s="2936"/>
      <c r="BUP70" s="2936"/>
      <c r="BUQ70" s="2936"/>
      <c r="BUR70" s="2936"/>
      <c r="BUS70" s="2936"/>
      <c r="BUT70" s="2936"/>
      <c r="BUU70" s="2936"/>
      <c r="BUV70" s="2936"/>
      <c r="BUW70" s="2936"/>
      <c r="BUX70" s="2936"/>
      <c r="BUY70" s="2936"/>
      <c r="BUZ70" s="2936"/>
      <c r="BVA70" s="2936"/>
      <c r="BVB70" s="2936"/>
      <c r="BVC70" s="2936"/>
      <c r="BVD70" s="2936"/>
      <c r="BVE70" s="2936"/>
      <c r="BVF70" s="2936"/>
      <c r="BVG70" s="2936"/>
      <c r="BVH70" s="2936"/>
      <c r="BVI70" s="2936"/>
      <c r="BVJ70" s="2936"/>
      <c r="BVK70" s="2936"/>
      <c r="BVL70" s="2936"/>
      <c r="BVM70" s="2936"/>
      <c r="BVN70" s="2936"/>
      <c r="BVO70" s="2936"/>
      <c r="BVP70" s="2936"/>
      <c r="BVQ70" s="2936"/>
      <c r="BVR70" s="2936"/>
      <c r="BVS70" s="2936"/>
      <c r="BVT70" s="2936"/>
      <c r="BVU70" s="2936"/>
      <c r="BVV70" s="2936"/>
      <c r="BVW70" s="2936"/>
      <c r="BVX70" s="2936"/>
      <c r="BVY70" s="2936"/>
      <c r="BVZ70" s="2936"/>
      <c r="BWA70" s="2936"/>
      <c r="BWB70" s="2936"/>
      <c r="BWC70" s="2936"/>
      <c r="BWD70" s="2936"/>
      <c r="BWE70" s="2936"/>
      <c r="BWF70" s="2936"/>
      <c r="BWG70" s="2936"/>
      <c r="BWH70" s="2936"/>
      <c r="BWI70" s="2936"/>
      <c r="BWJ70" s="2936"/>
      <c r="BWK70" s="2936"/>
      <c r="BWL70" s="2936"/>
      <c r="BWM70" s="2936"/>
      <c r="BWN70" s="2936"/>
      <c r="BWO70" s="2936"/>
      <c r="BWP70" s="2936"/>
      <c r="BWQ70" s="2936"/>
      <c r="BWR70" s="2936"/>
      <c r="BWS70" s="2936"/>
      <c r="BWT70" s="2936"/>
      <c r="BWU70" s="2936"/>
      <c r="BWV70" s="2936"/>
      <c r="BWW70" s="2936"/>
      <c r="BWX70" s="2936"/>
      <c r="BWY70" s="2936"/>
      <c r="BWZ70" s="2936"/>
      <c r="BXA70" s="2936"/>
      <c r="BXB70" s="2936"/>
      <c r="BXC70" s="2936"/>
      <c r="BXD70" s="2936"/>
      <c r="BXE70" s="2936"/>
      <c r="BXF70" s="2936"/>
      <c r="BXG70" s="2936"/>
      <c r="BXH70" s="2936"/>
      <c r="BXI70" s="2936"/>
      <c r="BXJ70" s="2936"/>
      <c r="BXK70" s="2936"/>
      <c r="BXL70" s="2936"/>
      <c r="BXM70" s="2936"/>
      <c r="BXN70" s="2936"/>
      <c r="BXO70" s="2936"/>
      <c r="BXP70" s="2936"/>
      <c r="BXQ70" s="2936"/>
      <c r="BXR70" s="2936"/>
      <c r="BXS70" s="2936"/>
      <c r="BXT70" s="2936"/>
      <c r="BXU70" s="2936"/>
      <c r="BXV70" s="2936"/>
      <c r="BXW70" s="2936"/>
      <c r="BXX70" s="2936"/>
      <c r="BXY70" s="2936"/>
      <c r="BXZ70" s="2936"/>
      <c r="BYA70" s="2936"/>
      <c r="BYB70" s="2936"/>
      <c r="BYC70" s="2936"/>
      <c r="BYD70" s="2936"/>
      <c r="BYE70" s="2936"/>
      <c r="BYF70" s="2936"/>
      <c r="BYG70" s="2936"/>
      <c r="BYH70" s="2936"/>
      <c r="BYI70" s="2936"/>
      <c r="BYJ70" s="2936"/>
      <c r="BYK70" s="2936"/>
      <c r="BYL70" s="2936"/>
      <c r="BYM70" s="2936"/>
      <c r="BYN70" s="2936"/>
      <c r="BYO70" s="2936"/>
      <c r="BYP70" s="2936"/>
      <c r="BYQ70" s="2936"/>
      <c r="BYR70" s="2936"/>
      <c r="BYS70" s="2936"/>
      <c r="BYT70" s="2936"/>
      <c r="BYU70" s="2936"/>
      <c r="BYV70" s="2936"/>
      <c r="BYW70" s="2936"/>
      <c r="BYX70" s="2936"/>
      <c r="BYY70" s="2936"/>
      <c r="BYZ70" s="2936"/>
      <c r="BZA70" s="2936"/>
      <c r="BZB70" s="2936"/>
      <c r="BZC70" s="2936"/>
      <c r="BZD70" s="2936"/>
      <c r="BZE70" s="2936"/>
      <c r="BZF70" s="2936"/>
      <c r="BZG70" s="2936"/>
      <c r="BZH70" s="2936"/>
      <c r="BZI70" s="2936"/>
      <c r="BZJ70" s="2936"/>
      <c r="BZK70" s="2936"/>
      <c r="BZL70" s="2936"/>
      <c r="BZM70" s="2936"/>
      <c r="BZN70" s="2936"/>
      <c r="BZO70" s="2936"/>
      <c r="BZP70" s="2936"/>
      <c r="BZQ70" s="2936"/>
      <c r="BZR70" s="2936"/>
      <c r="BZS70" s="2936"/>
      <c r="BZT70" s="2936"/>
      <c r="BZU70" s="2936"/>
      <c r="BZV70" s="2936"/>
      <c r="BZW70" s="2936"/>
      <c r="BZX70" s="2936"/>
      <c r="BZY70" s="2936"/>
      <c r="BZZ70" s="2936"/>
      <c r="CAA70" s="2936"/>
      <c r="CAB70" s="2936"/>
      <c r="CAC70" s="2936"/>
      <c r="CAD70" s="2936"/>
      <c r="CAE70" s="2936"/>
      <c r="CAF70" s="2936"/>
      <c r="CAG70" s="2936"/>
      <c r="CAH70" s="2936"/>
      <c r="CAI70" s="2936"/>
      <c r="CAJ70" s="2936"/>
      <c r="CAK70" s="2936"/>
      <c r="CAL70" s="2936"/>
      <c r="CAM70" s="2936"/>
      <c r="CAN70" s="2936"/>
      <c r="CAO70" s="2936"/>
      <c r="CAP70" s="2936"/>
      <c r="CAQ70" s="2936"/>
      <c r="CAR70" s="2936"/>
      <c r="CAS70" s="2936"/>
      <c r="CAT70" s="2936"/>
      <c r="CAU70" s="2936"/>
      <c r="CAV70" s="2936"/>
      <c r="CAW70" s="2936"/>
      <c r="CAX70" s="2936"/>
      <c r="CAY70" s="2936"/>
      <c r="CAZ70" s="2936"/>
      <c r="CBA70" s="2936"/>
      <c r="CBB70" s="2936"/>
      <c r="CBC70" s="2936"/>
      <c r="CBD70" s="2936"/>
      <c r="CBE70" s="2936"/>
      <c r="CBF70" s="2936"/>
      <c r="CBG70" s="2936"/>
      <c r="CBH70" s="2936"/>
      <c r="CBI70" s="2936"/>
      <c r="CBJ70" s="2936"/>
      <c r="CBK70" s="2936"/>
      <c r="CBL70" s="2936"/>
      <c r="CBM70" s="2936"/>
      <c r="CBN70" s="2936"/>
      <c r="CBO70" s="2936"/>
      <c r="CBP70" s="2936"/>
      <c r="CBQ70" s="2936"/>
      <c r="CBR70" s="2936"/>
      <c r="CBS70" s="2936"/>
      <c r="CBT70" s="2936"/>
      <c r="CBU70" s="2936"/>
      <c r="CBV70" s="2936"/>
      <c r="CBW70" s="2936"/>
      <c r="CBX70" s="2936"/>
      <c r="CBY70" s="2936"/>
      <c r="CBZ70" s="2936"/>
      <c r="CCA70" s="2936"/>
      <c r="CCB70" s="2936"/>
      <c r="CCC70" s="2936"/>
      <c r="CCD70" s="2936"/>
      <c r="CCE70" s="2936"/>
      <c r="CCF70" s="2936"/>
      <c r="CCG70" s="2936"/>
      <c r="CCH70" s="2936"/>
      <c r="CCI70" s="2936"/>
      <c r="CCJ70" s="2936"/>
      <c r="CCK70" s="2936"/>
      <c r="CCL70" s="2936"/>
      <c r="CCM70" s="2936"/>
      <c r="CCN70" s="2936"/>
      <c r="CCO70" s="2936"/>
      <c r="CCP70" s="2936"/>
      <c r="CCQ70" s="2936"/>
      <c r="CCR70" s="2936"/>
      <c r="CCS70" s="2936"/>
      <c r="CCT70" s="2936"/>
      <c r="CCU70" s="2936"/>
      <c r="CCV70" s="2936"/>
      <c r="CCW70" s="2936"/>
      <c r="CCX70" s="2936"/>
      <c r="CCY70" s="2936"/>
      <c r="CCZ70" s="2936"/>
      <c r="CDA70" s="2936"/>
      <c r="CDB70" s="2936"/>
      <c r="CDC70" s="2936"/>
      <c r="CDD70" s="2936"/>
      <c r="CDE70" s="2936"/>
      <c r="CDF70" s="2936"/>
      <c r="CDG70" s="2936"/>
      <c r="CDH70" s="2936"/>
      <c r="CDI70" s="2936"/>
      <c r="CDJ70" s="2936"/>
      <c r="CDK70" s="2936"/>
      <c r="CDL70" s="2936"/>
      <c r="CDM70" s="2936"/>
      <c r="CDN70" s="2936"/>
      <c r="CDO70" s="2936"/>
      <c r="CDP70" s="2936"/>
      <c r="CDQ70" s="2936"/>
      <c r="CDR70" s="2936"/>
      <c r="CDS70" s="2936"/>
      <c r="CDT70" s="2936"/>
      <c r="CDU70" s="2936"/>
      <c r="CDV70" s="2936"/>
      <c r="CDW70" s="2936"/>
      <c r="CDX70" s="2936"/>
      <c r="CDY70" s="2936"/>
      <c r="CDZ70" s="2936"/>
      <c r="CEA70" s="2936"/>
      <c r="CEB70" s="2936"/>
      <c r="CEC70" s="2936"/>
      <c r="CED70" s="2936"/>
      <c r="CEE70" s="2936"/>
      <c r="CEF70" s="2936"/>
      <c r="CEG70" s="2936"/>
      <c r="CEH70" s="2936"/>
      <c r="CEI70" s="2936"/>
      <c r="CEJ70" s="2936"/>
      <c r="CEK70" s="2936"/>
      <c r="CEL70" s="2936"/>
      <c r="CEM70" s="2936"/>
      <c r="CEN70" s="2936"/>
      <c r="CEO70" s="2936"/>
      <c r="CEP70" s="2936"/>
      <c r="CEQ70" s="2936"/>
      <c r="CER70" s="2936"/>
      <c r="CES70" s="2936"/>
      <c r="CET70" s="2936"/>
      <c r="CEU70" s="2936"/>
      <c r="CEV70" s="2936"/>
      <c r="CEW70" s="2936"/>
      <c r="CEX70" s="2936"/>
      <c r="CEY70" s="2936"/>
      <c r="CEZ70" s="2936"/>
      <c r="CFA70" s="2936"/>
      <c r="CFB70" s="2936"/>
      <c r="CFC70" s="2936"/>
      <c r="CFD70" s="2936"/>
      <c r="CFE70" s="2936"/>
      <c r="CFF70" s="2936"/>
      <c r="CFG70" s="2936"/>
      <c r="CFH70" s="2936"/>
      <c r="CFI70" s="2936"/>
      <c r="CFJ70" s="2936"/>
      <c r="CFK70" s="2936"/>
      <c r="CFL70" s="2936"/>
      <c r="CFM70" s="2936"/>
      <c r="CFN70" s="2936"/>
      <c r="CFO70" s="2936"/>
      <c r="CFP70" s="2936"/>
      <c r="CFQ70" s="2936"/>
      <c r="CFR70" s="2936"/>
      <c r="CFS70" s="2936"/>
      <c r="CFT70" s="2936"/>
      <c r="CFU70" s="2936"/>
      <c r="CFV70" s="2936"/>
      <c r="CFW70" s="2936"/>
      <c r="CFX70" s="2936"/>
      <c r="CFY70" s="2936"/>
      <c r="CFZ70" s="2936"/>
      <c r="CGA70" s="2936"/>
      <c r="CGB70" s="2936"/>
      <c r="CGC70" s="2936"/>
      <c r="CGD70" s="2936"/>
      <c r="CGE70" s="2936"/>
      <c r="CGF70" s="2936"/>
      <c r="CGG70" s="2936"/>
      <c r="CGH70" s="2936"/>
      <c r="CGI70" s="2936"/>
      <c r="CGJ70" s="2936"/>
      <c r="CGK70" s="2936"/>
      <c r="CGL70" s="2936"/>
      <c r="CGM70" s="2936"/>
      <c r="CGN70" s="2936"/>
      <c r="CGO70" s="2936"/>
      <c r="CGP70" s="2936"/>
      <c r="CGQ70" s="2936"/>
      <c r="CGR70" s="2936"/>
      <c r="CGS70" s="2936"/>
      <c r="CGT70" s="2936"/>
      <c r="CGU70" s="2936"/>
      <c r="CGV70" s="2936"/>
      <c r="CGW70" s="2936"/>
      <c r="CGX70" s="2936"/>
      <c r="CGY70" s="2936"/>
      <c r="CGZ70" s="2936"/>
      <c r="CHA70" s="2936"/>
      <c r="CHB70" s="2936"/>
      <c r="CHC70" s="2936"/>
      <c r="CHD70" s="2936"/>
      <c r="CHE70" s="2936"/>
      <c r="CHF70" s="2936"/>
      <c r="CHG70" s="2936"/>
      <c r="CHH70" s="2936"/>
      <c r="CHI70" s="2936"/>
      <c r="CHJ70" s="2936"/>
      <c r="CHK70" s="2936"/>
      <c r="CHL70" s="2936"/>
      <c r="CHM70" s="2936"/>
      <c r="CHN70" s="2936"/>
      <c r="CHO70" s="2936"/>
      <c r="CHP70" s="2936"/>
      <c r="CHQ70" s="2936"/>
      <c r="CHR70" s="2936"/>
      <c r="CHS70" s="2936"/>
      <c r="CHT70" s="2936"/>
      <c r="CHU70" s="2936"/>
      <c r="CHV70" s="2936"/>
      <c r="CHW70" s="2936"/>
      <c r="CHX70" s="2936"/>
      <c r="CHY70" s="2936"/>
      <c r="CHZ70" s="2936"/>
      <c r="CIA70" s="2936"/>
      <c r="CIB70" s="2936"/>
      <c r="CIC70" s="2936"/>
      <c r="CID70" s="2936"/>
      <c r="CIE70" s="2936"/>
      <c r="CIF70" s="2936"/>
      <c r="CIG70" s="2936"/>
      <c r="CIH70" s="2936"/>
      <c r="CII70" s="2936"/>
      <c r="CIJ70" s="2936"/>
      <c r="CIK70" s="2936"/>
      <c r="CIL70" s="2936"/>
      <c r="CIM70" s="2936"/>
      <c r="CIN70" s="2936"/>
      <c r="CIO70" s="2936"/>
      <c r="CIP70" s="2936"/>
      <c r="CIQ70" s="2936"/>
      <c r="CIR70" s="2936"/>
      <c r="CIS70" s="2936"/>
      <c r="CIT70" s="2936"/>
      <c r="CIU70" s="2936"/>
      <c r="CIV70" s="2936"/>
      <c r="CIW70" s="2936"/>
      <c r="CIX70" s="2936"/>
      <c r="CIY70" s="2936"/>
      <c r="CIZ70" s="2936"/>
      <c r="CJA70" s="2936"/>
      <c r="CJB70" s="2936"/>
      <c r="CJC70" s="2936"/>
      <c r="CJD70" s="2936"/>
      <c r="CJE70" s="2936"/>
      <c r="CJF70" s="2936"/>
      <c r="CJG70" s="2936"/>
      <c r="CJH70" s="2936"/>
      <c r="CJI70" s="2936"/>
      <c r="CJJ70" s="2936"/>
      <c r="CJK70" s="2936"/>
      <c r="CJL70" s="2936"/>
      <c r="CJM70" s="2936"/>
      <c r="CJN70" s="2936"/>
      <c r="CJO70" s="2936"/>
      <c r="CJP70" s="2936"/>
      <c r="CJQ70" s="2936"/>
      <c r="CJR70" s="2936"/>
      <c r="CJS70" s="2936"/>
      <c r="CJT70" s="2936"/>
      <c r="CJU70" s="2936"/>
      <c r="CJV70" s="2936"/>
      <c r="CJW70" s="2936"/>
      <c r="CJX70" s="2936"/>
      <c r="CJY70" s="2936"/>
      <c r="CJZ70" s="2936"/>
      <c r="CKA70" s="2936"/>
      <c r="CKB70" s="2936"/>
      <c r="CKC70" s="2936"/>
      <c r="CKD70" s="2936"/>
      <c r="CKE70" s="2936"/>
      <c r="CKF70" s="2936"/>
      <c r="CKG70" s="2936"/>
      <c r="CKH70" s="2936"/>
      <c r="CKI70" s="2936"/>
      <c r="CKJ70" s="2936"/>
      <c r="CKK70" s="2936"/>
      <c r="CKL70" s="2936"/>
      <c r="CKM70" s="2936"/>
      <c r="CKN70" s="2936"/>
      <c r="CKO70" s="2936"/>
      <c r="CKP70" s="2936"/>
      <c r="CKQ70" s="2936"/>
      <c r="CKR70" s="2936"/>
      <c r="CKS70" s="2936"/>
      <c r="CKT70" s="2936"/>
      <c r="CKU70" s="2936"/>
      <c r="CKV70" s="2936"/>
      <c r="CKW70" s="2936"/>
      <c r="CKX70" s="2936"/>
      <c r="CKY70" s="2936"/>
      <c r="CKZ70" s="2936"/>
      <c r="CLA70" s="2936"/>
      <c r="CLB70" s="2936"/>
      <c r="CLC70" s="2936"/>
      <c r="CLD70" s="2936"/>
      <c r="CLE70" s="2936"/>
      <c r="CLF70" s="2936"/>
      <c r="CLG70" s="2936"/>
      <c r="CLH70" s="2936"/>
      <c r="CLI70" s="2936"/>
      <c r="CLJ70" s="2936"/>
      <c r="CLK70" s="2936"/>
      <c r="CLL70" s="2936"/>
      <c r="CLM70" s="2936"/>
      <c r="CLN70" s="2936"/>
      <c r="CLO70" s="2936"/>
      <c r="CLP70" s="2936"/>
      <c r="CLQ70" s="2936"/>
      <c r="CLR70" s="2936"/>
      <c r="CLS70" s="2936"/>
      <c r="CLT70" s="2936"/>
      <c r="CLU70" s="2936"/>
      <c r="CLV70" s="2936"/>
      <c r="CLW70" s="2936"/>
      <c r="CLX70" s="2936"/>
      <c r="CLY70" s="2936"/>
      <c r="CLZ70" s="2936"/>
      <c r="CMA70" s="2936"/>
      <c r="CMB70" s="2936"/>
      <c r="CMC70" s="2936"/>
      <c r="CMD70" s="2936"/>
      <c r="CME70" s="2936"/>
      <c r="CMF70" s="2936"/>
      <c r="CMG70" s="2936"/>
      <c r="CMH70" s="2936"/>
      <c r="CMI70" s="2936"/>
      <c r="CMJ70" s="2936"/>
      <c r="CMK70" s="2936"/>
      <c r="CML70" s="2936"/>
      <c r="CMM70" s="2936"/>
      <c r="CMN70" s="2936"/>
      <c r="CMO70" s="2936"/>
      <c r="CMP70" s="2936"/>
      <c r="CMQ70" s="2936"/>
      <c r="CMR70" s="2936"/>
      <c r="CMS70" s="2936"/>
      <c r="CMT70" s="2936"/>
      <c r="CMU70" s="2936"/>
      <c r="CMV70" s="2936"/>
      <c r="CMW70" s="2936"/>
      <c r="CMX70" s="2936"/>
      <c r="CMY70" s="2936"/>
      <c r="CMZ70" s="2936"/>
      <c r="CNA70" s="2936"/>
      <c r="CNB70" s="2936"/>
      <c r="CNC70" s="2936"/>
      <c r="CND70" s="2936"/>
      <c r="CNE70" s="2936"/>
      <c r="CNF70" s="2936"/>
      <c r="CNG70" s="2936"/>
      <c r="CNH70" s="2936"/>
      <c r="CNI70" s="2936"/>
      <c r="CNJ70" s="2936"/>
      <c r="CNK70" s="2936"/>
      <c r="CNL70" s="2936"/>
      <c r="CNM70" s="2936"/>
      <c r="CNN70" s="2936"/>
      <c r="CNO70" s="2936"/>
      <c r="CNP70" s="2936"/>
      <c r="CNQ70" s="2936"/>
      <c r="CNR70" s="2936"/>
      <c r="CNS70" s="2936"/>
      <c r="CNT70" s="2936"/>
      <c r="CNU70" s="2936"/>
      <c r="CNV70" s="2936"/>
      <c r="CNW70" s="2936"/>
      <c r="CNX70" s="2936"/>
      <c r="CNY70" s="2936"/>
      <c r="CNZ70" s="2936"/>
      <c r="COA70" s="2936"/>
      <c r="COB70" s="2936"/>
      <c r="COC70" s="2936"/>
      <c r="COD70" s="2936"/>
      <c r="COE70" s="2936"/>
      <c r="COF70" s="2936"/>
      <c r="COG70" s="2936"/>
      <c r="COH70" s="2936"/>
      <c r="COI70" s="2936"/>
      <c r="COJ70" s="2936"/>
      <c r="COK70" s="2936"/>
      <c r="COL70" s="2936"/>
      <c r="COM70" s="2936"/>
      <c r="CON70" s="2936"/>
      <c r="COO70" s="2936"/>
      <c r="COP70" s="2936"/>
      <c r="COQ70" s="2936"/>
      <c r="COR70" s="2936"/>
      <c r="COS70" s="2936"/>
      <c r="COT70" s="2936"/>
      <c r="COU70" s="2936"/>
      <c r="COV70" s="2936"/>
      <c r="COW70" s="2936"/>
      <c r="COX70" s="2936"/>
      <c r="COY70" s="2936"/>
      <c r="COZ70" s="2936"/>
      <c r="CPA70" s="2936"/>
      <c r="CPB70" s="2936"/>
      <c r="CPC70" s="2936"/>
      <c r="CPD70" s="2936"/>
      <c r="CPE70" s="2936"/>
      <c r="CPF70" s="2936"/>
      <c r="CPG70" s="2936"/>
      <c r="CPH70" s="2936"/>
      <c r="CPI70" s="2936"/>
      <c r="CPJ70" s="2936"/>
      <c r="CPK70" s="2936"/>
      <c r="CPL70" s="2936"/>
      <c r="CPM70" s="2936"/>
      <c r="CPN70" s="2936"/>
      <c r="CPO70" s="2936"/>
      <c r="CPP70" s="2936"/>
      <c r="CPQ70" s="2936"/>
      <c r="CPR70" s="2936"/>
      <c r="CPS70" s="2936"/>
      <c r="CPT70" s="2936"/>
      <c r="CPU70" s="2936"/>
      <c r="CPV70" s="2936"/>
      <c r="CPW70" s="2936"/>
      <c r="CPX70" s="2936"/>
      <c r="CPY70" s="2936"/>
      <c r="CPZ70" s="2936"/>
      <c r="CQA70" s="2936"/>
      <c r="CQB70" s="2936"/>
      <c r="CQC70" s="2936"/>
      <c r="CQD70" s="2936"/>
      <c r="CQE70" s="2936"/>
      <c r="CQF70" s="2936"/>
      <c r="CQG70" s="2936"/>
      <c r="CQH70" s="2936"/>
      <c r="CQI70" s="2936"/>
      <c r="CQJ70" s="2936"/>
      <c r="CQK70" s="2936"/>
      <c r="CQL70" s="2936"/>
      <c r="CQM70" s="2936"/>
      <c r="CQN70" s="2936"/>
      <c r="CQO70" s="2936"/>
      <c r="CQP70" s="2936"/>
      <c r="CQQ70" s="2936"/>
      <c r="CQR70" s="2936"/>
      <c r="CQS70" s="2936"/>
      <c r="CQT70" s="2936"/>
      <c r="CQU70" s="2936"/>
      <c r="CQV70" s="2936"/>
      <c r="CQW70" s="2936"/>
      <c r="CQX70" s="2936"/>
      <c r="CQY70" s="2936"/>
      <c r="CQZ70" s="2936"/>
      <c r="CRA70" s="2936"/>
      <c r="CRB70" s="2936"/>
      <c r="CRC70" s="2936"/>
      <c r="CRD70" s="2936"/>
      <c r="CRE70" s="2936"/>
      <c r="CRF70" s="2936"/>
      <c r="CRG70" s="2936"/>
      <c r="CRH70" s="2936"/>
      <c r="CRI70" s="2936"/>
      <c r="CRJ70" s="2936"/>
      <c r="CRK70" s="2936"/>
      <c r="CRL70" s="2936"/>
      <c r="CRM70" s="2936"/>
      <c r="CRN70" s="2936"/>
      <c r="CRO70" s="2936"/>
      <c r="CRP70" s="2936"/>
      <c r="CRQ70" s="2936"/>
      <c r="CRR70" s="2936"/>
      <c r="CRS70" s="2936"/>
      <c r="CRT70" s="2936"/>
      <c r="CRU70" s="2936"/>
      <c r="CRV70" s="2936"/>
      <c r="CRW70" s="2936"/>
      <c r="CRX70" s="2936"/>
      <c r="CRY70" s="2936"/>
      <c r="CRZ70" s="2936"/>
      <c r="CSA70" s="2936"/>
      <c r="CSB70" s="2936"/>
      <c r="CSC70" s="2936"/>
      <c r="CSD70" s="2936"/>
      <c r="CSE70" s="2936"/>
      <c r="CSF70" s="2936"/>
      <c r="CSG70" s="2936"/>
      <c r="CSH70" s="2936"/>
      <c r="CSI70" s="2936"/>
      <c r="CSJ70" s="2936"/>
      <c r="CSK70" s="2936"/>
      <c r="CSL70" s="2936"/>
      <c r="CSM70" s="2936"/>
      <c r="CSN70" s="2936"/>
      <c r="CSO70" s="2936"/>
      <c r="CSP70" s="2936"/>
      <c r="CSQ70" s="2936"/>
      <c r="CSR70" s="2936"/>
      <c r="CSS70" s="2936"/>
      <c r="CST70" s="2936"/>
      <c r="CSU70" s="2936"/>
      <c r="CSV70" s="2936"/>
      <c r="CSW70" s="2936"/>
      <c r="CSX70" s="2936"/>
      <c r="CSY70" s="2936"/>
      <c r="CSZ70" s="2936"/>
      <c r="CTA70" s="2936"/>
      <c r="CTB70" s="2936"/>
      <c r="CTC70" s="2936"/>
      <c r="CTD70" s="2936"/>
      <c r="CTE70" s="2936"/>
      <c r="CTF70" s="2936"/>
      <c r="CTG70" s="2936"/>
      <c r="CTH70" s="2936"/>
      <c r="CTI70" s="2936"/>
      <c r="CTJ70" s="2936"/>
      <c r="CTK70" s="2936"/>
      <c r="CTL70" s="2936"/>
      <c r="CTM70" s="2936"/>
      <c r="CTN70" s="2936"/>
      <c r="CTO70" s="2936"/>
      <c r="CTP70" s="2936"/>
      <c r="CTQ70" s="2936"/>
      <c r="CTR70" s="2936"/>
      <c r="CTS70" s="2936"/>
      <c r="CTT70" s="2936"/>
      <c r="CTU70" s="2936"/>
      <c r="CTV70" s="2936"/>
      <c r="CTW70" s="2936"/>
      <c r="CTX70" s="2936"/>
      <c r="CTY70" s="2936"/>
      <c r="CTZ70" s="2936"/>
      <c r="CUA70" s="2936"/>
      <c r="CUB70" s="2936"/>
      <c r="CUC70" s="2936"/>
      <c r="CUD70" s="2936"/>
      <c r="CUE70" s="2936"/>
      <c r="CUF70" s="2936"/>
      <c r="CUG70" s="2936"/>
      <c r="CUH70" s="2936"/>
      <c r="CUI70" s="2936"/>
      <c r="CUJ70" s="2936"/>
      <c r="CUK70" s="2936"/>
      <c r="CUL70" s="2936"/>
      <c r="CUM70" s="2936"/>
      <c r="CUN70" s="2936"/>
      <c r="CUO70" s="2936"/>
      <c r="CUP70" s="2936"/>
      <c r="CUQ70" s="2936"/>
      <c r="CUR70" s="2936"/>
      <c r="CUS70" s="2936"/>
      <c r="CUT70" s="2936"/>
      <c r="CUU70" s="2936"/>
      <c r="CUV70" s="2936"/>
      <c r="CUW70" s="2936"/>
      <c r="CUX70" s="2936"/>
      <c r="CUY70" s="2936"/>
      <c r="CUZ70" s="2936"/>
      <c r="CVA70" s="2936"/>
      <c r="CVB70" s="2936"/>
      <c r="CVC70" s="2936"/>
      <c r="CVD70" s="2936"/>
      <c r="CVE70" s="2936"/>
      <c r="CVF70" s="2936"/>
      <c r="CVG70" s="2936"/>
      <c r="CVH70" s="2936"/>
      <c r="CVI70" s="2936"/>
      <c r="CVJ70" s="2936"/>
      <c r="CVK70" s="2936"/>
      <c r="CVL70" s="2936"/>
      <c r="CVM70" s="2936"/>
      <c r="CVN70" s="2936"/>
      <c r="CVO70" s="2936"/>
      <c r="CVP70" s="2936"/>
      <c r="CVQ70" s="2936"/>
      <c r="CVR70" s="2936"/>
      <c r="CVS70" s="2936"/>
      <c r="CVT70" s="2936"/>
      <c r="CVU70" s="2936"/>
      <c r="CVV70" s="2936"/>
      <c r="CVW70" s="2936"/>
      <c r="CVX70" s="2936"/>
      <c r="CVY70" s="2936"/>
      <c r="CVZ70" s="2936"/>
      <c r="CWA70" s="2936"/>
      <c r="CWB70" s="2936"/>
      <c r="CWC70" s="2936"/>
      <c r="CWD70" s="2936"/>
      <c r="CWE70" s="2936"/>
      <c r="CWF70" s="2936"/>
      <c r="CWG70" s="2936"/>
      <c r="CWH70" s="2936"/>
      <c r="CWI70" s="2936"/>
      <c r="CWJ70" s="2936"/>
      <c r="CWK70" s="2936"/>
      <c r="CWL70" s="2936"/>
      <c r="CWM70" s="2936"/>
      <c r="CWN70" s="2936"/>
      <c r="CWO70" s="2936"/>
      <c r="CWP70" s="2936"/>
      <c r="CWQ70" s="2936"/>
      <c r="CWR70" s="2936"/>
      <c r="CWS70" s="2936"/>
      <c r="CWT70" s="2936"/>
      <c r="CWU70" s="2936"/>
      <c r="CWV70" s="2936"/>
      <c r="CWW70" s="2936"/>
      <c r="CWX70" s="2936"/>
      <c r="CWY70" s="2936"/>
      <c r="CWZ70" s="2936"/>
      <c r="CXA70" s="2936"/>
      <c r="CXB70" s="2936"/>
      <c r="CXC70" s="2936"/>
      <c r="CXD70" s="2936"/>
      <c r="CXE70" s="2936"/>
      <c r="CXF70" s="2936"/>
      <c r="CXG70" s="2936"/>
      <c r="CXH70" s="2936"/>
      <c r="CXI70" s="2936"/>
      <c r="CXJ70" s="2936"/>
      <c r="CXK70" s="2936"/>
      <c r="CXL70" s="2936"/>
      <c r="CXM70" s="2936"/>
      <c r="CXN70" s="2936"/>
      <c r="CXO70" s="2936"/>
      <c r="CXP70" s="2936"/>
      <c r="CXQ70" s="2936"/>
      <c r="CXR70" s="2936"/>
      <c r="CXS70" s="2936"/>
      <c r="CXT70" s="2936"/>
      <c r="CXU70" s="2936"/>
      <c r="CXV70" s="2936"/>
      <c r="CXW70" s="2936"/>
      <c r="CXX70" s="2936"/>
      <c r="CXY70" s="2936"/>
      <c r="CXZ70" s="2936"/>
      <c r="CYA70" s="2936"/>
      <c r="CYB70" s="2936"/>
      <c r="CYC70" s="2936"/>
      <c r="CYD70" s="2936"/>
      <c r="CYE70" s="2936"/>
      <c r="CYF70" s="2936"/>
      <c r="CYG70" s="2936"/>
      <c r="CYH70" s="2936"/>
      <c r="CYI70" s="2936"/>
      <c r="CYJ70" s="2936"/>
      <c r="CYK70" s="2936"/>
      <c r="CYL70" s="2936"/>
      <c r="CYM70" s="2936"/>
      <c r="CYN70" s="2936"/>
      <c r="CYO70" s="2936"/>
      <c r="CYP70" s="2936"/>
      <c r="CYQ70" s="2936"/>
      <c r="CYR70" s="2936"/>
      <c r="CYS70" s="2936"/>
      <c r="CYT70" s="2936"/>
      <c r="CYU70" s="2936"/>
      <c r="CYV70" s="2936"/>
      <c r="CYW70" s="2936"/>
      <c r="CYX70" s="2936"/>
      <c r="CYY70" s="2936"/>
      <c r="CYZ70" s="2936"/>
      <c r="CZA70" s="2936"/>
      <c r="CZB70" s="2936"/>
      <c r="CZC70" s="2936"/>
      <c r="CZD70" s="2936"/>
      <c r="CZE70" s="2936"/>
      <c r="CZF70" s="2936"/>
      <c r="CZG70" s="2936"/>
      <c r="CZH70" s="2936"/>
      <c r="CZI70" s="2936"/>
      <c r="CZJ70" s="2936"/>
      <c r="CZK70" s="2936"/>
      <c r="CZL70" s="2936"/>
      <c r="CZM70" s="2936"/>
      <c r="CZN70" s="2936"/>
      <c r="CZO70" s="2936"/>
      <c r="CZP70" s="2936"/>
      <c r="CZQ70" s="2936"/>
      <c r="CZR70" s="2936"/>
      <c r="CZS70" s="2936"/>
      <c r="CZT70" s="2936"/>
      <c r="CZU70" s="2936"/>
      <c r="CZV70" s="2936"/>
      <c r="CZW70" s="2936"/>
      <c r="CZX70" s="2936"/>
      <c r="CZY70" s="2936"/>
      <c r="CZZ70" s="2936"/>
      <c r="DAA70" s="2936"/>
      <c r="DAB70" s="2936"/>
      <c r="DAC70" s="2936"/>
      <c r="DAD70" s="2936"/>
      <c r="DAE70" s="2936"/>
      <c r="DAF70" s="2936"/>
      <c r="DAG70" s="2936"/>
      <c r="DAH70" s="2936"/>
      <c r="DAI70" s="2936"/>
      <c r="DAJ70" s="2936"/>
      <c r="DAK70" s="2936"/>
      <c r="DAL70" s="2936"/>
      <c r="DAM70" s="2936"/>
      <c r="DAN70" s="2936"/>
      <c r="DAO70" s="2936"/>
      <c r="DAP70" s="2936"/>
      <c r="DAQ70" s="2936"/>
      <c r="DAR70" s="2936"/>
      <c r="DAS70" s="2936"/>
      <c r="DAT70" s="2936"/>
      <c r="DAU70" s="2936"/>
      <c r="DAV70" s="2936"/>
      <c r="DAW70" s="2936"/>
      <c r="DAX70" s="2936"/>
      <c r="DAY70" s="2936"/>
      <c r="DAZ70" s="2936"/>
      <c r="DBA70" s="2936"/>
      <c r="DBB70" s="2936"/>
      <c r="DBC70" s="2936"/>
      <c r="DBD70" s="2936"/>
      <c r="DBE70" s="2936"/>
      <c r="DBF70" s="2936"/>
      <c r="DBG70" s="2936"/>
      <c r="DBH70" s="2936"/>
      <c r="DBI70" s="2936"/>
      <c r="DBJ70" s="2936"/>
      <c r="DBK70" s="2936"/>
      <c r="DBL70" s="2936"/>
      <c r="DBM70" s="2936"/>
      <c r="DBN70" s="2936"/>
      <c r="DBO70" s="2936"/>
      <c r="DBP70" s="2936"/>
      <c r="DBQ70" s="2936"/>
      <c r="DBR70" s="2936"/>
      <c r="DBS70" s="2936"/>
      <c r="DBT70" s="2936"/>
      <c r="DBU70" s="2936"/>
      <c r="DBV70" s="2936"/>
      <c r="DBW70" s="2936"/>
      <c r="DBX70" s="2936"/>
      <c r="DBY70" s="2936"/>
      <c r="DBZ70" s="2936"/>
      <c r="DCA70" s="2936"/>
      <c r="DCB70" s="2936"/>
      <c r="DCC70" s="2936"/>
      <c r="DCD70" s="2936"/>
      <c r="DCE70" s="2936"/>
      <c r="DCF70" s="2936"/>
      <c r="DCG70" s="2936"/>
      <c r="DCH70" s="2936"/>
      <c r="DCI70" s="2936"/>
      <c r="DCJ70" s="2936"/>
      <c r="DCK70" s="2936"/>
      <c r="DCL70" s="2936"/>
      <c r="DCM70" s="2936"/>
      <c r="DCN70" s="2936"/>
      <c r="DCO70" s="2936"/>
      <c r="DCP70" s="2936"/>
      <c r="DCQ70" s="2936"/>
      <c r="DCR70" s="2936"/>
      <c r="DCS70" s="2936"/>
      <c r="DCT70" s="2936"/>
      <c r="DCU70" s="2936"/>
      <c r="DCV70" s="2936"/>
      <c r="DCW70" s="2936"/>
      <c r="DCX70" s="2936"/>
      <c r="DCY70" s="2936"/>
      <c r="DCZ70" s="2936"/>
      <c r="DDA70" s="2936"/>
      <c r="DDB70" s="2936"/>
      <c r="DDC70" s="2936"/>
      <c r="DDD70" s="2936"/>
      <c r="DDE70" s="2936"/>
      <c r="DDF70" s="2936"/>
      <c r="DDG70" s="2936"/>
      <c r="DDH70" s="2936"/>
      <c r="DDI70" s="2936"/>
      <c r="DDJ70" s="2936"/>
      <c r="DDK70" s="2936"/>
      <c r="DDL70" s="2936"/>
      <c r="DDM70" s="2936"/>
      <c r="DDN70" s="2936"/>
      <c r="DDO70" s="2936"/>
      <c r="DDP70" s="2936"/>
      <c r="DDQ70" s="2936"/>
      <c r="DDR70" s="2936"/>
      <c r="DDS70" s="2936"/>
      <c r="DDT70" s="2936"/>
      <c r="DDU70" s="2936"/>
      <c r="DDV70" s="2936"/>
      <c r="DDW70" s="2936"/>
      <c r="DDX70" s="2936"/>
      <c r="DDY70" s="2936"/>
      <c r="DDZ70" s="2936"/>
      <c r="DEA70" s="2936"/>
      <c r="DEB70" s="2936"/>
      <c r="DEC70" s="2936"/>
      <c r="DED70" s="2936"/>
      <c r="DEE70" s="2936"/>
      <c r="DEF70" s="2936"/>
      <c r="DEG70" s="2936"/>
      <c r="DEH70" s="2936"/>
      <c r="DEI70" s="2936"/>
      <c r="DEJ70" s="2936"/>
      <c r="DEK70" s="2936"/>
      <c r="DEL70" s="2936"/>
      <c r="DEM70" s="2936"/>
      <c r="DEN70" s="2936"/>
      <c r="DEO70" s="2936"/>
      <c r="DEP70" s="2936"/>
      <c r="DEQ70" s="2936"/>
      <c r="DER70" s="2936"/>
      <c r="DES70" s="2936"/>
      <c r="DET70" s="2936"/>
      <c r="DEU70" s="2936"/>
      <c r="DEV70" s="2936"/>
      <c r="DEW70" s="2936"/>
      <c r="DEX70" s="2936"/>
      <c r="DEY70" s="2936"/>
      <c r="DEZ70" s="2936"/>
      <c r="DFA70" s="2936"/>
      <c r="DFB70" s="2936"/>
      <c r="DFC70" s="2936"/>
      <c r="DFD70" s="2936"/>
      <c r="DFE70" s="2936"/>
      <c r="DFF70" s="2936"/>
      <c r="DFG70" s="2936"/>
      <c r="DFH70" s="2936"/>
      <c r="DFI70" s="2936"/>
      <c r="DFJ70" s="2936"/>
      <c r="DFK70" s="2936"/>
      <c r="DFL70" s="2936"/>
      <c r="DFM70" s="2936"/>
      <c r="DFN70" s="2936"/>
      <c r="DFO70" s="2936"/>
      <c r="DFP70" s="2936"/>
      <c r="DFQ70" s="2936"/>
      <c r="DFR70" s="2936"/>
      <c r="DFS70" s="2936"/>
      <c r="DFT70" s="2936"/>
      <c r="DFU70" s="2936"/>
      <c r="DFV70" s="2936"/>
      <c r="DFW70" s="2936"/>
      <c r="DFX70" s="2936"/>
      <c r="DFY70" s="2936"/>
      <c r="DFZ70" s="2936"/>
      <c r="DGA70" s="2936"/>
      <c r="DGB70" s="2936"/>
      <c r="DGC70" s="2936"/>
      <c r="DGD70" s="2936"/>
      <c r="DGE70" s="2936"/>
      <c r="DGF70" s="2936"/>
      <c r="DGG70" s="2936"/>
      <c r="DGH70" s="2936"/>
      <c r="DGI70" s="2936"/>
      <c r="DGJ70" s="2936"/>
      <c r="DGK70" s="2936"/>
      <c r="DGL70" s="2936"/>
      <c r="DGM70" s="2936"/>
      <c r="DGN70" s="2936"/>
      <c r="DGO70" s="2936"/>
      <c r="DGP70" s="2936"/>
      <c r="DGQ70" s="2936"/>
      <c r="DGR70" s="2936"/>
      <c r="DGS70" s="2936"/>
      <c r="DGT70" s="2936"/>
      <c r="DGU70" s="2936"/>
      <c r="DGV70" s="2936"/>
      <c r="DGW70" s="2936"/>
      <c r="DGX70" s="2936"/>
      <c r="DGY70" s="2936"/>
      <c r="DGZ70" s="2936"/>
      <c r="DHA70" s="2936"/>
      <c r="DHB70" s="2936"/>
      <c r="DHC70" s="2936"/>
      <c r="DHD70" s="2936"/>
      <c r="DHE70" s="2936"/>
      <c r="DHF70" s="2936"/>
      <c r="DHG70" s="2936"/>
      <c r="DHH70" s="2936"/>
      <c r="DHI70" s="2936"/>
      <c r="DHJ70" s="2936"/>
      <c r="DHK70" s="2936"/>
      <c r="DHL70" s="2936"/>
      <c r="DHM70" s="2936"/>
      <c r="DHN70" s="2936"/>
      <c r="DHO70" s="2936"/>
      <c r="DHP70" s="2936"/>
      <c r="DHQ70" s="2936"/>
      <c r="DHR70" s="2936"/>
      <c r="DHS70" s="2936"/>
      <c r="DHT70" s="2936"/>
      <c r="DHU70" s="2936"/>
      <c r="DHV70" s="2936"/>
      <c r="DHW70" s="2936"/>
      <c r="DHX70" s="2936"/>
      <c r="DHY70" s="2936"/>
      <c r="DHZ70" s="2936"/>
      <c r="DIA70" s="2936"/>
      <c r="DIB70" s="2936"/>
      <c r="DIC70" s="2936"/>
      <c r="DID70" s="2936"/>
      <c r="DIE70" s="2936"/>
      <c r="DIF70" s="2936"/>
      <c r="DIG70" s="2936"/>
      <c r="DIH70" s="2936"/>
      <c r="DII70" s="2936"/>
      <c r="DIJ70" s="2936"/>
      <c r="DIK70" s="2936"/>
      <c r="DIL70" s="2936"/>
      <c r="DIM70" s="2936"/>
      <c r="DIN70" s="2936"/>
      <c r="DIO70" s="2936"/>
      <c r="DIP70" s="2936"/>
      <c r="DIQ70" s="2936"/>
      <c r="DIR70" s="2936"/>
      <c r="DIS70" s="2936"/>
      <c r="DIT70" s="2936"/>
      <c r="DIU70" s="2936"/>
      <c r="DIV70" s="2936"/>
      <c r="DIW70" s="2936"/>
      <c r="DIX70" s="2936"/>
      <c r="DIY70" s="2936"/>
      <c r="DIZ70" s="2936"/>
      <c r="DJA70" s="2936"/>
      <c r="DJB70" s="2936"/>
      <c r="DJC70" s="2936"/>
      <c r="DJD70" s="2936"/>
      <c r="DJE70" s="2936"/>
      <c r="DJF70" s="2936"/>
      <c r="DJG70" s="2936"/>
      <c r="DJH70" s="2936"/>
      <c r="DJI70" s="2936"/>
      <c r="DJJ70" s="2936"/>
      <c r="DJK70" s="2936"/>
      <c r="DJL70" s="2936"/>
      <c r="DJM70" s="2936"/>
      <c r="DJN70" s="2936"/>
      <c r="DJO70" s="2936"/>
      <c r="DJP70" s="2936"/>
      <c r="DJQ70" s="2936"/>
      <c r="DJR70" s="2936"/>
      <c r="DJS70" s="2936"/>
      <c r="DJT70" s="2936"/>
      <c r="DJU70" s="2936"/>
      <c r="DJV70" s="2936"/>
      <c r="DJW70" s="2936"/>
      <c r="DJX70" s="2936"/>
      <c r="DJY70" s="2936"/>
      <c r="DJZ70" s="2936"/>
      <c r="DKA70" s="2936"/>
      <c r="DKB70" s="2936"/>
      <c r="DKC70" s="2936"/>
      <c r="DKD70" s="2936"/>
      <c r="DKE70" s="2936"/>
      <c r="DKF70" s="2936"/>
      <c r="DKG70" s="2936"/>
      <c r="DKH70" s="2936"/>
      <c r="DKI70" s="2936"/>
      <c r="DKJ70" s="2936"/>
      <c r="DKK70" s="2936"/>
      <c r="DKL70" s="2936"/>
      <c r="DKM70" s="2936"/>
      <c r="DKN70" s="2936"/>
      <c r="DKO70" s="2936"/>
      <c r="DKP70" s="2936"/>
      <c r="DKQ70" s="2936"/>
      <c r="DKR70" s="2936"/>
      <c r="DKS70" s="2936"/>
      <c r="DKT70" s="2936"/>
      <c r="DKU70" s="2936"/>
      <c r="DKV70" s="2936"/>
      <c r="DKW70" s="2936"/>
      <c r="DKX70" s="2936"/>
      <c r="DKY70" s="2936"/>
      <c r="DKZ70" s="2936"/>
      <c r="DLA70" s="2936"/>
      <c r="DLB70" s="2936"/>
      <c r="DLC70" s="2936"/>
      <c r="DLD70" s="2936"/>
      <c r="DLE70" s="2936"/>
      <c r="DLF70" s="2936"/>
      <c r="DLG70" s="2936"/>
      <c r="DLH70" s="2936"/>
      <c r="DLI70" s="2936"/>
      <c r="DLJ70" s="2936"/>
      <c r="DLK70" s="2936"/>
      <c r="DLL70" s="2936"/>
      <c r="DLM70" s="2936"/>
      <c r="DLN70" s="2936"/>
      <c r="DLO70" s="2936"/>
      <c r="DLP70" s="2936"/>
      <c r="DLQ70" s="2936"/>
      <c r="DLR70" s="2936"/>
      <c r="DLS70" s="2936"/>
      <c r="DLT70" s="2936"/>
      <c r="DLU70" s="2936"/>
      <c r="DLV70" s="2936"/>
      <c r="DLW70" s="2936"/>
      <c r="DLX70" s="2936"/>
      <c r="DLY70" s="2936"/>
      <c r="DLZ70" s="2936"/>
      <c r="DMA70" s="2936"/>
      <c r="DMB70" s="2936"/>
      <c r="DMC70" s="2936"/>
      <c r="DMD70" s="2936"/>
      <c r="DME70" s="2936"/>
      <c r="DMF70" s="2936"/>
      <c r="DMG70" s="2936"/>
      <c r="DMH70" s="2936"/>
      <c r="DMI70" s="2936"/>
      <c r="DMJ70" s="2936"/>
      <c r="DMK70" s="2936"/>
      <c r="DML70" s="2936"/>
      <c r="DMM70" s="2936"/>
      <c r="DMN70" s="2936"/>
      <c r="DMO70" s="2936"/>
      <c r="DMP70" s="2936"/>
      <c r="DMQ70" s="2936"/>
      <c r="DMR70" s="2936"/>
      <c r="DMS70" s="2936"/>
      <c r="DMT70" s="2936"/>
      <c r="DMU70" s="2936"/>
      <c r="DMV70" s="2936"/>
      <c r="DMW70" s="2936"/>
      <c r="DMX70" s="2936"/>
      <c r="DMY70" s="2936"/>
      <c r="DMZ70" s="2936"/>
      <c r="DNA70" s="2936"/>
      <c r="DNB70" s="2936"/>
      <c r="DNC70" s="2936"/>
      <c r="DND70" s="2936"/>
      <c r="DNE70" s="2936"/>
      <c r="DNF70" s="2936"/>
      <c r="DNG70" s="2936"/>
      <c r="DNH70" s="2936"/>
      <c r="DNI70" s="2936"/>
      <c r="DNJ70" s="2936"/>
      <c r="DNK70" s="2936"/>
      <c r="DNL70" s="2936"/>
      <c r="DNM70" s="2936"/>
      <c r="DNN70" s="2936"/>
      <c r="DNO70" s="2936"/>
      <c r="DNP70" s="2936"/>
      <c r="DNQ70" s="2936"/>
      <c r="DNR70" s="2936"/>
      <c r="DNS70" s="2936"/>
      <c r="DNT70" s="2936"/>
      <c r="DNU70" s="2936"/>
      <c r="DNV70" s="2936"/>
      <c r="DNW70" s="2936"/>
      <c r="DNX70" s="2936"/>
      <c r="DNY70" s="2936"/>
      <c r="DNZ70" s="2936"/>
      <c r="DOA70" s="2936"/>
      <c r="DOB70" s="2936"/>
      <c r="DOC70" s="2936"/>
      <c r="DOD70" s="2936"/>
      <c r="DOE70" s="2936"/>
      <c r="DOF70" s="2936"/>
      <c r="DOG70" s="2936"/>
      <c r="DOH70" s="2936"/>
      <c r="DOI70" s="2936"/>
      <c r="DOJ70" s="2936"/>
      <c r="DOK70" s="2936"/>
      <c r="DOL70" s="2936"/>
      <c r="DOM70" s="2936"/>
      <c r="DON70" s="2936"/>
      <c r="DOO70" s="2936"/>
      <c r="DOP70" s="2936"/>
      <c r="DOQ70" s="2936"/>
      <c r="DOR70" s="2936"/>
      <c r="DOS70" s="2936"/>
      <c r="DOT70" s="2936"/>
      <c r="DOU70" s="2936"/>
      <c r="DOV70" s="2936"/>
      <c r="DOW70" s="2936"/>
      <c r="DOX70" s="2936"/>
      <c r="DOY70" s="2936"/>
      <c r="DOZ70" s="2936"/>
      <c r="DPA70" s="2936"/>
      <c r="DPB70" s="2936"/>
      <c r="DPC70" s="2936"/>
      <c r="DPD70" s="2936"/>
      <c r="DPE70" s="2936"/>
      <c r="DPF70" s="2936"/>
      <c r="DPG70" s="2936"/>
      <c r="DPH70" s="2936"/>
      <c r="DPI70" s="2936"/>
      <c r="DPJ70" s="2936"/>
      <c r="DPK70" s="2936"/>
      <c r="DPL70" s="2936"/>
      <c r="DPM70" s="2936"/>
      <c r="DPN70" s="2936"/>
      <c r="DPO70" s="2936"/>
      <c r="DPP70" s="2936"/>
      <c r="DPQ70" s="2936"/>
      <c r="DPR70" s="2936"/>
      <c r="DPS70" s="2936"/>
      <c r="DPT70" s="2936"/>
      <c r="DPU70" s="2936"/>
      <c r="DPV70" s="2936"/>
      <c r="DPW70" s="2936"/>
      <c r="DPX70" s="2936"/>
      <c r="DPY70" s="2936"/>
      <c r="DPZ70" s="2936"/>
      <c r="DQA70" s="2936"/>
      <c r="DQB70" s="2936"/>
      <c r="DQC70" s="2936"/>
      <c r="DQD70" s="2936"/>
      <c r="DQE70" s="2936"/>
      <c r="DQF70" s="2936"/>
      <c r="DQG70" s="2936"/>
      <c r="DQH70" s="2936"/>
      <c r="DQI70" s="2936"/>
      <c r="DQJ70" s="2936"/>
      <c r="DQK70" s="2936"/>
      <c r="DQL70" s="2936"/>
      <c r="DQM70" s="2936"/>
      <c r="DQN70" s="2936"/>
      <c r="DQO70" s="2936"/>
      <c r="DQP70" s="2936"/>
      <c r="DQQ70" s="2936"/>
      <c r="DQR70" s="2936"/>
      <c r="DQS70" s="2936"/>
      <c r="DQT70" s="2936"/>
      <c r="DQU70" s="2936"/>
      <c r="DQV70" s="2936"/>
      <c r="DQW70" s="2936"/>
      <c r="DQX70" s="2936"/>
      <c r="DQY70" s="2936"/>
      <c r="DQZ70" s="2936"/>
      <c r="DRA70" s="2936"/>
      <c r="DRB70" s="2936"/>
      <c r="DRC70" s="2936"/>
      <c r="DRD70" s="2936"/>
      <c r="DRE70" s="2936"/>
      <c r="DRF70" s="2936"/>
      <c r="DRG70" s="2936"/>
      <c r="DRH70" s="2936"/>
      <c r="DRI70" s="2936"/>
      <c r="DRJ70" s="2936"/>
      <c r="DRK70" s="2936"/>
      <c r="DRL70" s="2936"/>
      <c r="DRM70" s="2936"/>
      <c r="DRN70" s="2936"/>
      <c r="DRO70" s="2936"/>
      <c r="DRP70" s="2936"/>
      <c r="DRQ70" s="2936"/>
      <c r="DRR70" s="2936"/>
      <c r="DRS70" s="2936"/>
      <c r="DRT70" s="2936"/>
      <c r="DRU70" s="2936"/>
      <c r="DRV70" s="2936"/>
      <c r="DRW70" s="2936"/>
      <c r="DRX70" s="2936"/>
      <c r="DRY70" s="2936"/>
      <c r="DRZ70" s="2936"/>
      <c r="DSA70" s="2936"/>
      <c r="DSB70" s="2936"/>
      <c r="DSC70" s="2936"/>
      <c r="DSD70" s="2936"/>
      <c r="DSE70" s="2936"/>
      <c r="DSF70" s="2936"/>
      <c r="DSG70" s="2936"/>
      <c r="DSH70" s="2936"/>
      <c r="DSI70" s="2936"/>
      <c r="DSJ70" s="2936"/>
      <c r="DSK70" s="2936"/>
      <c r="DSL70" s="2936"/>
      <c r="DSM70" s="2936"/>
      <c r="DSN70" s="2936"/>
      <c r="DSO70" s="2936"/>
      <c r="DSP70" s="2936"/>
      <c r="DSQ70" s="2936"/>
      <c r="DSR70" s="2936"/>
      <c r="DSS70" s="2936"/>
      <c r="DST70" s="2936"/>
      <c r="DSU70" s="2936"/>
      <c r="DSV70" s="2936"/>
      <c r="DSW70" s="2936"/>
      <c r="DSX70" s="2936"/>
      <c r="DSY70" s="2936"/>
      <c r="DSZ70" s="2936"/>
      <c r="DTA70" s="2936"/>
      <c r="DTB70" s="2936"/>
      <c r="DTC70" s="2936"/>
      <c r="DTD70" s="2936"/>
      <c r="DTE70" s="2936"/>
      <c r="DTF70" s="2936"/>
      <c r="DTG70" s="2936"/>
      <c r="DTH70" s="2936"/>
      <c r="DTI70" s="2936"/>
      <c r="DTJ70" s="2936"/>
      <c r="DTK70" s="2936"/>
      <c r="DTL70" s="2936"/>
      <c r="DTM70" s="2936"/>
      <c r="DTN70" s="2936"/>
      <c r="DTO70" s="2936"/>
      <c r="DTP70" s="2936"/>
      <c r="DTQ70" s="2936"/>
      <c r="DTR70" s="2936"/>
      <c r="DTS70" s="2936"/>
      <c r="DTT70" s="2936"/>
      <c r="DTU70" s="2936"/>
      <c r="DTV70" s="2936"/>
      <c r="DTW70" s="2936"/>
      <c r="DTX70" s="2936"/>
      <c r="DTY70" s="2936"/>
      <c r="DTZ70" s="2936"/>
      <c r="DUA70" s="2936"/>
      <c r="DUB70" s="2936"/>
      <c r="DUC70" s="2936"/>
      <c r="DUD70" s="2936"/>
      <c r="DUE70" s="2936"/>
      <c r="DUF70" s="2936"/>
      <c r="DUG70" s="2936"/>
      <c r="DUH70" s="2936"/>
      <c r="DUI70" s="2936"/>
      <c r="DUJ70" s="2936"/>
      <c r="DUK70" s="2936"/>
      <c r="DUL70" s="2936"/>
      <c r="DUM70" s="2936"/>
      <c r="DUN70" s="2936"/>
      <c r="DUO70" s="2936"/>
      <c r="DUP70" s="2936"/>
      <c r="DUQ70" s="2936"/>
      <c r="DUR70" s="2936"/>
      <c r="DUS70" s="2936"/>
      <c r="DUT70" s="2936"/>
      <c r="DUU70" s="2936"/>
      <c r="DUV70" s="2936"/>
      <c r="DUW70" s="2936"/>
      <c r="DUX70" s="2936"/>
      <c r="DUY70" s="2936"/>
      <c r="DUZ70" s="2936"/>
      <c r="DVA70" s="2936"/>
      <c r="DVB70" s="2936"/>
      <c r="DVC70" s="2936"/>
      <c r="DVD70" s="2936"/>
      <c r="DVE70" s="2936"/>
      <c r="DVF70" s="2936"/>
      <c r="DVG70" s="2936"/>
      <c r="DVH70" s="2936"/>
      <c r="DVI70" s="2936"/>
      <c r="DVJ70" s="2936"/>
      <c r="DVK70" s="2936"/>
      <c r="DVL70" s="2936"/>
      <c r="DVM70" s="2936"/>
      <c r="DVN70" s="2936"/>
      <c r="DVO70" s="2936"/>
      <c r="DVP70" s="2936"/>
      <c r="DVQ70" s="2936"/>
      <c r="DVR70" s="2936"/>
      <c r="DVS70" s="2936"/>
      <c r="DVT70" s="2936"/>
      <c r="DVU70" s="2936"/>
      <c r="DVV70" s="2936"/>
      <c r="DVW70" s="2936"/>
      <c r="DVX70" s="2936"/>
      <c r="DVY70" s="2936"/>
      <c r="DVZ70" s="2936"/>
      <c r="DWA70" s="2936"/>
      <c r="DWB70" s="2936"/>
      <c r="DWC70" s="2936"/>
      <c r="DWD70" s="2936"/>
      <c r="DWE70" s="2936"/>
      <c r="DWF70" s="2936"/>
      <c r="DWG70" s="2936"/>
      <c r="DWH70" s="2936"/>
      <c r="DWI70" s="2936"/>
      <c r="DWJ70" s="2936"/>
      <c r="DWK70" s="2936"/>
      <c r="DWL70" s="2936"/>
      <c r="DWM70" s="2936"/>
      <c r="DWN70" s="2936"/>
      <c r="DWO70" s="2936"/>
      <c r="DWP70" s="2936"/>
      <c r="DWQ70" s="2936"/>
      <c r="DWR70" s="2936"/>
      <c r="DWS70" s="2936"/>
      <c r="DWT70" s="2936"/>
      <c r="DWU70" s="2936"/>
      <c r="DWV70" s="2936"/>
      <c r="DWW70" s="2936"/>
      <c r="DWX70" s="2936"/>
      <c r="DWY70" s="2936"/>
      <c r="DWZ70" s="2936"/>
      <c r="DXA70" s="2936"/>
      <c r="DXB70" s="2936"/>
      <c r="DXC70" s="2936"/>
      <c r="DXD70" s="2936"/>
      <c r="DXE70" s="2936"/>
      <c r="DXF70" s="2936"/>
      <c r="DXG70" s="2936"/>
      <c r="DXH70" s="2936"/>
      <c r="DXI70" s="2936"/>
      <c r="DXJ70" s="2936"/>
      <c r="DXK70" s="2936"/>
      <c r="DXL70" s="2936"/>
      <c r="DXM70" s="2936"/>
      <c r="DXN70" s="2936"/>
      <c r="DXO70" s="2936"/>
      <c r="DXP70" s="2936"/>
      <c r="DXQ70" s="2936"/>
      <c r="DXR70" s="2936"/>
      <c r="DXS70" s="2936"/>
      <c r="DXT70" s="2936"/>
      <c r="DXU70" s="2936"/>
      <c r="DXV70" s="2936"/>
      <c r="DXW70" s="2936"/>
      <c r="DXX70" s="2936"/>
      <c r="DXY70" s="2936"/>
      <c r="DXZ70" s="2936"/>
      <c r="DYA70" s="2936"/>
      <c r="DYB70" s="2936"/>
      <c r="DYC70" s="2936"/>
      <c r="DYD70" s="2936"/>
      <c r="DYE70" s="2936"/>
      <c r="DYF70" s="2936"/>
      <c r="DYG70" s="2936"/>
      <c r="DYH70" s="2936"/>
      <c r="DYI70" s="2936"/>
      <c r="DYJ70" s="2936"/>
      <c r="DYK70" s="2936"/>
      <c r="DYL70" s="2936"/>
      <c r="DYM70" s="2936"/>
      <c r="DYN70" s="2936"/>
      <c r="DYO70" s="2936"/>
      <c r="DYP70" s="2936"/>
      <c r="DYQ70" s="2936"/>
      <c r="DYR70" s="2936"/>
      <c r="DYS70" s="2936"/>
      <c r="DYT70" s="2936"/>
      <c r="DYU70" s="2936"/>
      <c r="DYV70" s="2936"/>
      <c r="DYW70" s="2936"/>
      <c r="DYX70" s="2936"/>
      <c r="DYY70" s="2936"/>
      <c r="DYZ70" s="2936"/>
      <c r="DZA70" s="2936"/>
      <c r="DZB70" s="2936"/>
      <c r="DZC70" s="2936"/>
      <c r="DZD70" s="2936"/>
      <c r="DZE70" s="2936"/>
      <c r="DZF70" s="2936"/>
      <c r="DZG70" s="2936"/>
      <c r="DZH70" s="2936"/>
      <c r="DZI70" s="2936"/>
      <c r="DZJ70" s="2936"/>
      <c r="DZK70" s="2936"/>
      <c r="DZL70" s="2936"/>
      <c r="DZM70" s="2936"/>
      <c r="DZN70" s="2936"/>
      <c r="DZO70" s="2936"/>
      <c r="DZP70" s="2936"/>
      <c r="DZQ70" s="2936"/>
      <c r="DZR70" s="2936"/>
      <c r="DZS70" s="2936"/>
      <c r="DZT70" s="2936"/>
      <c r="DZU70" s="2936"/>
      <c r="DZV70" s="2936"/>
      <c r="DZW70" s="2936"/>
      <c r="DZX70" s="2936"/>
      <c r="DZY70" s="2936"/>
      <c r="DZZ70" s="2936"/>
      <c r="EAA70" s="2936"/>
      <c r="EAB70" s="2936"/>
      <c r="EAC70" s="2936"/>
      <c r="EAD70" s="2936"/>
      <c r="EAE70" s="2936"/>
      <c r="EAF70" s="2936"/>
      <c r="EAG70" s="2936"/>
      <c r="EAH70" s="2936"/>
      <c r="EAI70" s="2936"/>
      <c r="EAJ70" s="2936"/>
      <c r="EAK70" s="2936"/>
      <c r="EAL70" s="2936"/>
      <c r="EAM70" s="2936"/>
      <c r="EAN70" s="2936"/>
      <c r="EAO70" s="2936"/>
      <c r="EAP70" s="2936"/>
      <c r="EAQ70" s="2936"/>
      <c r="EAR70" s="2936"/>
      <c r="EAS70" s="2936"/>
      <c r="EAT70" s="2936"/>
      <c r="EAU70" s="2936"/>
      <c r="EAV70" s="2936"/>
      <c r="EAW70" s="2936"/>
      <c r="EAX70" s="2936"/>
      <c r="EAY70" s="2936"/>
      <c r="EAZ70" s="2936"/>
      <c r="EBA70" s="2936"/>
      <c r="EBB70" s="2936"/>
      <c r="EBC70" s="2936"/>
      <c r="EBD70" s="2936"/>
      <c r="EBE70" s="2936"/>
      <c r="EBF70" s="2936"/>
      <c r="EBG70" s="2936"/>
      <c r="EBH70" s="2936"/>
      <c r="EBI70" s="2936"/>
      <c r="EBJ70" s="2936"/>
      <c r="EBK70" s="2936"/>
      <c r="EBL70" s="2936"/>
      <c r="EBM70" s="2936"/>
      <c r="EBN70" s="2936"/>
      <c r="EBO70" s="2936"/>
      <c r="EBP70" s="2936"/>
      <c r="EBQ70" s="2936"/>
      <c r="EBR70" s="2936"/>
      <c r="EBS70" s="2936"/>
      <c r="EBT70" s="2936"/>
      <c r="EBU70" s="2936"/>
      <c r="EBV70" s="2936"/>
      <c r="EBW70" s="2936"/>
      <c r="EBX70" s="2936"/>
      <c r="EBY70" s="2936"/>
      <c r="EBZ70" s="2936"/>
      <c r="ECA70" s="2936"/>
      <c r="ECB70" s="2936"/>
      <c r="ECC70" s="2936"/>
      <c r="ECD70" s="2936"/>
      <c r="ECE70" s="2936"/>
      <c r="ECF70" s="2936"/>
      <c r="ECG70" s="2936"/>
      <c r="ECH70" s="2936"/>
      <c r="ECI70" s="2936"/>
      <c r="ECJ70" s="2936"/>
      <c r="ECK70" s="2936"/>
      <c r="ECL70" s="2936"/>
      <c r="ECM70" s="2936"/>
      <c r="ECN70" s="2936"/>
      <c r="ECO70" s="2936"/>
      <c r="ECP70" s="2936"/>
      <c r="ECQ70" s="2936"/>
      <c r="ECR70" s="2936"/>
      <c r="ECS70" s="2936"/>
      <c r="ECT70" s="2936"/>
      <c r="ECU70" s="2936"/>
      <c r="ECV70" s="2936"/>
      <c r="ECW70" s="2936"/>
      <c r="ECX70" s="2936"/>
      <c r="ECY70" s="2936"/>
      <c r="ECZ70" s="2936"/>
      <c r="EDA70" s="2936"/>
      <c r="EDB70" s="2936"/>
      <c r="EDC70" s="2936"/>
      <c r="EDD70" s="2936"/>
      <c r="EDE70" s="2936"/>
      <c r="EDF70" s="2936"/>
      <c r="EDG70" s="2936"/>
      <c r="EDH70" s="2936"/>
      <c r="EDI70" s="2936"/>
      <c r="EDJ70" s="2936"/>
      <c r="EDK70" s="2936"/>
      <c r="EDL70" s="2936"/>
      <c r="EDM70" s="2936"/>
      <c r="EDN70" s="2936"/>
      <c r="EDO70" s="2936"/>
      <c r="EDP70" s="2936"/>
      <c r="EDQ70" s="2936"/>
      <c r="EDR70" s="2936"/>
      <c r="EDS70" s="2936"/>
      <c r="EDT70" s="2936"/>
      <c r="EDU70" s="2936"/>
      <c r="EDV70" s="2936"/>
      <c r="EDW70" s="2936"/>
      <c r="EDX70" s="2936"/>
      <c r="EDY70" s="2936"/>
      <c r="EDZ70" s="2936"/>
      <c r="EEA70" s="2936"/>
      <c r="EEB70" s="2936"/>
      <c r="EEC70" s="2936"/>
      <c r="EED70" s="2936"/>
      <c r="EEE70" s="2936"/>
      <c r="EEF70" s="2936"/>
      <c r="EEG70" s="2936"/>
      <c r="EEH70" s="2936"/>
      <c r="EEI70" s="2936"/>
      <c r="EEJ70" s="2936"/>
      <c r="EEK70" s="2936"/>
      <c r="EEL70" s="2936"/>
      <c r="EEM70" s="2936"/>
      <c r="EEN70" s="2936"/>
      <c r="EEO70" s="2936"/>
      <c r="EEP70" s="2936"/>
      <c r="EEQ70" s="2936"/>
      <c r="EER70" s="2936"/>
      <c r="EES70" s="2936"/>
      <c r="EET70" s="2936"/>
      <c r="EEU70" s="2936"/>
      <c r="EEV70" s="2936"/>
      <c r="EEW70" s="2936"/>
      <c r="EEX70" s="2936"/>
      <c r="EEY70" s="2936"/>
      <c r="EEZ70" s="2936"/>
      <c r="EFA70" s="2936"/>
      <c r="EFB70" s="2936"/>
      <c r="EFC70" s="2936"/>
      <c r="EFD70" s="2936"/>
      <c r="EFE70" s="2936"/>
      <c r="EFF70" s="2936"/>
      <c r="EFG70" s="2936"/>
      <c r="EFH70" s="2936"/>
      <c r="EFI70" s="2936"/>
      <c r="EFJ70" s="2936"/>
      <c r="EFK70" s="2936"/>
      <c r="EFL70" s="2936"/>
      <c r="EFM70" s="2936"/>
      <c r="EFN70" s="2936"/>
      <c r="EFO70" s="2936"/>
      <c r="EFP70" s="2936"/>
      <c r="EFQ70" s="2936"/>
      <c r="EFR70" s="2936"/>
      <c r="EFS70" s="2936"/>
      <c r="EFT70" s="2936"/>
      <c r="EFU70" s="2936"/>
      <c r="EFV70" s="2936"/>
      <c r="EFW70" s="2936"/>
      <c r="EFX70" s="2936"/>
      <c r="EFY70" s="2936"/>
      <c r="EFZ70" s="2936"/>
      <c r="EGA70" s="2936"/>
      <c r="EGB70" s="2936"/>
      <c r="EGC70" s="2936"/>
      <c r="EGD70" s="2936"/>
      <c r="EGE70" s="2936"/>
      <c r="EGF70" s="2936"/>
      <c r="EGG70" s="2936"/>
      <c r="EGH70" s="2936"/>
      <c r="EGI70" s="2936"/>
      <c r="EGJ70" s="2936"/>
      <c r="EGK70" s="2936"/>
      <c r="EGL70" s="2936"/>
      <c r="EGM70" s="2936"/>
      <c r="EGN70" s="2936"/>
      <c r="EGO70" s="2936"/>
      <c r="EGP70" s="2936"/>
      <c r="EGQ70" s="2936"/>
      <c r="EGR70" s="2936"/>
      <c r="EGS70" s="2936"/>
      <c r="EGT70" s="2936"/>
      <c r="EGU70" s="2936"/>
      <c r="EGV70" s="2936"/>
      <c r="EGW70" s="2936"/>
      <c r="EGX70" s="2936"/>
      <c r="EGY70" s="2936"/>
      <c r="EGZ70" s="2936"/>
      <c r="EHA70" s="2936"/>
      <c r="EHB70" s="2936"/>
      <c r="EHC70" s="2936"/>
      <c r="EHD70" s="2936"/>
      <c r="EHE70" s="2936"/>
      <c r="EHF70" s="2936"/>
      <c r="EHG70" s="2936"/>
      <c r="EHH70" s="2936"/>
      <c r="EHI70" s="2936"/>
      <c r="EHJ70" s="2936"/>
      <c r="EHK70" s="2936"/>
      <c r="EHL70" s="2936"/>
      <c r="EHM70" s="2936"/>
      <c r="EHN70" s="2936"/>
      <c r="EHO70" s="2936"/>
      <c r="EHP70" s="2936"/>
      <c r="EHQ70" s="2936"/>
      <c r="EHR70" s="2936"/>
      <c r="EHS70" s="2936"/>
      <c r="EHT70" s="2936"/>
      <c r="EHU70" s="2936"/>
      <c r="EHV70" s="2936"/>
      <c r="EHW70" s="2936"/>
      <c r="EHX70" s="2936"/>
      <c r="EHY70" s="2936"/>
      <c r="EHZ70" s="2936"/>
      <c r="EIA70" s="2936"/>
      <c r="EIB70" s="2936"/>
      <c r="EIC70" s="2936"/>
      <c r="EID70" s="2936"/>
      <c r="EIE70" s="2936"/>
      <c r="EIF70" s="2936"/>
      <c r="EIG70" s="2936"/>
      <c r="EIH70" s="2936"/>
      <c r="EII70" s="2936"/>
      <c r="EIJ70" s="2936"/>
      <c r="EIK70" s="2936"/>
      <c r="EIL70" s="2936"/>
      <c r="EIM70" s="2936"/>
      <c r="EIN70" s="2936"/>
      <c r="EIO70" s="2936"/>
      <c r="EIP70" s="2936"/>
      <c r="EIQ70" s="2936"/>
      <c r="EIR70" s="2936"/>
      <c r="EIS70" s="2936"/>
      <c r="EIT70" s="2936"/>
      <c r="EIU70" s="2936"/>
      <c r="EIV70" s="2936"/>
      <c r="EIW70" s="2936"/>
      <c r="EIX70" s="2936"/>
      <c r="EIY70" s="2936"/>
      <c r="EIZ70" s="2936"/>
      <c r="EJA70" s="2936"/>
      <c r="EJB70" s="2936"/>
      <c r="EJC70" s="2936"/>
      <c r="EJD70" s="2936"/>
      <c r="EJE70" s="2936"/>
      <c r="EJF70" s="2936"/>
      <c r="EJG70" s="2936"/>
      <c r="EJH70" s="2936"/>
      <c r="EJI70" s="2936"/>
      <c r="EJJ70" s="2936"/>
      <c r="EJK70" s="2936"/>
      <c r="EJL70" s="2936"/>
      <c r="EJM70" s="2936"/>
      <c r="EJN70" s="2936"/>
      <c r="EJO70" s="2936"/>
      <c r="EJP70" s="2936"/>
      <c r="EJQ70" s="2936"/>
      <c r="EJR70" s="2936"/>
      <c r="EJS70" s="2936"/>
      <c r="EJT70" s="2936"/>
      <c r="EJU70" s="2936"/>
      <c r="EJV70" s="2936"/>
      <c r="EJW70" s="2936"/>
      <c r="EJX70" s="2936"/>
      <c r="EJY70" s="2936"/>
      <c r="EJZ70" s="2936"/>
      <c r="EKA70" s="2936"/>
      <c r="EKB70" s="2936"/>
      <c r="EKC70" s="2936"/>
      <c r="EKD70" s="2936"/>
      <c r="EKE70" s="2936"/>
      <c r="EKF70" s="2936"/>
      <c r="EKG70" s="2936"/>
      <c r="EKH70" s="2936"/>
      <c r="EKI70" s="2936"/>
      <c r="EKJ70" s="2936"/>
      <c r="EKK70" s="2936"/>
      <c r="EKL70" s="2936"/>
      <c r="EKM70" s="2936"/>
      <c r="EKN70" s="2936"/>
      <c r="EKO70" s="2936"/>
      <c r="EKP70" s="2936"/>
      <c r="EKQ70" s="2936"/>
      <c r="EKR70" s="2936"/>
      <c r="EKS70" s="2936"/>
      <c r="EKT70" s="2936"/>
      <c r="EKU70" s="2936"/>
      <c r="EKV70" s="2936"/>
      <c r="EKW70" s="2936"/>
      <c r="EKX70" s="2936"/>
      <c r="EKY70" s="2936"/>
      <c r="EKZ70" s="2936"/>
      <c r="ELA70" s="2936"/>
      <c r="ELB70" s="2936"/>
      <c r="ELC70" s="2936"/>
      <c r="ELD70" s="2936"/>
      <c r="ELE70" s="2936"/>
      <c r="ELF70" s="2936"/>
      <c r="ELG70" s="2936"/>
      <c r="ELH70" s="2936"/>
      <c r="ELI70" s="2936"/>
      <c r="ELJ70" s="2936"/>
      <c r="ELK70" s="2936"/>
      <c r="ELL70" s="2936"/>
      <c r="ELM70" s="2936"/>
      <c r="ELN70" s="2936"/>
      <c r="ELO70" s="2936"/>
      <c r="ELP70" s="2936"/>
      <c r="ELQ70" s="2936"/>
      <c r="ELR70" s="2936"/>
      <c r="ELS70" s="2936"/>
      <c r="ELT70" s="2936"/>
      <c r="ELU70" s="2936"/>
      <c r="ELV70" s="2936"/>
      <c r="ELW70" s="2936"/>
      <c r="ELX70" s="2936"/>
      <c r="ELY70" s="2936"/>
      <c r="ELZ70" s="2936"/>
      <c r="EMA70" s="2936"/>
      <c r="EMB70" s="2936"/>
      <c r="EMC70" s="2936"/>
      <c r="EMD70" s="2936"/>
      <c r="EME70" s="2936"/>
      <c r="EMF70" s="2936"/>
      <c r="EMG70" s="2936"/>
      <c r="EMH70" s="2936"/>
      <c r="EMI70" s="2936"/>
      <c r="EMJ70" s="2936"/>
      <c r="EMK70" s="2936"/>
      <c r="EML70" s="2936"/>
      <c r="EMM70" s="2936"/>
      <c r="EMN70" s="2936"/>
      <c r="EMO70" s="2936"/>
      <c r="EMP70" s="2936"/>
      <c r="EMQ70" s="2936"/>
      <c r="EMR70" s="2936"/>
      <c r="EMS70" s="2936"/>
      <c r="EMT70" s="2936"/>
      <c r="EMU70" s="2936"/>
      <c r="EMV70" s="2936"/>
      <c r="EMW70" s="2936"/>
      <c r="EMX70" s="2936"/>
      <c r="EMY70" s="2936"/>
      <c r="EMZ70" s="2936"/>
      <c r="ENA70" s="2936"/>
      <c r="ENB70" s="2936"/>
      <c r="ENC70" s="2936"/>
      <c r="END70" s="2936"/>
      <c r="ENE70" s="2936"/>
      <c r="ENF70" s="2936"/>
      <c r="ENG70" s="2936"/>
      <c r="ENH70" s="2936"/>
      <c r="ENI70" s="2936"/>
      <c r="ENJ70" s="2936"/>
      <c r="ENK70" s="2936"/>
      <c r="ENL70" s="2936"/>
      <c r="ENM70" s="2936"/>
      <c r="ENN70" s="2936"/>
      <c r="ENO70" s="2936"/>
      <c r="ENP70" s="2936"/>
      <c r="ENQ70" s="2936"/>
      <c r="ENR70" s="2936"/>
      <c r="ENS70" s="2936"/>
      <c r="ENT70" s="2936"/>
      <c r="ENU70" s="2936"/>
      <c r="ENV70" s="2936"/>
      <c r="ENW70" s="2936"/>
      <c r="ENX70" s="2936"/>
      <c r="ENY70" s="2936"/>
      <c r="ENZ70" s="2936"/>
      <c r="EOA70" s="2936"/>
      <c r="EOB70" s="2936"/>
      <c r="EOC70" s="2936"/>
      <c r="EOD70" s="2936"/>
      <c r="EOE70" s="2936"/>
      <c r="EOF70" s="2936"/>
      <c r="EOG70" s="2936"/>
      <c r="EOH70" s="2936"/>
      <c r="EOI70" s="2936"/>
      <c r="EOJ70" s="2936"/>
      <c r="EOK70" s="2936"/>
      <c r="EOL70" s="2936"/>
      <c r="EOM70" s="2936"/>
      <c r="EON70" s="2936"/>
      <c r="EOO70" s="2936"/>
      <c r="EOP70" s="2936"/>
      <c r="EOQ70" s="2936"/>
      <c r="EOR70" s="2936"/>
      <c r="EOS70" s="2936"/>
      <c r="EOT70" s="2936"/>
      <c r="EOU70" s="2936"/>
      <c r="EOV70" s="2936"/>
      <c r="EOW70" s="2936"/>
      <c r="EOX70" s="2936"/>
      <c r="EOY70" s="2936"/>
      <c r="EOZ70" s="2936"/>
      <c r="EPA70" s="2936"/>
      <c r="EPB70" s="2936"/>
      <c r="EPC70" s="2936"/>
      <c r="EPD70" s="2936"/>
      <c r="EPE70" s="2936"/>
      <c r="EPF70" s="2936"/>
      <c r="EPG70" s="2936"/>
      <c r="EPH70" s="2936"/>
      <c r="EPI70" s="2936"/>
      <c r="EPJ70" s="2936"/>
      <c r="EPK70" s="2936"/>
      <c r="EPL70" s="2936"/>
      <c r="EPM70" s="2936"/>
      <c r="EPN70" s="2936"/>
      <c r="EPO70" s="2936"/>
      <c r="EPP70" s="2936"/>
      <c r="EPQ70" s="2936"/>
      <c r="EPR70" s="2936"/>
      <c r="EPS70" s="2936"/>
      <c r="EPT70" s="2936"/>
      <c r="EPU70" s="2936"/>
      <c r="EPV70" s="2936"/>
      <c r="EPW70" s="2936"/>
      <c r="EPX70" s="2936"/>
      <c r="EPY70" s="2936"/>
      <c r="EPZ70" s="2936"/>
      <c r="EQA70" s="2936"/>
      <c r="EQB70" s="2936"/>
      <c r="EQC70" s="2936"/>
      <c r="EQD70" s="2936"/>
      <c r="EQE70" s="2936"/>
      <c r="EQF70" s="2936"/>
      <c r="EQG70" s="2936"/>
      <c r="EQH70" s="2936"/>
      <c r="EQI70" s="2936"/>
      <c r="EQJ70" s="2936"/>
      <c r="EQK70" s="2936"/>
      <c r="EQL70" s="2936"/>
      <c r="EQM70" s="2936"/>
      <c r="EQN70" s="2936"/>
      <c r="EQO70" s="2936"/>
      <c r="EQP70" s="2936"/>
      <c r="EQQ70" s="2936"/>
      <c r="EQR70" s="2936"/>
      <c r="EQS70" s="2936"/>
      <c r="EQT70" s="2936"/>
      <c r="EQU70" s="2936"/>
      <c r="EQV70" s="2936"/>
      <c r="EQW70" s="2936"/>
      <c r="EQX70" s="2936"/>
      <c r="EQY70" s="2936"/>
      <c r="EQZ70" s="2936"/>
      <c r="ERA70" s="2936"/>
      <c r="ERB70" s="2936"/>
      <c r="ERC70" s="2936"/>
      <c r="ERD70" s="2936"/>
      <c r="ERE70" s="2936"/>
      <c r="ERF70" s="2936"/>
      <c r="ERG70" s="2936"/>
      <c r="ERH70" s="2936"/>
      <c r="ERI70" s="2936"/>
      <c r="ERJ70" s="2936"/>
      <c r="ERK70" s="2936"/>
      <c r="ERL70" s="2936"/>
      <c r="ERM70" s="2936"/>
      <c r="ERN70" s="2936"/>
      <c r="ERO70" s="2936"/>
      <c r="ERP70" s="2936"/>
      <c r="ERQ70" s="2936"/>
      <c r="ERR70" s="2936"/>
      <c r="ERS70" s="2936"/>
      <c r="ERT70" s="2936"/>
      <c r="ERU70" s="2936"/>
      <c r="ERV70" s="2936"/>
      <c r="ERW70" s="2936"/>
      <c r="ERX70" s="2936"/>
      <c r="ERY70" s="2936"/>
      <c r="ERZ70" s="2936"/>
      <c r="ESA70" s="2936"/>
      <c r="ESB70" s="2936"/>
      <c r="ESC70" s="2936"/>
      <c r="ESD70" s="2936"/>
      <c r="ESE70" s="2936"/>
      <c r="ESF70" s="2936"/>
      <c r="ESG70" s="2936"/>
      <c r="ESH70" s="2936"/>
      <c r="ESI70" s="2936"/>
      <c r="ESJ70" s="2936"/>
      <c r="ESK70" s="2936"/>
      <c r="ESL70" s="2936"/>
      <c r="ESM70" s="2936"/>
      <c r="ESN70" s="2936"/>
      <c r="ESO70" s="2936"/>
      <c r="ESP70" s="2936"/>
      <c r="ESQ70" s="2936"/>
      <c r="ESR70" s="2936"/>
      <c r="ESS70" s="2936"/>
      <c r="EST70" s="2936"/>
      <c r="ESU70" s="2936"/>
      <c r="ESV70" s="2936"/>
      <c r="ESW70" s="2936"/>
      <c r="ESX70" s="2936"/>
      <c r="ESY70" s="2936"/>
      <c r="ESZ70" s="2936"/>
      <c r="ETA70" s="2936"/>
      <c r="ETB70" s="2936"/>
      <c r="ETC70" s="2936"/>
      <c r="ETD70" s="2936"/>
      <c r="ETE70" s="2936"/>
      <c r="ETF70" s="2936"/>
      <c r="ETG70" s="2936"/>
      <c r="ETH70" s="2936"/>
      <c r="ETI70" s="2936"/>
      <c r="ETJ70" s="2936"/>
      <c r="ETK70" s="2936"/>
      <c r="ETL70" s="2936"/>
      <c r="ETM70" s="2936"/>
      <c r="ETN70" s="2936"/>
      <c r="ETO70" s="2936"/>
      <c r="ETP70" s="2936"/>
      <c r="ETQ70" s="2936"/>
      <c r="ETR70" s="2936"/>
      <c r="ETS70" s="2936"/>
      <c r="ETT70" s="2936"/>
      <c r="ETU70" s="2936"/>
      <c r="ETV70" s="2936"/>
      <c r="ETW70" s="2936"/>
      <c r="ETX70" s="2936"/>
      <c r="ETY70" s="2936"/>
      <c r="ETZ70" s="2936"/>
      <c r="EUA70" s="2936"/>
      <c r="EUB70" s="2936"/>
      <c r="EUC70" s="2936"/>
      <c r="EUD70" s="2936"/>
      <c r="EUE70" s="2936"/>
      <c r="EUF70" s="2936"/>
      <c r="EUG70" s="2936"/>
      <c r="EUH70" s="2936"/>
      <c r="EUI70" s="2936"/>
      <c r="EUJ70" s="2936"/>
      <c r="EUK70" s="2936"/>
      <c r="EUL70" s="2936"/>
      <c r="EUM70" s="2936"/>
      <c r="EUN70" s="2936"/>
      <c r="EUO70" s="2936"/>
      <c r="EUP70" s="2936"/>
      <c r="EUQ70" s="2936"/>
      <c r="EUR70" s="2936"/>
      <c r="EUS70" s="2936"/>
      <c r="EUT70" s="2936"/>
      <c r="EUU70" s="2936"/>
      <c r="EUV70" s="2936"/>
      <c r="EUW70" s="2936"/>
      <c r="EUX70" s="2936"/>
      <c r="EUY70" s="2936"/>
      <c r="EUZ70" s="2936"/>
      <c r="EVA70" s="2936"/>
      <c r="EVB70" s="2936"/>
      <c r="EVC70" s="2936"/>
      <c r="EVD70" s="2936"/>
      <c r="EVE70" s="2936"/>
      <c r="EVF70" s="2936"/>
      <c r="EVG70" s="2936"/>
      <c r="EVH70" s="2936"/>
      <c r="EVI70" s="2936"/>
      <c r="EVJ70" s="2936"/>
      <c r="EVK70" s="2936"/>
      <c r="EVL70" s="2936"/>
      <c r="EVM70" s="2936"/>
      <c r="EVN70" s="2936"/>
      <c r="EVO70" s="2936"/>
      <c r="EVP70" s="2936"/>
      <c r="EVQ70" s="2936"/>
      <c r="EVR70" s="2936"/>
      <c r="EVS70" s="2936"/>
      <c r="EVT70" s="2936"/>
      <c r="EVU70" s="2936"/>
      <c r="EVV70" s="2936"/>
      <c r="EVW70" s="2936"/>
      <c r="EVX70" s="2936"/>
      <c r="EVY70" s="2936"/>
      <c r="EVZ70" s="2936"/>
      <c r="EWA70" s="2936"/>
      <c r="EWB70" s="2936"/>
      <c r="EWC70" s="2936"/>
      <c r="EWD70" s="2936"/>
      <c r="EWE70" s="2936"/>
      <c r="EWF70" s="2936"/>
      <c r="EWG70" s="2936"/>
      <c r="EWH70" s="2936"/>
      <c r="EWI70" s="2936"/>
      <c r="EWJ70" s="2936"/>
      <c r="EWK70" s="2936"/>
      <c r="EWL70" s="2936"/>
      <c r="EWM70" s="2936"/>
      <c r="EWN70" s="2936"/>
      <c r="EWO70" s="2936"/>
      <c r="EWP70" s="2936"/>
      <c r="EWQ70" s="2936"/>
      <c r="EWR70" s="2936"/>
      <c r="EWS70" s="2936"/>
      <c r="EWT70" s="2936"/>
      <c r="EWU70" s="2936"/>
      <c r="EWV70" s="2936"/>
      <c r="EWW70" s="2936"/>
      <c r="EWX70" s="2936"/>
      <c r="EWY70" s="2936"/>
      <c r="EWZ70" s="2936"/>
      <c r="EXA70" s="2936"/>
      <c r="EXB70" s="2936"/>
      <c r="EXC70" s="2936"/>
      <c r="EXD70" s="2936"/>
      <c r="EXE70" s="2936"/>
      <c r="EXF70" s="2936"/>
      <c r="EXG70" s="2936"/>
      <c r="EXH70" s="2936"/>
      <c r="EXI70" s="2936"/>
      <c r="EXJ70" s="2936"/>
      <c r="EXK70" s="2936"/>
      <c r="EXL70" s="2936"/>
      <c r="EXM70" s="2936"/>
      <c r="EXN70" s="2936"/>
      <c r="EXO70" s="2936"/>
      <c r="EXP70" s="2936"/>
      <c r="EXQ70" s="2936"/>
      <c r="EXR70" s="2936"/>
      <c r="EXS70" s="2936"/>
      <c r="EXT70" s="2936"/>
      <c r="EXU70" s="2936"/>
      <c r="EXV70" s="2936"/>
      <c r="EXW70" s="2936"/>
      <c r="EXX70" s="2936"/>
      <c r="EXY70" s="2936"/>
      <c r="EXZ70" s="2936"/>
      <c r="EYA70" s="2936"/>
      <c r="EYB70" s="2936"/>
      <c r="EYC70" s="2936"/>
      <c r="EYD70" s="2936"/>
      <c r="EYE70" s="2936"/>
      <c r="EYF70" s="2936"/>
      <c r="EYG70" s="2936"/>
      <c r="EYH70" s="2936"/>
      <c r="EYI70" s="2936"/>
      <c r="EYJ70" s="2936"/>
      <c r="EYK70" s="2936"/>
      <c r="EYL70" s="2936"/>
      <c r="EYM70" s="2936"/>
      <c r="EYN70" s="2936"/>
      <c r="EYO70" s="2936"/>
      <c r="EYP70" s="2936"/>
      <c r="EYQ70" s="2936"/>
      <c r="EYR70" s="2936"/>
      <c r="EYS70" s="2936"/>
      <c r="EYT70" s="2936"/>
      <c r="EYU70" s="2936"/>
      <c r="EYV70" s="2936"/>
      <c r="EYW70" s="2936"/>
      <c r="EYX70" s="2936"/>
      <c r="EYY70" s="2936"/>
      <c r="EYZ70" s="2936"/>
      <c r="EZA70" s="2936"/>
      <c r="EZB70" s="2936"/>
      <c r="EZC70" s="2936"/>
      <c r="EZD70" s="2936"/>
      <c r="EZE70" s="2936"/>
      <c r="EZF70" s="2936"/>
      <c r="EZG70" s="2936"/>
      <c r="EZH70" s="2936"/>
      <c r="EZI70" s="2936"/>
      <c r="EZJ70" s="2936"/>
      <c r="EZK70" s="2936"/>
      <c r="EZL70" s="2936"/>
      <c r="EZM70" s="2936"/>
      <c r="EZN70" s="2936"/>
      <c r="EZO70" s="2936"/>
      <c r="EZP70" s="2936"/>
      <c r="EZQ70" s="2936"/>
      <c r="EZR70" s="2936"/>
      <c r="EZS70" s="2936"/>
      <c r="EZT70" s="2936"/>
      <c r="EZU70" s="2936"/>
      <c r="EZV70" s="2936"/>
      <c r="EZW70" s="2936"/>
      <c r="EZX70" s="2936"/>
      <c r="EZY70" s="2936"/>
      <c r="EZZ70" s="2936"/>
      <c r="FAA70" s="2936"/>
      <c r="FAB70" s="2936"/>
      <c r="FAC70" s="2936"/>
      <c r="FAD70" s="2936"/>
      <c r="FAE70" s="2936"/>
      <c r="FAF70" s="2936"/>
      <c r="FAG70" s="2936"/>
      <c r="FAH70" s="2936"/>
      <c r="FAI70" s="2936"/>
      <c r="FAJ70" s="2936"/>
      <c r="FAK70" s="2936"/>
      <c r="FAL70" s="2936"/>
      <c r="FAM70" s="2936"/>
      <c r="FAN70" s="2936"/>
      <c r="FAO70" s="2936"/>
      <c r="FAP70" s="2936"/>
      <c r="FAQ70" s="2936"/>
      <c r="FAR70" s="2936"/>
      <c r="FAS70" s="2936"/>
      <c r="FAT70" s="2936"/>
      <c r="FAU70" s="2936"/>
      <c r="FAV70" s="2936"/>
      <c r="FAW70" s="2936"/>
      <c r="FAX70" s="2936"/>
      <c r="FAY70" s="2936"/>
      <c r="FAZ70" s="2936"/>
      <c r="FBA70" s="2936"/>
      <c r="FBB70" s="2936"/>
      <c r="FBC70" s="2936"/>
      <c r="FBD70" s="2936"/>
      <c r="FBE70" s="2936"/>
      <c r="FBF70" s="2936"/>
      <c r="FBG70" s="2936"/>
      <c r="FBH70" s="2936"/>
      <c r="FBI70" s="2936"/>
      <c r="FBJ70" s="2936"/>
      <c r="FBK70" s="2936"/>
      <c r="FBL70" s="2936"/>
      <c r="FBM70" s="2936"/>
      <c r="FBN70" s="2936"/>
      <c r="FBO70" s="2936"/>
      <c r="FBP70" s="2936"/>
      <c r="FBQ70" s="2936"/>
      <c r="FBR70" s="2936"/>
      <c r="FBS70" s="2936"/>
      <c r="FBT70" s="2936"/>
      <c r="FBU70" s="2936"/>
      <c r="FBV70" s="2936"/>
      <c r="FBW70" s="2936"/>
      <c r="FBX70" s="2936"/>
      <c r="FBY70" s="2936"/>
      <c r="FBZ70" s="2936"/>
      <c r="FCA70" s="2936"/>
      <c r="FCB70" s="2936"/>
      <c r="FCC70" s="2936"/>
      <c r="FCD70" s="2936"/>
      <c r="FCE70" s="2936"/>
      <c r="FCF70" s="2936"/>
      <c r="FCG70" s="2936"/>
      <c r="FCH70" s="2936"/>
      <c r="FCI70" s="2936"/>
      <c r="FCJ70" s="2936"/>
      <c r="FCK70" s="2936"/>
      <c r="FCL70" s="2936"/>
      <c r="FCM70" s="2936"/>
      <c r="FCN70" s="2936"/>
      <c r="FCO70" s="2936"/>
      <c r="FCP70" s="2936"/>
      <c r="FCQ70" s="2936"/>
      <c r="FCR70" s="2936"/>
      <c r="FCS70" s="2936"/>
      <c r="FCT70" s="2936"/>
      <c r="FCU70" s="2936"/>
      <c r="FCV70" s="2936"/>
      <c r="FCW70" s="2936"/>
      <c r="FCX70" s="2936"/>
      <c r="FCY70" s="2936"/>
      <c r="FCZ70" s="2936"/>
      <c r="FDA70" s="2936"/>
      <c r="FDB70" s="2936"/>
      <c r="FDC70" s="2936"/>
      <c r="FDD70" s="2936"/>
      <c r="FDE70" s="2936"/>
      <c r="FDF70" s="2936"/>
      <c r="FDG70" s="2936"/>
      <c r="FDH70" s="2936"/>
      <c r="FDI70" s="2936"/>
      <c r="FDJ70" s="2936"/>
      <c r="FDK70" s="2936"/>
      <c r="FDL70" s="2936"/>
      <c r="FDM70" s="2936"/>
      <c r="FDN70" s="2936"/>
      <c r="FDO70" s="2936"/>
      <c r="FDP70" s="2936"/>
      <c r="FDQ70" s="2936"/>
      <c r="FDR70" s="2936"/>
      <c r="FDS70" s="2936"/>
      <c r="FDT70" s="2936"/>
      <c r="FDU70" s="2936"/>
      <c r="FDV70" s="2936"/>
      <c r="FDW70" s="2936"/>
      <c r="FDX70" s="2936"/>
      <c r="FDY70" s="2936"/>
      <c r="FDZ70" s="2936"/>
      <c r="FEA70" s="2936"/>
      <c r="FEB70" s="2936"/>
      <c r="FEC70" s="2936"/>
      <c r="FED70" s="2936"/>
      <c r="FEE70" s="2936"/>
      <c r="FEF70" s="2936"/>
      <c r="FEG70" s="2936"/>
      <c r="FEH70" s="2936"/>
      <c r="FEI70" s="2936"/>
      <c r="FEJ70" s="2936"/>
      <c r="FEK70" s="2936"/>
      <c r="FEL70" s="2936"/>
      <c r="FEM70" s="2936"/>
      <c r="FEN70" s="2936"/>
      <c r="FEO70" s="2936"/>
      <c r="FEP70" s="2936"/>
      <c r="FEQ70" s="2936"/>
      <c r="FER70" s="2936"/>
      <c r="FES70" s="2936"/>
      <c r="FET70" s="2936"/>
      <c r="FEU70" s="2936"/>
      <c r="FEV70" s="2936"/>
      <c r="FEW70" s="2936"/>
      <c r="FEX70" s="2936"/>
      <c r="FEY70" s="2936"/>
      <c r="FEZ70" s="2936"/>
      <c r="FFA70" s="2936"/>
      <c r="FFB70" s="2936"/>
      <c r="FFC70" s="2936"/>
      <c r="FFD70" s="2936"/>
      <c r="FFE70" s="2936"/>
      <c r="FFF70" s="2936"/>
      <c r="FFG70" s="2936"/>
      <c r="FFH70" s="2936"/>
      <c r="FFI70" s="2936"/>
      <c r="FFJ70" s="2936"/>
      <c r="FFK70" s="2936"/>
      <c r="FFL70" s="2936"/>
      <c r="FFM70" s="2936"/>
      <c r="FFN70" s="2936"/>
      <c r="FFO70" s="2936"/>
      <c r="FFP70" s="2936"/>
      <c r="FFQ70" s="2936"/>
      <c r="FFR70" s="2936"/>
      <c r="FFS70" s="2936"/>
      <c r="FFT70" s="2936"/>
      <c r="FFU70" s="2936"/>
      <c r="FFV70" s="2936"/>
      <c r="FFW70" s="2936"/>
      <c r="FFX70" s="2936"/>
      <c r="FFY70" s="2936"/>
      <c r="FFZ70" s="2936"/>
      <c r="FGA70" s="2936"/>
      <c r="FGB70" s="2936"/>
      <c r="FGC70" s="2936"/>
      <c r="FGD70" s="2936"/>
      <c r="FGE70" s="2936"/>
      <c r="FGF70" s="2936"/>
      <c r="FGG70" s="2936"/>
      <c r="FGH70" s="2936"/>
      <c r="FGI70" s="2936"/>
      <c r="FGJ70" s="2936"/>
      <c r="FGK70" s="2936"/>
      <c r="FGL70" s="2936"/>
      <c r="FGM70" s="2936"/>
      <c r="FGN70" s="2936"/>
      <c r="FGO70" s="2936"/>
      <c r="FGP70" s="2936"/>
      <c r="FGQ70" s="2936"/>
      <c r="FGR70" s="2936"/>
      <c r="FGS70" s="2936"/>
      <c r="FGT70" s="2936"/>
      <c r="FGU70" s="2936"/>
      <c r="FGV70" s="2936"/>
      <c r="FGW70" s="2936"/>
      <c r="FGX70" s="2936"/>
      <c r="FGY70" s="2936"/>
      <c r="FGZ70" s="2936"/>
      <c r="FHA70" s="2936"/>
      <c r="FHB70" s="2936"/>
      <c r="FHC70" s="2936"/>
      <c r="FHD70" s="2936"/>
      <c r="FHE70" s="2936"/>
      <c r="FHF70" s="2936"/>
      <c r="FHG70" s="2936"/>
      <c r="FHH70" s="2936"/>
      <c r="FHI70" s="2936"/>
      <c r="FHJ70" s="2936"/>
      <c r="FHK70" s="2936"/>
      <c r="FHL70" s="2936"/>
      <c r="FHM70" s="2936"/>
      <c r="FHN70" s="2936"/>
      <c r="FHO70" s="2936"/>
      <c r="FHP70" s="2936"/>
      <c r="FHQ70" s="2936"/>
      <c r="FHR70" s="2936"/>
      <c r="FHS70" s="2936"/>
      <c r="FHT70" s="2936"/>
      <c r="FHU70" s="2936"/>
      <c r="FHV70" s="2936"/>
      <c r="FHW70" s="2936"/>
      <c r="FHX70" s="2936"/>
      <c r="FHY70" s="2936"/>
      <c r="FHZ70" s="2936"/>
      <c r="FIA70" s="2936"/>
      <c r="FIB70" s="2936"/>
      <c r="FIC70" s="2936"/>
      <c r="FID70" s="2936"/>
      <c r="FIE70" s="2936"/>
      <c r="FIF70" s="2936"/>
      <c r="FIG70" s="2936"/>
      <c r="FIH70" s="2936"/>
      <c r="FII70" s="2936"/>
      <c r="FIJ70" s="2936"/>
      <c r="FIK70" s="2936"/>
      <c r="FIL70" s="2936"/>
      <c r="FIM70" s="2936"/>
      <c r="FIN70" s="2936"/>
      <c r="FIO70" s="2936"/>
      <c r="FIP70" s="2936"/>
      <c r="FIQ70" s="2936"/>
      <c r="FIR70" s="2936"/>
      <c r="FIS70" s="2936"/>
      <c r="FIT70" s="2936"/>
      <c r="FIU70" s="2936"/>
      <c r="FIV70" s="2936"/>
      <c r="FIW70" s="2936"/>
      <c r="FIX70" s="2936"/>
      <c r="FIY70" s="2936"/>
      <c r="FIZ70" s="2936"/>
      <c r="FJA70" s="2936"/>
      <c r="FJB70" s="2936"/>
      <c r="FJC70" s="2936"/>
      <c r="FJD70" s="2936"/>
      <c r="FJE70" s="2936"/>
      <c r="FJF70" s="2936"/>
      <c r="FJG70" s="2936"/>
      <c r="FJH70" s="2936"/>
      <c r="FJI70" s="2936"/>
      <c r="FJJ70" s="2936"/>
      <c r="FJK70" s="2936"/>
      <c r="FJL70" s="2936"/>
      <c r="FJM70" s="2936"/>
      <c r="FJN70" s="2936"/>
      <c r="FJO70" s="2936"/>
      <c r="FJP70" s="2936"/>
      <c r="FJQ70" s="2936"/>
      <c r="FJR70" s="2936"/>
      <c r="FJS70" s="2936"/>
      <c r="FJT70" s="2936"/>
      <c r="FJU70" s="2936"/>
      <c r="FJV70" s="2936"/>
      <c r="FJW70" s="2936"/>
      <c r="FJX70" s="2936"/>
      <c r="FJY70" s="2936"/>
      <c r="FJZ70" s="2936"/>
      <c r="FKA70" s="2936"/>
      <c r="FKB70" s="2936"/>
      <c r="FKC70" s="2936"/>
      <c r="FKD70" s="2936"/>
      <c r="FKE70" s="2936"/>
      <c r="FKF70" s="2936"/>
      <c r="FKG70" s="2936"/>
      <c r="FKH70" s="2936"/>
      <c r="FKI70" s="2936"/>
      <c r="FKJ70" s="2936"/>
      <c r="FKK70" s="2936"/>
      <c r="FKL70" s="2936"/>
      <c r="FKM70" s="2936"/>
      <c r="FKN70" s="2936"/>
      <c r="FKO70" s="2936"/>
      <c r="FKP70" s="2936"/>
      <c r="FKQ70" s="2936"/>
      <c r="FKR70" s="2936"/>
      <c r="FKS70" s="2936"/>
      <c r="FKT70" s="2936"/>
      <c r="FKU70" s="2936"/>
      <c r="FKV70" s="2936"/>
      <c r="FKW70" s="2936"/>
      <c r="FKX70" s="2936"/>
      <c r="FKY70" s="2936"/>
      <c r="FKZ70" s="2936"/>
      <c r="FLA70" s="2936"/>
      <c r="FLB70" s="2936"/>
      <c r="FLC70" s="2936"/>
      <c r="FLD70" s="2936"/>
      <c r="FLE70" s="2936"/>
      <c r="FLF70" s="2936"/>
      <c r="FLG70" s="2936"/>
      <c r="FLH70" s="2936"/>
      <c r="FLI70" s="2936"/>
      <c r="FLJ70" s="2936"/>
      <c r="FLK70" s="2936"/>
      <c r="FLL70" s="2936"/>
      <c r="FLM70" s="2936"/>
      <c r="FLN70" s="2936"/>
      <c r="FLO70" s="2936"/>
      <c r="FLP70" s="2936"/>
      <c r="FLQ70" s="2936"/>
      <c r="FLR70" s="2936"/>
      <c r="FLS70" s="2936"/>
      <c r="FLT70" s="2936"/>
      <c r="FLU70" s="2936"/>
      <c r="FLV70" s="2936"/>
      <c r="FLW70" s="2936"/>
      <c r="FLX70" s="2936"/>
      <c r="FLY70" s="2936"/>
      <c r="FLZ70" s="2936"/>
      <c r="FMA70" s="2936"/>
      <c r="FMB70" s="2936"/>
      <c r="FMC70" s="2936"/>
      <c r="FMD70" s="2936"/>
      <c r="FME70" s="2936"/>
      <c r="FMF70" s="2936"/>
      <c r="FMG70" s="2936"/>
      <c r="FMH70" s="2936"/>
      <c r="FMI70" s="2936"/>
      <c r="FMJ70" s="2936"/>
      <c r="FMK70" s="2936"/>
      <c r="FML70" s="2936"/>
      <c r="FMM70" s="2936"/>
      <c r="FMN70" s="2936"/>
      <c r="FMO70" s="2936"/>
      <c r="FMP70" s="2936"/>
      <c r="FMQ70" s="2936"/>
      <c r="FMR70" s="2936"/>
      <c r="FMS70" s="2936"/>
      <c r="FMT70" s="2936"/>
      <c r="FMU70" s="2936"/>
      <c r="FMV70" s="2936"/>
      <c r="FMW70" s="2936"/>
      <c r="FMX70" s="2936"/>
      <c r="FMY70" s="2936"/>
      <c r="FMZ70" s="2936"/>
      <c r="FNA70" s="2936"/>
      <c r="FNB70" s="2936"/>
      <c r="FNC70" s="2936"/>
      <c r="FND70" s="2936"/>
      <c r="FNE70" s="2936"/>
      <c r="FNF70" s="2936"/>
      <c r="FNG70" s="2936"/>
      <c r="FNH70" s="2936"/>
      <c r="FNI70" s="2936"/>
      <c r="FNJ70" s="2936"/>
      <c r="FNK70" s="2936"/>
      <c r="FNL70" s="2936"/>
      <c r="FNM70" s="2936"/>
      <c r="FNN70" s="2936"/>
      <c r="FNO70" s="2936"/>
      <c r="FNP70" s="2936"/>
      <c r="FNQ70" s="2936"/>
      <c r="FNR70" s="2936"/>
      <c r="FNS70" s="2936"/>
      <c r="FNT70" s="2936"/>
      <c r="FNU70" s="2936"/>
      <c r="FNV70" s="2936"/>
      <c r="FNW70" s="2936"/>
      <c r="FNX70" s="2936"/>
      <c r="FNY70" s="2936"/>
      <c r="FNZ70" s="2936"/>
      <c r="FOA70" s="2936"/>
      <c r="FOB70" s="2936"/>
      <c r="FOC70" s="2936"/>
      <c r="FOD70" s="2936"/>
      <c r="FOE70" s="2936"/>
      <c r="FOF70" s="2936"/>
      <c r="FOG70" s="2936"/>
      <c r="FOH70" s="2936"/>
      <c r="FOI70" s="2936"/>
      <c r="FOJ70" s="2936"/>
      <c r="FOK70" s="2936"/>
      <c r="FOL70" s="2936"/>
      <c r="FOM70" s="2936"/>
      <c r="FON70" s="2936"/>
      <c r="FOO70" s="2936"/>
      <c r="FOP70" s="2936"/>
      <c r="FOQ70" s="2936"/>
      <c r="FOR70" s="2936"/>
      <c r="FOS70" s="2936"/>
      <c r="FOT70" s="2936"/>
      <c r="FOU70" s="2936"/>
      <c r="FOV70" s="2936"/>
      <c r="FOW70" s="2936"/>
      <c r="FOX70" s="2936"/>
      <c r="FOY70" s="2936"/>
      <c r="FOZ70" s="2936"/>
      <c r="FPA70" s="2936"/>
      <c r="FPB70" s="2936"/>
      <c r="FPC70" s="2936"/>
      <c r="FPD70" s="2936"/>
      <c r="FPE70" s="2936"/>
      <c r="FPF70" s="2936"/>
      <c r="FPG70" s="2936"/>
      <c r="FPH70" s="2936"/>
      <c r="FPI70" s="2936"/>
      <c r="FPJ70" s="2936"/>
      <c r="FPK70" s="2936"/>
      <c r="FPL70" s="2936"/>
      <c r="FPM70" s="2936"/>
      <c r="FPN70" s="2936"/>
      <c r="FPO70" s="2936"/>
      <c r="FPP70" s="2936"/>
      <c r="FPQ70" s="2936"/>
      <c r="FPR70" s="2936"/>
      <c r="FPS70" s="2936"/>
      <c r="FPT70" s="2936"/>
      <c r="FPU70" s="2936"/>
      <c r="FPV70" s="2936"/>
      <c r="FPW70" s="2936"/>
      <c r="FPX70" s="2936"/>
      <c r="FPY70" s="2936"/>
      <c r="FPZ70" s="2936"/>
      <c r="FQA70" s="2936"/>
      <c r="FQB70" s="2936"/>
      <c r="FQC70" s="2936"/>
      <c r="FQD70" s="2936"/>
      <c r="FQE70" s="2936"/>
      <c r="FQF70" s="2936"/>
      <c r="FQG70" s="2936"/>
      <c r="FQH70" s="2936"/>
      <c r="FQI70" s="2936"/>
      <c r="FQJ70" s="2936"/>
      <c r="FQK70" s="2936"/>
      <c r="FQL70" s="2936"/>
      <c r="FQM70" s="2936"/>
      <c r="FQN70" s="2936"/>
      <c r="FQO70" s="2936"/>
      <c r="FQP70" s="2936"/>
      <c r="FQQ70" s="2936"/>
      <c r="FQR70" s="2936"/>
      <c r="FQS70" s="2936"/>
      <c r="FQT70" s="2936"/>
      <c r="FQU70" s="2936"/>
      <c r="FQV70" s="2936"/>
      <c r="FQW70" s="2936"/>
      <c r="FQX70" s="2936"/>
      <c r="FQY70" s="2936"/>
      <c r="FQZ70" s="2936"/>
      <c r="FRA70" s="2936"/>
      <c r="FRB70" s="2936"/>
      <c r="FRC70" s="2936"/>
      <c r="FRD70" s="2936"/>
      <c r="FRE70" s="2936"/>
      <c r="FRF70" s="2936"/>
      <c r="FRG70" s="2936"/>
      <c r="FRH70" s="2936"/>
      <c r="FRI70" s="2936"/>
      <c r="FRJ70" s="2936"/>
      <c r="FRK70" s="2936"/>
      <c r="FRL70" s="2936"/>
      <c r="FRM70" s="2936"/>
      <c r="FRN70" s="2936"/>
      <c r="FRO70" s="2936"/>
      <c r="FRP70" s="2936"/>
      <c r="FRQ70" s="2936"/>
      <c r="FRR70" s="2936"/>
      <c r="FRS70" s="2936"/>
      <c r="FRT70" s="2936"/>
      <c r="FRU70" s="2936"/>
      <c r="FRV70" s="2936"/>
      <c r="FRW70" s="2936"/>
      <c r="FRX70" s="2936"/>
      <c r="FRY70" s="2936"/>
      <c r="FRZ70" s="2936"/>
      <c r="FSA70" s="2936"/>
      <c r="FSB70" s="2936"/>
      <c r="FSC70" s="2936"/>
      <c r="FSD70" s="2936"/>
      <c r="FSE70" s="2936"/>
      <c r="FSF70" s="2936"/>
      <c r="FSG70" s="2936"/>
      <c r="FSH70" s="2936"/>
      <c r="FSI70" s="2936"/>
      <c r="FSJ70" s="2936"/>
      <c r="FSK70" s="2936"/>
      <c r="FSL70" s="2936"/>
      <c r="FSM70" s="2936"/>
      <c r="FSN70" s="2936"/>
      <c r="FSO70" s="2936"/>
      <c r="FSP70" s="2936"/>
      <c r="FSQ70" s="2936"/>
      <c r="FSR70" s="2936"/>
      <c r="FSS70" s="2936"/>
      <c r="FST70" s="2936"/>
      <c r="FSU70" s="2936"/>
      <c r="FSV70" s="2936"/>
      <c r="FSW70" s="2936"/>
      <c r="FSX70" s="2936"/>
      <c r="FSY70" s="2936"/>
      <c r="FSZ70" s="2936"/>
      <c r="FTA70" s="2936"/>
      <c r="FTB70" s="2936"/>
      <c r="FTC70" s="2936"/>
      <c r="FTD70" s="2936"/>
      <c r="FTE70" s="2936"/>
      <c r="FTF70" s="2936"/>
      <c r="FTG70" s="2936"/>
      <c r="FTH70" s="2936"/>
      <c r="FTI70" s="2936"/>
      <c r="FTJ70" s="2936"/>
      <c r="FTK70" s="2936"/>
      <c r="FTL70" s="2936"/>
      <c r="FTM70" s="2936"/>
      <c r="FTN70" s="2936"/>
      <c r="FTO70" s="2936"/>
      <c r="FTP70" s="2936"/>
      <c r="FTQ70" s="2936"/>
      <c r="FTR70" s="2936"/>
      <c r="FTS70" s="2936"/>
      <c r="FTT70" s="2936"/>
      <c r="FTU70" s="2936"/>
      <c r="FTV70" s="2936"/>
      <c r="FTW70" s="2936"/>
      <c r="FTX70" s="2936"/>
      <c r="FTY70" s="2936"/>
      <c r="FTZ70" s="2936"/>
      <c r="FUA70" s="2936"/>
      <c r="FUB70" s="2936"/>
      <c r="FUC70" s="2936"/>
      <c r="FUD70" s="2936"/>
      <c r="FUE70" s="2936"/>
      <c r="FUF70" s="2936"/>
      <c r="FUG70" s="2936"/>
      <c r="FUH70" s="2936"/>
      <c r="FUI70" s="2936"/>
      <c r="FUJ70" s="2936"/>
      <c r="FUK70" s="2936"/>
      <c r="FUL70" s="2936"/>
      <c r="FUM70" s="2936"/>
      <c r="FUN70" s="2936"/>
      <c r="FUO70" s="2936"/>
      <c r="FUP70" s="2936"/>
      <c r="FUQ70" s="2936"/>
      <c r="FUR70" s="2936"/>
      <c r="FUS70" s="2936"/>
      <c r="FUT70" s="2936"/>
      <c r="FUU70" s="2936"/>
      <c r="FUV70" s="2936"/>
      <c r="FUW70" s="2936"/>
      <c r="FUX70" s="2936"/>
      <c r="FUY70" s="2936"/>
      <c r="FUZ70" s="2936"/>
      <c r="FVA70" s="2936"/>
      <c r="FVB70" s="2936"/>
      <c r="FVC70" s="2936"/>
      <c r="FVD70" s="2936"/>
      <c r="FVE70" s="2936"/>
      <c r="FVF70" s="2936"/>
      <c r="FVG70" s="2936"/>
      <c r="FVH70" s="2936"/>
      <c r="FVI70" s="2936"/>
      <c r="FVJ70" s="2936"/>
      <c r="FVK70" s="2936"/>
      <c r="FVL70" s="2936"/>
      <c r="FVM70" s="2936"/>
      <c r="FVN70" s="2936"/>
      <c r="FVO70" s="2936"/>
      <c r="FVP70" s="2936"/>
      <c r="FVQ70" s="2936"/>
      <c r="FVR70" s="2936"/>
      <c r="FVS70" s="2936"/>
      <c r="FVT70" s="2936"/>
      <c r="FVU70" s="2936"/>
      <c r="FVV70" s="2936"/>
      <c r="FVW70" s="2936"/>
      <c r="FVX70" s="2936"/>
      <c r="FVY70" s="2936"/>
      <c r="FVZ70" s="2936"/>
      <c r="FWA70" s="2936"/>
      <c r="FWB70" s="2936"/>
      <c r="FWC70" s="2936"/>
      <c r="FWD70" s="2936"/>
      <c r="FWE70" s="2936"/>
      <c r="FWF70" s="2936"/>
      <c r="FWG70" s="2936"/>
      <c r="FWH70" s="2936"/>
      <c r="FWI70" s="2936"/>
      <c r="FWJ70" s="2936"/>
      <c r="FWK70" s="2936"/>
      <c r="FWL70" s="2936"/>
      <c r="FWM70" s="2936"/>
      <c r="FWN70" s="2936"/>
      <c r="FWO70" s="2936"/>
      <c r="FWP70" s="2936"/>
      <c r="FWQ70" s="2936"/>
      <c r="FWR70" s="2936"/>
      <c r="FWS70" s="2936"/>
      <c r="FWT70" s="2936"/>
      <c r="FWU70" s="2936"/>
      <c r="FWV70" s="2936"/>
      <c r="FWW70" s="2936"/>
      <c r="FWX70" s="2936"/>
      <c r="FWY70" s="2936"/>
      <c r="FWZ70" s="2936"/>
      <c r="FXA70" s="2936"/>
      <c r="FXB70" s="2936"/>
      <c r="FXC70" s="2936"/>
      <c r="FXD70" s="2936"/>
      <c r="FXE70" s="2936"/>
      <c r="FXF70" s="2936"/>
      <c r="FXG70" s="2936"/>
      <c r="FXH70" s="2936"/>
      <c r="FXI70" s="2936"/>
      <c r="FXJ70" s="2936"/>
      <c r="FXK70" s="2936"/>
      <c r="FXL70" s="2936"/>
      <c r="FXM70" s="2936"/>
      <c r="FXN70" s="2936"/>
      <c r="FXO70" s="2936"/>
      <c r="FXP70" s="2936"/>
      <c r="FXQ70" s="2936"/>
      <c r="FXR70" s="2936"/>
      <c r="FXS70" s="2936"/>
      <c r="FXT70" s="2936"/>
      <c r="FXU70" s="2936"/>
      <c r="FXV70" s="2936"/>
      <c r="FXW70" s="2936"/>
      <c r="FXX70" s="2936"/>
      <c r="FXY70" s="2936"/>
      <c r="FXZ70" s="2936"/>
      <c r="FYA70" s="2936"/>
      <c r="FYB70" s="2936"/>
      <c r="FYC70" s="2936"/>
      <c r="FYD70" s="2936"/>
      <c r="FYE70" s="2936"/>
      <c r="FYF70" s="2936"/>
      <c r="FYG70" s="2936"/>
      <c r="FYH70" s="2936"/>
      <c r="FYI70" s="2936"/>
      <c r="FYJ70" s="2936"/>
      <c r="FYK70" s="2936"/>
      <c r="FYL70" s="2936"/>
      <c r="FYM70" s="2936"/>
      <c r="FYN70" s="2936"/>
      <c r="FYO70" s="2936"/>
      <c r="FYP70" s="2936"/>
      <c r="FYQ70" s="2936"/>
      <c r="FYR70" s="2936"/>
      <c r="FYS70" s="2936"/>
      <c r="FYT70" s="2936"/>
      <c r="FYU70" s="2936"/>
      <c r="FYV70" s="2936"/>
      <c r="FYW70" s="2936"/>
      <c r="FYX70" s="2936"/>
      <c r="FYY70" s="2936"/>
      <c r="FYZ70" s="2936"/>
      <c r="FZA70" s="2936"/>
      <c r="FZB70" s="2936"/>
      <c r="FZC70" s="2936"/>
      <c r="FZD70" s="2936"/>
      <c r="FZE70" s="2936"/>
      <c r="FZF70" s="2936"/>
      <c r="FZG70" s="2936"/>
      <c r="FZH70" s="2936"/>
      <c r="FZI70" s="2936"/>
      <c r="FZJ70" s="2936"/>
      <c r="FZK70" s="2936"/>
      <c r="FZL70" s="2936"/>
      <c r="FZM70" s="2936"/>
      <c r="FZN70" s="2936"/>
      <c r="FZO70" s="2936"/>
      <c r="FZP70" s="2936"/>
      <c r="FZQ70" s="2936"/>
      <c r="FZR70" s="2936"/>
      <c r="FZS70" s="2936"/>
      <c r="FZT70" s="2936"/>
      <c r="FZU70" s="2936"/>
      <c r="FZV70" s="2936"/>
      <c r="FZW70" s="2936"/>
      <c r="FZX70" s="2936"/>
      <c r="FZY70" s="2936"/>
      <c r="FZZ70" s="2936"/>
      <c r="GAA70" s="2936"/>
      <c r="GAB70" s="2936"/>
      <c r="GAC70" s="2936"/>
      <c r="GAD70" s="2936"/>
      <c r="GAE70" s="2936"/>
      <c r="GAF70" s="2936"/>
      <c r="GAG70" s="2936"/>
      <c r="GAH70" s="2936"/>
      <c r="GAI70" s="2936"/>
      <c r="GAJ70" s="2936"/>
      <c r="GAK70" s="2936"/>
      <c r="GAL70" s="2936"/>
      <c r="GAM70" s="2936"/>
      <c r="GAN70" s="2936"/>
      <c r="GAO70" s="2936"/>
      <c r="GAP70" s="2936"/>
      <c r="GAQ70" s="2936"/>
      <c r="GAR70" s="2936"/>
      <c r="GAS70" s="2936"/>
      <c r="GAT70" s="2936"/>
      <c r="GAU70" s="2936"/>
      <c r="GAV70" s="2936"/>
      <c r="GAW70" s="2936"/>
      <c r="GAX70" s="2936"/>
      <c r="GAY70" s="2936"/>
      <c r="GAZ70" s="2936"/>
      <c r="GBA70" s="2936"/>
      <c r="GBB70" s="2936"/>
      <c r="GBC70" s="2936"/>
      <c r="GBD70" s="2936"/>
      <c r="GBE70" s="2936"/>
      <c r="GBF70" s="2936"/>
      <c r="GBG70" s="2936"/>
      <c r="GBH70" s="2936"/>
      <c r="GBI70" s="2936"/>
      <c r="GBJ70" s="2936"/>
      <c r="GBK70" s="2936"/>
      <c r="GBL70" s="2936"/>
      <c r="GBM70" s="2936"/>
      <c r="GBN70" s="2936"/>
      <c r="GBO70" s="2936"/>
      <c r="GBP70" s="2936"/>
      <c r="GBQ70" s="2936"/>
      <c r="GBR70" s="2936"/>
      <c r="GBS70" s="2936"/>
      <c r="GBT70" s="2936"/>
      <c r="GBU70" s="2936"/>
      <c r="GBV70" s="2936"/>
      <c r="GBW70" s="2936"/>
      <c r="GBX70" s="2936"/>
      <c r="GBY70" s="2936"/>
      <c r="GBZ70" s="2936"/>
      <c r="GCA70" s="2936"/>
      <c r="GCB70" s="2936"/>
      <c r="GCC70" s="2936"/>
      <c r="GCD70" s="2936"/>
      <c r="GCE70" s="2936"/>
      <c r="GCF70" s="2936"/>
      <c r="GCG70" s="2936"/>
      <c r="GCH70" s="2936"/>
      <c r="GCI70" s="2936"/>
      <c r="GCJ70" s="2936"/>
      <c r="GCK70" s="2936"/>
      <c r="GCL70" s="2936"/>
      <c r="GCM70" s="2936"/>
      <c r="GCN70" s="2936"/>
      <c r="GCO70" s="2936"/>
      <c r="GCP70" s="2936"/>
      <c r="GCQ70" s="2936"/>
      <c r="GCR70" s="2936"/>
      <c r="GCS70" s="2936"/>
      <c r="GCT70" s="2936"/>
      <c r="GCU70" s="2936"/>
      <c r="GCV70" s="2936"/>
      <c r="GCW70" s="2936"/>
      <c r="GCX70" s="2936"/>
      <c r="GCY70" s="2936"/>
      <c r="GCZ70" s="2936"/>
      <c r="GDA70" s="2936"/>
      <c r="GDB70" s="2936"/>
      <c r="GDC70" s="2936"/>
      <c r="GDD70" s="2936"/>
      <c r="GDE70" s="2936"/>
      <c r="GDF70" s="2936"/>
      <c r="GDG70" s="2936"/>
      <c r="GDH70" s="2936"/>
      <c r="GDI70" s="2936"/>
      <c r="GDJ70" s="2936"/>
      <c r="GDK70" s="2936"/>
      <c r="GDL70" s="2936"/>
      <c r="GDM70" s="2936"/>
      <c r="GDN70" s="2936"/>
      <c r="GDO70" s="2936"/>
      <c r="GDP70" s="2936"/>
      <c r="GDQ70" s="2936"/>
      <c r="GDR70" s="2936"/>
      <c r="GDS70" s="2936"/>
      <c r="GDT70" s="2936"/>
      <c r="GDU70" s="2936"/>
      <c r="GDV70" s="2936"/>
      <c r="GDW70" s="2936"/>
      <c r="GDX70" s="2936"/>
      <c r="GDY70" s="2936"/>
      <c r="GDZ70" s="2936"/>
      <c r="GEA70" s="2936"/>
      <c r="GEB70" s="2936"/>
      <c r="GEC70" s="2936"/>
      <c r="GED70" s="2936"/>
      <c r="GEE70" s="2936"/>
      <c r="GEF70" s="2936"/>
      <c r="GEG70" s="2936"/>
      <c r="GEH70" s="2936"/>
      <c r="GEI70" s="2936"/>
      <c r="GEJ70" s="2936"/>
      <c r="GEK70" s="2936"/>
      <c r="GEL70" s="2936"/>
      <c r="GEM70" s="2936"/>
      <c r="GEN70" s="2936"/>
      <c r="GEO70" s="2936"/>
      <c r="GEP70" s="2936"/>
      <c r="GEQ70" s="2936"/>
      <c r="GER70" s="2936"/>
      <c r="GES70" s="2936"/>
      <c r="GET70" s="2936"/>
      <c r="GEU70" s="2936"/>
      <c r="GEV70" s="2936"/>
      <c r="GEW70" s="2936"/>
      <c r="GEX70" s="2936"/>
      <c r="GEY70" s="2936"/>
      <c r="GEZ70" s="2936"/>
      <c r="GFA70" s="2936"/>
      <c r="GFB70" s="2936"/>
      <c r="GFC70" s="2936"/>
      <c r="GFD70" s="2936"/>
      <c r="GFE70" s="2936"/>
      <c r="GFF70" s="2936"/>
      <c r="GFG70" s="2936"/>
      <c r="GFH70" s="2936"/>
      <c r="GFI70" s="2936"/>
      <c r="GFJ70" s="2936"/>
      <c r="GFK70" s="2936"/>
      <c r="GFL70" s="2936"/>
      <c r="GFM70" s="2936"/>
      <c r="GFN70" s="2936"/>
      <c r="GFO70" s="2936"/>
      <c r="GFP70" s="2936"/>
      <c r="GFQ70" s="2936"/>
      <c r="GFR70" s="2936"/>
      <c r="GFS70" s="2936"/>
      <c r="GFT70" s="2936"/>
      <c r="GFU70" s="2936"/>
      <c r="GFV70" s="2936"/>
      <c r="GFW70" s="2936"/>
      <c r="GFX70" s="2936"/>
      <c r="GFY70" s="2936"/>
      <c r="GFZ70" s="2936"/>
      <c r="GGA70" s="2936"/>
      <c r="GGB70" s="2936"/>
      <c r="GGC70" s="2936"/>
      <c r="GGD70" s="2936"/>
      <c r="GGE70" s="2936"/>
      <c r="GGF70" s="2936"/>
      <c r="GGG70" s="2936"/>
      <c r="GGH70" s="2936"/>
      <c r="GGI70" s="2936"/>
      <c r="GGJ70" s="2936"/>
      <c r="GGK70" s="2936"/>
      <c r="GGL70" s="2936"/>
      <c r="GGM70" s="2936"/>
      <c r="GGN70" s="2936"/>
      <c r="GGO70" s="2936"/>
      <c r="GGP70" s="2936"/>
      <c r="GGQ70" s="2936"/>
      <c r="GGR70" s="2936"/>
      <c r="GGS70" s="2936"/>
      <c r="GGT70" s="2936"/>
      <c r="GGU70" s="2936"/>
      <c r="GGV70" s="2936"/>
      <c r="GGW70" s="2936"/>
      <c r="GGX70" s="2936"/>
      <c r="GGY70" s="2936"/>
      <c r="GGZ70" s="2936"/>
      <c r="GHA70" s="2936"/>
      <c r="GHB70" s="2936"/>
      <c r="GHC70" s="2936"/>
      <c r="GHD70" s="2936"/>
      <c r="GHE70" s="2936"/>
      <c r="GHF70" s="2936"/>
      <c r="GHG70" s="2936"/>
      <c r="GHH70" s="2936"/>
      <c r="GHI70" s="2936"/>
      <c r="GHJ70" s="2936"/>
      <c r="GHK70" s="2936"/>
      <c r="GHL70" s="2936"/>
      <c r="GHM70" s="2936"/>
      <c r="GHN70" s="2936"/>
      <c r="GHO70" s="2936"/>
      <c r="GHP70" s="2936"/>
      <c r="GHQ70" s="2936"/>
      <c r="GHR70" s="2936"/>
      <c r="GHS70" s="2936"/>
      <c r="GHT70" s="2936"/>
      <c r="GHU70" s="2936"/>
      <c r="GHV70" s="2936"/>
      <c r="GHW70" s="2936"/>
      <c r="GHX70" s="2936"/>
      <c r="GHY70" s="2936"/>
      <c r="GHZ70" s="2936"/>
      <c r="GIA70" s="2936"/>
      <c r="GIB70" s="2936"/>
      <c r="GIC70" s="2936"/>
      <c r="GID70" s="2936"/>
      <c r="GIE70" s="2936"/>
      <c r="GIF70" s="2936"/>
      <c r="GIG70" s="2936"/>
      <c r="GIH70" s="2936"/>
      <c r="GII70" s="2936"/>
      <c r="GIJ70" s="2936"/>
      <c r="GIK70" s="2936"/>
      <c r="GIL70" s="2936"/>
      <c r="GIM70" s="2936"/>
      <c r="GIN70" s="2936"/>
      <c r="GIO70" s="2936"/>
      <c r="GIP70" s="2936"/>
      <c r="GIQ70" s="2936"/>
      <c r="GIR70" s="2936"/>
      <c r="GIS70" s="2936"/>
      <c r="GIT70" s="2936"/>
      <c r="GIU70" s="2936"/>
      <c r="GIV70" s="2936"/>
      <c r="GIW70" s="2936"/>
      <c r="GIX70" s="2936"/>
      <c r="GIY70" s="2936"/>
      <c r="GIZ70" s="2936"/>
      <c r="GJA70" s="2936"/>
      <c r="GJB70" s="2936"/>
      <c r="GJC70" s="2936"/>
      <c r="GJD70" s="2936"/>
      <c r="GJE70" s="2936"/>
      <c r="GJF70" s="2936"/>
      <c r="GJG70" s="2936"/>
      <c r="GJH70" s="2936"/>
      <c r="GJI70" s="2936"/>
      <c r="GJJ70" s="2936"/>
      <c r="GJK70" s="2936"/>
      <c r="GJL70" s="2936"/>
      <c r="GJM70" s="2936"/>
      <c r="GJN70" s="2936"/>
      <c r="GJO70" s="2936"/>
      <c r="GJP70" s="2936"/>
      <c r="GJQ70" s="2936"/>
      <c r="GJR70" s="2936"/>
      <c r="GJS70" s="2936"/>
      <c r="GJT70" s="2936"/>
      <c r="GJU70" s="2936"/>
      <c r="GJV70" s="2936"/>
      <c r="GJW70" s="2936"/>
      <c r="GJX70" s="2936"/>
      <c r="GJY70" s="2936"/>
      <c r="GJZ70" s="2936"/>
      <c r="GKA70" s="2936"/>
      <c r="GKB70" s="2936"/>
      <c r="GKC70" s="2936"/>
      <c r="GKD70" s="2936"/>
      <c r="GKE70" s="2936"/>
      <c r="GKF70" s="2936"/>
      <c r="GKG70" s="2936"/>
      <c r="GKH70" s="2936"/>
      <c r="GKI70" s="2936"/>
      <c r="GKJ70" s="2936"/>
      <c r="GKK70" s="2936"/>
      <c r="GKL70" s="2936"/>
      <c r="GKM70" s="2936"/>
      <c r="GKN70" s="2936"/>
      <c r="GKO70" s="2936"/>
      <c r="GKP70" s="2936"/>
      <c r="GKQ70" s="2936"/>
      <c r="GKR70" s="2936"/>
      <c r="GKS70" s="2936"/>
      <c r="GKT70" s="2936"/>
      <c r="GKU70" s="2936"/>
      <c r="GKV70" s="2936"/>
      <c r="GKW70" s="2936"/>
      <c r="GKX70" s="2936"/>
      <c r="GKY70" s="2936"/>
      <c r="GKZ70" s="2936"/>
      <c r="GLA70" s="2936"/>
      <c r="GLB70" s="2936"/>
      <c r="GLC70" s="2936"/>
      <c r="GLD70" s="2936"/>
      <c r="GLE70" s="2936"/>
      <c r="GLF70" s="2936"/>
      <c r="GLG70" s="2936"/>
      <c r="GLH70" s="2936"/>
      <c r="GLI70" s="2936"/>
      <c r="GLJ70" s="2936"/>
      <c r="GLK70" s="2936"/>
      <c r="GLL70" s="2936"/>
      <c r="GLM70" s="2936"/>
      <c r="GLN70" s="2936"/>
      <c r="GLO70" s="2936"/>
      <c r="GLP70" s="2936"/>
      <c r="GLQ70" s="2936"/>
      <c r="GLR70" s="2936"/>
      <c r="GLS70" s="2936"/>
      <c r="GLT70" s="2936"/>
      <c r="GLU70" s="2936"/>
      <c r="GLV70" s="2936"/>
      <c r="GLW70" s="2936"/>
      <c r="GLX70" s="2936"/>
      <c r="GLY70" s="2936"/>
      <c r="GLZ70" s="2936"/>
      <c r="GMA70" s="2936"/>
      <c r="GMB70" s="2936"/>
      <c r="GMC70" s="2936"/>
      <c r="GMD70" s="2936"/>
      <c r="GME70" s="2936"/>
      <c r="GMF70" s="2936"/>
      <c r="GMG70" s="2936"/>
      <c r="GMH70" s="2936"/>
      <c r="GMI70" s="2936"/>
      <c r="GMJ70" s="2936"/>
      <c r="GMK70" s="2936"/>
      <c r="GML70" s="2936"/>
      <c r="GMM70" s="2936"/>
      <c r="GMN70" s="2936"/>
      <c r="GMO70" s="2936"/>
      <c r="GMP70" s="2936"/>
      <c r="GMQ70" s="2936"/>
      <c r="GMR70" s="2936"/>
      <c r="GMS70" s="2936"/>
      <c r="GMT70" s="2936"/>
      <c r="GMU70" s="2936"/>
      <c r="GMV70" s="2936"/>
      <c r="GMW70" s="2936"/>
      <c r="GMX70" s="2936"/>
      <c r="GMY70" s="2936"/>
      <c r="GMZ70" s="2936"/>
      <c r="GNA70" s="2936"/>
      <c r="GNB70" s="2936"/>
      <c r="GNC70" s="2936"/>
      <c r="GND70" s="2936"/>
      <c r="GNE70" s="2936"/>
      <c r="GNF70" s="2936"/>
      <c r="GNG70" s="2936"/>
      <c r="GNH70" s="2936"/>
      <c r="GNI70" s="2936"/>
      <c r="GNJ70" s="2936"/>
      <c r="GNK70" s="2936"/>
      <c r="GNL70" s="2936"/>
      <c r="GNM70" s="2936"/>
      <c r="GNN70" s="2936"/>
      <c r="GNO70" s="2936"/>
      <c r="GNP70" s="2936"/>
      <c r="GNQ70" s="2936"/>
      <c r="GNR70" s="2936"/>
      <c r="GNS70" s="2936"/>
      <c r="GNT70" s="2936"/>
      <c r="GNU70" s="2936"/>
      <c r="GNV70" s="2936"/>
      <c r="GNW70" s="2936"/>
      <c r="GNX70" s="2936"/>
      <c r="GNY70" s="2936"/>
      <c r="GNZ70" s="2936"/>
      <c r="GOA70" s="2936"/>
      <c r="GOB70" s="2936"/>
      <c r="GOC70" s="2936"/>
      <c r="GOD70" s="2936"/>
      <c r="GOE70" s="2936"/>
      <c r="GOF70" s="2936"/>
      <c r="GOG70" s="2936"/>
      <c r="GOH70" s="2936"/>
      <c r="GOI70" s="2936"/>
      <c r="GOJ70" s="2936"/>
      <c r="GOK70" s="2936"/>
      <c r="GOL70" s="2936"/>
      <c r="GOM70" s="2936"/>
      <c r="GON70" s="2936"/>
      <c r="GOO70" s="2936"/>
      <c r="GOP70" s="2936"/>
      <c r="GOQ70" s="2936"/>
      <c r="GOR70" s="2936"/>
      <c r="GOS70" s="2936"/>
      <c r="GOT70" s="2936"/>
      <c r="GOU70" s="2936"/>
      <c r="GOV70" s="2936"/>
      <c r="GOW70" s="2936"/>
      <c r="GOX70" s="2936"/>
      <c r="GOY70" s="2936"/>
      <c r="GOZ70" s="2936"/>
      <c r="GPA70" s="2936"/>
      <c r="GPB70" s="2936"/>
      <c r="GPC70" s="2936"/>
      <c r="GPD70" s="2936"/>
      <c r="GPE70" s="2936"/>
      <c r="GPF70" s="2936"/>
      <c r="GPG70" s="2936"/>
      <c r="GPH70" s="2936"/>
      <c r="GPI70" s="2936"/>
      <c r="GPJ70" s="2936"/>
      <c r="GPK70" s="2936"/>
      <c r="GPL70" s="2936"/>
      <c r="GPM70" s="2936"/>
      <c r="GPN70" s="2936"/>
      <c r="GPO70" s="2936"/>
      <c r="GPP70" s="2936"/>
      <c r="GPQ70" s="2936"/>
      <c r="GPR70" s="2936"/>
      <c r="GPS70" s="2936"/>
      <c r="GPT70" s="2936"/>
      <c r="GPU70" s="2936"/>
      <c r="GPV70" s="2936"/>
      <c r="GPW70" s="2936"/>
      <c r="GPX70" s="2936"/>
      <c r="GPY70" s="2936"/>
      <c r="GPZ70" s="2936"/>
      <c r="GQA70" s="2936"/>
      <c r="GQB70" s="2936"/>
      <c r="GQC70" s="2936"/>
      <c r="GQD70" s="2936"/>
      <c r="GQE70" s="2936"/>
      <c r="GQF70" s="2936"/>
      <c r="GQG70" s="2936"/>
      <c r="GQH70" s="2936"/>
      <c r="GQI70" s="2936"/>
      <c r="GQJ70" s="2936"/>
      <c r="GQK70" s="2936"/>
      <c r="GQL70" s="2936"/>
      <c r="GQM70" s="2936"/>
      <c r="GQN70" s="2936"/>
      <c r="GQO70" s="2936"/>
      <c r="GQP70" s="2936"/>
      <c r="GQQ70" s="2936"/>
      <c r="GQR70" s="2936"/>
      <c r="GQS70" s="2936"/>
      <c r="GQT70" s="2936"/>
      <c r="GQU70" s="2936"/>
      <c r="GQV70" s="2936"/>
      <c r="GQW70" s="2936"/>
      <c r="GQX70" s="2936"/>
      <c r="GQY70" s="2936"/>
      <c r="GQZ70" s="2936"/>
      <c r="GRA70" s="2936"/>
      <c r="GRB70" s="2936"/>
      <c r="GRC70" s="2936"/>
      <c r="GRD70" s="2936"/>
      <c r="GRE70" s="2936"/>
      <c r="GRF70" s="2936"/>
      <c r="GRG70" s="2936"/>
      <c r="GRH70" s="2936"/>
      <c r="GRI70" s="2936"/>
      <c r="GRJ70" s="2936"/>
      <c r="GRK70" s="2936"/>
      <c r="GRL70" s="2936"/>
      <c r="GRM70" s="2936"/>
      <c r="GRN70" s="2936"/>
      <c r="GRO70" s="2936"/>
      <c r="GRP70" s="2936"/>
      <c r="GRQ70" s="2936"/>
      <c r="GRR70" s="2936"/>
      <c r="GRS70" s="2936"/>
      <c r="GRT70" s="2936"/>
      <c r="GRU70" s="2936"/>
      <c r="GRV70" s="2936"/>
      <c r="GRW70" s="2936"/>
      <c r="GRX70" s="2936"/>
      <c r="GRY70" s="2936"/>
      <c r="GRZ70" s="2936"/>
      <c r="GSA70" s="2936"/>
      <c r="GSB70" s="2936"/>
      <c r="GSC70" s="2936"/>
      <c r="GSD70" s="2936"/>
      <c r="GSE70" s="2936"/>
      <c r="GSF70" s="2936"/>
      <c r="GSG70" s="2936"/>
      <c r="GSH70" s="2936"/>
      <c r="GSI70" s="2936"/>
      <c r="GSJ70" s="2936"/>
      <c r="GSK70" s="2936"/>
      <c r="GSL70" s="2936"/>
      <c r="GSM70" s="2936"/>
      <c r="GSN70" s="2936"/>
      <c r="GSO70" s="2936"/>
      <c r="GSP70" s="2936"/>
      <c r="GSQ70" s="2936"/>
      <c r="GSR70" s="2936"/>
      <c r="GSS70" s="2936"/>
      <c r="GST70" s="2936"/>
      <c r="GSU70" s="2936"/>
      <c r="GSV70" s="2936"/>
      <c r="GSW70" s="2936"/>
      <c r="GSX70" s="2936"/>
      <c r="GSY70" s="2936"/>
      <c r="GSZ70" s="2936"/>
      <c r="GTA70" s="2936"/>
      <c r="GTB70" s="2936"/>
      <c r="GTC70" s="2936"/>
      <c r="GTD70" s="2936"/>
      <c r="GTE70" s="2936"/>
      <c r="GTF70" s="2936"/>
      <c r="GTG70" s="2936"/>
      <c r="GTH70" s="2936"/>
      <c r="GTI70" s="2936"/>
      <c r="GTJ70" s="2936"/>
      <c r="GTK70" s="2936"/>
      <c r="GTL70" s="2936"/>
      <c r="GTM70" s="2936"/>
      <c r="GTN70" s="2936"/>
      <c r="GTO70" s="2936"/>
      <c r="GTP70" s="2936"/>
      <c r="GTQ70" s="2936"/>
      <c r="GTR70" s="2936"/>
      <c r="GTS70" s="2936"/>
      <c r="GTT70" s="2936"/>
      <c r="GTU70" s="2936"/>
      <c r="GTV70" s="2936"/>
      <c r="GTW70" s="2936"/>
      <c r="GTX70" s="2936"/>
      <c r="GTY70" s="2936"/>
      <c r="GTZ70" s="2936"/>
      <c r="GUA70" s="2936"/>
      <c r="GUB70" s="2936"/>
      <c r="GUC70" s="2936"/>
      <c r="GUD70" s="2936"/>
      <c r="GUE70" s="2936"/>
      <c r="GUF70" s="2936"/>
      <c r="GUG70" s="2936"/>
      <c r="GUH70" s="2936"/>
      <c r="GUI70" s="2936"/>
      <c r="GUJ70" s="2936"/>
      <c r="GUK70" s="2936"/>
      <c r="GUL70" s="2936"/>
      <c r="GUM70" s="2936"/>
      <c r="GUN70" s="2936"/>
      <c r="GUO70" s="2936"/>
      <c r="GUP70" s="2936"/>
      <c r="GUQ70" s="2936"/>
      <c r="GUR70" s="2936"/>
      <c r="GUS70" s="2936"/>
      <c r="GUT70" s="2936"/>
      <c r="GUU70" s="2936"/>
      <c r="GUV70" s="2936"/>
      <c r="GUW70" s="2936"/>
      <c r="GUX70" s="2936"/>
      <c r="GUY70" s="2936"/>
      <c r="GUZ70" s="2936"/>
      <c r="GVA70" s="2936"/>
      <c r="GVB70" s="2936"/>
      <c r="GVC70" s="2936"/>
      <c r="GVD70" s="2936"/>
      <c r="GVE70" s="2936"/>
      <c r="GVF70" s="2936"/>
      <c r="GVG70" s="2936"/>
      <c r="GVH70" s="2936"/>
      <c r="GVI70" s="2936"/>
      <c r="GVJ70" s="2936"/>
      <c r="GVK70" s="2936"/>
      <c r="GVL70" s="2936"/>
      <c r="GVM70" s="2936"/>
      <c r="GVN70" s="2936"/>
      <c r="GVO70" s="2936"/>
      <c r="GVP70" s="2936"/>
      <c r="GVQ70" s="2936"/>
      <c r="GVR70" s="2936"/>
      <c r="GVS70" s="2936"/>
      <c r="GVT70" s="2936"/>
      <c r="GVU70" s="2936"/>
      <c r="GVV70" s="2936"/>
      <c r="GVW70" s="2936"/>
      <c r="GVX70" s="2936"/>
      <c r="GVY70" s="2936"/>
      <c r="GVZ70" s="2936"/>
      <c r="GWA70" s="2936"/>
      <c r="GWB70" s="2936"/>
      <c r="GWC70" s="2936"/>
      <c r="GWD70" s="2936"/>
      <c r="GWE70" s="2936"/>
      <c r="GWF70" s="2936"/>
      <c r="GWG70" s="2936"/>
      <c r="GWH70" s="2936"/>
      <c r="GWI70" s="2936"/>
      <c r="GWJ70" s="2936"/>
      <c r="GWK70" s="2936"/>
      <c r="GWL70" s="2936"/>
      <c r="GWM70" s="2936"/>
      <c r="GWN70" s="2936"/>
      <c r="GWO70" s="2936"/>
      <c r="GWP70" s="2936"/>
      <c r="GWQ70" s="2936"/>
      <c r="GWR70" s="2936"/>
      <c r="GWS70" s="2936"/>
      <c r="GWT70" s="2936"/>
      <c r="GWU70" s="2936"/>
      <c r="GWV70" s="2936"/>
      <c r="GWW70" s="2936"/>
      <c r="GWX70" s="2936"/>
      <c r="GWY70" s="2936"/>
      <c r="GWZ70" s="2936"/>
      <c r="GXA70" s="2936"/>
      <c r="GXB70" s="2936"/>
      <c r="GXC70" s="2936"/>
      <c r="GXD70" s="2936"/>
      <c r="GXE70" s="2936"/>
      <c r="GXF70" s="2936"/>
      <c r="GXG70" s="2936"/>
      <c r="GXH70" s="2936"/>
      <c r="GXI70" s="2936"/>
      <c r="GXJ70" s="2936"/>
      <c r="GXK70" s="2936"/>
      <c r="GXL70" s="2936"/>
      <c r="GXM70" s="2936"/>
      <c r="GXN70" s="2936"/>
      <c r="GXO70" s="2936"/>
      <c r="GXP70" s="2936"/>
      <c r="GXQ70" s="2936"/>
      <c r="GXR70" s="2936"/>
      <c r="GXS70" s="2936"/>
      <c r="GXT70" s="2936"/>
      <c r="GXU70" s="2936"/>
      <c r="GXV70" s="2936"/>
      <c r="GXW70" s="2936"/>
      <c r="GXX70" s="2936"/>
      <c r="GXY70" s="2936"/>
      <c r="GXZ70" s="2936"/>
      <c r="GYA70" s="2936"/>
      <c r="GYB70" s="2936"/>
      <c r="GYC70" s="2936"/>
      <c r="GYD70" s="2936"/>
      <c r="GYE70" s="2936"/>
      <c r="GYF70" s="2936"/>
      <c r="GYG70" s="2936"/>
      <c r="GYH70" s="2936"/>
      <c r="GYI70" s="2936"/>
      <c r="GYJ70" s="2936"/>
      <c r="GYK70" s="2936"/>
      <c r="GYL70" s="2936"/>
      <c r="GYM70" s="2936"/>
      <c r="GYN70" s="2936"/>
      <c r="GYO70" s="2936"/>
      <c r="GYP70" s="2936"/>
      <c r="GYQ70" s="2936"/>
      <c r="GYR70" s="2936"/>
      <c r="GYS70" s="2936"/>
      <c r="GYT70" s="2936"/>
      <c r="GYU70" s="2936"/>
      <c r="GYV70" s="2936"/>
      <c r="GYW70" s="2936"/>
      <c r="GYX70" s="2936"/>
      <c r="GYY70" s="2936"/>
      <c r="GYZ70" s="2936"/>
      <c r="GZA70" s="2936"/>
      <c r="GZB70" s="2936"/>
      <c r="GZC70" s="2936"/>
      <c r="GZD70" s="2936"/>
      <c r="GZE70" s="2936"/>
      <c r="GZF70" s="2936"/>
      <c r="GZG70" s="2936"/>
      <c r="GZH70" s="2936"/>
      <c r="GZI70" s="2936"/>
      <c r="GZJ70" s="2936"/>
      <c r="GZK70" s="2936"/>
      <c r="GZL70" s="2936"/>
      <c r="GZM70" s="2936"/>
      <c r="GZN70" s="2936"/>
      <c r="GZO70" s="2936"/>
      <c r="GZP70" s="2936"/>
      <c r="GZQ70" s="2936"/>
      <c r="GZR70" s="2936"/>
      <c r="GZS70" s="2936"/>
      <c r="GZT70" s="2936"/>
      <c r="GZU70" s="2936"/>
      <c r="GZV70" s="2936"/>
      <c r="GZW70" s="2936"/>
      <c r="GZX70" s="2936"/>
      <c r="GZY70" s="2936"/>
      <c r="GZZ70" s="2936"/>
      <c r="HAA70" s="2936"/>
      <c r="HAB70" s="2936"/>
      <c r="HAC70" s="2936"/>
      <c r="HAD70" s="2936"/>
      <c r="HAE70" s="2936"/>
      <c r="HAF70" s="2936"/>
      <c r="HAG70" s="2936"/>
      <c r="HAH70" s="2936"/>
      <c r="HAI70" s="2936"/>
      <c r="HAJ70" s="2936"/>
      <c r="HAK70" s="2936"/>
      <c r="HAL70" s="2936"/>
      <c r="HAM70" s="2936"/>
      <c r="HAN70" s="2936"/>
      <c r="HAO70" s="2936"/>
      <c r="HAP70" s="2936"/>
      <c r="HAQ70" s="2936"/>
      <c r="HAR70" s="2936"/>
      <c r="HAS70" s="2936"/>
      <c r="HAT70" s="2936"/>
      <c r="HAU70" s="2936"/>
      <c r="HAV70" s="2936"/>
      <c r="HAW70" s="2936"/>
      <c r="HAX70" s="2936"/>
      <c r="HAY70" s="2936"/>
      <c r="HAZ70" s="2936"/>
      <c r="HBA70" s="2936"/>
      <c r="HBB70" s="2936"/>
      <c r="HBC70" s="2936"/>
      <c r="HBD70" s="2936"/>
      <c r="HBE70" s="2936"/>
      <c r="HBF70" s="2936"/>
      <c r="HBG70" s="2936"/>
      <c r="HBH70" s="2936"/>
      <c r="HBI70" s="2936"/>
      <c r="HBJ70" s="2936"/>
      <c r="HBK70" s="2936"/>
      <c r="HBL70" s="2936"/>
      <c r="HBM70" s="2936"/>
      <c r="HBN70" s="2936"/>
      <c r="HBO70" s="2936"/>
      <c r="HBP70" s="2936"/>
      <c r="HBQ70" s="2936"/>
      <c r="HBR70" s="2936"/>
      <c r="HBS70" s="2936"/>
      <c r="HBT70" s="2936"/>
      <c r="HBU70" s="2936"/>
      <c r="HBV70" s="2936"/>
      <c r="HBW70" s="2936"/>
      <c r="HBX70" s="2936"/>
      <c r="HBY70" s="2936"/>
      <c r="HBZ70" s="2936"/>
      <c r="HCA70" s="2936"/>
      <c r="HCB70" s="2936"/>
      <c r="HCC70" s="2936"/>
      <c r="HCD70" s="2936"/>
      <c r="HCE70" s="2936"/>
      <c r="HCF70" s="2936"/>
      <c r="HCG70" s="2936"/>
      <c r="HCH70" s="2936"/>
      <c r="HCI70" s="2936"/>
      <c r="HCJ70" s="2936"/>
      <c r="HCK70" s="2936"/>
      <c r="HCL70" s="2936"/>
      <c r="HCM70" s="2936"/>
      <c r="HCN70" s="2936"/>
      <c r="HCO70" s="2936"/>
      <c r="HCP70" s="2936"/>
      <c r="HCQ70" s="2936"/>
      <c r="HCR70" s="2936"/>
      <c r="HCS70" s="2936"/>
      <c r="HCT70" s="2936"/>
      <c r="HCU70" s="2936"/>
      <c r="HCV70" s="2936"/>
      <c r="HCW70" s="2936"/>
      <c r="HCX70" s="2936"/>
      <c r="HCY70" s="2936"/>
      <c r="HCZ70" s="2936"/>
      <c r="HDA70" s="2936"/>
      <c r="HDB70" s="2936"/>
      <c r="HDC70" s="2936"/>
      <c r="HDD70" s="2936"/>
      <c r="HDE70" s="2936"/>
      <c r="HDF70" s="2936"/>
      <c r="HDG70" s="2936"/>
      <c r="HDH70" s="2936"/>
      <c r="HDI70" s="2936"/>
      <c r="HDJ70" s="2936"/>
      <c r="HDK70" s="2936"/>
      <c r="HDL70" s="2936"/>
      <c r="HDM70" s="2936"/>
      <c r="HDN70" s="2936"/>
      <c r="HDO70" s="2936"/>
      <c r="HDP70" s="2936"/>
      <c r="HDQ70" s="2936"/>
      <c r="HDR70" s="2936"/>
      <c r="HDS70" s="2936"/>
      <c r="HDT70" s="2936"/>
      <c r="HDU70" s="2936"/>
      <c r="HDV70" s="2936"/>
      <c r="HDW70" s="2936"/>
      <c r="HDX70" s="2936"/>
      <c r="HDY70" s="2936"/>
      <c r="HDZ70" s="2936"/>
      <c r="HEA70" s="2936"/>
      <c r="HEB70" s="2936"/>
      <c r="HEC70" s="2936"/>
      <c r="HED70" s="2936"/>
      <c r="HEE70" s="2936"/>
      <c r="HEF70" s="2936"/>
      <c r="HEG70" s="2936"/>
      <c r="HEH70" s="2936"/>
      <c r="HEI70" s="2936"/>
      <c r="HEJ70" s="2936"/>
      <c r="HEK70" s="2936"/>
      <c r="HEL70" s="2936"/>
      <c r="HEM70" s="2936"/>
      <c r="HEN70" s="2936"/>
      <c r="HEO70" s="2936"/>
      <c r="HEP70" s="2936"/>
      <c r="HEQ70" s="2936"/>
      <c r="HER70" s="2936"/>
      <c r="HES70" s="2936"/>
      <c r="HET70" s="2936"/>
      <c r="HEU70" s="2936"/>
      <c r="HEV70" s="2936"/>
      <c r="HEW70" s="2936"/>
      <c r="HEX70" s="2936"/>
      <c r="HEY70" s="2936"/>
      <c r="HEZ70" s="2936"/>
      <c r="HFA70" s="2936"/>
      <c r="HFB70" s="2936"/>
      <c r="HFC70" s="2936"/>
      <c r="HFD70" s="2936"/>
      <c r="HFE70" s="2936"/>
      <c r="HFF70" s="2936"/>
      <c r="HFG70" s="2936"/>
      <c r="HFH70" s="2936"/>
      <c r="HFI70" s="2936"/>
      <c r="HFJ70" s="2936"/>
      <c r="HFK70" s="2936"/>
      <c r="HFL70" s="2936"/>
      <c r="HFM70" s="2936"/>
      <c r="HFN70" s="2936"/>
      <c r="HFO70" s="2936"/>
      <c r="HFP70" s="2936"/>
      <c r="HFQ70" s="2936"/>
      <c r="HFR70" s="2936"/>
      <c r="HFS70" s="2936"/>
      <c r="HFT70" s="2936"/>
      <c r="HFU70" s="2936"/>
      <c r="HFV70" s="2936"/>
      <c r="HFW70" s="2936"/>
      <c r="HFX70" s="2936"/>
      <c r="HFY70" s="2936"/>
      <c r="HFZ70" s="2936"/>
      <c r="HGA70" s="2936"/>
      <c r="HGB70" s="2936"/>
      <c r="HGC70" s="2936"/>
      <c r="HGD70" s="2936"/>
      <c r="HGE70" s="2936"/>
      <c r="HGF70" s="2936"/>
      <c r="HGG70" s="2936"/>
      <c r="HGH70" s="2936"/>
      <c r="HGI70" s="2936"/>
      <c r="HGJ70" s="2936"/>
      <c r="HGK70" s="2936"/>
      <c r="HGL70" s="2936"/>
      <c r="HGM70" s="2936"/>
      <c r="HGN70" s="2936"/>
      <c r="HGO70" s="2936"/>
      <c r="HGP70" s="2936"/>
      <c r="HGQ70" s="2936"/>
      <c r="HGR70" s="2936"/>
      <c r="HGS70" s="2936"/>
      <c r="HGT70" s="2936"/>
      <c r="HGU70" s="2936"/>
      <c r="HGV70" s="2936"/>
      <c r="HGW70" s="2936"/>
      <c r="HGX70" s="2936"/>
      <c r="HGY70" s="2936"/>
      <c r="HGZ70" s="2936"/>
      <c r="HHA70" s="2936"/>
      <c r="HHB70" s="2936"/>
      <c r="HHC70" s="2936"/>
      <c r="HHD70" s="2936"/>
      <c r="HHE70" s="2936"/>
      <c r="HHF70" s="2936"/>
      <c r="HHG70" s="2936"/>
      <c r="HHH70" s="2936"/>
      <c r="HHI70" s="2936"/>
      <c r="HHJ70" s="2936"/>
      <c r="HHK70" s="2936"/>
      <c r="HHL70" s="2936"/>
      <c r="HHM70" s="2936"/>
      <c r="HHN70" s="2936"/>
      <c r="HHO70" s="2936"/>
      <c r="HHP70" s="2936"/>
      <c r="HHQ70" s="2936"/>
      <c r="HHR70" s="2936"/>
      <c r="HHS70" s="2936"/>
      <c r="HHT70" s="2936"/>
      <c r="HHU70" s="2936"/>
      <c r="HHV70" s="2936"/>
      <c r="HHW70" s="2936"/>
      <c r="HHX70" s="2936"/>
      <c r="HHY70" s="2936"/>
      <c r="HHZ70" s="2936"/>
      <c r="HIA70" s="2936"/>
      <c r="HIB70" s="2936"/>
      <c r="HIC70" s="2936"/>
      <c r="HID70" s="2936"/>
      <c r="HIE70" s="2936"/>
      <c r="HIF70" s="2936"/>
      <c r="HIG70" s="2936"/>
      <c r="HIH70" s="2936"/>
      <c r="HII70" s="2936"/>
      <c r="HIJ70" s="2936"/>
      <c r="HIK70" s="2936"/>
      <c r="HIL70" s="2936"/>
      <c r="HIM70" s="2936"/>
      <c r="HIN70" s="2936"/>
      <c r="HIO70" s="2936"/>
      <c r="HIP70" s="2936"/>
      <c r="HIQ70" s="2936"/>
      <c r="HIR70" s="2936"/>
      <c r="HIS70" s="2936"/>
      <c r="HIT70" s="2936"/>
      <c r="HIU70" s="2936"/>
      <c r="HIV70" s="2936"/>
      <c r="HIW70" s="2936"/>
      <c r="HIX70" s="2936"/>
      <c r="HIY70" s="2936"/>
      <c r="HIZ70" s="2936"/>
      <c r="HJA70" s="2936"/>
      <c r="HJB70" s="2936"/>
      <c r="HJC70" s="2936"/>
      <c r="HJD70" s="2936"/>
      <c r="HJE70" s="2936"/>
      <c r="HJF70" s="2936"/>
      <c r="HJG70" s="2936"/>
      <c r="HJH70" s="2936"/>
      <c r="HJI70" s="2936"/>
      <c r="HJJ70" s="2936"/>
      <c r="HJK70" s="2936"/>
      <c r="HJL70" s="2936"/>
      <c r="HJM70" s="2936"/>
      <c r="HJN70" s="2936"/>
      <c r="HJO70" s="2936"/>
      <c r="HJP70" s="2936"/>
      <c r="HJQ70" s="2936"/>
      <c r="HJR70" s="2936"/>
      <c r="HJS70" s="2936"/>
      <c r="HJT70" s="2936"/>
      <c r="HJU70" s="2936"/>
      <c r="HJV70" s="2936"/>
      <c r="HJW70" s="2936"/>
      <c r="HJX70" s="2936"/>
      <c r="HJY70" s="2936"/>
      <c r="HJZ70" s="2936"/>
      <c r="HKA70" s="2936"/>
      <c r="HKB70" s="2936"/>
      <c r="HKC70" s="2936"/>
      <c r="HKD70" s="2936"/>
      <c r="HKE70" s="2936"/>
      <c r="HKF70" s="2936"/>
      <c r="HKG70" s="2936"/>
      <c r="HKH70" s="2936"/>
      <c r="HKI70" s="2936"/>
      <c r="HKJ70" s="2936"/>
      <c r="HKK70" s="2936"/>
      <c r="HKL70" s="2936"/>
      <c r="HKM70" s="2936"/>
      <c r="HKN70" s="2936"/>
      <c r="HKO70" s="2936"/>
      <c r="HKP70" s="2936"/>
      <c r="HKQ70" s="2936"/>
      <c r="HKR70" s="2936"/>
      <c r="HKS70" s="2936"/>
      <c r="HKT70" s="2936"/>
      <c r="HKU70" s="2936"/>
      <c r="HKV70" s="2936"/>
      <c r="HKW70" s="2936"/>
      <c r="HKX70" s="2936"/>
      <c r="HKY70" s="2936"/>
      <c r="HKZ70" s="2936"/>
      <c r="HLA70" s="2936"/>
      <c r="HLB70" s="2936"/>
      <c r="HLC70" s="2936"/>
      <c r="HLD70" s="2936"/>
      <c r="HLE70" s="2936"/>
      <c r="HLF70" s="2936"/>
      <c r="HLG70" s="2936"/>
      <c r="HLH70" s="2936"/>
      <c r="HLI70" s="2936"/>
      <c r="HLJ70" s="2936"/>
      <c r="HLK70" s="2936"/>
      <c r="HLL70" s="2936"/>
      <c r="HLM70" s="2936"/>
      <c r="HLN70" s="2936"/>
      <c r="HLO70" s="2936"/>
      <c r="HLP70" s="2936"/>
      <c r="HLQ70" s="2936"/>
      <c r="HLR70" s="2936"/>
      <c r="HLS70" s="2936"/>
      <c r="HLT70" s="2936"/>
      <c r="HLU70" s="2936"/>
      <c r="HLV70" s="2936"/>
      <c r="HLW70" s="2936"/>
      <c r="HLX70" s="2936"/>
      <c r="HLY70" s="2936"/>
      <c r="HLZ70" s="2936"/>
      <c r="HMA70" s="2936"/>
      <c r="HMB70" s="2936"/>
      <c r="HMC70" s="2936"/>
      <c r="HMD70" s="2936"/>
      <c r="HME70" s="2936"/>
      <c r="HMF70" s="2936"/>
      <c r="HMG70" s="2936"/>
      <c r="HMH70" s="2936"/>
      <c r="HMI70" s="2936"/>
      <c r="HMJ70" s="2936"/>
      <c r="HMK70" s="2936"/>
      <c r="HML70" s="2936"/>
      <c r="HMM70" s="2936"/>
      <c r="HMN70" s="2936"/>
      <c r="HMO70" s="2936"/>
      <c r="HMP70" s="2936"/>
      <c r="HMQ70" s="2936"/>
      <c r="HMR70" s="2936"/>
      <c r="HMS70" s="2936"/>
      <c r="HMT70" s="2936"/>
      <c r="HMU70" s="2936"/>
      <c r="HMV70" s="2936"/>
      <c r="HMW70" s="2936"/>
      <c r="HMX70" s="2936"/>
      <c r="HMY70" s="2936"/>
      <c r="HMZ70" s="2936"/>
      <c r="HNA70" s="2936"/>
      <c r="HNB70" s="2936"/>
      <c r="HNC70" s="2936"/>
      <c r="HND70" s="2936"/>
      <c r="HNE70" s="2936"/>
      <c r="HNF70" s="2936"/>
      <c r="HNG70" s="2936"/>
      <c r="HNH70" s="2936"/>
      <c r="HNI70" s="2936"/>
      <c r="HNJ70" s="2936"/>
      <c r="HNK70" s="2936"/>
      <c r="HNL70" s="2936"/>
      <c r="HNM70" s="2936"/>
      <c r="HNN70" s="2936"/>
      <c r="HNO70" s="2936"/>
      <c r="HNP70" s="2936"/>
      <c r="HNQ70" s="2936"/>
      <c r="HNR70" s="2936"/>
      <c r="HNS70" s="2936"/>
      <c r="HNT70" s="2936"/>
      <c r="HNU70" s="2936"/>
      <c r="HNV70" s="2936"/>
      <c r="HNW70" s="2936"/>
      <c r="HNX70" s="2936"/>
      <c r="HNY70" s="2936"/>
      <c r="HNZ70" s="2936"/>
      <c r="HOA70" s="2936"/>
      <c r="HOB70" s="2936"/>
      <c r="HOC70" s="2936"/>
      <c r="HOD70" s="2936"/>
      <c r="HOE70" s="2936"/>
      <c r="HOF70" s="2936"/>
      <c r="HOG70" s="2936"/>
      <c r="HOH70" s="2936"/>
      <c r="HOI70" s="2936"/>
      <c r="HOJ70" s="2936"/>
      <c r="HOK70" s="2936"/>
      <c r="HOL70" s="2936"/>
      <c r="HOM70" s="2936"/>
      <c r="HON70" s="2936"/>
      <c r="HOO70" s="2936"/>
      <c r="HOP70" s="2936"/>
      <c r="HOQ70" s="2936"/>
      <c r="HOR70" s="2936"/>
      <c r="HOS70" s="2936"/>
      <c r="HOT70" s="2936"/>
      <c r="HOU70" s="2936"/>
      <c r="HOV70" s="2936"/>
      <c r="HOW70" s="2936"/>
      <c r="HOX70" s="2936"/>
      <c r="HOY70" s="2936"/>
      <c r="HOZ70" s="2936"/>
      <c r="HPA70" s="2936"/>
      <c r="HPB70" s="2936"/>
      <c r="HPC70" s="2936"/>
      <c r="HPD70" s="2936"/>
      <c r="HPE70" s="2936"/>
      <c r="HPF70" s="2936"/>
      <c r="HPG70" s="2936"/>
      <c r="HPH70" s="2936"/>
      <c r="HPI70" s="2936"/>
      <c r="HPJ70" s="2936"/>
      <c r="HPK70" s="2936"/>
      <c r="HPL70" s="2936"/>
      <c r="HPM70" s="2936"/>
      <c r="HPN70" s="2936"/>
      <c r="HPO70" s="2936"/>
      <c r="HPP70" s="2936"/>
      <c r="HPQ70" s="2936"/>
      <c r="HPR70" s="2936"/>
      <c r="HPS70" s="2936"/>
      <c r="HPT70" s="2936"/>
      <c r="HPU70" s="2936"/>
      <c r="HPV70" s="2936"/>
      <c r="HPW70" s="2936"/>
      <c r="HPX70" s="2936"/>
      <c r="HPY70" s="2936"/>
      <c r="HPZ70" s="2936"/>
      <c r="HQA70" s="2936"/>
      <c r="HQB70" s="2936"/>
      <c r="HQC70" s="2936"/>
      <c r="HQD70" s="2936"/>
      <c r="HQE70" s="2936"/>
      <c r="HQF70" s="2936"/>
      <c r="HQG70" s="2936"/>
      <c r="HQH70" s="2936"/>
      <c r="HQI70" s="2936"/>
      <c r="HQJ70" s="2936"/>
      <c r="HQK70" s="2936"/>
      <c r="HQL70" s="2936"/>
      <c r="HQM70" s="2936"/>
      <c r="HQN70" s="2936"/>
      <c r="HQO70" s="2936"/>
      <c r="HQP70" s="2936"/>
      <c r="HQQ70" s="2936"/>
      <c r="HQR70" s="2936"/>
      <c r="HQS70" s="2936"/>
      <c r="HQT70" s="2936"/>
      <c r="HQU70" s="2936"/>
      <c r="HQV70" s="2936"/>
      <c r="HQW70" s="2936"/>
      <c r="HQX70" s="2936"/>
      <c r="HQY70" s="2936"/>
      <c r="HQZ70" s="2936"/>
      <c r="HRA70" s="2936"/>
      <c r="HRB70" s="2936"/>
      <c r="HRC70" s="2936"/>
      <c r="HRD70" s="2936"/>
      <c r="HRE70" s="2936"/>
      <c r="HRF70" s="2936"/>
      <c r="HRG70" s="2936"/>
      <c r="HRH70" s="2936"/>
      <c r="HRI70" s="2936"/>
      <c r="HRJ70" s="2936"/>
      <c r="HRK70" s="2936"/>
      <c r="HRL70" s="2936"/>
      <c r="HRM70" s="2936"/>
      <c r="HRN70" s="2936"/>
      <c r="HRO70" s="2936"/>
      <c r="HRP70" s="2936"/>
      <c r="HRQ70" s="2936"/>
      <c r="HRR70" s="2936"/>
      <c r="HRS70" s="2936"/>
      <c r="HRT70" s="2936"/>
      <c r="HRU70" s="2936"/>
      <c r="HRV70" s="2936"/>
      <c r="HRW70" s="2936"/>
      <c r="HRX70" s="2936"/>
      <c r="HRY70" s="2936"/>
      <c r="HRZ70" s="2936"/>
      <c r="HSA70" s="2936"/>
      <c r="HSB70" s="2936"/>
      <c r="HSC70" s="2936"/>
      <c r="HSD70" s="2936"/>
      <c r="HSE70" s="2936"/>
      <c r="HSF70" s="2936"/>
      <c r="HSG70" s="2936"/>
      <c r="HSH70" s="2936"/>
      <c r="HSI70" s="2936"/>
      <c r="HSJ70" s="2936"/>
      <c r="HSK70" s="2936"/>
      <c r="HSL70" s="2936"/>
      <c r="HSM70" s="2936"/>
      <c r="HSN70" s="2936"/>
      <c r="HSO70" s="2936"/>
      <c r="HSP70" s="2936"/>
      <c r="HSQ70" s="2936"/>
      <c r="HSR70" s="2936"/>
      <c r="HSS70" s="2936"/>
      <c r="HST70" s="2936"/>
      <c r="HSU70" s="2936"/>
      <c r="HSV70" s="2936"/>
      <c r="HSW70" s="2936"/>
      <c r="HSX70" s="2936"/>
      <c r="HSY70" s="2936"/>
      <c r="HSZ70" s="2936"/>
      <c r="HTA70" s="2936"/>
      <c r="HTB70" s="2936"/>
      <c r="HTC70" s="2936"/>
      <c r="HTD70" s="2936"/>
      <c r="HTE70" s="2936"/>
      <c r="HTF70" s="2936"/>
      <c r="HTG70" s="2936"/>
      <c r="HTH70" s="2936"/>
      <c r="HTI70" s="2936"/>
      <c r="HTJ70" s="2936"/>
      <c r="HTK70" s="2936"/>
      <c r="HTL70" s="2936"/>
      <c r="HTM70" s="2936"/>
      <c r="HTN70" s="2936"/>
      <c r="HTO70" s="2936"/>
      <c r="HTP70" s="2936"/>
      <c r="HTQ70" s="2936"/>
      <c r="HTR70" s="2936"/>
      <c r="HTS70" s="2936"/>
      <c r="HTT70" s="2936"/>
      <c r="HTU70" s="2936"/>
      <c r="HTV70" s="2936"/>
      <c r="HTW70" s="2936"/>
      <c r="HTX70" s="2936"/>
      <c r="HTY70" s="2936"/>
      <c r="HTZ70" s="2936"/>
      <c r="HUA70" s="2936"/>
      <c r="HUB70" s="2936"/>
      <c r="HUC70" s="2936"/>
      <c r="HUD70" s="2936"/>
      <c r="HUE70" s="2936"/>
      <c r="HUF70" s="2936"/>
      <c r="HUG70" s="2936"/>
      <c r="HUH70" s="2936"/>
      <c r="HUI70" s="2936"/>
      <c r="HUJ70" s="2936"/>
      <c r="HUK70" s="2936"/>
      <c r="HUL70" s="2936"/>
      <c r="HUM70" s="2936"/>
      <c r="HUN70" s="2936"/>
      <c r="HUO70" s="2936"/>
      <c r="HUP70" s="2936"/>
      <c r="HUQ70" s="2936"/>
      <c r="HUR70" s="2936"/>
      <c r="HUS70" s="2936"/>
      <c r="HUT70" s="2936"/>
      <c r="HUU70" s="2936"/>
      <c r="HUV70" s="2936"/>
      <c r="HUW70" s="2936"/>
      <c r="HUX70" s="2936"/>
      <c r="HUY70" s="2936"/>
      <c r="HUZ70" s="2936"/>
      <c r="HVA70" s="2936"/>
      <c r="HVB70" s="2936"/>
      <c r="HVC70" s="2936"/>
      <c r="HVD70" s="2936"/>
      <c r="HVE70" s="2936"/>
      <c r="HVF70" s="2936"/>
      <c r="HVG70" s="2936"/>
      <c r="HVH70" s="2936"/>
      <c r="HVI70" s="2936"/>
      <c r="HVJ70" s="2936"/>
      <c r="HVK70" s="2936"/>
      <c r="HVL70" s="2936"/>
      <c r="HVM70" s="2936"/>
      <c r="HVN70" s="2936"/>
      <c r="HVO70" s="2936"/>
      <c r="HVP70" s="2936"/>
      <c r="HVQ70" s="2936"/>
      <c r="HVR70" s="2936"/>
      <c r="HVS70" s="2936"/>
      <c r="HVT70" s="2936"/>
      <c r="HVU70" s="2936"/>
      <c r="HVV70" s="2936"/>
      <c r="HVW70" s="2936"/>
      <c r="HVX70" s="2936"/>
      <c r="HVY70" s="2936"/>
      <c r="HVZ70" s="2936"/>
      <c r="HWA70" s="2936"/>
      <c r="HWB70" s="2936"/>
      <c r="HWC70" s="2936"/>
      <c r="HWD70" s="2936"/>
      <c r="HWE70" s="2936"/>
      <c r="HWF70" s="2936"/>
      <c r="HWG70" s="2936"/>
      <c r="HWH70" s="2936"/>
      <c r="HWI70" s="2936"/>
      <c r="HWJ70" s="2936"/>
      <c r="HWK70" s="2936"/>
      <c r="HWL70" s="2936"/>
      <c r="HWM70" s="2936"/>
      <c r="HWN70" s="2936"/>
      <c r="HWO70" s="2936"/>
      <c r="HWP70" s="2936"/>
      <c r="HWQ70" s="2936"/>
      <c r="HWR70" s="2936"/>
      <c r="HWS70" s="2936"/>
      <c r="HWT70" s="2936"/>
      <c r="HWU70" s="2936"/>
      <c r="HWV70" s="2936"/>
      <c r="HWW70" s="2936"/>
      <c r="HWX70" s="2936"/>
      <c r="HWY70" s="2936"/>
      <c r="HWZ70" s="2936"/>
      <c r="HXA70" s="2936"/>
      <c r="HXB70" s="2936"/>
      <c r="HXC70" s="2936"/>
      <c r="HXD70" s="2936"/>
      <c r="HXE70" s="2936"/>
      <c r="HXF70" s="2936"/>
      <c r="HXG70" s="2936"/>
      <c r="HXH70" s="2936"/>
      <c r="HXI70" s="2936"/>
      <c r="HXJ70" s="2936"/>
      <c r="HXK70" s="2936"/>
      <c r="HXL70" s="2936"/>
      <c r="HXM70" s="2936"/>
      <c r="HXN70" s="2936"/>
      <c r="HXO70" s="2936"/>
      <c r="HXP70" s="2936"/>
      <c r="HXQ70" s="2936"/>
      <c r="HXR70" s="2936"/>
      <c r="HXS70" s="2936"/>
      <c r="HXT70" s="2936"/>
      <c r="HXU70" s="2936"/>
      <c r="HXV70" s="2936"/>
      <c r="HXW70" s="2936"/>
      <c r="HXX70" s="2936"/>
      <c r="HXY70" s="2936"/>
      <c r="HXZ70" s="2936"/>
      <c r="HYA70" s="2936"/>
      <c r="HYB70" s="2936"/>
      <c r="HYC70" s="2936"/>
      <c r="HYD70" s="2936"/>
      <c r="HYE70" s="2936"/>
      <c r="HYF70" s="2936"/>
      <c r="HYG70" s="2936"/>
      <c r="HYH70" s="2936"/>
      <c r="HYI70" s="2936"/>
      <c r="HYJ70" s="2936"/>
      <c r="HYK70" s="2936"/>
      <c r="HYL70" s="2936"/>
      <c r="HYM70" s="2936"/>
      <c r="HYN70" s="2936"/>
      <c r="HYO70" s="2936"/>
      <c r="HYP70" s="2936"/>
      <c r="HYQ70" s="2936"/>
      <c r="HYR70" s="2936"/>
      <c r="HYS70" s="2936"/>
      <c r="HYT70" s="2936"/>
      <c r="HYU70" s="2936"/>
      <c r="HYV70" s="2936"/>
      <c r="HYW70" s="2936"/>
      <c r="HYX70" s="2936"/>
      <c r="HYY70" s="2936"/>
      <c r="HYZ70" s="2936"/>
      <c r="HZA70" s="2936"/>
      <c r="HZB70" s="2936"/>
      <c r="HZC70" s="2936"/>
      <c r="HZD70" s="2936"/>
      <c r="HZE70" s="2936"/>
      <c r="HZF70" s="2936"/>
      <c r="HZG70" s="2936"/>
      <c r="HZH70" s="2936"/>
      <c r="HZI70" s="2936"/>
      <c r="HZJ70" s="2936"/>
      <c r="HZK70" s="2936"/>
      <c r="HZL70" s="2936"/>
      <c r="HZM70" s="2936"/>
      <c r="HZN70" s="2936"/>
      <c r="HZO70" s="2936"/>
      <c r="HZP70" s="2936"/>
      <c r="HZQ70" s="2936"/>
      <c r="HZR70" s="2936"/>
      <c r="HZS70" s="2936"/>
      <c r="HZT70" s="2936"/>
      <c r="HZU70" s="2936"/>
      <c r="HZV70" s="2936"/>
      <c r="HZW70" s="2936"/>
      <c r="HZX70" s="2936"/>
      <c r="HZY70" s="2936"/>
      <c r="HZZ70" s="2936"/>
      <c r="IAA70" s="2936"/>
      <c r="IAB70" s="2936"/>
      <c r="IAC70" s="2936"/>
      <c r="IAD70" s="2936"/>
      <c r="IAE70" s="2936"/>
      <c r="IAF70" s="2936"/>
      <c r="IAG70" s="2936"/>
      <c r="IAH70" s="2936"/>
      <c r="IAI70" s="2936"/>
      <c r="IAJ70" s="2936"/>
      <c r="IAK70" s="2936"/>
      <c r="IAL70" s="2936"/>
      <c r="IAM70" s="2936"/>
      <c r="IAN70" s="2936"/>
      <c r="IAO70" s="2936"/>
      <c r="IAP70" s="2936"/>
      <c r="IAQ70" s="2936"/>
      <c r="IAR70" s="2936"/>
      <c r="IAS70" s="2936"/>
      <c r="IAT70" s="2936"/>
      <c r="IAU70" s="2936"/>
      <c r="IAV70" s="2936"/>
      <c r="IAW70" s="2936"/>
      <c r="IAX70" s="2936"/>
      <c r="IAY70" s="2936"/>
      <c r="IAZ70" s="2936"/>
      <c r="IBA70" s="2936"/>
      <c r="IBB70" s="2936"/>
      <c r="IBC70" s="2936"/>
      <c r="IBD70" s="2936"/>
      <c r="IBE70" s="2936"/>
      <c r="IBF70" s="2936"/>
      <c r="IBG70" s="2936"/>
      <c r="IBH70" s="2936"/>
      <c r="IBI70" s="2936"/>
      <c r="IBJ70" s="2936"/>
      <c r="IBK70" s="2936"/>
      <c r="IBL70" s="2936"/>
      <c r="IBM70" s="2936"/>
      <c r="IBN70" s="2936"/>
      <c r="IBO70" s="2936"/>
      <c r="IBP70" s="2936"/>
      <c r="IBQ70" s="2936"/>
      <c r="IBR70" s="2936"/>
      <c r="IBS70" s="2936"/>
      <c r="IBT70" s="2936"/>
      <c r="IBU70" s="2936"/>
      <c r="IBV70" s="2936"/>
      <c r="IBW70" s="2936"/>
      <c r="IBX70" s="2936"/>
      <c r="IBY70" s="2936"/>
      <c r="IBZ70" s="2936"/>
      <c r="ICA70" s="2936"/>
      <c r="ICB70" s="2936"/>
      <c r="ICC70" s="2936"/>
      <c r="ICD70" s="2936"/>
      <c r="ICE70" s="2936"/>
      <c r="ICF70" s="2936"/>
      <c r="ICG70" s="2936"/>
      <c r="ICH70" s="2936"/>
      <c r="ICI70" s="2936"/>
      <c r="ICJ70" s="2936"/>
      <c r="ICK70" s="2936"/>
      <c r="ICL70" s="2936"/>
      <c r="ICM70" s="2936"/>
      <c r="ICN70" s="2936"/>
      <c r="ICO70" s="2936"/>
      <c r="ICP70" s="2936"/>
      <c r="ICQ70" s="2936"/>
      <c r="ICR70" s="2936"/>
      <c r="ICS70" s="2936"/>
      <c r="ICT70" s="2936"/>
      <c r="ICU70" s="2936"/>
      <c r="ICV70" s="2936"/>
      <c r="ICW70" s="2936"/>
      <c r="ICX70" s="2936"/>
      <c r="ICY70" s="2936"/>
      <c r="ICZ70" s="2936"/>
      <c r="IDA70" s="2936"/>
      <c r="IDB70" s="2936"/>
      <c r="IDC70" s="2936"/>
      <c r="IDD70" s="2936"/>
      <c r="IDE70" s="2936"/>
      <c r="IDF70" s="2936"/>
      <c r="IDG70" s="2936"/>
      <c r="IDH70" s="2936"/>
      <c r="IDI70" s="2936"/>
      <c r="IDJ70" s="2936"/>
      <c r="IDK70" s="2936"/>
      <c r="IDL70" s="2936"/>
      <c r="IDM70" s="2936"/>
      <c r="IDN70" s="2936"/>
      <c r="IDO70" s="2936"/>
      <c r="IDP70" s="2936"/>
      <c r="IDQ70" s="2936"/>
      <c r="IDR70" s="2936"/>
      <c r="IDS70" s="2936"/>
      <c r="IDT70" s="2936"/>
      <c r="IDU70" s="2936"/>
      <c r="IDV70" s="2936"/>
      <c r="IDW70" s="2936"/>
      <c r="IDX70" s="2936"/>
      <c r="IDY70" s="2936"/>
      <c r="IDZ70" s="2936"/>
      <c r="IEA70" s="2936"/>
      <c r="IEB70" s="2936"/>
      <c r="IEC70" s="2936"/>
      <c r="IED70" s="2936"/>
      <c r="IEE70" s="2936"/>
      <c r="IEF70" s="2936"/>
      <c r="IEG70" s="2936"/>
      <c r="IEH70" s="2936"/>
      <c r="IEI70" s="2936"/>
      <c r="IEJ70" s="2936"/>
      <c r="IEK70" s="2936"/>
      <c r="IEL70" s="2936"/>
      <c r="IEM70" s="2936"/>
      <c r="IEN70" s="2936"/>
      <c r="IEO70" s="2936"/>
      <c r="IEP70" s="2936"/>
      <c r="IEQ70" s="2936"/>
      <c r="IER70" s="2936"/>
      <c r="IES70" s="2936"/>
      <c r="IET70" s="2936"/>
      <c r="IEU70" s="2936"/>
      <c r="IEV70" s="2936"/>
      <c r="IEW70" s="2936"/>
      <c r="IEX70" s="2936"/>
      <c r="IEY70" s="2936"/>
      <c r="IEZ70" s="2936"/>
      <c r="IFA70" s="2936"/>
      <c r="IFB70" s="2936"/>
      <c r="IFC70" s="2936"/>
      <c r="IFD70" s="2936"/>
      <c r="IFE70" s="2936"/>
      <c r="IFF70" s="2936"/>
      <c r="IFG70" s="2936"/>
      <c r="IFH70" s="2936"/>
      <c r="IFI70" s="2936"/>
      <c r="IFJ70" s="2936"/>
      <c r="IFK70" s="2936"/>
      <c r="IFL70" s="2936"/>
      <c r="IFM70" s="2936"/>
      <c r="IFN70" s="2936"/>
      <c r="IFO70" s="2936"/>
      <c r="IFP70" s="2936"/>
      <c r="IFQ70" s="2936"/>
      <c r="IFR70" s="2936"/>
      <c r="IFS70" s="2936"/>
      <c r="IFT70" s="2936"/>
      <c r="IFU70" s="2936"/>
      <c r="IFV70" s="2936"/>
      <c r="IFW70" s="2936"/>
      <c r="IFX70" s="2936"/>
      <c r="IFY70" s="2936"/>
      <c r="IFZ70" s="2936"/>
      <c r="IGA70" s="2936"/>
      <c r="IGB70" s="2936"/>
      <c r="IGC70" s="2936"/>
      <c r="IGD70" s="2936"/>
      <c r="IGE70" s="2936"/>
      <c r="IGF70" s="2936"/>
      <c r="IGG70" s="2936"/>
      <c r="IGH70" s="2936"/>
      <c r="IGI70" s="2936"/>
      <c r="IGJ70" s="2936"/>
      <c r="IGK70" s="2936"/>
      <c r="IGL70" s="2936"/>
      <c r="IGM70" s="2936"/>
      <c r="IGN70" s="2936"/>
      <c r="IGO70" s="2936"/>
      <c r="IGP70" s="2936"/>
      <c r="IGQ70" s="2936"/>
      <c r="IGR70" s="2936"/>
      <c r="IGS70" s="2936"/>
      <c r="IGT70" s="2936"/>
      <c r="IGU70" s="2936"/>
      <c r="IGV70" s="2936"/>
      <c r="IGW70" s="2936"/>
      <c r="IGX70" s="2936"/>
      <c r="IGY70" s="2936"/>
      <c r="IGZ70" s="2936"/>
      <c r="IHA70" s="2936"/>
      <c r="IHB70" s="2936"/>
      <c r="IHC70" s="2936"/>
      <c r="IHD70" s="2936"/>
      <c r="IHE70" s="2936"/>
      <c r="IHF70" s="2936"/>
      <c r="IHG70" s="2936"/>
      <c r="IHH70" s="2936"/>
      <c r="IHI70" s="2936"/>
      <c r="IHJ70" s="2936"/>
      <c r="IHK70" s="2936"/>
      <c r="IHL70" s="2936"/>
      <c r="IHM70" s="2936"/>
      <c r="IHN70" s="2936"/>
      <c r="IHO70" s="2936"/>
      <c r="IHP70" s="2936"/>
      <c r="IHQ70" s="2936"/>
      <c r="IHR70" s="2936"/>
      <c r="IHS70" s="2936"/>
      <c r="IHT70" s="2936"/>
      <c r="IHU70" s="2936"/>
      <c r="IHV70" s="2936"/>
      <c r="IHW70" s="2936"/>
      <c r="IHX70" s="2936"/>
      <c r="IHY70" s="2936"/>
      <c r="IHZ70" s="2936"/>
      <c r="IIA70" s="2936"/>
      <c r="IIB70" s="2936"/>
      <c r="IIC70" s="2936"/>
      <c r="IID70" s="2936"/>
      <c r="IIE70" s="2936"/>
      <c r="IIF70" s="2936"/>
      <c r="IIG70" s="2936"/>
      <c r="IIH70" s="2936"/>
      <c r="III70" s="2936"/>
      <c r="IIJ70" s="2936"/>
      <c r="IIK70" s="2936"/>
      <c r="IIL70" s="2936"/>
      <c r="IIM70" s="2936"/>
      <c r="IIN70" s="2936"/>
      <c r="IIO70" s="2936"/>
      <c r="IIP70" s="2936"/>
      <c r="IIQ70" s="2936"/>
      <c r="IIR70" s="2936"/>
      <c r="IIS70" s="2936"/>
      <c r="IIT70" s="2936"/>
      <c r="IIU70" s="2936"/>
      <c r="IIV70" s="2936"/>
      <c r="IIW70" s="2936"/>
      <c r="IIX70" s="2936"/>
      <c r="IIY70" s="2936"/>
      <c r="IIZ70" s="2936"/>
      <c r="IJA70" s="2936"/>
      <c r="IJB70" s="2936"/>
      <c r="IJC70" s="2936"/>
      <c r="IJD70" s="2936"/>
      <c r="IJE70" s="2936"/>
      <c r="IJF70" s="2936"/>
      <c r="IJG70" s="2936"/>
      <c r="IJH70" s="2936"/>
      <c r="IJI70" s="2936"/>
      <c r="IJJ70" s="2936"/>
      <c r="IJK70" s="2936"/>
      <c r="IJL70" s="2936"/>
      <c r="IJM70" s="2936"/>
      <c r="IJN70" s="2936"/>
      <c r="IJO70" s="2936"/>
      <c r="IJP70" s="2936"/>
      <c r="IJQ70" s="2936"/>
      <c r="IJR70" s="2936"/>
      <c r="IJS70" s="2936"/>
      <c r="IJT70" s="2936"/>
      <c r="IJU70" s="2936"/>
      <c r="IJV70" s="2936"/>
      <c r="IJW70" s="2936"/>
      <c r="IJX70" s="2936"/>
      <c r="IJY70" s="2936"/>
      <c r="IJZ70" s="2936"/>
      <c r="IKA70" s="2936"/>
      <c r="IKB70" s="2936"/>
      <c r="IKC70" s="2936"/>
      <c r="IKD70" s="2936"/>
      <c r="IKE70" s="2936"/>
      <c r="IKF70" s="2936"/>
      <c r="IKG70" s="2936"/>
      <c r="IKH70" s="2936"/>
      <c r="IKI70" s="2936"/>
      <c r="IKJ70" s="2936"/>
      <c r="IKK70" s="2936"/>
      <c r="IKL70" s="2936"/>
      <c r="IKM70" s="2936"/>
      <c r="IKN70" s="2936"/>
      <c r="IKO70" s="2936"/>
      <c r="IKP70" s="2936"/>
      <c r="IKQ70" s="2936"/>
      <c r="IKR70" s="2936"/>
      <c r="IKS70" s="2936"/>
      <c r="IKT70" s="2936"/>
      <c r="IKU70" s="2936"/>
      <c r="IKV70" s="2936"/>
      <c r="IKW70" s="2936"/>
      <c r="IKX70" s="2936"/>
      <c r="IKY70" s="2936"/>
      <c r="IKZ70" s="2936"/>
      <c r="ILA70" s="2936"/>
      <c r="ILB70" s="2936"/>
      <c r="ILC70" s="2936"/>
      <c r="ILD70" s="2936"/>
      <c r="ILE70" s="2936"/>
      <c r="ILF70" s="2936"/>
      <c r="ILG70" s="2936"/>
      <c r="ILH70" s="2936"/>
      <c r="ILI70" s="2936"/>
      <c r="ILJ70" s="2936"/>
      <c r="ILK70" s="2936"/>
      <c r="ILL70" s="2936"/>
      <c r="ILM70" s="2936"/>
      <c r="ILN70" s="2936"/>
      <c r="ILO70" s="2936"/>
      <c r="ILP70" s="2936"/>
      <c r="ILQ70" s="2936"/>
      <c r="ILR70" s="2936"/>
      <c r="ILS70" s="2936"/>
      <c r="ILT70" s="2936"/>
      <c r="ILU70" s="2936"/>
      <c r="ILV70" s="2936"/>
      <c r="ILW70" s="2936"/>
      <c r="ILX70" s="2936"/>
      <c r="ILY70" s="2936"/>
      <c r="ILZ70" s="2936"/>
      <c r="IMA70" s="2936"/>
      <c r="IMB70" s="2936"/>
      <c r="IMC70" s="2936"/>
      <c r="IMD70" s="2936"/>
      <c r="IME70" s="2936"/>
      <c r="IMF70" s="2936"/>
      <c r="IMG70" s="2936"/>
      <c r="IMH70" s="2936"/>
      <c r="IMI70" s="2936"/>
      <c r="IMJ70" s="2936"/>
      <c r="IMK70" s="2936"/>
      <c r="IML70" s="2936"/>
      <c r="IMM70" s="2936"/>
      <c r="IMN70" s="2936"/>
      <c r="IMO70" s="2936"/>
      <c r="IMP70" s="2936"/>
      <c r="IMQ70" s="2936"/>
      <c r="IMR70" s="2936"/>
      <c r="IMS70" s="2936"/>
      <c r="IMT70" s="2936"/>
      <c r="IMU70" s="2936"/>
      <c r="IMV70" s="2936"/>
      <c r="IMW70" s="2936"/>
      <c r="IMX70" s="2936"/>
      <c r="IMY70" s="2936"/>
      <c r="IMZ70" s="2936"/>
      <c r="INA70" s="2936"/>
      <c r="INB70" s="2936"/>
      <c r="INC70" s="2936"/>
      <c r="IND70" s="2936"/>
      <c r="INE70" s="2936"/>
      <c r="INF70" s="2936"/>
      <c r="ING70" s="2936"/>
      <c r="INH70" s="2936"/>
      <c r="INI70" s="2936"/>
      <c r="INJ70" s="2936"/>
      <c r="INK70" s="2936"/>
      <c r="INL70" s="2936"/>
      <c r="INM70" s="2936"/>
      <c r="INN70" s="2936"/>
      <c r="INO70" s="2936"/>
      <c r="INP70" s="2936"/>
      <c r="INQ70" s="2936"/>
      <c r="INR70" s="2936"/>
      <c r="INS70" s="2936"/>
      <c r="INT70" s="2936"/>
      <c r="INU70" s="2936"/>
      <c r="INV70" s="2936"/>
      <c r="INW70" s="2936"/>
      <c r="INX70" s="2936"/>
      <c r="INY70" s="2936"/>
      <c r="INZ70" s="2936"/>
      <c r="IOA70" s="2936"/>
      <c r="IOB70" s="2936"/>
      <c r="IOC70" s="2936"/>
      <c r="IOD70" s="2936"/>
      <c r="IOE70" s="2936"/>
      <c r="IOF70" s="2936"/>
      <c r="IOG70" s="2936"/>
      <c r="IOH70" s="2936"/>
      <c r="IOI70" s="2936"/>
      <c r="IOJ70" s="2936"/>
      <c r="IOK70" s="2936"/>
      <c r="IOL70" s="2936"/>
      <c r="IOM70" s="2936"/>
      <c r="ION70" s="2936"/>
      <c r="IOO70" s="2936"/>
      <c r="IOP70" s="2936"/>
      <c r="IOQ70" s="2936"/>
      <c r="IOR70" s="2936"/>
      <c r="IOS70" s="2936"/>
      <c r="IOT70" s="2936"/>
      <c r="IOU70" s="2936"/>
      <c r="IOV70" s="2936"/>
      <c r="IOW70" s="2936"/>
      <c r="IOX70" s="2936"/>
      <c r="IOY70" s="2936"/>
      <c r="IOZ70" s="2936"/>
      <c r="IPA70" s="2936"/>
      <c r="IPB70" s="2936"/>
      <c r="IPC70" s="2936"/>
      <c r="IPD70" s="2936"/>
      <c r="IPE70" s="2936"/>
      <c r="IPF70" s="2936"/>
      <c r="IPG70" s="2936"/>
      <c r="IPH70" s="2936"/>
      <c r="IPI70" s="2936"/>
      <c r="IPJ70" s="2936"/>
      <c r="IPK70" s="2936"/>
      <c r="IPL70" s="2936"/>
      <c r="IPM70" s="2936"/>
      <c r="IPN70" s="2936"/>
      <c r="IPO70" s="2936"/>
      <c r="IPP70" s="2936"/>
      <c r="IPQ70" s="2936"/>
      <c r="IPR70" s="2936"/>
      <c r="IPS70" s="2936"/>
      <c r="IPT70" s="2936"/>
      <c r="IPU70" s="2936"/>
      <c r="IPV70" s="2936"/>
      <c r="IPW70" s="2936"/>
      <c r="IPX70" s="2936"/>
      <c r="IPY70" s="2936"/>
      <c r="IPZ70" s="2936"/>
      <c r="IQA70" s="2936"/>
      <c r="IQB70" s="2936"/>
      <c r="IQC70" s="2936"/>
      <c r="IQD70" s="2936"/>
      <c r="IQE70" s="2936"/>
      <c r="IQF70" s="2936"/>
      <c r="IQG70" s="2936"/>
      <c r="IQH70" s="2936"/>
      <c r="IQI70" s="2936"/>
      <c r="IQJ70" s="2936"/>
      <c r="IQK70" s="2936"/>
      <c r="IQL70" s="2936"/>
      <c r="IQM70" s="2936"/>
      <c r="IQN70" s="2936"/>
      <c r="IQO70" s="2936"/>
      <c r="IQP70" s="2936"/>
      <c r="IQQ70" s="2936"/>
      <c r="IQR70" s="2936"/>
      <c r="IQS70" s="2936"/>
      <c r="IQT70" s="2936"/>
      <c r="IQU70" s="2936"/>
      <c r="IQV70" s="2936"/>
      <c r="IQW70" s="2936"/>
      <c r="IQX70" s="2936"/>
      <c r="IQY70" s="2936"/>
      <c r="IQZ70" s="2936"/>
      <c r="IRA70" s="2936"/>
      <c r="IRB70" s="2936"/>
      <c r="IRC70" s="2936"/>
      <c r="IRD70" s="2936"/>
      <c r="IRE70" s="2936"/>
      <c r="IRF70" s="2936"/>
      <c r="IRG70" s="2936"/>
      <c r="IRH70" s="2936"/>
      <c r="IRI70" s="2936"/>
      <c r="IRJ70" s="2936"/>
      <c r="IRK70" s="2936"/>
      <c r="IRL70" s="2936"/>
      <c r="IRM70" s="2936"/>
      <c r="IRN70" s="2936"/>
      <c r="IRO70" s="2936"/>
      <c r="IRP70" s="2936"/>
      <c r="IRQ70" s="2936"/>
      <c r="IRR70" s="2936"/>
      <c r="IRS70" s="2936"/>
      <c r="IRT70" s="2936"/>
      <c r="IRU70" s="2936"/>
      <c r="IRV70" s="2936"/>
      <c r="IRW70" s="2936"/>
      <c r="IRX70" s="2936"/>
      <c r="IRY70" s="2936"/>
      <c r="IRZ70" s="2936"/>
      <c r="ISA70" s="2936"/>
      <c r="ISB70" s="2936"/>
      <c r="ISC70" s="2936"/>
      <c r="ISD70" s="2936"/>
      <c r="ISE70" s="2936"/>
      <c r="ISF70" s="2936"/>
      <c r="ISG70" s="2936"/>
      <c r="ISH70" s="2936"/>
      <c r="ISI70" s="2936"/>
      <c r="ISJ70" s="2936"/>
      <c r="ISK70" s="2936"/>
      <c r="ISL70" s="2936"/>
      <c r="ISM70" s="2936"/>
      <c r="ISN70" s="2936"/>
      <c r="ISO70" s="2936"/>
      <c r="ISP70" s="2936"/>
      <c r="ISQ70" s="2936"/>
      <c r="ISR70" s="2936"/>
      <c r="ISS70" s="2936"/>
      <c r="IST70" s="2936"/>
      <c r="ISU70" s="2936"/>
      <c r="ISV70" s="2936"/>
      <c r="ISW70" s="2936"/>
      <c r="ISX70" s="2936"/>
      <c r="ISY70" s="2936"/>
      <c r="ISZ70" s="2936"/>
      <c r="ITA70" s="2936"/>
      <c r="ITB70" s="2936"/>
      <c r="ITC70" s="2936"/>
      <c r="ITD70" s="2936"/>
      <c r="ITE70" s="2936"/>
      <c r="ITF70" s="2936"/>
      <c r="ITG70" s="2936"/>
      <c r="ITH70" s="2936"/>
      <c r="ITI70" s="2936"/>
      <c r="ITJ70" s="2936"/>
      <c r="ITK70" s="2936"/>
      <c r="ITL70" s="2936"/>
      <c r="ITM70" s="2936"/>
      <c r="ITN70" s="2936"/>
      <c r="ITO70" s="2936"/>
      <c r="ITP70" s="2936"/>
      <c r="ITQ70" s="2936"/>
      <c r="ITR70" s="2936"/>
      <c r="ITS70" s="2936"/>
      <c r="ITT70" s="2936"/>
      <c r="ITU70" s="2936"/>
      <c r="ITV70" s="2936"/>
      <c r="ITW70" s="2936"/>
      <c r="ITX70" s="2936"/>
      <c r="ITY70" s="2936"/>
      <c r="ITZ70" s="2936"/>
      <c r="IUA70" s="2936"/>
      <c r="IUB70" s="2936"/>
      <c r="IUC70" s="2936"/>
      <c r="IUD70" s="2936"/>
      <c r="IUE70" s="2936"/>
      <c r="IUF70" s="2936"/>
      <c r="IUG70" s="2936"/>
      <c r="IUH70" s="2936"/>
      <c r="IUI70" s="2936"/>
      <c r="IUJ70" s="2936"/>
      <c r="IUK70" s="2936"/>
      <c r="IUL70" s="2936"/>
      <c r="IUM70" s="2936"/>
      <c r="IUN70" s="2936"/>
      <c r="IUO70" s="2936"/>
      <c r="IUP70" s="2936"/>
      <c r="IUQ70" s="2936"/>
      <c r="IUR70" s="2936"/>
      <c r="IUS70" s="2936"/>
      <c r="IUT70" s="2936"/>
      <c r="IUU70" s="2936"/>
      <c r="IUV70" s="2936"/>
      <c r="IUW70" s="2936"/>
      <c r="IUX70" s="2936"/>
      <c r="IUY70" s="2936"/>
      <c r="IUZ70" s="2936"/>
      <c r="IVA70" s="2936"/>
      <c r="IVB70" s="2936"/>
      <c r="IVC70" s="2936"/>
      <c r="IVD70" s="2936"/>
      <c r="IVE70" s="2936"/>
      <c r="IVF70" s="2936"/>
      <c r="IVG70" s="2936"/>
      <c r="IVH70" s="2936"/>
      <c r="IVI70" s="2936"/>
      <c r="IVJ70" s="2936"/>
      <c r="IVK70" s="2936"/>
      <c r="IVL70" s="2936"/>
      <c r="IVM70" s="2936"/>
      <c r="IVN70" s="2936"/>
      <c r="IVO70" s="2936"/>
      <c r="IVP70" s="2936"/>
      <c r="IVQ70" s="2936"/>
      <c r="IVR70" s="2936"/>
      <c r="IVS70" s="2936"/>
      <c r="IVT70" s="2936"/>
      <c r="IVU70" s="2936"/>
      <c r="IVV70" s="2936"/>
      <c r="IVW70" s="2936"/>
      <c r="IVX70" s="2936"/>
      <c r="IVY70" s="2936"/>
      <c r="IVZ70" s="2936"/>
      <c r="IWA70" s="2936"/>
      <c r="IWB70" s="2936"/>
      <c r="IWC70" s="2936"/>
      <c r="IWD70" s="2936"/>
      <c r="IWE70" s="2936"/>
      <c r="IWF70" s="2936"/>
      <c r="IWG70" s="2936"/>
      <c r="IWH70" s="2936"/>
      <c r="IWI70" s="2936"/>
      <c r="IWJ70" s="2936"/>
      <c r="IWK70" s="2936"/>
      <c r="IWL70" s="2936"/>
      <c r="IWM70" s="2936"/>
      <c r="IWN70" s="2936"/>
      <c r="IWO70" s="2936"/>
      <c r="IWP70" s="2936"/>
      <c r="IWQ70" s="2936"/>
      <c r="IWR70" s="2936"/>
      <c r="IWS70" s="2936"/>
      <c r="IWT70" s="2936"/>
      <c r="IWU70" s="2936"/>
      <c r="IWV70" s="2936"/>
      <c r="IWW70" s="2936"/>
      <c r="IWX70" s="2936"/>
      <c r="IWY70" s="2936"/>
      <c r="IWZ70" s="2936"/>
      <c r="IXA70" s="2936"/>
      <c r="IXB70" s="2936"/>
      <c r="IXC70" s="2936"/>
      <c r="IXD70" s="2936"/>
      <c r="IXE70" s="2936"/>
      <c r="IXF70" s="2936"/>
      <c r="IXG70" s="2936"/>
      <c r="IXH70" s="2936"/>
      <c r="IXI70" s="2936"/>
      <c r="IXJ70" s="2936"/>
      <c r="IXK70" s="2936"/>
      <c r="IXL70" s="2936"/>
      <c r="IXM70" s="2936"/>
      <c r="IXN70" s="2936"/>
      <c r="IXO70" s="2936"/>
      <c r="IXP70" s="2936"/>
      <c r="IXQ70" s="2936"/>
      <c r="IXR70" s="2936"/>
      <c r="IXS70" s="2936"/>
      <c r="IXT70" s="2936"/>
      <c r="IXU70" s="2936"/>
      <c r="IXV70" s="2936"/>
      <c r="IXW70" s="2936"/>
      <c r="IXX70" s="2936"/>
      <c r="IXY70" s="2936"/>
      <c r="IXZ70" s="2936"/>
      <c r="IYA70" s="2936"/>
      <c r="IYB70" s="2936"/>
      <c r="IYC70" s="2936"/>
      <c r="IYD70" s="2936"/>
      <c r="IYE70" s="2936"/>
      <c r="IYF70" s="2936"/>
      <c r="IYG70" s="2936"/>
      <c r="IYH70" s="2936"/>
      <c r="IYI70" s="2936"/>
      <c r="IYJ70" s="2936"/>
      <c r="IYK70" s="2936"/>
      <c r="IYL70" s="2936"/>
      <c r="IYM70" s="2936"/>
      <c r="IYN70" s="2936"/>
      <c r="IYO70" s="2936"/>
      <c r="IYP70" s="2936"/>
      <c r="IYQ70" s="2936"/>
      <c r="IYR70" s="2936"/>
      <c r="IYS70" s="2936"/>
      <c r="IYT70" s="2936"/>
      <c r="IYU70" s="2936"/>
      <c r="IYV70" s="2936"/>
      <c r="IYW70" s="2936"/>
      <c r="IYX70" s="2936"/>
      <c r="IYY70" s="2936"/>
      <c r="IYZ70" s="2936"/>
      <c r="IZA70" s="2936"/>
      <c r="IZB70" s="2936"/>
      <c r="IZC70" s="2936"/>
      <c r="IZD70" s="2936"/>
      <c r="IZE70" s="2936"/>
      <c r="IZF70" s="2936"/>
      <c r="IZG70" s="2936"/>
      <c r="IZH70" s="2936"/>
      <c r="IZI70" s="2936"/>
      <c r="IZJ70" s="2936"/>
      <c r="IZK70" s="2936"/>
      <c r="IZL70" s="2936"/>
      <c r="IZM70" s="2936"/>
      <c r="IZN70" s="2936"/>
      <c r="IZO70" s="2936"/>
      <c r="IZP70" s="2936"/>
      <c r="IZQ70" s="2936"/>
      <c r="IZR70" s="2936"/>
      <c r="IZS70" s="2936"/>
      <c r="IZT70" s="2936"/>
      <c r="IZU70" s="2936"/>
      <c r="IZV70" s="2936"/>
      <c r="IZW70" s="2936"/>
      <c r="IZX70" s="2936"/>
      <c r="IZY70" s="2936"/>
      <c r="IZZ70" s="2936"/>
      <c r="JAA70" s="2936"/>
      <c r="JAB70" s="2936"/>
      <c r="JAC70" s="2936"/>
      <c r="JAD70" s="2936"/>
      <c r="JAE70" s="2936"/>
      <c r="JAF70" s="2936"/>
      <c r="JAG70" s="2936"/>
      <c r="JAH70" s="2936"/>
      <c r="JAI70" s="2936"/>
      <c r="JAJ70" s="2936"/>
      <c r="JAK70" s="2936"/>
      <c r="JAL70" s="2936"/>
      <c r="JAM70" s="2936"/>
      <c r="JAN70" s="2936"/>
      <c r="JAO70" s="2936"/>
      <c r="JAP70" s="2936"/>
      <c r="JAQ70" s="2936"/>
      <c r="JAR70" s="2936"/>
      <c r="JAS70" s="2936"/>
      <c r="JAT70" s="2936"/>
      <c r="JAU70" s="2936"/>
      <c r="JAV70" s="2936"/>
      <c r="JAW70" s="2936"/>
      <c r="JAX70" s="2936"/>
      <c r="JAY70" s="2936"/>
      <c r="JAZ70" s="2936"/>
      <c r="JBA70" s="2936"/>
      <c r="JBB70" s="2936"/>
      <c r="JBC70" s="2936"/>
      <c r="JBD70" s="2936"/>
      <c r="JBE70" s="2936"/>
      <c r="JBF70" s="2936"/>
      <c r="JBG70" s="2936"/>
      <c r="JBH70" s="2936"/>
      <c r="JBI70" s="2936"/>
      <c r="JBJ70" s="2936"/>
      <c r="JBK70" s="2936"/>
      <c r="JBL70" s="2936"/>
      <c r="JBM70" s="2936"/>
      <c r="JBN70" s="2936"/>
      <c r="JBO70" s="2936"/>
      <c r="JBP70" s="2936"/>
      <c r="JBQ70" s="2936"/>
      <c r="JBR70" s="2936"/>
      <c r="JBS70" s="2936"/>
      <c r="JBT70" s="2936"/>
      <c r="JBU70" s="2936"/>
      <c r="JBV70" s="2936"/>
      <c r="JBW70" s="2936"/>
      <c r="JBX70" s="2936"/>
      <c r="JBY70" s="2936"/>
      <c r="JBZ70" s="2936"/>
      <c r="JCA70" s="2936"/>
      <c r="JCB70" s="2936"/>
      <c r="JCC70" s="2936"/>
      <c r="JCD70" s="2936"/>
      <c r="JCE70" s="2936"/>
      <c r="JCF70" s="2936"/>
      <c r="JCG70" s="2936"/>
      <c r="JCH70" s="2936"/>
      <c r="JCI70" s="2936"/>
      <c r="JCJ70" s="2936"/>
      <c r="JCK70" s="2936"/>
      <c r="JCL70" s="2936"/>
      <c r="JCM70" s="2936"/>
      <c r="JCN70" s="2936"/>
      <c r="JCO70" s="2936"/>
      <c r="JCP70" s="2936"/>
      <c r="JCQ70" s="2936"/>
      <c r="JCR70" s="2936"/>
      <c r="JCS70" s="2936"/>
      <c r="JCT70" s="2936"/>
      <c r="JCU70" s="2936"/>
      <c r="JCV70" s="2936"/>
      <c r="JCW70" s="2936"/>
      <c r="JCX70" s="2936"/>
      <c r="JCY70" s="2936"/>
      <c r="JCZ70" s="2936"/>
      <c r="JDA70" s="2936"/>
      <c r="JDB70" s="2936"/>
      <c r="JDC70" s="2936"/>
      <c r="JDD70" s="2936"/>
      <c r="JDE70" s="2936"/>
      <c r="JDF70" s="2936"/>
      <c r="JDG70" s="2936"/>
      <c r="JDH70" s="2936"/>
      <c r="JDI70" s="2936"/>
      <c r="JDJ70" s="2936"/>
      <c r="JDK70" s="2936"/>
      <c r="JDL70" s="2936"/>
      <c r="JDM70" s="2936"/>
      <c r="JDN70" s="2936"/>
      <c r="JDO70" s="2936"/>
      <c r="JDP70" s="2936"/>
      <c r="JDQ70" s="2936"/>
      <c r="JDR70" s="2936"/>
      <c r="JDS70" s="2936"/>
      <c r="JDT70" s="2936"/>
      <c r="JDU70" s="2936"/>
      <c r="JDV70" s="2936"/>
      <c r="JDW70" s="2936"/>
      <c r="JDX70" s="2936"/>
      <c r="JDY70" s="2936"/>
      <c r="JDZ70" s="2936"/>
      <c r="JEA70" s="2936"/>
      <c r="JEB70" s="2936"/>
      <c r="JEC70" s="2936"/>
      <c r="JED70" s="2936"/>
      <c r="JEE70" s="2936"/>
      <c r="JEF70" s="2936"/>
      <c r="JEG70" s="2936"/>
      <c r="JEH70" s="2936"/>
      <c r="JEI70" s="2936"/>
      <c r="JEJ70" s="2936"/>
      <c r="JEK70" s="2936"/>
      <c r="JEL70" s="2936"/>
      <c r="JEM70" s="2936"/>
      <c r="JEN70" s="2936"/>
      <c r="JEO70" s="2936"/>
      <c r="JEP70" s="2936"/>
      <c r="JEQ70" s="2936"/>
      <c r="JER70" s="2936"/>
      <c r="JES70" s="2936"/>
      <c r="JET70" s="2936"/>
      <c r="JEU70" s="2936"/>
      <c r="JEV70" s="2936"/>
      <c r="JEW70" s="2936"/>
      <c r="JEX70" s="2936"/>
      <c r="JEY70" s="2936"/>
      <c r="JEZ70" s="2936"/>
      <c r="JFA70" s="2936"/>
      <c r="JFB70" s="2936"/>
      <c r="JFC70" s="2936"/>
      <c r="JFD70" s="2936"/>
      <c r="JFE70" s="2936"/>
      <c r="JFF70" s="2936"/>
      <c r="JFG70" s="2936"/>
      <c r="JFH70" s="2936"/>
      <c r="JFI70" s="2936"/>
      <c r="JFJ70" s="2936"/>
      <c r="JFK70" s="2936"/>
      <c r="JFL70" s="2936"/>
      <c r="JFM70" s="2936"/>
      <c r="JFN70" s="2936"/>
      <c r="JFO70" s="2936"/>
      <c r="JFP70" s="2936"/>
      <c r="JFQ70" s="2936"/>
      <c r="JFR70" s="2936"/>
      <c r="JFS70" s="2936"/>
      <c r="JFT70" s="2936"/>
      <c r="JFU70" s="2936"/>
      <c r="JFV70" s="2936"/>
      <c r="JFW70" s="2936"/>
      <c r="JFX70" s="2936"/>
      <c r="JFY70" s="2936"/>
      <c r="JFZ70" s="2936"/>
      <c r="JGA70" s="2936"/>
      <c r="JGB70" s="2936"/>
      <c r="JGC70" s="2936"/>
      <c r="JGD70" s="2936"/>
      <c r="JGE70" s="2936"/>
      <c r="JGF70" s="2936"/>
      <c r="JGG70" s="2936"/>
      <c r="JGH70" s="2936"/>
      <c r="JGI70" s="2936"/>
      <c r="JGJ70" s="2936"/>
      <c r="JGK70" s="2936"/>
      <c r="JGL70" s="2936"/>
      <c r="JGM70" s="2936"/>
      <c r="JGN70" s="2936"/>
      <c r="JGO70" s="2936"/>
      <c r="JGP70" s="2936"/>
      <c r="JGQ70" s="2936"/>
      <c r="JGR70" s="2936"/>
      <c r="JGS70" s="2936"/>
      <c r="JGT70" s="2936"/>
      <c r="JGU70" s="2936"/>
      <c r="JGV70" s="2936"/>
      <c r="JGW70" s="2936"/>
      <c r="JGX70" s="2936"/>
      <c r="JGY70" s="2936"/>
      <c r="JGZ70" s="2936"/>
      <c r="JHA70" s="2936"/>
      <c r="JHB70" s="2936"/>
      <c r="JHC70" s="2936"/>
      <c r="JHD70" s="2936"/>
      <c r="JHE70" s="2936"/>
      <c r="JHF70" s="2936"/>
      <c r="JHG70" s="2936"/>
      <c r="JHH70" s="2936"/>
      <c r="JHI70" s="2936"/>
      <c r="JHJ70" s="2936"/>
      <c r="JHK70" s="2936"/>
      <c r="JHL70" s="2936"/>
      <c r="JHM70" s="2936"/>
      <c r="JHN70" s="2936"/>
      <c r="JHO70" s="2936"/>
      <c r="JHP70" s="2936"/>
      <c r="JHQ70" s="2936"/>
      <c r="JHR70" s="2936"/>
      <c r="JHS70" s="2936"/>
      <c r="JHT70" s="2936"/>
      <c r="JHU70" s="2936"/>
      <c r="JHV70" s="2936"/>
      <c r="JHW70" s="2936"/>
      <c r="JHX70" s="2936"/>
      <c r="JHY70" s="2936"/>
      <c r="JHZ70" s="2936"/>
      <c r="JIA70" s="2936"/>
      <c r="JIB70" s="2936"/>
      <c r="JIC70" s="2936"/>
      <c r="JID70" s="2936"/>
      <c r="JIE70" s="2936"/>
      <c r="JIF70" s="2936"/>
      <c r="JIG70" s="2936"/>
      <c r="JIH70" s="2936"/>
      <c r="JII70" s="2936"/>
      <c r="JIJ70" s="2936"/>
      <c r="JIK70" s="2936"/>
      <c r="JIL70" s="2936"/>
      <c r="JIM70" s="2936"/>
      <c r="JIN70" s="2936"/>
      <c r="JIO70" s="2936"/>
      <c r="JIP70" s="2936"/>
      <c r="JIQ70" s="2936"/>
      <c r="JIR70" s="2936"/>
      <c r="JIS70" s="2936"/>
      <c r="JIT70" s="2936"/>
      <c r="JIU70" s="2936"/>
      <c r="JIV70" s="2936"/>
      <c r="JIW70" s="2936"/>
      <c r="JIX70" s="2936"/>
      <c r="JIY70" s="2936"/>
      <c r="JIZ70" s="2936"/>
      <c r="JJA70" s="2936"/>
      <c r="JJB70" s="2936"/>
      <c r="JJC70" s="2936"/>
      <c r="JJD70" s="2936"/>
      <c r="JJE70" s="2936"/>
      <c r="JJF70" s="2936"/>
      <c r="JJG70" s="2936"/>
      <c r="JJH70" s="2936"/>
      <c r="JJI70" s="2936"/>
      <c r="JJJ70" s="2936"/>
      <c r="JJK70" s="2936"/>
      <c r="JJL70" s="2936"/>
      <c r="JJM70" s="2936"/>
      <c r="JJN70" s="2936"/>
      <c r="JJO70" s="2936"/>
      <c r="JJP70" s="2936"/>
      <c r="JJQ70" s="2936"/>
      <c r="JJR70" s="2936"/>
      <c r="JJS70" s="2936"/>
      <c r="JJT70" s="2936"/>
      <c r="JJU70" s="2936"/>
      <c r="JJV70" s="2936"/>
      <c r="JJW70" s="2936"/>
      <c r="JJX70" s="2936"/>
      <c r="JJY70" s="2936"/>
      <c r="JJZ70" s="2936"/>
      <c r="JKA70" s="2936"/>
      <c r="JKB70" s="2936"/>
      <c r="JKC70" s="2936"/>
      <c r="JKD70" s="2936"/>
      <c r="JKE70" s="2936"/>
      <c r="JKF70" s="2936"/>
      <c r="JKG70" s="2936"/>
      <c r="JKH70" s="2936"/>
      <c r="JKI70" s="2936"/>
      <c r="JKJ70" s="2936"/>
      <c r="JKK70" s="2936"/>
      <c r="JKL70" s="2936"/>
      <c r="JKM70" s="2936"/>
      <c r="JKN70" s="2936"/>
      <c r="JKO70" s="2936"/>
      <c r="JKP70" s="2936"/>
      <c r="JKQ70" s="2936"/>
      <c r="JKR70" s="2936"/>
      <c r="JKS70" s="2936"/>
      <c r="JKT70" s="2936"/>
      <c r="JKU70" s="2936"/>
      <c r="JKV70" s="2936"/>
      <c r="JKW70" s="2936"/>
      <c r="JKX70" s="2936"/>
      <c r="JKY70" s="2936"/>
      <c r="JKZ70" s="2936"/>
      <c r="JLA70" s="2936"/>
      <c r="JLB70" s="2936"/>
      <c r="JLC70" s="2936"/>
      <c r="JLD70" s="2936"/>
      <c r="JLE70" s="2936"/>
      <c r="JLF70" s="2936"/>
      <c r="JLG70" s="2936"/>
      <c r="JLH70" s="2936"/>
      <c r="JLI70" s="2936"/>
      <c r="JLJ70" s="2936"/>
      <c r="JLK70" s="2936"/>
      <c r="JLL70" s="2936"/>
      <c r="JLM70" s="2936"/>
      <c r="JLN70" s="2936"/>
      <c r="JLO70" s="2936"/>
      <c r="JLP70" s="2936"/>
      <c r="JLQ70" s="2936"/>
      <c r="JLR70" s="2936"/>
      <c r="JLS70" s="2936"/>
      <c r="JLT70" s="2936"/>
      <c r="JLU70" s="2936"/>
      <c r="JLV70" s="2936"/>
      <c r="JLW70" s="2936"/>
      <c r="JLX70" s="2936"/>
      <c r="JLY70" s="2936"/>
      <c r="JLZ70" s="2936"/>
      <c r="JMA70" s="2936"/>
      <c r="JMB70" s="2936"/>
      <c r="JMC70" s="2936"/>
      <c r="JMD70" s="2936"/>
      <c r="JME70" s="2936"/>
      <c r="JMF70" s="2936"/>
      <c r="JMG70" s="2936"/>
      <c r="JMH70" s="2936"/>
      <c r="JMI70" s="2936"/>
      <c r="JMJ70" s="2936"/>
      <c r="JMK70" s="2936"/>
      <c r="JML70" s="2936"/>
      <c r="JMM70" s="2936"/>
      <c r="JMN70" s="2936"/>
      <c r="JMO70" s="2936"/>
      <c r="JMP70" s="2936"/>
      <c r="JMQ70" s="2936"/>
      <c r="JMR70" s="2936"/>
      <c r="JMS70" s="2936"/>
      <c r="JMT70" s="2936"/>
      <c r="JMU70" s="2936"/>
      <c r="JMV70" s="2936"/>
      <c r="JMW70" s="2936"/>
      <c r="JMX70" s="2936"/>
      <c r="JMY70" s="2936"/>
      <c r="JMZ70" s="2936"/>
      <c r="JNA70" s="2936"/>
      <c r="JNB70" s="2936"/>
      <c r="JNC70" s="2936"/>
      <c r="JND70" s="2936"/>
      <c r="JNE70" s="2936"/>
      <c r="JNF70" s="2936"/>
      <c r="JNG70" s="2936"/>
      <c r="JNH70" s="2936"/>
      <c r="JNI70" s="2936"/>
      <c r="JNJ70" s="2936"/>
      <c r="JNK70" s="2936"/>
      <c r="JNL70" s="2936"/>
      <c r="JNM70" s="2936"/>
      <c r="JNN70" s="2936"/>
      <c r="JNO70" s="2936"/>
      <c r="JNP70" s="2936"/>
      <c r="JNQ70" s="2936"/>
      <c r="JNR70" s="2936"/>
      <c r="JNS70" s="2936"/>
      <c r="JNT70" s="2936"/>
      <c r="JNU70" s="2936"/>
      <c r="JNV70" s="2936"/>
      <c r="JNW70" s="2936"/>
      <c r="JNX70" s="2936"/>
      <c r="JNY70" s="2936"/>
      <c r="JNZ70" s="2936"/>
      <c r="JOA70" s="2936"/>
      <c r="JOB70" s="2936"/>
      <c r="JOC70" s="2936"/>
      <c r="JOD70" s="2936"/>
      <c r="JOE70" s="2936"/>
      <c r="JOF70" s="2936"/>
      <c r="JOG70" s="2936"/>
      <c r="JOH70" s="2936"/>
      <c r="JOI70" s="2936"/>
      <c r="JOJ70" s="2936"/>
      <c r="JOK70" s="2936"/>
      <c r="JOL70" s="2936"/>
      <c r="JOM70" s="2936"/>
      <c r="JON70" s="2936"/>
      <c r="JOO70" s="2936"/>
      <c r="JOP70" s="2936"/>
      <c r="JOQ70" s="2936"/>
      <c r="JOR70" s="2936"/>
      <c r="JOS70" s="2936"/>
      <c r="JOT70" s="2936"/>
      <c r="JOU70" s="2936"/>
      <c r="JOV70" s="2936"/>
      <c r="JOW70" s="2936"/>
      <c r="JOX70" s="2936"/>
      <c r="JOY70" s="2936"/>
      <c r="JOZ70" s="2936"/>
      <c r="JPA70" s="2936"/>
      <c r="JPB70" s="2936"/>
      <c r="JPC70" s="2936"/>
      <c r="JPD70" s="2936"/>
      <c r="JPE70" s="2936"/>
      <c r="JPF70" s="2936"/>
      <c r="JPG70" s="2936"/>
      <c r="JPH70" s="2936"/>
      <c r="JPI70" s="2936"/>
      <c r="JPJ70" s="2936"/>
      <c r="JPK70" s="2936"/>
      <c r="JPL70" s="2936"/>
      <c r="JPM70" s="2936"/>
      <c r="JPN70" s="2936"/>
      <c r="JPO70" s="2936"/>
      <c r="JPP70" s="2936"/>
      <c r="JPQ70" s="2936"/>
      <c r="JPR70" s="2936"/>
      <c r="JPS70" s="2936"/>
      <c r="JPT70" s="2936"/>
      <c r="JPU70" s="2936"/>
      <c r="JPV70" s="2936"/>
      <c r="JPW70" s="2936"/>
      <c r="JPX70" s="2936"/>
      <c r="JPY70" s="2936"/>
      <c r="JPZ70" s="2936"/>
      <c r="JQA70" s="2936"/>
      <c r="JQB70" s="2936"/>
      <c r="JQC70" s="2936"/>
      <c r="JQD70" s="2936"/>
      <c r="JQE70" s="2936"/>
      <c r="JQF70" s="2936"/>
      <c r="JQG70" s="2936"/>
      <c r="JQH70" s="2936"/>
      <c r="JQI70" s="2936"/>
      <c r="JQJ70" s="2936"/>
      <c r="JQK70" s="2936"/>
      <c r="JQL70" s="2936"/>
      <c r="JQM70" s="2936"/>
      <c r="JQN70" s="2936"/>
      <c r="JQO70" s="2936"/>
      <c r="JQP70" s="2936"/>
      <c r="JQQ70" s="2936"/>
      <c r="JQR70" s="2936"/>
      <c r="JQS70" s="2936"/>
      <c r="JQT70" s="2936"/>
      <c r="JQU70" s="2936"/>
      <c r="JQV70" s="2936"/>
      <c r="JQW70" s="2936"/>
      <c r="JQX70" s="2936"/>
      <c r="JQY70" s="2936"/>
      <c r="JQZ70" s="2936"/>
      <c r="JRA70" s="2936"/>
      <c r="JRB70" s="2936"/>
      <c r="JRC70" s="2936"/>
      <c r="JRD70" s="2936"/>
      <c r="JRE70" s="2936"/>
      <c r="JRF70" s="2936"/>
      <c r="JRG70" s="2936"/>
      <c r="JRH70" s="2936"/>
      <c r="JRI70" s="2936"/>
      <c r="JRJ70" s="2936"/>
      <c r="JRK70" s="2936"/>
      <c r="JRL70" s="2936"/>
      <c r="JRM70" s="2936"/>
      <c r="JRN70" s="2936"/>
      <c r="JRO70" s="2936"/>
      <c r="JRP70" s="2936"/>
      <c r="JRQ70" s="2936"/>
      <c r="JRR70" s="2936"/>
      <c r="JRS70" s="2936"/>
      <c r="JRT70" s="2936"/>
      <c r="JRU70" s="2936"/>
      <c r="JRV70" s="2936"/>
      <c r="JRW70" s="2936"/>
      <c r="JRX70" s="2936"/>
      <c r="JRY70" s="2936"/>
      <c r="JRZ70" s="2936"/>
      <c r="JSA70" s="2936"/>
      <c r="JSB70" s="2936"/>
      <c r="JSC70" s="2936"/>
      <c r="JSD70" s="2936"/>
      <c r="JSE70" s="2936"/>
      <c r="JSF70" s="2936"/>
      <c r="JSG70" s="2936"/>
      <c r="JSH70" s="2936"/>
      <c r="JSI70" s="2936"/>
      <c r="JSJ70" s="2936"/>
      <c r="JSK70" s="2936"/>
      <c r="JSL70" s="2936"/>
      <c r="JSM70" s="2936"/>
      <c r="JSN70" s="2936"/>
      <c r="JSO70" s="2936"/>
      <c r="JSP70" s="2936"/>
      <c r="JSQ70" s="2936"/>
      <c r="JSR70" s="2936"/>
      <c r="JSS70" s="2936"/>
      <c r="JST70" s="2936"/>
      <c r="JSU70" s="2936"/>
      <c r="JSV70" s="2936"/>
      <c r="JSW70" s="2936"/>
      <c r="JSX70" s="2936"/>
      <c r="JSY70" s="2936"/>
      <c r="JSZ70" s="2936"/>
      <c r="JTA70" s="2936"/>
      <c r="JTB70" s="2936"/>
      <c r="JTC70" s="2936"/>
      <c r="JTD70" s="2936"/>
      <c r="JTE70" s="2936"/>
      <c r="JTF70" s="2936"/>
      <c r="JTG70" s="2936"/>
      <c r="JTH70" s="2936"/>
      <c r="JTI70" s="2936"/>
      <c r="JTJ70" s="2936"/>
      <c r="JTK70" s="2936"/>
      <c r="JTL70" s="2936"/>
      <c r="JTM70" s="2936"/>
      <c r="JTN70" s="2936"/>
      <c r="JTO70" s="2936"/>
      <c r="JTP70" s="2936"/>
      <c r="JTQ70" s="2936"/>
      <c r="JTR70" s="2936"/>
      <c r="JTS70" s="2936"/>
      <c r="JTT70" s="2936"/>
      <c r="JTU70" s="2936"/>
      <c r="JTV70" s="2936"/>
      <c r="JTW70" s="2936"/>
      <c r="JTX70" s="2936"/>
      <c r="JTY70" s="2936"/>
      <c r="JTZ70" s="2936"/>
      <c r="JUA70" s="2936"/>
      <c r="JUB70" s="2936"/>
      <c r="JUC70" s="2936"/>
      <c r="JUD70" s="2936"/>
      <c r="JUE70" s="2936"/>
      <c r="JUF70" s="2936"/>
      <c r="JUG70" s="2936"/>
      <c r="JUH70" s="2936"/>
      <c r="JUI70" s="2936"/>
      <c r="JUJ70" s="2936"/>
      <c r="JUK70" s="2936"/>
      <c r="JUL70" s="2936"/>
      <c r="JUM70" s="2936"/>
      <c r="JUN70" s="2936"/>
      <c r="JUO70" s="2936"/>
      <c r="JUP70" s="2936"/>
      <c r="JUQ70" s="2936"/>
      <c r="JUR70" s="2936"/>
      <c r="JUS70" s="2936"/>
      <c r="JUT70" s="2936"/>
      <c r="JUU70" s="2936"/>
      <c r="JUV70" s="2936"/>
      <c r="JUW70" s="2936"/>
      <c r="JUX70" s="2936"/>
      <c r="JUY70" s="2936"/>
      <c r="JUZ70" s="2936"/>
      <c r="JVA70" s="2936"/>
      <c r="JVB70" s="2936"/>
      <c r="JVC70" s="2936"/>
      <c r="JVD70" s="2936"/>
      <c r="JVE70" s="2936"/>
      <c r="JVF70" s="2936"/>
      <c r="JVG70" s="2936"/>
      <c r="JVH70" s="2936"/>
      <c r="JVI70" s="2936"/>
      <c r="JVJ70" s="2936"/>
      <c r="JVK70" s="2936"/>
      <c r="JVL70" s="2936"/>
      <c r="JVM70" s="2936"/>
      <c r="JVN70" s="2936"/>
      <c r="JVO70" s="2936"/>
      <c r="JVP70" s="2936"/>
      <c r="JVQ70" s="2936"/>
      <c r="JVR70" s="2936"/>
      <c r="JVS70" s="2936"/>
      <c r="JVT70" s="2936"/>
      <c r="JVU70" s="2936"/>
      <c r="JVV70" s="2936"/>
      <c r="JVW70" s="2936"/>
      <c r="JVX70" s="2936"/>
      <c r="JVY70" s="2936"/>
      <c r="JVZ70" s="2936"/>
      <c r="JWA70" s="2936"/>
      <c r="JWB70" s="2936"/>
      <c r="JWC70" s="2936"/>
      <c r="JWD70" s="2936"/>
      <c r="JWE70" s="2936"/>
      <c r="JWF70" s="2936"/>
      <c r="JWG70" s="2936"/>
      <c r="JWH70" s="2936"/>
      <c r="JWI70" s="2936"/>
      <c r="JWJ70" s="2936"/>
      <c r="JWK70" s="2936"/>
      <c r="JWL70" s="2936"/>
      <c r="JWM70" s="2936"/>
      <c r="JWN70" s="2936"/>
      <c r="JWO70" s="2936"/>
      <c r="JWP70" s="2936"/>
      <c r="JWQ70" s="2936"/>
      <c r="JWR70" s="2936"/>
      <c r="JWS70" s="2936"/>
      <c r="JWT70" s="2936"/>
      <c r="JWU70" s="2936"/>
      <c r="JWV70" s="2936"/>
      <c r="JWW70" s="2936"/>
      <c r="JWX70" s="2936"/>
      <c r="JWY70" s="2936"/>
      <c r="JWZ70" s="2936"/>
      <c r="JXA70" s="2936"/>
      <c r="JXB70" s="2936"/>
      <c r="JXC70" s="2936"/>
      <c r="JXD70" s="2936"/>
      <c r="JXE70" s="2936"/>
      <c r="JXF70" s="2936"/>
      <c r="JXG70" s="2936"/>
      <c r="JXH70" s="2936"/>
      <c r="JXI70" s="2936"/>
      <c r="JXJ70" s="2936"/>
      <c r="JXK70" s="2936"/>
      <c r="JXL70" s="2936"/>
      <c r="JXM70" s="2936"/>
      <c r="JXN70" s="2936"/>
      <c r="JXO70" s="2936"/>
      <c r="JXP70" s="2936"/>
      <c r="JXQ70" s="2936"/>
      <c r="JXR70" s="2936"/>
      <c r="JXS70" s="2936"/>
      <c r="JXT70" s="2936"/>
      <c r="JXU70" s="2936"/>
      <c r="JXV70" s="2936"/>
      <c r="JXW70" s="2936"/>
      <c r="JXX70" s="2936"/>
      <c r="JXY70" s="2936"/>
      <c r="JXZ70" s="2936"/>
      <c r="JYA70" s="2936"/>
      <c r="JYB70" s="2936"/>
      <c r="JYC70" s="2936"/>
      <c r="JYD70" s="2936"/>
      <c r="JYE70" s="2936"/>
      <c r="JYF70" s="2936"/>
      <c r="JYG70" s="2936"/>
      <c r="JYH70" s="2936"/>
      <c r="JYI70" s="2936"/>
      <c r="JYJ70" s="2936"/>
      <c r="JYK70" s="2936"/>
      <c r="JYL70" s="2936"/>
      <c r="JYM70" s="2936"/>
      <c r="JYN70" s="2936"/>
      <c r="JYO70" s="2936"/>
      <c r="JYP70" s="2936"/>
      <c r="JYQ70" s="2936"/>
      <c r="JYR70" s="2936"/>
      <c r="JYS70" s="2936"/>
      <c r="JYT70" s="2936"/>
      <c r="JYU70" s="2936"/>
      <c r="JYV70" s="2936"/>
      <c r="JYW70" s="2936"/>
      <c r="JYX70" s="2936"/>
      <c r="JYY70" s="2936"/>
      <c r="JYZ70" s="2936"/>
      <c r="JZA70" s="2936"/>
      <c r="JZB70" s="2936"/>
      <c r="JZC70" s="2936"/>
      <c r="JZD70" s="2936"/>
      <c r="JZE70" s="2936"/>
      <c r="JZF70" s="2936"/>
      <c r="JZG70" s="2936"/>
      <c r="JZH70" s="2936"/>
      <c r="JZI70" s="2936"/>
      <c r="JZJ70" s="2936"/>
      <c r="JZK70" s="2936"/>
      <c r="JZL70" s="2936"/>
      <c r="JZM70" s="2936"/>
      <c r="JZN70" s="2936"/>
      <c r="JZO70" s="2936"/>
      <c r="JZP70" s="2936"/>
      <c r="JZQ70" s="2936"/>
      <c r="JZR70" s="2936"/>
      <c r="JZS70" s="2936"/>
      <c r="JZT70" s="2936"/>
      <c r="JZU70" s="2936"/>
      <c r="JZV70" s="2936"/>
      <c r="JZW70" s="2936"/>
      <c r="JZX70" s="2936"/>
      <c r="JZY70" s="2936"/>
      <c r="JZZ70" s="2936"/>
      <c r="KAA70" s="2936"/>
      <c r="KAB70" s="2936"/>
      <c r="KAC70" s="2936"/>
      <c r="KAD70" s="2936"/>
      <c r="KAE70" s="2936"/>
      <c r="KAF70" s="2936"/>
      <c r="KAG70" s="2936"/>
      <c r="KAH70" s="2936"/>
      <c r="KAI70" s="2936"/>
      <c r="KAJ70" s="2936"/>
      <c r="KAK70" s="2936"/>
      <c r="KAL70" s="2936"/>
      <c r="KAM70" s="2936"/>
      <c r="KAN70" s="2936"/>
      <c r="KAO70" s="2936"/>
      <c r="KAP70" s="2936"/>
      <c r="KAQ70" s="2936"/>
      <c r="KAR70" s="2936"/>
      <c r="KAS70" s="2936"/>
      <c r="KAT70" s="2936"/>
      <c r="KAU70" s="2936"/>
      <c r="KAV70" s="2936"/>
      <c r="KAW70" s="2936"/>
      <c r="KAX70" s="2936"/>
      <c r="KAY70" s="2936"/>
      <c r="KAZ70" s="2936"/>
      <c r="KBA70" s="2936"/>
      <c r="KBB70" s="2936"/>
      <c r="KBC70" s="2936"/>
      <c r="KBD70" s="2936"/>
      <c r="KBE70" s="2936"/>
      <c r="KBF70" s="2936"/>
      <c r="KBG70" s="2936"/>
      <c r="KBH70" s="2936"/>
      <c r="KBI70" s="2936"/>
      <c r="KBJ70" s="2936"/>
      <c r="KBK70" s="2936"/>
      <c r="KBL70" s="2936"/>
      <c r="KBM70" s="2936"/>
      <c r="KBN70" s="2936"/>
      <c r="KBO70" s="2936"/>
      <c r="KBP70" s="2936"/>
      <c r="KBQ70" s="2936"/>
      <c r="KBR70" s="2936"/>
      <c r="KBS70" s="2936"/>
      <c r="KBT70" s="2936"/>
      <c r="KBU70" s="2936"/>
      <c r="KBV70" s="2936"/>
      <c r="KBW70" s="2936"/>
      <c r="KBX70" s="2936"/>
      <c r="KBY70" s="2936"/>
      <c r="KBZ70" s="2936"/>
      <c r="KCA70" s="2936"/>
      <c r="KCB70" s="2936"/>
      <c r="KCC70" s="2936"/>
      <c r="KCD70" s="2936"/>
      <c r="KCE70" s="2936"/>
      <c r="KCF70" s="2936"/>
      <c r="KCG70" s="2936"/>
      <c r="KCH70" s="2936"/>
      <c r="KCI70" s="2936"/>
      <c r="KCJ70" s="2936"/>
      <c r="KCK70" s="2936"/>
      <c r="KCL70" s="2936"/>
      <c r="KCM70" s="2936"/>
      <c r="KCN70" s="2936"/>
      <c r="KCO70" s="2936"/>
      <c r="KCP70" s="2936"/>
      <c r="KCQ70" s="2936"/>
      <c r="KCR70" s="2936"/>
      <c r="KCS70" s="2936"/>
      <c r="KCT70" s="2936"/>
      <c r="KCU70" s="2936"/>
      <c r="KCV70" s="2936"/>
      <c r="KCW70" s="2936"/>
      <c r="KCX70" s="2936"/>
      <c r="KCY70" s="2936"/>
      <c r="KCZ70" s="2936"/>
      <c r="KDA70" s="2936"/>
      <c r="KDB70" s="2936"/>
      <c r="KDC70" s="2936"/>
      <c r="KDD70" s="2936"/>
      <c r="KDE70" s="2936"/>
      <c r="KDF70" s="2936"/>
      <c r="KDG70" s="2936"/>
      <c r="KDH70" s="2936"/>
      <c r="KDI70" s="2936"/>
      <c r="KDJ70" s="2936"/>
      <c r="KDK70" s="2936"/>
      <c r="KDL70" s="2936"/>
      <c r="KDM70" s="2936"/>
      <c r="KDN70" s="2936"/>
      <c r="KDO70" s="2936"/>
      <c r="KDP70" s="2936"/>
      <c r="KDQ70" s="2936"/>
      <c r="KDR70" s="2936"/>
      <c r="KDS70" s="2936"/>
      <c r="KDT70" s="2936"/>
      <c r="KDU70" s="2936"/>
      <c r="KDV70" s="2936"/>
      <c r="KDW70" s="2936"/>
      <c r="KDX70" s="2936"/>
      <c r="KDY70" s="2936"/>
      <c r="KDZ70" s="2936"/>
      <c r="KEA70" s="2936"/>
      <c r="KEB70" s="2936"/>
      <c r="KEC70" s="2936"/>
      <c r="KED70" s="2936"/>
      <c r="KEE70" s="2936"/>
      <c r="KEF70" s="2936"/>
      <c r="KEG70" s="2936"/>
      <c r="KEH70" s="2936"/>
      <c r="KEI70" s="2936"/>
      <c r="KEJ70" s="2936"/>
      <c r="KEK70" s="2936"/>
      <c r="KEL70" s="2936"/>
      <c r="KEM70" s="2936"/>
      <c r="KEN70" s="2936"/>
      <c r="KEO70" s="2936"/>
      <c r="KEP70" s="2936"/>
      <c r="KEQ70" s="2936"/>
      <c r="KER70" s="2936"/>
      <c r="KES70" s="2936"/>
      <c r="KET70" s="2936"/>
      <c r="KEU70" s="2936"/>
      <c r="KEV70" s="2936"/>
      <c r="KEW70" s="2936"/>
      <c r="KEX70" s="2936"/>
      <c r="KEY70" s="2936"/>
      <c r="KEZ70" s="2936"/>
      <c r="KFA70" s="2936"/>
      <c r="KFB70" s="2936"/>
      <c r="KFC70" s="2936"/>
      <c r="KFD70" s="2936"/>
      <c r="KFE70" s="2936"/>
      <c r="KFF70" s="2936"/>
      <c r="KFG70" s="2936"/>
      <c r="KFH70" s="2936"/>
      <c r="KFI70" s="2936"/>
      <c r="KFJ70" s="2936"/>
      <c r="KFK70" s="2936"/>
      <c r="KFL70" s="2936"/>
      <c r="KFM70" s="2936"/>
      <c r="KFN70" s="2936"/>
      <c r="KFO70" s="2936"/>
      <c r="KFP70" s="2936"/>
      <c r="KFQ70" s="2936"/>
      <c r="KFR70" s="2936"/>
      <c r="KFS70" s="2936"/>
      <c r="KFT70" s="2936"/>
      <c r="KFU70" s="2936"/>
      <c r="KFV70" s="2936"/>
      <c r="KFW70" s="2936"/>
      <c r="KFX70" s="2936"/>
      <c r="KFY70" s="2936"/>
      <c r="KFZ70" s="2936"/>
      <c r="KGA70" s="2936"/>
      <c r="KGB70" s="2936"/>
      <c r="KGC70" s="2936"/>
      <c r="KGD70" s="2936"/>
      <c r="KGE70" s="2936"/>
      <c r="KGF70" s="2936"/>
      <c r="KGG70" s="2936"/>
      <c r="KGH70" s="2936"/>
      <c r="KGI70" s="2936"/>
      <c r="KGJ70" s="2936"/>
      <c r="KGK70" s="2936"/>
      <c r="KGL70" s="2936"/>
      <c r="KGM70" s="2936"/>
      <c r="KGN70" s="2936"/>
      <c r="KGO70" s="2936"/>
      <c r="KGP70" s="2936"/>
      <c r="KGQ70" s="2936"/>
      <c r="KGR70" s="2936"/>
      <c r="KGS70" s="2936"/>
      <c r="KGT70" s="2936"/>
      <c r="KGU70" s="2936"/>
      <c r="KGV70" s="2936"/>
      <c r="KGW70" s="2936"/>
      <c r="KGX70" s="2936"/>
      <c r="KGY70" s="2936"/>
      <c r="KGZ70" s="2936"/>
      <c r="KHA70" s="2936"/>
      <c r="KHB70" s="2936"/>
      <c r="KHC70" s="2936"/>
      <c r="KHD70" s="2936"/>
      <c r="KHE70" s="2936"/>
      <c r="KHF70" s="2936"/>
      <c r="KHG70" s="2936"/>
      <c r="KHH70" s="2936"/>
      <c r="KHI70" s="2936"/>
      <c r="KHJ70" s="2936"/>
      <c r="KHK70" s="2936"/>
      <c r="KHL70" s="2936"/>
      <c r="KHM70" s="2936"/>
      <c r="KHN70" s="2936"/>
      <c r="KHO70" s="2936"/>
      <c r="KHP70" s="2936"/>
      <c r="KHQ70" s="2936"/>
      <c r="KHR70" s="2936"/>
      <c r="KHS70" s="2936"/>
      <c r="KHT70" s="2936"/>
      <c r="KHU70" s="2936"/>
      <c r="KHV70" s="2936"/>
      <c r="KHW70" s="2936"/>
      <c r="KHX70" s="2936"/>
      <c r="KHY70" s="2936"/>
      <c r="KHZ70" s="2936"/>
      <c r="KIA70" s="2936"/>
      <c r="KIB70" s="2936"/>
      <c r="KIC70" s="2936"/>
      <c r="KID70" s="2936"/>
      <c r="KIE70" s="2936"/>
      <c r="KIF70" s="2936"/>
      <c r="KIG70" s="2936"/>
      <c r="KIH70" s="2936"/>
      <c r="KII70" s="2936"/>
      <c r="KIJ70" s="2936"/>
      <c r="KIK70" s="2936"/>
      <c r="KIL70" s="2936"/>
      <c r="KIM70" s="2936"/>
      <c r="KIN70" s="2936"/>
      <c r="KIO70" s="2936"/>
      <c r="KIP70" s="2936"/>
      <c r="KIQ70" s="2936"/>
      <c r="KIR70" s="2936"/>
      <c r="KIS70" s="2936"/>
      <c r="KIT70" s="2936"/>
      <c r="KIU70" s="2936"/>
      <c r="KIV70" s="2936"/>
      <c r="KIW70" s="2936"/>
      <c r="KIX70" s="2936"/>
      <c r="KIY70" s="2936"/>
      <c r="KIZ70" s="2936"/>
      <c r="KJA70" s="2936"/>
      <c r="KJB70" s="2936"/>
      <c r="KJC70" s="2936"/>
      <c r="KJD70" s="2936"/>
      <c r="KJE70" s="2936"/>
      <c r="KJF70" s="2936"/>
      <c r="KJG70" s="2936"/>
      <c r="KJH70" s="2936"/>
      <c r="KJI70" s="2936"/>
      <c r="KJJ70" s="2936"/>
      <c r="KJK70" s="2936"/>
      <c r="KJL70" s="2936"/>
      <c r="KJM70" s="2936"/>
      <c r="KJN70" s="2936"/>
      <c r="KJO70" s="2936"/>
      <c r="KJP70" s="2936"/>
      <c r="KJQ70" s="2936"/>
      <c r="KJR70" s="2936"/>
      <c r="KJS70" s="2936"/>
      <c r="KJT70" s="2936"/>
      <c r="KJU70" s="2936"/>
      <c r="KJV70" s="2936"/>
      <c r="KJW70" s="2936"/>
      <c r="KJX70" s="2936"/>
      <c r="KJY70" s="2936"/>
      <c r="KJZ70" s="2936"/>
      <c r="KKA70" s="2936"/>
      <c r="KKB70" s="2936"/>
      <c r="KKC70" s="2936"/>
      <c r="KKD70" s="2936"/>
      <c r="KKE70" s="2936"/>
      <c r="KKF70" s="2936"/>
      <c r="KKG70" s="2936"/>
      <c r="KKH70" s="2936"/>
      <c r="KKI70" s="2936"/>
      <c r="KKJ70" s="2936"/>
      <c r="KKK70" s="2936"/>
      <c r="KKL70" s="2936"/>
      <c r="KKM70" s="2936"/>
      <c r="KKN70" s="2936"/>
      <c r="KKO70" s="2936"/>
      <c r="KKP70" s="2936"/>
      <c r="KKQ70" s="2936"/>
      <c r="KKR70" s="2936"/>
      <c r="KKS70" s="2936"/>
      <c r="KKT70" s="2936"/>
      <c r="KKU70" s="2936"/>
      <c r="KKV70" s="2936"/>
      <c r="KKW70" s="2936"/>
      <c r="KKX70" s="2936"/>
      <c r="KKY70" s="2936"/>
      <c r="KKZ70" s="2936"/>
      <c r="KLA70" s="2936"/>
      <c r="KLB70" s="2936"/>
      <c r="KLC70" s="2936"/>
      <c r="KLD70" s="2936"/>
      <c r="KLE70" s="2936"/>
      <c r="KLF70" s="2936"/>
      <c r="KLG70" s="2936"/>
      <c r="KLH70" s="2936"/>
      <c r="KLI70" s="2936"/>
      <c r="KLJ70" s="2936"/>
      <c r="KLK70" s="2936"/>
      <c r="KLL70" s="2936"/>
      <c r="KLM70" s="2936"/>
      <c r="KLN70" s="2936"/>
      <c r="KLO70" s="2936"/>
      <c r="KLP70" s="2936"/>
      <c r="KLQ70" s="2936"/>
      <c r="KLR70" s="2936"/>
      <c r="KLS70" s="2936"/>
      <c r="KLT70" s="2936"/>
      <c r="KLU70" s="2936"/>
      <c r="KLV70" s="2936"/>
      <c r="KLW70" s="2936"/>
      <c r="KLX70" s="2936"/>
      <c r="KLY70" s="2936"/>
      <c r="KLZ70" s="2936"/>
      <c r="KMA70" s="2936"/>
      <c r="KMB70" s="2936"/>
      <c r="KMC70" s="2936"/>
      <c r="KMD70" s="2936"/>
      <c r="KME70" s="2936"/>
      <c r="KMF70" s="2936"/>
      <c r="KMG70" s="2936"/>
      <c r="KMH70" s="2936"/>
      <c r="KMI70" s="2936"/>
      <c r="KMJ70" s="2936"/>
      <c r="KMK70" s="2936"/>
      <c r="KML70" s="2936"/>
      <c r="KMM70" s="2936"/>
      <c r="KMN70" s="2936"/>
      <c r="KMO70" s="2936"/>
      <c r="KMP70" s="2936"/>
      <c r="KMQ70" s="2936"/>
      <c r="KMR70" s="2936"/>
      <c r="KMS70" s="2936"/>
      <c r="KMT70" s="2936"/>
      <c r="KMU70" s="2936"/>
      <c r="KMV70" s="2936"/>
      <c r="KMW70" s="2936"/>
      <c r="KMX70" s="2936"/>
      <c r="KMY70" s="2936"/>
      <c r="KMZ70" s="2936"/>
      <c r="KNA70" s="2936"/>
      <c r="KNB70" s="2936"/>
      <c r="KNC70" s="2936"/>
      <c r="KND70" s="2936"/>
      <c r="KNE70" s="2936"/>
      <c r="KNF70" s="2936"/>
      <c r="KNG70" s="2936"/>
      <c r="KNH70" s="2936"/>
      <c r="KNI70" s="2936"/>
      <c r="KNJ70" s="2936"/>
      <c r="KNK70" s="2936"/>
      <c r="KNL70" s="2936"/>
      <c r="KNM70" s="2936"/>
      <c r="KNN70" s="2936"/>
      <c r="KNO70" s="2936"/>
      <c r="KNP70" s="2936"/>
      <c r="KNQ70" s="2936"/>
      <c r="KNR70" s="2936"/>
      <c r="KNS70" s="2936"/>
      <c r="KNT70" s="2936"/>
      <c r="KNU70" s="2936"/>
      <c r="KNV70" s="2936"/>
      <c r="KNW70" s="2936"/>
      <c r="KNX70" s="2936"/>
      <c r="KNY70" s="2936"/>
      <c r="KNZ70" s="2936"/>
      <c r="KOA70" s="2936"/>
      <c r="KOB70" s="2936"/>
      <c r="KOC70" s="2936"/>
      <c r="KOD70" s="2936"/>
      <c r="KOE70" s="2936"/>
      <c r="KOF70" s="2936"/>
      <c r="KOG70" s="2936"/>
      <c r="KOH70" s="2936"/>
      <c r="KOI70" s="2936"/>
      <c r="KOJ70" s="2936"/>
      <c r="KOK70" s="2936"/>
      <c r="KOL70" s="2936"/>
      <c r="KOM70" s="2936"/>
      <c r="KON70" s="2936"/>
      <c r="KOO70" s="2936"/>
      <c r="KOP70" s="2936"/>
      <c r="KOQ70" s="2936"/>
      <c r="KOR70" s="2936"/>
      <c r="KOS70" s="2936"/>
      <c r="KOT70" s="2936"/>
      <c r="KOU70" s="2936"/>
      <c r="KOV70" s="2936"/>
      <c r="KOW70" s="2936"/>
      <c r="KOX70" s="2936"/>
      <c r="KOY70" s="2936"/>
      <c r="KOZ70" s="2936"/>
      <c r="KPA70" s="2936"/>
      <c r="KPB70" s="2936"/>
      <c r="KPC70" s="2936"/>
      <c r="KPD70" s="2936"/>
      <c r="KPE70" s="2936"/>
      <c r="KPF70" s="2936"/>
      <c r="KPG70" s="2936"/>
      <c r="KPH70" s="2936"/>
      <c r="KPI70" s="2936"/>
      <c r="KPJ70" s="2936"/>
      <c r="KPK70" s="2936"/>
      <c r="KPL70" s="2936"/>
      <c r="KPM70" s="2936"/>
      <c r="KPN70" s="2936"/>
      <c r="KPO70" s="2936"/>
      <c r="KPP70" s="2936"/>
      <c r="KPQ70" s="2936"/>
      <c r="KPR70" s="2936"/>
      <c r="KPS70" s="2936"/>
      <c r="KPT70" s="2936"/>
      <c r="KPU70" s="2936"/>
      <c r="KPV70" s="2936"/>
      <c r="KPW70" s="2936"/>
      <c r="KPX70" s="2936"/>
      <c r="KPY70" s="2936"/>
      <c r="KPZ70" s="2936"/>
      <c r="KQA70" s="2936"/>
      <c r="KQB70" s="2936"/>
      <c r="KQC70" s="2936"/>
      <c r="KQD70" s="2936"/>
      <c r="KQE70" s="2936"/>
      <c r="KQF70" s="2936"/>
      <c r="KQG70" s="2936"/>
      <c r="KQH70" s="2936"/>
      <c r="KQI70" s="2936"/>
      <c r="KQJ70" s="2936"/>
      <c r="KQK70" s="2936"/>
      <c r="KQL70" s="2936"/>
      <c r="KQM70" s="2936"/>
      <c r="KQN70" s="2936"/>
      <c r="KQO70" s="2936"/>
      <c r="KQP70" s="2936"/>
      <c r="KQQ70" s="2936"/>
      <c r="KQR70" s="2936"/>
      <c r="KQS70" s="2936"/>
      <c r="KQT70" s="2936"/>
      <c r="KQU70" s="2936"/>
      <c r="KQV70" s="2936"/>
      <c r="KQW70" s="2936"/>
      <c r="KQX70" s="2936"/>
      <c r="KQY70" s="2936"/>
      <c r="KQZ70" s="2936"/>
      <c r="KRA70" s="2936"/>
      <c r="KRB70" s="2936"/>
      <c r="KRC70" s="2936"/>
      <c r="KRD70" s="2936"/>
      <c r="KRE70" s="2936"/>
      <c r="KRF70" s="2936"/>
      <c r="KRG70" s="2936"/>
      <c r="KRH70" s="2936"/>
      <c r="KRI70" s="2936"/>
      <c r="KRJ70" s="2936"/>
      <c r="KRK70" s="2936"/>
      <c r="KRL70" s="2936"/>
      <c r="KRM70" s="2936"/>
      <c r="KRN70" s="2936"/>
      <c r="KRO70" s="2936"/>
      <c r="KRP70" s="2936"/>
      <c r="KRQ70" s="2936"/>
      <c r="KRR70" s="2936"/>
      <c r="KRS70" s="2936"/>
      <c r="KRT70" s="2936"/>
      <c r="KRU70" s="2936"/>
      <c r="KRV70" s="2936"/>
      <c r="KRW70" s="2936"/>
      <c r="KRX70" s="2936"/>
      <c r="KRY70" s="2936"/>
      <c r="KRZ70" s="2936"/>
      <c r="KSA70" s="2936"/>
      <c r="KSB70" s="2936"/>
      <c r="KSC70" s="2936"/>
      <c r="KSD70" s="2936"/>
      <c r="KSE70" s="2936"/>
      <c r="KSF70" s="2936"/>
      <c r="KSG70" s="2936"/>
      <c r="KSH70" s="2936"/>
      <c r="KSI70" s="2936"/>
      <c r="KSJ70" s="2936"/>
      <c r="KSK70" s="2936"/>
      <c r="KSL70" s="2936"/>
      <c r="KSM70" s="2936"/>
      <c r="KSN70" s="2936"/>
      <c r="KSO70" s="2936"/>
      <c r="KSP70" s="2936"/>
      <c r="KSQ70" s="2936"/>
      <c r="KSR70" s="2936"/>
      <c r="KSS70" s="2936"/>
      <c r="KST70" s="2936"/>
      <c r="KSU70" s="2936"/>
      <c r="KSV70" s="2936"/>
      <c r="KSW70" s="2936"/>
      <c r="KSX70" s="2936"/>
      <c r="KSY70" s="2936"/>
      <c r="KSZ70" s="2936"/>
      <c r="KTA70" s="2936"/>
      <c r="KTB70" s="2936"/>
      <c r="KTC70" s="2936"/>
      <c r="KTD70" s="2936"/>
      <c r="KTE70" s="2936"/>
      <c r="KTF70" s="2936"/>
      <c r="KTG70" s="2936"/>
      <c r="KTH70" s="2936"/>
      <c r="KTI70" s="2936"/>
      <c r="KTJ70" s="2936"/>
      <c r="KTK70" s="2936"/>
      <c r="KTL70" s="2936"/>
      <c r="KTM70" s="2936"/>
      <c r="KTN70" s="2936"/>
      <c r="KTO70" s="2936"/>
      <c r="KTP70" s="2936"/>
      <c r="KTQ70" s="2936"/>
      <c r="KTR70" s="2936"/>
      <c r="KTS70" s="2936"/>
      <c r="KTT70" s="2936"/>
      <c r="KTU70" s="2936"/>
      <c r="KTV70" s="2936"/>
      <c r="KTW70" s="2936"/>
      <c r="KTX70" s="2936"/>
      <c r="KTY70" s="2936"/>
      <c r="KTZ70" s="2936"/>
      <c r="KUA70" s="2936"/>
      <c r="KUB70" s="2936"/>
      <c r="KUC70" s="2936"/>
      <c r="KUD70" s="2936"/>
      <c r="KUE70" s="2936"/>
      <c r="KUF70" s="2936"/>
      <c r="KUG70" s="2936"/>
      <c r="KUH70" s="2936"/>
      <c r="KUI70" s="2936"/>
      <c r="KUJ70" s="2936"/>
      <c r="KUK70" s="2936"/>
      <c r="KUL70" s="2936"/>
      <c r="KUM70" s="2936"/>
      <c r="KUN70" s="2936"/>
      <c r="KUO70" s="2936"/>
      <c r="KUP70" s="2936"/>
      <c r="KUQ70" s="2936"/>
      <c r="KUR70" s="2936"/>
      <c r="KUS70" s="2936"/>
      <c r="KUT70" s="2936"/>
      <c r="KUU70" s="2936"/>
      <c r="KUV70" s="2936"/>
      <c r="KUW70" s="2936"/>
      <c r="KUX70" s="2936"/>
      <c r="KUY70" s="2936"/>
      <c r="KUZ70" s="2936"/>
      <c r="KVA70" s="2936"/>
      <c r="KVB70" s="2936"/>
      <c r="KVC70" s="2936"/>
      <c r="KVD70" s="2936"/>
      <c r="KVE70" s="2936"/>
      <c r="KVF70" s="2936"/>
      <c r="KVG70" s="2936"/>
      <c r="KVH70" s="2936"/>
      <c r="KVI70" s="2936"/>
      <c r="KVJ70" s="2936"/>
      <c r="KVK70" s="2936"/>
      <c r="KVL70" s="2936"/>
      <c r="KVM70" s="2936"/>
      <c r="KVN70" s="2936"/>
      <c r="KVO70" s="2936"/>
      <c r="KVP70" s="2936"/>
      <c r="KVQ70" s="2936"/>
      <c r="KVR70" s="2936"/>
      <c r="KVS70" s="2936"/>
      <c r="KVT70" s="2936"/>
      <c r="KVU70" s="2936"/>
      <c r="KVV70" s="2936"/>
      <c r="KVW70" s="2936"/>
      <c r="KVX70" s="2936"/>
      <c r="KVY70" s="2936"/>
      <c r="KVZ70" s="2936"/>
      <c r="KWA70" s="2936"/>
      <c r="KWB70" s="2936"/>
      <c r="KWC70" s="2936"/>
      <c r="KWD70" s="2936"/>
      <c r="KWE70" s="2936"/>
      <c r="KWF70" s="2936"/>
      <c r="KWG70" s="2936"/>
      <c r="KWH70" s="2936"/>
      <c r="KWI70" s="2936"/>
      <c r="KWJ70" s="2936"/>
      <c r="KWK70" s="2936"/>
      <c r="KWL70" s="2936"/>
      <c r="KWM70" s="2936"/>
      <c r="KWN70" s="2936"/>
      <c r="KWO70" s="2936"/>
      <c r="KWP70" s="2936"/>
      <c r="KWQ70" s="2936"/>
      <c r="KWR70" s="2936"/>
      <c r="KWS70" s="2936"/>
      <c r="KWT70" s="2936"/>
      <c r="KWU70" s="2936"/>
      <c r="KWV70" s="2936"/>
      <c r="KWW70" s="2936"/>
      <c r="KWX70" s="2936"/>
      <c r="KWY70" s="2936"/>
      <c r="KWZ70" s="2936"/>
      <c r="KXA70" s="2936"/>
      <c r="KXB70" s="2936"/>
      <c r="KXC70" s="2936"/>
      <c r="KXD70" s="2936"/>
      <c r="KXE70" s="2936"/>
      <c r="KXF70" s="2936"/>
      <c r="KXG70" s="2936"/>
      <c r="KXH70" s="2936"/>
      <c r="KXI70" s="2936"/>
      <c r="KXJ70" s="2936"/>
      <c r="KXK70" s="2936"/>
      <c r="KXL70" s="2936"/>
      <c r="KXM70" s="2936"/>
      <c r="KXN70" s="2936"/>
      <c r="KXO70" s="2936"/>
      <c r="KXP70" s="2936"/>
      <c r="KXQ70" s="2936"/>
      <c r="KXR70" s="2936"/>
      <c r="KXS70" s="2936"/>
      <c r="KXT70" s="2936"/>
      <c r="KXU70" s="2936"/>
      <c r="KXV70" s="2936"/>
      <c r="KXW70" s="2936"/>
      <c r="KXX70" s="2936"/>
      <c r="KXY70" s="2936"/>
      <c r="KXZ70" s="2936"/>
      <c r="KYA70" s="2936"/>
      <c r="KYB70" s="2936"/>
      <c r="KYC70" s="2936"/>
      <c r="KYD70" s="2936"/>
      <c r="KYE70" s="2936"/>
      <c r="KYF70" s="2936"/>
      <c r="KYG70" s="2936"/>
      <c r="KYH70" s="2936"/>
      <c r="KYI70" s="2936"/>
      <c r="KYJ70" s="2936"/>
      <c r="KYK70" s="2936"/>
      <c r="KYL70" s="2936"/>
      <c r="KYM70" s="2936"/>
      <c r="KYN70" s="2936"/>
      <c r="KYO70" s="2936"/>
      <c r="KYP70" s="2936"/>
      <c r="KYQ70" s="2936"/>
      <c r="KYR70" s="2936"/>
      <c r="KYS70" s="2936"/>
      <c r="KYT70" s="2936"/>
      <c r="KYU70" s="2936"/>
      <c r="KYV70" s="2936"/>
      <c r="KYW70" s="2936"/>
      <c r="KYX70" s="2936"/>
      <c r="KYY70" s="2936"/>
      <c r="KYZ70" s="2936"/>
      <c r="KZA70" s="2936"/>
      <c r="KZB70" s="2936"/>
      <c r="KZC70" s="2936"/>
      <c r="KZD70" s="2936"/>
      <c r="KZE70" s="2936"/>
      <c r="KZF70" s="2936"/>
      <c r="KZG70" s="2936"/>
      <c r="KZH70" s="2936"/>
      <c r="KZI70" s="2936"/>
      <c r="KZJ70" s="2936"/>
      <c r="KZK70" s="2936"/>
      <c r="KZL70" s="2936"/>
      <c r="KZM70" s="2936"/>
      <c r="KZN70" s="2936"/>
      <c r="KZO70" s="2936"/>
      <c r="KZP70" s="2936"/>
      <c r="KZQ70" s="2936"/>
      <c r="KZR70" s="2936"/>
      <c r="KZS70" s="2936"/>
      <c r="KZT70" s="2936"/>
      <c r="KZU70" s="2936"/>
      <c r="KZV70" s="2936"/>
      <c r="KZW70" s="2936"/>
      <c r="KZX70" s="2936"/>
      <c r="KZY70" s="2936"/>
      <c r="KZZ70" s="2936"/>
      <c r="LAA70" s="2936"/>
      <c r="LAB70" s="2936"/>
      <c r="LAC70" s="2936"/>
      <c r="LAD70" s="2936"/>
      <c r="LAE70" s="2936"/>
      <c r="LAF70" s="2936"/>
      <c r="LAG70" s="2936"/>
      <c r="LAH70" s="2936"/>
      <c r="LAI70" s="2936"/>
      <c r="LAJ70" s="2936"/>
      <c r="LAK70" s="2936"/>
      <c r="LAL70" s="2936"/>
      <c r="LAM70" s="2936"/>
      <c r="LAN70" s="2936"/>
      <c r="LAO70" s="2936"/>
      <c r="LAP70" s="2936"/>
      <c r="LAQ70" s="2936"/>
      <c r="LAR70" s="2936"/>
      <c r="LAS70" s="2936"/>
      <c r="LAT70" s="2936"/>
      <c r="LAU70" s="2936"/>
      <c r="LAV70" s="2936"/>
      <c r="LAW70" s="2936"/>
      <c r="LAX70" s="2936"/>
      <c r="LAY70" s="2936"/>
      <c r="LAZ70" s="2936"/>
      <c r="LBA70" s="2936"/>
      <c r="LBB70" s="2936"/>
      <c r="LBC70" s="2936"/>
      <c r="LBD70" s="2936"/>
      <c r="LBE70" s="2936"/>
      <c r="LBF70" s="2936"/>
      <c r="LBG70" s="2936"/>
      <c r="LBH70" s="2936"/>
      <c r="LBI70" s="2936"/>
      <c r="LBJ70" s="2936"/>
      <c r="LBK70" s="2936"/>
      <c r="LBL70" s="2936"/>
      <c r="LBM70" s="2936"/>
      <c r="LBN70" s="2936"/>
      <c r="LBO70" s="2936"/>
      <c r="LBP70" s="2936"/>
      <c r="LBQ70" s="2936"/>
      <c r="LBR70" s="2936"/>
      <c r="LBS70" s="2936"/>
      <c r="LBT70" s="2936"/>
      <c r="LBU70" s="2936"/>
      <c r="LBV70" s="2936"/>
      <c r="LBW70" s="2936"/>
      <c r="LBX70" s="2936"/>
      <c r="LBY70" s="2936"/>
      <c r="LBZ70" s="2936"/>
      <c r="LCA70" s="2936"/>
      <c r="LCB70" s="2936"/>
      <c r="LCC70" s="2936"/>
      <c r="LCD70" s="2936"/>
      <c r="LCE70" s="2936"/>
      <c r="LCF70" s="2936"/>
      <c r="LCG70" s="2936"/>
      <c r="LCH70" s="2936"/>
      <c r="LCI70" s="2936"/>
      <c r="LCJ70" s="2936"/>
      <c r="LCK70" s="2936"/>
      <c r="LCL70" s="2936"/>
      <c r="LCM70" s="2936"/>
      <c r="LCN70" s="2936"/>
      <c r="LCO70" s="2936"/>
      <c r="LCP70" s="2936"/>
      <c r="LCQ70" s="2936"/>
      <c r="LCR70" s="2936"/>
      <c r="LCS70" s="2936"/>
      <c r="LCT70" s="2936"/>
      <c r="LCU70" s="2936"/>
      <c r="LCV70" s="2936"/>
      <c r="LCW70" s="2936"/>
      <c r="LCX70" s="2936"/>
      <c r="LCY70" s="2936"/>
      <c r="LCZ70" s="2936"/>
      <c r="LDA70" s="2936"/>
      <c r="LDB70" s="2936"/>
      <c r="LDC70" s="2936"/>
      <c r="LDD70" s="2936"/>
      <c r="LDE70" s="2936"/>
      <c r="LDF70" s="2936"/>
      <c r="LDG70" s="2936"/>
      <c r="LDH70" s="2936"/>
      <c r="LDI70" s="2936"/>
      <c r="LDJ70" s="2936"/>
      <c r="LDK70" s="2936"/>
      <c r="LDL70" s="2936"/>
      <c r="LDM70" s="2936"/>
      <c r="LDN70" s="2936"/>
      <c r="LDO70" s="2936"/>
      <c r="LDP70" s="2936"/>
      <c r="LDQ70" s="2936"/>
      <c r="LDR70" s="2936"/>
      <c r="LDS70" s="2936"/>
      <c r="LDT70" s="2936"/>
      <c r="LDU70" s="2936"/>
      <c r="LDV70" s="2936"/>
      <c r="LDW70" s="2936"/>
      <c r="LDX70" s="2936"/>
      <c r="LDY70" s="2936"/>
      <c r="LDZ70" s="2936"/>
      <c r="LEA70" s="2936"/>
      <c r="LEB70" s="2936"/>
      <c r="LEC70" s="2936"/>
      <c r="LED70" s="2936"/>
      <c r="LEE70" s="2936"/>
      <c r="LEF70" s="2936"/>
      <c r="LEG70" s="2936"/>
      <c r="LEH70" s="2936"/>
      <c r="LEI70" s="2936"/>
      <c r="LEJ70" s="2936"/>
      <c r="LEK70" s="2936"/>
      <c r="LEL70" s="2936"/>
      <c r="LEM70" s="2936"/>
      <c r="LEN70" s="2936"/>
      <c r="LEO70" s="2936"/>
      <c r="LEP70" s="2936"/>
      <c r="LEQ70" s="2936"/>
      <c r="LER70" s="2936"/>
      <c r="LES70" s="2936"/>
      <c r="LET70" s="2936"/>
      <c r="LEU70" s="2936"/>
      <c r="LEV70" s="2936"/>
      <c r="LEW70" s="2936"/>
      <c r="LEX70" s="2936"/>
      <c r="LEY70" s="2936"/>
      <c r="LEZ70" s="2936"/>
      <c r="LFA70" s="2936"/>
      <c r="LFB70" s="2936"/>
      <c r="LFC70" s="2936"/>
      <c r="LFD70" s="2936"/>
      <c r="LFE70" s="2936"/>
      <c r="LFF70" s="2936"/>
      <c r="LFG70" s="2936"/>
      <c r="LFH70" s="2936"/>
      <c r="LFI70" s="2936"/>
      <c r="LFJ70" s="2936"/>
      <c r="LFK70" s="2936"/>
      <c r="LFL70" s="2936"/>
      <c r="LFM70" s="2936"/>
      <c r="LFN70" s="2936"/>
      <c r="LFO70" s="2936"/>
      <c r="LFP70" s="2936"/>
      <c r="LFQ70" s="2936"/>
      <c r="LFR70" s="2936"/>
      <c r="LFS70" s="2936"/>
      <c r="LFT70" s="2936"/>
      <c r="LFU70" s="2936"/>
      <c r="LFV70" s="2936"/>
      <c r="LFW70" s="2936"/>
      <c r="LFX70" s="2936"/>
      <c r="LFY70" s="2936"/>
      <c r="LFZ70" s="2936"/>
      <c r="LGA70" s="2936"/>
      <c r="LGB70" s="2936"/>
      <c r="LGC70" s="2936"/>
      <c r="LGD70" s="2936"/>
      <c r="LGE70" s="2936"/>
      <c r="LGF70" s="2936"/>
      <c r="LGG70" s="2936"/>
      <c r="LGH70" s="2936"/>
      <c r="LGI70" s="2936"/>
      <c r="LGJ70" s="2936"/>
      <c r="LGK70" s="2936"/>
      <c r="LGL70" s="2936"/>
      <c r="LGM70" s="2936"/>
      <c r="LGN70" s="2936"/>
      <c r="LGO70" s="2936"/>
      <c r="LGP70" s="2936"/>
      <c r="LGQ70" s="2936"/>
      <c r="LGR70" s="2936"/>
      <c r="LGS70" s="2936"/>
      <c r="LGT70" s="2936"/>
      <c r="LGU70" s="2936"/>
      <c r="LGV70" s="2936"/>
      <c r="LGW70" s="2936"/>
      <c r="LGX70" s="2936"/>
      <c r="LGY70" s="2936"/>
      <c r="LGZ70" s="2936"/>
      <c r="LHA70" s="2936"/>
      <c r="LHB70" s="2936"/>
      <c r="LHC70" s="2936"/>
      <c r="LHD70" s="2936"/>
      <c r="LHE70" s="2936"/>
      <c r="LHF70" s="2936"/>
      <c r="LHG70" s="2936"/>
      <c r="LHH70" s="2936"/>
      <c r="LHI70" s="2936"/>
      <c r="LHJ70" s="2936"/>
      <c r="LHK70" s="2936"/>
      <c r="LHL70" s="2936"/>
      <c r="LHM70" s="2936"/>
      <c r="LHN70" s="2936"/>
      <c r="LHO70" s="2936"/>
      <c r="LHP70" s="2936"/>
      <c r="LHQ70" s="2936"/>
      <c r="LHR70" s="2936"/>
      <c r="LHS70" s="2936"/>
      <c r="LHT70" s="2936"/>
      <c r="LHU70" s="2936"/>
      <c r="LHV70" s="2936"/>
      <c r="LHW70" s="2936"/>
      <c r="LHX70" s="2936"/>
      <c r="LHY70" s="2936"/>
      <c r="LHZ70" s="2936"/>
      <c r="LIA70" s="2936"/>
      <c r="LIB70" s="2936"/>
      <c r="LIC70" s="2936"/>
      <c r="LID70" s="2936"/>
      <c r="LIE70" s="2936"/>
      <c r="LIF70" s="2936"/>
      <c r="LIG70" s="2936"/>
      <c r="LIH70" s="2936"/>
      <c r="LII70" s="2936"/>
      <c r="LIJ70" s="2936"/>
      <c r="LIK70" s="2936"/>
      <c r="LIL70" s="2936"/>
      <c r="LIM70" s="2936"/>
      <c r="LIN70" s="2936"/>
      <c r="LIO70" s="2936"/>
      <c r="LIP70" s="2936"/>
      <c r="LIQ70" s="2936"/>
      <c r="LIR70" s="2936"/>
      <c r="LIS70" s="2936"/>
      <c r="LIT70" s="2936"/>
      <c r="LIU70" s="2936"/>
      <c r="LIV70" s="2936"/>
      <c r="LIW70" s="2936"/>
      <c r="LIX70" s="2936"/>
      <c r="LIY70" s="2936"/>
      <c r="LIZ70" s="2936"/>
      <c r="LJA70" s="2936"/>
      <c r="LJB70" s="2936"/>
      <c r="LJC70" s="2936"/>
      <c r="LJD70" s="2936"/>
      <c r="LJE70" s="2936"/>
      <c r="LJF70" s="2936"/>
      <c r="LJG70" s="2936"/>
      <c r="LJH70" s="2936"/>
      <c r="LJI70" s="2936"/>
      <c r="LJJ70" s="2936"/>
      <c r="LJK70" s="2936"/>
      <c r="LJL70" s="2936"/>
      <c r="LJM70" s="2936"/>
      <c r="LJN70" s="2936"/>
      <c r="LJO70" s="2936"/>
      <c r="LJP70" s="2936"/>
      <c r="LJQ70" s="2936"/>
      <c r="LJR70" s="2936"/>
      <c r="LJS70" s="2936"/>
      <c r="LJT70" s="2936"/>
      <c r="LJU70" s="2936"/>
      <c r="LJV70" s="2936"/>
      <c r="LJW70" s="2936"/>
      <c r="LJX70" s="2936"/>
      <c r="LJY70" s="2936"/>
      <c r="LJZ70" s="2936"/>
      <c r="LKA70" s="2936"/>
      <c r="LKB70" s="2936"/>
      <c r="LKC70" s="2936"/>
      <c r="LKD70" s="2936"/>
      <c r="LKE70" s="2936"/>
      <c r="LKF70" s="2936"/>
      <c r="LKG70" s="2936"/>
      <c r="LKH70" s="2936"/>
      <c r="LKI70" s="2936"/>
      <c r="LKJ70" s="2936"/>
      <c r="LKK70" s="2936"/>
      <c r="LKL70" s="2936"/>
      <c r="LKM70" s="2936"/>
      <c r="LKN70" s="2936"/>
      <c r="LKO70" s="2936"/>
      <c r="LKP70" s="2936"/>
      <c r="LKQ70" s="2936"/>
      <c r="LKR70" s="2936"/>
      <c r="LKS70" s="2936"/>
      <c r="LKT70" s="2936"/>
      <c r="LKU70" s="2936"/>
      <c r="LKV70" s="2936"/>
      <c r="LKW70" s="2936"/>
      <c r="LKX70" s="2936"/>
      <c r="LKY70" s="2936"/>
      <c r="LKZ70" s="2936"/>
      <c r="LLA70" s="2936"/>
      <c r="LLB70" s="2936"/>
      <c r="LLC70" s="2936"/>
      <c r="LLD70" s="2936"/>
      <c r="LLE70" s="2936"/>
      <c r="LLF70" s="2936"/>
      <c r="LLG70" s="2936"/>
      <c r="LLH70" s="2936"/>
      <c r="LLI70" s="2936"/>
      <c r="LLJ70" s="2936"/>
      <c r="LLK70" s="2936"/>
      <c r="LLL70" s="2936"/>
      <c r="LLM70" s="2936"/>
      <c r="LLN70" s="2936"/>
      <c r="LLO70" s="2936"/>
      <c r="LLP70" s="2936"/>
      <c r="LLQ70" s="2936"/>
      <c r="LLR70" s="2936"/>
      <c r="LLS70" s="2936"/>
      <c r="LLT70" s="2936"/>
      <c r="LLU70" s="2936"/>
      <c r="LLV70" s="2936"/>
      <c r="LLW70" s="2936"/>
      <c r="LLX70" s="2936"/>
      <c r="LLY70" s="2936"/>
      <c r="LLZ70" s="2936"/>
      <c r="LMA70" s="2936"/>
      <c r="LMB70" s="2936"/>
      <c r="LMC70" s="2936"/>
      <c r="LMD70" s="2936"/>
      <c r="LME70" s="2936"/>
      <c r="LMF70" s="2936"/>
      <c r="LMG70" s="2936"/>
      <c r="LMH70" s="2936"/>
      <c r="LMI70" s="2936"/>
      <c r="LMJ70" s="2936"/>
      <c r="LMK70" s="2936"/>
      <c r="LML70" s="2936"/>
      <c r="LMM70" s="2936"/>
      <c r="LMN70" s="2936"/>
      <c r="LMO70" s="2936"/>
      <c r="LMP70" s="2936"/>
      <c r="LMQ70" s="2936"/>
      <c r="LMR70" s="2936"/>
      <c r="LMS70" s="2936"/>
      <c r="LMT70" s="2936"/>
      <c r="LMU70" s="2936"/>
      <c r="LMV70" s="2936"/>
      <c r="LMW70" s="2936"/>
      <c r="LMX70" s="2936"/>
      <c r="LMY70" s="2936"/>
      <c r="LMZ70" s="2936"/>
      <c r="LNA70" s="2936"/>
      <c r="LNB70" s="2936"/>
      <c r="LNC70" s="2936"/>
      <c r="LND70" s="2936"/>
      <c r="LNE70" s="2936"/>
      <c r="LNF70" s="2936"/>
      <c r="LNG70" s="2936"/>
      <c r="LNH70" s="2936"/>
      <c r="LNI70" s="2936"/>
      <c r="LNJ70" s="2936"/>
      <c r="LNK70" s="2936"/>
      <c r="LNL70" s="2936"/>
      <c r="LNM70" s="2936"/>
      <c r="LNN70" s="2936"/>
      <c r="LNO70" s="2936"/>
      <c r="LNP70" s="2936"/>
      <c r="LNQ70" s="2936"/>
      <c r="LNR70" s="2936"/>
      <c r="LNS70" s="2936"/>
      <c r="LNT70" s="2936"/>
      <c r="LNU70" s="2936"/>
      <c r="LNV70" s="2936"/>
      <c r="LNW70" s="2936"/>
      <c r="LNX70" s="2936"/>
      <c r="LNY70" s="2936"/>
      <c r="LNZ70" s="2936"/>
      <c r="LOA70" s="2936"/>
      <c r="LOB70" s="2936"/>
      <c r="LOC70" s="2936"/>
      <c r="LOD70" s="2936"/>
      <c r="LOE70" s="2936"/>
      <c r="LOF70" s="2936"/>
      <c r="LOG70" s="2936"/>
      <c r="LOH70" s="2936"/>
      <c r="LOI70" s="2936"/>
      <c r="LOJ70" s="2936"/>
      <c r="LOK70" s="2936"/>
      <c r="LOL70" s="2936"/>
      <c r="LOM70" s="2936"/>
      <c r="LON70" s="2936"/>
      <c r="LOO70" s="2936"/>
      <c r="LOP70" s="2936"/>
      <c r="LOQ70" s="2936"/>
      <c r="LOR70" s="2936"/>
      <c r="LOS70" s="2936"/>
      <c r="LOT70" s="2936"/>
      <c r="LOU70" s="2936"/>
      <c r="LOV70" s="2936"/>
      <c r="LOW70" s="2936"/>
      <c r="LOX70" s="2936"/>
      <c r="LOY70" s="2936"/>
      <c r="LOZ70" s="2936"/>
      <c r="LPA70" s="2936"/>
      <c r="LPB70" s="2936"/>
      <c r="LPC70" s="2936"/>
      <c r="LPD70" s="2936"/>
      <c r="LPE70" s="2936"/>
      <c r="LPF70" s="2936"/>
      <c r="LPG70" s="2936"/>
      <c r="LPH70" s="2936"/>
      <c r="LPI70" s="2936"/>
      <c r="LPJ70" s="2936"/>
      <c r="LPK70" s="2936"/>
      <c r="LPL70" s="2936"/>
      <c r="LPM70" s="2936"/>
      <c r="LPN70" s="2936"/>
      <c r="LPO70" s="2936"/>
      <c r="LPP70" s="2936"/>
      <c r="LPQ70" s="2936"/>
      <c r="LPR70" s="2936"/>
      <c r="LPS70" s="2936"/>
      <c r="LPT70" s="2936"/>
      <c r="LPU70" s="2936"/>
      <c r="LPV70" s="2936"/>
      <c r="LPW70" s="2936"/>
      <c r="LPX70" s="2936"/>
      <c r="LPY70" s="2936"/>
      <c r="LPZ70" s="2936"/>
      <c r="LQA70" s="2936"/>
      <c r="LQB70" s="2936"/>
      <c r="LQC70" s="2936"/>
      <c r="LQD70" s="2936"/>
      <c r="LQE70" s="2936"/>
      <c r="LQF70" s="2936"/>
      <c r="LQG70" s="2936"/>
      <c r="LQH70" s="2936"/>
      <c r="LQI70" s="2936"/>
      <c r="LQJ70" s="2936"/>
      <c r="LQK70" s="2936"/>
      <c r="LQL70" s="2936"/>
      <c r="LQM70" s="2936"/>
      <c r="LQN70" s="2936"/>
      <c r="LQO70" s="2936"/>
      <c r="LQP70" s="2936"/>
      <c r="LQQ70" s="2936"/>
      <c r="LQR70" s="2936"/>
      <c r="LQS70" s="2936"/>
      <c r="LQT70" s="2936"/>
      <c r="LQU70" s="2936"/>
      <c r="LQV70" s="2936"/>
      <c r="LQW70" s="2936"/>
      <c r="LQX70" s="2936"/>
      <c r="LQY70" s="2936"/>
      <c r="LQZ70" s="2936"/>
      <c r="LRA70" s="2936"/>
      <c r="LRB70" s="2936"/>
      <c r="LRC70" s="2936"/>
      <c r="LRD70" s="2936"/>
      <c r="LRE70" s="2936"/>
      <c r="LRF70" s="2936"/>
      <c r="LRG70" s="2936"/>
      <c r="LRH70" s="2936"/>
      <c r="LRI70" s="2936"/>
      <c r="LRJ70" s="2936"/>
      <c r="LRK70" s="2936"/>
      <c r="LRL70" s="2936"/>
      <c r="LRM70" s="2936"/>
      <c r="LRN70" s="2936"/>
      <c r="LRO70" s="2936"/>
      <c r="LRP70" s="2936"/>
      <c r="LRQ70" s="2936"/>
      <c r="LRR70" s="2936"/>
      <c r="LRS70" s="2936"/>
      <c r="LRT70" s="2936"/>
      <c r="LRU70" s="2936"/>
      <c r="LRV70" s="2936"/>
      <c r="LRW70" s="2936"/>
      <c r="LRX70" s="2936"/>
      <c r="LRY70" s="2936"/>
      <c r="LRZ70" s="2936"/>
      <c r="LSA70" s="2936"/>
      <c r="LSB70" s="2936"/>
      <c r="LSC70" s="2936"/>
      <c r="LSD70" s="2936"/>
      <c r="LSE70" s="2936"/>
      <c r="LSF70" s="2936"/>
      <c r="LSG70" s="2936"/>
      <c r="LSH70" s="2936"/>
      <c r="LSI70" s="2936"/>
      <c r="LSJ70" s="2936"/>
      <c r="LSK70" s="2936"/>
      <c r="LSL70" s="2936"/>
      <c r="LSM70" s="2936"/>
      <c r="LSN70" s="2936"/>
      <c r="LSO70" s="2936"/>
      <c r="LSP70" s="2936"/>
      <c r="LSQ70" s="2936"/>
      <c r="LSR70" s="2936"/>
      <c r="LSS70" s="2936"/>
      <c r="LST70" s="2936"/>
      <c r="LSU70" s="2936"/>
      <c r="LSV70" s="2936"/>
      <c r="LSW70" s="2936"/>
      <c r="LSX70" s="2936"/>
      <c r="LSY70" s="2936"/>
      <c r="LSZ70" s="2936"/>
      <c r="LTA70" s="2936"/>
      <c r="LTB70" s="2936"/>
      <c r="LTC70" s="2936"/>
      <c r="LTD70" s="2936"/>
      <c r="LTE70" s="2936"/>
      <c r="LTF70" s="2936"/>
      <c r="LTG70" s="2936"/>
      <c r="LTH70" s="2936"/>
      <c r="LTI70" s="2936"/>
      <c r="LTJ70" s="2936"/>
      <c r="LTK70" s="2936"/>
      <c r="LTL70" s="2936"/>
      <c r="LTM70" s="2936"/>
      <c r="LTN70" s="2936"/>
      <c r="LTO70" s="2936"/>
      <c r="LTP70" s="2936"/>
      <c r="LTQ70" s="2936"/>
      <c r="LTR70" s="2936"/>
      <c r="LTS70" s="2936"/>
      <c r="LTT70" s="2936"/>
      <c r="LTU70" s="2936"/>
      <c r="LTV70" s="2936"/>
      <c r="LTW70" s="2936"/>
      <c r="LTX70" s="2936"/>
      <c r="LTY70" s="2936"/>
      <c r="LTZ70" s="2936"/>
      <c r="LUA70" s="2936"/>
      <c r="LUB70" s="2936"/>
      <c r="LUC70" s="2936"/>
      <c r="LUD70" s="2936"/>
      <c r="LUE70" s="2936"/>
      <c r="LUF70" s="2936"/>
      <c r="LUG70" s="2936"/>
      <c r="LUH70" s="2936"/>
      <c r="LUI70" s="2936"/>
      <c r="LUJ70" s="2936"/>
      <c r="LUK70" s="2936"/>
      <c r="LUL70" s="2936"/>
      <c r="LUM70" s="2936"/>
      <c r="LUN70" s="2936"/>
      <c r="LUO70" s="2936"/>
      <c r="LUP70" s="2936"/>
      <c r="LUQ70" s="2936"/>
      <c r="LUR70" s="2936"/>
      <c r="LUS70" s="2936"/>
      <c r="LUT70" s="2936"/>
      <c r="LUU70" s="2936"/>
      <c r="LUV70" s="2936"/>
      <c r="LUW70" s="2936"/>
      <c r="LUX70" s="2936"/>
      <c r="LUY70" s="2936"/>
      <c r="LUZ70" s="2936"/>
      <c r="LVA70" s="2936"/>
      <c r="LVB70" s="2936"/>
      <c r="LVC70" s="2936"/>
      <c r="LVD70" s="2936"/>
      <c r="LVE70" s="2936"/>
      <c r="LVF70" s="2936"/>
      <c r="LVG70" s="2936"/>
      <c r="LVH70" s="2936"/>
      <c r="LVI70" s="2936"/>
      <c r="LVJ70" s="2936"/>
      <c r="LVK70" s="2936"/>
      <c r="LVL70" s="2936"/>
      <c r="LVM70" s="2936"/>
      <c r="LVN70" s="2936"/>
      <c r="LVO70" s="2936"/>
      <c r="LVP70" s="2936"/>
      <c r="LVQ70" s="2936"/>
      <c r="LVR70" s="2936"/>
      <c r="LVS70" s="2936"/>
      <c r="LVT70" s="2936"/>
      <c r="LVU70" s="2936"/>
      <c r="LVV70" s="2936"/>
      <c r="LVW70" s="2936"/>
      <c r="LVX70" s="2936"/>
      <c r="LVY70" s="2936"/>
      <c r="LVZ70" s="2936"/>
      <c r="LWA70" s="2936"/>
      <c r="LWB70" s="2936"/>
      <c r="LWC70" s="2936"/>
      <c r="LWD70" s="2936"/>
      <c r="LWE70" s="2936"/>
      <c r="LWF70" s="2936"/>
      <c r="LWG70" s="2936"/>
      <c r="LWH70" s="2936"/>
      <c r="LWI70" s="2936"/>
      <c r="LWJ70" s="2936"/>
      <c r="LWK70" s="2936"/>
      <c r="LWL70" s="2936"/>
      <c r="LWM70" s="2936"/>
      <c r="LWN70" s="2936"/>
      <c r="LWO70" s="2936"/>
      <c r="LWP70" s="2936"/>
      <c r="LWQ70" s="2936"/>
      <c r="LWR70" s="2936"/>
      <c r="LWS70" s="2936"/>
      <c r="LWT70" s="2936"/>
      <c r="LWU70" s="2936"/>
      <c r="LWV70" s="2936"/>
      <c r="LWW70" s="2936"/>
      <c r="LWX70" s="2936"/>
      <c r="LWY70" s="2936"/>
      <c r="LWZ70" s="2936"/>
      <c r="LXA70" s="2936"/>
      <c r="LXB70" s="2936"/>
      <c r="LXC70" s="2936"/>
      <c r="LXD70" s="2936"/>
      <c r="LXE70" s="2936"/>
      <c r="LXF70" s="2936"/>
      <c r="LXG70" s="2936"/>
      <c r="LXH70" s="2936"/>
      <c r="LXI70" s="2936"/>
      <c r="LXJ70" s="2936"/>
      <c r="LXK70" s="2936"/>
      <c r="LXL70" s="2936"/>
      <c r="LXM70" s="2936"/>
      <c r="LXN70" s="2936"/>
      <c r="LXO70" s="2936"/>
      <c r="LXP70" s="2936"/>
      <c r="LXQ70" s="2936"/>
      <c r="LXR70" s="2936"/>
      <c r="LXS70" s="2936"/>
      <c r="LXT70" s="2936"/>
      <c r="LXU70" s="2936"/>
      <c r="LXV70" s="2936"/>
      <c r="LXW70" s="2936"/>
      <c r="LXX70" s="2936"/>
      <c r="LXY70" s="2936"/>
      <c r="LXZ70" s="2936"/>
      <c r="LYA70" s="2936"/>
      <c r="LYB70" s="2936"/>
      <c r="LYC70" s="2936"/>
      <c r="LYD70" s="2936"/>
      <c r="LYE70" s="2936"/>
      <c r="LYF70" s="2936"/>
      <c r="LYG70" s="2936"/>
      <c r="LYH70" s="2936"/>
      <c r="LYI70" s="2936"/>
      <c r="LYJ70" s="2936"/>
      <c r="LYK70" s="2936"/>
      <c r="LYL70" s="2936"/>
      <c r="LYM70" s="2936"/>
      <c r="LYN70" s="2936"/>
      <c r="LYO70" s="2936"/>
      <c r="LYP70" s="2936"/>
      <c r="LYQ70" s="2936"/>
      <c r="LYR70" s="2936"/>
      <c r="LYS70" s="2936"/>
      <c r="LYT70" s="2936"/>
      <c r="LYU70" s="2936"/>
      <c r="LYV70" s="2936"/>
      <c r="LYW70" s="2936"/>
      <c r="LYX70" s="2936"/>
      <c r="LYY70" s="2936"/>
      <c r="LYZ70" s="2936"/>
      <c r="LZA70" s="2936"/>
      <c r="LZB70" s="2936"/>
      <c r="LZC70" s="2936"/>
      <c r="LZD70" s="2936"/>
      <c r="LZE70" s="2936"/>
      <c r="LZF70" s="2936"/>
      <c r="LZG70" s="2936"/>
      <c r="LZH70" s="2936"/>
      <c r="LZI70" s="2936"/>
      <c r="LZJ70" s="2936"/>
      <c r="LZK70" s="2936"/>
      <c r="LZL70" s="2936"/>
      <c r="LZM70" s="2936"/>
      <c r="LZN70" s="2936"/>
      <c r="LZO70" s="2936"/>
      <c r="LZP70" s="2936"/>
      <c r="LZQ70" s="2936"/>
      <c r="LZR70" s="2936"/>
      <c r="LZS70" s="2936"/>
      <c r="LZT70" s="2936"/>
      <c r="LZU70" s="2936"/>
      <c r="LZV70" s="2936"/>
      <c r="LZW70" s="2936"/>
      <c r="LZX70" s="2936"/>
      <c r="LZY70" s="2936"/>
      <c r="LZZ70" s="2936"/>
      <c r="MAA70" s="2936"/>
      <c r="MAB70" s="2936"/>
      <c r="MAC70" s="2936"/>
      <c r="MAD70" s="2936"/>
      <c r="MAE70" s="2936"/>
      <c r="MAF70" s="2936"/>
      <c r="MAG70" s="2936"/>
      <c r="MAH70" s="2936"/>
      <c r="MAI70" s="2936"/>
      <c r="MAJ70" s="2936"/>
      <c r="MAK70" s="2936"/>
      <c r="MAL70" s="2936"/>
      <c r="MAM70" s="2936"/>
      <c r="MAN70" s="2936"/>
      <c r="MAO70" s="2936"/>
      <c r="MAP70" s="2936"/>
      <c r="MAQ70" s="2936"/>
      <c r="MAR70" s="2936"/>
      <c r="MAS70" s="2936"/>
      <c r="MAT70" s="2936"/>
      <c r="MAU70" s="2936"/>
      <c r="MAV70" s="2936"/>
      <c r="MAW70" s="2936"/>
      <c r="MAX70" s="2936"/>
      <c r="MAY70" s="2936"/>
      <c r="MAZ70" s="2936"/>
      <c r="MBA70" s="2936"/>
      <c r="MBB70" s="2936"/>
      <c r="MBC70" s="2936"/>
      <c r="MBD70" s="2936"/>
      <c r="MBE70" s="2936"/>
      <c r="MBF70" s="2936"/>
      <c r="MBG70" s="2936"/>
      <c r="MBH70" s="2936"/>
      <c r="MBI70" s="2936"/>
      <c r="MBJ70" s="2936"/>
      <c r="MBK70" s="2936"/>
      <c r="MBL70" s="2936"/>
      <c r="MBM70" s="2936"/>
      <c r="MBN70" s="2936"/>
      <c r="MBO70" s="2936"/>
      <c r="MBP70" s="2936"/>
      <c r="MBQ70" s="2936"/>
      <c r="MBR70" s="2936"/>
      <c r="MBS70" s="2936"/>
      <c r="MBT70" s="2936"/>
      <c r="MBU70" s="2936"/>
      <c r="MBV70" s="2936"/>
      <c r="MBW70" s="2936"/>
      <c r="MBX70" s="2936"/>
      <c r="MBY70" s="2936"/>
      <c r="MBZ70" s="2936"/>
      <c r="MCA70" s="2936"/>
      <c r="MCB70" s="2936"/>
      <c r="MCC70" s="2936"/>
      <c r="MCD70" s="2936"/>
      <c r="MCE70" s="2936"/>
      <c r="MCF70" s="2936"/>
      <c r="MCG70" s="2936"/>
      <c r="MCH70" s="2936"/>
      <c r="MCI70" s="2936"/>
      <c r="MCJ70" s="2936"/>
      <c r="MCK70" s="2936"/>
      <c r="MCL70" s="2936"/>
      <c r="MCM70" s="2936"/>
      <c r="MCN70" s="2936"/>
      <c r="MCO70" s="2936"/>
      <c r="MCP70" s="2936"/>
      <c r="MCQ70" s="2936"/>
      <c r="MCR70" s="2936"/>
      <c r="MCS70" s="2936"/>
      <c r="MCT70" s="2936"/>
      <c r="MCU70" s="2936"/>
      <c r="MCV70" s="2936"/>
      <c r="MCW70" s="2936"/>
      <c r="MCX70" s="2936"/>
      <c r="MCY70" s="2936"/>
      <c r="MCZ70" s="2936"/>
      <c r="MDA70" s="2936"/>
      <c r="MDB70" s="2936"/>
      <c r="MDC70" s="2936"/>
      <c r="MDD70" s="2936"/>
      <c r="MDE70" s="2936"/>
      <c r="MDF70" s="2936"/>
      <c r="MDG70" s="2936"/>
      <c r="MDH70" s="2936"/>
      <c r="MDI70" s="2936"/>
      <c r="MDJ70" s="2936"/>
      <c r="MDK70" s="2936"/>
      <c r="MDL70" s="2936"/>
      <c r="MDM70" s="2936"/>
      <c r="MDN70" s="2936"/>
      <c r="MDO70" s="2936"/>
      <c r="MDP70" s="2936"/>
      <c r="MDQ70" s="2936"/>
      <c r="MDR70" s="2936"/>
      <c r="MDS70" s="2936"/>
      <c r="MDT70" s="2936"/>
      <c r="MDU70" s="2936"/>
      <c r="MDV70" s="2936"/>
      <c r="MDW70" s="2936"/>
      <c r="MDX70" s="2936"/>
      <c r="MDY70" s="2936"/>
      <c r="MDZ70" s="2936"/>
      <c r="MEA70" s="2936"/>
      <c r="MEB70" s="2936"/>
      <c r="MEC70" s="2936"/>
      <c r="MED70" s="2936"/>
      <c r="MEE70" s="2936"/>
      <c r="MEF70" s="2936"/>
      <c r="MEG70" s="2936"/>
      <c r="MEH70" s="2936"/>
      <c r="MEI70" s="2936"/>
      <c r="MEJ70" s="2936"/>
      <c r="MEK70" s="2936"/>
      <c r="MEL70" s="2936"/>
      <c r="MEM70" s="2936"/>
      <c r="MEN70" s="2936"/>
      <c r="MEO70" s="2936"/>
      <c r="MEP70" s="2936"/>
      <c r="MEQ70" s="2936"/>
      <c r="MER70" s="2936"/>
      <c r="MES70" s="2936"/>
      <c r="MET70" s="2936"/>
      <c r="MEU70" s="2936"/>
      <c r="MEV70" s="2936"/>
      <c r="MEW70" s="2936"/>
      <c r="MEX70" s="2936"/>
      <c r="MEY70" s="2936"/>
      <c r="MEZ70" s="2936"/>
      <c r="MFA70" s="2936"/>
      <c r="MFB70" s="2936"/>
      <c r="MFC70" s="2936"/>
      <c r="MFD70" s="2936"/>
      <c r="MFE70" s="2936"/>
      <c r="MFF70" s="2936"/>
      <c r="MFG70" s="2936"/>
      <c r="MFH70" s="2936"/>
      <c r="MFI70" s="2936"/>
      <c r="MFJ70" s="2936"/>
      <c r="MFK70" s="2936"/>
      <c r="MFL70" s="2936"/>
      <c r="MFM70" s="2936"/>
      <c r="MFN70" s="2936"/>
      <c r="MFO70" s="2936"/>
      <c r="MFP70" s="2936"/>
      <c r="MFQ70" s="2936"/>
      <c r="MFR70" s="2936"/>
      <c r="MFS70" s="2936"/>
      <c r="MFT70" s="2936"/>
      <c r="MFU70" s="2936"/>
      <c r="MFV70" s="2936"/>
      <c r="MFW70" s="2936"/>
      <c r="MFX70" s="2936"/>
      <c r="MFY70" s="2936"/>
      <c r="MFZ70" s="2936"/>
      <c r="MGA70" s="2936"/>
      <c r="MGB70" s="2936"/>
      <c r="MGC70" s="2936"/>
      <c r="MGD70" s="2936"/>
      <c r="MGE70" s="2936"/>
      <c r="MGF70" s="2936"/>
      <c r="MGG70" s="2936"/>
      <c r="MGH70" s="2936"/>
      <c r="MGI70" s="2936"/>
      <c r="MGJ70" s="2936"/>
      <c r="MGK70" s="2936"/>
      <c r="MGL70" s="2936"/>
      <c r="MGM70" s="2936"/>
      <c r="MGN70" s="2936"/>
      <c r="MGO70" s="2936"/>
      <c r="MGP70" s="2936"/>
      <c r="MGQ70" s="2936"/>
      <c r="MGR70" s="2936"/>
      <c r="MGS70" s="2936"/>
      <c r="MGT70" s="2936"/>
      <c r="MGU70" s="2936"/>
      <c r="MGV70" s="2936"/>
      <c r="MGW70" s="2936"/>
      <c r="MGX70" s="2936"/>
      <c r="MGY70" s="2936"/>
      <c r="MGZ70" s="2936"/>
      <c r="MHA70" s="2936"/>
      <c r="MHB70" s="2936"/>
      <c r="MHC70" s="2936"/>
      <c r="MHD70" s="2936"/>
      <c r="MHE70" s="2936"/>
      <c r="MHF70" s="2936"/>
      <c r="MHG70" s="2936"/>
      <c r="MHH70" s="2936"/>
      <c r="MHI70" s="2936"/>
      <c r="MHJ70" s="2936"/>
      <c r="MHK70" s="2936"/>
      <c r="MHL70" s="2936"/>
      <c r="MHM70" s="2936"/>
      <c r="MHN70" s="2936"/>
      <c r="MHO70" s="2936"/>
      <c r="MHP70" s="2936"/>
      <c r="MHQ70" s="2936"/>
      <c r="MHR70" s="2936"/>
      <c r="MHS70" s="2936"/>
      <c r="MHT70" s="2936"/>
      <c r="MHU70" s="2936"/>
      <c r="MHV70" s="2936"/>
      <c r="MHW70" s="2936"/>
      <c r="MHX70" s="2936"/>
      <c r="MHY70" s="2936"/>
      <c r="MHZ70" s="2936"/>
      <c r="MIA70" s="2936"/>
      <c r="MIB70" s="2936"/>
      <c r="MIC70" s="2936"/>
      <c r="MID70" s="2936"/>
      <c r="MIE70" s="2936"/>
      <c r="MIF70" s="2936"/>
      <c r="MIG70" s="2936"/>
      <c r="MIH70" s="2936"/>
      <c r="MII70" s="2936"/>
      <c r="MIJ70" s="2936"/>
      <c r="MIK70" s="2936"/>
      <c r="MIL70" s="2936"/>
      <c r="MIM70" s="2936"/>
      <c r="MIN70" s="2936"/>
      <c r="MIO70" s="2936"/>
      <c r="MIP70" s="2936"/>
      <c r="MIQ70" s="2936"/>
      <c r="MIR70" s="2936"/>
      <c r="MIS70" s="2936"/>
      <c r="MIT70" s="2936"/>
      <c r="MIU70" s="2936"/>
      <c r="MIV70" s="2936"/>
      <c r="MIW70" s="2936"/>
      <c r="MIX70" s="2936"/>
      <c r="MIY70" s="2936"/>
      <c r="MIZ70" s="2936"/>
      <c r="MJA70" s="2936"/>
      <c r="MJB70" s="2936"/>
      <c r="MJC70" s="2936"/>
      <c r="MJD70" s="2936"/>
      <c r="MJE70" s="2936"/>
      <c r="MJF70" s="2936"/>
      <c r="MJG70" s="2936"/>
      <c r="MJH70" s="2936"/>
      <c r="MJI70" s="2936"/>
      <c r="MJJ70" s="2936"/>
      <c r="MJK70" s="2936"/>
      <c r="MJL70" s="2936"/>
      <c r="MJM70" s="2936"/>
      <c r="MJN70" s="2936"/>
      <c r="MJO70" s="2936"/>
      <c r="MJP70" s="2936"/>
      <c r="MJQ70" s="2936"/>
      <c r="MJR70" s="2936"/>
      <c r="MJS70" s="2936"/>
      <c r="MJT70" s="2936"/>
      <c r="MJU70" s="2936"/>
      <c r="MJV70" s="2936"/>
      <c r="MJW70" s="2936"/>
      <c r="MJX70" s="2936"/>
      <c r="MJY70" s="2936"/>
      <c r="MJZ70" s="2936"/>
      <c r="MKA70" s="2936"/>
      <c r="MKB70" s="2936"/>
      <c r="MKC70" s="2936"/>
      <c r="MKD70" s="2936"/>
      <c r="MKE70" s="2936"/>
      <c r="MKF70" s="2936"/>
      <c r="MKG70" s="2936"/>
      <c r="MKH70" s="2936"/>
      <c r="MKI70" s="2936"/>
      <c r="MKJ70" s="2936"/>
      <c r="MKK70" s="2936"/>
      <c r="MKL70" s="2936"/>
      <c r="MKM70" s="2936"/>
      <c r="MKN70" s="2936"/>
      <c r="MKO70" s="2936"/>
      <c r="MKP70" s="2936"/>
      <c r="MKQ70" s="2936"/>
      <c r="MKR70" s="2936"/>
      <c r="MKS70" s="2936"/>
      <c r="MKT70" s="2936"/>
      <c r="MKU70" s="2936"/>
      <c r="MKV70" s="2936"/>
      <c r="MKW70" s="2936"/>
      <c r="MKX70" s="2936"/>
      <c r="MKY70" s="2936"/>
      <c r="MKZ70" s="2936"/>
      <c r="MLA70" s="2936"/>
      <c r="MLB70" s="2936"/>
      <c r="MLC70" s="2936"/>
      <c r="MLD70" s="2936"/>
      <c r="MLE70" s="2936"/>
      <c r="MLF70" s="2936"/>
      <c r="MLG70" s="2936"/>
      <c r="MLH70" s="2936"/>
      <c r="MLI70" s="2936"/>
      <c r="MLJ70" s="2936"/>
      <c r="MLK70" s="2936"/>
      <c r="MLL70" s="2936"/>
      <c r="MLM70" s="2936"/>
      <c r="MLN70" s="2936"/>
      <c r="MLO70" s="2936"/>
      <c r="MLP70" s="2936"/>
      <c r="MLQ70" s="2936"/>
      <c r="MLR70" s="2936"/>
      <c r="MLS70" s="2936"/>
      <c r="MLT70" s="2936"/>
      <c r="MLU70" s="2936"/>
      <c r="MLV70" s="2936"/>
      <c r="MLW70" s="2936"/>
      <c r="MLX70" s="2936"/>
      <c r="MLY70" s="2936"/>
      <c r="MLZ70" s="2936"/>
      <c r="MMA70" s="2936"/>
      <c r="MMB70" s="2936"/>
      <c r="MMC70" s="2936"/>
      <c r="MMD70" s="2936"/>
      <c r="MME70" s="2936"/>
      <c r="MMF70" s="2936"/>
      <c r="MMG70" s="2936"/>
      <c r="MMH70" s="2936"/>
      <c r="MMI70" s="2936"/>
      <c r="MMJ70" s="2936"/>
      <c r="MMK70" s="2936"/>
      <c r="MML70" s="2936"/>
      <c r="MMM70" s="2936"/>
      <c r="MMN70" s="2936"/>
      <c r="MMO70" s="2936"/>
      <c r="MMP70" s="2936"/>
      <c r="MMQ70" s="2936"/>
      <c r="MMR70" s="2936"/>
      <c r="MMS70" s="2936"/>
      <c r="MMT70" s="2936"/>
      <c r="MMU70" s="2936"/>
      <c r="MMV70" s="2936"/>
      <c r="MMW70" s="2936"/>
      <c r="MMX70" s="2936"/>
      <c r="MMY70" s="2936"/>
      <c r="MMZ70" s="2936"/>
      <c r="MNA70" s="2936"/>
      <c r="MNB70" s="2936"/>
      <c r="MNC70" s="2936"/>
      <c r="MND70" s="2936"/>
      <c r="MNE70" s="2936"/>
      <c r="MNF70" s="2936"/>
      <c r="MNG70" s="2936"/>
      <c r="MNH70" s="2936"/>
      <c r="MNI70" s="2936"/>
      <c r="MNJ70" s="2936"/>
      <c r="MNK70" s="2936"/>
      <c r="MNL70" s="2936"/>
      <c r="MNM70" s="2936"/>
      <c r="MNN70" s="2936"/>
      <c r="MNO70" s="2936"/>
      <c r="MNP70" s="2936"/>
      <c r="MNQ70" s="2936"/>
      <c r="MNR70" s="2936"/>
      <c r="MNS70" s="2936"/>
      <c r="MNT70" s="2936"/>
      <c r="MNU70" s="2936"/>
      <c r="MNV70" s="2936"/>
      <c r="MNW70" s="2936"/>
      <c r="MNX70" s="2936"/>
      <c r="MNY70" s="2936"/>
      <c r="MNZ70" s="2936"/>
      <c r="MOA70" s="2936"/>
      <c r="MOB70" s="2936"/>
      <c r="MOC70" s="2936"/>
      <c r="MOD70" s="2936"/>
      <c r="MOE70" s="2936"/>
      <c r="MOF70" s="2936"/>
      <c r="MOG70" s="2936"/>
      <c r="MOH70" s="2936"/>
      <c r="MOI70" s="2936"/>
      <c r="MOJ70" s="2936"/>
      <c r="MOK70" s="2936"/>
      <c r="MOL70" s="2936"/>
      <c r="MOM70" s="2936"/>
      <c r="MON70" s="2936"/>
      <c r="MOO70" s="2936"/>
      <c r="MOP70" s="2936"/>
      <c r="MOQ70" s="2936"/>
      <c r="MOR70" s="2936"/>
      <c r="MOS70" s="2936"/>
      <c r="MOT70" s="2936"/>
      <c r="MOU70" s="2936"/>
      <c r="MOV70" s="2936"/>
      <c r="MOW70" s="2936"/>
      <c r="MOX70" s="2936"/>
      <c r="MOY70" s="2936"/>
      <c r="MOZ70" s="2936"/>
      <c r="MPA70" s="2936"/>
      <c r="MPB70" s="2936"/>
      <c r="MPC70" s="2936"/>
      <c r="MPD70" s="2936"/>
      <c r="MPE70" s="2936"/>
      <c r="MPF70" s="2936"/>
      <c r="MPG70" s="2936"/>
      <c r="MPH70" s="2936"/>
      <c r="MPI70" s="2936"/>
      <c r="MPJ70" s="2936"/>
      <c r="MPK70" s="2936"/>
      <c r="MPL70" s="2936"/>
      <c r="MPM70" s="2936"/>
      <c r="MPN70" s="2936"/>
      <c r="MPO70" s="2936"/>
      <c r="MPP70" s="2936"/>
      <c r="MPQ70" s="2936"/>
      <c r="MPR70" s="2936"/>
      <c r="MPS70" s="2936"/>
      <c r="MPT70" s="2936"/>
      <c r="MPU70" s="2936"/>
      <c r="MPV70" s="2936"/>
      <c r="MPW70" s="2936"/>
      <c r="MPX70" s="2936"/>
      <c r="MPY70" s="2936"/>
      <c r="MPZ70" s="2936"/>
      <c r="MQA70" s="2936"/>
      <c r="MQB70" s="2936"/>
      <c r="MQC70" s="2936"/>
      <c r="MQD70" s="2936"/>
      <c r="MQE70" s="2936"/>
      <c r="MQF70" s="2936"/>
      <c r="MQG70" s="2936"/>
      <c r="MQH70" s="2936"/>
      <c r="MQI70" s="2936"/>
      <c r="MQJ70" s="2936"/>
      <c r="MQK70" s="2936"/>
      <c r="MQL70" s="2936"/>
      <c r="MQM70" s="2936"/>
      <c r="MQN70" s="2936"/>
      <c r="MQO70" s="2936"/>
      <c r="MQP70" s="2936"/>
      <c r="MQQ70" s="2936"/>
      <c r="MQR70" s="2936"/>
      <c r="MQS70" s="2936"/>
      <c r="MQT70" s="2936"/>
      <c r="MQU70" s="2936"/>
      <c r="MQV70" s="2936"/>
      <c r="MQW70" s="2936"/>
      <c r="MQX70" s="2936"/>
      <c r="MQY70" s="2936"/>
      <c r="MQZ70" s="2936"/>
      <c r="MRA70" s="2936"/>
      <c r="MRB70" s="2936"/>
      <c r="MRC70" s="2936"/>
      <c r="MRD70" s="2936"/>
      <c r="MRE70" s="2936"/>
      <c r="MRF70" s="2936"/>
      <c r="MRG70" s="2936"/>
      <c r="MRH70" s="2936"/>
      <c r="MRI70" s="2936"/>
      <c r="MRJ70" s="2936"/>
      <c r="MRK70" s="2936"/>
      <c r="MRL70" s="2936"/>
      <c r="MRM70" s="2936"/>
      <c r="MRN70" s="2936"/>
      <c r="MRO70" s="2936"/>
      <c r="MRP70" s="2936"/>
      <c r="MRQ70" s="2936"/>
      <c r="MRR70" s="2936"/>
      <c r="MRS70" s="2936"/>
      <c r="MRT70" s="2936"/>
      <c r="MRU70" s="2936"/>
      <c r="MRV70" s="2936"/>
      <c r="MRW70" s="2936"/>
      <c r="MRX70" s="2936"/>
      <c r="MRY70" s="2936"/>
      <c r="MRZ70" s="2936"/>
      <c r="MSA70" s="2936"/>
      <c r="MSB70" s="2936"/>
      <c r="MSC70" s="2936"/>
      <c r="MSD70" s="2936"/>
      <c r="MSE70" s="2936"/>
      <c r="MSF70" s="2936"/>
      <c r="MSG70" s="2936"/>
      <c r="MSH70" s="2936"/>
      <c r="MSI70" s="2936"/>
      <c r="MSJ70" s="2936"/>
      <c r="MSK70" s="2936"/>
      <c r="MSL70" s="2936"/>
      <c r="MSM70" s="2936"/>
      <c r="MSN70" s="2936"/>
      <c r="MSO70" s="2936"/>
      <c r="MSP70" s="2936"/>
      <c r="MSQ70" s="2936"/>
      <c r="MSR70" s="2936"/>
      <c r="MSS70" s="2936"/>
      <c r="MST70" s="2936"/>
      <c r="MSU70" s="2936"/>
      <c r="MSV70" s="2936"/>
      <c r="MSW70" s="2936"/>
      <c r="MSX70" s="2936"/>
      <c r="MSY70" s="2936"/>
      <c r="MSZ70" s="2936"/>
      <c r="MTA70" s="2936"/>
      <c r="MTB70" s="2936"/>
      <c r="MTC70" s="2936"/>
      <c r="MTD70" s="2936"/>
      <c r="MTE70" s="2936"/>
      <c r="MTF70" s="2936"/>
      <c r="MTG70" s="2936"/>
      <c r="MTH70" s="2936"/>
      <c r="MTI70" s="2936"/>
      <c r="MTJ70" s="2936"/>
      <c r="MTK70" s="2936"/>
      <c r="MTL70" s="2936"/>
      <c r="MTM70" s="2936"/>
      <c r="MTN70" s="2936"/>
      <c r="MTO70" s="2936"/>
      <c r="MTP70" s="2936"/>
      <c r="MTQ70" s="2936"/>
      <c r="MTR70" s="2936"/>
      <c r="MTS70" s="2936"/>
      <c r="MTT70" s="2936"/>
      <c r="MTU70" s="2936"/>
      <c r="MTV70" s="2936"/>
      <c r="MTW70" s="2936"/>
      <c r="MTX70" s="2936"/>
      <c r="MTY70" s="2936"/>
      <c r="MTZ70" s="2936"/>
      <c r="MUA70" s="2936"/>
      <c r="MUB70" s="2936"/>
      <c r="MUC70" s="2936"/>
      <c r="MUD70" s="2936"/>
      <c r="MUE70" s="2936"/>
      <c r="MUF70" s="2936"/>
      <c r="MUG70" s="2936"/>
      <c r="MUH70" s="2936"/>
      <c r="MUI70" s="2936"/>
      <c r="MUJ70" s="2936"/>
      <c r="MUK70" s="2936"/>
      <c r="MUL70" s="2936"/>
      <c r="MUM70" s="2936"/>
      <c r="MUN70" s="2936"/>
      <c r="MUO70" s="2936"/>
      <c r="MUP70" s="2936"/>
      <c r="MUQ70" s="2936"/>
      <c r="MUR70" s="2936"/>
      <c r="MUS70" s="2936"/>
      <c r="MUT70" s="2936"/>
      <c r="MUU70" s="2936"/>
      <c r="MUV70" s="2936"/>
      <c r="MUW70" s="2936"/>
      <c r="MUX70" s="2936"/>
      <c r="MUY70" s="2936"/>
      <c r="MUZ70" s="2936"/>
      <c r="MVA70" s="2936"/>
      <c r="MVB70" s="2936"/>
      <c r="MVC70" s="2936"/>
      <c r="MVD70" s="2936"/>
      <c r="MVE70" s="2936"/>
      <c r="MVF70" s="2936"/>
      <c r="MVG70" s="2936"/>
      <c r="MVH70" s="2936"/>
      <c r="MVI70" s="2936"/>
      <c r="MVJ70" s="2936"/>
      <c r="MVK70" s="2936"/>
      <c r="MVL70" s="2936"/>
      <c r="MVM70" s="2936"/>
      <c r="MVN70" s="2936"/>
      <c r="MVO70" s="2936"/>
      <c r="MVP70" s="2936"/>
      <c r="MVQ70" s="2936"/>
      <c r="MVR70" s="2936"/>
      <c r="MVS70" s="2936"/>
      <c r="MVT70" s="2936"/>
      <c r="MVU70" s="2936"/>
      <c r="MVV70" s="2936"/>
      <c r="MVW70" s="2936"/>
      <c r="MVX70" s="2936"/>
      <c r="MVY70" s="2936"/>
      <c r="MVZ70" s="2936"/>
      <c r="MWA70" s="2936"/>
      <c r="MWB70" s="2936"/>
      <c r="MWC70" s="2936"/>
      <c r="MWD70" s="2936"/>
      <c r="MWE70" s="2936"/>
      <c r="MWF70" s="2936"/>
      <c r="MWG70" s="2936"/>
      <c r="MWH70" s="2936"/>
      <c r="MWI70" s="2936"/>
      <c r="MWJ70" s="2936"/>
      <c r="MWK70" s="2936"/>
      <c r="MWL70" s="2936"/>
      <c r="MWM70" s="2936"/>
      <c r="MWN70" s="2936"/>
      <c r="MWO70" s="2936"/>
      <c r="MWP70" s="2936"/>
      <c r="MWQ70" s="2936"/>
      <c r="MWR70" s="2936"/>
      <c r="MWS70" s="2936"/>
      <c r="MWT70" s="2936"/>
      <c r="MWU70" s="2936"/>
      <c r="MWV70" s="2936"/>
      <c r="MWW70" s="2936"/>
      <c r="MWX70" s="2936"/>
      <c r="MWY70" s="2936"/>
      <c r="MWZ70" s="2936"/>
      <c r="MXA70" s="2936"/>
      <c r="MXB70" s="2936"/>
      <c r="MXC70" s="2936"/>
      <c r="MXD70" s="2936"/>
      <c r="MXE70" s="2936"/>
      <c r="MXF70" s="2936"/>
      <c r="MXG70" s="2936"/>
      <c r="MXH70" s="2936"/>
      <c r="MXI70" s="2936"/>
      <c r="MXJ70" s="2936"/>
      <c r="MXK70" s="2936"/>
      <c r="MXL70" s="2936"/>
      <c r="MXM70" s="2936"/>
      <c r="MXN70" s="2936"/>
      <c r="MXO70" s="2936"/>
      <c r="MXP70" s="2936"/>
      <c r="MXQ70" s="2936"/>
      <c r="MXR70" s="2936"/>
      <c r="MXS70" s="2936"/>
      <c r="MXT70" s="2936"/>
      <c r="MXU70" s="2936"/>
      <c r="MXV70" s="2936"/>
      <c r="MXW70" s="2936"/>
      <c r="MXX70" s="2936"/>
      <c r="MXY70" s="2936"/>
      <c r="MXZ70" s="2936"/>
      <c r="MYA70" s="2936"/>
      <c r="MYB70" s="2936"/>
      <c r="MYC70" s="2936"/>
      <c r="MYD70" s="2936"/>
      <c r="MYE70" s="2936"/>
      <c r="MYF70" s="2936"/>
      <c r="MYG70" s="2936"/>
      <c r="MYH70" s="2936"/>
      <c r="MYI70" s="2936"/>
      <c r="MYJ70" s="2936"/>
      <c r="MYK70" s="2936"/>
      <c r="MYL70" s="2936"/>
      <c r="MYM70" s="2936"/>
      <c r="MYN70" s="2936"/>
      <c r="MYO70" s="2936"/>
      <c r="MYP70" s="2936"/>
      <c r="MYQ70" s="2936"/>
      <c r="MYR70" s="2936"/>
      <c r="MYS70" s="2936"/>
      <c r="MYT70" s="2936"/>
      <c r="MYU70" s="2936"/>
      <c r="MYV70" s="2936"/>
      <c r="MYW70" s="2936"/>
      <c r="MYX70" s="2936"/>
      <c r="MYY70" s="2936"/>
      <c r="MYZ70" s="2936"/>
      <c r="MZA70" s="2936"/>
      <c r="MZB70" s="2936"/>
      <c r="MZC70" s="2936"/>
      <c r="MZD70" s="2936"/>
      <c r="MZE70" s="2936"/>
      <c r="MZF70" s="2936"/>
      <c r="MZG70" s="2936"/>
      <c r="MZH70" s="2936"/>
      <c r="MZI70" s="2936"/>
      <c r="MZJ70" s="2936"/>
      <c r="MZK70" s="2936"/>
      <c r="MZL70" s="2936"/>
      <c r="MZM70" s="2936"/>
      <c r="MZN70" s="2936"/>
      <c r="MZO70" s="2936"/>
      <c r="MZP70" s="2936"/>
      <c r="MZQ70" s="2936"/>
      <c r="MZR70" s="2936"/>
      <c r="MZS70" s="2936"/>
      <c r="MZT70" s="2936"/>
      <c r="MZU70" s="2936"/>
      <c r="MZV70" s="2936"/>
      <c r="MZW70" s="2936"/>
      <c r="MZX70" s="2936"/>
      <c r="MZY70" s="2936"/>
      <c r="MZZ70" s="2936"/>
      <c r="NAA70" s="2936"/>
      <c r="NAB70" s="2936"/>
      <c r="NAC70" s="2936"/>
      <c r="NAD70" s="2936"/>
      <c r="NAE70" s="2936"/>
      <c r="NAF70" s="2936"/>
      <c r="NAG70" s="2936"/>
      <c r="NAH70" s="2936"/>
      <c r="NAI70" s="2936"/>
      <c r="NAJ70" s="2936"/>
      <c r="NAK70" s="2936"/>
      <c r="NAL70" s="2936"/>
      <c r="NAM70" s="2936"/>
      <c r="NAN70" s="2936"/>
      <c r="NAO70" s="2936"/>
      <c r="NAP70" s="2936"/>
      <c r="NAQ70" s="2936"/>
      <c r="NAR70" s="2936"/>
      <c r="NAS70" s="2936"/>
      <c r="NAT70" s="2936"/>
      <c r="NAU70" s="2936"/>
      <c r="NAV70" s="2936"/>
      <c r="NAW70" s="2936"/>
      <c r="NAX70" s="2936"/>
      <c r="NAY70" s="2936"/>
      <c r="NAZ70" s="2936"/>
      <c r="NBA70" s="2936"/>
      <c r="NBB70" s="2936"/>
      <c r="NBC70" s="2936"/>
      <c r="NBD70" s="2936"/>
      <c r="NBE70" s="2936"/>
      <c r="NBF70" s="2936"/>
      <c r="NBG70" s="2936"/>
      <c r="NBH70" s="2936"/>
      <c r="NBI70" s="2936"/>
      <c r="NBJ70" s="2936"/>
      <c r="NBK70" s="2936"/>
      <c r="NBL70" s="2936"/>
      <c r="NBM70" s="2936"/>
      <c r="NBN70" s="2936"/>
      <c r="NBO70" s="2936"/>
      <c r="NBP70" s="2936"/>
      <c r="NBQ70" s="2936"/>
      <c r="NBR70" s="2936"/>
      <c r="NBS70" s="2936"/>
      <c r="NBT70" s="2936"/>
      <c r="NBU70" s="2936"/>
      <c r="NBV70" s="2936"/>
      <c r="NBW70" s="2936"/>
      <c r="NBX70" s="2936"/>
      <c r="NBY70" s="2936"/>
      <c r="NBZ70" s="2936"/>
      <c r="NCA70" s="2936"/>
      <c r="NCB70" s="2936"/>
      <c r="NCC70" s="2936"/>
      <c r="NCD70" s="2936"/>
      <c r="NCE70" s="2936"/>
      <c r="NCF70" s="2936"/>
      <c r="NCG70" s="2936"/>
      <c r="NCH70" s="2936"/>
      <c r="NCI70" s="2936"/>
      <c r="NCJ70" s="2936"/>
      <c r="NCK70" s="2936"/>
      <c r="NCL70" s="2936"/>
      <c r="NCM70" s="2936"/>
      <c r="NCN70" s="2936"/>
      <c r="NCO70" s="2936"/>
      <c r="NCP70" s="2936"/>
      <c r="NCQ70" s="2936"/>
      <c r="NCR70" s="2936"/>
      <c r="NCS70" s="2936"/>
      <c r="NCT70" s="2936"/>
      <c r="NCU70" s="2936"/>
      <c r="NCV70" s="2936"/>
      <c r="NCW70" s="2936"/>
      <c r="NCX70" s="2936"/>
      <c r="NCY70" s="2936"/>
      <c r="NCZ70" s="2936"/>
      <c r="NDA70" s="2936"/>
      <c r="NDB70" s="2936"/>
      <c r="NDC70" s="2936"/>
      <c r="NDD70" s="2936"/>
      <c r="NDE70" s="2936"/>
      <c r="NDF70" s="2936"/>
      <c r="NDG70" s="2936"/>
      <c r="NDH70" s="2936"/>
      <c r="NDI70" s="2936"/>
      <c r="NDJ70" s="2936"/>
      <c r="NDK70" s="2936"/>
      <c r="NDL70" s="2936"/>
      <c r="NDM70" s="2936"/>
      <c r="NDN70" s="2936"/>
      <c r="NDO70" s="2936"/>
      <c r="NDP70" s="2936"/>
      <c r="NDQ70" s="2936"/>
      <c r="NDR70" s="2936"/>
      <c r="NDS70" s="2936"/>
      <c r="NDT70" s="2936"/>
      <c r="NDU70" s="2936"/>
      <c r="NDV70" s="2936"/>
      <c r="NDW70" s="2936"/>
      <c r="NDX70" s="2936"/>
      <c r="NDY70" s="2936"/>
      <c r="NDZ70" s="2936"/>
      <c r="NEA70" s="2936"/>
      <c r="NEB70" s="2936"/>
      <c r="NEC70" s="2936"/>
      <c r="NED70" s="2936"/>
      <c r="NEE70" s="2936"/>
      <c r="NEF70" s="2936"/>
      <c r="NEG70" s="2936"/>
      <c r="NEH70" s="2936"/>
      <c r="NEI70" s="2936"/>
      <c r="NEJ70" s="2936"/>
      <c r="NEK70" s="2936"/>
      <c r="NEL70" s="2936"/>
      <c r="NEM70" s="2936"/>
      <c r="NEN70" s="2936"/>
      <c r="NEO70" s="2936"/>
      <c r="NEP70" s="2936"/>
      <c r="NEQ70" s="2936"/>
      <c r="NER70" s="2936"/>
      <c r="NES70" s="2936"/>
      <c r="NET70" s="2936"/>
      <c r="NEU70" s="2936"/>
      <c r="NEV70" s="2936"/>
      <c r="NEW70" s="2936"/>
      <c r="NEX70" s="2936"/>
      <c r="NEY70" s="2936"/>
      <c r="NEZ70" s="2936"/>
      <c r="NFA70" s="2936"/>
      <c r="NFB70" s="2936"/>
      <c r="NFC70" s="2936"/>
      <c r="NFD70" s="2936"/>
      <c r="NFE70" s="2936"/>
      <c r="NFF70" s="2936"/>
      <c r="NFG70" s="2936"/>
      <c r="NFH70" s="2936"/>
      <c r="NFI70" s="2936"/>
      <c r="NFJ70" s="2936"/>
      <c r="NFK70" s="2936"/>
      <c r="NFL70" s="2936"/>
      <c r="NFM70" s="2936"/>
      <c r="NFN70" s="2936"/>
      <c r="NFO70" s="2936"/>
      <c r="NFP70" s="2936"/>
      <c r="NFQ70" s="2936"/>
      <c r="NFR70" s="2936"/>
      <c r="NFS70" s="2936"/>
      <c r="NFT70" s="2936"/>
      <c r="NFU70" s="2936"/>
      <c r="NFV70" s="2936"/>
      <c r="NFW70" s="2936"/>
      <c r="NFX70" s="2936"/>
      <c r="NFY70" s="2936"/>
      <c r="NFZ70" s="2936"/>
      <c r="NGA70" s="2936"/>
      <c r="NGB70" s="2936"/>
      <c r="NGC70" s="2936"/>
      <c r="NGD70" s="2936"/>
      <c r="NGE70" s="2936"/>
      <c r="NGF70" s="2936"/>
      <c r="NGG70" s="2936"/>
      <c r="NGH70" s="2936"/>
      <c r="NGI70" s="2936"/>
      <c r="NGJ70" s="2936"/>
      <c r="NGK70" s="2936"/>
      <c r="NGL70" s="2936"/>
      <c r="NGM70" s="2936"/>
      <c r="NGN70" s="2936"/>
      <c r="NGO70" s="2936"/>
      <c r="NGP70" s="2936"/>
      <c r="NGQ70" s="2936"/>
      <c r="NGR70" s="2936"/>
      <c r="NGS70" s="2936"/>
      <c r="NGT70" s="2936"/>
      <c r="NGU70" s="2936"/>
      <c r="NGV70" s="2936"/>
      <c r="NGW70" s="2936"/>
      <c r="NGX70" s="2936"/>
      <c r="NGY70" s="2936"/>
      <c r="NGZ70" s="2936"/>
      <c r="NHA70" s="2936"/>
      <c r="NHB70" s="2936"/>
      <c r="NHC70" s="2936"/>
      <c r="NHD70" s="2936"/>
      <c r="NHE70" s="2936"/>
      <c r="NHF70" s="2936"/>
      <c r="NHG70" s="2936"/>
      <c r="NHH70" s="2936"/>
      <c r="NHI70" s="2936"/>
      <c r="NHJ70" s="2936"/>
      <c r="NHK70" s="2936"/>
      <c r="NHL70" s="2936"/>
      <c r="NHM70" s="2936"/>
      <c r="NHN70" s="2936"/>
      <c r="NHO70" s="2936"/>
      <c r="NHP70" s="2936"/>
      <c r="NHQ70" s="2936"/>
      <c r="NHR70" s="2936"/>
      <c r="NHS70" s="2936"/>
      <c r="NHT70" s="2936"/>
      <c r="NHU70" s="2936"/>
      <c r="NHV70" s="2936"/>
      <c r="NHW70" s="2936"/>
      <c r="NHX70" s="2936"/>
      <c r="NHY70" s="2936"/>
      <c r="NHZ70" s="2936"/>
      <c r="NIA70" s="2936"/>
      <c r="NIB70" s="2936"/>
      <c r="NIC70" s="2936"/>
      <c r="NID70" s="2936"/>
      <c r="NIE70" s="2936"/>
      <c r="NIF70" s="2936"/>
      <c r="NIG70" s="2936"/>
      <c r="NIH70" s="2936"/>
      <c r="NII70" s="2936"/>
      <c r="NIJ70" s="2936"/>
      <c r="NIK70" s="2936"/>
      <c r="NIL70" s="2936"/>
      <c r="NIM70" s="2936"/>
      <c r="NIN70" s="2936"/>
      <c r="NIO70" s="2936"/>
      <c r="NIP70" s="2936"/>
      <c r="NIQ70" s="2936"/>
      <c r="NIR70" s="2936"/>
      <c r="NIS70" s="2936"/>
      <c r="NIT70" s="2936"/>
      <c r="NIU70" s="2936"/>
      <c r="NIV70" s="2936"/>
      <c r="NIW70" s="2936"/>
      <c r="NIX70" s="2936"/>
      <c r="NIY70" s="2936"/>
      <c r="NIZ70" s="2936"/>
      <c r="NJA70" s="2936"/>
      <c r="NJB70" s="2936"/>
      <c r="NJC70" s="2936"/>
      <c r="NJD70" s="2936"/>
      <c r="NJE70" s="2936"/>
      <c r="NJF70" s="2936"/>
      <c r="NJG70" s="2936"/>
      <c r="NJH70" s="2936"/>
      <c r="NJI70" s="2936"/>
      <c r="NJJ70" s="2936"/>
      <c r="NJK70" s="2936"/>
      <c r="NJL70" s="2936"/>
      <c r="NJM70" s="2936"/>
      <c r="NJN70" s="2936"/>
      <c r="NJO70" s="2936"/>
      <c r="NJP70" s="2936"/>
      <c r="NJQ70" s="2936"/>
      <c r="NJR70" s="2936"/>
      <c r="NJS70" s="2936"/>
      <c r="NJT70" s="2936"/>
      <c r="NJU70" s="2936"/>
      <c r="NJV70" s="2936"/>
      <c r="NJW70" s="2936"/>
      <c r="NJX70" s="2936"/>
      <c r="NJY70" s="2936"/>
      <c r="NJZ70" s="2936"/>
      <c r="NKA70" s="2936"/>
      <c r="NKB70" s="2936"/>
      <c r="NKC70" s="2936"/>
      <c r="NKD70" s="2936"/>
      <c r="NKE70" s="2936"/>
      <c r="NKF70" s="2936"/>
      <c r="NKG70" s="2936"/>
      <c r="NKH70" s="2936"/>
      <c r="NKI70" s="2936"/>
      <c r="NKJ70" s="2936"/>
      <c r="NKK70" s="2936"/>
      <c r="NKL70" s="2936"/>
      <c r="NKM70" s="2936"/>
      <c r="NKN70" s="2936"/>
      <c r="NKO70" s="2936"/>
      <c r="NKP70" s="2936"/>
      <c r="NKQ70" s="2936"/>
      <c r="NKR70" s="2936"/>
      <c r="NKS70" s="2936"/>
      <c r="NKT70" s="2936"/>
      <c r="NKU70" s="2936"/>
      <c r="NKV70" s="2936"/>
      <c r="NKW70" s="2936"/>
      <c r="NKX70" s="2936"/>
      <c r="NKY70" s="2936"/>
      <c r="NKZ70" s="2936"/>
      <c r="NLA70" s="2936"/>
      <c r="NLB70" s="2936"/>
      <c r="NLC70" s="2936"/>
      <c r="NLD70" s="2936"/>
      <c r="NLE70" s="2936"/>
      <c r="NLF70" s="2936"/>
      <c r="NLG70" s="2936"/>
      <c r="NLH70" s="2936"/>
      <c r="NLI70" s="2936"/>
      <c r="NLJ70" s="2936"/>
      <c r="NLK70" s="2936"/>
      <c r="NLL70" s="2936"/>
      <c r="NLM70" s="2936"/>
      <c r="NLN70" s="2936"/>
      <c r="NLO70" s="2936"/>
      <c r="NLP70" s="2936"/>
      <c r="NLQ70" s="2936"/>
      <c r="NLR70" s="2936"/>
      <c r="NLS70" s="2936"/>
      <c r="NLT70" s="2936"/>
      <c r="NLU70" s="2936"/>
      <c r="NLV70" s="2936"/>
      <c r="NLW70" s="2936"/>
      <c r="NLX70" s="2936"/>
      <c r="NLY70" s="2936"/>
      <c r="NLZ70" s="2936"/>
      <c r="NMA70" s="2936"/>
      <c r="NMB70" s="2936"/>
      <c r="NMC70" s="2936"/>
      <c r="NMD70" s="2936"/>
      <c r="NME70" s="2936"/>
      <c r="NMF70" s="2936"/>
      <c r="NMG70" s="2936"/>
      <c r="NMH70" s="2936"/>
      <c r="NMI70" s="2936"/>
      <c r="NMJ70" s="2936"/>
      <c r="NMK70" s="2936"/>
      <c r="NML70" s="2936"/>
      <c r="NMM70" s="2936"/>
      <c r="NMN70" s="2936"/>
      <c r="NMO70" s="2936"/>
      <c r="NMP70" s="2936"/>
      <c r="NMQ70" s="2936"/>
      <c r="NMR70" s="2936"/>
      <c r="NMS70" s="2936"/>
      <c r="NMT70" s="2936"/>
      <c r="NMU70" s="2936"/>
      <c r="NMV70" s="2936"/>
      <c r="NMW70" s="2936"/>
      <c r="NMX70" s="2936"/>
      <c r="NMY70" s="2936"/>
      <c r="NMZ70" s="2936"/>
      <c r="NNA70" s="2936"/>
      <c r="NNB70" s="2936"/>
      <c r="NNC70" s="2936"/>
      <c r="NND70" s="2936"/>
      <c r="NNE70" s="2936"/>
      <c r="NNF70" s="2936"/>
      <c r="NNG70" s="2936"/>
      <c r="NNH70" s="2936"/>
      <c r="NNI70" s="2936"/>
      <c r="NNJ70" s="2936"/>
      <c r="NNK70" s="2936"/>
      <c r="NNL70" s="2936"/>
      <c r="NNM70" s="2936"/>
      <c r="NNN70" s="2936"/>
      <c r="NNO70" s="2936"/>
      <c r="NNP70" s="2936"/>
      <c r="NNQ70" s="2936"/>
      <c r="NNR70" s="2936"/>
      <c r="NNS70" s="2936"/>
      <c r="NNT70" s="2936"/>
      <c r="NNU70" s="2936"/>
      <c r="NNV70" s="2936"/>
      <c r="NNW70" s="2936"/>
      <c r="NNX70" s="2936"/>
      <c r="NNY70" s="2936"/>
      <c r="NNZ70" s="2936"/>
      <c r="NOA70" s="2936"/>
      <c r="NOB70" s="2936"/>
      <c r="NOC70" s="2936"/>
      <c r="NOD70" s="2936"/>
      <c r="NOE70" s="2936"/>
      <c r="NOF70" s="2936"/>
      <c r="NOG70" s="2936"/>
      <c r="NOH70" s="2936"/>
      <c r="NOI70" s="2936"/>
      <c r="NOJ70" s="2936"/>
      <c r="NOK70" s="2936"/>
      <c r="NOL70" s="2936"/>
      <c r="NOM70" s="2936"/>
      <c r="NON70" s="2936"/>
      <c r="NOO70" s="2936"/>
      <c r="NOP70" s="2936"/>
      <c r="NOQ70" s="2936"/>
      <c r="NOR70" s="2936"/>
      <c r="NOS70" s="2936"/>
      <c r="NOT70" s="2936"/>
      <c r="NOU70" s="2936"/>
      <c r="NOV70" s="2936"/>
      <c r="NOW70" s="2936"/>
      <c r="NOX70" s="2936"/>
      <c r="NOY70" s="2936"/>
      <c r="NOZ70" s="2936"/>
      <c r="NPA70" s="2936"/>
      <c r="NPB70" s="2936"/>
      <c r="NPC70" s="2936"/>
      <c r="NPD70" s="2936"/>
      <c r="NPE70" s="2936"/>
      <c r="NPF70" s="2936"/>
      <c r="NPG70" s="2936"/>
      <c r="NPH70" s="2936"/>
      <c r="NPI70" s="2936"/>
      <c r="NPJ70" s="2936"/>
      <c r="NPK70" s="2936"/>
      <c r="NPL70" s="2936"/>
      <c r="NPM70" s="2936"/>
      <c r="NPN70" s="2936"/>
      <c r="NPO70" s="2936"/>
      <c r="NPP70" s="2936"/>
      <c r="NPQ70" s="2936"/>
      <c r="NPR70" s="2936"/>
      <c r="NPS70" s="2936"/>
      <c r="NPT70" s="2936"/>
      <c r="NPU70" s="2936"/>
      <c r="NPV70" s="2936"/>
      <c r="NPW70" s="2936"/>
      <c r="NPX70" s="2936"/>
      <c r="NPY70" s="2936"/>
      <c r="NPZ70" s="2936"/>
      <c r="NQA70" s="2936"/>
      <c r="NQB70" s="2936"/>
      <c r="NQC70" s="2936"/>
      <c r="NQD70" s="2936"/>
      <c r="NQE70" s="2936"/>
      <c r="NQF70" s="2936"/>
      <c r="NQG70" s="2936"/>
      <c r="NQH70" s="2936"/>
      <c r="NQI70" s="2936"/>
      <c r="NQJ70" s="2936"/>
      <c r="NQK70" s="2936"/>
      <c r="NQL70" s="2936"/>
      <c r="NQM70" s="2936"/>
      <c r="NQN70" s="2936"/>
      <c r="NQO70" s="2936"/>
      <c r="NQP70" s="2936"/>
      <c r="NQQ70" s="2936"/>
      <c r="NQR70" s="2936"/>
      <c r="NQS70" s="2936"/>
      <c r="NQT70" s="2936"/>
      <c r="NQU70" s="2936"/>
      <c r="NQV70" s="2936"/>
      <c r="NQW70" s="2936"/>
      <c r="NQX70" s="2936"/>
      <c r="NQY70" s="2936"/>
      <c r="NQZ70" s="2936"/>
      <c r="NRA70" s="2936"/>
      <c r="NRB70" s="2936"/>
      <c r="NRC70" s="2936"/>
      <c r="NRD70" s="2936"/>
      <c r="NRE70" s="2936"/>
      <c r="NRF70" s="2936"/>
      <c r="NRG70" s="2936"/>
      <c r="NRH70" s="2936"/>
      <c r="NRI70" s="2936"/>
      <c r="NRJ70" s="2936"/>
      <c r="NRK70" s="2936"/>
      <c r="NRL70" s="2936"/>
      <c r="NRM70" s="2936"/>
      <c r="NRN70" s="2936"/>
      <c r="NRO70" s="2936"/>
      <c r="NRP70" s="2936"/>
      <c r="NRQ70" s="2936"/>
      <c r="NRR70" s="2936"/>
      <c r="NRS70" s="2936"/>
      <c r="NRT70" s="2936"/>
      <c r="NRU70" s="2936"/>
      <c r="NRV70" s="2936"/>
      <c r="NRW70" s="2936"/>
      <c r="NRX70" s="2936"/>
      <c r="NRY70" s="2936"/>
      <c r="NRZ70" s="2936"/>
      <c r="NSA70" s="2936"/>
      <c r="NSB70" s="2936"/>
      <c r="NSC70" s="2936"/>
      <c r="NSD70" s="2936"/>
      <c r="NSE70" s="2936"/>
      <c r="NSF70" s="2936"/>
      <c r="NSG70" s="2936"/>
      <c r="NSH70" s="2936"/>
      <c r="NSI70" s="2936"/>
      <c r="NSJ70" s="2936"/>
      <c r="NSK70" s="2936"/>
      <c r="NSL70" s="2936"/>
      <c r="NSM70" s="2936"/>
      <c r="NSN70" s="2936"/>
      <c r="NSO70" s="2936"/>
      <c r="NSP70" s="2936"/>
      <c r="NSQ70" s="2936"/>
      <c r="NSR70" s="2936"/>
      <c r="NSS70" s="2936"/>
      <c r="NST70" s="2936"/>
      <c r="NSU70" s="2936"/>
      <c r="NSV70" s="2936"/>
      <c r="NSW70" s="2936"/>
      <c r="NSX70" s="2936"/>
      <c r="NSY70" s="2936"/>
      <c r="NSZ70" s="2936"/>
      <c r="NTA70" s="2936"/>
      <c r="NTB70" s="2936"/>
      <c r="NTC70" s="2936"/>
      <c r="NTD70" s="2936"/>
      <c r="NTE70" s="2936"/>
      <c r="NTF70" s="2936"/>
      <c r="NTG70" s="2936"/>
      <c r="NTH70" s="2936"/>
      <c r="NTI70" s="2936"/>
      <c r="NTJ70" s="2936"/>
      <c r="NTK70" s="2936"/>
      <c r="NTL70" s="2936"/>
      <c r="NTM70" s="2936"/>
      <c r="NTN70" s="2936"/>
      <c r="NTO70" s="2936"/>
      <c r="NTP70" s="2936"/>
      <c r="NTQ70" s="2936"/>
      <c r="NTR70" s="2936"/>
      <c r="NTS70" s="2936"/>
      <c r="NTT70" s="2936"/>
      <c r="NTU70" s="2936"/>
      <c r="NTV70" s="2936"/>
      <c r="NTW70" s="2936"/>
      <c r="NTX70" s="2936"/>
      <c r="NTY70" s="2936"/>
      <c r="NTZ70" s="2936"/>
      <c r="NUA70" s="2936"/>
      <c r="NUB70" s="2936"/>
      <c r="NUC70" s="2936"/>
      <c r="NUD70" s="2936"/>
      <c r="NUE70" s="2936"/>
      <c r="NUF70" s="2936"/>
      <c r="NUG70" s="2936"/>
      <c r="NUH70" s="2936"/>
      <c r="NUI70" s="2936"/>
      <c r="NUJ70" s="2936"/>
      <c r="NUK70" s="2936"/>
      <c r="NUL70" s="2936"/>
      <c r="NUM70" s="2936"/>
      <c r="NUN70" s="2936"/>
      <c r="NUO70" s="2936"/>
      <c r="NUP70" s="2936"/>
      <c r="NUQ70" s="2936"/>
      <c r="NUR70" s="2936"/>
      <c r="NUS70" s="2936"/>
      <c r="NUT70" s="2936"/>
      <c r="NUU70" s="2936"/>
      <c r="NUV70" s="2936"/>
      <c r="NUW70" s="2936"/>
      <c r="NUX70" s="2936"/>
      <c r="NUY70" s="2936"/>
      <c r="NUZ70" s="2936"/>
      <c r="NVA70" s="2936"/>
      <c r="NVB70" s="2936"/>
      <c r="NVC70" s="2936"/>
      <c r="NVD70" s="2936"/>
      <c r="NVE70" s="2936"/>
      <c r="NVF70" s="2936"/>
      <c r="NVG70" s="2936"/>
      <c r="NVH70" s="2936"/>
      <c r="NVI70" s="2936"/>
      <c r="NVJ70" s="2936"/>
      <c r="NVK70" s="2936"/>
      <c r="NVL70" s="2936"/>
      <c r="NVM70" s="2936"/>
      <c r="NVN70" s="2936"/>
      <c r="NVO70" s="2936"/>
      <c r="NVP70" s="2936"/>
      <c r="NVQ70" s="2936"/>
      <c r="NVR70" s="2936"/>
      <c r="NVS70" s="2936"/>
      <c r="NVT70" s="2936"/>
      <c r="NVU70" s="2936"/>
      <c r="NVV70" s="2936"/>
      <c r="NVW70" s="2936"/>
      <c r="NVX70" s="2936"/>
      <c r="NVY70" s="2936"/>
      <c r="NVZ70" s="2936"/>
      <c r="NWA70" s="2936"/>
      <c r="NWB70" s="2936"/>
      <c r="NWC70" s="2936"/>
      <c r="NWD70" s="2936"/>
      <c r="NWE70" s="2936"/>
      <c r="NWF70" s="2936"/>
      <c r="NWG70" s="2936"/>
      <c r="NWH70" s="2936"/>
      <c r="NWI70" s="2936"/>
      <c r="NWJ70" s="2936"/>
      <c r="NWK70" s="2936"/>
      <c r="NWL70" s="2936"/>
      <c r="NWM70" s="2936"/>
      <c r="NWN70" s="2936"/>
      <c r="NWO70" s="2936"/>
      <c r="NWP70" s="2936"/>
      <c r="NWQ70" s="2936"/>
      <c r="NWR70" s="2936"/>
      <c r="NWS70" s="2936"/>
      <c r="NWT70" s="2936"/>
      <c r="NWU70" s="2936"/>
      <c r="NWV70" s="2936"/>
      <c r="NWW70" s="2936"/>
      <c r="NWX70" s="2936"/>
      <c r="NWY70" s="2936"/>
      <c r="NWZ70" s="2936"/>
      <c r="NXA70" s="2936"/>
      <c r="NXB70" s="2936"/>
      <c r="NXC70" s="2936"/>
      <c r="NXD70" s="2936"/>
      <c r="NXE70" s="2936"/>
      <c r="NXF70" s="2936"/>
      <c r="NXG70" s="2936"/>
      <c r="NXH70" s="2936"/>
      <c r="NXI70" s="2936"/>
      <c r="NXJ70" s="2936"/>
      <c r="NXK70" s="2936"/>
      <c r="NXL70" s="2936"/>
      <c r="NXM70" s="2936"/>
      <c r="NXN70" s="2936"/>
      <c r="NXO70" s="2936"/>
      <c r="NXP70" s="2936"/>
      <c r="NXQ70" s="2936"/>
      <c r="NXR70" s="2936"/>
      <c r="NXS70" s="2936"/>
      <c r="NXT70" s="2936"/>
      <c r="NXU70" s="2936"/>
      <c r="NXV70" s="2936"/>
      <c r="NXW70" s="2936"/>
      <c r="NXX70" s="2936"/>
      <c r="NXY70" s="2936"/>
      <c r="NXZ70" s="2936"/>
      <c r="NYA70" s="2936"/>
      <c r="NYB70" s="2936"/>
      <c r="NYC70" s="2936"/>
      <c r="NYD70" s="2936"/>
      <c r="NYE70" s="2936"/>
      <c r="NYF70" s="2936"/>
      <c r="NYG70" s="2936"/>
      <c r="NYH70" s="2936"/>
      <c r="NYI70" s="2936"/>
      <c r="NYJ70" s="2936"/>
      <c r="NYK70" s="2936"/>
      <c r="NYL70" s="2936"/>
      <c r="NYM70" s="2936"/>
      <c r="NYN70" s="2936"/>
      <c r="NYO70" s="2936"/>
      <c r="NYP70" s="2936"/>
      <c r="NYQ70" s="2936"/>
      <c r="NYR70" s="2936"/>
      <c r="NYS70" s="2936"/>
      <c r="NYT70" s="2936"/>
      <c r="NYU70" s="2936"/>
      <c r="NYV70" s="2936"/>
      <c r="NYW70" s="2936"/>
      <c r="NYX70" s="2936"/>
      <c r="NYY70" s="2936"/>
      <c r="NYZ70" s="2936"/>
      <c r="NZA70" s="2936"/>
      <c r="NZB70" s="2936"/>
      <c r="NZC70" s="2936"/>
      <c r="NZD70" s="2936"/>
      <c r="NZE70" s="2936"/>
      <c r="NZF70" s="2936"/>
      <c r="NZG70" s="2936"/>
      <c r="NZH70" s="2936"/>
      <c r="NZI70" s="2936"/>
      <c r="NZJ70" s="2936"/>
      <c r="NZK70" s="2936"/>
      <c r="NZL70" s="2936"/>
      <c r="NZM70" s="2936"/>
      <c r="NZN70" s="2936"/>
      <c r="NZO70" s="2936"/>
      <c r="NZP70" s="2936"/>
      <c r="NZQ70" s="2936"/>
      <c r="NZR70" s="2936"/>
      <c r="NZS70" s="2936"/>
      <c r="NZT70" s="2936"/>
      <c r="NZU70" s="2936"/>
      <c r="NZV70" s="2936"/>
      <c r="NZW70" s="2936"/>
      <c r="NZX70" s="2936"/>
      <c r="NZY70" s="2936"/>
      <c r="NZZ70" s="2936"/>
      <c r="OAA70" s="2936"/>
      <c r="OAB70" s="2936"/>
      <c r="OAC70" s="2936"/>
      <c r="OAD70" s="2936"/>
      <c r="OAE70" s="2936"/>
      <c r="OAF70" s="2936"/>
      <c r="OAG70" s="2936"/>
      <c r="OAH70" s="2936"/>
      <c r="OAI70" s="2936"/>
      <c r="OAJ70" s="2936"/>
      <c r="OAK70" s="2936"/>
      <c r="OAL70" s="2936"/>
      <c r="OAM70" s="2936"/>
      <c r="OAN70" s="2936"/>
      <c r="OAO70" s="2936"/>
      <c r="OAP70" s="2936"/>
      <c r="OAQ70" s="2936"/>
      <c r="OAR70" s="2936"/>
      <c r="OAS70" s="2936"/>
      <c r="OAT70" s="2936"/>
      <c r="OAU70" s="2936"/>
      <c r="OAV70" s="2936"/>
      <c r="OAW70" s="2936"/>
      <c r="OAX70" s="2936"/>
      <c r="OAY70" s="2936"/>
      <c r="OAZ70" s="2936"/>
      <c r="OBA70" s="2936"/>
      <c r="OBB70" s="2936"/>
      <c r="OBC70" s="2936"/>
      <c r="OBD70" s="2936"/>
      <c r="OBE70" s="2936"/>
      <c r="OBF70" s="2936"/>
      <c r="OBG70" s="2936"/>
      <c r="OBH70" s="2936"/>
      <c r="OBI70" s="2936"/>
      <c r="OBJ70" s="2936"/>
      <c r="OBK70" s="2936"/>
      <c r="OBL70" s="2936"/>
      <c r="OBM70" s="2936"/>
      <c r="OBN70" s="2936"/>
      <c r="OBO70" s="2936"/>
      <c r="OBP70" s="2936"/>
      <c r="OBQ70" s="2936"/>
      <c r="OBR70" s="2936"/>
      <c r="OBS70" s="2936"/>
      <c r="OBT70" s="2936"/>
      <c r="OBU70" s="2936"/>
      <c r="OBV70" s="2936"/>
      <c r="OBW70" s="2936"/>
      <c r="OBX70" s="2936"/>
      <c r="OBY70" s="2936"/>
      <c r="OBZ70" s="2936"/>
      <c r="OCA70" s="2936"/>
      <c r="OCB70" s="2936"/>
      <c r="OCC70" s="2936"/>
      <c r="OCD70" s="2936"/>
      <c r="OCE70" s="2936"/>
      <c r="OCF70" s="2936"/>
      <c r="OCG70" s="2936"/>
      <c r="OCH70" s="2936"/>
      <c r="OCI70" s="2936"/>
      <c r="OCJ70" s="2936"/>
      <c r="OCK70" s="2936"/>
      <c r="OCL70" s="2936"/>
      <c r="OCM70" s="2936"/>
      <c r="OCN70" s="2936"/>
      <c r="OCO70" s="2936"/>
      <c r="OCP70" s="2936"/>
      <c r="OCQ70" s="2936"/>
      <c r="OCR70" s="2936"/>
      <c r="OCS70" s="2936"/>
      <c r="OCT70" s="2936"/>
      <c r="OCU70" s="2936"/>
      <c r="OCV70" s="2936"/>
      <c r="OCW70" s="2936"/>
      <c r="OCX70" s="2936"/>
      <c r="OCY70" s="2936"/>
      <c r="OCZ70" s="2936"/>
      <c r="ODA70" s="2936"/>
      <c r="ODB70" s="2936"/>
      <c r="ODC70" s="2936"/>
      <c r="ODD70" s="2936"/>
      <c r="ODE70" s="2936"/>
      <c r="ODF70" s="2936"/>
      <c r="ODG70" s="2936"/>
      <c r="ODH70" s="2936"/>
      <c r="ODI70" s="2936"/>
      <c r="ODJ70" s="2936"/>
      <c r="ODK70" s="2936"/>
      <c r="ODL70" s="2936"/>
      <c r="ODM70" s="2936"/>
      <c r="ODN70" s="2936"/>
      <c r="ODO70" s="2936"/>
      <c r="ODP70" s="2936"/>
      <c r="ODQ70" s="2936"/>
      <c r="ODR70" s="2936"/>
      <c r="ODS70" s="2936"/>
      <c r="ODT70" s="2936"/>
      <c r="ODU70" s="2936"/>
      <c r="ODV70" s="2936"/>
      <c r="ODW70" s="2936"/>
      <c r="ODX70" s="2936"/>
      <c r="ODY70" s="2936"/>
      <c r="ODZ70" s="2936"/>
      <c r="OEA70" s="2936"/>
      <c r="OEB70" s="2936"/>
      <c r="OEC70" s="2936"/>
      <c r="OED70" s="2936"/>
      <c r="OEE70" s="2936"/>
      <c r="OEF70" s="2936"/>
      <c r="OEG70" s="2936"/>
      <c r="OEH70" s="2936"/>
      <c r="OEI70" s="2936"/>
      <c r="OEJ70" s="2936"/>
      <c r="OEK70" s="2936"/>
      <c r="OEL70" s="2936"/>
      <c r="OEM70" s="2936"/>
      <c r="OEN70" s="2936"/>
      <c r="OEO70" s="2936"/>
      <c r="OEP70" s="2936"/>
      <c r="OEQ70" s="2936"/>
      <c r="OER70" s="2936"/>
      <c r="OES70" s="2936"/>
      <c r="OET70" s="2936"/>
      <c r="OEU70" s="2936"/>
      <c r="OEV70" s="2936"/>
      <c r="OEW70" s="2936"/>
      <c r="OEX70" s="2936"/>
      <c r="OEY70" s="2936"/>
      <c r="OEZ70" s="2936"/>
      <c r="OFA70" s="2936"/>
      <c r="OFB70" s="2936"/>
      <c r="OFC70" s="2936"/>
      <c r="OFD70" s="2936"/>
      <c r="OFE70" s="2936"/>
      <c r="OFF70" s="2936"/>
      <c r="OFG70" s="2936"/>
      <c r="OFH70" s="2936"/>
      <c r="OFI70" s="2936"/>
      <c r="OFJ70" s="2936"/>
      <c r="OFK70" s="2936"/>
      <c r="OFL70" s="2936"/>
      <c r="OFM70" s="2936"/>
      <c r="OFN70" s="2936"/>
      <c r="OFO70" s="2936"/>
      <c r="OFP70" s="2936"/>
      <c r="OFQ70" s="2936"/>
      <c r="OFR70" s="2936"/>
      <c r="OFS70" s="2936"/>
      <c r="OFT70" s="2936"/>
      <c r="OFU70" s="2936"/>
      <c r="OFV70" s="2936"/>
      <c r="OFW70" s="2936"/>
      <c r="OFX70" s="2936"/>
      <c r="OFY70" s="2936"/>
      <c r="OFZ70" s="2936"/>
      <c r="OGA70" s="2936"/>
      <c r="OGB70" s="2936"/>
      <c r="OGC70" s="2936"/>
      <c r="OGD70" s="2936"/>
      <c r="OGE70" s="2936"/>
      <c r="OGF70" s="2936"/>
      <c r="OGG70" s="2936"/>
      <c r="OGH70" s="2936"/>
      <c r="OGI70" s="2936"/>
      <c r="OGJ70" s="2936"/>
      <c r="OGK70" s="2936"/>
      <c r="OGL70" s="2936"/>
      <c r="OGM70" s="2936"/>
      <c r="OGN70" s="2936"/>
      <c r="OGO70" s="2936"/>
      <c r="OGP70" s="2936"/>
      <c r="OGQ70" s="2936"/>
      <c r="OGR70" s="2936"/>
      <c r="OGS70" s="2936"/>
      <c r="OGT70" s="2936"/>
      <c r="OGU70" s="2936"/>
      <c r="OGV70" s="2936"/>
      <c r="OGW70" s="2936"/>
      <c r="OGX70" s="2936"/>
      <c r="OGY70" s="2936"/>
      <c r="OGZ70" s="2936"/>
      <c r="OHA70" s="2936"/>
      <c r="OHB70" s="2936"/>
      <c r="OHC70" s="2936"/>
      <c r="OHD70" s="2936"/>
      <c r="OHE70" s="2936"/>
      <c r="OHF70" s="2936"/>
      <c r="OHG70" s="2936"/>
      <c r="OHH70" s="2936"/>
      <c r="OHI70" s="2936"/>
      <c r="OHJ70" s="2936"/>
      <c r="OHK70" s="2936"/>
      <c r="OHL70" s="2936"/>
      <c r="OHM70" s="2936"/>
      <c r="OHN70" s="2936"/>
      <c r="OHO70" s="2936"/>
      <c r="OHP70" s="2936"/>
      <c r="OHQ70" s="2936"/>
      <c r="OHR70" s="2936"/>
      <c r="OHS70" s="2936"/>
      <c r="OHT70" s="2936"/>
      <c r="OHU70" s="2936"/>
      <c r="OHV70" s="2936"/>
      <c r="OHW70" s="2936"/>
      <c r="OHX70" s="2936"/>
      <c r="OHY70" s="2936"/>
      <c r="OHZ70" s="2936"/>
      <c r="OIA70" s="2936"/>
      <c r="OIB70" s="2936"/>
      <c r="OIC70" s="2936"/>
      <c r="OID70" s="2936"/>
      <c r="OIE70" s="2936"/>
      <c r="OIF70" s="2936"/>
      <c r="OIG70" s="2936"/>
      <c r="OIH70" s="2936"/>
      <c r="OII70" s="2936"/>
      <c r="OIJ70" s="2936"/>
      <c r="OIK70" s="2936"/>
      <c r="OIL70" s="2936"/>
      <c r="OIM70" s="2936"/>
      <c r="OIN70" s="2936"/>
      <c r="OIO70" s="2936"/>
      <c r="OIP70" s="2936"/>
      <c r="OIQ70" s="2936"/>
      <c r="OIR70" s="2936"/>
      <c r="OIS70" s="2936"/>
      <c r="OIT70" s="2936"/>
      <c r="OIU70" s="2936"/>
      <c r="OIV70" s="2936"/>
      <c r="OIW70" s="2936"/>
      <c r="OIX70" s="2936"/>
      <c r="OIY70" s="2936"/>
      <c r="OIZ70" s="2936"/>
      <c r="OJA70" s="2936"/>
      <c r="OJB70" s="2936"/>
      <c r="OJC70" s="2936"/>
      <c r="OJD70" s="2936"/>
      <c r="OJE70" s="2936"/>
      <c r="OJF70" s="2936"/>
      <c r="OJG70" s="2936"/>
      <c r="OJH70" s="2936"/>
      <c r="OJI70" s="2936"/>
      <c r="OJJ70" s="2936"/>
      <c r="OJK70" s="2936"/>
      <c r="OJL70" s="2936"/>
      <c r="OJM70" s="2936"/>
      <c r="OJN70" s="2936"/>
      <c r="OJO70" s="2936"/>
      <c r="OJP70" s="2936"/>
      <c r="OJQ70" s="2936"/>
      <c r="OJR70" s="2936"/>
      <c r="OJS70" s="2936"/>
      <c r="OJT70" s="2936"/>
      <c r="OJU70" s="2936"/>
      <c r="OJV70" s="2936"/>
      <c r="OJW70" s="2936"/>
      <c r="OJX70" s="2936"/>
      <c r="OJY70" s="2936"/>
      <c r="OJZ70" s="2936"/>
      <c r="OKA70" s="2936"/>
      <c r="OKB70" s="2936"/>
      <c r="OKC70" s="2936"/>
      <c r="OKD70" s="2936"/>
      <c r="OKE70" s="2936"/>
      <c r="OKF70" s="2936"/>
      <c r="OKG70" s="2936"/>
      <c r="OKH70" s="2936"/>
      <c r="OKI70" s="2936"/>
      <c r="OKJ70" s="2936"/>
      <c r="OKK70" s="2936"/>
      <c r="OKL70" s="2936"/>
      <c r="OKM70" s="2936"/>
      <c r="OKN70" s="2936"/>
      <c r="OKO70" s="2936"/>
      <c r="OKP70" s="2936"/>
      <c r="OKQ70" s="2936"/>
      <c r="OKR70" s="2936"/>
      <c r="OKS70" s="2936"/>
      <c r="OKT70" s="2936"/>
      <c r="OKU70" s="2936"/>
      <c r="OKV70" s="2936"/>
      <c r="OKW70" s="2936"/>
      <c r="OKX70" s="2936"/>
      <c r="OKY70" s="2936"/>
      <c r="OKZ70" s="2936"/>
      <c r="OLA70" s="2936"/>
      <c r="OLB70" s="2936"/>
      <c r="OLC70" s="2936"/>
      <c r="OLD70" s="2936"/>
      <c r="OLE70" s="2936"/>
      <c r="OLF70" s="2936"/>
      <c r="OLG70" s="2936"/>
      <c r="OLH70" s="2936"/>
      <c r="OLI70" s="2936"/>
      <c r="OLJ70" s="2936"/>
      <c r="OLK70" s="2936"/>
      <c r="OLL70" s="2936"/>
      <c r="OLM70" s="2936"/>
      <c r="OLN70" s="2936"/>
      <c r="OLO70" s="2936"/>
      <c r="OLP70" s="2936"/>
      <c r="OLQ70" s="2936"/>
      <c r="OLR70" s="2936"/>
      <c r="OLS70" s="2936"/>
      <c r="OLT70" s="2936"/>
      <c r="OLU70" s="2936"/>
      <c r="OLV70" s="2936"/>
      <c r="OLW70" s="2936"/>
      <c r="OLX70" s="2936"/>
      <c r="OLY70" s="2936"/>
      <c r="OLZ70" s="2936"/>
      <c r="OMA70" s="2936"/>
      <c r="OMB70" s="2936"/>
      <c r="OMC70" s="2936"/>
      <c r="OMD70" s="2936"/>
      <c r="OME70" s="2936"/>
      <c r="OMF70" s="2936"/>
      <c r="OMG70" s="2936"/>
      <c r="OMH70" s="2936"/>
      <c r="OMI70" s="2936"/>
      <c r="OMJ70" s="2936"/>
      <c r="OMK70" s="2936"/>
      <c r="OML70" s="2936"/>
      <c r="OMM70" s="2936"/>
      <c r="OMN70" s="2936"/>
      <c r="OMO70" s="2936"/>
      <c r="OMP70" s="2936"/>
      <c r="OMQ70" s="2936"/>
      <c r="OMR70" s="2936"/>
      <c r="OMS70" s="2936"/>
      <c r="OMT70" s="2936"/>
      <c r="OMU70" s="2936"/>
      <c r="OMV70" s="2936"/>
      <c r="OMW70" s="2936"/>
      <c r="OMX70" s="2936"/>
      <c r="OMY70" s="2936"/>
      <c r="OMZ70" s="2936"/>
      <c r="ONA70" s="2936"/>
      <c r="ONB70" s="2936"/>
      <c r="ONC70" s="2936"/>
      <c r="OND70" s="2936"/>
      <c r="ONE70" s="2936"/>
      <c r="ONF70" s="2936"/>
      <c r="ONG70" s="2936"/>
      <c r="ONH70" s="2936"/>
      <c r="ONI70" s="2936"/>
      <c r="ONJ70" s="2936"/>
      <c r="ONK70" s="2936"/>
      <c r="ONL70" s="2936"/>
      <c r="ONM70" s="2936"/>
      <c r="ONN70" s="2936"/>
      <c r="ONO70" s="2936"/>
      <c r="ONP70" s="2936"/>
      <c r="ONQ70" s="2936"/>
      <c r="ONR70" s="2936"/>
      <c r="ONS70" s="2936"/>
      <c r="ONT70" s="2936"/>
      <c r="ONU70" s="2936"/>
      <c r="ONV70" s="2936"/>
      <c r="ONW70" s="2936"/>
      <c r="ONX70" s="2936"/>
      <c r="ONY70" s="2936"/>
      <c r="ONZ70" s="2936"/>
      <c r="OOA70" s="2936"/>
      <c r="OOB70" s="2936"/>
      <c r="OOC70" s="2936"/>
      <c r="OOD70" s="2936"/>
      <c r="OOE70" s="2936"/>
      <c r="OOF70" s="2936"/>
      <c r="OOG70" s="2936"/>
      <c r="OOH70" s="2936"/>
      <c r="OOI70" s="2936"/>
      <c r="OOJ70" s="2936"/>
      <c r="OOK70" s="2936"/>
      <c r="OOL70" s="2936"/>
      <c r="OOM70" s="2936"/>
      <c r="OON70" s="2936"/>
      <c r="OOO70" s="2936"/>
      <c r="OOP70" s="2936"/>
      <c r="OOQ70" s="2936"/>
      <c r="OOR70" s="2936"/>
      <c r="OOS70" s="2936"/>
      <c r="OOT70" s="2936"/>
      <c r="OOU70" s="2936"/>
      <c r="OOV70" s="2936"/>
      <c r="OOW70" s="2936"/>
      <c r="OOX70" s="2936"/>
      <c r="OOY70" s="2936"/>
      <c r="OOZ70" s="2936"/>
      <c r="OPA70" s="2936"/>
      <c r="OPB70" s="2936"/>
      <c r="OPC70" s="2936"/>
      <c r="OPD70" s="2936"/>
      <c r="OPE70" s="2936"/>
      <c r="OPF70" s="2936"/>
      <c r="OPG70" s="2936"/>
      <c r="OPH70" s="2936"/>
      <c r="OPI70" s="2936"/>
      <c r="OPJ70" s="2936"/>
      <c r="OPK70" s="2936"/>
      <c r="OPL70" s="2936"/>
      <c r="OPM70" s="2936"/>
      <c r="OPN70" s="2936"/>
      <c r="OPO70" s="2936"/>
      <c r="OPP70" s="2936"/>
      <c r="OPQ70" s="2936"/>
      <c r="OPR70" s="2936"/>
      <c r="OPS70" s="2936"/>
      <c r="OPT70" s="2936"/>
      <c r="OPU70" s="2936"/>
      <c r="OPV70" s="2936"/>
      <c r="OPW70" s="2936"/>
      <c r="OPX70" s="2936"/>
      <c r="OPY70" s="2936"/>
      <c r="OPZ70" s="2936"/>
      <c r="OQA70" s="2936"/>
      <c r="OQB70" s="2936"/>
      <c r="OQC70" s="2936"/>
      <c r="OQD70" s="2936"/>
      <c r="OQE70" s="2936"/>
      <c r="OQF70" s="2936"/>
      <c r="OQG70" s="2936"/>
      <c r="OQH70" s="2936"/>
      <c r="OQI70" s="2936"/>
      <c r="OQJ70" s="2936"/>
      <c r="OQK70" s="2936"/>
      <c r="OQL70" s="2936"/>
      <c r="OQM70" s="2936"/>
      <c r="OQN70" s="2936"/>
      <c r="OQO70" s="2936"/>
      <c r="OQP70" s="2936"/>
      <c r="OQQ70" s="2936"/>
      <c r="OQR70" s="2936"/>
      <c r="OQS70" s="2936"/>
      <c r="OQT70" s="2936"/>
      <c r="OQU70" s="2936"/>
      <c r="OQV70" s="2936"/>
      <c r="OQW70" s="2936"/>
      <c r="OQX70" s="2936"/>
      <c r="OQY70" s="2936"/>
      <c r="OQZ70" s="2936"/>
      <c r="ORA70" s="2936"/>
      <c r="ORB70" s="2936"/>
      <c r="ORC70" s="2936"/>
      <c r="ORD70" s="2936"/>
      <c r="ORE70" s="2936"/>
      <c r="ORF70" s="2936"/>
      <c r="ORG70" s="2936"/>
      <c r="ORH70" s="2936"/>
      <c r="ORI70" s="2936"/>
      <c r="ORJ70" s="2936"/>
      <c r="ORK70" s="2936"/>
      <c r="ORL70" s="2936"/>
      <c r="ORM70" s="2936"/>
      <c r="ORN70" s="2936"/>
      <c r="ORO70" s="2936"/>
      <c r="ORP70" s="2936"/>
      <c r="ORQ70" s="2936"/>
      <c r="ORR70" s="2936"/>
      <c r="ORS70" s="2936"/>
      <c r="ORT70" s="2936"/>
      <c r="ORU70" s="2936"/>
      <c r="ORV70" s="2936"/>
      <c r="ORW70" s="2936"/>
      <c r="ORX70" s="2936"/>
      <c r="ORY70" s="2936"/>
      <c r="ORZ70" s="2936"/>
      <c r="OSA70" s="2936"/>
      <c r="OSB70" s="2936"/>
      <c r="OSC70" s="2936"/>
      <c r="OSD70" s="2936"/>
      <c r="OSE70" s="2936"/>
      <c r="OSF70" s="2936"/>
      <c r="OSG70" s="2936"/>
      <c r="OSH70" s="2936"/>
      <c r="OSI70" s="2936"/>
      <c r="OSJ70" s="2936"/>
      <c r="OSK70" s="2936"/>
      <c r="OSL70" s="2936"/>
      <c r="OSM70" s="2936"/>
      <c r="OSN70" s="2936"/>
      <c r="OSO70" s="2936"/>
      <c r="OSP70" s="2936"/>
      <c r="OSQ70" s="2936"/>
      <c r="OSR70" s="2936"/>
      <c r="OSS70" s="2936"/>
      <c r="OST70" s="2936"/>
      <c r="OSU70" s="2936"/>
      <c r="OSV70" s="2936"/>
      <c r="OSW70" s="2936"/>
      <c r="OSX70" s="2936"/>
      <c r="OSY70" s="2936"/>
      <c r="OSZ70" s="2936"/>
      <c r="OTA70" s="2936"/>
      <c r="OTB70" s="2936"/>
      <c r="OTC70" s="2936"/>
      <c r="OTD70" s="2936"/>
      <c r="OTE70" s="2936"/>
      <c r="OTF70" s="2936"/>
      <c r="OTG70" s="2936"/>
      <c r="OTH70" s="2936"/>
      <c r="OTI70" s="2936"/>
      <c r="OTJ70" s="2936"/>
      <c r="OTK70" s="2936"/>
      <c r="OTL70" s="2936"/>
      <c r="OTM70" s="2936"/>
      <c r="OTN70" s="2936"/>
      <c r="OTO70" s="2936"/>
      <c r="OTP70" s="2936"/>
      <c r="OTQ70" s="2936"/>
      <c r="OTR70" s="2936"/>
      <c r="OTS70" s="2936"/>
      <c r="OTT70" s="2936"/>
      <c r="OTU70" s="2936"/>
      <c r="OTV70" s="2936"/>
      <c r="OTW70" s="2936"/>
      <c r="OTX70" s="2936"/>
      <c r="OTY70" s="2936"/>
      <c r="OTZ70" s="2936"/>
      <c r="OUA70" s="2936"/>
      <c r="OUB70" s="2936"/>
      <c r="OUC70" s="2936"/>
      <c r="OUD70" s="2936"/>
      <c r="OUE70" s="2936"/>
      <c r="OUF70" s="2936"/>
      <c r="OUG70" s="2936"/>
      <c r="OUH70" s="2936"/>
      <c r="OUI70" s="2936"/>
      <c r="OUJ70" s="2936"/>
      <c r="OUK70" s="2936"/>
      <c r="OUL70" s="2936"/>
      <c r="OUM70" s="2936"/>
      <c r="OUN70" s="2936"/>
      <c r="OUO70" s="2936"/>
      <c r="OUP70" s="2936"/>
      <c r="OUQ70" s="2936"/>
      <c r="OUR70" s="2936"/>
      <c r="OUS70" s="2936"/>
      <c r="OUT70" s="2936"/>
      <c r="OUU70" s="2936"/>
      <c r="OUV70" s="2936"/>
      <c r="OUW70" s="2936"/>
      <c r="OUX70" s="2936"/>
      <c r="OUY70" s="2936"/>
      <c r="OUZ70" s="2936"/>
      <c r="OVA70" s="2936"/>
      <c r="OVB70" s="2936"/>
      <c r="OVC70" s="2936"/>
      <c r="OVD70" s="2936"/>
      <c r="OVE70" s="2936"/>
      <c r="OVF70" s="2936"/>
      <c r="OVG70" s="2936"/>
      <c r="OVH70" s="2936"/>
      <c r="OVI70" s="2936"/>
      <c r="OVJ70" s="2936"/>
      <c r="OVK70" s="2936"/>
      <c r="OVL70" s="2936"/>
      <c r="OVM70" s="2936"/>
      <c r="OVN70" s="2936"/>
      <c r="OVO70" s="2936"/>
      <c r="OVP70" s="2936"/>
      <c r="OVQ70" s="2936"/>
      <c r="OVR70" s="2936"/>
      <c r="OVS70" s="2936"/>
      <c r="OVT70" s="2936"/>
      <c r="OVU70" s="2936"/>
      <c r="OVV70" s="2936"/>
      <c r="OVW70" s="2936"/>
      <c r="OVX70" s="2936"/>
      <c r="OVY70" s="2936"/>
      <c r="OVZ70" s="2936"/>
      <c r="OWA70" s="2936"/>
      <c r="OWB70" s="2936"/>
      <c r="OWC70" s="2936"/>
      <c r="OWD70" s="2936"/>
      <c r="OWE70" s="2936"/>
      <c r="OWF70" s="2936"/>
      <c r="OWG70" s="2936"/>
      <c r="OWH70" s="2936"/>
      <c r="OWI70" s="2936"/>
      <c r="OWJ70" s="2936"/>
      <c r="OWK70" s="2936"/>
      <c r="OWL70" s="2936"/>
      <c r="OWM70" s="2936"/>
      <c r="OWN70" s="2936"/>
      <c r="OWO70" s="2936"/>
      <c r="OWP70" s="2936"/>
      <c r="OWQ70" s="2936"/>
      <c r="OWR70" s="2936"/>
      <c r="OWS70" s="2936"/>
      <c r="OWT70" s="2936"/>
      <c r="OWU70" s="2936"/>
      <c r="OWV70" s="2936"/>
      <c r="OWW70" s="2936"/>
      <c r="OWX70" s="2936"/>
      <c r="OWY70" s="2936"/>
      <c r="OWZ70" s="2936"/>
      <c r="OXA70" s="2936"/>
      <c r="OXB70" s="2936"/>
      <c r="OXC70" s="2936"/>
      <c r="OXD70" s="2936"/>
      <c r="OXE70" s="2936"/>
      <c r="OXF70" s="2936"/>
      <c r="OXG70" s="2936"/>
      <c r="OXH70" s="2936"/>
      <c r="OXI70" s="2936"/>
      <c r="OXJ70" s="2936"/>
      <c r="OXK70" s="2936"/>
      <c r="OXL70" s="2936"/>
      <c r="OXM70" s="2936"/>
      <c r="OXN70" s="2936"/>
      <c r="OXO70" s="2936"/>
      <c r="OXP70" s="2936"/>
      <c r="OXQ70" s="2936"/>
      <c r="OXR70" s="2936"/>
      <c r="OXS70" s="2936"/>
      <c r="OXT70" s="2936"/>
      <c r="OXU70" s="2936"/>
      <c r="OXV70" s="2936"/>
      <c r="OXW70" s="2936"/>
      <c r="OXX70" s="2936"/>
      <c r="OXY70" s="2936"/>
      <c r="OXZ70" s="2936"/>
      <c r="OYA70" s="2936"/>
      <c r="OYB70" s="2936"/>
      <c r="OYC70" s="2936"/>
      <c r="OYD70" s="2936"/>
      <c r="OYE70" s="2936"/>
      <c r="OYF70" s="2936"/>
      <c r="OYG70" s="2936"/>
      <c r="OYH70" s="2936"/>
      <c r="OYI70" s="2936"/>
      <c r="OYJ70" s="2936"/>
      <c r="OYK70" s="2936"/>
      <c r="OYL70" s="2936"/>
      <c r="OYM70" s="2936"/>
      <c r="OYN70" s="2936"/>
      <c r="OYO70" s="2936"/>
      <c r="OYP70" s="2936"/>
      <c r="OYQ70" s="2936"/>
      <c r="OYR70" s="2936"/>
      <c r="OYS70" s="2936"/>
      <c r="OYT70" s="2936"/>
      <c r="OYU70" s="2936"/>
      <c r="OYV70" s="2936"/>
      <c r="OYW70" s="2936"/>
      <c r="OYX70" s="2936"/>
      <c r="OYY70" s="2936"/>
      <c r="OYZ70" s="2936"/>
      <c r="OZA70" s="2936"/>
      <c r="OZB70" s="2936"/>
      <c r="OZC70" s="2936"/>
      <c r="OZD70" s="2936"/>
      <c r="OZE70" s="2936"/>
      <c r="OZF70" s="2936"/>
      <c r="OZG70" s="2936"/>
      <c r="OZH70" s="2936"/>
      <c r="OZI70" s="2936"/>
      <c r="OZJ70" s="2936"/>
      <c r="OZK70" s="2936"/>
      <c r="OZL70" s="2936"/>
      <c r="OZM70" s="2936"/>
      <c r="OZN70" s="2936"/>
      <c r="OZO70" s="2936"/>
      <c r="OZP70" s="2936"/>
      <c r="OZQ70" s="2936"/>
      <c r="OZR70" s="2936"/>
      <c r="OZS70" s="2936"/>
      <c r="OZT70" s="2936"/>
      <c r="OZU70" s="2936"/>
      <c r="OZV70" s="2936"/>
      <c r="OZW70" s="2936"/>
      <c r="OZX70" s="2936"/>
      <c r="OZY70" s="2936"/>
      <c r="OZZ70" s="2936"/>
      <c r="PAA70" s="2936"/>
      <c r="PAB70" s="2936"/>
      <c r="PAC70" s="2936"/>
      <c r="PAD70" s="2936"/>
      <c r="PAE70" s="2936"/>
      <c r="PAF70" s="2936"/>
      <c r="PAG70" s="2936"/>
      <c r="PAH70" s="2936"/>
      <c r="PAI70" s="2936"/>
      <c r="PAJ70" s="2936"/>
      <c r="PAK70" s="2936"/>
      <c r="PAL70" s="2936"/>
      <c r="PAM70" s="2936"/>
      <c r="PAN70" s="2936"/>
      <c r="PAO70" s="2936"/>
      <c r="PAP70" s="2936"/>
      <c r="PAQ70" s="2936"/>
      <c r="PAR70" s="2936"/>
      <c r="PAS70" s="2936"/>
      <c r="PAT70" s="2936"/>
      <c r="PAU70" s="2936"/>
      <c r="PAV70" s="2936"/>
      <c r="PAW70" s="2936"/>
      <c r="PAX70" s="2936"/>
      <c r="PAY70" s="2936"/>
      <c r="PAZ70" s="2936"/>
      <c r="PBA70" s="2936"/>
      <c r="PBB70" s="2936"/>
      <c r="PBC70" s="2936"/>
      <c r="PBD70" s="2936"/>
      <c r="PBE70" s="2936"/>
      <c r="PBF70" s="2936"/>
      <c r="PBG70" s="2936"/>
      <c r="PBH70" s="2936"/>
      <c r="PBI70" s="2936"/>
      <c r="PBJ70" s="2936"/>
      <c r="PBK70" s="2936"/>
      <c r="PBL70" s="2936"/>
      <c r="PBM70" s="2936"/>
      <c r="PBN70" s="2936"/>
      <c r="PBO70" s="2936"/>
      <c r="PBP70" s="2936"/>
      <c r="PBQ70" s="2936"/>
      <c r="PBR70" s="2936"/>
      <c r="PBS70" s="2936"/>
      <c r="PBT70" s="2936"/>
      <c r="PBU70" s="2936"/>
      <c r="PBV70" s="2936"/>
      <c r="PBW70" s="2936"/>
      <c r="PBX70" s="2936"/>
      <c r="PBY70" s="2936"/>
      <c r="PBZ70" s="2936"/>
      <c r="PCA70" s="2936"/>
      <c r="PCB70" s="2936"/>
      <c r="PCC70" s="2936"/>
      <c r="PCD70" s="2936"/>
      <c r="PCE70" s="2936"/>
      <c r="PCF70" s="2936"/>
      <c r="PCG70" s="2936"/>
      <c r="PCH70" s="2936"/>
      <c r="PCI70" s="2936"/>
      <c r="PCJ70" s="2936"/>
      <c r="PCK70" s="2936"/>
      <c r="PCL70" s="2936"/>
      <c r="PCM70" s="2936"/>
      <c r="PCN70" s="2936"/>
      <c r="PCO70" s="2936"/>
      <c r="PCP70" s="2936"/>
      <c r="PCQ70" s="2936"/>
      <c r="PCR70" s="2936"/>
      <c r="PCS70" s="2936"/>
      <c r="PCT70" s="2936"/>
      <c r="PCU70" s="2936"/>
      <c r="PCV70" s="2936"/>
      <c r="PCW70" s="2936"/>
      <c r="PCX70" s="2936"/>
      <c r="PCY70" s="2936"/>
      <c r="PCZ70" s="2936"/>
      <c r="PDA70" s="2936"/>
      <c r="PDB70" s="2936"/>
      <c r="PDC70" s="2936"/>
      <c r="PDD70" s="2936"/>
      <c r="PDE70" s="2936"/>
      <c r="PDF70" s="2936"/>
      <c r="PDG70" s="2936"/>
      <c r="PDH70" s="2936"/>
      <c r="PDI70" s="2936"/>
      <c r="PDJ70" s="2936"/>
      <c r="PDK70" s="2936"/>
      <c r="PDL70" s="2936"/>
      <c r="PDM70" s="2936"/>
      <c r="PDN70" s="2936"/>
      <c r="PDO70" s="2936"/>
      <c r="PDP70" s="2936"/>
      <c r="PDQ70" s="2936"/>
      <c r="PDR70" s="2936"/>
      <c r="PDS70" s="2936"/>
      <c r="PDT70" s="2936"/>
      <c r="PDU70" s="2936"/>
      <c r="PDV70" s="2936"/>
      <c r="PDW70" s="2936"/>
      <c r="PDX70" s="2936"/>
      <c r="PDY70" s="2936"/>
      <c r="PDZ70" s="2936"/>
      <c r="PEA70" s="2936"/>
      <c r="PEB70" s="2936"/>
      <c r="PEC70" s="2936"/>
      <c r="PED70" s="2936"/>
      <c r="PEE70" s="2936"/>
      <c r="PEF70" s="2936"/>
      <c r="PEG70" s="2936"/>
      <c r="PEH70" s="2936"/>
      <c r="PEI70" s="2936"/>
      <c r="PEJ70" s="2936"/>
      <c r="PEK70" s="2936"/>
      <c r="PEL70" s="2936"/>
      <c r="PEM70" s="2936"/>
      <c r="PEN70" s="2936"/>
      <c r="PEO70" s="2936"/>
      <c r="PEP70" s="2936"/>
      <c r="PEQ70" s="2936"/>
      <c r="PER70" s="2936"/>
      <c r="PES70" s="2936"/>
      <c r="PET70" s="2936"/>
      <c r="PEU70" s="2936"/>
      <c r="PEV70" s="2936"/>
      <c r="PEW70" s="2936"/>
      <c r="PEX70" s="2936"/>
      <c r="PEY70" s="2936"/>
      <c r="PEZ70" s="2936"/>
      <c r="PFA70" s="2936"/>
      <c r="PFB70" s="2936"/>
      <c r="PFC70" s="2936"/>
      <c r="PFD70" s="2936"/>
      <c r="PFE70" s="2936"/>
      <c r="PFF70" s="2936"/>
      <c r="PFG70" s="2936"/>
      <c r="PFH70" s="2936"/>
      <c r="PFI70" s="2936"/>
      <c r="PFJ70" s="2936"/>
      <c r="PFK70" s="2936"/>
      <c r="PFL70" s="2936"/>
      <c r="PFM70" s="2936"/>
      <c r="PFN70" s="2936"/>
      <c r="PFO70" s="2936"/>
      <c r="PFP70" s="2936"/>
      <c r="PFQ70" s="2936"/>
      <c r="PFR70" s="2936"/>
      <c r="PFS70" s="2936"/>
      <c r="PFT70" s="2936"/>
      <c r="PFU70" s="2936"/>
      <c r="PFV70" s="2936"/>
      <c r="PFW70" s="2936"/>
      <c r="PFX70" s="2936"/>
      <c r="PFY70" s="2936"/>
      <c r="PFZ70" s="2936"/>
      <c r="PGA70" s="2936"/>
      <c r="PGB70" s="2936"/>
      <c r="PGC70" s="2936"/>
      <c r="PGD70" s="2936"/>
      <c r="PGE70" s="2936"/>
      <c r="PGF70" s="2936"/>
      <c r="PGG70" s="2936"/>
      <c r="PGH70" s="2936"/>
      <c r="PGI70" s="2936"/>
      <c r="PGJ70" s="2936"/>
      <c r="PGK70" s="2936"/>
      <c r="PGL70" s="2936"/>
      <c r="PGM70" s="2936"/>
      <c r="PGN70" s="2936"/>
      <c r="PGO70" s="2936"/>
      <c r="PGP70" s="2936"/>
      <c r="PGQ70" s="2936"/>
      <c r="PGR70" s="2936"/>
      <c r="PGS70" s="2936"/>
      <c r="PGT70" s="2936"/>
      <c r="PGU70" s="2936"/>
      <c r="PGV70" s="2936"/>
      <c r="PGW70" s="2936"/>
      <c r="PGX70" s="2936"/>
      <c r="PGY70" s="2936"/>
      <c r="PGZ70" s="2936"/>
      <c r="PHA70" s="2936"/>
      <c r="PHB70" s="2936"/>
      <c r="PHC70" s="2936"/>
      <c r="PHD70" s="2936"/>
      <c r="PHE70" s="2936"/>
      <c r="PHF70" s="2936"/>
      <c r="PHG70" s="2936"/>
      <c r="PHH70" s="2936"/>
      <c r="PHI70" s="2936"/>
      <c r="PHJ70" s="2936"/>
      <c r="PHK70" s="2936"/>
      <c r="PHL70" s="2936"/>
      <c r="PHM70" s="2936"/>
      <c r="PHN70" s="2936"/>
      <c r="PHO70" s="2936"/>
      <c r="PHP70" s="2936"/>
      <c r="PHQ70" s="2936"/>
      <c r="PHR70" s="2936"/>
      <c r="PHS70" s="2936"/>
      <c r="PHT70" s="2936"/>
      <c r="PHU70" s="2936"/>
      <c r="PHV70" s="2936"/>
      <c r="PHW70" s="2936"/>
      <c r="PHX70" s="2936"/>
      <c r="PHY70" s="2936"/>
      <c r="PHZ70" s="2936"/>
      <c r="PIA70" s="2936"/>
      <c r="PIB70" s="2936"/>
      <c r="PIC70" s="2936"/>
      <c r="PID70" s="2936"/>
      <c r="PIE70" s="2936"/>
      <c r="PIF70" s="2936"/>
      <c r="PIG70" s="2936"/>
      <c r="PIH70" s="2936"/>
      <c r="PII70" s="2936"/>
      <c r="PIJ70" s="2936"/>
      <c r="PIK70" s="2936"/>
      <c r="PIL70" s="2936"/>
      <c r="PIM70" s="2936"/>
      <c r="PIN70" s="2936"/>
      <c r="PIO70" s="2936"/>
      <c r="PIP70" s="2936"/>
      <c r="PIQ70" s="2936"/>
      <c r="PIR70" s="2936"/>
      <c r="PIS70" s="2936"/>
      <c r="PIT70" s="2936"/>
      <c r="PIU70" s="2936"/>
      <c r="PIV70" s="2936"/>
      <c r="PIW70" s="2936"/>
      <c r="PIX70" s="2936"/>
      <c r="PIY70" s="2936"/>
      <c r="PIZ70" s="2936"/>
      <c r="PJA70" s="2936"/>
      <c r="PJB70" s="2936"/>
      <c r="PJC70" s="2936"/>
      <c r="PJD70" s="2936"/>
      <c r="PJE70" s="2936"/>
      <c r="PJF70" s="2936"/>
      <c r="PJG70" s="2936"/>
      <c r="PJH70" s="2936"/>
      <c r="PJI70" s="2936"/>
      <c r="PJJ70" s="2936"/>
      <c r="PJK70" s="2936"/>
      <c r="PJL70" s="2936"/>
      <c r="PJM70" s="2936"/>
      <c r="PJN70" s="2936"/>
      <c r="PJO70" s="2936"/>
      <c r="PJP70" s="2936"/>
      <c r="PJQ70" s="2936"/>
      <c r="PJR70" s="2936"/>
      <c r="PJS70" s="2936"/>
      <c r="PJT70" s="2936"/>
      <c r="PJU70" s="2936"/>
      <c r="PJV70" s="2936"/>
      <c r="PJW70" s="2936"/>
      <c r="PJX70" s="2936"/>
      <c r="PJY70" s="2936"/>
      <c r="PJZ70" s="2936"/>
      <c r="PKA70" s="2936"/>
      <c r="PKB70" s="2936"/>
      <c r="PKC70" s="2936"/>
      <c r="PKD70" s="2936"/>
      <c r="PKE70" s="2936"/>
      <c r="PKF70" s="2936"/>
      <c r="PKG70" s="2936"/>
      <c r="PKH70" s="2936"/>
      <c r="PKI70" s="2936"/>
      <c r="PKJ70" s="2936"/>
      <c r="PKK70" s="2936"/>
      <c r="PKL70" s="2936"/>
      <c r="PKM70" s="2936"/>
      <c r="PKN70" s="2936"/>
      <c r="PKO70" s="2936"/>
      <c r="PKP70" s="2936"/>
      <c r="PKQ70" s="2936"/>
      <c r="PKR70" s="2936"/>
      <c r="PKS70" s="2936"/>
      <c r="PKT70" s="2936"/>
      <c r="PKU70" s="2936"/>
      <c r="PKV70" s="2936"/>
      <c r="PKW70" s="2936"/>
      <c r="PKX70" s="2936"/>
      <c r="PKY70" s="2936"/>
      <c r="PKZ70" s="2936"/>
      <c r="PLA70" s="2936"/>
      <c r="PLB70" s="2936"/>
      <c r="PLC70" s="2936"/>
      <c r="PLD70" s="2936"/>
      <c r="PLE70" s="2936"/>
      <c r="PLF70" s="2936"/>
      <c r="PLG70" s="2936"/>
      <c r="PLH70" s="2936"/>
      <c r="PLI70" s="2936"/>
      <c r="PLJ70" s="2936"/>
      <c r="PLK70" s="2936"/>
      <c r="PLL70" s="2936"/>
      <c r="PLM70" s="2936"/>
      <c r="PLN70" s="2936"/>
      <c r="PLO70" s="2936"/>
      <c r="PLP70" s="2936"/>
      <c r="PLQ70" s="2936"/>
      <c r="PLR70" s="2936"/>
      <c r="PLS70" s="2936"/>
      <c r="PLT70" s="2936"/>
      <c r="PLU70" s="2936"/>
      <c r="PLV70" s="2936"/>
      <c r="PLW70" s="2936"/>
      <c r="PLX70" s="2936"/>
      <c r="PLY70" s="2936"/>
      <c r="PLZ70" s="2936"/>
      <c r="PMA70" s="2936"/>
      <c r="PMB70" s="2936"/>
      <c r="PMC70" s="2936"/>
      <c r="PMD70" s="2936"/>
      <c r="PME70" s="2936"/>
      <c r="PMF70" s="2936"/>
      <c r="PMG70" s="2936"/>
      <c r="PMH70" s="2936"/>
      <c r="PMI70" s="2936"/>
      <c r="PMJ70" s="2936"/>
      <c r="PMK70" s="2936"/>
      <c r="PML70" s="2936"/>
      <c r="PMM70" s="2936"/>
      <c r="PMN70" s="2936"/>
      <c r="PMO70" s="2936"/>
      <c r="PMP70" s="2936"/>
      <c r="PMQ70" s="2936"/>
      <c r="PMR70" s="2936"/>
      <c r="PMS70" s="2936"/>
      <c r="PMT70" s="2936"/>
      <c r="PMU70" s="2936"/>
      <c r="PMV70" s="2936"/>
      <c r="PMW70" s="2936"/>
      <c r="PMX70" s="2936"/>
      <c r="PMY70" s="2936"/>
      <c r="PMZ70" s="2936"/>
      <c r="PNA70" s="2936"/>
      <c r="PNB70" s="2936"/>
      <c r="PNC70" s="2936"/>
      <c r="PND70" s="2936"/>
      <c r="PNE70" s="2936"/>
      <c r="PNF70" s="2936"/>
      <c r="PNG70" s="2936"/>
      <c r="PNH70" s="2936"/>
      <c r="PNI70" s="2936"/>
      <c r="PNJ70" s="2936"/>
      <c r="PNK70" s="2936"/>
      <c r="PNL70" s="2936"/>
      <c r="PNM70" s="2936"/>
      <c r="PNN70" s="2936"/>
      <c r="PNO70" s="2936"/>
      <c r="PNP70" s="2936"/>
      <c r="PNQ70" s="2936"/>
      <c r="PNR70" s="2936"/>
      <c r="PNS70" s="2936"/>
      <c r="PNT70" s="2936"/>
      <c r="PNU70" s="2936"/>
      <c r="PNV70" s="2936"/>
      <c r="PNW70" s="2936"/>
      <c r="PNX70" s="2936"/>
      <c r="PNY70" s="2936"/>
      <c r="PNZ70" s="2936"/>
      <c r="POA70" s="2936"/>
      <c r="POB70" s="2936"/>
      <c r="POC70" s="2936"/>
      <c r="POD70" s="2936"/>
      <c r="POE70" s="2936"/>
      <c r="POF70" s="2936"/>
      <c r="POG70" s="2936"/>
      <c r="POH70" s="2936"/>
      <c r="POI70" s="2936"/>
      <c r="POJ70" s="2936"/>
      <c r="POK70" s="2936"/>
      <c r="POL70" s="2936"/>
      <c r="POM70" s="2936"/>
      <c r="PON70" s="2936"/>
      <c r="POO70" s="2936"/>
      <c r="POP70" s="2936"/>
      <c r="POQ70" s="2936"/>
      <c r="POR70" s="2936"/>
      <c r="POS70" s="2936"/>
      <c r="POT70" s="2936"/>
      <c r="POU70" s="2936"/>
      <c r="POV70" s="2936"/>
      <c r="POW70" s="2936"/>
      <c r="POX70" s="2936"/>
      <c r="POY70" s="2936"/>
      <c r="POZ70" s="2936"/>
      <c r="PPA70" s="2936"/>
      <c r="PPB70" s="2936"/>
      <c r="PPC70" s="2936"/>
      <c r="PPD70" s="2936"/>
      <c r="PPE70" s="2936"/>
      <c r="PPF70" s="2936"/>
      <c r="PPG70" s="2936"/>
      <c r="PPH70" s="2936"/>
      <c r="PPI70" s="2936"/>
      <c r="PPJ70" s="2936"/>
      <c r="PPK70" s="2936"/>
      <c r="PPL70" s="2936"/>
      <c r="PPM70" s="2936"/>
      <c r="PPN70" s="2936"/>
      <c r="PPO70" s="2936"/>
      <c r="PPP70" s="2936"/>
      <c r="PPQ70" s="2936"/>
      <c r="PPR70" s="2936"/>
      <c r="PPS70" s="2936"/>
      <c r="PPT70" s="2936"/>
      <c r="PPU70" s="2936"/>
      <c r="PPV70" s="2936"/>
      <c r="PPW70" s="2936"/>
      <c r="PPX70" s="2936"/>
      <c r="PPY70" s="2936"/>
      <c r="PPZ70" s="2936"/>
      <c r="PQA70" s="2936"/>
      <c r="PQB70" s="2936"/>
      <c r="PQC70" s="2936"/>
      <c r="PQD70" s="2936"/>
      <c r="PQE70" s="2936"/>
      <c r="PQF70" s="2936"/>
      <c r="PQG70" s="2936"/>
      <c r="PQH70" s="2936"/>
      <c r="PQI70" s="2936"/>
      <c r="PQJ70" s="2936"/>
      <c r="PQK70" s="2936"/>
      <c r="PQL70" s="2936"/>
      <c r="PQM70" s="2936"/>
      <c r="PQN70" s="2936"/>
      <c r="PQO70" s="2936"/>
      <c r="PQP70" s="2936"/>
      <c r="PQQ70" s="2936"/>
      <c r="PQR70" s="2936"/>
      <c r="PQS70" s="2936"/>
      <c r="PQT70" s="2936"/>
      <c r="PQU70" s="2936"/>
      <c r="PQV70" s="2936"/>
      <c r="PQW70" s="2936"/>
      <c r="PQX70" s="2936"/>
      <c r="PQY70" s="2936"/>
      <c r="PQZ70" s="2936"/>
      <c r="PRA70" s="2936"/>
      <c r="PRB70" s="2936"/>
      <c r="PRC70" s="2936"/>
      <c r="PRD70" s="2936"/>
      <c r="PRE70" s="2936"/>
      <c r="PRF70" s="2936"/>
      <c r="PRG70" s="2936"/>
      <c r="PRH70" s="2936"/>
      <c r="PRI70" s="2936"/>
      <c r="PRJ70" s="2936"/>
      <c r="PRK70" s="2936"/>
      <c r="PRL70" s="2936"/>
      <c r="PRM70" s="2936"/>
      <c r="PRN70" s="2936"/>
      <c r="PRO70" s="2936"/>
      <c r="PRP70" s="2936"/>
      <c r="PRQ70" s="2936"/>
      <c r="PRR70" s="2936"/>
      <c r="PRS70" s="2936"/>
      <c r="PRT70" s="2936"/>
      <c r="PRU70" s="2936"/>
      <c r="PRV70" s="2936"/>
      <c r="PRW70" s="2936"/>
      <c r="PRX70" s="2936"/>
      <c r="PRY70" s="2936"/>
      <c r="PRZ70" s="2936"/>
      <c r="PSA70" s="2936"/>
      <c r="PSB70" s="2936"/>
      <c r="PSC70" s="2936"/>
      <c r="PSD70" s="2936"/>
      <c r="PSE70" s="2936"/>
      <c r="PSF70" s="2936"/>
      <c r="PSG70" s="2936"/>
      <c r="PSH70" s="2936"/>
      <c r="PSI70" s="2936"/>
      <c r="PSJ70" s="2936"/>
      <c r="PSK70" s="2936"/>
      <c r="PSL70" s="2936"/>
      <c r="PSM70" s="2936"/>
      <c r="PSN70" s="2936"/>
      <c r="PSO70" s="2936"/>
      <c r="PSP70" s="2936"/>
      <c r="PSQ70" s="2936"/>
      <c r="PSR70" s="2936"/>
      <c r="PSS70" s="2936"/>
      <c r="PST70" s="2936"/>
      <c r="PSU70" s="2936"/>
      <c r="PSV70" s="2936"/>
      <c r="PSW70" s="2936"/>
      <c r="PSX70" s="2936"/>
      <c r="PSY70" s="2936"/>
      <c r="PSZ70" s="2936"/>
      <c r="PTA70" s="2936"/>
      <c r="PTB70" s="2936"/>
      <c r="PTC70" s="2936"/>
      <c r="PTD70" s="2936"/>
      <c r="PTE70" s="2936"/>
      <c r="PTF70" s="2936"/>
      <c r="PTG70" s="2936"/>
      <c r="PTH70" s="2936"/>
      <c r="PTI70" s="2936"/>
      <c r="PTJ70" s="2936"/>
      <c r="PTK70" s="2936"/>
      <c r="PTL70" s="2936"/>
      <c r="PTM70" s="2936"/>
      <c r="PTN70" s="2936"/>
      <c r="PTO70" s="2936"/>
      <c r="PTP70" s="2936"/>
      <c r="PTQ70" s="2936"/>
      <c r="PTR70" s="2936"/>
      <c r="PTS70" s="2936"/>
      <c r="PTT70" s="2936"/>
      <c r="PTU70" s="2936"/>
      <c r="PTV70" s="2936"/>
      <c r="PTW70" s="2936"/>
      <c r="PTX70" s="2936"/>
      <c r="PTY70" s="2936"/>
      <c r="PTZ70" s="2936"/>
      <c r="PUA70" s="2936"/>
      <c r="PUB70" s="2936"/>
      <c r="PUC70" s="2936"/>
      <c r="PUD70" s="2936"/>
      <c r="PUE70" s="2936"/>
      <c r="PUF70" s="2936"/>
      <c r="PUG70" s="2936"/>
      <c r="PUH70" s="2936"/>
      <c r="PUI70" s="2936"/>
      <c r="PUJ70" s="2936"/>
      <c r="PUK70" s="2936"/>
      <c r="PUL70" s="2936"/>
      <c r="PUM70" s="2936"/>
      <c r="PUN70" s="2936"/>
      <c r="PUO70" s="2936"/>
      <c r="PUP70" s="2936"/>
      <c r="PUQ70" s="2936"/>
      <c r="PUR70" s="2936"/>
      <c r="PUS70" s="2936"/>
      <c r="PUT70" s="2936"/>
      <c r="PUU70" s="2936"/>
      <c r="PUV70" s="2936"/>
      <c r="PUW70" s="2936"/>
      <c r="PUX70" s="2936"/>
      <c r="PUY70" s="2936"/>
      <c r="PUZ70" s="2936"/>
      <c r="PVA70" s="2936"/>
      <c r="PVB70" s="2936"/>
      <c r="PVC70" s="2936"/>
      <c r="PVD70" s="2936"/>
      <c r="PVE70" s="2936"/>
      <c r="PVF70" s="2936"/>
      <c r="PVG70" s="2936"/>
      <c r="PVH70" s="2936"/>
      <c r="PVI70" s="2936"/>
      <c r="PVJ70" s="2936"/>
      <c r="PVK70" s="2936"/>
      <c r="PVL70" s="2936"/>
      <c r="PVM70" s="2936"/>
      <c r="PVN70" s="2936"/>
      <c r="PVO70" s="2936"/>
      <c r="PVP70" s="2936"/>
      <c r="PVQ70" s="2936"/>
      <c r="PVR70" s="2936"/>
      <c r="PVS70" s="2936"/>
      <c r="PVT70" s="2936"/>
      <c r="PVU70" s="2936"/>
      <c r="PVV70" s="2936"/>
      <c r="PVW70" s="2936"/>
      <c r="PVX70" s="2936"/>
      <c r="PVY70" s="2936"/>
      <c r="PVZ70" s="2936"/>
      <c r="PWA70" s="2936"/>
      <c r="PWB70" s="2936"/>
      <c r="PWC70" s="2936"/>
      <c r="PWD70" s="2936"/>
      <c r="PWE70" s="2936"/>
      <c r="PWF70" s="2936"/>
      <c r="PWG70" s="2936"/>
      <c r="PWH70" s="2936"/>
      <c r="PWI70" s="2936"/>
      <c r="PWJ70" s="2936"/>
      <c r="PWK70" s="2936"/>
      <c r="PWL70" s="2936"/>
      <c r="PWM70" s="2936"/>
      <c r="PWN70" s="2936"/>
      <c r="PWO70" s="2936"/>
      <c r="PWP70" s="2936"/>
      <c r="PWQ70" s="2936"/>
      <c r="PWR70" s="2936"/>
      <c r="PWS70" s="2936"/>
      <c r="PWT70" s="2936"/>
      <c r="PWU70" s="2936"/>
      <c r="PWV70" s="2936"/>
      <c r="PWW70" s="2936"/>
      <c r="PWX70" s="2936"/>
      <c r="PWY70" s="2936"/>
      <c r="PWZ70" s="2936"/>
      <c r="PXA70" s="2936"/>
      <c r="PXB70" s="2936"/>
      <c r="PXC70" s="2936"/>
      <c r="PXD70" s="2936"/>
      <c r="PXE70" s="2936"/>
      <c r="PXF70" s="2936"/>
      <c r="PXG70" s="2936"/>
      <c r="PXH70" s="2936"/>
      <c r="PXI70" s="2936"/>
      <c r="PXJ70" s="2936"/>
      <c r="PXK70" s="2936"/>
      <c r="PXL70" s="2936"/>
      <c r="PXM70" s="2936"/>
      <c r="PXN70" s="2936"/>
      <c r="PXO70" s="2936"/>
      <c r="PXP70" s="2936"/>
      <c r="PXQ70" s="2936"/>
      <c r="PXR70" s="2936"/>
      <c r="PXS70" s="2936"/>
      <c r="PXT70" s="2936"/>
      <c r="PXU70" s="2936"/>
      <c r="PXV70" s="2936"/>
      <c r="PXW70" s="2936"/>
      <c r="PXX70" s="2936"/>
      <c r="PXY70" s="2936"/>
      <c r="PXZ70" s="2936"/>
      <c r="PYA70" s="2936"/>
      <c r="PYB70" s="2936"/>
      <c r="PYC70" s="2936"/>
      <c r="PYD70" s="2936"/>
      <c r="PYE70" s="2936"/>
      <c r="PYF70" s="2936"/>
      <c r="PYG70" s="2936"/>
      <c r="PYH70" s="2936"/>
      <c r="PYI70" s="2936"/>
      <c r="PYJ70" s="2936"/>
      <c r="PYK70" s="2936"/>
      <c r="PYL70" s="2936"/>
      <c r="PYM70" s="2936"/>
      <c r="PYN70" s="2936"/>
      <c r="PYO70" s="2936"/>
      <c r="PYP70" s="2936"/>
      <c r="PYQ70" s="2936"/>
      <c r="PYR70" s="2936"/>
      <c r="PYS70" s="2936"/>
      <c r="PYT70" s="2936"/>
      <c r="PYU70" s="2936"/>
      <c r="PYV70" s="2936"/>
      <c r="PYW70" s="2936"/>
      <c r="PYX70" s="2936"/>
      <c r="PYY70" s="2936"/>
      <c r="PYZ70" s="2936"/>
      <c r="PZA70" s="2936"/>
      <c r="PZB70" s="2936"/>
      <c r="PZC70" s="2936"/>
      <c r="PZD70" s="2936"/>
      <c r="PZE70" s="2936"/>
      <c r="PZF70" s="2936"/>
      <c r="PZG70" s="2936"/>
      <c r="PZH70" s="2936"/>
      <c r="PZI70" s="2936"/>
      <c r="PZJ70" s="2936"/>
      <c r="PZK70" s="2936"/>
      <c r="PZL70" s="2936"/>
      <c r="PZM70" s="2936"/>
      <c r="PZN70" s="2936"/>
      <c r="PZO70" s="2936"/>
      <c r="PZP70" s="2936"/>
      <c r="PZQ70" s="2936"/>
      <c r="PZR70" s="2936"/>
      <c r="PZS70" s="2936"/>
      <c r="PZT70" s="2936"/>
      <c r="PZU70" s="2936"/>
      <c r="PZV70" s="2936"/>
      <c r="PZW70" s="2936"/>
      <c r="PZX70" s="2936"/>
      <c r="PZY70" s="2936"/>
      <c r="PZZ70" s="2936"/>
      <c r="QAA70" s="2936"/>
      <c r="QAB70" s="2936"/>
      <c r="QAC70" s="2936"/>
      <c r="QAD70" s="2936"/>
      <c r="QAE70" s="2936"/>
      <c r="QAF70" s="2936"/>
      <c r="QAG70" s="2936"/>
      <c r="QAH70" s="2936"/>
      <c r="QAI70" s="2936"/>
      <c r="QAJ70" s="2936"/>
      <c r="QAK70" s="2936"/>
      <c r="QAL70" s="2936"/>
      <c r="QAM70" s="2936"/>
      <c r="QAN70" s="2936"/>
      <c r="QAO70" s="2936"/>
      <c r="QAP70" s="2936"/>
      <c r="QAQ70" s="2936"/>
      <c r="QAR70" s="2936"/>
      <c r="QAS70" s="2936"/>
      <c r="QAT70" s="2936"/>
      <c r="QAU70" s="2936"/>
      <c r="QAV70" s="2936"/>
      <c r="QAW70" s="2936"/>
      <c r="QAX70" s="2936"/>
      <c r="QAY70" s="2936"/>
      <c r="QAZ70" s="2936"/>
      <c r="QBA70" s="2936"/>
      <c r="QBB70" s="2936"/>
      <c r="QBC70" s="2936"/>
      <c r="QBD70" s="2936"/>
      <c r="QBE70" s="2936"/>
      <c r="QBF70" s="2936"/>
      <c r="QBG70" s="2936"/>
      <c r="QBH70" s="2936"/>
      <c r="QBI70" s="2936"/>
      <c r="QBJ70" s="2936"/>
      <c r="QBK70" s="2936"/>
      <c r="QBL70" s="2936"/>
      <c r="QBM70" s="2936"/>
      <c r="QBN70" s="2936"/>
      <c r="QBO70" s="2936"/>
      <c r="QBP70" s="2936"/>
      <c r="QBQ70" s="2936"/>
      <c r="QBR70" s="2936"/>
      <c r="QBS70" s="2936"/>
      <c r="QBT70" s="2936"/>
      <c r="QBU70" s="2936"/>
      <c r="QBV70" s="2936"/>
      <c r="QBW70" s="2936"/>
      <c r="QBX70" s="2936"/>
      <c r="QBY70" s="2936"/>
      <c r="QBZ70" s="2936"/>
      <c r="QCA70" s="2936"/>
      <c r="QCB70" s="2936"/>
      <c r="QCC70" s="2936"/>
      <c r="QCD70" s="2936"/>
      <c r="QCE70" s="2936"/>
      <c r="QCF70" s="2936"/>
      <c r="QCG70" s="2936"/>
      <c r="QCH70" s="2936"/>
      <c r="QCI70" s="2936"/>
      <c r="QCJ70" s="2936"/>
      <c r="QCK70" s="2936"/>
      <c r="QCL70" s="2936"/>
      <c r="QCM70" s="2936"/>
      <c r="QCN70" s="2936"/>
      <c r="QCO70" s="2936"/>
      <c r="QCP70" s="2936"/>
      <c r="QCQ70" s="2936"/>
      <c r="QCR70" s="2936"/>
      <c r="QCS70" s="2936"/>
      <c r="QCT70" s="2936"/>
      <c r="QCU70" s="2936"/>
      <c r="QCV70" s="2936"/>
      <c r="QCW70" s="2936"/>
      <c r="QCX70" s="2936"/>
      <c r="QCY70" s="2936"/>
      <c r="QCZ70" s="2936"/>
      <c r="QDA70" s="2936"/>
      <c r="QDB70" s="2936"/>
      <c r="QDC70" s="2936"/>
      <c r="QDD70" s="2936"/>
      <c r="QDE70" s="2936"/>
      <c r="QDF70" s="2936"/>
      <c r="QDG70" s="2936"/>
      <c r="QDH70" s="2936"/>
      <c r="QDI70" s="2936"/>
      <c r="QDJ70" s="2936"/>
      <c r="QDK70" s="2936"/>
      <c r="QDL70" s="2936"/>
      <c r="QDM70" s="2936"/>
      <c r="QDN70" s="2936"/>
      <c r="QDO70" s="2936"/>
      <c r="QDP70" s="2936"/>
      <c r="QDQ70" s="2936"/>
      <c r="QDR70" s="2936"/>
      <c r="QDS70" s="2936"/>
      <c r="QDT70" s="2936"/>
      <c r="QDU70" s="2936"/>
      <c r="QDV70" s="2936"/>
      <c r="QDW70" s="2936"/>
      <c r="QDX70" s="2936"/>
      <c r="QDY70" s="2936"/>
      <c r="QDZ70" s="2936"/>
      <c r="QEA70" s="2936"/>
      <c r="QEB70" s="2936"/>
      <c r="QEC70" s="2936"/>
      <c r="QED70" s="2936"/>
      <c r="QEE70" s="2936"/>
      <c r="QEF70" s="2936"/>
      <c r="QEG70" s="2936"/>
      <c r="QEH70" s="2936"/>
      <c r="QEI70" s="2936"/>
      <c r="QEJ70" s="2936"/>
      <c r="QEK70" s="2936"/>
      <c r="QEL70" s="2936"/>
      <c r="QEM70" s="2936"/>
      <c r="QEN70" s="2936"/>
      <c r="QEO70" s="2936"/>
      <c r="QEP70" s="2936"/>
      <c r="QEQ70" s="2936"/>
      <c r="QER70" s="2936"/>
      <c r="QES70" s="2936"/>
      <c r="QET70" s="2936"/>
      <c r="QEU70" s="2936"/>
      <c r="QEV70" s="2936"/>
      <c r="QEW70" s="2936"/>
      <c r="QEX70" s="2936"/>
      <c r="QEY70" s="2936"/>
      <c r="QEZ70" s="2936"/>
      <c r="QFA70" s="2936"/>
      <c r="QFB70" s="2936"/>
      <c r="QFC70" s="2936"/>
      <c r="QFD70" s="2936"/>
      <c r="QFE70" s="2936"/>
      <c r="QFF70" s="2936"/>
      <c r="QFG70" s="2936"/>
      <c r="QFH70" s="2936"/>
      <c r="QFI70" s="2936"/>
      <c r="QFJ70" s="2936"/>
      <c r="QFK70" s="2936"/>
      <c r="QFL70" s="2936"/>
      <c r="QFM70" s="2936"/>
      <c r="QFN70" s="2936"/>
      <c r="QFO70" s="2936"/>
      <c r="QFP70" s="2936"/>
      <c r="QFQ70" s="2936"/>
      <c r="QFR70" s="2936"/>
      <c r="QFS70" s="2936"/>
      <c r="QFT70" s="2936"/>
      <c r="QFU70" s="2936"/>
      <c r="QFV70" s="2936"/>
      <c r="QFW70" s="2936"/>
      <c r="QFX70" s="2936"/>
      <c r="QFY70" s="2936"/>
      <c r="QFZ70" s="2936"/>
      <c r="QGA70" s="2936"/>
      <c r="QGB70" s="2936"/>
      <c r="QGC70" s="2936"/>
      <c r="QGD70" s="2936"/>
      <c r="QGE70" s="2936"/>
      <c r="QGF70" s="2936"/>
      <c r="QGG70" s="2936"/>
      <c r="QGH70" s="2936"/>
      <c r="QGI70" s="2936"/>
      <c r="QGJ70" s="2936"/>
      <c r="QGK70" s="2936"/>
      <c r="QGL70" s="2936"/>
      <c r="QGM70" s="2936"/>
      <c r="QGN70" s="2936"/>
      <c r="QGO70" s="2936"/>
      <c r="QGP70" s="2936"/>
      <c r="QGQ70" s="2936"/>
      <c r="QGR70" s="2936"/>
      <c r="QGS70" s="2936"/>
      <c r="QGT70" s="2936"/>
      <c r="QGU70" s="2936"/>
      <c r="QGV70" s="2936"/>
      <c r="QGW70" s="2936"/>
      <c r="QGX70" s="2936"/>
      <c r="QGY70" s="2936"/>
      <c r="QGZ70" s="2936"/>
      <c r="QHA70" s="2936"/>
      <c r="QHB70" s="2936"/>
      <c r="QHC70" s="2936"/>
      <c r="QHD70" s="2936"/>
      <c r="QHE70" s="2936"/>
      <c r="QHF70" s="2936"/>
      <c r="QHG70" s="2936"/>
      <c r="QHH70" s="2936"/>
      <c r="QHI70" s="2936"/>
      <c r="QHJ70" s="2936"/>
      <c r="QHK70" s="2936"/>
      <c r="QHL70" s="2936"/>
      <c r="QHM70" s="2936"/>
      <c r="QHN70" s="2936"/>
      <c r="QHO70" s="2936"/>
      <c r="QHP70" s="2936"/>
      <c r="QHQ70" s="2936"/>
      <c r="QHR70" s="2936"/>
      <c r="QHS70" s="2936"/>
      <c r="QHT70" s="2936"/>
      <c r="QHU70" s="2936"/>
      <c r="QHV70" s="2936"/>
      <c r="QHW70" s="2936"/>
      <c r="QHX70" s="2936"/>
      <c r="QHY70" s="2936"/>
      <c r="QHZ70" s="2936"/>
      <c r="QIA70" s="2936"/>
      <c r="QIB70" s="2936"/>
      <c r="QIC70" s="2936"/>
      <c r="QID70" s="2936"/>
      <c r="QIE70" s="2936"/>
      <c r="QIF70" s="2936"/>
      <c r="QIG70" s="2936"/>
      <c r="QIH70" s="2936"/>
      <c r="QII70" s="2936"/>
      <c r="QIJ70" s="2936"/>
      <c r="QIK70" s="2936"/>
      <c r="QIL70" s="2936"/>
      <c r="QIM70" s="2936"/>
      <c r="QIN70" s="2936"/>
      <c r="QIO70" s="2936"/>
      <c r="QIP70" s="2936"/>
      <c r="QIQ70" s="2936"/>
      <c r="QIR70" s="2936"/>
      <c r="QIS70" s="2936"/>
      <c r="QIT70" s="2936"/>
      <c r="QIU70" s="2936"/>
      <c r="QIV70" s="2936"/>
      <c r="QIW70" s="2936"/>
      <c r="QIX70" s="2936"/>
      <c r="QIY70" s="2936"/>
      <c r="QIZ70" s="2936"/>
      <c r="QJA70" s="2936"/>
      <c r="QJB70" s="2936"/>
      <c r="QJC70" s="2936"/>
      <c r="QJD70" s="2936"/>
      <c r="QJE70" s="2936"/>
      <c r="QJF70" s="2936"/>
      <c r="QJG70" s="2936"/>
      <c r="QJH70" s="2936"/>
      <c r="QJI70" s="2936"/>
      <c r="QJJ70" s="2936"/>
      <c r="QJK70" s="2936"/>
      <c r="QJL70" s="2936"/>
      <c r="QJM70" s="2936"/>
      <c r="QJN70" s="2936"/>
      <c r="QJO70" s="2936"/>
      <c r="QJP70" s="2936"/>
      <c r="QJQ70" s="2936"/>
      <c r="QJR70" s="2936"/>
      <c r="QJS70" s="2936"/>
      <c r="QJT70" s="2936"/>
      <c r="QJU70" s="2936"/>
      <c r="QJV70" s="2936"/>
      <c r="QJW70" s="2936"/>
      <c r="QJX70" s="2936"/>
      <c r="QJY70" s="2936"/>
      <c r="QJZ70" s="2936"/>
      <c r="QKA70" s="2936"/>
      <c r="QKB70" s="2936"/>
      <c r="QKC70" s="2936"/>
      <c r="QKD70" s="2936"/>
      <c r="QKE70" s="2936"/>
      <c r="QKF70" s="2936"/>
      <c r="QKG70" s="2936"/>
      <c r="QKH70" s="2936"/>
      <c r="QKI70" s="2936"/>
      <c r="QKJ70" s="2936"/>
      <c r="QKK70" s="2936"/>
      <c r="QKL70" s="2936"/>
      <c r="QKM70" s="2936"/>
      <c r="QKN70" s="2936"/>
      <c r="QKO70" s="2936"/>
      <c r="QKP70" s="2936"/>
      <c r="QKQ70" s="2936"/>
      <c r="QKR70" s="2936"/>
      <c r="QKS70" s="2936"/>
      <c r="QKT70" s="2936"/>
      <c r="QKU70" s="2936"/>
      <c r="QKV70" s="2936"/>
      <c r="QKW70" s="2936"/>
      <c r="QKX70" s="2936"/>
      <c r="QKY70" s="2936"/>
      <c r="QKZ70" s="2936"/>
      <c r="QLA70" s="2936"/>
      <c r="QLB70" s="2936"/>
      <c r="QLC70" s="2936"/>
      <c r="QLD70" s="2936"/>
      <c r="QLE70" s="2936"/>
      <c r="QLF70" s="2936"/>
      <c r="QLG70" s="2936"/>
      <c r="QLH70" s="2936"/>
      <c r="QLI70" s="2936"/>
      <c r="QLJ70" s="2936"/>
      <c r="QLK70" s="2936"/>
      <c r="QLL70" s="2936"/>
      <c r="QLM70" s="2936"/>
      <c r="QLN70" s="2936"/>
      <c r="QLO70" s="2936"/>
      <c r="QLP70" s="2936"/>
      <c r="QLQ70" s="2936"/>
      <c r="QLR70" s="2936"/>
      <c r="QLS70" s="2936"/>
      <c r="QLT70" s="2936"/>
      <c r="QLU70" s="2936"/>
      <c r="QLV70" s="2936"/>
      <c r="QLW70" s="2936"/>
      <c r="QLX70" s="2936"/>
      <c r="QLY70" s="2936"/>
      <c r="QLZ70" s="2936"/>
      <c r="QMA70" s="2936"/>
      <c r="QMB70" s="2936"/>
      <c r="QMC70" s="2936"/>
      <c r="QMD70" s="2936"/>
      <c r="QME70" s="2936"/>
      <c r="QMF70" s="2936"/>
      <c r="QMG70" s="2936"/>
      <c r="QMH70" s="2936"/>
      <c r="QMI70" s="2936"/>
      <c r="QMJ70" s="2936"/>
      <c r="QMK70" s="2936"/>
      <c r="QML70" s="2936"/>
      <c r="QMM70" s="2936"/>
      <c r="QMN70" s="2936"/>
      <c r="QMO70" s="2936"/>
      <c r="QMP70" s="2936"/>
      <c r="QMQ70" s="2936"/>
      <c r="QMR70" s="2936"/>
      <c r="QMS70" s="2936"/>
      <c r="QMT70" s="2936"/>
      <c r="QMU70" s="2936"/>
      <c r="QMV70" s="2936"/>
      <c r="QMW70" s="2936"/>
      <c r="QMX70" s="2936"/>
      <c r="QMY70" s="2936"/>
      <c r="QMZ70" s="2936"/>
      <c r="QNA70" s="2936"/>
      <c r="QNB70" s="2936"/>
      <c r="QNC70" s="2936"/>
      <c r="QND70" s="2936"/>
      <c r="QNE70" s="2936"/>
      <c r="QNF70" s="2936"/>
      <c r="QNG70" s="2936"/>
      <c r="QNH70" s="2936"/>
      <c r="QNI70" s="2936"/>
      <c r="QNJ70" s="2936"/>
      <c r="QNK70" s="2936"/>
      <c r="QNL70" s="2936"/>
      <c r="QNM70" s="2936"/>
      <c r="QNN70" s="2936"/>
      <c r="QNO70" s="2936"/>
      <c r="QNP70" s="2936"/>
      <c r="QNQ70" s="2936"/>
      <c r="QNR70" s="2936"/>
      <c r="QNS70" s="2936"/>
      <c r="QNT70" s="2936"/>
      <c r="QNU70" s="2936"/>
      <c r="QNV70" s="2936"/>
      <c r="QNW70" s="2936"/>
      <c r="QNX70" s="2936"/>
      <c r="QNY70" s="2936"/>
      <c r="QNZ70" s="2936"/>
      <c r="QOA70" s="2936"/>
      <c r="QOB70" s="2936"/>
      <c r="QOC70" s="2936"/>
      <c r="QOD70" s="2936"/>
      <c r="QOE70" s="2936"/>
      <c r="QOF70" s="2936"/>
      <c r="QOG70" s="2936"/>
      <c r="QOH70" s="2936"/>
      <c r="QOI70" s="2936"/>
      <c r="QOJ70" s="2936"/>
      <c r="QOK70" s="2936"/>
      <c r="QOL70" s="2936"/>
      <c r="QOM70" s="2936"/>
      <c r="QON70" s="2936"/>
      <c r="QOO70" s="2936"/>
      <c r="QOP70" s="2936"/>
      <c r="QOQ70" s="2936"/>
      <c r="QOR70" s="2936"/>
      <c r="QOS70" s="2936"/>
      <c r="QOT70" s="2936"/>
      <c r="QOU70" s="2936"/>
      <c r="QOV70" s="2936"/>
      <c r="QOW70" s="2936"/>
      <c r="QOX70" s="2936"/>
      <c r="QOY70" s="2936"/>
      <c r="QOZ70" s="2936"/>
      <c r="QPA70" s="2936"/>
      <c r="QPB70" s="2936"/>
      <c r="QPC70" s="2936"/>
      <c r="QPD70" s="2936"/>
      <c r="QPE70" s="2936"/>
      <c r="QPF70" s="2936"/>
      <c r="QPG70" s="2936"/>
      <c r="QPH70" s="2936"/>
      <c r="QPI70" s="2936"/>
      <c r="QPJ70" s="2936"/>
      <c r="QPK70" s="2936"/>
      <c r="QPL70" s="2936"/>
      <c r="QPM70" s="2936"/>
      <c r="QPN70" s="2936"/>
      <c r="QPO70" s="2936"/>
      <c r="QPP70" s="2936"/>
      <c r="QPQ70" s="2936"/>
      <c r="QPR70" s="2936"/>
      <c r="QPS70" s="2936"/>
      <c r="QPT70" s="2936"/>
      <c r="QPU70" s="2936"/>
      <c r="QPV70" s="2936"/>
      <c r="QPW70" s="2936"/>
      <c r="QPX70" s="2936"/>
      <c r="QPY70" s="2936"/>
      <c r="QPZ70" s="2936"/>
      <c r="QQA70" s="2936"/>
      <c r="QQB70" s="2936"/>
      <c r="QQC70" s="2936"/>
      <c r="QQD70" s="2936"/>
      <c r="QQE70" s="2936"/>
      <c r="QQF70" s="2936"/>
      <c r="QQG70" s="2936"/>
      <c r="QQH70" s="2936"/>
      <c r="QQI70" s="2936"/>
      <c r="QQJ70" s="2936"/>
      <c r="QQK70" s="2936"/>
      <c r="QQL70" s="2936"/>
      <c r="QQM70" s="2936"/>
      <c r="QQN70" s="2936"/>
      <c r="QQO70" s="2936"/>
      <c r="QQP70" s="2936"/>
      <c r="QQQ70" s="2936"/>
      <c r="QQR70" s="2936"/>
      <c r="QQS70" s="2936"/>
      <c r="QQT70" s="2936"/>
      <c r="QQU70" s="2936"/>
      <c r="QQV70" s="2936"/>
      <c r="QQW70" s="2936"/>
      <c r="QQX70" s="2936"/>
      <c r="QQY70" s="2936"/>
      <c r="QQZ70" s="2936"/>
      <c r="QRA70" s="2936"/>
      <c r="QRB70" s="2936"/>
      <c r="QRC70" s="2936"/>
      <c r="QRD70" s="2936"/>
      <c r="QRE70" s="2936"/>
      <c r="QRF70" s="2936"/>
      <c r="QRG70" s="2936"/>
      <c r="QRH70" s="2936"/>
      <c r="QRI70" s="2936"/>
      <c r="QRJ70" s="2936"/>
      <c r="QRK70" s="2936"/>
      <c r="QRL70" s="2936"/>
      <c r="QRM70" s="2936"/>
      <c r="QRN70" s="2936"/>
      <c r="QRO70" s="2936"/>
      <c r="QRP70" s="2936"/>
      <c r="QRQ70" s="2936"/>
      <c r="QRR70" s="2936"/>
      <c r="QRS70" s="2936"/>
      <c r="QRT70" s="2936"/>
      <c r="QRU70" s="2936"/>
      <c r="QRV70" s="2936"/>
      <c r="QRW70" s="2936"/>
      <c r="QRX70" s="2936"/>
      <c r="QRY70" s="2936"/>
      <c r="QRZ70" s="2936"/>
      <c r="QSA70" s="2936"/>
      <c r="QSB70" s="2936"/>
      <c r="QSC70" s="2936"/>
      <c r="QSD70" s="2936"/>
      <c r="QSE70" s="2936"/>
      <c r="QSF70" s="2936"/>
      <c r="QSG70" s="2936"/>
      <c r="QSH70" s="2936"/>
      <c r="QSI70" s="2936"/>
      <c r="QSJ70" s="2936"/>
      <c r="QSK70" s="2936"/>
      <c r="QSL70" s="2936"/>
      <c r="QSM70" s="2936"/>
      <c r="QSN70" s="2936"/>
      <c r="QSO70" s="2936"/>
      <c r="QSP70" s="2936"/>
      <c r="QSQ70" s="2936"/>
      <c r="QSR70" s="2936"/>
      <c r="QSS70" s="2936"/>
      <c r="QST70" s="2936"/>
      <c r="QSU70" s="2936"/>
      <c r="QSV70" s="2936"/>
      <c r="QSW70" s="2936"/>
      <c r="QSX70" s="2936"/>
      <c r="QSY70" s="2936"/>
      <c r="QSZ70" s="2936"/>
      <c r="QTA70" s="2936"/>
      <c r="QTB70" s="2936"/>
      <c r="QTC70" s="2936"/>
      <c r="QTD70" s="2936"/>
      <c r="QTE70" s="2936"/>
      <c r="QTF70" s="2936"/>
      <c r="QTG70" s="2936"/>
      <c r="QTH70" s="2936"/>
      <c r="QTI70" s="2936"/>
      <c r="QTJ70" s="2936"/>
      <c r="QTK70" s="2936"/>
      <c r="QTL70" s="2936"/>
      <c r="QTM70" s="2936"/>
      <c r="QTN70" s="2936"/>
      <c r="QTO70" s="2936"/>
      <c r="QTP70" s="2936"/>
      <c r="QTQ70" s="2936"/>
      <c r="QTR70" s="2936"/>
      <c r="QTS70" s="2936"/>
      <c r="QTT70" s="2936"/>
      <c r="QTU70" s="2936"/>
      <c r="QTV70" s="2936"/>
      <c r="QTW70" s="2936"/>
      <c r="QTX70" s="2936"/>
      <c r="QTY70" s="2936"/>
      <c r="QTZ70" s="2936"/>
      <c r="QUA70" s="2936"/>
      <c r="QUB70" s="2936"/>
      <c r="QUC70" s="2936"/>
      <c r="QUD70" s="2936"/>
      <c r="QUE70" s="2936"/>
      <c r="QUF70" s="2936"/>
      <c r="QUG70" s="2936"/>
      <c r="QUH70" s="2936"/>
      <c r="QUI70" s="2936"/>
      <c r="QUJ70" s="2936"/>
      <c r="QUK70" s="2936"/>
      <c r="QUL70" s="2936"/>
      <c r="QUM70" s="2936"/>
      <c r="QUN70" s="2936"/>
      <c r="QUO70" s="2936"/>
      <c r="QUP70" s="2936"/>
      <c r="QUQ70" s="2936"/>
      <c r="QUR70" s="2936"/>
      <c r="QUS70" s="2936"/>
      <c r="QUT70" s="2936"/>
      <c r="QUU70" s="2936"/>
      <c r="QUV70" s="2936"/>
      <c r="QUW70" s="2936"/>
      <c r="QUX70" s="2936"/>
      <c r="QUY70" s="2936"/>
      <c r="QUZ70" s="2936"/>
      <c r="QVA70" s="2936"/>
      <c r="QVB70" s="2936"/>
      <c r="QVC70" s="2936"/>
      <c r="QVD70" s="2936"/>
      <c r="QVE70" s="2936"/>
      <c r="QVF70" s="2936"/>
      <c r="QVG70" s="2936"/>
      <c r="QVH70" s="2936"/>
      <c r="QVI70" s="2936"/>
      <c r="QVJ70" s="2936"/>
      <c r="QVK70" s="2936"/>
      <c r="QVL70" s="2936"/>
      <c r="QVM70" s="2936"/>
      <c r="QVN70" s="2936"/>
      <c r="QVO70" s="2936"/>
      <c r="QVP70" s="2936"/>
      <c r="QVQ70" s="2936"/>
      <c r="QVR70" s="2936"/>
      <c r="QVS70" s="2936"/>
      <c r="QVT70" s="2936"/>
      <c r="QVU70" s="2936"/>
      <c r="QVV70" s="2936"/>
      <c r="QVW70" s="2936"/>
      <c r="QVX70" s="2936"/>
      <c r="QVY70" s="2936"/>
      <c r="QVZ70" s="2936"/>
      <c r="QWA70" s="2936"/>
      <c r="QWB70" s="2936"/>
      <c r="QWC70" s="2936"/>
      <c r="QWD70" s="2936"/>
      <c r="QWE70" s="2936"/>
      <c r="QWF70" s="2936"/>
      <c r="QWG70" s="2936"/>
      <c r="QWH70" s="2936"/>
      <c r="QWI70" s="2936"/>
      <c r="QWJ70" s="2936"/>
      <c r="QWK70" s="2936"/>
      <c r="QWL70" s="2936"/>
      <c r="QWM70" s="2936"/>
      <c r="QWN70" s="2936"/>
      <c r="QWO70" s="2936"/>
      <c r="QWP70" s="2936"/>
      <c r="QWQ70" s="2936"/>
      <c r="QWR70" s="2936"/>
      <c r="QWS70" s="2936"/>
      <c r="QWT70" s="2936"/>
      <c r="QWU70" s="2936"/>
      <c r="QWV70" s="2936"/>
      <c r="QWW70" s="2936"/>
      <c r="QWX70" s="2936"/>
      <c r="QWY70" s="2936"/>
      <c r="QWZ70" s="2936"/>
      <c r="QXA70" s="2936"/>
      <c r="QXB70" s="2936"/>
      <c r="QXC70" s="2936"/>
      <c r="QXD70" s="2936"/>
      <c r="QXE70" s="2936"/>
      <c r="QXF70" s="2936"/>
      <c r="QXG70" s="2936"/>
      <c r="QXH70" s="2936"/>
      <c r="QXI70" s="2936"/>
      <c r="QXJ70" s="2936"/>
      <c r="QXK70" s="2936"/>
      <c r="QXL70" s="2936"/>
      <c r="QXM70" s="2936"/>
      <c r="QXN70" s="2936"/>
      <c r="QXO70" s="2936"/>
      <c r="QXP70" s="2936"/>
      <c r="QXQ70" s="2936"/>
      <c r="QXR70" s="2936"/>
      <c r="QXS70" s="2936"/>
      <c r="QXT70" s="2936"/>
      <c r="QXU70" s="2936"/>
      <c r="QXV70" s="2936"/>
      <c r="QXW70" s="2936"/>
      <c r="QXX70" s="2936"/>
      <c r="QXY70" s="2936"/>
      <c r="QXZ70" s="2936"/>
      <c r="QYA70" s="2936"/>
      <c r="QYB70" s="2936"/>
      <c r="QYC70" s="2936"/>
      <c r="QYD70" s="2936"/>
      <c r="QYE70" s="2936"/>
      <c r="QYF70" s="2936"/>
      <c r="QYG70" s="2936"/>
      <c r="QYH70" s="2936"/>
      <c r="QYI70" s="2936"/>
      <c r="QYJ70" s="2936"/>
      <c r="QYK70" s="2936"/>
      <c r="QYL70" s="2936"/>
      <c r="QYM70" s="2936"/>
      <c r="QYN70" s="2936"/>
      <c r="QYO70" s="2936"/>
      <c r="QYP70" s="2936"/>
      <c r="QYQ70" s="2936"/>
      <c r="QYR70" s="2936"/>
      <c r="QYS70" s="2936"/>
      <c r="QYT70" s="2936"/>
      <c r="QYU70" s="2936"/>
      <c r="QYV70" s="2936"/>
      <c r="QYW70" s="2936"/>
      <c r="QYX70" s="2936"/>
      <c r="QYY70" s="2936"/>
      <c r="QYZ70" s="2936"/>
      <c r="QZA70" s="2936"/>
      <c r="QZB70" s="2936"/>
      <c r="QZC70" s="2936"/>
      <c r="QZD70" s="2936"/>
      <c r="QZE70" s="2936"/>
      <c r="QZF70" s="2936"/>
      <c r="QZG70" s="2936"/>
      <c r="QZH70" s="2936"/>
      <c r="QZI70" s="2936"/>
      <c r="QZJ70" s="2936"/>
      <c r="QZK70" s="2936"/>
      <c r="QZL70" s="2936"/>
      <c r="QZM70" s="2936"/>
      <c r="QZN70" s="2936"/>
      <c r="QZO70" s="2936"/>
      <c r="QZP70" s="2936"/>
      <c r="QZQ70" s="2936"/>
      <c r="QZR70" s="2936"/>
      <c r="QZS70" s="2936"/>
      <c r="QZT70" s="2936"/>
      <c r="QZU70" s="2936"/>
      <c r="QZV70" s="2936"/>
      <c r="QZW70" s="2936"/>
      <c r="QZX70" s="2936"/>
      <c r="QZY70" s="2936"/>
      <c r="QZZ70" s="2936"/>
      <c r="RAA70" s="2936"/>
      <c r="RAB70" s="2936"/>
      <c r="RAC70" s="2936"/>
      <c r="RAD70" s="2936"/>
      <c r="RAE70" s="2936"/>
      <c r="RAF70" s="2936"/>
      <c r="RAG70" s="2936"/>
      <c r="RAH70" s="2936"/>
      <c r="RAI70" s="2936"/>
      <c r="RAJ70" s="2936"/>
      <c r="RAK70" s="2936"/>
      <c r="RAL70" s="2936"/>
      <c r="RAM70" s="2936"/>
      <c r="RAN70" s="2936"/>
      <c r="RAO70" s="2936"/>
      <c r="RAP70" s="2936"/>
      <c r="RAQ70" s="2936"/>
      <c r="RAR70" s="2936"/>
      <c r="RAS70" s="2936"/>
      <c r="RAT70" s="2936"/>
      <c r="RAU70" s="2936"/>
      <c r="RAV70" s="2936"/>
      <c r="RAW70" s="2936"/>
      <c r="RAX70" s="2936"/>
      <c r="RAY70" s="2936"/>
      <c r="RAZ70" s="2936"/>
      <c r="RBA70" s="2936"/>
      <c r="RBB70" s="2936"/>
      <c r="RBC70" s="2936"/>
      <c r="RBD70" s="2936"/>
      <c r="RBE70" s="2936"/>
      <c r="RBF70" s="2936"/>
      <c r="RBG70" s="2936"/>
      <c r="RBH70" s="2936"/>
      <c r="RBI70" s="2936"/>
      <c r="RBJ70" s="2936"/>
      <c r="RBK70" s="2936"/>
      <c r="RBL70" s="2936"/>
      <c r="RBM70" s="2936"/>
      <c r="RBN70" s="2936"/>
      <c r="RBO70" s="2936"/>
      <c r="RBP70" s="2936"/>
      <c r="RBQ70" s="2936"/>
      <c r="RBR70" s="2936"/>
      <c r="RBS70" s="2936"/>
      <c r="RBT70" s="2936"/>
      <c r="RBU70" s="2936"/>
      <c r="RBV70" s="2936"/>
      <c r="RBW70" s="2936"/>
      <c r="RBX70" s="2936"/>
      <c r="RBY70" s="2936"/>
      <c r="RBZ70" s="2936"/>
      <c r="RCA70" s="2936"/>
      <c r="RCB70" s="2936"/>
      <c r="RCC70" s="2936"/>
      <c r="RCD70" s="2936"/>
      <c r="RCE70" s="2936"/>
      <c r="RCF70" s="2936"/>
      <c r="RCG70" s="2936"/>
      <c r="RCH70" s="2936"/>
      <c r="RCI70" s="2936"/>
      <c r="RCJ70" s="2936"/>
      <c r="RCK70" s="2936"/>
      <c r="RCL70" s="2936"/>
      <c r="RCM70" s="2936"/>
      <c r="RCN70" s="2936"/>
      <c r="RCO70" s="2936"/>
      <c r="RCP70" s="2936"/>
      <c r="RCQ70" s="2936"/>
      <c r="RCR70" s="2936"/>
      <c r="RCS70" s="2936"/>
      <c r="RCT70" s="2936"/>
      <c r="RCU70" s="2936"/>
      <c r="RCV70" s="2936"/>
      <c r="RCW70" s="2936"/>
      <c r="RCX70" s="2936"/>
      <c r="RCY70" s="2936"/>
      <c r="RCZ70" s="2936"/>
      <c r="RDA70" s="2936"/>
      <c r="RDB70" s="2936"/>
      <c r="RDC70" s="2936"/>
      <c r="RDD70" s="2936"/>
      <c r="RDE70" s="2936"/>
      <c r="RDF70" s="2936"/>
      <c r="RDG70" s="2936"/>
      <c r="RDH70" s="2936"/>
      <c r="RDI70" s="2936"/>
      <c r="RDJ70" s="2936"/>
      <c r="RDK70" s="2936"/>
      <c r="RDL70" s="2936"/>
      <c r="RDM70" s="2936"/>
      <c r="RDN70" s="2936"/>
      <c r="RDO70" s="2936"/>
      <c r="RDP70" s="2936"/>
      <c r="RDQ70" s="2936"/>
      <c r="RDR70" s="2936"/>
      <c r="RDS70" s="2936"/>
      <c r="RDT70" s="2936"/>
      <c r="RDU70" s="2936"/>
      <c r="RDV70" s="2936"/>
      <c r="RDW70" s="2936"/>
      <c r="RDX70" s="2936"/>
      <c r="RDY70" s="2936"/>
      <c r="RDZ70" s="2936"/>
      <c r="REA70" s="2936"/>
      <c r="REB70" s="2936"/>
      <c r="REC70" s="2936"/>
      <c r="RED70" s="2936"/>
      <c r="REE70" s="2936"/>
      <c r="REF70" s="2936"/>
      <c r="REG70" s="2936"/>
      <c r="REH70" s="2936"/>
      <c r="REI70" s="2936"/>
      <c r="REJ70" s="2936"/>
      <c r="REK70" s="2936"/>
      <c r="REL70" s="2936"/>
      <c r="REM70" s="2936"/>
      <c r="REN70" s="2936"/>
      <c r="REO70" s="2936"/>
      <c r="REP70" s="2936"/>
      <c r="REQ70" s="2936"/>
      <c r="RER70" s="2936"/>
      <c r="RES70" s="2936"/>
      <c r="RET70" s="2936"/>
      <c r="REU70" s="2936"/>
      <c r="REV70" s="2936"/>
      <c r="REW70" s="2936"/>
      <c r="REX70" s="2936"/>
      <c r="REY70" s="2936"/>
      <c r="REZ70" s="2936"/>
      <c r="RFA70" s="2936"/>
      <c r="RFB70" s="2936"/>
      <c r="RFC70" s="2936"/>
      <c r="RFD70" s="2936"/>
      <c r="RFE70" s="2936"/>
      <c r="RFF70" s="2936"/>
      <c r="RFG70" s="2936"/>
      <c r="RFH70" s="2936"/>
      <c r="RFI70" s="2936"/>
      <c r="RFJ70" s="2936"/>
      <c r="RFK70" s="2936"/>
      <c r="RFL70" s="2936"/>
      <c r="RFM70" s="2936"/>
      <c r="RFN70" s="2936"/>
      <c r="RFO70" s="2936"/>
      <c r="RFP70" s="2936"/>
      <c r="RFQ70" s="2936"/>
      <c r="RFR70" s="2936"/>
      <c r="RFS70" s="2936"/>
      <c r="RFT70" s="2936"/>
      <c r="RFU70" s="2936"/>
      <c r="RFV70" s="2936"/>
      <c r="RFW70" s="2936"/>
      <c r="RFX70" s="2936"/>
      <c r="RFY70" s="2936"/>
      <c r="RFZ70" s="2936"/>
      <c r="RGA70" s="2936"/>
      <c r="RGB70" s="2936"/>
      <c r="RGC70" s="2936"/>
      <c r="RGD70" s="2936"/>
      <c r="RGE70" s="2936"/>
      <c r="RGF70" s="2936"/>
      <c r="RGG70" s="2936"/>
      <c r="RGH70" s="2936"/>
      <c r="RGI70" s="2936"/>
      <c r="RGJ70" s="2936"/>
      <c r="RGK70" s="2936"/>
      <c r="RGL70" s="2936"/>
      <c r="RGM70" s="2936"/>
      <c r="RGN70" s="2936"/>
      <c r="RGO70" s="2936"/>
      <c r="RGP70" s="2936"/>
      <c r="RGQ70" s="2936"/>
      <c r="RGR70" s="2936"/>
      <c r="RGS70" s="2936"/>
      <c r="RGT70" s="2936"/>
      <c r="RGU70" s="2936"/>
      <c r="RGV70" s="2936"/>
      <c r="RGW70" s="2936"/>
      <c r="RGX70" s="2936"/>
      <c r="RGY70" s="2936"/>
      <c r="RGZ70" s="2936"/>
      <c r="RHA70" s="2936"/>
      <c r="RHB70" s="2936"/>
      <c r="RHC70" s="2936"/>
      <c r="RHD70" s="2936"/>
      <c r="RHE70" s="2936"/>
      <c r="RHF70" s="2936"/>
      <c r="RHG70" s="2936"/>
      <c r="RHH70" s="2936"/>
      <c r="RHI70" s="2936"/>
      <c r="RHJ70" s="2936"/>
      <c r="RHK70" s="2936"/>
      <c r="RHL70" s="2936"/>
      <c r="RHM70" s="2936"/>
      <c r="RHN70" s="2936"/>
      <c r="RHO70" s="2936"/>
      <c r="RHP70" s="2936"/>
      <c r="RHQ70" s="2936"/>
      <c r="RHR70" s="2936"/>
      <c r="RHS70" s="2936"/>
      <c r="RHT70" s="2936"/>
      <c r="RHU70" s="2936"/>
      <c r="RHV70" s="2936"/>
      <c r="RHW70" s="2936"/>
      <c r="RHX70" s="2936"/>
      <c r="RHY70" s="2936"/>
      <c r="RHZ70" s="2936"/>
      <c r="RIA70" s="2936"/>
      <c r="RIB70" s="2936"/>
      <c r="RIC70" s="2936"/>
      <c r="RID70" s="2936"/>
      <c r="RIE70" s="2936"/>
      <c r="RIF70" s="2936"/>
      <c r="RIG70" s="2936"/>
      <c r="RIH70" s="2936"/>
      <c r="RII70" s="2936"/>
      <c r="RIJ70" s="2936"/>
      <c r="RIK70" s="2936"/>
      <c r="RIL70" s="2936"/>
      <c r="RIM70" s="2936"/>
      <c r="RIN70" s="2936"/>
      <c r="RIO70" s="2936"/>
      <c r="RIP70" s="2936"/>
      <c r="RIQ70" s="2936"/>
      <c r="RIR70" s="2936"/>
      <c r="RIS70" s="2936"/>
      <c r="RIT70" s="2936"/>
      <c r="RIU70" s="2936"/>
      <c r="RIV70" s="2936"/>
      <c r="RIW70" s="2936"/>
      <c r="RIX70" s="2936"/>
      <c r="RIY70" s="2936"/>
      <c r="RIZ70" s="2936"/>
      <c r="RJA70" s="2936"/>
      <c r="RJB70" s="2936"/>
      <c r="RJC70" s="2936"/>
      <c r="RJD70" s="2936"/>
      <c r="RJE70" s="2936"/>
      <c r="RJF70" s="2936"/>
      <c r="RJG70" s="2936"/>
      <c r="RJH70" s="2936"/>
      <c r="RJI70" s="2936"/>
      <c r="RJJ70" s="2936"/>
      <c r="RJK70" s="2936"/>
      <c r="RJL70" s="2936"/>
      <c r="RJM70" s="2936"/>
      <c r="RJN70" s="2936"/>
      <c r="RJO70" s="2936"/>
      <c r="RJP70" s="2936"/>
      <c r="RJQ70" s="2936"/>
      <c r="RJR70" s="2936"/>
      <c r="RJS70" s="2936"/>
      <c r="RJT70" s="2936"/>
      <c r="RJU70" s="2936"/>
      <c r="RJV70" s="2936"/>
      <c r="RJW70" s="2936"/>
      <c r="RJX70" s="2936"/>
      <c r="RJY70" s="2936"/>
      <c r="RJZ70" s="2936"/>
      <c r="RKA70" s="2936"/>
      <c r="RKB70" s="2936"/>
      <c r="RKC70" s="2936"/>
      <c r="RKD70" s="2936"/>
      <c r="RKE70" s="2936"/>
      <c r="RKF70" s="2936"/>
      <c r="RKG70" s="2936"/>
      <c r="RKH70" s="2936"/>
      <c r="RKI70" s="2936"/>
      <c r="RKJ70" s="2936"/>
      <c r="RKK70" s="2936"/>
      <c r="RKL70" s="2936"/>
      <c r="RKM70" s="2936"/>
      <c r="RKN70" s="2936"/>
      <c r="RKO70" s="2936"/>
      <c r="RKP70" s="2936"/>
      <c r="RKQ70" s="2936"/>
      <c r="RKR70" s="2936"/>
      <c r="RKS70" s="2936"/>
      <c r="RKT70" s="2936"/>
      <c r="RKU70" s="2936"/>
      <c r="RKV70" s="2936"/>
      <c r="RKW70" s="2936"/>
      <c r="RKX70" s="2936"/>
      <c r="RKY70" s="2936"/>
      <c r="RKZ70" s="2936"/>
      <c r="RLA70" s="2936"/>
      <c r="RLB70" s="2936"/>
      <c r="RLC70" s="2936"/>
      <c r="RLD70" s="2936"/>
      <c r="RLE70" s="2936"/>
      <c r="RLF70" s="2936"/>
      <c r="RLG70" s="2936"/>
      <c r="RLH70" s="2936"/>
      <c r="RLI70" s="2936"/>
      <c r="RLJ70" s="2936"/>
      <c r="RLK70" s="2936"/>
      <c r="RLL70" s="2936"/>
      <c r="RLM70" s="2936"/>
      <c r="RLN70" s="2936"/>
      <c r="RLO70" s="2936"/>
      <c r="RLP70" s="2936"/>
      <c r="RLQ70" s="2936"/>
      <c r="RLR70" s="2936"/>
      <c r="RLS70" s="2936"/>
      <c r="RLT70" s="2936"/>
      <c r="RLU70" s="2936"/>
      <c r="RLV70" s="2936"/>
      <c r="RLW70" s="2936"/>
      <c r="RLX70" s="2936"/>
      <c r="RLY70" s="2936"/>
      <c r="RLZ70" s="2936"/>
      <c r="RMA70" s="2936"/>
      <c r="RMB70" s="2936"/>
      <c r="RMC70" s="2936"/>
      <c r="RMD70" s="2936"/>
      <c r="RME70" s="2936"/>
      <c r="RMF70" s="2936"/>
      <c r="RMG70" s="2936"/>
      <c r="RMH70" s="2936"/>
      <c r="RMI70" s="2936"/>
      <c r="RMJ70" s="2936"/>
      <c r="RMK70" s="2936"/>
      <c r="RML70" s="2936"/>
      <c r="RMM70" s="2936"/>
      <c r="RMN70" s="2936"/>
      <c r="RMO70" s="2936"/>
      <c r="RMP70" s="2936"/>
      <c r="RMQ70" s="2936"/>
      <c r="RMR70" s="2936"/>
      <c r="RMS70" s="2936"/>
      <c r="RMT70" s="2936"/>
      <c r="RMU70" s="2936"/>
      <c r="RMV70" s="2936"/>
      <c r="RMW70" s="2936"/>
      <c r="RMX70" s="2936"/>
      <c r="RMY70" s="2936"/>
      <c r="RMZ70" s="2936"/>
      <c r="RNA70" s="2936"/>
      <c r="RNB70" s="2936"/>
      <c r="RNC70" s="2936"/>
      <c r="RND70" s="2936"/>
      <c r="RNE70" s="2936"/>
      <c r="RNF70" s="2936"/>
      <c r="RNG70" s="2936"/>
      <c r="RNH70" s="2936"/>
      <c r="RNI70" s="2936"/>
      <c r="RNJ70" s="2936"/>
      <c r="RNK70" s="2936"/>
      <c r="RNL70" s="2936"/>
      <c r="RNM70" s="2936"/>
      <c r="RNN70" s="2936"/>
      <c r="RNO70" s="2936"/>
      <c r="RNP70" s="2936"/>
      <c r="RNQ70" s="2936"/>
      <c r="RNR70" s="2936"/>
      <c r="RNS70" s="2936"/>
      <c r="RNT70" s="2936"/>
      <c r="RNU70" s="2936"/>
      <c r="RNV70" s="2936"/>
      <c r="RNW70" s="2936"/>
      <c r="RNX70" s="2936"/>
      <c r="RNY70" s="2936"/>
      <c r="RNZ70" s="2936"/>
      <c r="ROA70" s="2936"/>
      <c r="ROB70" s="2936"/>
      <c r="ROC70" s="2936"/>
      <c r="ROD70" s="2936"/>
      <c r="ROE70" s="2936"/>
      <c r="ROF70" s="2936"/>
      <c r="ROG70" s="2936"/>
      <c r="ROH70" s="2936"/>
      <c r="ROI70" s="2936"/>
      <c r="ROJ70" s="2936"/>
      <c r="ROK70" s="2936"/>
      <c r="ROL70" s="2936"/>
      <c r="ROM70" s="2936"/>
      <c r="RON70" s="2936"/>
      <c r="ROO70" s="2936"/>
      <c r="ROP70" s="2936"/>
      <c r="ROQ70" s="2936"/>
      <c r="ROR70" s="2936"/>
      <c r="ROS70" s="2936"/>
      <c r="ROT70" s="2936"/>
      <c r="ROU70" s="2936"/>
      <c r="ROV70" s="2936"/>
      <c r="ROW70" s="2936"/>
      <c r="ROX70" s="2936"/>
      <c r="ROY70" s="2936"/>
      <c r="ROZ70" s="2936"/>
      <c r="RPA70" s="2936"/>
      <c r="RPB70" s="2936"/>
      <c r="RPC70" s="2936"/>
      <c r="RPD70" s="2936"/>
      <c r="RPE70" s="2936"/>
      <c r="RPF70" s="2936"/>
      <c r="RPG70" s="2936"/>
      <c r="RPH70" s="2936"/>
      <c r="RPI70" s="2936"/>
      <c r="RPJ70" s="2936"/>
      <c r="RPK70" s="2936"/>
      <c r="RPL70" s="2936"/>
      <c r="RPM70" s="2936"/>
      <c r="RPN70" s="2936"/>
      <c r="RPO70" s="2936"/>
      <c r="RPP70" s="2936"/>
      <c r="RPQ70" s="2936"/>
      <c r="RPR70" s="2936"/>
      <c r="RPS70" s="2936"/>
      <c r="RPT70" s="2936"/>
      <c r="RPU70" s="2936"/>
      <c r="RPV70" s="2936"/>
      <c r="RPW70" s="2936"/>
      <c r="RPX70" s="2936"/>
      <c r="RPY70" s="2936"/>
      <c r="RPZ70" s="2936"/>
      <c r="RQA70" s="2936"/>
      <c r="RQB70" s="2936"/>
      <c r="RQC70" s="2936"/>
      <c r="RQD70" s="2936"/>
      <c r="RQE70" s="2936"/>
      <c r="RQF70" s="2936"/>
      <c r="RQG70" s="2936"/>
      <c r="RQH70" s="2936"/>
      <c r="RQI70" s="2936"/>
      <c r="RQJ70" s="2936"/>
      <c r="RQK70" s="2936"/>
      <c r="RQL70" s="2936"/>
      <c r="RQM70" s="2936"/>
      <c r="RQN70" s="2936"/>
      <c r="RQO70" s="2936"/>
      <c r="RQP70" s="2936"/>
      <c r="RQQ70" s="2936"/>
      <c r="RQR70" s="2936"/>
      <c r="RQS70" s="2936"/>
      <c r="RQT70" s="2936"/>
      <c r="RQU70" s="2936"/>
      <c r="RQV70" s="2936"/>
      <c r="RQW70" s="2936"/>
      <c r="RQX70" s="2936"/>
      <c r="RQY70" s="2936"/>
      <c r="RQZ70" s="2936"/>
      <c r="RRA70" s="2936"/>
      <c r="RRB70" s="2936"/>
      <c r="RRC70" s="2936"/>
      <c r="RRD70" s="2936"/>
      <c r="RRE70" s="2936"/>
      <c r="RRF70" s="2936"/>
      <c r="RRG70" s="2936"/>
      <c r="RRH70" s="2936"/>
      <c r="RRI70" s="2936"/>
      <c r="RRJ70" s="2936"/>
      <c r="RRK70" s="2936"/>
      <c r="RRL70" s="2936"/>
      <c r="RRM70" s="2936"/>
      <c r="RRN70" s="2936"/>
      <c r="RRO70" s="2936"/>
      <c r="RRP70" s="2936"/>
      <c r="RRQ70" s="2936"/>
      <c r="RRR70" s="2936"/>
      <c r="RRS70" s="2936"/>
      <c r="RRT70" s="2936"/>
      <c r="RRU70" s="2936"/>
      <c r="RRV70" s="2936"/>
      <c r="RRW70" s="2936"/>
      <c r="RRX70" s="2936"/>
      <c r="RRY70" s="2936"/>
      <c r="RRZ70" s="2936"/>
      <c r="RSA70" s="2936"/>
      <c r="RSB70" s="2936"/>
      <c r="RSC70" s="2936"/>
      <c r="RSD70" s="2936"/>
      <c r="RSE70" s="2936"/>
      <c r="RSF70" s="2936"/>
      <c r="RSG70" s="2936"/>
      <c r="RSH70" s="2936"/>
      <c r="RSI70" s="2936"/>
      <c r="RSJ70" s="2936"/>
      <c r="RSK70" s="2936"/>
      <c r="RSL70" s="2936"/>
      <c r="RSM70" s="2936"/>
      <c r="RSN70" s="2936"/>
      <c r="RSO70" s="2936"/>
      <c r="RSP70" s="2936"/>
      <c r="RSQ70" s="2936"/>
      <c r="RSR70" s="2936"/>
      <c r="RSS70" s="2936"/>
      <c r="RST70" s="2936"/>
      <c r="RSU70" s="2936"/>
      <c r="RSV70" s="2936"/>
      <c r="RSW70" s="2936"/>
      <c r="RSX70" s="2936"/>
      <c r="RSY70" s="2936"/>
      <c r="RSZ70" s="2936"/>
      <c r="RTA70" s="2936"/>
      <c r="RTB70" s="2936"/>
      <c r="RTC70" s="2936"/>
      <c r="RTD70" s="2936"/>
      <c r="RTE70" s="2936"/>
      <c r="RTF70" s="2936"/>
      <c r="RTG70" s="2936"/>
      <c r="RTH70" s="2936"/>
      <c r="RTI70" s="2936"/>
      <c r="RTJ70" s="2936"/>
      <c r="RTK70" s="2936"/>
      <c r="RTL70" s="2936"/>
      <c r="RTM70" s="2936"/>
      <c r="RTN70" s="2936"/>
      <c r="RTO70" s="2936"/>
      <c r="RTP70" s="2936"/>
      <c r="RTQ70" s="2936"/>
      <c r="RTR70" s="2936"/>
      <c r="RTS70" s="2936"/>
      <c r="RTT70" s="2936"/>
      <c r="RTU70" s="2936"/>
      <c r="RTV70" s="2936"/>
      <c r="RTW70" s="2936"/>
      <c r="RTX70" s="2936"/>
      <c r="RTY70" s="2936"/>
      <c r="RTZ70" s="2936"/>
      <c r="RUA70" s="2936"/>
      <c r="RUB70" s="2936"/>
      <c r="RUC70" s="2936"/>
      <c r="RUD70" s="2936"/>
      <c r="RUE70" s="2936"/>
      <c r="RUF70" s="2936"/>
      <c r="RUG70" s="2936"/>
      <c r="RUH70" s="2936"/>
      <c r="RUI70" s="2936"/>
      <c r="RUJ70" s="2936"/>
      <c r="RUK70" s="2936"/>
      <c r="RUL70" s="2936"/>
      <c r="RUM70" s="2936"/>
      <c r="RUN70" s="2936"/>
      <c r="RUO70" s="2936"/>
      <c r="RUP70" s="2936"/>
      <c r="RUQ70" s="2936"/>
      <c r="RUR70" s="2936"/>
      <c r="RUS70" s="2936"/>
      <c r="RUT70" s="2936"/>
      <c r="RUU70" s="2936"/>
      <c r="RUV70" s="2936"/>
      <c r="RUW70" s="2936"/>
      <c r="RUX70" s="2936"/>
      <c r="RUY70" s="2936"/>
      <c r="RUZ70" s="2936"/>
      <c r="RVA70" s="2936"/>
      <c r="RVB70" s="2936"/>
      <c r="RVC70" s="2936"/>
      <c r="RVD70" s="2936"/>
      <c r="RVE70" s="2936"/>
      <c r="RVF70" s="2936"/>
      <c r="RVG70" s="2936"/>
      <c r="RVH70" s="2936"/>
      <c r="RVI70" s="2936"/>
      <c r="RVJ70" s="2936"/>
      <c r="RVK70" s="2936"/>
      <c r="RVL70" s="2936"/>
      <c r="RVM70" s="2936"/>
      <c r="RVN70" s="2936"/>
      <c r="RVO70" s="2936"/>
      <c r="RVP70" s="2936"/>
      <c r="RVQ70" s="2936"/>
      <c r="RVR70" s="2936"/>
      <c r="RVS70" s="2936"/>
      <c r="RVT70" s="2936"/>
      <c r="RVU70" s="2936"/>
      <c r="RVV70" s="2936"/>
      <c r="RVW70" s="2936"/>
      <c r="RVX70" s="2936"/>
      <c r="RVY70" s="2936"/>
      <c r="RVZ70" s="2936"/>
      <c r="RWA70" s="2936"/>
      <c r="RWB70" s="2936"/>
      <c r="RWC70" s="2936"/>
      <c r="RWD70" s="2936"/>
      <c r="RWE70" s="2936"/>
      <c r="RWF70" s="2936"/>
      <c r="RWG70" s="2936"/>
      <c r="RWH70" s="2936"/>
      <c r="RWI70" s="2936"/>
      <c r="RWJ70" s="2936"/>
      <c r="RWK70" s="2936"/>
      <c r="RWL70" s="2936"/>
      <c r="RWM70" s="2936"/>
      <c r="RWN70" s="2936"/>
      <c r="RWO70" s="2936"/>
      <c r="RWP70" s="2936"/>
      <c r="RWQ70" s="2936"/>
      <c r="RWR70" s="2936"/>
      <c r="RWS70" s="2936"/>
      <c r="RWT70" s="2936"/>
      <c r="RWU70" s="2936"/>
      <c r="RWV70" s="2936"/>
      <c r="RWW70" s="2936"/>
      <c r="RWX70" s="2936"/>
      <c r="RWY70" s="2936"/>
      <c r="RWZ70" s="2936"/>
      <c r="RXA70" s="2936"/>
      <c r="RXB70" s="2936"/>
      <c r="RXC70" s="2936"/>
      <c r="RXD70" s="2936"/>
      <c r="RXE70" s="2936"/>
      <c r="RXF70" s="2936"/>
      <c r="RXG70" s="2936"/>
      <c r="RXH70" s="2936"/>
      <c r="RXI70" s="2936"/>
      <c r="RXJ70" s="2936"/>
      <c r="RXK70" s="2936"/>
      <c r="RXL70" s="2936"/>
      <c r="RXM70" s="2936"/>
      <c r="RXN70" s="2936"/>
      <c r="RXO70" s="2936"/>
      <c r="RXP70" s="2936"/>
      <c r="RXQ70" s="2936"/>
      <c r="RXR70" s="2936"/>
      <c r="RXS70" s="2936"/>
      <c r="RXT70" s="2936"/>
      <c r="RXU70" s="2936"/>
      <c r="RXV70" s="2936"/>
      <c r="RXW70" s="2936"/>
      <c r="RXX70" s="2936"/>
      <c r="RXY70" s="2936"/>
      <c r="RXZ70" s="2936"/>
      <c r="RYA70" s="2936"/>
      <c r="RYB70" s="2936"/>
      <c r="RYC70" s="2936"/>
      <c r="RYD70" s="2936"/>
      <c r="RYE70" s="2936"/>
      <c r="RYF70" s="2936"/>
      <c r="RYG70" s="2936"/>
      <c r="RYH70" s="2936"/>
      <c r="RYI70" s="2936"/>
      <c r="RYJ70" s="2936"/>
      <c r="RYK70" s="2936"/>
      <c r="RYL70" s="2936"/>
      <c r="RYM70" s="2936"/>
      <c r="RYN70" s="2936"/>
      <c r="RYO70" s="2936"/>
      <c r="RYP70" s="2936"/>
      <c r="RYQ70" s="2936"/>
      <c r="RYR70" s="2936"/>
      <c r="RYS70" s="2936"/>
      <c r="RYT70" s="2936"/>
      <c r="RYU70" s="2936"/>
      <c r="RYV70" s="2936"/>
      <c r="RYW70" s="2936"/>
      <c r="RYX70" s="2936"/>
      <c r="RYY70" s="2936"/>
      <c r="RYZ70" s="2936"/>
      <c r="RZA70" s="2936"/>
      <c r="RZB70" s="2936"/>
      <c r="RZC70" s="2936"/>
      <c r="RZD70" s="2936"/>
      <c r="RZE70" s="2936"/>
      <c r="RZF70" s="2936"/>
      <c r="RZG70" s="2936"/>
      <c r="RZH70" s="2936"/>
      <c r="RZI70" s="2936"/>
      <c r="RZJ70" s="2936"/>
      <c r="RZK70" s="2936"/>
      <c r="RZL70" s="2936"/>
      <c r="RZM70" s="2936"/>
      <c r="RZN70" s="2936"/>
      <c r="RZO70" s="2936"/>
      <c r="RZP70" s="2936"/>
      <c r="RZQ70" s="2936"/>
      <c r="RZR70" s="2936"/>
      <c r="RZS70" s="2936"/>
      <c r="RZT70" s="2936"/>
      <c r="RZU70" s="2936"/>
      <c r="RZV70" s="2936"/>
      <c r="RZW70" s="2936"/>
      <c r="RZX70" s="2936"/>
      <c r="RZY70" s="2936"/>
      <c r="RZZ70" s="2936"/>
      <c r="SAA70" s="2936"/>
      <c r="SAB70" s="2936"/>
      <c r="SAC70" s="2936"/>
      <c r="SAD70" s="2936"/>
      <c r="SAE70" s="2936"/>
      <c r="SAF70" s="2936"/>
      <c r="SAG70" s="2936"/>
      <c r="SAH70" s="2936"/>
      <c r="SAI70" s="2936"/>
      <c r="SAJ70" s="2936"/>
      <c r="SAK70" s="2936"/>
      <c r="SAL70" s="2936"/>
      <c r="SAM70" s="2936"/>
      <c r="SAN70" s="2936"/>
      <c r="SAO70" s="2936"/>
      <c r="SAP70" s="2936"/>
      <c r="SAQ70" s="2936"/>
      <c r="SAR70" s="2936"/>
      <c r="SAS70" s="2936"/>
      <c r="SAT70" s="2936"/>
      <c r="SAU70" s="2936"/>
      <c r="SAV70" s="2936"/>
      <c r="SAW70" s="2936"/>
      <c r="SAX70" s="2936"/>
      <c r="SAY70" s="2936"/>
      <c r="SAZ70" s="2936"/>
      <c r="SBA70" s="2936"/>
      <c r="SBB70" s="2936"/>
      <c r="SBC70" s="2936"/>
      <c r="SBD70" s="2936"/>
      <c r="SBE70" s="2936"/>
      <c r="SBF70" s="2936"/>
      <c r="SBG70" s="2936"/>
      <c r="SBH70" s="2936"/>
      <c r="SBI70" s="2936"/>
      <c r="SBJ70" s="2936"/>
      <c r="SBK70" s="2936"/>
      <c r="SBL70" s="2936"/>
      <c r="SBM70" s="2936"/>
      <c r="SBN70" s="2936"/>
      <c r="SBO70" s="2936"/>
      <c r="SBP70" s="2936"/>
      <c r="SBQ70" s="2936"/>
      <c r="SBR70" s="2936"/>
      <c r="SBS70" s="2936"/>
      <c r="SBT70" s="2936"/>
      <c r="SBU70" s="2936"/>
      <c r="SBV70" s="2936"/>
      <c r="SBW70" s="2936"/>
      <c r="SBX70" s="2936"/>
      <c r="SBY70" s="2936"/>
      <c r="SBZ70" s="2936"/>
      <c r="SCA70" s="2936"/>
      <c r="SCB70" s="2936"/>
      <c r="SCC70" s="2936"/>
      <c r="SCD70" s="2936"/>
      <c r="SCE70" s="2936"/>
      <c r="SCF70" s="2936"/>
      <c r="SCG70" s="2936"/>
      <c r="SCH70" s="2936"/>
      <c r="SCI70" s="2936"/>
      <c r="SCJ70" s="2936"/>
      <c r="SCK70" s="2936"/>
      <c r="SCL70" s="2936"/>
      <c r="SCM70" s="2936"/>
      <c r="SCN70" s="2936"/>
      <c r="SCO70" s="2936"/>
      <c r="SCP70" s="2936"/>
      <c r="SCQ70" s="2936"/>
      <c r="SCR70" s="2936"/>
      <c r="SCS70" s="2936"/>
      <c r="SCT70" s="2936"/>
      <c r="SCU70" s="2936"/>
      <c r="SCV70" s="2936"/>
      <c r="SCW70" s="2936"/>
      <c r="SCX70" s="2936"/>
      <c r="SCY70" s="2936"/>
      <c r="SCZ70" s="2936"/>
      <c r="SDA70" s="2936"/>
      <c r="SDB70" s="2936"/>
      <c r="SDC70" s="2936"/>
      <c r="SDD70" s="2936"/>
      <c r="SDE70" s="2936"/>
      <c r="SDF70" s="2936"/>
      <c r="SDG70" s="2936"/>
      <c r="SDH70" s="2936"/>
      <c r="SDI70" s="2936"/>
      <c r="SDJ70" s="2936"/>
      <c r="SDK70" s="2936"/>
      <c r="SDL70" s="2936"/>
      <c r="SDM70" s="2936"/>
      <c r="SDN70" s="2936"/>
      <c r="SDO70" s="2936"/>
      <c r="SDP70" s="2936"/>
      <c r="SDQ70" s="2936"/>
      <c r="SDR70" s="2936"/>
      <c r="SDS70" s="2936"/>
      <c r="SDT70" s="2936"/>
      <c r="SDU70" s="2936"/>
      <c r="SDV70" s="2936"/>
      <c r="SDW70" s="2936"/>
      <c r="SDX70" s="2936"/>
      <c r="SDY70" s="2936"/>
      <c r="SDZ70" s="2936"/>
      <c r="SEA70" s="2936"/>
      <c r="SEB70" s="2936"/>
      <c r="SEC70" s="2936"/>
      <c r="SED70" s="2936"/>
      <c r="SEE70" s="2936"/>
      <c r="SEF70" s="2936"/>
      <c r="SEG70" s="2936"/>
      <c r="SEH70" s="2936"/>
      <c r="SEI70" s="2936"/>
      <c r="SEJ70" s="2936"/>
      <c r="SEK70" s="2936"/>
      <c r="SEL70" s="2936"/>
      <c r="SEM70" s="2936"/>
      <c r="SEN70" s="2936"/>
      <c r="SEO70" s="2936"/>
      <c r="SEP70" s="2936"/>
      <c r="SEQ70" s="2936"/>
      <c r="SER70" s="2936"/>
      <c r="SES70" s="2936"/>
      <c r="SET70" s="2936"/>
      <c r="SEU70" s="2936"/>
      <c r="SEV70" s="2936"/>
      <c r="SEW70" s="2936"/>
      <c r="SEX70" s="2936"/>
      <c r="SEY70" s="2936"/>
      <c r="SEZ70" s="2936"/>
      <c r="SFA70" s="2936"/>
      <c r="SFB70" s="2936"/>
      <c r="SFC70" s="2936"/>
      <c r="SFD70" s="2936"/>
      <c r="SFE70" s="2936"/>
      <c r="SFF70" s="2936"/>
      <c r="SFG70" s="2936"/>
      <c r="SFH70" s="2936"/>
      <c r="SFI70" s="2936"/>
      <c r="SFJ70" s="2936"/>
      <c r="SFK70" s="2936"/>
      <c r="SFL70" s="2936"/>
      <c r="SFM70" s="2936"/>
      <c r="SFN70" s="2936"/>
      <c r="SFO70" s="2936"/>
      <c r="SFP70" s="2936"/>
      <c r="SFQ70" s="2936"/>
      <c r="SFR70" s="2936"/>
      <c r="SFS70" s="2936"/>
      <c r="SFT70" s="2936"/>
      <c r="SFU70" s="2936"/>
      <c r="SFV70" s="2936"/>
      <c r="SFW70" s="2936"/>
      <c r="SFX70" s="2936"/>
      <c r="SFY70" s="2936"/>
      <c r="SFZ70" s="2936"/>
      <c r="SGA70" s="2936"/>
      <c r="SGB70" s="2936"/>
      <c r="SGC70" s="2936"/>
      <c r="SGD70" s="2936"/>
      <c r="SGE70" s="2936"/>
      <c r="SGF70" s="2936"/>
      <c r="SGG70" s="2936"/>
      <c r="SGH70" s="2936"/>
      <c r="SGI70" s="2936"/>
      <c r="SGJ70" s="2936"/>
      <c r="SGK70" s="2936"/>
      <c r="SGL70" s="2936"/>
      <c r="SGM70" s="2936"/>
      <c r="SGN70" s="2936"/>
      <c r="SGO70" s="2936"/>
      <c r="SGP70" s="2936"/>
      <c r="SGQ70" s="2936"/>
      <c r="SGR70" s="2936"/>
      <c r="SGS70" s="2936"/>
      <c r="SGT70" s="2936"/>
      <c r="SGU70" s="2936"/>
      <c r="SGV70" s="2936"/>
      <c r="SGW70" s="2936"/>
      <c r="SGX70" s="2936"/>
      <c r="SGY70" s="2936"/>
      <c r="SGZ70" s="2936"/>
      <c r="SHA70" s="2936"/>
      <c r="SHB70" s="2936"/>
      <c r="SHC70" s="2936"/>
      <c r="SHD70" s="2936"/>
      <c r="SHE70" s="2936"/>
      <c r="SHF70" s="2936"/>
      <c r="SHG70" s="2936"/>
      <c r="SHH70" s="2936"/>
      <c r="SHI70" s="2936"/>
      <c r="SHJ70" s="2936"/>
      <c r="SHK70" s="2936"/>
      <c r="SHL70" s="2936"/>
      <c r="SHM70" s="2936"/>
      <c r="SHN70" s="2936"/>
      <c r="SHO70" s="2936"/>
      <c r="SHP70" s="2936"/>
      <c r="SHQ70" s="2936"/>
      <c r="SHR70" s="2936"/>
      <c r="SHS70" s="2936"/>
      <c r="SHT70" s="2936"/>
      <c r="SHU70" s="2936"/>
      <c r="SHV70" s="2936"/>
      <c r="SHW70" s="2936"/>
      <c r="SHX70" s="2936"/>
      <c r="SHY70" s="2936"/>
      <c r="SHZ70" s="2936"/>
      <c r="SIA70" s="2936"/>
      <c r="SIB70" s="2936"/>
      <c r="SIC70" s="2936"/>
      <c r="SID70" s="2936"/>
      <c r="SIE70" s="2936"/>
      <c r="SIF70" s="2936"/>
      <c r="SIG70" s="2936"/>
      <c r="SIH70" s="2936"/>
      <c r="SII70" s="2936"/>
      <c r="SIJ70" s="2936"/>
      <c r="SIK70" s="2936"/>
      <c r="SIL70" s="2936"/>
      <c r="SIM70" s="2936"/>
      <c r="SIN70" s="2936"/>
      <c r="SIO70" s="2936"/>
      <c r="SIP70" s="2936"/>
      <c r="SIQ70" s="2936"/>
      <c r="SIR70" s="2936"/>
      <c r="SIS70" s="2936"/>
      <c r="SIT70" s="2936"/>
      <c r="SIU70" s="2936"/>
      <c r="SIV70" s="2936"/>
      <c r="SIW70" s="2936"/>
      <c r="SIX70" s="2936"/>
      <c r="SIY70" s="2936"/>
      <c r="SIZ70" s="2936"/>
      <c r="SJA70" s="2936"/>
      <c r="SJB70" s="2936"/>
      <c r="SJC70" s="2936"/>
      <c r="SJD70" s="2936"/>
      <c r="SJE70" s="2936"/>
      <c r="SJF70" s="2936"/>
      <c r="SJG70" s="2936"/>
      <c r="SJH70" s="2936"/>
      <c r="SJI70" s="2936"/>
      <c r="SJJ70" s="2936"/>
      <c r="SJK70" s="2936"/>
      <c r="SJL70" s="2936"/>
      <c r="SJM70" s="2936"/>
      <c r="SJN70" s="2936"/>
      <c r="SJO70" s="2936"/>
      <c r="SJP70" s="2936"/>
      <c r="SJQ70" s="2936"/>
      <c r="SJR70" s="2936"/>
      <c r="SJS70" s="2936"/>
      <c r="SJT70" s="2936"/>
      <c r="SJU70" s="2936"/>
      <c r="SJV70" s="2936"/>
      <c r="SJW70" s="2936"/>
      <c r="SJX70" s="2936"/>
      <c r="SJY70" s="2936"/>
      <c r="SJZ70" s="2936"/>
      <c r="SKA70" s="2936"/>
      <c r="SKB70" s="2936"/>
      <c r="SKC70" s="2936"/>
      <c r="SKD70" s="2936"/>
      <c r="SKE70" s="2936"/>
      <c r="SKF70" s="2936"/>
      <c r="SKG70" s="2936"/>
      <c r="SKH70" s="2936"/>
      <c r="SKI70" s="2936"/>
      <c r="SKJ70" s="2936"/>
      <c r="SKK70" s="2936"/>
      <c r="SKL70" s="2936"/>
      <c r="SKM70" s="2936"/>
      <c r="SKN70" s="2936"/>
      <c r="SKO70" s="2936"/>
      <c r="SKP70" s="2936"/>
      <c r="SKQ70" s="2936"/>
      <c r="SKR70" s="2936"/>
      <c r="SKS70" s="2936"/>
      <c r="SKT70" s="2936"/>
      <c r="SKU70" s="2936"/>
      <c r="SKV70" s="2936"/>
      <c r="SKW70" s="2936"/>
      <c r="SKX70" s="2936"/>
      <c r="SKY70" s="2936"/>
      <c r="SKZ70" s="2936"/>
      <c r="SLA70" s="2936"/>
      <c r="SLB70" s="2936"/>
      <c r="SLC70" s="2936"/>
      <c r="SLD70" s="2936"/>
      <c r="SLE70" s="2936"/>
      <c r="SLF70" s="2936"/>
      <c r="SLG70" s="2936"/>
      <c r="SLH70" s="2936"/>
      <c r="SLI70" s="2936"/>
      <c r="SLJ70" s="2936"/>
      <c r="SLK70" s="2936"/>
      <c r="SLL70" s="2936"/>
      <c r="SLM70" s="2936"/>
      <c r="SLN70" s="2936"/>
      <c r="SLO70" s="2936"/>
      <c r="SLP70" s="2936"/>
      <c r="SLQ70" s="2936"/>
      <c r="SLR70" s="2936"/>
      <c r="SLS70" s="2936"/>
      <c r="SLT70" s="2936"/>
      <c r="SLU70" s="2936"/>
      <c r="SLV70" s="2936"/>
      <c r="SLW70" s="2936"/>
      <c r="SLX70" s="2936"/>
      <c r="SLY70" s="2936"/>
      <c r="SLZ70" s="2936"/>
      <c r="SMA70" s="2936"/>
      <c r="SMB70" s="2936"/>
      <c r="SMC70" s="2936"/>
      <c r="SMD70" s="2936"/>
      <c r="SME70" s="2936"/>
      <c r="SMF70" s="2936"/>
      <c r="SMG70" s="2936"/>
      <c r="SMH70" s="2936"/>
      <c r="SMI70" s="2936"/>
      <c r="SMJ70" s="2936"/>
      <c r="SMK70" s="2936"/>
      <c r="SML70" s="2936"/>
      <c r="SMM70" s="2936"/>
      <c r="SMN70" s="2936"/>
      <c r="SMO70" s="2936"/>
      <c r="SMP70" s="2936"/>
      <c r="SMQ70" s="2936"/>
      <c r="SMR70" s="2936"/>
      <c r="SMS70" s="2936"/>
      <c r="SMT70" s="2936"/>
      <c r="SMU70" s="2936"/>
      <c r="SMV70" s="2936"/>
      <c r="SMW70" s="2936"/>
      <c r="SMX70" s="2936"/>
      <c r="SMY70" s="2936"/>
      <c r="SMZ70" s="2936"/>
      <c r="SNA70" s="2936"/>
      <c r="SNB70" s="2936"/>
      <c r="SNC70" s="2936"/>
      <c r="SND70" s="2936"/>
      <c r="SNE70" s="2936"/>
      <c r="SNF70" s="2936"/>
      <c r="SNG70" s="2936"/>
      <c r="SNH70" s="2936"/>
      <c r="SNI70" s="2936"/>
      <c r="SNJ70" s="2936"/>
      <c r="SNK70" s="2936"/>
      <c r="SNL70" s="2936"/>
      <c r="SNM70" s="2936"/>
      <c r="SNN70" s="2936"/>
      <c r="SNO70" s="2936"/>
      <c r="SNP70" s="2936"/>
      <c r="SNQ70" s="2936"/>
      <c r="SNR70" s="2936"/>
      <c r="SNS70" s="2936"/>
      <c r="SNT70" s="2936"/>
      <c r="SNU70" s="2936"/>
      <c r="SNV70" s="2936"/>
      <c r="SNW70" s="2936"/>
      <c r="SNX70" s="2936"/>
      <c r="SNY70" s="2936"/>
      <c r="SNZ70" s="2936"/>
      <c r="SOA70" s="2936"/>
      <c r="SOB70" s="2936"/>
      <c r="SOC70" s="2936"/>
      <c r="SOD70" s="2936"/>
      <c r="SOE70" s="2936"/>
      <c r="SOF70" s="2936"/>
      <c r="SOG70" s="2936"/>
      <c r="SOH70" s="2936"/>
      <c r="SOI70" s="2936"/>
      <c r="SOJ70" s="2936"/>
      <c r="SOK70" s="2936"/>
      <c r="SOL70" s="2936"/>
      <c r="SOM70" s="2936"/>
      <c r="SON70" s="2936"/>
      <c r="SOO70" s="2936"/>
      <c r="SOP70" s="2936"/>
      <c r="SOQ70" s="2936"/>
      <c r="SOR70" s="2936"/>
      <c r="SOS70" s="2936"/>
      <c r="SOT70" s="2936"/>
      <c r="SOU70" s="2936"/>
      <c r="SOV70" s="2936"/>
      <c r="SOW70" s="2936"/>
      <c r="SOX70" s="2936"/>
      <c r="SOY70" s="2936"/>
      <c r="SOZ70" s="2936"/>
      <c r="SPA70" s="2936"/>
      <c r="SPB70" s="2936"/>
      <c r="SPC70" s="2936"/>
      <c r="SPD70" s="2936"/>
      <c r="SPE70" s="2936"/>
      <c r="SPF70" s="2936"/>
      <c r="SPG70" s="2936"/>
      <c r="SPH70" s="2936"/>
      <c r="SPI70" s="2936"/>
      <c r="SPJ70" s="2936"/>
      <c r="SPK70" s="2936"/>
      <c r="SPL70" s="2936"/>
      <c r="SPM70" s="2936"/>
      <c r="SPN70" s="2936"/>
      <c r="SPO70" s="2936"/>
      <c r="SPP70" s="2936"/>
      <c r="SPQ70" s="2936"/>
      <c r="SPR70" s="2936"/>
      <c r="SPS70" s="2936"/>
      <c r="SPT70" s="2936"/>
      <c r="SPU70" s="2936"/>
      <c r="SPV70" s="2936"/>
      <c r="SPW70" s="2936"/>
      <c r="SPX70" s="2936"/>
      <c r="SPY70" s="2936"/>
      <c r="SPZ70" s="2936"/>
      <c r="SQA70" s="2936"/>
      <c r="SQB70" s="2936"/>
      <c r="SQC70" s="2936"/>
      <c r="SQD70" s="2936"/>
      <c r="SQE70" s="2936"/>
      <c r="SQF70" s="2936"/>
      <c r="SQG70" s="2936"/>
      <c r="SQH70" s="2936"/>
      <c r="SQI70" s="2936"/>
      <c r="SQJ70" s="2936"/>
      <c r="SQK70" s="2936"/>
      <c r="SQL70" s="2936"/>
      <c r="SQM70" s="2936"/>
      <c r="SQN70" s="2936"/>
      <c r="SQO70" s="2936"/>
      <c r="SQP70" s="2936"/>
      <c r="SQQ70" s="2936"/>
      <c r="SQR70" s="2936"/>
      <c r="SQS70" s="2936"/>
      <c r="SQT70" s="2936"/>
      <c r="SQU70" s="2936"/>
      <c r="SQV70" s="2936"/>
      <c r="SQW70" s="2936"/>
      <c r="SQX70" s="2936"/>
      <c r="SQY70" s="2936"/>
      <c r="SQZ70" s="2936"/>
      <c r="SRA70" s="2936"/>
      <c r="SRB70" s="2936"/>
      <c r="SRC70" s="2936"/>
      <c r="SRD70" s="2936"/>
      <c r="SRE70" s="2936"/>
      <c r="SRF70" s="2936"/>
      <c r="SRG70" s="2936"/>
      <c r="SRH70" s="2936"/>
      <c r="SRI70" s="2936"/>
      <c r="SRJ70" s="2936"/>
      <c r="SRK70" s="2936"/>
      <c r="SRL70" s="2936"/>
      <c r="SRM70" s="2936"/>
      <c r="SRN70" s="2936"/>
      <c r="SRO70" s="2936"/>
      <c r="SRP70" s="2936"/>
      <c r="SRQ70" s="2936"/>
      <c r="SRR70" s="2936"/>
      <c r="SRS70" s="2936"/>
      <c r="SRT70" s="2936"/>
      <c r="SRU70" s="2936"/>
      <c r="SRV70" s="2936"/>
      <c r="SRW70" s="2936"/>
      <c r="SRX70" s="2936"/>
      <c r="SRY70" s="2936"/>
      <c r="SRZ70" s="2936"/>
      <c r="SSA70" s="2936"/>
      <c r="SSB70" s="2936"/>
      <c r="SSC70" s="2936"/>
      <c r="SSD70" s="2936"/>
      <c r="SSE70" s="2936"/>
      <c r="SSF70" s="2936"/>
      <c r="SSG70" s="2936"/>
      <c r="SSH70" s="2936"/>
      <c r="SSI70" s="2936"/>
      <c r="SSJ70" s="2936"/>
      <c r="SSK70" s="2936"/>
      <c r="SSL70" s="2936"/>
      <c r="SSM70" s="2936"/>
      <c r="SSN70" s="2936"/>
      <c r="SSO70" s="2936"/>
      <c r="SSP70" s="2936"/>
      <c r="SSQ70" s="2936"/>
      <c r="SSR70" s="2936"/>
      <c r="SSS70" s="2936"/>
      <c r="SST70" s="2936"/>
      <c r="SSU70" s="2936"/>
      <c r="SSV70" s="2936"/>
      <c r="SSW70" s="2936"/>
      <c r="SSX70" s="2936"/>
      <c r="SSY70" s="2936"/>
      <c r="SSZ70" s="2936"/>
      <c r="STA70" s="2936"/>
      <c r="STB70" s="2936"/>
      <c r="STC70" s="2936"/>
      <c r="STD70" s="2936"/>
      <c r="STE70" s="2936"/>
      <c r="STF70" s="2936"/>
      <c r="STG70" s="2936"/>
      <c r="STH70" s="2936"/>
      <c r="STI70" s="2936"/>
      <c r="STJ70" s="2936"/>
      <c r="STK70" s="2936"/>
      <c r="STL70" s="2936"/>
      <c r="STM70" s="2936"/>
      <c r="STN70" s="2936"/>
      <c r="STO70" s="2936"/>
      <c r="STP70" s="2936"/>
      <c r="STQ70" s="2936"/>
      <c r="STR70" s="2936"/>
      <c r="STS70" s="2936"/>
      <c r="STT70" s="2936"/>
      <c r="STU70" s="2936"/>
      <c r="STV70" s="2936"/>
      <c r="STW70" s="2936"/>
      <c r="STX70" s="2936"/>
      <c r="STY70" s="2936"/>
      <c r="STZ70" s="2936"/>
      <c r="SUA70" s="2936"/>
      <c r="SUB70" s="2936"/>
      <c r="SUC70" s="2936"/>
      <c r="SUD70" s="2936"/>
      <c r="SUE70" s="2936"/>
      <c r="SUF70" s="2936"/>
      <c r="SUG70" s="2936"/>
      <c r="SUH70" s="2936"/>
      <c r="SUI70" s="2936"/>
      <c r="SUJ70" s="2936"/>
      <c r="SUK70" s="2936"/>
      <c r="SUL70" s="2936"/>
      <c r="SUM70" s="2936"/>
      <c r="SUN70" s="2936"/>
      <c r="SUO70" s="2936"/>
      <c r="SUP70" s="2936"/>
      <c r="SUQ70" s="2936"/>
      <c r="SUR70" s="2936"/>
      <c r="SUS70" s="2936"/>
      <c r="SUT70" s="2936"/>
      <c r="SUU70" s="2936"/>
      <c r="SUV70" s="2936"/>
      <c r="SUW70" s="2936"/>
      <c r="SUX70" s="2936"/>
      <c r="SUY70" s="2936"/>
      <c r="SUZ70" s="2936"/>
      <c r="SVA70" s="2936"/>
      <c r="SVB70" s="2936"/>
      <c r="SVC70" s="2936"/>
      <c r="SVD70" s="2936"/>
      <c r="SVE70" s="2936"/>
      <c r="SVF70" s="2936"/>
      <c r="SVG70" s="2936"/>
      <c r="SVH70" s="2936"/>
      <c r="SVI70" s="2936"/>
      <c r="SVJ70" s="2936"/>
      <c r="SVK70" s="2936"/>
      <c r="SVL70" s="2936"/>
      <c r="SVM70" s="2936"/>
      <c r="SVN70" s="2936"/>
      <c r="SVO70" s="2936"/>
      <c r="SVP70" s="2936"/>
      <c r="SVQ70" s="2936"/>
      <c r="SVR70" s="2936"/>
      <c r="SVS70" s="2936"/>
      <c r="SVT70" s="2936"/>
      <c r="SVU70" s="2936"/>
      <c r="SVV70" s="2936"/>
      <c r="SVW70" s="2936"/>
      <c r="SVX70" s="2936"/>
      <c r="SVY70" s="2936"/>
      <c r="SVZ70" s="2936"/>
      <c r="SWA70" s="2936"/>
      <c r="SWB70" s="2936"/>
      <c r="SWC70" s="2936"/>
      <c r="SWD70" s="2936"/>
      <c r="SWE70" s="2936"/>
      <c r="SWF70" s="2936"/>
      <c r="SWG70" s="2936"/>
      <c r="SWH70" s="2936"/>
      <c r="SWI70" s="2936"/>
      <c r="SWJ70" s="2936"/>
      <c r="SWK70" s="2936"/>
      <c r="SWL70" s="2936"/>
      <c r="SWM70" s="2936"/>
      <c r="SWN70" s="2936"/>
      <c r="SWO70" s="2936"/>
      <c r="SWP70" s="2936"/>
      <c r="SWQ70" s="2936"/>
      <c r="SWR70" s="2936"/>
      <c r="SWS70" s="2936"/>
      <c r="SWT70" s="2936"/>
      <c r="SWU70" s="2936"/>
      <c r="SWV70" s="2936"/>
      <c r="SWW70" s="2936"/>
      <c r="SWX70" s="2936"/>
      <c r="SWY70" s="2936"/>
      <c r="SWZ70" s="2936"/>
      <c r="SXA70" s="2936"/>
      <c r="SXB70" s="2936"/>
      <c r="SXC70" s="2936"/>
      <c r="SXD70" s="2936"/>
      <c r="SXE70" s="2936"/>
      <c r="SXF70" s="2936"/>
      <c r="SXG70" s="2936"/>
      <c r="SXH70" s="2936"/>
      <c r="SXI70" s="2936"/>
      <c r="SXJ70" s="2936"/>
      <c r="SXK70" s="2936"/>
      <c r="SXL70" s="2936"/>
      <c r="SXM70" s="2936"/>
      <c r="SXN70" s="2936"/>
      <c r="SXO70" s="2936"/>
      <c r="SXP70" s="2936"/>
      <c r="SXQ70" s="2936"/>
      <c r="SXR70" s="2936"/>
      <c r="SXS70" s="2936"/>
      <c r="SXT70" s="2936"/>
      <c r="SXU70" s="2936"/>
      <c r="SXV70" s="2936"/>
      <c r="SXW70" s="2936"/>
      <c r="SXX70" s="2936"/>
      <c r="SXY70" s="2936"/>
      <c r="SXZ70" s="2936"/>
      <c r="SYA70" s="2936"/>
      <c r="SYB70" s="2936"/>
      <c r="SYC70" s="2936"/>
      <c r="SYD70" s="2936"/>
      <c r="SYE70" s="2936"/>
      <c r="SYF70" s="2936"/>
      <c r="SYG70" s="2936"/>
      <c r="SYH70" s="2936"/>
      <c r="SYI70" s="2936"/>
      <c r="SYJ70" s="2936"/>
      <c r="SYK70" s="2936"/>
      <c r="SYL70" s="2936"/>
      <c r="SYM70" s="2936"/>
      <c r="SYN70" s="2936"/>
      <c r="SYO70" s="2936"/>
      <c r="SYP70" s="2936"/>
      <c r="SYQ70" s="2936"/>
      <c r="SYR70" s="2936"/>
      <c r="SYS70" s="2936"/>
      <c r="SYT70" s="2936"/>
      <c r="SYU70" s="2936"/>
      <c r="SYV70" s="2936"/>
      <c r="SYW70" s="2936"/>
      <c r="SYX70" s="2936"/>
      <c r="SYY70" s="2936"/>
      <c r="SYZ70" s="2936"/>
      <c r="SZA70" s="2936"/>
      <c r="SZB70" s="2936"/>
      <c r="SZC70" s="2936"/>
      <c r="SZD70" s="2936"/>
      <c r="SZE70" s="2936"/>
      <c r="SZF70" s="2936"/>
      <c r="SZG70" s="2936"/>
      <c r="SZH70" s="2936"/>
      <c r="SZI70" s="2936"/>
      <c r="SZJ70" s="2936"/>
      <c r="SZK70" s="2936"/>
      <c r="SZL70" s="2936"/>
      <c r="SZM70" s="2936"/>
      <c r="SZN70" s="2936"/>
      <c r="SZO70" s="2936"/>
      <c r="SZP70" s="2936"/>
      <c r="SZQ70" s="2936"/>
      <c r="SZR70" s="2936"/>
      <c r="SZS70" s="2936"/>
      <c r="SZT70" s="2936"/>
      <c r="SZU70" s="2936"/>
      <c r="SZV70" s="2936"/>
      <c r="SZW70" s="2936"/>
      <c r="SZX70" s="2936"/>
      <c r="SZY70" s="2936"/>
      <c r="SZZ70" s="2936"/>
      <c r="TAA70" s="2936"/>
      <c r="TAB70" s="2936"/>
      <c r="TAC70" s="2936"/>
      <c r="TAD70" s="2936"/>
      <c r="TAE70" s="2936"/>
      <c r="TAF70" s="2936"/>
      <c r="TAG70" s="2936"/>
      <c r="TAH70" s="2936"/>
      <c r="TAI70" s="2936"/>
      <c r="TAJ70" s="2936"/>
      <c r="TAK70" s="2936"/>
      <c r="TAL70" s="2936"/>
      <c r="TAM70" s="2936"/>
      <c r="TAN70" s="2936"/>
      <c r="TAO70" s="2936"/>
      <c r="TAP70" s="2936"/>
      <c r="TAQ70" s="2936"/>
      <c r="TAR70" s="2936"/>
      <c r="TAS70" s="2936"/>
      <c r="TAT70" s="2936"/>
      <c r="TAU70" s="2936"/>
      <c r="TAV70" s="2936"/>
      <c r="TAW70" s="2936"/>
      <c r="TAX70" s="2936"/>
      <c r="TAY70" s="2936"/>
      <c r="TAZ70" s="2936"/>
      <c r="TBA70" s="2936"/>
      <c r="TBB70" s="2936"/>
      <c r="TBC70" s="2936"/>
      <c r="TBD70" s="2936"/>
      <c r="TBE70" s="2936"/>
      <c r="TBF70" s="2936"/>
      <c r="TBG70" s="2936"/>
      <c r="TBH70" s="2936"/>
      <c r="TBI70" s="2936"/>
      <c r="TBJ70" s="2936"/>
      <c r="TBK70" s="2936"/>
      <c r="TBL70" s="2936"/>
      <c r="TBM70" s="2936"/>
      <c r="TBN70" s="2936"/>
      <c r="TBO70" s="2936"/>
      <c r="TBP70" s="2936"/>
      <c r="TBQ70" s="2936"/>
      <c r="TBR70" s="2936"/>
      <c r="TBS70" s="2936"/>
      <c r="TBT70" s="2936"/>
      <c r="TBU70" s="2936"/>
      <c r="TBV70" s="2936"/>
      <c r="TBW70" s="2936"/>
      <c r="TBX70" s="2936"/>
      <c r="TBY70" s="2936"/>
      <c r="TBZ70" s="2936"/>
      <c r="TCA70" s="2936"/>
      <c r="TCB70" s="2936"/>
      <c r="TCC70" s="2936"/>
      <c r="TCD70" s="2936"/>
      <c r="TCE70" s="2936"/>
      <c r="TCF70" s="2936"/>
      <c r="TCG70" s="2936"/>
      <c r="TCH70" s="2936"/>
      <c r="TCI70" s="2936"/>
      <c r="TCJ70" s="2936"/>
      <c r="TCK70" s="2936"/>
      <c r="TCL70" s="2936"/>
      <c r="TCM70" s="2936"/>
      <c r="TCN70" s="2936"/>
      <c r="TCO70" s="2936"/>
      <c r="TCP70" s="2936"/>
      <c r="TCQ70" s="2936"/>
      <c r="TCR70" s="2936"/>
      <c r="TCS70" s="2936"/>
      <c r="TCT70" s="2936"/>
      <c r="TCU70" s="2936"/>
      <c r="TCV70" s="2936"/>
      <c r="TCW70" s="2936"/>
      <c r="TCX70" s="2936"/>
      <c r="TCY70" s="2936"/>
      <c r="TCZ70" s="2936"/>
      <c r="TDA70" s="2936"/>
      <c r="TDB70" s="2936"/>
      <c r="TDC70" s="2936"/>
      <c r="TDD70" s="2936"/>
      <c r="TDE70" s="2936"/>
      <c r="TDF70" s="2936"/>
      <c r="TDG70" s="2936"/>
      <c r="TDH70" s="2936"/>
      <c r="TDI70" s="2936"/>
      <c r="TDJ70" s="2936"/>
      <c r="TDK70" s="2936"/>
      <c r="TDL70" s="2936"/>
      <c r="TDM70" s="2936"/>
      <c r="TDN70" s="2936"/>
      <c r="TDO70" s="2936"/>
      <c r="TDP70" s="2936"/>
      <c r="TDQ70" s="2936"/>
      <c r="TDR70" s="2936"/>
      <c r="TDS70" s="2936"/>
      <c r="TDT70" s="2936"/>
      <c r="TDU70" s="2936"/>
      <c r="TDV70" s="2936"/>
      <c r="TDW70" s="2936"/>
      <c r="TDX70" s="2936"/>
      <c r="TDY70" s="2936"/>
      <c r="TDZ70" s="2936"/>
      <c r="TEA70" s="2936"/>
      <c r="TEB70" s="2936"/>
      <c r="TEC70" s="2936"/>
      <c r="TED70" s="2936"/>
      <c r="TEE70" s="2936"/>
      <c r="TEF70" s="2936"/>
      <c r="TEG70" s="2936"/>
      <c r="TEH70" s="2936"/>
      <c r="TEI70" s="2936"/>
      <c r="TEJ70" s="2936"/>
      <c r="TEK70" s="2936"/>
      <c r="TEL70" s="2936"/>
      <c r="TEM70" s="2936"/>
      <c r="TEN70" s="2936"/>
      <c r="TEO70" s="2936"/>
      <c r="TEP70" s="2936"/>
      <c r="TEQ70" s="2936"/>
      <c r="TER70" s="2936"/>
      <c r="TES70" s="2936"/>
      <c r="TET70" s="2936"/>
      <c r="TEU70" s="2936"/>
      <c r="TEV70" s="2936"/>
      <c r="TEW70" s="2936"/>
      <c r="TEX70" s="2936"/>
      <c r="TEY70" s="2936"/>
      <c r="TEZ70" s="2936"/>
      <c r="TFA70" s="2936"/>
      <c r="TFB70" s="2936"/>
      <c r="TFC70" s="2936"/>
      <c r="TFD70" s="2936"/>
      <c r="TFE70" s="2936"/>
      <c r="TFF70" s="2936"/>
      <c r="TFG70" s="2936"/>
      <c r="TFH70" s="2936"/>
      <c r="TFI70" s="2936"/>
      <c r="TFJ70" s="2936"/>
      <c r="TFK70" s="2936"/>
      <c r="TFL70" s="2936"/>
      <c r="TFM70" s="2936"/>
      <c r="TFN70" s="2936"/>
      <c r="TFO70" s="2936"/>
      <c r="TFP70" s="2936"/>
      <c r="TFQ70" s="2936"/>
      <c r="TFR70" s="2936"/>
      <c r="TFS70" s="2936"/>
      <c r="TFT70" s="2936"/>
      <c r="TFU70" s="2936"/>
      <c r="TFV70" s="2936"/>
      <c r="TFW70" s="2936"/>
      <c r="TFX70" s="2936"/>
      <c r="TFY70" s="2936"/>
      <c r="TFZ70" s="2936"/>
      <c r="TGA70" s="2936"/>
      <c r="TGB70" s="2936"/>
      <c r="TGC70" s="2936"/>
      <c r="TGD70" s="2936"/>
      <c r="TGE70" s="2936"/>
      <c r="TGF70" s="2936"/>
      <c r="TGG70" s="2936"/>
      <c r="TGH70" s="2936"/>
      <c r="TGI70" s="2936"/>
      <c r="TGJ70" s="2936"/>
      <c r="TGK70" s="2936"/>
      <c r="TGL70" s="2936"/>
      <c r="TGM70" s="2936"/>
      <c r="TGN70" s="2936"/>
      <c r="TGO70" s="2936"/>
      <c r="TGP70" s="2936"/>
      <c r="TGQ70" s="2936"/>
      <c r="TGR70" s="2936"/>
      <c r="TGS70" s="2936"/>
      <c r="TGT70" s="2936"/>
      <c r="TGU70" s="2936"/>
      <c r="TGV70" s="2936"/>
      <c r="TGW70" s="2936"/>
      <c r="TGX70" s="2936"/>
      <c r="TGY70" s="2936"/>
      <c r="TGZ70" s="2936"/>
      <c r="THA70" s="2936"/>
      <c r="THB70" s="2936"/>
      <c r="THC70" s="2936"/>
      <c r="THD70" s="2936"/>
      <c r="THE70" s="2936"/>
      <c r="THF70" s="2936"/>
      <c r="THG70" s="2936"/>
      <c r="THH70" s="2936"/>
      <c r="THI70" s="2936"/>
      <c r="THJ70" s="2936"/>
      <c r="THK70" s="2936"/>
      <c r="THL70" s="2936"/>
      <c r="THM70" s="2936"/>
      <c r="THN70" s="2936"/>
      <c r="THO70" s="2936"/>
      <c r="THP70" s="2936"/>
      <c r="THQ70" s="2936"/>
      <c r="THR70" s="2936"/>
      <c r="THS70" s="2936"/>
      <c r="THT70" s="2936"/>
      <c r="THU70" s="2936"/>
      <c r="THV70" s="2936"/>
      <c r="THW70" s="2936"/>
      <c r="THX70" s="2936"/>
      <c r="THY70" s="2936"/>
      <c r="THZ70" s="2936"/>
      <c r="TIA70" s="2936"/>
      <c r="TIB70" s="2936"/>
      <c r="TIC70" s="2936"/>
      <c r="TID70" s="2936"/>
      <c r="TIE70" s="2936"/>
      <c r="TIF70" s="2936"/>
      <c r="TIG70" s="2936"/>
      <c r="TIH70" s="2936"/>
      <c r="TII70" s="2936"/>
      <c r="TIJ70" s="2936"/>
      <c r="TIK70" s="2936"/>
      <c r="TIL70" s="2936"/>
      <c r="TIM70" s="2936"/>
      <c r="TIN70" s="2936"/>
      <c r="TIO70" s="2936"/>
      <c r="TIP70" s="2936"/>
      <c r="TIQ70" s="2936"/>
      <c r="TIR70" s="2936"/>
      <c r="TIS70" s="2936"/>
      <c r="TIT70" s="2936"/>
      <c r="TIU70" s="2936"/>
      <c r="TIV70" s="2936"/>
      <c r="TIW70" s="2936"/>
      <c r="TIX70" s="2936"/>
      <c r="TIY70" s="2936"/>
      <c r="TIZ70" s="2936"/>
      <c r="TJA70" s="2936"/>
      <c r="TJB70" s="2936"/>
      <c r="TJC70" s="2936"/>
      <c r="TJD70" s="2936"/>
      <c r="TJE70" s="2936"/>
      <c r="TJF70" s="2936"/>
      <c r="TJG70" s="2936"/>
      <c r="TJH70" s="2936"/>
      <c r="TJI70" s="2936"/>
      <c r="TJJ70" s="2936"/>
      <c r="TJK70" s="2936"/>
      <c r="TJL70" s="2936"/>
      <c r="TJM70" s="2936"/>
      <c r="TJN70" s="2936"/>
      <c r="TJO70" s="2936"/>
      <c r="TJP70" s="2936"/>
      <c r="TJQ70" s="2936"/>
      <c r="TJR70" s="2936"/>
      <c r="TJS70" s="2936"/>
      <c r="TJT70" s="2936"/>
      <c r="TJU70" s="2936"/>
      <c r="TJV70" s="2936"/>
      <c r="TJW70" s="2936"/>
      <c r="TJX70" s="2936"/>
      <c r="TJY70" s="2936"/>
      <c r="TJZ70" s="2936"/>
      <c r="TKA70" s="2936"/>
      <c r="TKB70" s="2936"/>
      <c r="TKC70" s="2936"/>
      <c r="TKD70" s="2936"/>
      <c r="TKE70" s="2936"/>
      <c r="TKF70" s="2936"/>
      <c r="TKG70" s="2936"/>
      <c r="TKH70" s="2936"/>
      <c r="TKI70" s="2936"/>
      <c r="TKJ70" s="2936"/>
      <c r="TKK70" s="2936"/>
      <c r="TKL70" s="2936"/>
      <c r="TKM70" s="2936"/>
      <c r="TKN70" s="2936"/>
      <c r="TKO70" s="2936"/>
      <c r="TKP70" s="2936"/>
      <c r="TKQ70" s="2936"/>
      <c r="TKR70" s="2936"/>
      <c r="TKS70" s="2936"/>
      <c r="TKT70" s="2936"/>
      <c r="TKU70" s="2936"/>
      <c r="TKV70" s="2936"/>
      <c r="TKW70" s="2936"/>
      <c r="TKX70" s="2936"/>
      <c r="TKY70" s="2936"/>
      <c r="TKZ70" s="2936"/>
      <c r="TLA70" s="2936"/>
      <c r="TLB70" s="2936"/>
      <c r="TLC70" s="2936"/>
      <c r="TLD70" s="2936"/>
      <c r="TLE70" s="2936"/>
      <c r="TLF70" s="2936"/>
      <c r="TLG70" s="2936"/>
      <c r="TLH70" s="2936"/>
      <c r="TLI70" s="2936"/>
      <c r="TLJ70" s="2936"/>
      <c r="TLK70" s="2936"/>
      <c r="TLL70" s="2936"/>
      <c r="TLM70" s="2936"/>
      <c r="TLN70" s="2936"/>
      <c r="TLO70" s="2936"/>
      <c r="TLP70" s="2936"/>
      <c r="TLQ70" s="2936"/>
      <c r="TLR70" s="2936"/>
      <c r="TLS70" s="2936"/>
      <c r="TLT70" s="2936"/>
      <c r="TLU70" s="2936"/>
      <c r="TLV70" s="2936"/>
      <c r="TLW70" s="2936"/>
      <c r="TLX70" s="2936"/>
      <c r="TLY70" s="2936"/>
      <c r="TLZ70" s="2936"/>
      <c r="TMA70" s="2936"/>
      <c r="TMB70" s="2936"/>
      <c r="TMC70" s="2936"/>
      <c r="TMD70" s="2936"/>
      <c r="TME70" s="2936"/>
      <c r="TMF70" s="2936"/>
      <c r="TMG70" s="2936"/>
      <c r="TMH70" s="2936"/>
      <c r="TMI70" s="2936"/>
      <c r="TMJ70" s="2936"/>
      <c r="TMK70" s="2936"/>
      <c r="TML70" s="2936"/>
      <c r="TMM70" s="2936"/>
      <c r="TMN70" s="2936"/>
      <c r="TMO70" s="2936"/>
      <c r="TMP70" s="2936"/>
      <c r="TMQ70" s="2936"/>
      <c r="TMR70" s="2936"/>
      <c r="TMS70" s="2936"/>
      <c r="TMT70" s="2936"/>
      <c r="TMU70" s="2936"/>
      <c r="TMV70" s="2936"/>
      <c r="TMW70" s="2936"/>
      <c r="TMX70" s="2936"/>
      <c r="TMY70" s="2936"/>
      <c r="TMZ70" s="2936"/>
      <c r="TNA70" s="2936"/>
      <c r="TNB70" s="2936"/>
      <c r="TNC70" s="2936"/>
      <c r="TND70" s="2936"/>
      <c r="TNE70" s="2936"/>
      <c r="TNF70" s="2936"/>
      <c r="TNG70" s="2936"/>
      <c r="TNH70" s="2936"/>
      <c r="TNI70" s="2936"/>
      <c r="TNJ70" s="2936"/>
      <c r="TNK70" s="2936"/>
      <c r="TNL70" s="2936"/>
      <c r="TNM70" s="2936"/>
      <c r="TNN70" s="2936"/>
      <c r="TNO70" s="2936"/>
      <c r="TNP70" s="2936"/>
      <c r="TNQ70" s="2936"/>
      <c r="TNR70" s="2936"/>
      <c r="TNS70" s="2936"/>
      <c r="TNT70" s="2936"/>
      <c r="TNU70" s="2936"/>
      <c r="TNV70" s="2936"/>
      <c r="TNW70" s="2936"/>
      <c r="TNX70" s="2936"/>
      <c r="TNY70" s="2936"/>
      <c r="TNZ70" s="2936"/>
      <c r="TOA70" s="2936"/>
      <c r="TOB70" s="2936"/>
      <c r="TOC70" s="2936"/>
      <c r="TOD70" s="2936"/>
      <c r="TOE70" s="2936"/>
      <c r="TOF70" s="2936"/>
      <c r="TOG70" s="2936"/>
      <c r="TOH70" s="2936"/>
      <c r="TOI70" s="2936"/>
      <c r="TOJ70" s="2936"/>
      <c r="TOK70" s="2936"/>
      <c r="TOL70" s="2936"/>
      <c r="TOM70" s="2936"/>
      <c r="TON70" s="2936"/>
      <c r="TOO70" s="2936"/>
      <c r="TOP70" s="2936"/>
      <c r="TOQ70" s="2936"/>
      <c r="TOR70" s="2936"/>
      <c r="TOS70" s="2936"/>
      <c r="TOT70" s="2936"/>
      <c r="TOU70" s="2936"/>
      <c r="TOV70" s="2936"/>
      <c r="TOW70" s="2936"/>
      <c r="TOX70" s="2936"/>
      <c r="TOY70" s="2936"/>
      <c r="TOZ70" s="2936"/>
      <c r="TPA70" s="2936"/>
      <c r="TPB70" s="2936"/>
      <c r="TPC70" s="2936"/>
      <c r="TPD70" s="2936"/>
      <c r="TPE70" s="2936"/>
      <c r="TPF70" s="2936"/>
      <c r="TPG70" s="2936"/>
      <c r="TPH70" s="2936"/>
      <c r="TPI70" s="2936"/>
      <c r="TPJ70" s="2936"/>
      <c r="TPK70" s="2936"/>
      <c r="TPL70" s="2936"/>
      <c r="TPM70" s="2936"/>
      <c r="TPN70" s="2936"/>
      <c r="TPO70" s="2936"/>
      <c r="TPP70" s="2936"/>
      <c r="TPQ70" s="2936"/>
      <c r="TPR70" s="2936"/>
      <c r="TPS70" s="2936"/>
      <c r="TPT70" s="2936"/>
      <c r="TPU70" s="2936"/>
      <c r="TPV70" s="2936"/>
      <c r="TPW70" s="2936"/>
      <c r="TPX70" s="2936"/>
      <c r="TPY70" s="2936"/>
      <c r="TPZ70" s="2936"/>
      <c r="TQA70" s="2936"/>
      <c r="TQB70" s="2936"/>
      <c r="TQC70" s="2936"/>
      <c r="TQD70" s="2936"/>
      <c r="TQE70" s="2936"/>
      <c r="TQF70" s="2936"/>
      <c r="TQG70" s="2936"/>
      <c r="TQH70" s="2936"/>
      <c r="TQI70" s="2936"/>
      <c r="TQJ70" s="2936"/>
      <c r="TQK70" s="2936"/>
      <c r="TQL70" s="2936"/>
      <c r="TQM70" s="2936"/>
      <c r="TQN70" s="2936"/>
      <c r="TQO70" s="2936"/>
      <c r="TQP70" s="2936"/>
      <c r="TQQ70" s="2936"/>
      <c r="TQR70" s="2936"/>
      <c r="TQS70" s="2936"/>
      <c r="TQT70" s="2936"/>
      <c r="TQU70" s="2936"/>
      <c r="TQV70" s="2936"/>
      <c r="TQW70" s="2936"/>
      <c r="TQX70" s="2936"/>
      <c r="TQY70" s="2936"/>
      <c r="TQZ70" s="2936"/>
      <c r="TRA70" s="2936"/>
      <c r="TRB70" s="2936"/>
      <c r="TRC70" s="2936"/>
      <c r="TRD70" s="2936"/>
      <c r="TRE70" s="2936"/>
      <c r="TRF70" s="2936"/>
      <c r="TRG70" s="2936"/>
      <c r="TRH70" s="2936"/>
      <c r="TRI70" s="2936"/>
      <c r="TRJ70" s="2936"/>
      <c r="TRK70" s="2936"/>
      <c r="TRL70" s="2936"/>
      <c r="TRM70" s="2936"/>
      <c r="TRN70" s="2936"/>
      <c r="TRO70" s="2936"/>
      <c r="TRP70" s="2936"/>
      <c r="TRQ70" s="2936"/>
      <c r="TRR70" s="2936"/>
      <c r="TRS70" s="2936"/>
      <c r="TRT70" s="2936"/>
      <c r="TRU70" s="2936"/>
      <c r="TRV70" s="2936"/>
      <c r="TRW70" s="2936"/>
      <c r="TRX70" s="2936"/>
      <c r="TRY70" s="2936"/>
      <c r="TRZ70" s="2936"/>
      <c r="TSA70" s="2936"/>
      <c r="TSB70" s="2936"/>
      <c r="TSC70" s="2936"/>
      <c r="TSD70" s="2936"/>
      <c r="TSE70" s="2936"/>
      <c r="TSF70" s="2936"/>
      <c r="TSG70" s="2936"/>
      <c r="TSH70" s="2936"/>
      <c r="TSI70" s="2936"/>
      <c r="TSJ70" s="2936"/>
      <c r="TSK70" s="2936"/>
      <c r="TSL70" s="2936"/>
      <c r="TSM70" s="2936"/>
      <c r="TSN70" s="2936"/>
      <c r="TSO70" s="2936"/>
      <c r="TSP70" s="2936"/>
      <c r="TSQ70" s="2936"/>
      <c r="TSR70" s="2936"/>
      <c r="TSS70" s="2936"/>
      <c r="TST70" s="2936"/>
      <c r="TSU70" s="2936"/>
      <c r="TSV70" s="2936"/>
      <c r="TSW70" s="2936"/>
      <c r="TSX70" s="2936"/>
      <c r="TSY70" s="2936"/>
      <c r="TSZ70" s="2936"/>
      <c r="TTA70" s="2936"/>
      <c r="TTB70" s="2936"/>
      <c r="TTC70" s="2936"/>
      <c r="TTD70" s="2936"/>
      <c r="TTE70" s="2936"/>
      <c r="TTF70" s="2936"/>
      <c r="TTG70" s="2936"/>
      <c r="TTH70" s="2936"/>
      <c r="TTI70" s="2936"/>
      <c r="TTJ70" s="2936"/>
      <c r="TTK70" s="2936"/>
      <c r="TTL70" s="2936"/>
      <c r="TTM70" s="2936"/>
      <c r="TTN70" s="2936"/>
      <c r="TTO70" s="2936"/>
      <c r="TTP70" s="2936"/>
      <c r="TTQ70" s="2936"/>
      <c r="TTR70" s="2936"/>
      <c r="TTS70" s="2936"/>
      <c r="TTT70" s="2936"/>
      <c r="TTU70" s="2936"/>
      <c r="TTV70" s="2936"/>
      <c r="TTW70" s="2936"/>
      <c r="TTX70" s="2936"/>
      <c r="TTY70" s="2936"/>
      <c r="TTZ70" s="2936"/>
      <c r="TUA70" s="2936"/>
      <c r="TUB70" s="2936"/>
      <c r="TUC70" s="2936"/>
      <c r="TUD70" s="2936"/>
      <c r="TUE70" s="2936"/>
      <c r="TUF70" s="2936"/>
      <c r="TUG70" s="2936"/>
      <c r="TUH70" s="2936"/>
      <c r="TUI70" s="2936"/>
      <c r="TUJ70" s="2936"/>
      <c r="TUK70" s="2936"/>
      <c r="TUL70" s="2936"/>
      <c r="TUM70" s="2936"/>
      <c r="TUN70" s="2936"/>
      <c r="TUO70" s="2936"/>
      <c r="TUP70" s="2936"/>
      <c r="TUQ70" s="2936"/>
      <c r="TUR70" s="2936"/>
      <c r="TUS70" s="2936"/>
      <c r="TUT70" s="2936"/>
      <c r="TUU70" s="2936"/>
      <c r="TUV70" s="2936"/>
      <c r="TUW70" s="2936"/>
      <c r="TUX70" s="2936"/>
      <c r="TUY70" s="2936"/>
      <c r="TUZ70" s="2936"/>
      <c r="TVA70" s="2936"/>
      <c r="TVB70" s="2936"/>
      <c r="TVC70" s="2936"/>
      <c r="TVD70" s="2936"/>
      <c r="TVE70" s="2936"/>
      <c r="TVF70" s="2936"/>
      <c r="TVG70" s="2936"/>
      <c r="TVH70" s="2936"/>
      <c r="TVI70" s="2936"/>
      <c r="TVJ70" s="2936"/>
      <c r="TVK70" s="2936"/>
      <c r="TVL70" s="2936"/>
      <c r="TVM70" s="2936"/>
      <c r="TVN70" s="2936"/>
      <c r="TVO70" s="2936"/>
      <c r="TVP70" s="2936"/>
      <c r="TVQ70" s="2936"/>
      <c r="TVR70" s="2936"/>
      <c r="TVS70" s="2936"/>
      <c r="TVT70" s="2936"/>
      <c r="TVU70" s="2936"/>
      <c r="TVV70" s="2936"/>
      <c r="TVW70" s="2936"/>
      <c r="TVX70" s="2936"/>
      <c r="TVY70" s="2936"/>
      <c r="TVZ70" s="2936"/>
      <c r="TWA70" s="2936"/>
      <c r="TWB70" s="2936"/>
      <c r="TWC70" s="2936"/>
      <c r="TWD70" s="2936"/>
      <c r="TWE70" s="2936"/>
      <c r="TWF70" s="2936"/>
      <c r="TWG70" s="2936"/>
      <c r="TWH70" s="2936"/>
      <c r="TWI70" s="2936"/>
      <c r="TWJ70" s="2936"/>
      <c r="TWK70" s="2936"/>
      <c r="TWL70" s="2936"/>
      <c r="TWM70" s="2936"/>
      <c r="TWN70" s="2936"/>
      <c r="TWO70" s="2936"/>
      <c r="TWP70" s="2936"/>
      <c r="TWQ70" s="2936"/>
      <c r="TWR70" s="2936"/>
      <c r="TWS70" s="2936"/>
      <c r="TWT70" s="2936"/>
      <c r="TWU70" s="2936"/>
      <c r="TWV70" s="2936"/>
      <c r="TWW70" s="2936"/>
      <c r="TWX70" s="2936"/>
      <c r="TWY70" s="2936"/>
      <c r="TWZ70" s="2936"/>
      <c r="TXA70" s="2936"/>
      <c r="TXB70" s="2936"/>
      <c r="TXC70" s="2936"/>
      <c r="TXD70" s="2936"/>
      <c r="TXE70" s="2936"/>
      <c r="TXF70" s="2936"/>
      <c r="TXG70" s="2936"/>
      <c r="TXH70" s="2936"/>
      <c r="TXI70" s="2936"/>
      <c r="TXJ70" s="2936"/>
      <c r="TXK70" s="2936"/>
      <c r="TXL70" s="2936"/>
      <c r="TXM70" s="2936"/>
      <c r="TXN70" s="2936"/>
      <c r="TXO70" s="2936"/>
      <c r="TXP70" s="2936"/>
      <c r="TXQ70" s="2936"/>
      <c r="TXR70" s="2936"/>
      <c r="TXS70" s="2936"/>
      <c r="TXT70" s="2936"/>
      <c r="TXU70" s="2936"/>
      <c r="TXV70" s="2936"/>
      <c r="TXW70" s="2936"/>
      <c r="TXX70" s="2936"/>
      <c r="TXY70" s="2936"/>
      <c r="TXZ70" s="2936"/>
      <c r="TYA70" s="2936"/>
      <c r="TYB70" s="2936"/>
      <c r="TYC70" s="2936"/>
      <c r="TYD70" s="2936"/>
      <c r="TYE70" s="2936"/>
      <c r="TYF70" s="2936"/>
      <c r="TYG70" s="2936"/>
      <c r="TYH70" s="2936"/>
      <c r="TYI70" s="2936"/>
      <c r="TYJ70" s="2936"/>
      <c r="TYK70" s="2936"/>
      <c r="TYL70" s="2936"/>
      <c r="TYM70" s="2936"/>
      <c r="TYN70" s="2936"/>
      <c r="TYO70" s="2936"/>
      <c r="TYP70" s="2936"/>
      <c r="TYQ70" s="2936"/>
      <c r="TYR70" s="2936"/>
      <c r="TYS70" s="2936"/>
      <c r="TYT70" s="2936"/>
      <c r="TYU70" s="2936"/>
      <c r="TYV70" s="2936"/>
      <c r="TYW70" s="2936"/>
      <c r="TYX70" s="2936"/>
      <c r="TYY70" s="2936"/>
      <c r="TYZ70" s="2936"/>
      <c r="TZA70" s="2936"/>
      <c r="TZB70" s="2936"/>
      <c r="TZC70" s="2936"/>
      <c r="TZD70" s="2936"/>
      <c r="TZE70" s="2936"/>
      <c r="TZF70" s="2936"/>
      <c r="TZG70" s="2936"/>
      <c r="TZH70" s="2936"/>
      <c r="TZI70" s="2936"/>
      <c r="TZJ70" s="2936"/>
      <c r="TZK70" s="2936"/>
      <c r="TZL70" s="2936"/>
      <c r="TZM70" s="2936"/>
      <c r="TZN70" s="2936"/>
      <c r="TZO70" s="2936"/>
      <c r="TZP70" s="2936"/>
      <c r="TZQ70" s="2936"/>
      <c r="TZR70" s="2936"/>
      <c r="TZS70" s="2936"/>
      <c r="TZT70" s="2936"/>
      <c r="TZU70" s="2936"/>
      <c r="TZV70" s="2936"/>
      <c r="TZW70" s="2936"/>
      <c r="TZX70" s="2936"/>
      <c r="TZY70" s="2936"/>
      <c r="TZZ70" s="2936"/>
      <c r="UAA70" s="2936"/>
      <c r="UAB70" s="2936"/>
      <c r="UAC70" s="2936"/>
      <c r="UAD70" s="2936"/>
      <c r="UAE70" s="2936"/>
      <c r="UAF70" s="2936"/>
      <c r="UAG70" s="2936"/>
      <c r="UAH70" s="2936"/>
      <c r="UAI70" s="2936"/>
      <c r="UAJ70" s="2936"/>
      <c r="UAK70" s="2936"/>
      <c r="UAL70" s="2936"/>
      <c r="UAM70" s="2936"/>
      <c r="UAN70" s="2936"/>
      <c r="UAO70" s="2936"/>
      <c r="UAP70" s="2936"/>
      <c r="UAQ70" s="2936"/>
      <c r="UAR70" s="2936"/>
      <c r="UAS70" s="2936"/>
      <c r="UAT70" s="2936"/>
      <c r="UAU70" s="2936"/>
      <c r="UAV70" s="2936"/>
      <c r="UAW70" s="2936"/>
      <c r="UAX70" s="2936"/>
      <c r="UAY70" s="2936"/>
      <c r="UAZ70" s="2936"/>
      <c r="UBA70" s="2936"/>
      <c r="UBB70" s="2936"/>
      <c r="UBC70" s="2936"/>
      <c r="UBD70" s="2936"/>
      <c r="UBE70" s="2936"/>
      <c r="UBF70" s="2936"/>
      <c r="UBG70" s="2936"/>
      <c r="UBH70" s="2936"/>
      <c r="UBI70" s="2936"/>
      <c r="UBJ70" s="2936"/>
      <c r="UBK70" s="2936"/>
      <c r="UBL70" s="2936"/>
      <c r="UBM70" s="2936"/>
      <c r="UBN70" s="2936"/>
      <c r="UBO70" s="2936"/>
      <c r="UBP70" s="2936"/>
      <c r="UBQ70" s="2936"/>
      <c r="UBR70" s="2936"/>
      <c r="UBS70" s="2936"/>
      <c r="UBT70" s="2936"/>
      <c r="UBU70" s="2936"/>
      <c r="UBV70" s="2936"/>
      <c r="UBW70" s="2936"/>
      <c r="UBX70" s="2936"/>
      <c r="UBY70" s="2936"/>
      <c r="UBZ70" s="2936"/>
      <c r="UCA70" s="2936"/>
      <c r="UCB70" s="2936"/>
      <c r="UCC70" s="2936"/>
      <c r="UCD70" s="2936"/>
      <c r="UCE70" s="2936"/>
      <c r="UCF70" s="2936"/>
      <c r="UCG70" s="2936"/>
      <c r="UCH70" s="2936"/>
      <c r="UCI70" s="2936"/>
      <c r="UCJ70" s="2936"/>
      <c r="UCK70" s="2936"/>
      <c r="UCL70" s="2936"/>
      <c r="UCM70" s="2936"/>
      <c r="UCN70" s="2936"/>
      <c r="UCO70" s="2936"/>
      <c r="UCP70" s="2936"/>
      <c r="UCQ70" s="2936"/>
      <c r="UCR70" s="2936"/>
      <c r="UCS70" s="2936"/>
      <c r="UCT70" s="2936"/>
      <c r="UCU70" s="2936"/>
      <c r="UCV70" s="2936"/>
      <c r="UCW70" s="2936"/>
      <c r="UCX70" s="2936"/>
      <c r="UCY70" s="2936"/>
      <c r="UCZ70" s="2936"/>
      <c r="UDA70" s="2936"/>
      <c r="UDB70" s="2936"/>
      <c r="UDC70" s="2936"/>
      <c r="UDD70" s="2936"/>
      <c r="UDE70" s="2936"/>
      <c r="UDF70" s="2936"/>
      <c r="UDG70" s="2936"/>
      <c r="UDH70" s="2936"/>
      <c r="UDI70" s="2936"/>
      <c r="UDJ70" s="2936"/>
      <c r="UDK70" s="2936"/>
      <c r="UDL70" s="2936"/>
      <c r="UDM70" s="2936"/>
      <c r="UDN70" s="2936"/>
      <c r="UDO70" s="2936"/>
      <c r="UDP70" s="2936"/>
      <c r="UDQ70" s="2936"/>
      <c r="UDR70" s="2936"/>
      <c r="UDS70" s="2936"/>
      <c r="UDT70" s="2936"/>
      <c r="UDU70" s="2936"/>
      <c r="UDV70" s="2936"/>
      <c r="UDW70" s="2936"/>
      <c r="UDX70" s="2936"/>
      <c r="UDY70" s="2936"/>
      <c r="UDZ70" s="2936"/>
      <c r="UEA70" s="2936"/>
      <c r="UEB70" s="2936"/>
      <c r="UEC70" s="2936"/>
      <c r="UED70" s="2936"/>
      <c r="UEE70" s="2936"/>
      <c r="UEF70" s="2936"/>
      <c r="UEG70" s="2936"/>
      <c r="UEH70" s="2936"/>
      <c r="UEI70" s="2936"/>
      <c r="UEJ70" s="2936"/>
      <c r="UEK70" s="2936"/>
      <c r="UEL70" s="2936"/>
      <c r="UEM70" s="2936"/>
      <c r="UEN70" s="2936"/>
      <c r="UEO70" s="2936"/>
      <c r="UEP70" s="2936"/>
      <c r="UEQ70" s="2936"/>
      <c r="UER70" s="2936"/>
      <c r="UES70" s="2936"/>
      <c r="UET70" s="2936"/>
      <c r="UEU70" s="2936"/>
      <c r="UEV70" s="2936"/>
      <c r="UEW70" s="2936"/>
      <c r="UEX70" s="2936"/>
      <c r="UEY70" s="2936"/>
      <c r="UEZ70" s="2936"/>
      <c r="UFA70" s="2936"/>
      <c r="UFB70" s="2936"/>
      <c r="UFC70" s="2936"/>
      <c r="UFD70" s="2936"/>
      <c r="UFE70" s="2936"/>
      <c r="UFF70" s="2936"/>
      <c r="UFG70" s="2936"/>
      <c r="UFH70" s="2936"/>
      <c r="UFI70" s="2936"/>
      <c r="UFJ70" s="2936"/>
      <c r="UFK70" s="2936"/>
      <c r="UFL70" s="2936"/>
      <c r="UFM70" s="2936"/>
      <c r="UFN70" s="2936"/>
      <c r="UFO70" s="2936"/>
      <c r="UFP70" s="2936"/>
      <c r="UFQ70" s="2936"/>
      <c r="UFR70" s="2936"/>
      <c r="UFS70" s="2936"/>
      <c r="UFT70" s="2936"/>
      <c r="UFU70" s="2936"/>
      <c r="UFV70" s="2936"/>
      <c r="UFW70" s="2936"/>
      <c r="UFX70" s="2936"/>
      <c r="UFY70" s="2936"/>
      <c r="UFZ70" s="2936"/>
      <c r="UGA70" s="2936"/>
      <c r="UGB70" s="2936"/>
      <c r="UGC70" s="2936"/>
      <c r="UGD70" s="2936"/>
      <c r="UGE70" s="2936"/>
      <c r="UGF70" s="2936"/>
      <c r="UGG70" s="2936"/>
      <c r="UGH70" s="2936"/>
      <c r="UGI70" s="2936"/>
      <c r="UGJ70" s="2936"/>
      <c r="UGK70" s="2936"/>
      <c r="UGL70" s="2936"/>
      <c r="UGM70" s="2936"/>
      <c r="UGN70" s="2936"/>
      <c r="UGO70" s="2936"/>
      <c r="UGP70" s="2936"/>
      <c r="UGQ70" s="2936"/>
      <c r="UGR70" s="2936"/>
      <c r="UGS70" s="2936"/>
      <c r="UGT70" s="2936"/>
      <c r="UGU70" s="2936"/>
      <c r="UGV70" s="2936"/>
      <c r="UGW70" s="2936"/>
      <c r="UGX70" s="2936"/>
      <c r="UGY70" s="2936"/>
      <c r="UGZ70" s="2936"/>
      <c r="UHA70" s="2936"/>
      <c r="UHB70" s="2936"/>
      <c r="UHC70" s="2936"/>
      <c r="UHD70" s="2936"/>
      <c r="UHE70" s="2936"/>
      <c r="UHF70" s="2936"/>
      <c r="UHG70" s="2936"/>
      <c r="UHH70" s="2936"/>
      <c r="UHI70" s="2936"/>
      <c r="UHJ70" s="2936"/>
      <c r="UHK70" s="2936"/>
      <c r="UHL70" s="2936"/>
      <c r="UHM70" s="2936"/>
      <c r="UHN70" s="2936"/>
      <c r="UHO70" s="2936"/>
      <c r="UHP70" s="2936"/>
      <c r="UHQ70" s="2936"/>
      <c r="UHR70" s="2936"/>
      <c r="UHS70" s="2936"/>
      <c r="UHT70" s="2936"/>
      <c r="UHU70" s="2936"/>
      <c r="UHV70" s="2936"/>
      <c r="UHW70" s="2936"/>
      <c r="UHX70" s="2936"/>
      <c r="UHY70" s="2936"/>
      <c r="UHZ70" s="2936"/>
      <c r="UIA70" s="2936"/>
      <c r="UIB70" s="2936"/>
      <c r="UIC70" s="2936"/>
      <c r="UID70" s="2936"/>
      <c r="UIE70" s="2936"/>
      <c r="UIF70" s="2936"/>
      <c r="UIG70" s="2936"/>
      <c r="UIH70" s="2936"/>
      <c r="UII70" s="2936"/>
      <c r="UIJ70" s="2936"/>
      <c r="UIK70" s="2936"/>
      <c r="UIL70" s="2936"/>
      <c r="UIM70" s="2936"/>
      <c r="UIN70" s="2936"/>
      <c r="UIO70" s="2936"/>
      <c r="UIP70" s="2936"/>
      <c r="UIQ70" s="2936"/>
      <c r="UIR70" s="2936"/>
      <c r="UIS70" s="2936"/>
      <c r="UIT70" s="2936"/>
      <c r="UIU70" s="2936"/>
      <c r="UIV70" s="2936"/>
      <c r="UIW70" s="2936"/>
      <c r="UIX70" s="2936"/>
      <c r="UIY70" s="2936"/>
      <c r="UIZ70" s="2936"/>
      <c r="UJA70" s="2936"/>
      <c r="UJB70" s="2936"/>
      <c r="UJC70" s="2936"/>
      <c r="UJD70" s="2936"/>
      <c r="UJE70" s="2936"/>
      <c r="UJF70" s="2936"/>
      <c r="UJG70" s="2936"/>
      <c r="UJH70" s="2936"/>
      <c r="UJI70" s="2936"/>
      <c r="UJJ70" s="2936"/>
      <c r="UJK70" s="2936"/>
      <c r="UJL70" s="2936"/>
      <c r="UJM70" s="2936"/>
      <c r="UJN70" s="2936"/>
      <c r="UJO70" s="2936"/>
      <c r="UJP70" s="2936"/>
      <c r="UJQ70" s="2936"/>
      <c r="UJR70" s="2936"/>
      <c r="UJS70" s="2936"/>
      <c r="UJT70" s="2936"/>
      <c r="UJU70" s="2936"/>
      <c r="UJV70" s="2936"/>
      <c r="UJW70" s="2936"/>
      <c r="UJX70" s="2936"/>
      <c r="UJY70" s="2936"/>
      <c r="UJZ70" s="2936"/>
      <c r="UKA70" s="2936"/>
      <c r="UKB70" s="2936"/>
      <c r="UKC70" s="2936"/>
      <c r="UKD70" s="2936"/>
      <c r="UKE70" s="2936"/>
      <c r="UKF70" s="2936"/>
      <c r="UKG70" s="2936"/>
      <c r="UKH70" s="2936"/>
      <c r="UKI70" s="2936"/>
      <c r="UKJ70" s="2936"/>
      <c r="UKK70" s="2936"/>
      <c r="UKL70" s="2936"/>
      <c r="UKM70" s="2936"/>
      <c r="UKN70" s="2936"/>
      <c r="UKO70" s="2936"/>
      <c r="UKP70" s="2936"/>
      <c r="UKQ70" s="2936"/>
      <c r="UKR70" s="2936"/>
      <c r="UKS70" s="2936"/>
      <c r="UKT70" s="2936"/>
      <c r="UKU70" s="2936"/>
      <c r="UKV70" s="2936"/>
      <c r="UKW70" s="2936"/>
      <c r="UKX70" s="2936"/>
      <c r="UKY70" s="2936"/>
      <c r="UKZ70" s="2936"/>
      <c r="ULA70" s="2936"/>
      <c r="ULB70" s="2936"/>
      <c r="ULC70" s="2936"/>
      <c r="ULD70" s="2936"/>
      <c r="ULE70" s="2936"/>
      <c r="ULF70" s="2936"/>
      <c r="ULG70" s="2936"/>
      <c r="ULH70" s="2936"/>
      <c r="ULI70" s="2936"/>
      <c r="ULJ70" s="2936"/>
      <c r="ULK70" s="2936"/>
      <c r="ULL70" s="2936"/>
      <c r="ULM70" s="2936"/>
      <c r="ULN70" s="2936"/>
      <c r="ULO70" s="2936"/>
      <c r="ULP70" s="2936"/>
      <c r="ULQ70" s="2936"/>
      <c r="ULR70" s="2936"/>
      <c r="ULS70" s="2936"/>
      <c r="ULT70" s="2936"/>
      <c r="ULU70" s="2936"/>
      <c r="ULV70" s="2936"/>
      <c r="ULW70" s="2936"/>
      <c r="ULX70" s="2936"/>
      <c r="ULY70" s="2936"/>
      <c r="ULZ70" s="2936"/>
      <c r="UMA70" s="2936"/>
      <c r="UMB70" s="2936"/>
      <c r="UMC70" s="2936"/>
      <c r="UMD70" s="2936"/>
      <c r="UME70" s="2936"/>
      <c r="UMF70" s="2936"/>
      <c r="UMG70" s="2936"/>
      <c r="UMH70" s="2936"/>
      <c r="UMI70" s="2936"/>
      <c r="UMJ70" s="2936"/>
      <c r="UMK70" s="2936"/>
      <c r="UML70" s="2936"/>
      <c r="UMM70" s="2936"/>
      <c r="UMN70" s="2936"/>
      <c r="UMO70" s="2936"/>
      <c r="UMP70" s="2936"/>
      <c r="UMQ70" s="2936"/>
      <c r="UMR70" s="2936"/>
      <c r="UMS70" s="2936"/>
      <c r="UMT70" s="2936"/>
      <c r="UMU70" s="2936"/>
      <c r="UMV70" s="2936"/>
      <c r="UMW70" s="2936"/>
      <c r="UMX70" s="2936"/>
      <c r="UMY70" s="2936"/>
      <c r="UMZ70" s="2936"/>
      <c r="UNA70" s="2936"/>
      <c r="UNB70" s="2936"/>
      <c r="UNC70" s="2936"/>
      <c r="UND70" s="2936"/>
      <c r="UNE70" s="2936"/>
      <c r="UNF70" s="2936"/>
      <c r="UNG70" s="2936"/>
      <c r="UNH70" s="2936"/>
      <c r="UNI70" s="2936"/>
      <c r="UNJ70" s="2936"/>
      <c r="UNK70" s="2936"/>
      <c r="UNL70" s="2936"/>
      <c r="UNM70" s="2936"/>
      <c r="UNN70" s="2936"/>
      <c r="UNO70" s="2936"/>
      <c r="UNP70" s="2936"/>
      <c r="UNQ70" s="2936"/>
      <c r="UNR70" s="2936"/>
      <c r="UNS70" s="2936"/>
      <c r="UNT70" s="2936"/>
      <c r="UNU70" s="2936"/>
      <c r="UNV70" s="2936"/>
      <c r="UNW70" s="2936"/>
      <c r="UNX70" s="2936"/>
      <c r="UNY70" s="2936"/>
      <c r="UNZ70" s="2936"/>
      <c r="UOA70" s="2936"/>
      <c r="UOB70" s="2936"/>
      <c r="UOC70" s="2936"/>
      <c r="UOD70" s="2936"/>
      <c r="UOE70" s="2936"/>
      <c r="UOF70" s="2936"/>
      <c r="UOG70" s="2936"/>
      <c r="UOH70" s="2936"/>
      <c r="UOI70" s="2936"/>
      <c r="UOJ70" s="2936"/>
      <c r="UOK70" s="2936"/>
      <c r="UOL70" s="2936"/>
      <c r="UOM70" s="2936"/>
      <c r="UON70" s="2936"/>
      <c r="UOO70" s="2936"/>
      <c r="UOP70" s="2936"/>
      <c r="UOQ70" s="2936"/>
      <c r="UOR70" s="2936"/>
      <c r="UOS70" s="2936"/>
      <c r="UOT70" s="2936"/>
      <c r="UOU70" s="2936"/>
      <c r="UOV70" s="2936"/>
      <c r="UOW70" s="2936"/>
      <c r="UOX70" s="2936"/>
      <c r="UOY70" s="2936"/>
      <c r="UOZ70" s="2936"/>
      <c r="UPA70" s="2936"/>
      <c r="UPB70" s="2936"/>
      <c r="UPC70" s="2936"/>
      <c r="UPD70" s="2936"/>
      <c r="UPE70" s="2936"/>
      <c r="UPF70" s="2936"/>
      <c r="UPG70" s="2936"/>
      <c r="UPH70" s="2936"/>
      <c r="UPI70" s="2936"/>
      <c r="UPJ70" s="2936"/>
      <c r="UPK70" s="2936"/>
      <c r="UPL70" s="2936"/>
      <c r="UPM70" s="2936"/>
      <c r="UPN70" s="2936"/>
      <c r="UPO70" s="2936"/>
      <c r="UPP70" s="2936"/>
      <c r="UPQ70" s="2936"/>
      <c r="UPR70" s="2936"/>
      <c r="UPS70" s="2936"/>
      <c r="UPT70" s="2936"/>
      <c r="UPU70" s="2936"/>
      <c r="UPV70" s="2936"/>
      <c r="UPW70" s="2936"/>
      <c r="UPX70" s="2936"/>
      <c r="UPY70" s="2936"/>
      <c r="UPZ70" s="2936"/>
      <c r="UQA70" s="2936"/>
      <c r="UQB70" s="2936"/>
      <c r="UQC70" s="2936"/>
      <c r="UQD70" s="2936"/>
      <c r="UQE70" s="2936"/>
      <c r="UQF70" s="2936"/>
      <c r="UQG70" s="2936"/>
      <c r="UQH70" s="2936"/>
      <c r="UQI70" s="2936"/>
      <c r="UQJ70" s="2936"/>
      <c r="UQK70" s="2936"/>
      <c r="UQL70" s="2936"/>
      <c r="UQM70" s="2936"/>
      <c r="UQN70" s="2936"/>
      <c r="UQO70" s="2936"/>
      <c r="UQP70" s="2936"/>
      <c r="UQQ70" s="2936"/>
      <c r="UQR70" s="2936"/>
      <c r="UQS70" s="2936"/>
      <c r="UQT70" s="2936"/>
      <c r="UQU70" s="2936"/>
      <c r="UQV70" s="2936"/>
      <c r="UQW70" s="2936"/>
      <c r="UQX70" s="2936"/>
      <c r="UQY70" s="2936"/>
      <c r="UQZ70" s="2936"/>
      <c r="URA70" s="2936"/>
      <c r="URB70" s="2936"/>
      <c r="URC70" s="2936"/>
      <c r="URD70" s="2936"/>
      <c r="URE70" s="2936"/>
      <c r="URF70" s="2936"/>
      <c r="URG70" s="2936"/>
      <c r="URH70" s="2936"/>
      <c r="URI70" s="2936"/>
      <c r="URJ70" s="2936"/>
      <c r="URK70" s="2936"/>
      <c r="URL70" s="2936"/>
      <c r="URM70" s="2936"/>
      <c r="URN70" s="2936"/>
      <c r="URO70" s="2936"/>
      <c r="URP70" s="2936"/>
      <c r="URQ70" s="2936"/>
      <c r="URR70" s="2936"/>
      <c r="URS70" s="2936"/>
      <c r="URT70" s="2936"/>
      <c r="URU70" s="2936"/>
      <c r="URV70" s="2936"/>
      <c r="URW70" s="2936"/>
      <c r="URX70" s="2936"/>
      <c r="URY70" s="2936"/>
      <c r="URZ70" s="2936"/>
      <c r="USA70" s="2936"/>
      <c r="USB70" s="2936"/>
      <c r="USC70" s="2936"/>
      <c r="USD70" s="2936"/>
      <c r="USE70" s="2936"/>
      <c r="USF70" s="2936"/>
      <c r="USG70" s="2936"/>
      <c r="USH70" s="2936"/>
      <c r="USI70" s="2936"/>
      <c r="USJ70" s="2936"/>
      <c r="USK70" s="2936"/>
      <c r="USL70" s="2936"/>
      <c r="USM70" s="2936"/>
      <c r="USN70" s="2936"/>
      <c r="USO70" s="2936"/>
      <c r="USP70" s="2936"/>
      <c r="USQ70" s="2936"/>
      <c r="USR70" s="2936"/>
      <c r="USS70" s="2936"/>
      <c r="UST70" s="2936"/>
      <c r="USU70" s="2936"/>
      <c r="USV70" s="2936"/>
      <c r="USW70" s="2936"/>
      <c r="USX70" s="2936"/>
      <c r="USY70" s="2936"/>
      <c r="USZ70" s="2936"/>
      <c r="UTA70" s="2936"/>
      <c r="UTB70" s="2936"/>
      <c r="UTC70" s="2936"/>
      <c r="UTD70" s="2936"/>
      <c r="UTE70" s="2936"/>
      <c r="UTF70" s="2936"/>
      <c r="UTG70" s="2936"/>
      <c r="UTH70" s="2936"/>
      <c r="UTI70" s="2936"/>
      <c r="UTJ70" s="2936"/>
      <c r="UTK70" s="2936"/>
      <c r="UTL70" s="2936"/>
      <c r="UTM70" s="2936"/>
      <c r="UTN70" s="2936"/>
      <c r="UTO70" s="2936"/>
      <c r="UTP70" s="2936"/>
      <c r="UTQ70" s="2936"/>
      <c r="UTR70" s="2936"/>
      <c r="UTS70" s="2936"/>
      <c r="UTT70" s="2936"/>
      <c r="UTU70" s="2936"/>
      <c r="UTV70" s="2936"/>
      <c r="UTW70" s="2936"/>
      <c r="UTX70" s="2936"/>
      <c r="UTY70" s="2936"/>
      <c r="UTZ70" s="2936"/>
      <c r="UUA70" s="2936"/>
      <c r="UUB70" s="2936"/>
      <c r="UUC70" s="2936"/>
      <c r="UUD70" s="2936"/>
      <c r="UUE70" s="2936"/>
      <c r="UUF70" s="2936"/>
      <c r="UUG70" s="2936"/>
      <c r="UUH70" s="2936"/>
      <c r="UUI70" s="2936"/>
      <c r="UUJ70" s="2936"/>
      <c r="UUK70" s="2936"/>
      <c r="UUL70" s="2936"/>
      <c r="UUM70" s="2936"/>
      <c r="UUN70" s="2936"/>
      <c r="UUO70" s="2936"/>
      <c r="UUP70" s="2936"/>
      <c r="UUQ70" s="2936"/>
      <c r="UUR70" s="2936"/>
      <c r="UUS70" s="2936"/>
      <c r="UUT70" s="2936"/>
      <c r="UUU70" s="2936"/>
      <c r="UUV70" s="2936"/>
      <c r="UUW70" s="2936"/>
      <c r="UUX70" s="2936"/>
      <c r="UUY70" s="2936"/>
      <c r="UUZ70" s="2936"/>
      <c r="UVA70" s="2936"/>
      <c r="UVB70" s="2936"/>
      <c r="UVC70" s="2936"/>
      <c r="UVD70" s="2936"/>
      <c r="UVE70" s="2936"/>
      <c r="UVF70" s="2936"/>
      <c r="UVG70" s="2936"/>
      <c r="UVH70" s="2936"/>
      <c r="UVI70" s="2936"/>
      <c r="UVJ70" s="2936"/>
      <c r="UVK70" s="2936"/>
      <c r="UVL70" s="2936"/>
      <c r="UVM70" s="2936"/>
      <c r="UVN70" s="2936"/>
      <c r="UVO70" s="2936"/>
      <c r="UVP70" s="2936"/>
      <c r="UVQ70" s="2936"/>
      <c r="UVR70" s="2936"/>
      <c r="UVS70" s="2936"/>
      <c r="UVT70" s="2936"/>
      <c r="UVU70" s="2936"/>
      <c r="UVV70" s="2936"/>
      <c r="UVW70" s="2936"/>
      <c r="UVX70" s="2936"/>
      <c r="UVY70" s="2936"/>
      <c r="UVZ70" s="2936"/>
      <c r="UWA70" s="2936"/>
      <c r="UWB70" s="2936"/>
      <c r="UWC70" s="2936"/>
      <c r="UWD70" s="2936"/>
      <c r="UWE70" s="2936"/>
      <c r="UWF70" s="2936"/>
      <c r="UWG70" s="2936"/>
      <c r="UWH70" s="2936"/>
      <c r="UWI70" s="2936"/>
      <c r="UWJ70" s="2936"/>
      <c r="UWK70" s="2936"/>
      <c r="UWL70" s="2936"/>
      <c r="UWM70" s="2936"/>
      <c r="UWN70" s="2936"/>
      <c r="UWO70" s="2936"/>
      <c r="UWP70" s="2936"/>
      <c r="UWQ70" s="2936"/>
      <c r="UWR70" s="2936"/>
      <c r="UWS70" s="2936"/>
      <c r="UWT70" s="2936"/>
      <c r="UWU70" s="2936"/>
      <c r="UWV70" s="2936"/>
      <c r="UWW70" s="2936"/>
      <c r="UWX70" s="2936"/>
      <c r="UWY70" s="2936"/>
      <c r="UWZ70" s="2936"/>
      <c r="UXA70" s="2936"/>
      <c r="UXB70" s="2936"/>
      <c r="UXC70" s="2936"/>
      <c r="UXD70" s="2936"/>
      <c r="UXE70" s="2936"/>
      <c r="UXF70" s="2936"/>
      <c r="UXG70" s="2936"/>
      <c r="UXH70" s="2936"/>
      <c r="UXI70" s="2936"/>
      <c r="UXJ70" s="2936"/>
      <c r="UXK70" s="2936"/>
      <c r="UXL70" s="2936"/>
      <c r="UXM70" s="2936"/>
      <c r="UXN70" s="2936"/>
      <c r="UXO70" s="2936"/>
      <c r="UXP70" s="2936"/>
      <c r="UXQ70" s="2936"/>
      <c r="UXR70" s="2936"/>
      <c r="UXS70" s="2936"/>
      <c r="UXT70" s="2936"/>
      <c r="UXU70" s="2936"/>
      <c r="UXV70" s="2936"/>
      <c r="UXW70" s="2936"/>
      <c r="UXX70" s="2936"/>
      <c r="UXY70" s="2936"/>
      <c r="UXZ70" s="2936"/>
      <c r="UYA70" s="2936"/>
      <c r="UYB70" s="2936"/>
      <c r="UYC70" s="2936"/>
      <c r="UYD70" s="2936"/>
      <c r="UYE70" s="2936"/>
      <c r="UYF70" s="2936"/>
      <c r="UYG70" s="2936"/>
      <c r="UYH70" s="2936"/>
      <c r="UYI70" s="2936"/>
      <c r="UYJ70" s="2936"/>
      <c r="UYK70" s="2936"/>
      <c r="UYL70" s="2936"/>
      <c r="UYM70" s="2936"/>
      <c r="UYN70" s="2936"/>
      <c r="UYO70" s="2936"/>
      <c r="UYP70" s="2936"/>
      <c r="UYQ70" s="2936"/>
      <c r="UYR70" s="2936"/>
      <c r="UYS70" s="2936"/>
      <c r="UYT70" s="2936"/>
      <c r="UYU70" s="2936"/>
      <c r="UYV70" s="2936"/>
      <c r="UYW70" s="2936"/>
      <c r="UYX70" s="2936"/>
      <c r="UYY70" s="2936"/>
      <c r="UYZ70" s="2936"/>
      <c r="UZA70" s="2936"/>
      <c r="UZB70" s="2936"/>
      <c r="UZC70" s="2936"/>
      <c r="UZD70" s="2936"/>
      <c r="UZE70" s="2936"/>
      <c r="UZF70" s="2936"/>
      <c r="UZG70" s="2936"/>
      <c r="UZH70" s="2936"/>
      <c r="UZI70" s="2936"/>
      <c r="UZJ70" s="2936"/>
      <c r="UZK70" s="2936"/>
      <c r="UZL70" s="2936"/>
      <c r="UZM70" s="2936"/>
      <c r="UZN70" s="2936"/>
      <c r="UZO70" s="2936"/>
      <c r="UZP70" s="2936"/>
      <c r="UZQ70" s="2936"/>
      <c r="UZR70" s="2936"/>
      <c r="UZS70" s="2936"/>
      <c r="UZT70" s="2936"/>
      <c r="UZU70" s="2936"/>
      <c r="UZV70" s="2936"/>
      <c r="UZW70" s="2936"/>
      <c r="UZX70" s="2936"/>
      <c r="UZY70" s="2936"/>
      <c r="UZZ70" s="2936"/>
      <c r="VAA70" s="2936"/>
      <c r="VAB70" s="2936"/>
      <c r="VAC70" s="2936"/>
      <c r="VAD70" s="2936"/>
      <c r="VAE70" s="2936"/>
      <c r="VAF70" s="2936"/>
      <c r="VAG70" s="2936"/>
      <c r="VAH70" s="2936"/>
      <c r="VAI70" s="2936"/>
      <c r="VAJ70" s="2936"/>
      <c r="VAK70" s="2936"/>
      <c r="VAL70" s="2936"/>
      <c r="VAM70" s="2936"/>
      <c r="VAN70" s="2936"/>
      <c r="VAO70" s="2936"/>
      <c r="VAP70" s="2936"/>
      <c r="VAQ70" s="2936"/>
      <c r="VAR70" s="2936"/>
      <c r="VAS70" s="2936"/>
      <c r="VAT70" s="2936"/>
      <c r="VAU70" s="2936"/>
      <c r="VAV70" s="2936"/>
      <c r="VAW70" s="2936"/>
      <c r="VAX70" s="2936"/>
      <c r="VAY70" s="2936"/>
      <c r="VAZ70" s="2936"/>
      <c r="VBA70" s="2936"/>
      <c r="VBB70" s="2936"/>
      <c r="VBC70" s="2936"/>
      <c r="VBD70" s="2936"/>
      <c r="VBE70" s="2936"/>
      <c r="VBF70" s="2936"/>
      <c r="VBG70" s="2936"/>
      <c r="VBH70" s="2936"/>
      <c r="VBI70" s="2936"/>
      <c r="VBJ70" s="2936"/>
      <c r="VBK70" s="2936"/>
      <c r="VBL70" s="2936"/>
      <c r="VBM70" s="2936"/>
      <c r="VBN70" s="2936"/>
      <c r="VBO70" s="2936"/>
      <c r="VBP70" s="2936"/>
      <c r="VBQ70" s="2936"/>
      <c r="VBR70" s="2936"/>
      <c r="VBS70" s="2936"/>
      <c r="VBT70" s="2936"/>
      <c r="VBU70" s="2936"/>
      <c r="VBV70" s="2936"/>
      <c r="VBW70" s="2936"/>
      <c r="VBX70" s="2936"/>
      <c r="VBY70" s="2936"/>
      <c r="VBZ70" s="2936"/>
      <c r="VCA70" s="2936"/>
      <c r="VCB70" s="2936"/>
      <c r="VCC70" s="2936"/>
      <c r="VCD70" s="2936"/>
      <c r="VCE70" s="2936"/>
      <c r="VCF70" s="2936"/>
      <c r="VCG70" s="2936"/>
      <c r="VCH70" s="2936"/>
      <c r="VCI70" s="2936"/>
      <c r="VCJ70" s="2936"/>
      <c r="VCK70" s="2936"/>
      <c r="VCL70" s="2936"/>
      <c r="VCM70" s="2936"/>
      <c r="VCN70" s="2936"/>
      <c r="VCO70" s="2936"/>
      <c r="VCP70" s="2936"/>
      <c r="VCQ70" s="2936"/>
      <c r="VCR70" s="2936"/>
      <c r="VCS70" s="2936"/>
      <c r="VCT70" s="2936"/>
      <c r="VCU70" s="2936"/>
      <c r="VCV70" s="2936"/>
      <c r="VCW70" s="2936"/>
      <c r="VCX70" s="2936"/>
      <c r="VCY70" s="2936"/>
      <c r="VCZ70" s="2936"/>
      <c r="VDA70" s="2936"/>
      <c r="VDB70" s="2936"/>
      <c r="VDC70" s="2936"/>
      <c r="VDD70" s="2936"/>
      <c r="VDE70" s="2936"/>
      <c r="VDF70" s="2936"/>
      <c r="VDG70" s="2936"/>
      <c r="VDH70" s="2936"/>
      <c r="VDI70" s="2936"/>
      <c r="VDJ70" s="2936"/>
      <c r="VDK70" s="2936"/>
      <c r="VDL70" s="2936"/>
      <c r="VDM70" s="2936"/>
      <c r="VDN70" s="2936"/>
      <c r="VDO70" s="2936"/>
      <c r="VDP70" s="2936"/>
      <c r="VDQ70" s="2936"/>
      <c r="VDR70" s="2936"/>
      <c r="VDS70" s="2936"/>
      <c r="VDT70" s="2936"/>
      <c r="VDU70" s="2936"/>
      <c r="VDV70" s="2936"/>
      <c r="VDW70" s="2936"/>
      <c r="VDX70" s="2936"/>
      <c r="VDY70" s="2936"/>
      <c r="VDZ70" s="2936"/>
      <c r="VEA70" s="2936"/>
      <c r="VEB70" s="2936"/>
      <c r="VEC70" s="2936"/>
      <c r="VED70" s="2936"/>
      <c r="VEE70" s="2936"/>
      <c r="VEF70" s="2936"/>
      <c r="VEG70" s="2936"/>
      <c r="VEH70" s="2936"/>
      <c r="VEI70" s="2936"/>
      <c r="VEJ70" s="2936"/>
      <c r="VEK70" s="2936"/>
      <c r="VEL70" s="2936"/>
      <c r="VEM70" s="2936"/>
      <c r="VEN70" s="2936"/>
      <c r="VEO70" s="2936"/>
      <c r="VEP70" s="2936"/>
      <c r="VEQ70" s="2936"/>
      <c r="VER70" s="2936"/>
      <c r="VES70" s="2936"/>
      <c r="VET70" s="2936"/>
      <c r="VEU70" s="2936"/>
      <c r="VEV70" s="2936"/>
      <c r="VEW70" s="2936"/>
      <c r="VEX70" s="2936"/>
      <c r="VEY70" s="2936"/>
      <c r="VEZ70" s="2936"/>
      <c r="VFA70" s="2936"/>
      <c r="VFB70" s="2936"/>
      <c r="VFC70" s="2936"/>
      <c r="VFD70" s="2936"/>
      <c r="VFE70" s="2936"/>
      <c r="VFF70" s="2936"/>
      <c r="VFG70" s="2936"/>
      <c r="VFH70" s="2936"/>
      <c r="VFI70" s="2936"/>
      <c r="VFJ70" s="2936"/>
      <c r="VFK70" s="2936"/>
      <c r="VFL70" s="2936"/>
      <c r="VFM70" s="2936"/>
      <c r="VFN70" s="2936"/>
      <c r="VFO70" s="2936"/>
      <c r="VFP70" s="2936"/>
      <c r="VFQ70" s="2936"/>
      <c r="VFR70" s="2936"/>
      <c r="VFS70" s="2936"/>
      <c r="VFT70" s="2936"/>
      <c r="VFU70" s="2936"/>
      <c r="VFV70" s="2936"/>
      <c r="VFW70" s="2936"/>
      <c r="VFX70" s="2936"/>
      <c r="VFY70" s="2936"/>
      <c r="VFZ70" s="2936"/>
      <c r="VGA70" s="2936"/>
      <c r="VGB70" s="2936"/>
      <c r="VGC70" s="2936"/>
      <c r="VGD70" s="2936"/>
      <c r="VGE70" s="2936"/>
      <c r="VGF70" s="2936"/>
      <c r="VGG70" s="2936"/>
      <c r="VGH70" s="2936"/>
      <c r="VGI70" s="2936"/>
      <c r="VGJ70" s="2936"/>
      <c r="VGK70" s="2936"/>
      <c r="VGL70" s="2936"/>
      <c r="VGM70" s="2936"/>
      <c r="VGN70" s="2936"/>
      <c r="VGO70" s="2936"/>
      <c r="VGP70" s="2936"/>
      <c r="VGQ70" s="2936"/>
      <c r="VGR70" s="2936"/>
      <c r="VGS70" s="2936"/>
      <c r="VGT70" s="2936"/>
      <c r="VGU70" s="2936"/>
      <c r="VGV70" s="2936"/>
      <c r="VGW70" s="2936"/>
      <c r="VGX70" s="2936"/>
      <c r="VGY70" s="2936"/>
      <c r="VGZ70" s="2936"/>
      <c r="VHA70" s="2936"/>
      <c r="VHB70" s="2936"/>
      <c r="VHC70" s="2936"/>
      <c r="VHD70" s="2936"/>
      <c r="VHE70" s="2936"/>
      <c r="VHF70" s="2936"/>
      <c r="VHG70" s="2936"/>
      <c r="VHH70" s="2936"/>
      <c r="VHI70" s="2936"/>
      <c r="VHJ70" s="2936"/>
      <c r="VHK70" s="2936"/>
      <c r="VHL70" s="2936"/>
      <c r="VHM70" s="2936"/>
      <c r="VHN70" s="2936"/>
      <c r="VHO70" s="2936"/>
      <c r="VHP70" s="2936"/>
      <c r="VHQ70" s="2936"/>
      <c r="VHR70" s="2936"/>
      <c r="VHS70" s="2936"/>
      <c r="VHT70" s="2936"/>
      <c r="VHU70" s="2936"/>
      <c r="VHV70" s="2936"/>
      <c r="VHW70" s="2936"/>
      <c r="VHX70" s="2936"/>
      <c r="VHY70" s="2936"/>
      <c r="VHZ70" s="2936"/>
      <c r="VIA70" s="2936"/>
      <c r="VIB70" s="2936"/>
      <c r="VIC70" s="2936"/>
      <c r="VID70" s="2936"/>
      <c r="VIE70" s="2936"/>
      <c r="VIF70" s="2936"/>
      <c r="VIG70" s="2936"/>
      <c r="VIH70" s="2936"/>
      <c r="VII70" s="2936"/>
      <c r="VIJ70" s="2936"/>
      <c r="VIK70" s="2936"/>
      <c r="VIL70" s="2936"/>
      <c r="VIM70" s="2936"/>
      <c r="VIN70" s="2936"/>
      <c r="VIO70" s="2936"/>
      <c r="VIP70" s="2936"/>
      <c r="VIQ70" s="2936"/>
      <c r="VIR70" s="2936"/>
      <c r="VIS70" s="2936"/>
      <c r="VIT70" s="2936"/>
      <c r="VIU70" s="2936"/>
      <c r="VIV70" s="2936"/>
      <c r="VIW70" s="2936"/>
      <c r="VIX70" s="2936"/>
      <c r="VIY70" s="2936"/>
      <c r="VIZ70" s="2936"/>
      <c r="VJA70" s="2936"/>
      <c r="VJB70" s="2936"/>
      <c r="VJC70" s="2936"/>
      <c r="VJD70" s="2936"/>
      <c r="VJE70" s="2936"/>
      <c r="VJF70" s="2936"/>
      <c r="VJG70" s="2936"/>
      <c r="VJH70" s="2936"/>
      <c r="VJI70" s="2936"/>
      <c r="VJJ70" s="2936"/>
      <c r="VJK70" s="2936"/>
      <c r="VJL70" s="2936"/>
      <c r="VJM70" s="2936"/>
      <c r="VJN70" s="2936"/>
      <c r="VJO70" s="2936"/>
      <c r="VJP70" s="2936"/>
      <c r="VJQ70" s="2936"/>
      <c r="VJR70" s="2936"/>
      <c r="VJS70" s="2936"/>
      <c r="VJT70" s="2936"/>
      <c r="VJU70" s="2936"/>
      <c r="VJV70" s="2936"/>
      <c r="VJW70" s="2936"/>
      <c r="VJX70" s="2936"/>
      <c r="VJY70" s="2936"/>
      <c r="VJZ70" s="2936"/>
      <c r="VKA70" s="2936"/>
      <c r="VKB70" s="2936"/>
      <c r="VKC70" s="2936"/>
      <c r="VKD70" s="2936"/>
      <c r="VKE70" s="2936"/>
      <c r="VKF70" s="2936"/>
      <c r="VKG70" s="2936"/>
      <c r="VKH70" s="2936"/>
      <c r="VKI70" s="2936"/>
      <c r="VKJ70" s="2936"/>
      <c r="VKK70" s="2936"/>
      <c r="VKL70" s="2936"/>
      <c r="VKM70" s="2936"/>
      <c r="VKN70" s="2936"/>
      <c r="VKO70" s="2936"/>
      <c r="VKP70" s="2936"/>
      <c r="VKQ70" s="2936"/>
      <c r="VKR70" s="2936"/>
      <c r="VKS70" s="2936"/>
      <c r="VKT70" s="2936"/>
      <c r="VKU70" s="2936"/>
      <c r="VKV70" s="2936"/>
      <c r="VKW70" s="2936"/>
      <c r="VKX70" s="2936"/>
      <c r="VKY70" s="2936"/>
      <c r="VKZ70" s="2936"/>
      <c r="VLA70" s="2936"/>
      <c r="VLB70" s="2936"/>
      <c r="VLC70" s="2936"/>
      <c r="VLD70" s="2936"/>
      <c r="VLE70" s="2936"/>
      <c r="VLF70" s="2936"/>
      <c r="VLG70" s="2936"/>
      <c r="VLH70" s="2936"/>
      <c r="VLI70" s="2936"/>
      <c r="VLJ70" s="2936"/>
      <c r="VLK70" s="2936"/>
      <c r="VLL70" s="2936"/>
      <c r="VLM70" s="2936"/>
      <c r="VLN70" s="2936"/>
      <c r="VLO70" s="2936"/>
      <c r="VLP70" s="2936"/>
      <c r="VLQ70" s="2936"/>
      <c r="VLR70" s="2936"/>
      <c r="VLS70" s="2936"/>
      <c r="VLT70" s="2936"/>
      <c r="VLU70" s="2936"/>
      <c r="VLV70" s="2936"/>
      <c r="VLW70" s="2936"/>
      <c r="VLX70" s="2936"/>
      <c r="VLY70" s="2936"/>
      <c r="VLZ70" s="2936"/>
      <c r="VMA70" s="2936"/>
      <c r="VMB70" s="2936"/>
      <c r="VMC70" s="2936"/>
      <c r="VMD70" s="2936"/>
      <c r="VME70" s="2936"/>
      <c r="VMF70" s="2936"/>
      <c r="VMG70" s="2936"/>
      <c r="VMH70" s="2936"/>
      <c r="VMI70" s="2936"/>
      <c r="VMJ70" s="2936"/>
      <c r="VMK70" s="2936"/>
      <c r="VML70" s="2936"/>
      <c r="VMM70" s="2936"/>
      <c r="VMN70" s="2936"/>
      <c r="VMO70" s="2936"/>
      <c r="VMP70" s="2936"/>
      <c r="VMQ70" s="2936"/>
      <c r="VMR70" s="2936"/>
      <c r="VMS70" s="2936"/>
      <c r="VMT70" s="2936"/>
      <c r="VMU70" s="2936"/>
      <c r="VMV70" s="2936"/>
      <c r="VMW70" s="2936"/>
      <c r="VMX70" s="2936"/>
      <c r="VMY70" s="2936"/>
      <c r="VMZ70" s="2936"/>
      <c r="VNA70" s="2936"/>
      <c r="VNB70" s="2936"/>
      <c r="VNC70" s="2936"/>
      <c r="VND70" s="2936"/>
      <c r="VNE70" s="2936"/>
      <c r="VNF70" s="2936"/>
      <c r="VNG70" s="2936"/>
      <c r="VNH70" s="2936"/>
      <c r="VNI70" s="2936"/>
      <c r="VNJ70" s="2936"/>
      <c r="VNK70" s="2936"/>
      <c r="VNL70" s="2936"/>
      <c r="VNM70" s="2936"/>
      <c r="VNN70" s="2936"/>
      <c r="VNO70" s="2936"/>
      <c r="VNP70" s="2936"/>
      <c r="VNQ70" s="2936"/>
      <c r="VNR70" s="2936"/>
      <c r="VNS70" s="2936"/>
      <c r="VNT70" s="2936"/>
      <c r="VNU70" s="2936"/>
      <c r="VNV70" s="2936"/>
      <c r="VNW70" s="2936"/>
      <c r="VNX70" s="2936"/>
      <c r="VNY70" s="2936"/>
      <c r="VNZ70" s="2936"/>
      <c r="VOA70" s="2936"/>
      <c r="VOB70" s="2936"/>
      <c r="VOC70" s="2936"/>
      <c r="VOD70" s="2936"/>
      <c r="VOE70" s="2936"/>
      <c r="VOF70" s="2936"/>
      <c r="VOG70" s="2936"/>
      <c r="VOH70" s="2936"/>
      <c r="VOI70" s="2936"/>
      <c r="VOJ70" s="2936"/>
      <c r="VOK70" s="2936"/>
      <c r="VOL70" s="2936"/>
      <c r="VOM70" s="2936"/>
      <c r="VON70" s="2936"/>
      <c r="VOO70" s="2936"/>
      <c r="VOP70" s="2936"/>
      <c r="VOQ70" s="2936"/>
      <c r="VOR70" s="2936"/>
      <c r="VOS70" s="2936"/>
      <c r="VOT70" s="2936"/>
      <c r="VOU70" s="2936"/>
      <c r="VOV70" s="2936"/>
      <c r="VOW70" s="2936"/>
      <c r="VOX70" s="2936"/>
      <c r="VOY70" s="2936"/>
      <c r="VOZ70" s="2936"/>
      <c r="VPA70" s="2936"/>
      <c r="VPB70" s="2936"/>
      <c r="VPC70" s="2936"/>
      <c r="VPD70" s="2936"/>
      <c r="VPE70" s="2936"/>
      <c r="VPF70" s="2936"/>
      <c r="VPG70" s="2936"/>
      <c r="VPH70" s="2936"/>
      <c r="VPI70" s="2936"/>
      <c r="VPJ70" s="2936"/>
      <c r="VPK70" s="2936"/>
      <c r="VPL70" s="2936"/>
      <c r="VPM70" s="2936"/>
      <c r="VPN70" s="2936"/>
      <c r="VPO70" s="2936"/>
      <c r="VPP70" s="2936"/>
      <c r="VPQ70" s="2936"/>
      <c r="VPR70" s="2936"/>
      <c r="VPS70" s="2936"/>
      <c r="VPT70" s="2936"/>
      <c r="VPU70" s="2936"/>
      <c r="VPV70" s="2936"/>
      <c r="VPW70" s="2936"/>
      <c r="VPX70" s="2936"/>
      <c r="VPY70" s="2936"/>
      <c r="VPZ70" s="2936"/>
      <c r="VQA70" s="2936"/>
      <c r="VQB70" s="2936"/>
      <c r="VQC70" s="2936"/>
      <c r="VQD70" s="2936"/>
      <c r="VQE70" s="2936"/>
      <c r="VQF70" s="2936"/>
      <c r="VQG70" s="2936"/>
      <c r="VQH70" s="2936"/>
      <c r="VQI70" s="2936"/>
      <c r="VQJ70" s="2936"/>
      <c r="VQK70" s="2936"/>
      <c r="VQL70" s="2936"/>
      <c r="VQM70" s="2936"/>
      <c r="VQN70" s="2936"/>
      <c r="VQO70" s="2936"/>
      <c r="VQP70" s="2936"/>
      <c r="VQQ70" s="2936"/>
      <c r="VQR70" s="2936"/>
      <c r="VQS70" s="2936"/>
      <c r="VQT70" s="2936"/>
      <c r="VQU70" s="2936"/>
      <c r="VQV70" s="2936"/>
      <c r="VQW70" s="2936"/>
      <c r="VQX70" s="2936"/>
      <c r="VQY70" s="2936"/>
      <c r="VQZ70" s="2936"/>
      <c r="VRA70" s="2936"/>
      <c r="VRB70" s="2936"/>
      <c r="VRC70" s="2936"/>
      <c r="VRD70" s="2936"/>
      <c r="VRE70" s="2936"/>
      <c r="VRF70" s="2936"/>
      <c r="VRG70" s="2936"/>
      <c r="VRH70" s="2936"/>
      <c r="VRI70" s="2936"/>
      <c r="VRJ70" s="2936"/>
      <c r="VRK70" s="2936"/>
      <c r="VRL70" s="2936"/>
      <c r="VRM70" s="2936"/>
      <c r="VRN70" s="2936"/>
      <c r="VRO70" s="2936"/>
      <c r="VRP70" s="2936"/>
      <c r="VRQ70" s="2936"/>
      <c r="VRR70" s="2936"/>
      <c r="VRS70" s="2936"/>
      <c r="VRT70" s="2936"/>
      <c r="VRU70" s="2936"/>
      <c r="VRV70" s="2936"/>
      <c r="VRW70" s="2936"/>
      <c r="VRX70" s="2936"/>
      <c r="VRY70" s="2936"/>
      <c r="VRZ70" s="2936"/>
      <c r="VSA70" s="2936"/>
      <c r="VSB70" s="2936"/>
      <c r="VSC70" s="2936"/>
      <c r="VSD70" s="2936"/>
      <c r="VSE70" s="2936"/>
      <c r="VSF70" s="2936"/>
      <c r="VSG70" s="2936"/>
      <c r="VSH70" s="2936"/>
      <c r="VSI70" s="2936"/>
      <c r="VSJ70" s="2936"/>
      <c r="VSK70" s="2936"/>
      <c r="VSL70" s="2936"/>
      <c r="VSM70" s="2936"/>
      <c r="VSN70" s="2936"/>
      <c r="VSO70" s="2936"/>
      <c r="VSP70" s="2936"/>
      <c r="VSQ70" s="2936"/>
      <c r="VSR70" s="2936"/>
      <c r="VSS70" s="2936"/>
      <c r="VST70" s="2936"/>
      <c r="VSU70" s="2936"/>
      <c r="VSV70" s="2936"/>
      <c r="VSW70" s="2936"/>
      <c r="VSX70" s="2936"/>
      <c r="VSY70" s="2936"/>
      <c r="VSZ70" s="2936"/>
      <c r="VTA70" s="2936"/>
      <c r="VTB70" s="2936"/>
      <c r="VTC70" s="2936"/>
      <c r="VTD70" s="2936"/>
      <c r="VTE70" s="2936"/>
      <c r="VTF70" s="2936"/>
      <c r="VTG70" s="2936"/>
      <c r="VTH70" s="2936"/>
      <c r="VTI70" s="2936"/>
      <c r="VTJ70" s="2936"/>
      <c r="VTK70" s="2936"/>
      <c r="VTL70" s="2936"/>
      <c r="VTM70" s="2936"/>
      <c r="VTN70" s="2936"/>
      <c r="VTO70" s="2936"/>
      <c r="VTP70" s="2936"/>
      <c r="VTQ70" s="2936"/>
      <c r="VTR70" s="2936"/>
      <c r="VTS70" s="2936"/>
      <c r="VTT70" s="2936"/>
      <c r="VTU70" s="2936"/>
      <c r="VTV70" s="2936"/>
      <c r="VTW70" s="2936"/>
      <c r="VTX70" s="2936"/>
      <c r="VTY70" s="2936"/>
      <c r="VTZ70" s="2936"/>
      <c r="VUA70" s="2936"/>
      <c r="VUB70" s="2936"/>
      <c r="VUC70" s="2936"/>
      <c r="VUD70" s="2936"/>
      <c r="VUE70" s="2936"/>
      <c r="VUF70" s="2936"/>
      <c r="VUG70" s="2936"/>
      <c r="VUH70" s="2936"/>
      <c r="VUI70" s="2936"/>
      <c r="VUJ70" s="2936"/>
      <c r="VUK70" s="2936"/>
      <c r="VUL70" s="2936"/>
      <c r="VUM70" s="2936"/>
      <c r="VUN70" s="2936"/>
      <c r="VUO70" s="2936"/>
      <c r="VUP70" s="2936"/>
      <c r="VUQ70" s="2936"/>
      <c r="VUR70" s="2936"/>
      <c r="VUS70" s="2936"/>
      <c r="VUT70" s="2936"/>
      <c r="VUU70" s="2936"/>
      <c r="VUV70" s="2936"/>
      <c r="VUW70" s="2936"/>
      <c r="VUX70" s="2936"/>
      <c r="VUY70" s="2936"/>
      <c r="VUZ70" s="2936"/>
      <c r="VVA70" s="2936"/>
      <c r="VVB70" s="2936"/>
      <c r="VVC70" s="2936"/>
      <c r="VVD70" s="2936"/>
      <c r="VVE70" s="2936"/>
      <c r="VVF70" s="2936"/>
      <c r="VVG70" s="2936"/>
      <c r="VVH70" s="2936"/>
      <c r="VVI70" s="2936"/>
      <c r="VVJ70" s="2936"/>
      <c r="VVK70" s="2936"/>
      <c r="VVL70" s="2936"/>
      <c r="VVM70" s="2936"/>
      <c r="VVN70" s="2936"/>
      <c r="VVO70" s="2936"/>
      <c r="VVP70" s="2936"/>
      <c r="VVQ70" s="2936"/>
      <c r="VVR70" s="2936"/>
      <c r="VVS70" s="2936"/>
      <c r="VVT70" s="2936"/>
      <c r="VVU70" s="2936"/>
      <c r="VVV70" s="2936"/>
      <c r="VVW70" s="2936"/>
      <c r="VVX70" s="2936"/>
      <c r="VVY70" s="2936"/>
      <c r="VVZ70" s="2936"/>
      <c r="VWA70" s="2936"/>
      <c r="VWB70" s="2936"/>
      <c r="VWC70" s="2936"/>
      <c r="VWD70" s="2936"/>
      <c r="VWE70" s="2936"/>
      <c r="VWF70" s="2936"/>
      <c r="VWG70" s="2936"/>
      <c r="VWH70" s="2936"/>
      <c r="VWI70" s="2936"/>
      <c r="VWJ70" s="2936"/>
      <c r="VWK70" s="2936"/>
      <c r="VWL70" s="2936"/>
      <c r="VWM70" s="2936"/>
      <c r="VWN70" s="2936"/>
      <c r="VWO70" s="2936"/>
      <c r="VWP70" s="2936"/>
      <c r="VWQ70" s="2936"/>
      <c r="VWR70" s="2936"/>
      <c r="VWS70" s="2936"/>
      <c r="VWT70" s="2936"/>
      <c r="VWU70" s="2936"/>
      <c r="VWV70" s="2936"/>
      <c r="VWW70" s="2936"/>
      <c r="VWX70" s="2936"/>
      <c r="VWY70" s="2936"/>
      <c r="VWZ70" s="2936"/>
      <c r="VXA70" s="2936"/>
      <c r="VXB70" s="2936"/>
      <c r="VXC70" s="2936"/>
      <c r="VXD70" s="2936"/>
      <c r="VXE70" s="2936"/>
      <c r="VXF70" s="2936"/>
      <c r="VXG70" s="2936"/>
      <c r="VXH70" s="2936"/>
      <c r="VXI70" s="2936"/>
      <c r="VXJ70" s="2936"/>
      <c r="VXK70" s="2936"/>
      <c r="VXL70" s="2936"/>
      <c r="VXM70" s="2936"/>
      <c r="VXN70" s="2936"/>
      <c r="VXO70" s="2936"/>
      <c r="VXP70" s="2936"/>
      <c r="VXQ70" s="2936"/>
      <c r="VXR70" s="2936"/>
      <c r="VXS70" s="2936"/>
      <c r="VXT70" s="2936"/>
      <c r="VXU70" s="2936"/>
      <c r="VXV70" s="2936"/>
      <c r="VXW70" s="2936"/>
      <c r="VXX70" s="2936"/>
      <c r="VXY70" s="2936"/>
      <c r="VXZ70" s="2936"/>
      <c r="VYA70" s="2936"/>
      <c r="VYB70" s="2936"/>
      <c r="VYC70" s="2936"/>
      <c r="VYD70" s="2936"/>
      <c r="VYE70" s="2936"/>
      <c r="VYF70" s="2936"/>
      <c r="VYG70" s="2936"/>
      <c r="VYH70" s="2936"/>
      <c r="VYI70" s="2936"/>
      <c r="VYJ70" s="2936"/>
      <c r="VYK70" s="2936"/>
      <c r="VYL70" s="2936"/>
      <c r="VYM70" s="2936"/>
      <c r="VYN70" s="2936"/>
      <c r="VYO70" s="2936"/>
      <c r="VYP70" s="2936"/>
      <c r="VYQ70" s="2936"/>
      <c r="VYR70" s="2936"/>
      <c r="VYS70" s="2936"/>
      <c r="VYT70" s="2936"/>
      <c r="VYU70" s="2936"/>
      <c r="VYV70" s="2936"/>
      <c r="VYW70" s="2936"/>
      <c r="VYX70" s="2936"/>
      <c r="VYY70" s="2936"/>
      <c r="VYZ70" s="2936"/>
      <c r="VZA70" s="2936"/>
      <c r="VZB70" s="2936"/>
      <c r="VZC70" s="2936"/>
      <c r="VZD70" s="2936"/>
      <c r="VZE70" s="2936"/>
      <c r="VZF70" s="2936"/>
      <c r="VZG70" s="2936"/>
      <c r="VZH70" s="2936"/>
      <c r="VZI70" s="2936"/>
      <c r="VZJ70" s="2936"/>
      <c r="VZK70" s="2936"/>
      <c r="VZL70" s="2936"/>
      <c r="VZM70" s="2936"/>
      <c r="VZN70" s="2936"/>
      <c r="VZO70" s="2936"/>
      <c r="VZP70" s="2936"/>
      <c r="VZQ70" s="2936"/>
      <c r="VZR70" s="2936"/>
      <c r="VZS70" s="2936"/>
      <c r="VZT70" s="2936"/>
      <c r="VZU70" s="2936"/>
      <c r="VZV70" s="2936"/>
      <c r="VZW70" s="2936"/>
      <c r="VZX70" s="2936"/>
      <c r="VZY70" s="2936"/>
      <c r="VZZ70" s="2936"/>
      <c r="WAA70" s="2936"/>
      <c r="WAB70" s="2936"/>
      <c r="WAC70" s="2936"/>
      <c r="WAD70" s="2936"/>
      <c r="WAE70" s="2936"/>
      <c r="WAF70" s="2936"/>
      <c r="WAG70" s="2936"/>
      <c r="WAH70" s="2936"/>
      <c r="WAI70" s="2936"/>
      <c r="WAJ70" s="2936"/>
      <c r="WAK70" s="2936"/>
      <c r="WAL70" s="2936"/>
      <c r="WAM70" s="2936"/>
      <c r="WAN70" s="2936"/>
      <c r="WAO70" s="2936"/>
      <c r="WAP70" s="2936"/>
      <c r="WAQ70" s="2936"/>
      <c r="WAR70" s="2936"/>
      <c r="WAS70" s="2936"/>
      <c r="WAT70" s="2936"/>
      <c r="WAU70" s="2936"/>
      <c r="WAV70" s="2936"/>
      <c r="WAW70" s="2936"/>
      <c r="WAX70" s="2936"/>
      <c r="WAY70" s="2936"/>
      <c r="WAZ70" s="2936"/>
      <c r="WBA70" s="2936"/>
      <c r="WBB70" s="2936"/>
      <c r="WBC70" s="2936"/>
      <c r="WBD70" s="2936"/>
      <c r="WBE70" s="2936"/>
      <c r="WBF70" s="2936"/>
      <c r="WBG70" s="2936"/>
      <c r="WBH70" s="2936"/>
      <c r="WBI70" s="2936"/>
      <c r="WBJ70" s="2936"/>
      <c r="WBK70" s="2936"/>
      <c r="WBL70" s="2936"/>
      <c r="WBM70" s="2936"/>
      <c r="WBN70" s="2936"/>
      <c r="WBO70" s="2936"/>
      <c r="WBP70" s="2936"/>
      <c r="WBQ70" s="2936"/>
      <c r="WBR70" s="2936"/>
      <c r="WBS70" s="2936"/>
      <c r="WBT70" s="2936"/>
      <c r="WBU70" s="2936"/>
      <c r="WBV70" s="2936"/>
      <c r="WBW70" s="2936"/>
      <c r="WBX70" s="2936"/>
      <c r="WBY70" s="2936"/>
      <c r="WBZ70" s="2936"/>
      <c r="WCA70" s="2936"/>
      <c r="WCB70" s="2936"/>
      <c r="WCC70" s="2936"/>
      <c r="WCD70" s="2936"/>
      <c r="WCE70" s="2936"/>
      <c r="WCF70" s="2936"/>
      <c r="WCG70" s="2936"/>
      <c r="WCH70" s="2936"/>
      <c r="WCI70" s="2936"/>
      <c r="WCJ70" s="2936"/>
      <c r="WCK70" s="2936"/>
      <c r="WCL70" s="2936"/>
      <c r="WCM70" s="2936"/>
      <c r="WCN70" s="2936"/>
      <c r="WCO70" s="2936"/>
      <c r="WCP70" s="2936"/>
      <c r="WCQ70" s="2936"/>
      <c r="WCR70" s="2936"/>
      <c r="WCS70" s="2936"/>
      <c r="WCT70" s="2936"/>
      <c r="WCU70" s="2936"/>
      <c r="WCV70" s="2936"/>
      <c r="WCW70" s="2936"/>
      <c r="WCX70" s="2936"/>
      <c r="WCY70" s="2936"/>
      <c r="WCZ70" s="2936"/>
      <c r="WDA70" s="2936"/>
      <c r="WDB70" s="2936"/>
      <c r="WDC70" s="2936"/>
      <c r="WDD70" s="2936"/>
      <c r="WDE70" s="2936"/>
      <c r="WDF70" s="2936"/>
      <c r="WDG70" s="2936"/>
      <c r="WDH70" s="2936"/>
      <c r="WDI70" s="2936"/>
      <c r="WDJ70" s="2936"/>
      <c r="WDK70" s="2936"/>
      <c r="WDL70" s="2936"/>
      <c r="WDM70" s="2936"/>
      <c r="WDN70" s="2936"/>
      <c r="WDO70" s="2936"/>
      <c r="WDP70" s="2936"/>
      <c r="WDQ70" s="2936"/>
      <c r="WDR70" s="2936"/>
      <c r="WDS70" s="2936"/>
      <c r="WDT70" s="2936"/>
      <c r="WDU70" s="2936"/>
      <c r="WDV70" s="2936"/>
      <c r="WDW70" s="2936"/>
      <c r="WDX70" s="2936"/>
      <c r="WDY70" s="2936"/>
      <c r="WDZ70" s="2936"/>
      <c r="WEA70" s="2936"/>
      <c r="WEB70" s="2936"/>
      <c r="WEC70" s="2936"/>
      <c r="WED70" s="2936"/>
      <c r="WEE70" s="2936"/>
      <c r="WEF70" s="2936"/>
      <c r="WEG70" s="2936"/>
      <c r="WEH70" s="2936"/>
      <c r="WEI70" s="2936"/>
      <c r="WEJ70" s="2936"/>
      <c r="WEK70" s="2936"/>
      <c r="WEL70" s="2936"/>
      <c r="WEM70" s="2936"/>
      <c r="WEN70" s="2936"/>
      <c r="WEO70" s="2936"/>
      <c r="WEP70" s="2936"/>
      <c r="WEQ70" s="2936"/>
      <c r="WER70" s="2936"/>
      <c r="WES70" s="2936"/>
      <c r="WET70" s="2936"/>
      <c r="WEU70" s="2936"/>
      <c r="WEV70" s="2936"/>
      <c r="WEW70" s="2936"/>
      <c r="WEX70" s="2936"/>
      <c r="WEY70" s="2936"/>
      <c r="WEZ70" s="2936"/>
      <c r="WFA70" s="2936"/>
      <c r="WFB70" s="2936"/>
      <c r="WFC70" s="2936"/>
      <c r="WFD70" s="2936"/>
      <c r="WFE70" s="2936"/>
      <c r="WFF70" s="2936"/>
      <c r="WFG70" s="2936"/>
      <c r="WFH70" s="2936"/>
      <c r="WFI70" s="2936"/>
      <c r="WFJ70" s="2936"/>
      <c r="WFK70" s="2936"/>
      <c r="WFL70" s="2936"/>
      <c r="WFM70" s="2936"/>
      <c r="WFN70" s="2936"/>
      <c r="WFO70" s="2936"/>
      <c r="WFP70" s="2936"/>
      <c r="WFQ70" s="2936"/>
      <c r="WFR70" s="2936"/>
      <c r="WFS70" s="2936"/>
      <c r="WFT70" s="2936"/>
      <c r="WFU70" s="2936"/>
      <c r="WFV70" s="2936"/>
      <c r="WFW70" s="2936"/>
      <c r="WFX70" s="2936"/>
      <c r="WFY70" s="2936"/>
      <c r="WFZ70" s="2936"/>
      <c r="WGA70" s="2936"/>
      <c r="WGB70" s="2936"/>
      <c r="WGC70" s="2936"/>
      <c r="WGD70" s="2936"/>
      <c r="WGE70" s="2936"/>
      <c r="WGF70" s="2936"/>
      <c r="WGG70" s="2936"/>
      <c r="WGH70" s="2936"/>
      <c r="WGI70" s="2936"/>
      <c r="WGJ70" s="2936"/>
      <c r="WGK70" s="2936"/>
      <c r="WGL70" s="2936"/>
      <c r="WGM70" s="2936"/>
      <c r="WGN70" s="2936"/>
      <c r="WGO70" s="2936"/>
      <c r="WGP70" s="2936"/>
      <c r="WGQ70" s="2936"/>
      <c r="WGR70" s="2936"/>
      <c r="WGS70" s="2936"/>
      <c r="WGT70" s="2936"/>
      <c r="WGU70" s="2936"/>
      <c r="WGV70" s="2936"/>
      <c r="WGW70" s="2936"/>
      <c r="WGX70" s="2936"/>
      <c r="WGY70" s="2936"/>
      <c r="WGZ70" s="2936"/>
      <c r="WHA70" s="2936"/>
      <c r="WHB70" s="2936"/>
      <c r="WHC70" s="2936"/>
      <c r="WHD70" s="2936"/>
      <c r="WHE70" s="2936"/>
      <c r="WHF70" s="2936"/>
      <c r="WHG70" s="2936"/>
      <c r="WHH70" s="2936"/>
      <c r="WHI70" s="2936"/>
      <c r="WHJ70" s="2936"/>
      <c r="WHK70" s="2936"/>
      <c r="WHL70" s="2936"/>
      <c r="WHM70" s="2936"/>
      <c r="WHN70" s="2936"/>
      <c r="WHO70" s="2936"/>
      <c r="WHP70" s="2936"/>
      <c r="WHQ70" s="2936"/>
      <c r="WHR70" s="2936"/>
      <c r="WHS70" s="2936"/>
      <c r="WHT70" s="2936"/>
      <c r="WHU70" s="2936"/>
      <c r="WHV70" s="2936"/>
      <c r="WHW70" s="2936"/>
      <c r="WHX70" s="2936"/>
      <c r="WHY70" s="2936"/>
      <c r="WHZ70" s="2936"/>
      <c r="WIA70" s="2936"/>
      <c r="WIB70" s="2936"/>
      <c r="WIC70" s="2936"/>
      <c r="WID70" s="2936"/>
      <c r="WIE70" s="2936"/>
      <c r="WIF70" s="2936"/>
      <c r="WIG70" s="2936"/>
      <c r="WIH70" s="2936"/>
      <c r="WII70" s="2936"/>
      <c r="WIJ70" s="2936"/>
      <c r="WIK70" s="2936"/>
      <c r="WIL70" s="2936"/>
      <c r="WIM70" s="2936"/>
      <c r="WIN70" s="2936"/>
      <c r="WIO70" s="2936"/>
      <c r="WIP70" s="2936"/>
      <c r="WIQ70" s="2936"/>
      <c r="WIR70" s="2936"/>
      <c r="WIS70" s="2936"/>
      <c r="WIT70" s="2936"/>
      <c r="WIU70" s="2936"/>
      <c r="WIV70" s="2936"/>
      <c r="WIW70" s="2936"/>
      <c r="WIX70" s="2936"/>
      <c r="WIY70" s="2936"/>
      <c r="WIZ70" s="2936"/>
      <c r="WJA70" s="2936"/>
      <c r="WJB70" s="2936"/>
      <c r="WJC70" s="2936"/>
      <c r="WJD70" s="2936"/>
      <c r="WJE70" s="2936"/>
      <c r="WJF70" s="2936"/>
      <c r="WJG70" s="2936"/>
      <c r="WJH70" s="2936"/>
      <c r="WJI70" s="2936"/>
      <c r="WJJ70" s="2936"/>
      <c r="WJK70" s="2936"/>
      <c r="WJL70" s="2936"/>
      <c r="WJM70" s="2936"/>
      <c r="WJN70" s="2936"/>
      <c r="WJO70" s="2936"/>
      <c r="WJP70" s="2936"/>
      <c r="WJQ70" s="2936"/>
      <c r="WJR70" s="2936"/>
      <c r="WJS70" s="2936"/>
      <c r="WJT70" s="2936"/>
      <c r="WJU70" s="2936"/>
      <c r="WJV70" s="2936"/>
      <c r="WJW70" s="2936"/>
      <c r="WJX70" s="2936"/>
      <c r="WJY70" s="2936"/>
      <c r="WJZ70" s="2936"/>
      <c r="WKA70" s="2936"/>
      <c r="WKB70" s="2936"/>
      <c r="WKC70" s="2936"/>
      <c r="WKD70" s="2936"/>
      <c r="WKE70" s="2936"/>
      <c r="WKF70" s="2936"/>
      <c r="WKG70" s="2936"/>
      <c r="WKH70" s="2936"/>
      <c r="WKI70" s="2936"/>
      <c r="WKJ70" s="2936"/>
      <c r="WKK70" s="2936"/>
      <c r="WKL70" s="2936"/>
      <c r="WKM70" s="2936"/>
      <c r="WKN70" s="2936"/>
      <c r="WKO70" s="2936"/>
      <c r="WKP70" s="2936"/>
      <c r="WKQ70" s="2936"/>
      <c r="WKR70" s="2936"/>
      <c r="WKS70" s="2936"/>
      <c r="WKT70" s="2936"/>
      <c r="WKU70" s="2936"/>
      <c r="WKV70" s="2936"/>
      <c r="WKW70" s="2936"/>
      <c r="WKX70" s="2936"/>
      <c r="WKY70" s="2936"/>
      <c r="WKZ70" s="2936"/>
      <c r="WLA70" s="2936"/>
      <c r="WLB70" s="2936"/>
      <c r="WLC70" s="2936"/>
      <c r="WLD70" s="2936"/>
      <c r="WLE70" s="2936"/>
      <c r="WLF70" s="2936"/>
      <c r="WLG70" s="2936"/>
      <c r="WLH70" s="2936"/>
      <c r="WLI70" s="2936"/>
      <c r="WLJ70" s="2936"/>
      <c r="WLK70" s="2936"/>
      <c r="WLL70" s="2936"/>
      <c r="WLM70" s="2936"/>
      <c r="WLN70" s="2936"/>
      <c r="WLO70" s="2936"/>
      <c r="WLP70" s="2936"/>
      <c r="WLQ70" s="2936"/>
      <c r="WLR70" s="2936"/>
      <c r="WLS70" s="2936"/>
      <c r="WLT70" s="2936"/>
      <c r="WLU70" s="2936"/>
      <c r="WLV70" s="2936"/>
      <c r="WLW70" s="2936"/>
      <c r="WLX70" s="2936"/>
      <c r="WLY70" s="2936"/>
      <c r="WLZ70" s="2936"/>
      <c r="WMA70" s="2936"/>
      <c r="WMB70" s="2936"/>
      <c r="WMC70" s="2936"/>
      <c r="WMD70" s="2936"/>
      <c r="WME70" s="2936"/>
      <c r="WMF70" s="2936"/>
      <c r="WMG70" s="2936"/>
      <c r="WMH70" s="2936"/>
      <c r="WMI70" s="2936"/>
      <c r="WMJ70" s="2936"/>
      <c r="WMK70" s="2936"/>
      <c r="WML70" s="2936"/>
      <c r="WMM70" s="2936"/>
      <c r="WMN70" s="2936"/>
      <c r="WMO70" s="2936"/>
      <c r="WMP70" s="2936"/>
      <c r="WMQ70" s="2936"/>
      <c r="WMR70" s="2936"/>
      <c r="WMS70" s="2936"/>
      <c r="WMT70" s="2936"/>
      <c r="WMU70" s="2936"/>
      <c r="WMV70" s="2936"/>
      <c r="WMW70" s="2936"/>
      <c r="WMX70" s="2936"/>
      <c r="WMY70" s="2936"/>
      <c r="WMZ70" s="2936"/>
      <c r="WNA70" s="2936"/>
      <c r="WNB70" s="2936"/>
      <c r="WNC70" s="2936"/>
      <c r="WND70" s="2936"/>
      <c r="WNE70" s="2936"/>
      <c r="WNF70" s="2936"/>
      <c r="WNG70" s="2936"/>
      <c r="WNH70" s="2936"/>
      <c r="WNI70" s="2936"/>
      <c r="WNJ70" s="2936"/>
      <c r="WNK70" s="2936"/>
      <c r="WNL70" s="2936"/>
      <c r="WNM70" s="2936"/>
      <c r="WNN70" s="2936"/>
      <c r="WNO70" s="2936"/>
      <c r="WNP70" s="2936"/>
      <c r="WNQ70" s="2936"/>
      <c r="WNR70" s="2936"/>
      <c r="WNS70" s="2936"/>
      <c r="WNT70" s="2936"/>
      <c r="WNU70" s="2936"/>
      <c r="WNV70" s="2936"/>
      <c r="WNW70" s="2936"/>
      <c r="WNX70" s="2936"/>
      <c r="WNY70" s="2936"/>
      <c r="WNZ70" s="2936"/>
      <c r="WOA70" s="2936"/>
      <c r="WOB70" s="2936"/>
      <c r="WOC70" s="2936"/>
      <c r="WOD70" s="2936"/>
      <c r="WOE70" s="2936"/>
      <c r="WOF70" s="2936"/>
      <c r="WOG70" s="2936"/>
      <c r="WOH70" s="2936"/>
      <c r="WOI70" s="2936"/>
      <c r="WOJ70" s="2936"/>
      <c r="WOK70" s="2936"/>
      <c r="WOL70" s="2936"/>
      <c r="WOM70" s="2936"/>
      <c r="WON70" s="2936"/>
      <c r="WOO70" s="2936"/>
      <c r="WOP70" s="2936"/>
      <c r="WOQ70" s="2936"/>
      <c r="WOR70" s="2936"/>
      <c r="WOS70" s="2936"/>
      <c r="WOT70" s="2936"/>
      <c r="WOU70" s="2936"/>
      <c r="WOV70" s="2936"/>
      <c r="WOW70" s="2936"/>
      <c r="WOX70" s="2936"/>
      <c r="WOY70" s="2936"/>
      <c r="WOZ70" s="2936"/>
      <c r="WPA70" s="2936"/>
      <c r="WPB70" s="2936"/>
      <c r="WPC70" s="2936"/>
      <c r="WPD70" s="2936"/>
      <c r="WPE70" s="2936"/>
      <c r="WPF70" s="2936"/>
      <c r="WPG70" s="2936"/>
      <c r="WPH70" s="2936"/>
      <c r="WPI70" s="2936"/>
      <c r="WPJ70" s="2936"/>
      <c r="WPK70" s="2936"/>
      <c r="WPL70" s="2936"/>
      <c r="WPM70" s="2936"/>
      <c r="WPN70" s="2936"/>
      <c r="WPO70" s="2936"/>
      <c r="WPP70" s="2936"/>
      <c r="WPQ70" s="2936"/>
      <c r="WPR70" s="2936"/>
      <c r="WPS70" s="2936"/>
      <c r="WPT70" s="2936"/>
      <c r="WPU70" s="2936"/>
      <c r="WPV70" s="2936"/>
      <c r="WPW70" s="2936"/>
      <c r="WPX70" s="2936"/>
      <c r="WPY70" s="2936"/>
      <c r="WPZ70" s="2936"/>
      <c r="WQA70" s="2936"/>
      <c r="WQB70" s="2936"/>
      <c r="WQC70" s="2936"/>
      <c r="WQD70" s="2936"/>
      <c r="WQE70" s="2936"/>
      <c r="WQF70" s="2936"/>
      <c r="WQG70" s="2936"/>
      <c r="WQH70" s="2936"/>
      <c r="WQI70" s="2936"/>
      <c r="WQJ70" s="2936"/>
      <c r="WQK70" s="2936"/>
      <c r="WQL70" s="2936"/>
      <c r="WQM70" s="2936"/>
      <c r="WQN70" s="2936"/>
      <c r="WQO70" s="2936"/>
      <c r="WQP70" s="2936"/>
      <c r="WQQ70" s="2936"/>
      <c r="WQR70" s="2936"/>
      <c r="WQS70" s="2936"/>
      <c r="WQT70" s="2936"/>
      <c r="WQU70" s="2936"/>
      <c r="WQV70" s="2936"/>
      <c r="WQW70" s="2936"/>
      <c r="WQX70" s="2936"/>
      <c r="WQY70" s="2936"/>
      <c r="WQZ70" s="2936"/>
      <c r="WRA70" s="2936"/>
      <c r="WRB70" s="2936"/>
      <c r="WRC70" s="2936"/>
      <c r="WRD70" s="2936"/>
      <c r="WRE70" s="2936"/>
      <c r="WRF70" s="2936"/>
      <c r="WRG70" s="2936"/>
      <c r="WRH70" s="2936"/>
      <c r="WRI70" s="2936"/>
      <c r="WRJ70" s="2936"/>
      <c r="WRK70" s="2936"/>
      <c r="WRL70" s="2936"/>
      <c r="WRM70" s="2936"/>
      <c r="WRN70" s="2936"/>
      <c r="WRO70" s="2936"/>
      <c r="WRP70" s="2936"/>
      <c r="WRQ70" s="2936"/>
      <c r="WRR70" s="2936"/>
      <c r="WRS70" s="2936"/>
      <c r="WRT70" s="2936"/>
      <c r="WRU70" s="2936"/>
      <c r="WRV70" s="2936"/>
      <c r="WRW70" s="2936"/>
      <c r="WRX70" s="2936"/>
      <c r="WRY70" s="2936"/>
      <c r="WRZ70" s="2936"/>
      <c r="WSA70" s="2936"/>
      <c r="WSB70" s="2936"/>
      <c r="WSC70" s="2936"/>
      <c r="WSD70" s="2936"/>
      <c r="WSE70" s="2936"/>
      <c r="WSF70" s="2936"/>
      <c r="WSG70" s="2936"/>
      <c r="WSH70" s="2936"/>
      <c r="WSI70" s="2936"/>
      <c r="WSJ70" s="2936"/>
      <c r="WSK70" s="2936"/>
      <c r="WSL70" s="2936"/>
      <c r="WSM70" s="2936"/>
      <c r="WSN70" s="2936"/>
      <c r="WSO70" s="2936"/>
      <c r="WSP70" s="2936"/>
      <c r="WSQ70" s="2936"/>
      <c r="WSR70" s="2936"/>
      <c r="WSS70" s="2936"/>
      <c r="WST70" s="2936"/>
      <c r="WSU70" s="2936"/>
      <c r="WSV70" s="2936"/>
      <c r="WSW70" s="2936"/>
      <c r="WSX70" s="2936"/>
      <c r="WSY70" s="2936"/>
      <c r="WSZ70" s="2936"/>
      <c r="WTA70" s="2936"/>
      <c r="WTB70" s="2936"/>
      <c r="WTC70" s="2936"/>
      <c r="WTD70" s="2936"/>
      <c r="WTE70" s="2936"/>
      <c r="WTF70" s="2936"/>
      <c r="WTG70" s="2936"/>
      <c r="WTH70" s="2936"/>
      <c r="WTI70" s="2936"/>
      <c r="WTJ70" s="2936"/>
      <c r="WTK70" s="2936"/>
      <c r="WTL70" s="2936"/>
      <c r="WTM70" s="2936"/>
      <c r="WTN70" s="2936"/>
      <c r="WTO70" s="2936"/>
      <c r="WTP70" s="2936"/>
      <c r="WTQ70" s="2936"/>
      <c r="WTR70" s="2936"/>
      <c r="WTS70" s="2936"/>
      <c r="WTT70" s="2936"/>
      <c r="WTU70" s="2936"/>
      <c r="WTV70" s="2936"/>
      <c r="WTW70" s="2936"/>
      <c r="WTX70" s="2936"/>
      <c r="WTY70" s="2936"/>
      <c r="WTZ70" s="2936"/>
      <c r="WUA70" s="2936"/>
      <c r="WUB70" s="2936"/>
      <c r="WUC70" s="2936"/>
      <c r="WUD70" s="2936"/>
      <c r="WUE70" s="2936"/>
      <c r="WUF70" s="2936"/>
      <c r="WUG70" s="2936"/>
      <c r="WUH70" s="2936"/>
      <c r="WUI70" s="2936"/>
      <c r="WUJ70" s="2936"/>
      <c r="WUK70" s="2936"/>
      <c r="WUL70" s="2936"/>
      <c r="WUM70" s="2936"/>
      <c r="WUN70" s="2936"/>
      <c r="WUO70" s="2936"/>
      <c r="WUP70" s="2936"/>
      <c r="WUQ70" s="2936"/>
      <c r="WUR70" s="2936"/>
      <c r="WUS70" s="2936"/>
      <c r="WUT70" s="2936"/>
      <c r="WUU70" s="2936"/>
      <c r="WUV70" s="2936"/>
      <c r="WUW70" s="2936"/>
      <c r="WUX70" s="2936"/>
      <c r="WUY70" s="2936"/>
      <c r="WUZ70" s="2936"/>
      <c r="WVA70" s="2936"/>
      <c r="WVB70" s="2936"/>
      <c r="WVC70" s="2936"/>
      <c r="WVD70" s="2936"/>
      <c r="WVE70" s="2936"/>
      <c r="WVF70" s="2936"/>
      <c r="WVG70" s="2936"/>
      <c r="WVH70" s="2936"/>
      <c r="WVI70" s="2936"/>
      <c r="WVJ70" s="2936"/>
      <c r="WVK70" s="2936"/>
      <c r="WVL70" s="2936"/>
      <c r="WVM70" s="2936"/>
      <c r="WVN70" s="2936"/>
      <c r="WVO70" s="2936"/>
      <c r="WVP70" s="2936"/>
      <c r="WVQ70" s="2936"/>
      <c r="WVR70" s="2936"/>
      <c r="WVS70" s="2936"/>
      <c r="WVT70" s="2936"/>
      <c r="WVU70" s="2936"/>
      <c r="WVV70" s="2936"/>
      <c r="WVW70" s="2936"/>
      <c r="WVX70" s="2936"/>
      <c r="WVY70" s="2936"/>
      <c r="WVZ70" s="2936"/>
      <c r="WWA70" s="2936"/>
      <c r="WWB70" s="2936"/>
      <c r="WWC70" s="2936"/>
      <c r="WWD70" s="2936"/>
      <c r="WWE70" s="2936"/>
      <c r="WWF70" s="2936"/>
      <c r="WWG70" s="2936"/>
      <c r="WWH70" s="2936"/>
      <c r="WWI70" s="2936"/>
      <c r="WWJ70" s="2936"/>
      <c r="WWK70" s="2936"/>
      <c r="WWL70" s="2936"/>
      <c r="WWM70" s="2936"/>
      <c r="WWN70" s="2936"/>
      <c r="WWO70" s="2936"/>
      <c r="WWP70" s="2936"/>
      <c r="WWQ70" s="2936"/>
      <c r="WWR70" s="2936"/>
      <c r="WWS70" s="2936"/>
      <c r="WWT70" s="2936"/>
      <c r="WWU70" s="2936"/>
      <c r="WWV70" s="2936"/>
      <c r="WWW70" s="2936"/>
      <c r="WWX70" s="2936"/>
      <c r="WWY70" s="2936"/>
      <c r="WWZ70" s="2936"/>
      <c r="WXA70" s="2936"/>
      <c r="WXB70" s="2936"/>
      <c r="WXC70" s="2936"/>
      <c r="WXD70" s="2936"/>
      <c r="WXE70" s="2936"/>
      <c r="WXF70" s="2936"/>
      <c r="WXG70" s="2936"/>
      <c r="WXH70" s="2936"/>
      <c r="WXI70" s="2936"/>
      <c r="WXJ70" s="2936"/>
      <c r="WXK70" s="2936"/>
      <c r="WXL70" s="2936"/>
      <c r="WXM70" s="2936"/>
      <c r="WXN70" s="2936"/>
      <c r="WXO70" s="2936"/>
      <c r="WXP70" s="2936"/>
      <c r="WXQ70" s="2936"/>
      <c r="WXR70" s="2936"/>
      <c r="WXS70" s="2936"/>
      <c r="WXT70" s="2936"/>
      <c r="WXU70" s="2936"/>
      <c r="WXV70" s="2936"/>
      <c r="WXW70" s="2936"/>
      <c r="WXX70" s="2936"/>
      <c r="WXY70" s="2936"/>
      <c r="WXZ70" s="2936"/>
      <c r="WYA70" s="2936"/>
      <c r="WYB70" s="2936"/>
      <c r="WYC70" s="2936"/>
      <c r="WYD70" s="2936"/>
      <c r="WYE70" s="2936"/>
      <c r="WYF70" s="2936"/>
      <c r="WYG70" s="2936"/>
      <c r="WYH70" s="2936"/>
      <c r="WYI70" s="2936"/>
      <c r="WYJ70" s="2936"/>
      <c r="WYK70" s="2936"/>
      <c r="WYL70" s="2936"/>
      <c r="WYM70" s="2936"/>
      <c r="WYN70" s="2936"/>
      <c r="WYO70" s="2936"/>
      <c r="WYP70" s="2936"/>
      <c r="WYQ70" s="2936"/>
      <c r="WYR70" s="2936"/>
      <c r="WYS70" s="2936"/>
      <c r="WYT70" s="2936"/>
      <c r="WYU70" s="2936"/>
      <c r="WYV70" s="2936"/>
      <c r="WYW70" s="2936"/>
      <c r="WYX70" s="2936"/>
      <c r="WYY70" s="2936"/>
      <c r="WYZ70" s="2936"/>
      <c r="WZA70" s="2936"/>
      <c r="WZB70" s="2936"/>
      <c r="WZC70" s="2936"/>
      <c r="WZD70" s="2936"/>
      <c r="WZE70" s="2936"/>
      <c r="WZF70" s="2936"/>
      <c r="WZG70" s="2936"/>
      <c r="WZH70" s="2936"/>
      <c r="WZI70" s="2936"/>
      <c r="WZJ70" s="2936"/>
      <c r="WZK70" s="2936"/>
      <c r="WZL70" s="2936"/>
      <c r="WZM70" s="2936"/>
      <c r="WZN70" s="2936"/>
      <c r="WZO70" s="2936"/>
      <c r="WZP70" s="2936"/>
      <c r="WZQ70" s="2936"/>
      <c r="WZR70" s="2936"/>
      <c r="WZS70" s="2936"/>
      <c r="WZT70" s="2936"/>
      <c r="WZU70" s="2936"/>
      <c r="WZV70" s="2936"/>
      <c r="WZW70" s="2936"/>
      <c r="WZX70" s="2936"/>
      <c r="WZY70" s="2936"/>
      <c r="WZZ70" s="2936"/>
      <c r="XAA70" s="2936"/>
      <c r="XAB70" s="2936"/>
      <c r="XAC70" s="2936"/>
      <c r="XAD70" s="2936"/>
      <c r="XAE70" s="2936"/>
      <c r="XAF70" s="2936"/>
      <c r="XAG70" s="2936"/>
      <c r="XAH70" s="2936"/>
      <c r="XAI70" s="2936"/>
      <c r="XAJ70" s="2936"/>
      <c r="XAK70" s="2936"/>
      <c r="XAL70" s="2936"/>
      <c r="XAM70" s="2936"/>
      <c r="XAN70" s="2936"/>
      <c r="XAO70" s="2936"/>
      <c r="XAP70" s="2936"/>
      <c r="XAQ70" s="2936"/>
      <c r="XAR70" s="2936"/>
      <c r="XAS70" s="2936"/>
      <c r="XAT70" s="2936"/>
      <c r="XAU70" s="2936"/>
      <c r="XAV70" s="2936"/>
      <c r="XAW70" s="2936"/>
      <c r="XAX70" s="2936"/>
      <c r="XAY70" s="2936"/>
      <c r="XAZ70" s="2936"/>
      <c r="XBA70" s="2936"/>
      <c r="XBB70" s="2936"/>
      <c r="XBC70" s="2936"/>
      <c r="XBD70" s="2936"/>
      <c r="XBE70" s="2936"/>
      <c r="XBF70" s="2936"/>
      <c r="XBG70" s="2936"/>
      <c r="XBH70" s="2936"/>
      <c r="XBI70" s="2936"/>
      <c r="XBJ70" s="2936"/>
      <c r="XBK70" s="2936"/>
      <c r="XBL70" s="2936"/>
      <c r="XBM70" s="2936"/>
      <c r="XBN70" s="2936"/>
      <c r="XBO70" s="2936"/>
      <c r="XBP70" s="2936"/>
      <c r="XBQ70" s="2936"/>
      <c r="XBR70" s="2936"/>
      <c r="XBS70" s="2936"/>
      <c r="XBT70" s="2936"/>
      <c r="XBU70" s="2936"/>
      <c r="XBV70" s="2936"/>
      <c r="XBW70" s="2936"/>
      <c r="XBX70" s="2936"/>
      <c r="XBY70" s="2936"/>
      <c r="XBZ70" s="2936"/>
      <c r="XCA70" s="2936"/>
      <c r="XCB70" s="2936"/>
      <c r="XCC70" s="2936"/>
      <c r="XCD70" s="2936"/>
      <c r="XCE70" s="2936"/>
      <c r="XCF70" s="2936"/>
      <c r="XCG70" s="2936"/>
      <c r="XCH70" s="2936"/>
      <c r="XCI70" s="2936"/>
      <c r="XCJ70" s="2936"/>
      <c r="XCK70" s="2936"/>
      <c r="XCL70" s="2936"/>
      <c r="XCM70" s="2936"/>
      <c r="XCN70" s="2936"/>
      <c r="XCO70" s="2936"/>
      <c r="XCP70" s="2936"/>
      <c r="XCQ70" s="2936"/>
      <c r="XCR70" s="2936"/>
      <c r="XCS70" s="2936"/>
      <c r="XCT70" s="2936"/>
      <c r="XCU70" s="2936"/>
      <c r="XCV70" s="2936"/>
      <c r="XCW70" s="2936"/>
      <c r="XCX70" s="2936"/>
      <c r="XCY70" s="2936"/>
      <c r="XCZ70" s="2936"/>
      <c r="XDA70" s="2936"/>
      <c r="XDB70" s="2936"/>
      <c r="XDC70" s="2936"/>
      <c r="XDD70" s="2936"/>
      <c r="XDE70" s="2936"/>
      <c r="XDF70" s="2936"/>
      <c r="XDG70" s="2936"/>
      <c r="XDH70" s="2936"/>
      <c r="XDI70" s="2936"/>
      <c r="XDJ70" s="2936"/>
      <c r="XDK70" s="2936"/>
      <c r="XDL70" s="2936"/>
      <c r="XDM70" s="2936"/>
      <c r="XDN70" s="2936"/>
      <c r="XDO70" s="2936"/>
      <c r="XDP70" s="2936"/>
      <c r="XDQ70" s="2936"/>
      <c r="XDR70" s="2936"/>
      <c r="XDS70" s="2936"/>
      <c r="XDT70" s="2936"/>
      <c r="XDU70" s="2936"/>
      <c r="XDV70" s="2936"/>
      <c r="XDW70" s="2936"/>
      <c r="XDX70" s="2936"/>
      <c r="XDY70" s="2936"/>
      <c r="XDZ70" s="2936"/>
      <c r="XEA70" s="2936"/>
      <c r="XEB70" s="2936"/>
      <c r="XEC70" s="2936"/>
      <c r="XED70" s="2936"/>
      <c r="XEE70" s="2936"/>
      <c r="XEF70" s="2936"/>
      <c r="XEG70" s="2936"/>
      <c r="XEH70" s="2936"/>
      <c r="XEI70" s="2936"/>
      <c r="XEJ70" s="2936"/>
      <c r="XEK70" s="2936"/>
      <c r="XEL70" s="2936"/>
      <c r="XEM70" s="2936"/>
      <c r="XEN70" s="2936"/>
      <c r="XEO70" s="2936"/>
      <c r="XEP70" s="2936"/>
      <c r="XEQ70" s="2936"/>
      <c r="XER70" s="2936"/>
      <c r="XES70" s="2936"/>
      <c r="XET70" s="2936"/>
      <c r="XEU70" s="2936"/>
      <c r="XEV70" s="2936"/>
      <c r="XEW70" s="2936"/>
      <c r="XEX70" s="2936"/>
      <c r="XEY70" s="2936"/>
      <c r="XEZ70" s="2936"/>
      <c r="XFA70" s="2936"/>
      <c r="XFB70" s="2936"/>
      <c r="XFC70" s="2936"/>
    </row>
    <row r="71" spans="1:16383" x14ac:dyDescent="0.25">
      <c r="A71" s="5" t="s">
        <v>1321</v>
      </c>
      <c r="B71" s="2936"/>
      <c r="C71" s="2936"/>
      <c r="D71" s="2936"/>
      <c r="F71" s="2936"/>
      <c r="G71" s="2936"/>
      <c r="H71" s="2936"/>
      <c r="I71" s="2936"/>
      <c r="J71" s="2936"/>
      <c r="K71" s="2936"/>
      <c r="L71" s="2936"/>
      <c r="M71" s="2936"/>
      <c r="N71" s="2936"/>
      <c r="O71" s="2936"/>
      <c r="P71" s="2936"/>
      <c r="Q71" s="2936"/>
      <c r="R71" s="2936"/>
      <c r="S71" s="2936"/>
      <c r="T71" s="2936"/>
      <c r="U71" s="2936"/>
      <c r="V71" s="2936"/>
      <c r="W71" s="2936"/>
      <c r="X71" s="2936"/>
      <c r="Y71" s="2936"/>
      <c r="Z71" s="2936"/>
      <c r="AA71" s="2936"/>
      <c r="AB71" s="2936"/>
      <c r="AC71" s="2936"/>
      <c r="AD71" s="2936"/>
      <c r="AE71" s="2936"/>
      <c r="AF71" s="2936"/>
      <c r="AG71" s="2936"/>
      <c r="AH71" s="2936"/>
      <c r="AI71" s="2936"/>
      <c r="AJ71" s="2936"/>
      <c r="AK71" s="2936"/>
      <c r="AL71" s="2936"/>
      <c r="AM71" s="2936"/>
      <c r="AN71" s="2936"/>
      <c r="AO71" s="2936"/>
      <c r="AP71" s="2936"/>
      <c r="AQ71" s="2936"/>
      <c r="AR71" s="2936"/>
      <c r="AS71" s="2936"/>
      <c r="AT71" s="2936"/>
      <c r="AU71" s="2936"/>
      <c r="AV71" s="2936"/>
      <c r="AW71" s="2936"/>
      <c r="AX71" s="2936"/>
      <c r="AY71" s="2936"/>
      <c r="AZ71" s="2936"/>
      <c r="BA71" s="2936"/>
      <c r="BB71" s="2936"/>
      <c r="BC71" s="2936"/>
      <c r="BD71" s="2936"/>
      <c r="BE71" s="2936"/>
      <c r="BF71" s="2936"/>
      <c r="BG71" s="2936"/>
      <c r="BH71" s="2936"/>
      <c r="BI71" s="2936"/>
      <c r="BJ71" s="2936"/>
      <c r="BK71" s="2936"/>
      <c r="BL71" s="2936"/>
      <c r="BM71" s="2936"/>
      <c r="BN71" s="2936"/>
      <c r="BO71" s="2936"/>
      <c r="BP71" s="2936"/>
      <c r="BQ71" s="2936"/>
      <c r="BR71" s="2936"/>
      <c r="BS71" s="2936"/>
      <c r="BT71" s="2936"/>
      <c r="BU71" s="2936"/>
      <c r="BV71" s="2936"/>
      <c r="BW71" s="2936"/>
      <c r="BX71" s="2936"/>
      <c r="BY71" s="2936"/>
      <c r="BZ71" s="2936"/>
      <c r="CA71" s="2936"/>
      <c r="CB71" s="2936"/>
      <c r="CC71" s="2936"/>
      <c r="CD71" s="2936"/>
      <c r="CE71" s="2936"/>
      <c r="CF71" s="2936"/>
      <c r="CG71" s="2936"/>
      <c r="CH71" s="2936"/>
      <c r="CI71" s="2936"/>
      <c r="CJ71" s="2936"/>
      <c r="CK71" s="2936"/>
      <c r="CL71" s="2936"/>
      <c r="CM71" s="2936"/>
      <c r="CN71" s="2936"/>
      <c r="CO71" s="2936"/>
      <c r="CP71" s="2936"/>
      <c r="CQ71" s="2936"/>
      <c r="CR71" s="2936"/>
      <c r="CS71" s="2936"/>
      <c r="CT71" s="2936"/>
      <c r="CU71" s="2936"/>
      <c r="CV71" s="2936"/>
      <c r="CW71" s="2936"/>
      <c r="CX71" s="2936"/>
      <c r="CY71" s="2936"/>
      <c r="CZ71" s="2936"/>
      <c r="DA71" s="2936"/>
      <c r="DB71" s="2936"/>
      <c r="DC71" s="2936"/>
      <c r="DD71" s="2936"/>
      <c r="DE71" s="2936"/>
      <c r="DF71" s="2936"/>
      <c r="DG71" s="2936"/>
      <c r="DH71" s="2936"/>
      <c r="DI71" s="2936"/>
      <c r="DJ71" s="2936"/>
      <c r="DK71" s="2936"/>
      <c r="DL71" s="2936"/>
      <c r="DM71" s="2936"/>
      <c r="DN71" s="2936"/>
      <c r="DO71" s="2936"/>
      <c r="DP71" s="2936"/>
      <c r="DQ71" s="2936"/>
      <c r="DR71" s="2936"/>
      <c r="DS71" s="2936"/>
      <c r="DT71" s="2936"/>
      <c r="DU71" s="2936"/>
      <c r="DV71" s="2936"/>
      <c r="DW71" s="2936"/>
      <c r="DX71" s="2936"/>
      <c r="DY71" s="2936"/>
      <c r="DZ71" s="2936"/>
      <c r="EA71" s="2936"/>
      <c r="EB71" s="2936"/>
      <c r="EC71" s="2936"/>
      <c r="ED71" s="2936"/>
      <c r="EE71" s="2936"/>
      <c r="EF71" s="2936"/>
      <c r="EG71" s="2936"/>
      <c r="EH71" s="2936"/>
      <c r="EI71" s="2936"/>
      <c r="EJ71" s="2936"/>
      <c r="EK71" s="2936"/>
      <c r="EL71" s="2936"/>
      <c r="EM71" s="2936"/>
      <c r="EN71" s="2936"/>
      <c r="EO71" s="2936"/>
      <c r="EP71" s="2936"/>
      <c r="EQ71" s="2936"/>
      <c r="ER71" s="2936"/>
      <c r="ES71" s="2936"/>
      <c r="ET71" s="2936"/>
      <c r="EU71" s="2936"/>
      <c r="EV71" s="2936"/>
      <c r="EW71" s="2936"/>
      <c r="EX71" s="2936"/>
      <c r="EY71" s="2936"/>
      <c r="EZ71" s="2936"/>
      <c r="FA71" s="2936"/>
      <c r="FB71" s="2936"/>
      <c r="FC71" s="2936"/>
      <c r="FD71" s="2936"/>
      <c r="FE71" s="2936"/>
      <c r="FF71" s="2936"/>
      <c r="FG71" s="2936"/>
      <c r="FH71" s="2936"/>
      <c r="FI71" s="2936"/>
      <c r="FJ71" s="2936"/>
      <c r="FK71" s="2936"/>
      <c r="FL71" s="2936"/>
      <c r="FM71" s="2936"/>
      <c r="FN71" s="2936"/>
      <c r="FO71" s="2936"/>
      <c r="FP71" s="2936"/>
      <c r="FQ71" s="2936"/>
      <c r="FR71" s="2936"/>
      <c r="FS71" s="2936"/>
      <c r="FT71" s="2936"/>
      <c r="FU71" s="2936"/>
      <c r="FV71" s="2936"/>
      <c r="FW71" s="2936"/>
      <c r="FX71" s="2936"/>
      <c r="FY71" s="2936"/>
      <c r="FZ71" s="2936"/>
      <c r="GA71" s="2936"/>
      <c r="GB71" s="2936"/>
      <c r="GC71" s="2936"/>
      <c r="GD71" s="2936"/>
      <c r="GE71" s="2936"/>
      <c r="GF71" s="2936"/>
      <c r="GG71" s="2936"/>
      <c r="GH71" s="2936"/>
      <c r="GI71" s="2936"/>
      <c r="GJ71" s="2936"/>
      <c r="GK71" s="2936"/>
      <c r="GL71" s="2936"/>
      <c r="GM71" s="2936"/>
      <c r="GN71" s="2936"/>
      <c r="GO71" s="2936"/>
      <c r="GP71" s="2936"/>
      <c r="GQ71" s="2936"/>
      <c r="GR71" s="2936"/>
      <c r="GS71" s="2936"/>
      <c r="GT71" s="2936"/>
      <c r="GU71" s="2936"/>
      <c r="GV71" s="2936"/>
      <c r="GW71" s="2936"/>
      <c r="GX71" s="2936"/>
      <c r="GY71" s="2936"/>
      <c r="GZ71" s="2936"/>
      <c r="HA71" s="2936"/>
      <c r="HB71" s="2936"/>
      <c r="HC71" s="2936"/>
      <c r="HD71" s="2936"/>
      <c r="HE71" s="2936"/>
      <c r="HF71" s="2936"/>
      <c r="HG71" s="2936"/>
      <c r="HH71" s="2936"/>
      <c r="HI71" s="2936"/>
      <c r="HJ71" s="2936"/>
      <c r="HK71" s="2936"/>
      <c r="HL71" s="2936"/>
      <c r="HM71" s="2936"/>
      <c r="HN71" s="2936"/>
      <c r="HO71" s="2936"/>
      <c r="HP71" s="2936"/>
      <c r="HQ71" s="2936"/>
      <c r="HR71" s="2936"/>
      <c r="HS71" s="2936"/>
      <c r="HT71" s="2936"/>
      <c r="HU71" s="2936"/>
      <c r="HV71" s="2936"/>
      <c r="HW71" s="2936"/>
      <c r="HX71" s="2936"/>
      <c r="HY71" s="2936"/>
      <c r="HZ71" s="2936"/>
      <c r="IA71" s="2936"/>
      <c r="IB71" s="2936"/>
      <c r="IC71" s="2936"/>
      <c r="ID71" s="2936"/>
      <c r="IE71" s="2936"/>
      <c r="IF71" s="2936"/>
      <c r="IG71" s="2936"/>
      <c r="IH71" s="2936"/>
      <c r="II71" s="2936"/>
      <c r="IJ71" s="2936"/>
      <c r="IK71" s="2936"/>
      <c r="IL71" s="2936"/>
      <c r="IM71" s="2936"/>
      <c r="IN71" s="2936"/>
      <c r="IO71" s="2936"/>
      <c r="IP71" s="2936"/>
      <c r="IQ71" s="2936"/>
      <c r="IR71" s="2936"/>
      <c r="IS71" s="2936"/>
      <c r="IT71" s="2936"/>
      <c r="IU71" s="2936"/>
      <c r="IV71" s="2936"/>
      <c r="IW71" s="2936"/>
      <c r="IX71" s="2936"/>
      <c r="IY71" s="2936"/>
      <c r="IZ71" s="2936"/>
      <c r="JA71" s="2936"/>
      <c r="JB71" s="2936"/>
      <c r="JC71" s="2936"/>
      <c r="JD71" s="2936"/>
      <c r="JE71" s="2936"/>
      <c r="JF71" s="2936"/>
      <c r="JG71" s="2936"/>
      <c r="JH71" s="2936"/>
      <c r="JI71" s="2936"/>
      <c r="JJ71" s="2936"/>
      <c r="JK71" s="2936"/>
      <c r="JL71" s="2936"/>
      <c r="JM71" s="2936"/>
      <c r="JN71" s="2936"/>
      <c r="JO71" s="2936"/>
      <c r="JP71" s="2936"/>
      <c r="JQ71" s="2936"/>
      <c r="JR71" s="2936"/>
      <c r="JS71" s="2936"/>
      <c r="JT71" s="2936"/>
      <c r="JU71" s="2936"/>
      <c r="JV71" s="2936"/>
      <c r="JW71" s="2936"/>
      <c r="JX71" s="2936"/>
      <c r="JY71" s="2936"/>
      <c r="JZ71" s="2936"/>
      <c r="KA71" s="2936"/>
      <c r="KB71" s="2936"/>
      <c r="KC71" s="2936"/>
      <c r="KD71" s="2936"/>
      <c r="KE71" s="2936"/>
      <c r="KF71" s="2936"/>
      <c r="KG71" s="2936"/>
      <c r="KH71" s="2936"/>
      <c r="KI71" s="2936"/>
      <c r="KJ71" s="2936"/>
      <c r="KK71" s="2936"/>
      <c r="KL71" s="2936"/>
      <c r="KM71" s="2936"/>
      <c r="KN71" s="2936"/>
      <c r="KO71" s="2936"/>
      <c r="KP71" s="2936"/>
      <c r="KQ71" s="2936"/>
      <c r="KR71" s="2936"/>
      <c r="KS71" s="2936"/>
      <c r="KT71" s="2936"/>
      <c r="KU71" s="2936"/>
      <c r="KV71" s="2936"/>
      <c r="KW71" s="2936"/>
      <c r="KX71" s="2936"/>
      <c r="KY71" s="2936"/>
      <c r="KZ71" s="2936"/>
      <c r="LA71" s="2936"/>
      <c r="LB71" s="2936"/>
      <c r="LC71" s="2936"/>
      <c r="LD71" s="2936"/>
      <c r="LE71" s="2936"/>
      <c r="LF71" s="2936"/>
      <c r="LG71" s="2936"/>
      <c r="LH71" s="2936"/>
      <c r="LI71" s="2936"/>
      <c r="LJ71" s="2936"/>
      <c r="LK71" s="2936"/>
      <c r="LL71" s="2936"/>
      <c r="LM71" s="2936"/>
      <c r="LN71" s="2936"/>
      <c r="LO71" s="2936"/>
      <c r="LP71" s="2936"/>
      <c r="LQ71" s="2936"/>
      <c r="LR71" s="2936"/>
      <c r="LS71" s="2936"/>
      <c r="LT71" s="2936"/>
      <c r="LU71" s="2936"/>
      <c r="LV71" s="2936"/>
      <c r="LW71" s="2936"/>
      <c r="LX71" s="2936"/>
      <c r="LY71" s="2936"/>
      <c r="LZ71" s="2936"/>
      <c r="MA71" s="2936"/>
      <c r="MB71" s="2936"/>
      <c r="MC71" s="2936"/>
      <c r="MD71" s="2936"/>
      <c r="ME71" s="2936"/>
      <c r="MF71" s="2936"/>
      <c r="MG71" s="2936"/>
      <c r="MH71" s="2936"/>
      <c r="MI71" s="2936"/>
      <c r="MJ71" s="2936"/>
      <c r="MK71" s="2936"/>
      <c r="ML71" s="2936"/>
      <c r="MM71" s="2936"/>
      <c r="MN71" s="2936"/>
      <c r="MO71" s="2936"/>
      <c r="MP71" s="2936"/>
      <c r="MQ71" s="2936"/>
      <c r="MR71" s="2936"/>
      <c r="MS71" s="2936"/>
      <c r="MT71" s="2936"/>
      <c r="MU71" s="2936"/>
      <c r="MV71" s="2936"/>
      <c r="MW71" s="2936"/>
      <c r="MX71" s="2936"/>
      <c r="MY71" s="2936"/>
      <c r="MZ71" s="2936"/>
      <c r="NA71" s="2936"/>
      <c r="NB71" s="2936"/>
      <c r="NC71" s="2936"/>
      <c r="ND71" s="2936"/>
      <c r="NE71" s="2936"/>
      <c r="NF71" s="2936"/>
      <c r="NG71" s="2936"/>
      <c r="NH71" s="2936"/>
      <c r="NI71" s="2936"/>
      <c r="NJ71" s="2936"/>
      <c r="NK71" s="2936"/>
      <c r="NL71" s="2936"/>
      <c r="NM71" s="2936"/>
      <c r="NN71" s="2936"/>
      <c r="NO71" s="2936"/>
      <c r="NP71" s="2936"/>
      <c r="NQ71" s="2936"/>
      <c r="NR71" s="2936"/>
      <c r="NS71" s="2936"/>
      <c r="NT71" s="2936"/>
      <c r="NU71" s="2936"/>
      <c r="NV71" s="2936"/>
      <c r="NW71" s="2936"/>
      <c r="NX71" s="2936"/>
      <c r="NY71" s="2936"/>
      <c r="NZ71" s="2936"/>
      <c r="OA71" s="2936"/>
      <c r="OB71" s="2936"/>
      <c r="OC71" s="2936"/>
      <c r="OD71" s="2936"/>
      <c r="OE71" s="2936"/>
      <c r="OF71" s="2936"/>
      <c r="OG71" s="2936"/>
      <c r="OH71" s="2936"/>
      <c r="OI71" s="2936"/>
      <c r="OJ71" s="2936"/>
      <c r="OK71" s="2936"/>
      <c r="OL71" s="2936"/>
      <c r="OM71" s="2936"/>
      <c r="ON71" s="2936"/>
      <c r="OO71" s="2936"/>
      <c r="OP71" s="2936"/>
      <c r="OQ71" s="2936"/>
      <c r="OR71" s="2936"/>
      <c r="OS71" s="2936"/>
      <c r="OT71" s="2936"/>
      <c r="OU71" s="2936"/>
      <c r="OV71" s="2936"/>
      <c r="OW71" s="2936"/>
      <c r="OX71" s="2936"/>
      <c r="OY71" s="2936"/>
      <c r="OZ71" s="2936"/>
      <c r="PA71" s="2936"/>
      <c r="PB71" s="2936"/>
      <c r="PC71" s="2936"/>
      <c r="PD71" s="2936"/>
      <c r="PE71" s="2936"/>
      <c r="PF71" s="2936"/>
      <c r="PG71" s="2936"/>
      <c r="PH71" s="2936"/>
      <c r="PI71" s="2936"/>
      <c r="PJ71" s="2936"/>
      <c r="PK71" s="2936"/>
      <c r="PL71" s="2936"/>
      <c r="PM71" s="2936"/>
      <c r="PN71" s="2936"/>
      <c r="PO71" s="2936"/>
      <c r="PP71" s="2936"/>
      <c r="PQ71" s="2936"/>
      <c r="PR71" s="2936"/>
      <c r="PS71" s="2936"/>
      <c r="PT71" s="2936"/>
      <c r="PU71" s="2936"/>
      <c r="PV71" s="2936"/>
      <c r="PW71" s="2936"/>
      <c r="PX71" s="2936"/>
      <c r="PY71" s="2936"/>
      <c r="PZ71" s="2936"/>
      <c r="QA71" s="2936"/>
      <c r="QB71" s="2936"/>
      <c r="QC71" s="2936"/>
      <c r="QD71" s="2936"/>
      <c r="QE71" s="2936"/>
      <c r="QF71" s="2936"/>
      <c r="QG71" s="2936"/>
      <c r="QH71" s="2936"/>
      <c r="QI71" s="2936"/>
      <c r="QJ71" s="2936"/>
      <c r="QK71" s="2936"/>
      <c r="QL71" s="2936"/>
      <c r="QM71" s="2936"/>
      <c r="QN71" s="2936"/>
      <c r="QO71" s="2936"/>
      <c r="QP71" s="2936"/>
      <c r="QQ71" s="2936"/>
      <c r="QR71" s="2936"/>
      <c r="QS71" s="2936"/>
      <c r="QT71" s="2936"/>
      <c r="QU71" s="2936"/>
      <c r="QV71" s="2936"/>
      <c r="QW71" s="2936"/>
      <c r="QX71" s="2936"/>
      <c r="QY71" s="2936"/>
      <c r="QZ71" s="2936"/>
      <c r="RA71" s="2936"/>
      <c r="RB71" s="2936"/>
      <c r="RC71" s="2936"/>
      <c r="RD71" s="2936"/>
      <c r="RE71" s="2936"/>
      <c r="RF71" s="2936"/>
      <c r="RG71" s="2936"/>
      <c r="RH71" s="2936"/>
      <c r="RI71" s="2936"/>
      <c r="RJ71" s="2936"/>
      <c r="RK71" s="2936"/>
      <c r="RL71" s="2936"/>
      <c r="RM71" s="2936"/>
      <c r="RN71" s="2936"/>
      <c r="RO71" s="2936"/>
      <c r="RP71" s="2936"/>
      <c r="RQ71" s="2936"/>
      <c r="RR71" s="2936"/>
      <c r="RS71" s="2936"/>
      <c r="RT71" s="2936"/>
      <c r="RU71" s="2936"/>
      <c r="RV71" s="2936"/>
      <c r="RW71" s="2936"/>
      <c r="RX71" s="2936"/>
      <c r="RY71" s="2936"/>
      <c r="RZ71" s="2936"/>
      <c r="SA71" s="2936"/>
      <c r="SB71" s="2936"/>
      <c r="SC71" s="2936"/>
      <c r="SD71" s="2936"/>
      <c r="SE71" s="2936"/>
      <c r="SF71" s="2936"/>
      <c r="SG71" s="2936"/>
      <c r="SH71" s="2936"/>
      <c r="SI71" s="2936"/>
      <c r="SJ71" s="2936"/>
      <c r="SK71" s="2936"/>
      <c r="SL71" s="2936"/>
      <c r="SM71" s="2936"/>
      <c r="SN71" s="2936"/>
      <c r="SO71" s="2936"/>
      <c r="SP71" s="2936"/>
      <c r="SQ71" s="2936"/>
      <c r="SR71" s="2936"/>
      <c r="SS71" s="2936"/>
      <c r="ST71" s="2936"/>
      <c r="SU71" s="2936"/>
      <c r="SV71" s="2936"/>
      <c r="SW71" s="2936"/>
      <c r="SX71" s="2936"/>
      <c r="SY71" s="2936"/>
      <c r="SZ71" s="2936"/>
      <c r="TA71" s="2936"/>
      <c r="TB71" s="2936"/>
      <c r="TC71" s="2936"/>
      <c r="TD71" s="2936"/>
      <c r="TE71" s="2936"/>
      <c r="TF71" s="2936"/>
      <c r="TG71" s="2936"/>
      <c r="TH71" s="2936"/>
      <c r="TI71" s="2936"/>
      <c r="TJ71" s="2936"/>
      <c r="TK71" s="2936"/>
      <c r="TL71" s="2936"/>
      <c r="TM71" s="2936"/>
      <c r="TN71" s="2936"/>
      <c r="TO71" s="2936"/>
      <c r="TP71" s="2936"/>
      <c r="TQ71" s="2936"/>
      <c r="TR71" s="2936"/>
      <c r="TS71" s="2936"/>
      <c r="TT71" s="2936"/>
      <c r="TU71" s="2936"/>
      <c r="TV71" s="2936"/>
      <c r="TW71" s="2936"/>
      <c r="TX71" s="2936"/>
      <c r="TY71" s="2936"/>
      <c r="TZ71" s="2936"/>
      <c r="UA71" s="2936"/>
      <c r="UB71" s="2936"/>
      <c r="UC71" s="2936"/>
      <c r="UD71" s="2936"/>
      <c r="UE71" s="2936"/>
      <c r="UF71" s="2936"/>
      <c r="UG71" s="2936"/>
      <c r="UH71" s="2936"/>
      <c r="UI71" s="2936"/>
      <c r="UJ71" s="2936"/>
      <c r="UK71" s="2936"/>
      <c r="UL71" s="2936"/>
      <c r="UM71" s="2936"/>
      <c r="UN71" s="2936"/>
      <c r="UO71" s="2936"/>
      <c r="UP71" s="2936"/>
      <c r="UQ71" s="2936"/>
      <c r="UR71" s="2936"/>
      <c r="US71" s="2936"/>
      <c r="UT71" s="2936"/>
      <c r="UU71" s="2936"/>
      <c r="UV71" s="2936"/>
      <c r="UW71" s="2936"/>
      <c r="UX71" s="2936"/>
      <c r="UY71" s="2936"/>
      <c r="UZ71" s="2936"/>
      <c r="VA71" s="2936"/>
      <c r="VB71" s="2936"/>
      <c r="VC71" s="2936"/>
      <c r="VD71" s="2936"/>
      <c r="VE71" s="2936"/>
      <c r="VF71" s="2936"/>
      <c r="VG71" s="2936"/>
      <c r="VH71" s="2936"/>
      <c r="VI71" s="2936"/>
      <c r="VJ71" s="2936"/>
      <c r="VK71" s="2936"/>
      <c r="VL71" s="2936"/>
      <c r="VM71" s="2936"/>
      <c r="VN71" s="2936"/>
      <c r="VO71" s="2936"/>
      <c r="VP71" s="2936"/>
      <c r="VQ71" s="2936"/>
      <c r="VR71" s="2936"/>
      <c r="VS71" s="2936"/>
      <c r="VT71" s="2936"/>
      <c r="VU71" s="2936"/>
      <c r="VV71" s="2936"/>
      <c r="VW71" s="2936"/>
      <c r="VX71" s="2936"/>
      <c r="VY71" s="2936"/>
      <c r="VZ71" s="2936"/>
      <c r="WA71" s="2936"/>
      <c r="WB71" s="2936"/>
      <c r="WC71" s="2936"/>
      <c r="WD71" s="2936"/>
      <c r="WE71" s="2936"/>
      <c r="WF71" s="2936"/>
      <c r="WG71" s="2936"/>
      <c r="WH71" s="2936"/>
      <c r="WI71" s="2936"/>
      <c r="WJ71" s="2936"/>
      <c r="WK71" s="2936"/>
      <c r="WL71" s="2936"/>
      <c r="WM71" s="2936"/>
      <c r="WN71" s="2936"/>
      <c r="WO71" s="2936"/>
      <c r="WP71" s="2936"/>
      <c r="WQ71" s="2936"/>
      <c r="WR71" s="2936"/>
      <c r="WS71" s="2936"/>
      <c r="WT71" s="2936"/>
      <c r="WU71" s="2936"/>
      <c r="WV71" s="2936"/>
      <c r="WW71" s="2936"/>
      <c r="WX71" s="2936"/>
      <c r="WY71" s="2936"/>
      <c r="WZ71" s="2936"/>
      <c r="XA71" s="2936"/>
      <c r="XB71" s="2936"/>
      <c r="XC71" s="2936"/>
      <c r="XD71" s="2936"/>
      <c r="XE71" s="2936"/>
      <c r="XF71" s="2936"/>
      <c r="XG71" s="2936"/>
      <c r="XH71" s="2936"/>
      <c r="XI71" s="2936"/>
      <c r="XJ71" s="2936"/>
      <c r="XK71" s="2936"/>
      <c r="XL71" s="2936"/>
      <c r="XM71" s="2936"/>
      <c r="XN71" s="2936"/>
      <c r="XO71" s="2936"/>
      <c r="XP71" s="2936"/>
      <c r="XQ71" s="2936"/>
      <c r="XR71" s="2936"/>
      <c r="XS71" s="2936"/>
      <c r="XT71" s="2936"/>
      <c r="XU71" s="2936"/>
      <c r="XV71" s="2936"/>
      <c r="XW71" s="2936"/>
      <c r="XX71" s="2936"/>
      <c r="XY71" s="2936"/>
      <c r="XZ71" s="2936"/>
      <c r="YA71" s="2936"/>
      <c r="YB71" s="2936"/>
      <c r="YC71" s="2936"/>
      <c r="YD71" s="2936"/>
      <c r="YE71" s="2936"/>
      <c r="YF71" s="2936"/>
      <c r="YG71" s="2936"/>
      <c r="YH71" s="2936"/>
      <c r="YI71" s="2936"/>
      <c r="YJ71" s="2936"/>
      <c r="YK71" s="2936"/>
      <c r="YL71" s="2936"/>
      <c r="YM71" s="2936"/>
      <c r="YN71" s="2936"/>
      <c r="YO71" s="2936"/>
      <c r="YP71" s="2936"/>
      <c r="YQ71" s="2936"/>
      <c r="YR71" s="2936"/>
      <c r="YS71" s="2936"/>
      <c r="YT71" s="2936"/>
      <c r="YU71" s="2936"/>
      <c r="YV71" s="2936"/>
      <c r="YW71" s="2936"/>
      <c r="YX71" s="2936"/>
      <c r="YY71" s="2936"/>
      <c r="YZ71" s="2936"/>
      <c r="ZA71" s="2936"/>
      <c r="ZB71" s="2936"/>
      <c r="ZC71" s="2936"/>
      <c r="ZD71" s="2936"/>
      <c r="ZE71" s="2936"/>
      <c r="ZF71" s="2936"/>
      <c r="ZG71" s="2936"/>
      <c r="ZH71" s="2936"/>
      <c r="ZI71" s="2936"/>
      <c r="ZJ71" s="2936"/>
      <c r="ZK71" s="2936"/>
      <c r="ZL71" s="2936"/>
      <c r="ZM71" s="2936"/>
      <c r="ZN71" s="2936"/>
      <c r="ZO71" s="2936"/>
      <c r="ZP71" s="2936"/>
      <c r="ZQ71" s="2936"/>
      <c r="ZR71" s="2936"/>
      <c r="ZS71" s="2936"/>
      <c r="ZT71" s="2936"/>
      <c r="ZU71" s="2936"/>
      <c r="ZV71" s="2936"/>
      <c r="ZW71" s="2936"/>
      <c r="ZX71" s="2936"/>
      <c r="ZY71" s="2936"/>
      <c r="ZZ71" s="2936"/>
      <c r="AAA71" s="2936"/>
      <c r="AAB71" s="2936"/>
      <c r="AAC71" s="2936"/>
      <c r="AAD71" s="2936"/>
      <c r="AAE71" s="2936"/>
      <c r="AAF71" s="2936"/>
      <c r="AAG71" s="2936"/>
      <c r="AAH71" s="2936"/>
      <c r="AAI71" s="2936"/>
      <c r="AAJ71" s="2936"/>
      <c r="AAK71" s="2936"/>
      <c r="AAL71" s="2936"/>
      <c r="AAM71" s="2936"/>
      <c r="AAN71" s="2936"/>
      <c r="AAO71" s="2936"/>
      <c r="AAP71" s="2936"/>
      <c r="AAQ71" s="2936"/>
      <c r="AAR71" s="2936"/>
      <c r="AAS71" s="2936"/>
      <c r="AAT71" s="2936"/>
      <c r="AAU71" s="2936"/>
      <c r="AAV71" s="2936"/>
      <c r="AAW71" s="2936"/>
      <c r="AAX71" s="2936"/>
      <c r="AAY71" s="2936"/>
      <c r="AAZ71" s="2936"/>
      <c r="ABA71" s="2936"/>
      <c r="ABB71" s="2936"/>
      <c r="ABC71" s="2936"/>
      <c r="ABD71" s="2936"/>
      <c r="ABE71" s="2936"/>
      <c r="ABF71" s="2936"/>
      <c r="ABG71" s="2936"/>
      <c r="ABH71" s="2936"/>
      <c r="ABI71" s="2936"/>
      <c r="ABJ71" s="2936"/>
      <c r="ABK71" s="2936"/>
      <c r="ABL71" s="2936"/>
      <c r="ABM71" s="2936"/>
      <c r="ABN71" s="2936"/>
      <c r="ABO71" s="2936"/>
      <c r="ABP71" s="2936"/>
      <c r="ABQ71" s="2936"/>
      <c r="ABR71" s="2936"/>
      <c r="ABS71" s="2936"/>
      <c r="ABT71" s="2936"/>
      <c r="ABU71" s="2936"/>
      <c r="ABV71" s="2936"/>
      <c r="ABW71" s="2936"/>
      <c r="ABX71" s="2936"/>
      <c r="ABY71" s="2936"/>
      <c r="ABZ71" s="2936"/>
      <c r="ACA71" s="2936"/>
      <c r="ACB71" s="2936"/>
      <c r="ACC71" s="2936"/>
      <c r="ACD71" s="2936"/>
      <c r="ACE71" s="2936"/>
      <c r="ACF71" s="2936"/>
      <c r="ACG71" s="2936"/>
      <c r="ACH71" s="2936"/>
      <c r="ACI71" s="2936"/>
      <c r="ACJ71" s="2936"/>
      <c r="ACK71" s="2936"/>
      <c r="ACL71" s="2936"/>
      <c r="ACM71" s="2936"/>
      <c r="ACN71" s="2936"/>
      <c r="ACO71" s="2936"/>
      <c r="ACP71" s="2936"/>
      <c r="ACQ71" s="2936"/>
      <c r="ACR71" s="2936"/>
      <c r="ACS71" s="2936"/>
      <c r="ACT71" s="2936"/>
      <c r="ACU71" s="2936"/>
      <c r="ACV71" s="2936"/>
      <c r="ACW71" s="2936"/>
      <c r="ACX71" s="2936"/>
      <c r="ACY71" s="2936"/>
      <c r="ACZ71" s="2936"/>
      <c r="ADA71" s="2936"/>
      <c r="ADB71" s="2936"/>
      <c r="ADC71" s="2936"/>
      <c r="ADD71" s="2936"/>
      <c r="ADE71" s="2936"/>
      <c r="ADF71" s="2936"/>
      <c r="ADG71" s="2936"/>
      <c r="ADH71" s="2936"/>
      <c r="ADI71" s="2936"/>
      <c r="ADJ71" s="2936"/>
      <c r="ADK71" s="2936"/>
      <c r="ADL71" s="2936"/>
      <c r="ADM71" s="2936"/>
      <c r="ADN71" s="2936"/>
      <c r="ADO71" s="2936"/>
      <c r="ADP71" s="2936"/>
      <c r="ADQ71" s="2936"/>
      <c r="ADR71" s="2936"/>
      <c r="ADS71" s="2936"/>
      <c r="ADT71" s="2936"/>
      <c r="ADU71" s="2936"/>
      <c r="ADV71" s="2936"/>
      <c r="ADW71" s="2936"/>
      <c r="ADX71" s="2936"/>
      <c r="ADY71" s="2936"/>
      <c r="ADZ71" s="2936"/>
      <c r="AEA71" s="2936"/>
      <c r="AEB71" s="2936"/>
      <c r="AEC71" s="2936"/>
      <c r="AED71" s="2936"/>
      <c r="AEE71" s="2936"/>
      <c r="AEF71" s="2936"/>
      <c r="AEG71" s="2936"/>
      <c r="AEH71" s="2936"/>
      <c r="AEI71" s="2936"/>
      <c r="AEJ71" s="2936"/>
      <c r="AEK71" s="2936"/>
      <c r="AEL71" s="2936"/>
      <c r="AEM71" s="2936"/>
      <c r="AEN71" s="2936"/>
      <c r="AEO71" s="2936"/>
      <c r="AEP71" s="2936"/>
      <c r="AEQ71" s="2936"/>
      <c r="AER71" s="2936"/>
      <c r="AES71" s="2936"/>
      <c r="AET71" s="2936"/>
      <c r="AEU71" s="2936"/>
      <c r="AEV71" s="2936"/>
      <c r="AEW71" s="2936"/>
      <c r="AEX71" s="2936"/>
      <c r="AEY71" s="2936"/>
      <c r="AEZ71" s="2936"/>
      <c r="AFA71" s="2936"/>
      <c r="AFB71" s="2936"/>
      <c r="AFC71" s="2936"/>
      <c r="AFD71" s="2936"/>
      <c r="AFE71" s="2936"/>
      <c r="AFF71" s="2936"/>
      <c r="AFG71" s="2936"/>
      <c r="AFH71" s="2936"/>
      <c r="AFI71" s="2936"/>
      <c r="AFJ71" s="2936"/>
      <c r="AFK71" s="2936"/>
      <c r="AFL71" s="2936"/>
      <c r="AFM71" s="2936"/>
      <c r="AFN71" s="2936"/>
      <c r="AFO71" s="2936"/>
      <c r="AFP71" s="2936"/>
      <c r="AFQ71" s="2936"/>
      <c r="AFR71" s="2936"/>
      <c r="AFS71" s="2936"/>
      <c r="AFT71" s="2936"/>
      <c r="AFU71" s="2936"/>
      <c r="AFV71" s="2936"/>
      <c r="AFW71" s="2936"/>
      <c r="AFX71" s="2936"/>
      <c r="AFY71" s="2936"/>
      <c r="AFZ71" s="2936"/>
      <c r="AGA71" s="2936"/>
      <c r="AGB71" s="2936"/>
      <c r="AGC71" s="2936"/>
      <c r="AGD71" s="2936"/>
      <c r="AGE71" s="2936"/>
      <c r="AGF71" s="2936"/>
      <c r="AGG71" s="2936"/>
      <c r="AGH71" s="2936"/>
      <c r="AGI71" s="2936"/>
      <c r="AGJ71" s="2936"/>
      <c r="AGK71" s="2936"/>
      <c r="AGL71" s="2936"/>
      <c r="AGM71" s="2936"/>
      <c r="AGN71" s="2936"/>
      <c r="AGO71" s="2936"/>
      <c r="AGP71" s="2936"/>
      <c r="AGQ71" s="2936"/>
      <c r="AGR71" s="2936"/>
      <c r="AGS71" s="2936"/>
      <c r="AGT71" s="2936"/>
      <c r="AGU71" s="2936"/>
      <c r="AGV71" s="2936"/>
      <c r="AGW71" s="2936"/>
      <c r="AGX71" s="2936"/>
      <c r="AGY71" s="2936"/>
      <c r="AGZ71" s="2936"/>
      <c r="AHA71" s="2936"/>
      <c r="AHB71" s="2936"/>
      <c r="AHC71" s="2936"/>
      <c r="AHD71" s="2936"/>
      <c r="AHE71" s="2936"/>
      <c r="AHF71" s="2936"/>
      <c r="AHG71" s="2936"/>
      <c r="AHH71" s="2936"/>
      <c r="AHI71" s="2936"/>
      <c r="AHJ71" s="2936"/>
      <c r="AHK71" s="2936"/>
      <c r="AHL71" s="2936"/>
      <c r="AHM71" s="2936"/>
      <c r="AHN71" s="2936"/>
      <c r="AHO71" s="2936"/>
      <c r="AHP71" s="2936"/>
      <c r="AHQ71" s="2936"/>
      <c r="AHR71" s="2936"/>
      <c r="AHS71" s="2936"/>
      <c r="AHT71" s="2936"/>
      <c r="AHU71" s="2936"/>
      <c r="AHV71" s="2936"/>
      <c r="AHW71" s="2936"/>
      <c r="AHX71" s="2936"/>
      <c r="AHY71" s="2936"/>
      <c r="AHZ71" s="2936"/>
      <c r="AIA71" s="2936"/>
      <c r="AIB71" s="2936"/>
      <c r="AIC71" s="2936"/>
      <c r="AID71" s="2936"/>
      <c r="AIE71" s="2936"/>
      <c r="AIF71" s="2936"/>
      <c r="AIG71" s="2936"/>
      <c r="AIH71" s="2936"/>
      <c r="AII71" s="2936"/>
      <c r="AIJ71" s="2936"/>
      <c r="AIK71" s="2936"/>
      <c r="AIL71" s="2936"/>
      <c r="AIM71" s="2936"/>
      <c r="AIN71" s="2936"/>
      <c r="AIO71" s="2936"/>
      <c r="AIP71" s="2936"/>
      <c r="AIQ71" s="2936"/>
      <c r="AIR71" s="2936"/>
      <c r="AIS71" s="2936"/>
      <c r="AIT71" s="2936"/>
      <c r="AIU71" s="2936"/>
      <c r="AIV71" s="2936"/>
      <c r="AIW71" s="2936"/>
      <c r="AIX71" s="2936"/>
      <c r="AIY71" s="2936"/>
      <c r="AIZ71" s="2936"/>
      <c r="AJA71" s="2936"/>
      <c r="AJB71" s="2936"/>
      <c r="AJC71" s="2936"/>
      <c r="AJD71" s="2936"/>
      <c r="AJE71" s="2936"/>
      <c r="AJF71" s="2936"/>
      <c r="AJG71" s="2936"/>
      <c r="AJH71" s="2936"/>
      <c r="AJI71" s="2936"/>
      <c r="AJJ71" s="2936"/>
      <c r="AJK71" s="2936"/>
      <c r="AJL71" s="2936"/>
      <c r="AJM71" s="2936"/>
      <c r="AJN71" s="2936"/>
      <c r="AJO71" s="2936"/>
      <c r="AJP71" s="2936"/>
      <c r="AJQ71" s="2936"/>
      <c r="AJR71" s="2936"/>
      <c r="AJS71" s="2936"/>
      <c r="AJT71" s="2936"/>
      <c r="AJU71" s="2936"/>
      <c r="AJV71" s="2936"/>
      <c r="AJW71" s="2936"/>
      <c r="AJX71" s="2936"/>
      <c r="AJY71" s="2936"/>
      <c r="AJZ71" s="2936"/>
      <c r="AKA71" s="2936"/>
      <c r="AKB71" s="2936"/>
      <c r="AKC71" s="2936"/>
      <c r="AKD71" s="2936"/>
      <c r="AKE71" s="2936"/>
      <c r="AKF71" s="2936"/>
      <c r="AKG71" s="2936"/>
      <c r="AKH71" s="2936"/>
      <c r="AKI71" s="2936"/>
      <c r="AKJ71" s="2936"/>
      <c r="AKK71" s="2936"/>
      <c r="AKL71" s="2936"/>
      <c r="AKM71" s="2936"/>
      <c r="AKN71" s="2936"/>
      <c r="AKO71" s="2936"/>
      <c r="AKP71" s="2936"/>
      <c r="AKQ71" s="2936"/>
      <c r="AKR71" s="2936"/>
      <c r="AKS71" s="2936"/>
      <c r="AKT71" s="2936"/>
      <c r="AKU71" s="2936"/>
      <c r="AKV71" s="2936"/>
      <c r="AKW71" s="2936"/>
      <c r="AKX71" s="2936"/>
      <c r="AKY71" s="2936"/>
      <c r="AKZ71" s="2936"/>
      <c r="ALA71" s="2936"/>
      <c r="ALB71" s="2936"/>
      <c r="ALC71" s="2936"/>
      <c r="ALD71" s="2936"/>
      <c r="ALE71" s="2936"/>
      <c r="ALF71" s="2936"/>
      <c r="ALG71" s="2936"/>
      <c r="ALH71" s="2936"/>
      <c r="ALI71" s="2936"/>
      <c r="ALJ71" s="2936"/>
      <c r="ALK71" s="2936"/>
      <c r="ALL71" s="2936"/>
      <c r="ALM71" s="2936"/>
      <c r="ALN71" s="2936"/>
      <c r="ALO71" s="2936"/>
      <c r="ALP71" s="2936"/>
      <c r="ALQ71" s="2936"/>
      <c r="ALR71" s="2936"/>
      <c r="ALS71" s="2936"/>
      <c r="ALT71" s="2936"/>
      <c r="ALU71" s="2936"/>
      <c r="ALV71" s="2936"/>
      <c r="ALW71" s="2936"/>
      <c r="ALX71" s="2936"/>
      <c r="ALY71" s="2936"/>
      <c r="ALZ71" s="2936"/>
      <c r="AMA71" s="2936"/>
      <c r="AMB71" s="2936"/>
      <c r="AMC71" s="2936"/>
      <c r="AMD71" s="2936"/>
      <c r="AME71" s="2936"/>
      <c r="AMF71" s="2936"/>
      <c r="AMG71" s="2936"/>
      <c r="AMH71" s="2936"/>
      <c r="AMI71" s="2936"/>
      <c r="AMJ71" s="2936"/>
      <c r="AMK71" s="2936"/>
      <c r="AML71" s="2936"/>
      <c r="AMM71" s="2936"/>
      <c r="AMN71" s="2936"/>
      <c r="AMO71" s="2936"/>
      <c r="AMP71" s="2936"/>
      <c r="AMQ71" s="2936"/>
      <c r="AMR71" s="2936"/>
      <c r="AMS71" s="2936"/>
      <c r="AMT71" s="2936"/>
      <c r="AMU71" s="2936"/>
      <c r="AMV71" s="2936"/>
      <c r="AMW71" s="2936"/>
      <c r="AMX71" s="2936"/>
      <c r="AMY71" s="2936"/>
      <c r="AMZ71" s="2936"/>
      <c r="ANA71" s="2936"/>
      <c r="ANB71" s="2936"/>
      <c r="ANC71" s="2936"/>
      <c r="AND71" s="2936"/>
      <c r="ANE71" s="2936"/>
      <c r="ANF71" s="2936"/>
      <c r="ANG71" s="2936"/>
      <c r="ANH71" s="2936"/>
      <c r="ANI71" s="2936"/>
      <c r="ANJ71" s="2936"/>
      <c r="ANK71" s="2936"/>
      <c r="ANL71" s="2936"/>
      <c r="ANM71" s="2936"/>
      <c r="ANN71" s="2936"/>
      <c r="ANO71" s="2936"/>
      <c r="ANP71" s="2936"/>
      <c r="ANQ71" s="2936"/>
      <c r="ANR71" s="2936"/>
      <c r="ANS71" s="2936"/>
      <c r="ANT71" s="2936"/>
      <c r="ANU71" s="2936"/>
      <c r="ANV71" s="2936"/>
      <c r="ANW71" s="2936"/>
      <c r="ANX71" s="2936"/>
      <c r="ANY71" s="2936"/>
      <c r="ANZ71" s="2936"/>
      <c r="AOA71" s="2936"/>
      <c r="AOB71" s="2936"/>
      <c r="AOC71" s="2936"/>
      <c r="AOD71" s="2936"/>
      <c r="AOE71" s="2936"/>
      <c r="AOF71" s="2936"/>
      <c r="AOG71" s="2936"/>
      <c r="AOH71" s="2936"/>
      <c r="AOI71" s="2936"/>
      <c r="AOJ71" s="2936"/>
      <c r="AOK71" s="2936"/>
      <c r="AOL71" s="2936"/>
      <c r="AOM71" s="2936"/>
      <c r="AON71" s="2936"/>
      <c r="AOO71" s="2936"/>
      <c r="AOP71" s="2936"/>
      <c r="AOQ71" s="2936"/>
      <c r="AOR71" s="2936"/>
      <c r="AOS71" s="2936"/>
      <c r="AOT71" s="2936"/>
      <c r="AOU71" s="2936"/>
      <c r="AOV71" s="2936"/>
      <c r="AOW71" s="2936"/>
      <c r="AOX71" s="2936"/>
      <c r="AOY71" s="2936"/>
      <c r="AOZ71" s="2936"/>
      <c r="APA71" s="2936"/>
      <c r="APB71" s="2936"/>
      <c r="APC71" s="2936"/>
      <c r="APD71" s="2936"/>
      <c r="APE71" s="2936"/>
      <c r="APF71" s="2936"/>
      <c r="APG71" s="2936"/>
      <c r="APH71" s="2936"/>
      <c r="API71" s="2936"/>
      <c r="APJ71" s="2936"/>
      <c r="APK71" s="2936"/>
      <c r="APL71" s="2936"/>
      <c r="APM71" s="2936"/>
      <c r="APN71" s="2936"/>
      <c r="APO71" s="2936"/>
      <c r="APP71" s="2936"/>
      <c r="APQ71" s="2936"/>
      <c r="APR71" s="2936"/>
      <c r="APS71" s="2936"/>
      <c r="APT71" s="2936"/>
      <c r="APU71" s="2936"/>
      <c r="APV71" s="2936"/>
      <c r="APW71" s="2936"/>
      <c r="APX71" s="2936"/>
      <c r="APY71" s="2936"/>
      <c r="APZ71" s="2936"/>
      <c r="AQA71" s="2936"/>
      <c r="AQB71" s="2936"/>
      <c r="AQC71" s="2936"/>
      <c r="AQD71" s="2936"/>
      <c r="AQE71" s="2936"/>
      <c r="AQF71" s="2936"/>
      <c r="AQG71" s="2936"/>
      <c r="AQH71" s="2936"/>
      <c r="AQI71" s="2936"/>
      <c r="AQJ71" s="2936"/>
      <c r="AQK71" s="2936"/>
      <c r="AQL71" s="2936"/>
      <c r="AQM71" s="2936"/>
      <c r="AQN71" s="2936"/>
      <c r="AQO71" s="2936"/>
      <c r="AQP71" s="2936"/>
      <c r="AQQ71" s="2936"/>
      <c r="AQR71" s="2936"/>
      <c r="AQS71" s="2936"/>
      <c r="AQT71" s="2936"/>
      <c r="AQU71" s="2936"/>
      <c r="AQV71" s="2936"/>
      <c r="AQW71" s="2936"/>
      <c r="AQX71" s="2936"/>
      <c r="AQY71" s="2936"/>
      <c r="AQZ71" s="2936"/>
      <c r="ARA71" s="2936"/>
      <c r="ARB71" s="2936"/>
      <c r="ARC71" s="2936"/>
      <c r="ARD71" s="2936"/>
      <c r="ARE71" s="2936"/>
      <c r="ARF71" s="2936"/>
      <c r="ARG71" s="2936"/>
      <c r="ARH71" s="2936"/>
      <c r="ARI71" s="2936"/>
      <c r="ARJ71" s="2936"/>
      <c r="ARK71" s="2936"/>
      <c r="ARL71" s="2936"/>
      <c r="ARM71" s="2936"/>
      <c r="ARN71" s="2936"/>
      <c r="ARO71" s="2936"/>
      <c r="ARP71" s="2936"/>
      <c r="ARQ71" s="2936"/>
      <c r="ARR71" s="2936"/>
      <c r="ARS71" s="2936"/>
      <c r="ART71" s="2936"/>
      <c r="ARU71" s="2936"/>
      <c r="ARV71" s="2936"/>
      <c r="ARW71" s="2936"/>
      <c r="ARX71" s="2936"/>
      <c r="ARY71" s="2936"/>
      <c r="ARZ71" s="2936"/>
      <c r="ASA71" s="2936"/>
      <c r="ASB71" s="2936"/>
      <c r="ASC71" s="2936"/>
      <c r="ASD71" s="2936"/>
      <c r="ASE71" s="2936"/>
      <c r="ASF71" s="2936"/>
      <c r="ASG71" s="2936"/>
      <c r="ASH71" s="2936"/>
      <c r="ASI71" s="2936"/>
      <c r="ASJ71" s="2936"/>
      <c r="ASK71" s="2936"/>
      <c r="ASL71" s="2936"/>
      <c r="ASM71" s="2936"/>
      <c r="ASN71" s="2936"/>
      <c r="ASO71" s="2936"/>
      <c r="ASP71" s="2936"/>
      <c r="ASQ71" s="2936"/>
      <c r="ASR71" s="2936"/>
      <c r="ASS71" s="2936"/>
      <c r="AST71" s="2936"/>
      <c r="ASU71" s="2936"/>
      <c r="ASV71" s="2936"/>
      <c r="ASW71" s="2936"/>
      <c r="ASX71" s="2936"/>
      <c r="ASY71" s="2936"/>
      <c r="ASZ71" s="2936"/>
      <c r="ATA71" s="2936"/>
      <c r="ATB71" s="2936"/>
      <c r="ATC71" s="2936"/>
      <c r="ATD71" s="2936"/>
      <c r="ATE71" s="2936"/>
      <c r="ATF71" s="2936"/>
      <c r="ATG71" s="2936"/>
      <c r="ATH71" s="2936"/>
      <c r="ATI71" s="2936"/>
      <c r="ATJ71" s="2936"/>
      <c r="ATK71" s="2936"/>
      <c r="ATL71" s="2936"/>
      <c r="ATM71" s="2936"/>
      <c r="ATN71" s="2936"/>
      <c r="ATO71" s="2936"/>
      <c r="ATP71" s="2936"/>
      <c r="ATQ71" s="2936"/>
      <c r="ATR71" s="2936"/>
      <c r="ATS71" s="2936"/>
      <c r="ATT71" s="2936"/>
      <c r="ATU71" s="2936"/>
      <c r="ATV71" s="2936"/>
      <c r="ATW71" s="2936"/>
      <c r="ATX71" s="2936"/>
      <c r="ATY71" s="2936"/>
      <c r="ATZ71" s="2936"/>
      <c r="AUA71" s="2936"/>
      <c r="AUB71" s="2936"/>
      <c r="AUC71" s="2936"/>
      <c r="AUD71" s="2936"/>
      <c r="AUE71" s="2936"/>
      <c r="AUF71" s="2936"/>
      <c r="AUG71" s="2936"/>
      <c r="AUH71" s="2936"/>
      <c r="AUI71" s="2936"/>
      <c r="AUJ71" s="2936"/>
      <c r="AUK71" s="2936"/>
      <c r="AUL71" s="2936"/>
      <c r="AUM71" s="2936"/>
      <c r="AUN71" s="2936"/>
      <c r="AUO71" s="2936"/>
      <c r="AUP71" s="2936"/>
      <c r="AUQ71" s="2936"/>
      <c r="AUR71" s="2936"/>
      <c r="AUS71" s="2936"/>
      <c r="AUT71" s="2936"/>
      <c r="AUU71" s="2936"/>
      <c r="AUV71" s="2936"/>
      <c r="AUW71" s="2936"/>
      <c r="AUX71" s="2936"/>
      <c r="AUY71" s="2936"/>
      <c r="AUZ71" s="2936"/>
      <c r="AVA71" s="2936"/>
      <c r="AVB71" s="2936"/>
      <c r="AVC71" s="2936"/>
      <c r="AVD71" s="2936"/>
      <c r="AVE71" s="2936"/>
      <c r="AVF71" s="2936"/>
      <c r="AVG71" s="2936"/>
      <c r="AVH71" s="2936"/>
      <c r="AVI71" s="2936"/>
      <c r="AVJ71" s="2936"/>
      <c r="AVK71" s="2936"/>
      <c r="AVL71" s="2936"/>
      <c r="AVM71" s="2936"/>
      <c r="AVN71" s="2936"/>
      <c r="AVO71" s="2936"/>
      <c r="AVP71" s="2936"/>
      <c r="AVQ71" s="2936"/>
      <c r="AVR71" s="2936"/>
      <c r="AVS71" s="2936"/>
      <c r="AVT71" s="2936"/>
      <c r="AVU71" s="2936"/>
      <c r="AVV71" s="2936"/>
      <c r="AVW71" s="2936"/>
      <c r="AVX71" s="2936"/>
      <c r="AVY71" s="2936"/>
      <c r="AVZ71" s="2936"/>
      <c r="AWA71" s="2936"/>
      <c r="AWB71" s="2936"/>
      <c r="AWC71" s="2936"/>
      <c r="AWD71" s="2936"/>
      <c r="AWE71" s="2936"/>
      <c r="AWF71" s="2936"/>
      <c r="AWG71" s="2936"/>
      <c r="AWH71" s="2936"/>
      <c r="AWI71" s="2936"/>
      <c r="AWJ71" s="2936"/>
      <c r="AWK71" s="2936"/>
      <c r="AWL71" s="2936"/>
      <c r="AWM71" s="2936"/>
      <c r="AWN71" s="2936"/>
      <c r="AWO71" s="2936"/>
      <c r="AWP71" s="2936"/>
      <c r="AWQ71" s="2936"/>
      <c r="AWR71" s="2936"/>
      <c r="AWS71" s="2936"/>
      <c r="AWT71" s="2936"/>
      <c r="AWU71" s="2936"/>
      <c r="AWV71" s="2936"/>
      <c r="AWW71" s="2936"/>
      <c r="AWX71" s="2936"/>
      <c r="AWY71" s="2936"/>
      <c r="AWZ71" s="2936"/>
      <c r="AXA71" s="2936"/>
      <c r="AXB71" s="2936"/>
      <c r="AXC71" s="2936"/>
      <c r="AXD71" s="2936"/>
      <c r="AXE71" s="2936"/>
      <c r="AXF71" s="2936"/>
      <c r="AXG71" s="2936"/>
      <c r="AXH71" s="2936"/>
      <c r="AXI71" s="2936"/>
      <c r="AXJ71" s="2936"/>
      <c r="AXK71" s="2936"/>
      <c r="AXL71" s="2936"/>
      <c r="AXM71" s="2936"/>
      <c r="AXN71" s="2936"/>
      <c r="AXO71" s="2936"/>
      <c r="AXP71" s="2936"/>
      <c r="AXQ71" s="2936"/>
      <c r="AXR71" s="2936"/>
      <c r="AXS71" s="2936"/>
      <c r="AXT71" s="2936"/>
      <c r="AXU71" s="2936"/>
      <c r="AXV71" s="2936"/>
      <c r="AXW71" s="2936"/>
      <c r="AXX71" s="2936"/>
      <c r="AXY71" s="2936"/>
      <c r="AXZ71" s="2936"/>
      <c r="AYA71" s="2936"/>
      <c r="AYB71" s="2936"/>
      <c r="AYC71" s="2936"/>
      <c r="AYD71" s="2936"/>
      <c r="AYE71" s="2936"/>
      <c r="AYF71" s="2936"/>
      <c r="AYG71" s="2936"/>
      <c r="AYH71" s="2936"/>
      <c r="AYI71" s="2936"/>
      <c r="AYJ71" s="2936"/>
      <c r="AYK71" s="2936"/>
      <c r="AYL71" s="2936"/>
      <c r="AYM71" s="2936"/>
      <c r="AYN71" s="2936"/>
      <c r="AYO71" s="2936"/>
      <c r="AYP71" s="2936"/>
      <c r="AYQ71" s="2936"/>
      <c r="AYR71" s="2936"/>
      <c r="AYS71" s="2936"/>
      <c r="AYT71" s="2936"/>
      <c r="AYU71" s="2936"/>
      <c r="AYV71" s="2936"/>
      <c r="AYW71" s="2936"/>
      <c r="AYX71" s="2936"/>
      <c r="AYY71" s="2936"/>
      <c r="AYZ71" s="2936"/>
      <c r="AZA71" s="2936"/>
      <c r="AZB71" s="2936"/>
      <c r="AZC71" s="2936"/>
      <c r="AZD71" s="2936"/>
      <c r="AZE71" s="2936"/>
      <c r="AZF71" s="2936"/>
      <c r="AZG71" s="2936"/>
      <c r="AZH71" s="2936"/>
      <c r="AZI71" s="2936"/>
      <c r="AZJ71" s="2936"/>
      <c r="AZK71" s="2936"/>
      <c r="AZL71" s="2936"/>
      <c r="AZM71" s="2936"/>
      <c r="AZN71" s="2936"/>
      <c r="AZO71" s="2936"/>
      <c r="AZP71" s="2936"/>
      <c r="AZQ71" s="2936"/>
      <c r="AZR71" s="2936"/>
      <c r="AZS71" s="2936"/>
      <c r="AZT71" s="2936"/>
      <c r="AZU71" s="2936"/>
      <c r="AZV71" s="2936"/>
      <c r="AZW71" s="2936"/>
      <c r="AZX71" s="2936"/>
      <c r="AZY71" s="2936"/>
      <c r="AZZ71" s="2936"/>
      <c r="BAA71" s="2936"/>
      <c r="BAB71" s="2936"/>
      <c r="BAC71" s="2936"/>
      <c r="BAD71" s="2936"/>
      <c r="BAE71" s="2936"/>
      <c r="BAF71" s="2936"/>
      <c r="BAG71" s="2936"/>
      <c r="BAH71" s="2936"/>
      <c r="BAI71" s="2936"/>
      <c r="BAJ71" s="2936"/>
      <c r="BAK71" s="2936"/>
      <c r="BAL71" s="2936"/>
      <c r="BAM71" s="2936"/>
      <c r="BAN71" s="2936"/>
      <c r="BAO71" s="2936"/>
      <c r="BAP71" s="2936"/>
      <c r="BAQ71" s="2936"/>
      <c r="BAR71" s="2936"/>
      <c r="BAS71" s="2936"/>
      <c r="BAT71" s="2936"/>
      <c r="BAU71" s="2936"/>
      <c r="BAV71" s="2936"/>
      <c r="BAW71" s="2936"/>
      <c r="BAX71" s="2936"/>
      <c r="BAY71" s="2936"/>
      <c r="BAZ71" s="2936"/>
      <c r="BBA71" s="2936"/>
      <c r="BBB71" s="2936"/>
      <c r="BBC71" s="2936"/>
      <c r="BBD71" s="2936"/>
      <c r="BBE71" s="2936"/>
      <c r="BBF71" s="2936"/>
      <c r="BBG71" s="2936"/>
      <c r="BBH71" s="2936"/>
      <c r="BBI71" s="2936"/>
      <c r="BBJ71" s="2936"/>
      <c r="BBK71" s="2936"/>
      <c r="BBL71" s="2936"/>
      <c r="BBM71" s="2936"/>
      <c r="BBN71" s="2936"/>
      <c r="BBO71" s="2936"/>
      <c r="BBP71" s="2936"/>
      <c r="BBQ71" s="2936"/>
      <c r="BBR71" s="2936"/>
      <c r="BBS71" s="2936"/>
      <c r="BBT71" s="2936"/>
      <c r="BBU71" s="2936"/>
      <c r="BBV71" s="2936"/>
      <c r="BBW71" s="2936"/>
      <c r="BBX71" s="2936"/>
      <c r="BBY71" s="2936"/>
      <c r="BBZ71" s="2936"/>
      <c r="BCA71" s="2936"/>
      <c r="BCB71" s="2936"/>
      <c r="BCC71" s="2936"/>
      <c r="BCD71" s="2936"/>
      <c r="BCE71" s="2936"/>
      <c r="BCF71" s="2936"/>
      <c r="BCG71" s="2936"/>
      <c r="BCH71" s="2936"/>
      <c r="BCI71" s="2936"/>
      <c r="BCJ71" s="2936"/>
      <c r="BCK71" s="2936"/>
      <c r="BCL71" s="2936"/>
      <c r="BCM71" s="2936"/>
      <c r="BCN71" s="2936"/>
      <c r="BCO71" s="2936"/>
      <c r="BCP71" s="2936"/>
      <c r="BCQ71" s="2936"/>
      <c r="BCR71" s="2936"/>
      <c r="BCS71" s="2936"/>
      <c r="BCT71" s="2936"/>
      <c r="BCU71" s="2936"/>
      <c r="BCV71" s="2936"/>
      <c r="BCW71" s="2936"/>
      <c r="BCX71" s="2936"/>
      <c r="BCY71" s="2936"/>
      <c r="BCZ71" s="2936"/>
      <c r="BDA71" s="2936"/>
      <c r="BDB71" s="2936"/>
      <c r="BDC71" s="2936"/>
      <c r="BDD71" s="2936"/>
      <c r="BDE71" s="2936"/>
      <c r="BDF71" s="2936"/>
      <c r="BDG71" s="2936"/>
      <c r="BDH71" s="2936"/>
      <c r="BDI71" s="2936"/>
      <c r="BDJ71" s="2936"/>
      <c r="BDK71" s="2936"/>
      <c r="BDL71" s="2936"/>
      <c r="BDM71" s="2936"/>
      <c r="BDN71" s="2936"/>
      <c r="BDO71" s="2936"/>
      <c r="BDP71" s="2936"/>
      <c r="BDQ71" s="2936"/>
      <c r="BDR71" s="2936"/>
      <c r="BDS71" s="2936"/>
      <c r="BDT71" s="2936"/>
      <c r="BDU71" s="2936"/>
      <c r="BDV71" s="2936"/>
      <c r="BDW71" s="2936"/>
      <c r="BDX71" s="2936"/>
      <c r="BDY71" s="2936"/>
      <c r="BDZ71" s="2936"/>
      <c r="BEA71" s="2936"/>
      <c r="BEB71" s="2936"/>
      <c r="BEC71" s="2936"/>
      <c r="BED71" s="2936"/>
      <c r="BEE71" s="2936"/>
      <c r="BEF71" s="2936"/>
      <c r="BEG71" s="2936"/>
      <c r="BEH71" s="2936"/>
      <c r="BEI71" s="2936"/>
      <c r="BEJ71" s="2936"/>
      <c r="BEK71" s="2936"/>
      <c r="BEL71" s="2936"/>
      <c r="BEM71" s="2936"/>
      <c r="BEN71" s="2936"/>
      <c r="BEO71" s="2936"/>
      <c r="BEP71" s="2936"/>
      <c r="BEQ71" s="2936"/>
      <c r="BER71" s="2936"/>
      <c r="BES71" s="2936"/>
      <c r="BET71" s="2936"/>
      <c r="BEU71" s="2936"/>
      <c r="BEV71" s="2936"/>
      <c r="BEW71" s="2936"/>
      <c r="BEX71" s="2936"/>
      <c r="BEY71" s="2936"/>
      <c r="BEZ71" s="2936"/>
      <c r="BFA71" s="2936"/>
      <c r="BFB71" s="2936"/>
      <c r="BFC71" s="2936"/>
      <c r="BFD71" s="2936"/>
      <c r="BFE71" s="2936"/>
      <c r="BFF71" s="2936"/>
      <c r="BFG71" s="2936"/>
      <c r="BFH71" s="2936"/>
      <c r="BFI71" s="2936"/>
      <c r="BFJ71" s="2936"/>
      <c r="BFK71" s="2936"/>
      <c r="BFL71" s="2936"/>
      <c r="BFM71" s="2936"/>
      <c r="BFN71" s="2936"/>
      <c r="BFO71" s="2936"/>
      <c r="BFP71" s="2936"/>
      <c r="BFQ71" s="2936"/>
      <c r="BFR71" s="2936"/>
      <c r="BFS71" s="2936"/>
      <c r="BFT71" s="2936"/>
      <c r="BFU71" s="2936"/>
      <c r="BFV71" s="2936"/>
      <c r="BFW71" s="2936"/>
      <c r="BFX71" s="2936"/>
      <c r="BFY71" s="2936"/>
      <c r="BFZ71" s="2936"/>
      <c r="BGA71" s="2936"/>
      <c r="BGB71" s="2936"/>
      <c r="BGC71" s="2936"/>
      <c r="BGD71" s="2936"/>
      <c r="BGE71" s="2936"/>
      <c r="BGF71" s="2936"/>
      <c r="BGG71" s="2936"/>
      <c r="BGH71" s="2936"/>
      <c r="BGI71" s="2936"/>
      <c r="BGJ71" s="2936"/>
      <c r="BGK71" s="2936"/>
      <c r="BGL71" s="2936"/>
      <c r="BGM71" s="2936"/>
      <c r="BGN71" s="2936"/>
      <c r="BGO71" s="2936"/>
      <c r="BGP71" s="2936"/>
      <c r="BGQ71" s="2936"/>
      <c r="BGR71" s="2936"/>
      <c r="BGS71" s="2936"/>
      <c r="BGT71" s="2936"/>
      <c r="BGU71" s="2936"/>
      <c r="BGV71" s="2936"/>
      <c r="BGW71" s="2936"/>
      <c r="BGX71" s="2936"/>
      <c r="BGY71" s="2936"/>
      <c r="BGZ71" s="2936"/>
      <c r="BHA71" s="2936"/>
      <c r="BHB71" s="2936"/>
      <c r="BHC71" s="2936"/>
      <c r="BHD71" s="2936"/>
      <c r="BHE71" s="2936"/>
      <c r="BHF71" s="2936"/>
      <c r="BHG71" s="2936"/>
      <c r="BHH71" s="2936"/>
      <c r="BHI71" s="2936"/>
      <c r="BHJ71" s="2936"/>
      <c r="BHK71" s="2936"/>
      <c r="BHL71" s="2936"/>
      <c r="BHM71" s="2936"/>
      <c r="BHN71" s="2936"/>
      <c r="BHO71" s="2936"/>
      <c r="BHP71" s="2936"/>
      <c r="BHQ71" s="2936"/>
      <c r="BHR71" s="2936"/>
      <c r="BHS71" s="2936"/>
      <c r="BHT71" s="2936"/>
      <c r="BHU71" s="2936"/>
      <c r="BHV71" s="2936"/>
      <c r="BHW71" s="2936"/>
      <c r="BHX71" s="2936"/>
      <c r="BHY71" s="2936"/>
      <c r="BHZ71" s="2936"/>
      <c r="BIA71" s="2936"/>
      <c r="BIB71" s="2936"/>
      <c r="BIC71" s="2936"/>
      <c r="BID71" s="2936"/>
      <c r="BIE71" s="2936"/>
      <c r="BIF71" s="2936"/>
      <c r="BIG71" s="2936"/>
      <c r="BIH71" s="2936"/>
      <c r="BII71" s="2936"/>
      <c r="BIJ71" s="2936"/>
      <c r="BIK71" s="2936"/>
      <c r="BIL71" s="2936"/>
      <c r="BIM71" s="2936"/>
      <c r="BIN71" s="2936"/>
      <c r="BIO71" s="2936"/>
      <c r="BIP71" s="2936"/>
      <c r="BIQ71" s="2936"/>
      <c r="BIR71" s="2936"/>
      <c r="BIS71" s="2936"/>
      <c r="BIT71" s="2936"/>
      <c r="BIU71" s="2936"/>
      <c r="BIV71" s="2936"/>
      <c r="BIW71" s="2936"/>
      <c r="BIX71" s="2936"/>
      <c r="BIY71" s="2936"/>
      <c r="BIZ71" s="2936"/>
      <c r="BJA71" s="2936"/>
      <c r="BJB71" s="2936"/>
      <c r="BJC71" s="2936"/>
      <c r="BJD71" s="2936"/>
      <c r="BJE71" s="2936"/>
      <c r="BJF71" s="2936"/>
      <c r="BJG71" s="2936"/>
      <c r="BJH71" s="2936"/>
      <c r="BJI71" s="2936"/>
      <c r="BJJ71" s="2936"/>
      <c r="BJK71" s="2936"/>
      <c r="BJL71" s="2936"/>
      <c r="BJM71" s="2936"/>
      <c r="BJN71" s="2936"/>
      <c r="BJO71" s="2936"/>
      <c r="BJP71" s="2936"/>
      <c r="BJQ71" s="2936"/>
      <c r="BJR71" s="2936"/>
      <c r="BJS71" s="2936"/>
      <c r="BJT71" s="2936"/>
      <c r="BJU71" s="2936"/>
      <c r="BJV71" s="2936"/>
      <c r="BJW71" s="2936"/>
      <c r="BJX71" s="2936"/>
      <c r="BJY71" s="2936"/>
      <c r="BJZ71" s="2936"/>
      <c r="BKA71" s="2936"/>
      <c r="BKB71" s="2936"/>
      <c r="BKC71" s="2936"/>
      <c r="BKD71" s="2936"/>
      <c r="BKE71" s="2936"/>
      <c r="BKF71" s="2936"/>
      <c r="BKG71" s="2936"/>
      <c r="BKH71" s="2936"/>
      <c r="BKI71" s="2936"/>
      <c r="BKJ71" s="2936"/>
      <c r="BKK71" s="2936"/>
      <c r="BKL71" s="2936"/>
      <c r="BKM71" s="2936"/>
      <c r="BKN71" s="2936"/>
      <c r="BKO71" s="2936"/>
      <c r="BKP71" s="2936"/>
      <c r="BKQ71" s="2936"/>
      <c r="BKR71" s="2936"/>
      <c r="BKS71" s="2936"/>
      <c r="BKT71" s="2936"/>
      <c r="BKU71" s="2936"/>
      <c r="BKV71" s="2936"/>
      <c r="BKW71" s="2936"/>
      <c r="BKX71" s="2936"/>
      <c r="BKY71" s="2936"/>
      <c r="BKZ71" s="2936"/>
      <c r="BLA71" s="2936"/>
      <c r="BLB71" s="2936"/>
      <c r="BLC71" s="2936"/>
      <c r="BLD71" s="2936"/>
      <c r="BLE71" s="2936"/>
      <c r="BLF71" s="2936"/>
      <c r="BLG71" s="2936"/>
      <c r="BLH71" s="2936"/>
      <c r="BLI71" s="2936"/>
      <c r="BLJ71" s="2936"/>
      <c r="BLK71" s="2936"/>
      <c r="BLL71" s="2936"/>
      <c r="BLM71" s="2936"/>
      <c r="BLN71" s="2936"/>
      <c r="BLO71" s="2936"/>
      <c r="BLP71" s="2936"/>
      <c r="BLQ71" s="2936"/>
      <c r="BLR71" s="2936"/>
      <c r="BLS71" s="2936"/>
      <c r="BLT71" s="2936"/>
      <c r="BLU71" s="2936"/>
      <c r="BLV71" s="2936"/>
      <c r="BLW71" s="2936"/>
      <c r="BLX71" s="2936"/>
      <c r="BLY71" s="2936"/>
      <c r="BLZ71" s="2936"/>
      <c r="BMA71" s="2936"/>
      <c r="BMB71" s="2936"/>
      <c r="BMC71" s="2936"/>
      <c r="BMD71" s="2936"/>
      <c r="BME71" s="2936"/>
      <c r="BMF71" s="2936"/>
      <c r="BMG71" s="2936"/>
      <c r="BMH71" s="2936"/>
      <c r="BMI71" s="2936"/>
      <c r="BMJ71" s="2936"/>
      <c r="BMK71" s="2936"/>
      <c r="BML71" s="2936"/>
      <c r="BMM71" s="2936"/>
      <c r="BMN71" s="2936"/>
      <c r="BMO71" s="2936"/>
      <c r="BMP71" s="2936"/>
      <c r="BMQ71" s="2936"/>
      <c r="BMR71" s="2936"/>
      <c r="BMS71" s="2936"/>
      <c r="BMT71" s="2936"/>
      <c r="BMU71" s="2936"/>
      <c r="BMV71" s="2936"/>
      <c r="BMW71" s="2936"/>
      <c r="BMX71" s="2936"/>
      <c r="BMY71" s="2936"/>
      <c r="BMZ71" s="2936"/>
      <c r="BNA71" s="2936"/>
      <c r="BNB71" s="2936"/>
      <c r="BNC71" s="2936"/>
      <c r="BND71" s="2936"/>
      <c r="BNE71" s="2936"/>
      <c r="BNF71" s="2936"/>
      <c r="BNG71" s="2936"/>
      <c r="BNH71" s="2936"/>
      <c r="BNI71" s="2936"/>
      <c r="BNJ71" s="2936"/>
      <c r="BNK71" s="2936"/>
      <c r="BNL71" s="2936"/>
      <c r="BNM71" s="2936"/>
      <c r="BNN71" s="2936"/>
      <c r="BNO71" s="2936"/>
      <c r="BNP71" s="2936"/>
      <c r="BNQ71" s="2936"/>
      <c r="BNR71" s="2936"/>
      <c r="BNS71" s="2936"/>
      <c r="BNT71" s="2936"/>
      <c r="BNU71" s="2936"/>
      <c r="BNV71" s="2936"/>
      <c r="BNW71" s="2936"/>
      <c r="BNX71" s="2936"/>
      <c r="BNY71" s="2936"/>
      <c r="BNZ71" s="2936"/>
      <c r="BOA71" s="2936"/>
      <c r="BOB71" s="2936"/>
      <c r="BOC71" s="2936"/>
      <c r="BOD71" s="2936"/>
      <c r="BOE71" s="2936"/>
      <c r="BOF71" s="2936"/>
      <c r="BOG71" s="2936"/>
      <c r="BOH71" s="2936"/>
      <c r="BOI71" s="2936"/>
      <c r="BOJ71" s="2936"/>
      <c r="BOK71" s="2936"/>
      <c r="BOL71" s="2936"/>
      <c r="BOM71" s="2936"/>
      <c r="BON71" s="2936"/>
      <c r="BOO71" s="2936"/>
      <c r="BOP71" s="2936"/>
      <c r="BOQ71" s="2936"/>
      <c r="BOR71" s="2936"/>
      <c r="BOS71" s="2936"/>
      <c r="BOT71" s="2936"/>
      <c r="BOU71" s="2936"/>
      <c r="BOV71" s="2936"/>
      <c r="BOW71" s="2936"/>
      <c r="BOX71" s="2936"/>
      <c r="BOY71" s="2936"/>
      <c r="BOZ71" s="2936"/>
      <c r="BPA71" s="2936"/>
      <c r="BPB71" s="2936"/>
      <c r="BPC71" s="2936"/>
      <c r="BPD71" s="2936"/>
      <c r="BPE71" s="2936"/>
      <c r="BPF71" s="2936"/>
      <c r="BPG71" s="2936"/>
      <c r="BPH71" s="2936"/>
      <c r="BPI71" s="2936"/>
      <c r="BPJ71" s="2936"/>
      <c r="BPK71" s="2936"/>
      <c r="BPL71" s="2936"/>
      <c r="BPM71" s="2936"/>
      <c r="BPN71" s="2936"/>
      <c r="BPO71" s="2936"/>
      <c r="BPP71" s="2936"/>
      <c r="BPQ71" s="2936"/>
      <c r="BPR71" s="2936"/>
      <c r="BPS71" s="2936"/>
      <c r="BPT71" s="2936"/>
      <c r="BPU71" s="2936"/>
      <c r="BPV71" s="2936"/>
      <c r="BPW71" s="2936"/>
      <c r="BPX71" s="2936"/>
      <c r="BPY71" s="2936"/>
      <c r="BPZ71" s="2936"/>
      <c r="BQA71" s="2936"/>
      <c r="BQB71" s="2936"/>
      <c r="BQC71" s="2936"/>
      <c r="BQD71" s="2936"/>
      <c r="BQE71" s="2936"/>
      <c r="BQF71" s="2936"/>
      <c r="BQG71" s="2936"/>
      <c r="BQH71" s="2936"/>
      <c r="BQI71" s="2936"/>
      <c r="BQJ71" s="2936"/>
      <c r="BQK71" s="2936"/>
      <c r="BQL71" s="2936"/>
      <c r="BQM71" s="2936"/>
      <c r="BQN71" s="2936"/>
      <c r="BQO71" s="2936"/>
      <c r="BQP71" s="2936"/>
      <c r="BQQ71" s="2936"/>
      <c r="BQR71" s="2936"/>
      <c r="BQS71" s="2936"/>
      <c r="BQT71" s="2936"/>
      <c r="BQU71" s="2936"/>
      <c r="BQV71" s="2936"/>
      <c r="BQW71" s="2936"/>
      <c r="BQX71" s="2936"/>
      <c r="BQY71" s="2936"/>
      <c r="BQZ71" s="2936"/>
      <c r="BRA71" s="2936"/>
      <c r="BRB71" s="2936"/>
      <c r="BRC71" s="2936"/>
      <c r="BRD71" s="2936"/>
      <c r="BRE71" s="2936"/>
      <c r="BRF71" s="2936"/>
      <c r="BRG71" s="2936"/>
      <c r="BRH71" s="2936"/>
      <c r="BRI71" s="2936"/>
      <c r="BRJ71" s="2936"/>
      <c r="BRK71" s="2936"/>
      <c r="BRL71" s="2936"/>
      <c r="BRM71" s="2936"/>
      <c r="BRN71" s="2936"/>
      <c r="BRO71" s="2936"/>
      <c r="BRP71" s="2936"/>
      <c r="BRQ71" s="2936"/>
      <c r="BRR71" s="2936"/>
      <c r="BRS71" s="2936"/>
      <c r="BRT71" s="2936"/>
      <c r="BRU71" s="2936"/>
      <c r="BRV71" s="2936"/>
      <c r="BRW71" s="2936"/>
      <c r="BRX71" s="2936"/>
      <c r="BRY71" s="2936"/>
      <c r="BRZ71" s="2936"/>
      <c r="BSA71" s="2936"/>
      <c r="BSB71" s="2936"/>
      <c r="BSC71" s="2936"/>
      <c r="BSD71" s="2936"/>
      <c r="BSE71" s="2936"/>
      <c r="BSF71" s="2936"/>
      <c r="BSG71" s="2936"/>
      <c r="BSH71" s="2936"/>
      <c r="BSI71" s="2936"/>
      <c r="BSJ71" s="2936"/>
      <c r="BSK71" s="2936"/>
      <c r="BSL71" s="2936"/>
      <c r="BSM71" s="2936"/>
      <c r="BSN71" s="2936"/>
      <c r="BSO71" s="2936"/>
      <c r="BSP71" s="2936"/>
      <c r="BSQ71" s="2936"/>
      <c r="BSR71" s="2936"/>
      <c r="BSS71" s="2936"/>
      <c r="BST71" s="2936"/>
      <c r="BSU71" s="2936"/>
      <c r="BSV71" s="2936"/>
      <c r="BSW71" s="2936"/>
      <c r="BSX71" s="2936"/>
      <c r="BSY71" s="2936"/>
      <c r="BSZ71" s="2936"/>
      <c r="BTA71" s="2936"/>
      <c r="BTB71" s="2936"/>
      <c r="BTC71" s="2936"/>
      <c r="BTD71" s="2936"/>
      <c r="BTE71" s="2936"/>
      <c r="BTF71" s="2936"/>
      <c r="BTG71" s="2936"/>
      <c r="BTH71" s="2936"/>
      <c r="BTI71" s="2936"/>
      <c r="BTJ71" s="2936"/>
      <c r="BTK71" s="2936"/>
      <c r="BTL71" s="2936"/>
      <c r="BTM71" s="2936"/>
      <c r="BTN71" s="2936"/>
      <c r="BTO71" s="2936"/>
      <c r="BTP71" s="2936"/>
      <c r="BTQ71" s="2936"/>
      <c r="BTR71" s="2936"/>
      <c r="BTS71" s="2936"/>
      <c r="BTT71" s="2936"/>
      <c r="BTU71" s="2936"/>
      <c r="BTV71" s="2936"/>
      <c r="BTW71" s="2936"/>
      <c r="BTX71" s="2936"/>
      <c r="BTY71" s="2936"/>
      <c r="BTZ71" s="2936"/>
      <c r="BUA71" s="2936"/>
      <c r="BUB71" s="2936"/>
      <c r="BUC71" s="2936"/>
      <c r="BUD71" s="2936"/>
      <c r="BUE71" s="2936"/>
      <c r="BUF71" s="2936"/>
      <c r="BUG71" s="2936"/>
      <c r="BUH71" s="2936"/>
      <c r="BUI71" s="2936"/>
      <c r="BUJ71" s="2936"/>
      <c r="BUK71" s="2936"/>
      <c r="BUL71" s="2936"/>
      <c r="BUM71" s="2936"/>
      <c r="BUN71" s="2936"/>
      <c r="BUO71" s="2936"/>
      <c r="BUP71" s="2936"/>
      <c r="BUQ71" s="2936"/>
      <c r="BUR71" s="2936"/>
      <c r="BUS71" s="2936"/>
      <c r="BUT71" s="2936"/>
      <c r="BUU71" s="2936"/>
      <c r="BUV71" s="2936"/>
      <c r="BUW71" s="2936"/>
      <c r="BUX71" s="2936"/>
      <c r="BUY71" s="2936"/>
      <c r="BUZ71" s="2936"/>
      <c r="BVA71" s="2936"/>
      <c r="BVB71" s="2936"/>
      <c r="BVC71" s="2936"/>
      <c r="BVD71" s="2936"/>
      <c r="BVE71" s="2936"/>
      <c r="BVF71" s="2936"/>
      <c r="BVG71" s="2936"/>
      <c r="BVH71" s="2936"/>
      <c r="BVI71" s="2936"/>
      <c r="BVJ71" s="2936"/>
      <c r="BVK71" s="2936"/>
      <c r="BVL71" s="2936"/>
      <c r="BVM71" s="2936"/>
      <c r="BVN71" s="2936"/>
      <c r="BVO71" s="2936"/>
      <c r="BVP71" s="2936"/>
      <c r="BVQ71" s="2936"/>
      <c r="BVR71" s="2936"/>
      <c r="BVS71" s="2936"/>
      <c r="BVT71" s="2936"/>
      <c r="BVU71" s="2936"/>
      <c r="BVV71" s="2936"/>
      <c r="BVW71" s="2936"/>
      <c r="BVX71" s="2936"/>
      <c r="BVY71" s="2936"/>
      <c r="BVZ71" s="2936"/>
      <c r="BWA71" s="2936"/>
      <c r="BWB71" s="2936"/>
      <c r="BWC71" s="2936"/>
      <c r="BWD71" s="2936"/>
      <c r="BWE71" s="2936"/>
      <c r="BWF71" s="2936"/>
      <c r="BWG71" s="2936"/>
      <c r="BWH71" s="2936"/>
      <c r="BWI71" s="2936"/>
      <c r="BWJ71" s="2936"/>
      <c r="BWK71" s="2936"/>
      <c r="BWL71" s="2936"/>
      <c r="BWM71" s="2936"/>
      <c r="BWN71" s="2936"/>
      <c r="BWO71" s="2936"/>
      <c r="BWP71" s="2936"/>
      <c r="BWQ71" s="2936"/>
      <c r="BWR71" s="2936"/>
      <c r="BWS71" s="2936"/>
      <c r="BWT71" s="2936"/>
      <c r="BWU71" s="2936"/>
      <c r="BWV71" s="2936"/>
      <c r="BWW71" s="2936"/>
      <c r="BWX71" s="2936"/>
      <c r="BWY71" s="2936"/>
      <c r="BWZ71" s="2936"/>
      <c r="BXA71" s="2936"/>
      <c r="BXB71" s="2936"/>
      <c r="BXC71" s="2936"/>
      <c r="BXD71" s="2936"/>
      <c r="BXE71" s="2936"/>
      <c r="BXF71" s="2936"/>
      <c r="BXG71" s="2936"/>
      <c r="BXH71" s="2936"/>
      <c r="BXI71" s="2936"/>
      <c r="BXJ71" s="2936"/>
      <c r="BXK71" s="2936"/>
      <c r="BXL71" s="2936"/>
      <c r="BXM71" s="2936"/>
      <c r="BXN71" s="2936"/>
      <c r="BXO71" s="2936"/>
      <c r="BXP71" s="2936"/>
      <c r="BXQ71" s="2936"/>
      <c r="BXR71" s="2936"/>
      <c r="BXS71" s="2936"/>
      <c r="BXT71" s="2936"/>
      <c r="BXU71" s="2936"/>
      <c r="BXV71" s="2936"/>
      <c r="BXW71" s="2936"/>
      <c r="BXX71" s="2936"/>
      <c r="BXY71" s="2936"/>
      <c r="BXZ71" s="2936"/>
      <c r="BYA71" s="2936"/>
      <c r="BYB71" s="2936"/>
      <c r="BYC71" s="2936"/>
      <c r="BYD71" s="2936"/>
      <c r="BYE71" s="2936"/>
      <c r="BYF71" s="2936"/>
      <c r="BYG71" s="2936"/>
      <c r="BYH71" s="2936"/>
      <c r="BYI71" s="2936"/>
      <c r="BYJ71" s="2936"/>
      <c r="BYK71" s="2936"/>
      <c r="BYL71" s="2936"/>
      <c r="BYM71" s="2936"/>
      <c r="BYN71" s="2936"/>
      <c r="BYO71" s="2936"/>
      <c r="BYP71" s="2936"/>
      <c r="BYQ71" s="2936"/>
      <c r="BYR71" s="2936"/>
      <c r="BYS71" s="2936"/>
      <c r="BYT71" s="2936"/>
      <c r="BYU71" s="2936"/>
      <c r="BYV71" s="2936"/>
      <c r="BYW71" s="2936"/>
      <c r="BYX71" s="2936"/>
      <c r="BYY71" s="2936"/>
      <c r="BYZ71" s="2936"/>
      <c r="BZA71" s="2936"/>
      <c r="BZB71" s="2936"/>
      <c r="BZC71" s="2936"/>
      <c r="BZD71" s="2936"/>
      <c r="BZE71" s="2936"/>
      <c r="BZF71" s="2936"/>
      <c r="BZG71" s="2936"/>
      <c r="BZH71" s="2936"/>
      <c r="BZI71" s="2936"/>
      <c r="BZJ71" s="2936"/>
      <c r="BZK71" s="2936"/>
      <c r="BZL71" s="2936"/>
      <c r="BZM71" s="2936"/>
      <c r="BZN71" s="2936"/>
      <c r="BZO71" s="2936"/>
      <c r="BZP71" s="2936"/>
      <c r="BZQ71" s="2936"/>
      <c r="BZR71" s="2936"/>
      <c r="BZS71" s="2936"/>
      <c r="BZT71" s="2936"/>
      <c r="BZU71" s="2936"/>
      <c r="BZV71" s="2936"/>
      <c r="BZW71" s="2936"/>
      <c r="BZX71" s="2936"/>
      <c r="BZY71" s="2936"/>
      <c r="BZZ71" s="2936"/>
      <c r="CAA71" s="2936"/>
      <c r="CAB71" s="2936"/>
      <c r="CAC71" s="2936"/>
      <c r="CAD71" s="2936"/>
      <c r="CAE71" s="2936"/>
      <c r="CAF71" s="2936"/>
      <c r="CAG71" s="2936"/>
      <c r="CAH71" s="2936"/>
      <c r="CAI71" s="2936"/>
      <c r="CAJ71" s="2936"/>
      <c r="CAK71" s="2936"/>
      <c r="CAL71" s="2936"/>
      <c r="CAM71" s="2936"/>
      <c r="CAN71" s="2936"/>
      <c r="CAO71" s="2936"/>
      <c r="CAP71" s="2936"/>
      <c r="CAQ71" s="2936"/>
      <c r="CAR71" s="2936"/>
      <c r="CAS71" s="2936"/>
      <c r="CAT71" s="2936"/>
      <c r="CAU71" s="2936"/>
      <c r="CAV71" s="2936"/>
      <c r="CAW71" s="2936"/>
      <c r="CAX71" s="2936"/>
      <c r="CAY71" s="2936"/>
      <c r="CAZ71" s="2936"/>
      <c r="CBA71" s="2936"/>
      <c r="CBB71" s="2936"/>
      <c r="CBC71" s="2936"/>
      <c r="CBD71" s="2936"/>
      <c r="CBE71" s="2936"/>
      <c r="CBF71" s="2936"/>
      <c r="CBG71" s="2936"/>
      <c r="CBH71" s="2936"/>
      <c r="CBI71" s="2936"/>
      <c r="CBJ71" s="2936"/>
      <c r="CBK71" s="2936"/>
      <c r="CBL71" s="2936"/>
      <c r="CBM71" s="2936"/>
      <c r="CBN71" s="2936"/>
      <c r="CBO71" s="2936"/>
      <c r="CBP71" s="2936"/>
      <c r="CBQ71" s="2936"/>
      <c r="CBR71" s="2936"/>
      <c r="CBS71" s="2936"/>
      <c r="CBT71" s="2936"/>
      <c r="CBU71" s="2936"/>
      <c r="CBV71" s="2936"/>
      <c r="CBW71" s="2936"/>
      <c r="CBX71" s="2936"/>
      <c r="CBY71" s="2936"/>
      <c r="CBZ71" s="2936"/>
      <c r="CCA71" s="2936"/>
      <c r="CCB71" s="2936"/>
      <c r="CCC71" s="2936"/>
      <c r="CCD71" s="2936"/>
      <c r="CCE71" s="2936"/>
      <c r="CCF71" s="2936"/>
      <c r="CCG71" s="2936"/>
      <c r="CCH71" s="2936"/>
      <c r="CCI71" s="2936"/>
      <c r="CCJ71" s="2936"/>
      <c r="CCK71" s="2936"/>
      <c r="CCL71" s="2936"/>
      <c r="CCM71" s="2936"/>
      <c r="CCN71" s="2936"/>
      <c r="CCO71" s="2936"/>
      <c r="CCP71" s="2936"/>
      <c r="CCQ71" s="2936"/>
      <c r="CCR71" s="2936"/>
      <c r="CCS71" s="2936"/>
      <c r="CCT71" s="2936"/>
      <c r="CCU71" s="2936"/>
      <c r="CCV71" s="2936"/>
      <c r="CCW71" s="2936"/>
      <c r="CCX71" s="2936"/>
      <c r="CCY71" s="2936"/>
      <c r="CCZ71" s="2936"/>
      <c r="CDA71" s="2936"/>
      <c r="CDB71" s="2936"/>
      <c r="CDC71" s="2936"/>
      <c r="CDD71" s="2936"/>
      <c r="CDE71" s="2936"/>
      <c r="CDF71" s="2936"/>
      <c r="CDG71" s="2936"/>
      <c r="CDH71" s="2936"/>
      <c r="CDI71" s="2936"/>
      <c r="CDJ71" s="2936"/>
      <c r="CDK71" s="2936"/>
      <c r="CDL71" s="2936"/>
      <c r="CDM71" s="2936"/>
      <c r="CDN71" s="2936"/>
      <c r="CDO71" s="2936"/>
      <c r="CDP71" s="2936"/>
      <c r="CDQ71" s="2936"/>
      <c r="CDR71" s="2936"/>
      <c r="CDS71" s="2936"/>
      <c r="CDT71" s="2936"/>
      <c r="CDU71" s="2936"/>
      <c r="CDV71" s="2936"/>
      <c r="CDW71" s="2936"/>
      <c r="CDX71" s="2936"/>
      <c r="CDY71" s="2936"/>
      <c r="CDZ71" s="2936"/>
      <c r="CEA71" s="2936"/>
      <c r="CEB71" s="2936"/>
      <c r="CEC71" s="2936"/>
      <c r="CED71" s="2936"/>
      <c r="CEE71" s="2936"/>
      <c r="CEF71" s="2936"/>
      <c r="CEG71" s="2936"/>
      <c r="CEH71" s="2936"/>
      <c r="CEI71" s="2936"/>
      <c r="CEJ71" s="2936"/>
      <c r="CEK71" s="2936"/>
      <c r="CEL71" s="2936"/>
      <c r="CEM71" s="2936"/>
      <c r="CEN71" s="2936"/>
      <c r="CEO71" s="2936"/>
      <c r="CEP71" s="2936"/>
      <c r="CEQ71" s="2936"/>
      <c r="CER71" s="2936"/>
      <c r="CES71" s="2936"/>
      <c r="CET71" s="2936"/>
      <c r="CEU71" s="2936"/>
      <c r="CEV71" s="2936"/>
      <c r="CEW71" s="2936"/>
      <c r="CEX71" s="2936"/>
      <c r="CEY71" s="2936"/>
      <c r="CEZ71" s="2936"/>
      <c r="CFA71" s="2936"/>
      <c r="CFB71" s="2936"/>
      <c r="CFC71" s="2936"/>
      <c r="CFD71" s="2936"/>
      <c r="CFE71" s="2936"/>
      <c r="CFF71" s="2936"/>
      <c r="CFG71" s="2936"/>
      <c r="CFH71" s="2936"/>
      <c r="CFI71" s="2936"/>
      <c r="CFJ71" s="2936"/>
      <c r="CFK71" s="2936"/>
      <c r="CFL71" s="2936"/>
      <c r="CFM71" s="2936"/>
      <c r="CFN71" s="2936"/>
      <c r="CFO71" s="2936"/>
      <c r="CFP71" s="2936"/>
      <c r="CFQ71" s="2936"/>
      <c r="CFR71" s="2936"/>
      <c r="CFS71" s="2936"/>
      <c r="CFT71" s="2936"/>
      <c r="CFU71" s="2936"/>
      <c r="CFV71" s="2936"/>
      <c r="CFW71" s="2936"/>
      <c r="CFX71" s="2936"/>
      <c r="CFY71" s="2936"/>
      <c r="CFZ71" s="2936"/>
      <c r="CGA71" s="2936"/>
      <c r="CGB71" s="2936"/>
      <c r="CGC71" s="2936"/>
      <c r="CGD71" s="2936"/>
      <c r="CGE71" s="2936"/>
      <c r="CGF71" s="2936"/>
      <c r="CGG71" s="2936"/>
      <c r="CGH71" s="2936"/>
      <c r="CGI71" s="2936"/>
      <c r="CGJ71" s="2936"/>
      <c r="CGK71" s="2936"/>
      <c r="CGL71" s="2936"/>
      <c r="CGM71" s="2936"/>
      <c r="CGN71" s="2936"/>
      <c r="CGO71" s="2936"/>
      <c r="CGP71" s="2936"/>
      <c r="CGQ71" s="2936"/>
      <c r="CGR71" s="2936"/>
      <c r="CGS71" s="2936"/>
      <c r="CGT71" s="2936"/>
      <c r="CGU71" s="2936"/>
      <c r="CGV71" s="2936"/>
      <c r="CGW71" s="2936"/>
      <c r="CGX71" s="2936"/>
      <c r="CGY71" s="2936"/>
      <c r="CGZ71" s="2936"/>
      <c r="CHA71" s="2936"/>
      <c r="CHB71" s="2936"/>
      <c r="CHC71" s="2936"/>
      <c r="CHD71" s="2936"/>
      <c r="CHE71" s="2936"/>
      <c r="CHF71" s="2936"/>
      <c r="CHG71" s="2936"/>
      <c r="CHH71" s="2936"/>
      <c r="CHI71" s="2936"/>
      <c r="CHJ71" s="2936"/>
      <c r="CHK71" s="2936"/>
      <c r="CHL71" s="2936"/>
      <c r="CHM71" s="2936"/>
      <c r="CHN71" s="2936"/>
      <c r="CHO71" s="2936"/>
      <c r="CHP71" s="2936"/>
      <c r="CHQ71" s="2936"/>
      <c r="CHR71" s="2936"/>
      <c r="CHS71" s="2936"/>
      <c r="CHT71" s="2936"/>
      <c r="CHU71" s="2936"/>
      <c r="CHV71" s="2936"/>
      <c r="CHW71" s="2936"/>
      <c r="CHX71" s="2936"/>
      <c r="CHY71" s="2936"/>
      <c r="CHZ71" s="2936"/>
      <c r="CIA71" s="2936"/>
      <c r="CIB71" s="2936"/>
      <c r="CIC71" s="2936"/>
      <c r="CID71" s="2936"/>
      <c r="CIE71" s="2936"/>
      <c r="CIF71" s="2936"/>
      <c r="CIG71" s="2936"/>
      <c r="CIH71" s="2936"/>
      <c r="CII71" s="2936"/>
      <c r="CIJ71" s="2936"/>
      <c r="CIK71" s="2936"/>
      <c r="CIL71" s="2936"/>
      <c r="CIM71" s="2936"/>
      <c r="CIN71" s="2936"/>
      <c r="CIO71" s="2936"/>
      <c r="CIP71" s="2936"/>
      <c r="CIQ71" s="2936"/>
      <c r="CIR71" s="2936"/>
      <c r="CIS71" s="2936"/>
      <c r="CIT71" s="2936"/>
      <c r="CIU71" s="2936"/>
      <c r="CIV71" s="2936"/>
      <c r="CIW71" s="2936"/>
      <c r="CIX71" s="2936"/>
      <c r="CIY71" s="2936"/>
      <c r="CIZ71" s="2936"/>
      <c r="CJA71" s="2936"/>
      <c r="CJB71" s="2936"/>
      <c r="CJC71" s="2936"/>
      <c r="CJD71" s="2936"/>
      <c r="CJE71" s="2936"/>
      <c r="CJF71" s="2936"/>
      <c r="CJG71" s="2936"/>
      <c r="CJH71" s="2936"/>
      <c r="CJI71" s="2936"/>
      <c r="CJJ71" s="2936"/>
      <c r="CJK71" s="2936"/>
      <c r="CJL71" s="2936"/>
      <c r="CJM71" s="2936"/>
      <c r="CJN71" s="2936"/>
      <c r="CJO71" s="2936"/>
      <c r="CJP71" s="2936"/>
      <c r="CJQ71" s="2936"/>
      <c r="CJR71" s="2936"/>
      <c r="CJS71" s="2936"/>
      <c r="CJT71" s="2936"/>
      <c r="CJU71" s="2936"/>
      <c r="CJV71" s="2936"/>
      <c r="CJW71" s="2936"/>
      <c r="CJX71" s="2936"/>
      <c r="CJY71" s="2936"/>
      <c r="CJZ71" s="2936"/>
      <c r="CKA71" s="2936"/>
      <c r="CKB71" s="2936"/>
      <c r="CKC71" s="2936"/>
      <c r="CKD71" s="2936"/>
      <c r="CKE71" s="2936"/>
      <c r="CKF71" s="2936"/>
      <c r="CKG71" s="2936"/>
      <c r="CKH71" s="2936"/>
      <c r="CKI71" s="2936"/>
      <c r="CKJ71" s="2936"/>
      <c r="CKK71" s="2936"/>
      <c r="CKL71" s="2936"/>
      <c r="CKM71" s="2936"/>
      <c r="CKN71" s="2936"/>
      <c r="CKO71" s="2936"/>
      <c r="CKP71" s="2936"/>
      <c r="CKQ71" s="2936"/>
      <c r="CKR71" s="2936"/>
      <c r="CKS71" s="2936"/>
      <c r="CKT71" s="2936"/>
      <c r="CKU71" s="2936"/>
      <c r="CKV71" s="2936"/>
      <c r="CKW71" s="2936"/>
      <c r="CKX71" s="2936"/>
      <c r="CKY71" s="2936"/>
      <c r="CKZ71" s="2936"/>
      <c r="CLA71" s="2936"/>
      <c r="CLB71" s="2936"/>
      <c r="CLC71" s="2936"/>
      <c r="CLD71" s="2936"/>
      <c r="CLE71" s="2936"/>
      <c r="CLF71" s="2936"/>
      <c r="CLG71" s="2936"/>
      <c r="CLH71" s="2936"/>
      <c r="CLI71" s="2936"/>
      <c r="CLJ71" s="2936"/>
      <c r="CLK71" s="2936"/>
      <c r="CLL71" s="2936"/>
      <c r="CLM71" s="2936"/>
      <c r="CLN71" s="2936"/>
      <c r="CLO71" s="2936"/>
      <c r="CLP71" s="2936"/>
      <c r="CLQ71" s="2936"/>
      <c r="CLR71" s="2936"/>
      <c r="CLS71" s="2936"/>
      <c r="CLT71" s="2936"/>
      <c r="CLU71" s="2936"/>
      <c r="CLV71" s="2936"/>
      <c r="CLW71" s="2936"/>
      <c r="CLX71" s="2936"/>
      <c r="CLY71" s="2936"/>
      <c r="CLZ71" s="2936"/>
      <c r="CMA71" s="2936"/>
      <c r="CMB71" s="2936"/>
      <c r="CMC71" s="2936"/>
      <c r="CMD71" s="2936"/>
      <c r="CME71" s="2936"/>
      <c r="CMF71" s="2936"/>
      <c r="CMG71" s="2936"/>
      <c r="CMH71" s="2936"/>
      <c r="CMI71" s="2936"/>
      <c r="CMJ71" s="2936"/>
      <c r="CMK71" s="2936"/>
      <c r="CML71" s="2936"/>
      <c r="CMM71" s="2936"/>
      <c r="CMN71" s="2936"/>
      <c r="CMO71" s="2936"/>
      <c r="CMP71" s="2936"/>
      <c r="CMQ71" s="2936"/>
      <c r="CMR71" s="2936"/>
      <c r="CMS71" s="2936"/>
      <c r="CMT71" s="2936"/>
      <c r="CMU71" s="2936"/>
      <c r="CMV71" s="2936"/>
      <c r="CMW71" s="2936"/>
      <c r="CMX71" s="2936"/>
      <c r="CMY71" s="2936"/>
      <c r="CMZ71" s="2936"/>
      <c r="CNA71" s="2936"/>
      <c r="CNB71" s="2936"/>
      <c r="CNC71" s="2936"/>
      <c r="CND71" s="2936"/>
      <c r="CNE71" s="2936"/>
      <c r="CNF71" s="2936"/>
      <c r="CNG71" s="2936"/>
      <c r="CNH71" s="2936"/>
      <c r="CNI71" s="2936"/>
      <c r="CNJ71" s="2936"/>
      <c r="CNK71" s="2936"/>
      <c r="CNL71" s="2936"/>
      <c r="CNM71" s="2936"/>
      <c r="CNN71" s="2936"/>
      <c r="CNO71" s="2936"/>
      <c r="CNP71" s="2936"/>
      <c r="CNQ71" s="2936"/>
      <c r="CNR71" s="2936"/>
      <c r="CNS71" s="2936"/>
      <c r="CNT71" s="2936"/>
      <c r="CNU71" s="2936"/>
      <c r="CNV71" s="2936"/>
      <c r="CNW71" s="2936"/>
      <c r="CNX71" s="2936"/>
      <c r="CNY71" s="2936"/>
      <c r="CNZ71" s="2936"/>
      <c r="COA71" s="2936"/>
      <c r="COB71" s="2936"/>
      <c r="COC71" s="2936"/>
      <c r="COD71" s="2936"/>
      <c r="COE71" s="2936"/>
      <c r="COF71" s="2936"/>
      <c r="COG71" s="2936"/>
      <c r="COH71" s="2936"/>
      <c r="COI71" s="2936"/>
      <c r="COJ71" s="2936"/>
      <c r="COK71" s="2936"/>
      <c r="COL71" s="2936"/>
      <c r="COM71" s="2936"/>
      <c r="CON71" s="2936"/>
      <c r="COO71" s="2936"/>
      <c r="COP71" s="2936"/>
      <c r="COQ71" s="2936"/>
      <c r="COR71" s="2936"/>
      <c r="COS71" s="2936"/>
      <c r="COT71" s="2936"/>
      <c r="COU71" s="2936"/>
      <c r="COV71" s="2936"/>
      <c r="COW71" s="2936"/>
      <c r="COX71" s="2936"/>
      <c r="COY71" s="2936"/>
      <c r="COZ71" s="2936"/>
      <c r="CPA71" s="2936"/>
      <c r="CPB71" s="2936"/>
      <c r="CPC71" s="2936"/>
      <c r="CPD71" s="2936"/>
      <c r="CPE71" s="2936"/>
      <c r="CPF71" s="2936"/>
      <c r="CPG71" s="2936"/>
      <c r="CPH71" s="2936"/>
      <c r="CPI71" s="2936"/>
      <c r="CPJ71" s="2936"/>
      <c r="CPK71" s="2936"/>
      <c r="CPL71" s="2936"/>
      <c r="CPM71" s="2936"/>
      <c r="CPN71" s="2936"/>
      <c r="CPO71" s="2936"/>
      <c r="CPP71" s="2936"/>
      <c r="CPQ71" s="2936"/>
      <c r="CPR71" s="2936"/>
      <c r="CPS71" s="2936"/>
      <c r="CPT71" s="2936"/>
      <c r="CPU71" s="2936"/>
      <c r="CPV71" s="2936"/>
      <c r="CPW71" s="2936"/>
      <c r="CPX71" s="2936"/>
      <c r="CPY71" s="2936"/>
      <c r="CPZ71" s="2936"/>
      <c r="CQA71" s="2936"/>
      <c r="CQB71" s="2936"/>
      <c r="CQC71" s="2936"/>
      <c r="CQD71" s="2936"/>
      <c r="CQE71" s="2936"/>
      <c r="CQF71" s="2936"/>
      <c r="CQG71" s="2936"/>
      <c r="CQH71" s="2936"/>
      <c r="CQI71" s="2936"/>
      <c r="CQJ71" s="2936"/>
      <c r="CQK71" s="2936"/>
      <c r="CQL71" s="2936"/>
      <c r="CQM71" s="2936"/>
      <c r="CQN71" s="2936"/>
      <c r="CQO71" s="2936"/>
      <c r="CQP71" s="2936"/>
      <c r="CQQ71" s="2936"/>
      <c r="CQR71" s="2936"/>
      <c r="CQS71" s="2936"/>
      <c r="CQT71" s="2936"/>
      <c r="CQU71" s="2936"/>
      <c r="CQV71" s="2936"/>
      <c r="CQW71" s="2936"/>
      <c r="CQX71" s="2936"/>
      <c r="CQY71" s="2936"/>
      <c r="CQZ71" s="2936"/>
      <c r="CRA71" s="2936"/>
      <c r="CRB71" s="2936"/>
      <c r="CRC71" s="2936"/>
      <c r="CRD71" s="2936"/>
      <c r="CRE71" s="2936"/>
      <c r="CRF71" s="2936"/>
      <c r="CRG71" s="2936"/>
      <c r="CRH71" s="2936"/>
      <c r="CRI71" s="2936"/>
      <c r="CRJ71" s="2936"/>
      <c r="CRK71" s="2936"/>
      <c r="CRL71" s="2936"/>
      <c r="CRM71" s="2936"/>
      <c r="CRN71" s="2936"/>
      <c r="CRO71" s="2936"/>
      <c r="CRP71" s="2936"/>
      <c r="CRQ71" s="2936"/>
      <c r="CRR71" s="2936"/>
      <c r="CRS71" s="2936"/>
      <c r="CRT71" s="2936"/>
      <c r="CRU71" s="2936"/>
      <c r="CRV71" s="2936"/>
      <c r="CRW71" s="2936"/>
      <c r="CRX71" s="2936"/>
      <c r="CRY71" s="2936"/>
      <c r="CRZ71" s="2936"/>
      <c r="CSA71" s="2936"/>
      <c r="CSB71" s="2936"/>
      <c r="CSC71" s="2936"/>
      <c r="CSD71" s="2936"/>
      <c r="CSE71" s="2936"/>
      <c r="CSF71" s="2936"/>
      <c r="CSG71" s="2936"/>
      <c r="CSH71" s="2936"/>
      <c r="CSI71" s="2936"/>
      <c r="CSJ71" s="2936"/>
      <c r="CSK71" s="2936"/>
      <c r="CSL71" s="2936"/>
      <c r="CSM71" s="2936"/>
      <c r="CSN71" s="2936"/>
      <c r="CSO71" s="2936"/>
      <c r="CSP71" s="2936"/>
      <c r="CSQ71" s="2936"/>
      <c r="CSR71" s="2936"/>
      <c r="CSS71" s="2936"/>
      <c r="CST71" s="2936"/>
      <c r="CSU71" s="2936"/>
      <c r="CSV71" s="2936"/>
      <c r="CSW71" s="2936"/>
      <c r="CSX71" s="2936"/>
      <c r="CSY71" s="2936"/>
      <c r="CSZ71" s="2936"/>
      <c r="CTA71" s="2936"/>
      <c r="CTB71" s="2936"/>
      <c r="CTC71" s="2936"/>
      <c r="CTD71" s="2936"/>
      <c r="CTE71" s="2936"/>
      <c r="CTF71" s="2936"/>
      <c r="CTG71" s="2936"/>
      <c r="CTH71" s="2936"/>
      <c r="CTI71" s="2936"/>
      <c r="CTJ71" s="2936"/>
      <c r="CTK71" s="2936"/>
      <c r="CTL71" s="2936"/>
      <c r="CTM71" s="2936"/>
      <c r="CTN71" s="2936"/>
      <c r="CTO71" s="2936"/>
      <c r="CTP71" s="2936"/>
      <c r="CTQ71" s="2936"/>
      <c r="CTR71" s="2936"/>
      <c r="CTS71" s="2936"/>
      <c r="CTT71" s="2936"/>
      <c r="CTU71" s="2936"/>
      <c r="CTV71" s="2936"/>
      <c r="CTW71" s="2936"/>
      <c r="CTX71" s="2936"/>
      <c r="CTY71" s="2936"/>
      <c r="CTZ71" s="2936"/>
      <c r="CUA71" s="2936"/>
      <c r="CUB71" s="2936"/>
      <c r="CUC71" s="2936"/>
      <c r="CUD71" s="2936"/>
      <c r="CUE71" s="2936"/>
      <c r="CUF71" s="2936"/>
      <c r="CUG71" s="2936"/>
      <c r="CUH71" s="2936"/>
      <c r="CUI71" s="2936"/>
      <c r="CUJ71" s="2936"/>
      <c r="CUK71" s="2936"/>
      <c r="CUL71" s="2936"/>
      <c r="CUM71" s="2936"/>
      <c r="CUN71" s="2936"/>
      <c r="CUO71" s="2936"/>
      <c r="CUP71" s="2936"/>
      <c r="CUQ71" s="2936"/>
      <c r="CUR71" s="2936"/>
      <c r="CUS71" s="2936"/>
      <c r="CUT71" s="2936"/>
      <c r="CUU71" s="2936"/>
      <c r="CUV71" s="2936"/>
      <c r="CUW71" s="2936"/>
      <c r="CUX71" s="2936"/>
      <c r="CUY71" s="2936"/>
      <c r="CUZ71" s="2936"/>
      <c r="CVA71" s="2936"/>
      <c r="CVB71" s="2936"/>
      <c r="CVC71" s="2936"/>
      <c r="CVD71" s="2936"/>
      <c r="CVE71" s="2936"/>
      <c r="CVF71" s="2936"/>
      <c r="CVG71" s="2936"/>
      <c r="CVH71" s="2936"/>
      <c r="CVI71" s="2936"/>
      <c r="CVJ71" s="2936"/>
      <c r="CVK71" s="2936"/>
      <c r="CVL71" s="2936"/>
      <c r="CVM71" s="2936"/>
      <c r="CVN71" s="2936"/>
      <c r="CVO71" s="2936"/>
      <c r="CVP71" s="2936"/>
      <c r="CVQ71" s="2936"/>
      <c r="CVR71" s="2936"/>
      <c r="CVS71" s="2936"/>
      <c r="CVT71" s="2936"/>
      <c r="CVU71" s="2936"/>
      <c r="CVV71" s="2936"/>
      <c r="CVW71" s="2936"/>
      <c r="CVX71" s="2936"/>
      <c r="CVY71" s="2936"/>
      <c r="CVZ71" s="2936"/>
      <c r="CWA71" s="2936"/>
      <c r="CWB71" s="2936"/>
      <c r="CWC71" s="2936"/>
      <c r="CWD71" s="2936"/>
      <c r="CWE71" s="2936"/>
      <c r="CWF71" s="2936"/>
      <c r="CWG71" s="2936"/>
      <c r="CWH71" s="2936"/>
      <c r="CWI71" s="2936"/>
      <c r="CWJ71" s="2936"/>
      <c r="CWK71" s="2936"/>
      <c r="CWL71" s="2936"/>
      <c r="CWM71" s="2936"/>
      <c r="CWN71" s="2936"/>
      <c r="CWO71" s="2936"/>
      <c r="CWP71" s="2936"/>
      <c r="CWQ71" s="2936"/>
      <c r="CWR71" s="2936"/>
      <c r="CWS71" s="2936"/>
      <c r="CWT71" s="2936"/>
      <c r="CWU71" s="2936"/>
      <c r="CWV71" s="2936"/>
      <c r="CWW71" s="2936"/>
      <c r="CWX71" s="2936"/>
      <c r="CWY71" s="2936"/>
      <c r="CWZ71" s="2936"/>
      <c r="CXA71" s="2936"/>
      <c r="CXB71" s="2936"/>
      <c r="CXC71" s="2936"/>
      <c r="CXD71" s="2936"/>
      <c r="CXE71" s="2936"/>
      <c r="CXF71" s="2936"/>
      <c r="CXG71" s="2936"/>
      <c r="CXH71" s="2936"/>
      <c r="CXI71" s="2936"/>
      <c r="CXJ71" s="2936"/>
      <c r="CXK71" s="2936"/>
      <c r="CXL71" s="2936"/>
      <c r="CXM71" s="2936"/>
      <c r="CXN71" s="2936"/>
      <c r="CXO71" s="2936"/>
      <c r="CXP71" s="2936"/>
      <c r="CXQ71" s="2936"/>
      <c r="CXR71" s="2936"/>
      <c r="CXS71" s="2936"/>
      <c r="CXT71" s="2936"/>
      <c r="CXU71" s="2936"/>
      <c r="CXV71" s="2936"/>
      <c r="CXW71" s="2936"/>
      <c r="CXX71" s="2936"/>
      <c r="CXY71" s="2936"/>
      <c r="CXZ71" s="2936"/>
      <c r="CYA71" s="2936"/>
      <c r="CYB71" s="2936"/>
      <c r="CYC71" s="2936"/>
      <c r="CYD71" s="2936"/>
      <c r="CYE71" s="2936"/>
      <c r="CYF71" s="2936"/>
      <c r="CYG71" s="2936"/>
      <c r="CYH71" s="2936"/>
      <c r="CYI71" s="2936"/>
      <c r="CYJ71" s="2936"/>
      <c r="CYK71" s="2936"/>
      <c r="CYL71" s="2936"/>
      <c r="CYM71" s="2936"/>
      <c r="CYN71" s="2936"/>
      <c r="CYO71" s="2936"/>
      <c r="CYP71" s="2936"/>
      <c r="CYQ71" s="2936"/>
      <c r="CYR71" s="2936"/>
      <c r="CYS71" s="2936"/>
      <c r="CYT71" s="2936"/>
      <c r="CYU71" s="2936"/>
      <c r="CYV71" s="2936"/>
      <c r="CYW71" s="2936"/>
      <c r="CYX71" s="2936"/>
      <c r="CYY71" s="2936"/>
      <c r="CYZ71" s="2936"/>
      <c r="CZA71" s="2936"/>
      <c r="CZB71" s="2936"/>
      <c r="CZC71" s="2936"/>
      <c r="CZD71" s="2936"/>
      <c r="CZE71" s="2936"/>
      <c r="CZF71" s="2936"/>
      <c r="CZG71" s="2936"/>
      <c r="CZH71" s="2936"/>
      <c r="CZI71" s="2936"/>
      <c r="CZJ71" s="2936"/>
      <c r="CZK71" s="2936"/>
      <c r="CZL71" s="2936"/>
      <c r="CZM71" s="2936"/>
      <c r="CZN71" s="2936"/>
      <c r="CZO71" s="2936"/>
      <c r="CZP71" s="2936"/>
      <c r="CZQ71" s="2936"/>
      <c r="CZR71" s="2936"/>
      <c r="CZS71" s="2936"/>
      <c r="CZT71" s="2936"/>
      <c r="CZU71" s="2936"/>
      <c r="CZV71" s="2936"/>
      <c r="CZW71" s="2936"/>
      <c r="CZX71" s="2936"/>
      <c r="CZY71" s="2936"/>
      <c r="CZZ71" s="2936"/>
      <c r="DAA71" s="2936"/>
      <c r="DAB71" s="2936"/>
      <c r="DAC71" s="2936"/>
      <c r="DAD71" s="2936"/>
      <c r="DAE71" s="2936"/>
      <c r="DAF71" s="2936"/>
      <c r="DAG71" s="2936"/>
      <c r="DAH71" s="2936"/>
      <c r="DAI71" s="2936"/>
      <c r="DAJ71" s="2936"/>
      <c r="DAK71" s="2936"/>
      <c r="DAL71" s="2936"/>
      <c r="DAM71" s="2936"/>
      <c r="DAN71" s="2936"/>
      <c r="DAO71" s="2936"/>
      <c r="DAP71" s="2936"/>
      <c r="DAQ71" s="2936"/>
      <c r="DAR71" s="2936"/>
      <c r="DAS71" s="2936"/>
      <c r="DAT71" s="2936"/>
      <c r="DAU71" s="2936"/>
      <c r="DAV71" s="2936"/>
      <c r="DAW71" s="2936"/>
      <c r="DAX71" s="2936"/>
      <c r="DAY71" s="2936"/>
      <c r="DAZ71" s="2936"/>
      <c r="DBA71" s="2936"/>
      <c r="DBB71" s="2936"/>
      <c r="DBC71" s="2936"/>
      <c r="DBD71" s="2936"/>
      <c r="DBE71" s="2936"/>
      <c r="DBF71" s="2936"/>
      <c r="DBG71" s="2936"/>
      <c r="DBH71" s="2936"/>
      <c r="DBI71" s="2936"/>
      <c r="DBJ71" s="2936"/>
      <c r="DBK71" s="2936"/>
      <c r="DBL71" s="2936"/>
      <c r="DBM71" s="2936"/>
      <c r="DBN71" s="2936"/>
      <c r="DBO71" s="2936"/>
      <c r="DBP71" s="2936"/>
      <c r="DBQ71" s="2936"/>
      <c r="DBR71" s="2936"/>
      <c r="DBS71" s="2936"/>
      <c r="DBT71" s="2936"/>
      <c r="DBU71" s="2936"/>
      <c r="DBV71" s="2936"/>
      <c r="DBW71" s="2936"/>
      <c r="DBX71" s="2936"/>
      <c r="DBY71" s="2936"/>
      <c r="DBZ71" s="2936"/>
      <c r="DCA71" s="2936"/>
      <c r="DCB71" s="2936"/>
      <c r="DCC71" s="2936"/>
      <c r="DCD71" s="2936"/>
      <c r="DCE71" s="2936"/>
      <c r="DCF71" s="2936"/>
      <c r="DCG71" s="2936"/>
      <c r="DCH71" s="2936"/>
      <c r="DCI71" s="2936"/>
      <c r="DCJ71" s="2936"/>
      <c r="DCK71" s="2936"/>
      <c r="DCL71" s="2936"/>
      <c r="DCM71" s="2936"/>
      <c r="DCN71" s="2936"/>
      <c r="DCO71" s="2936"/>
      <c r="DCP71" s="2936"/>
      <c r="DCQ71" s="2936"/>
      <c r="DCR71" s="2936"/>
      <c r="DCS71" s="2936"/>
      <c r="DCT71" s="2936"/>
      <c r="DCU71" s="2936"/>
      <c r="DCV71" s="2936"/>
      <c r="DCW71" s="2936"/>
      <c r="DCX71" s="2936"/>
      <c r="DCY71" s="2936"/>
      <c r="DCZ71" s="2936"/>
      <c r="DDA71" s="2936"/>
      <c r="DDB71" s="2936"/>
      <c r="DDC71" s="2936"/>
      <c r="DDD71" s="2936"/>
      <c r="DDE71" s="2936"/>
      <c r="DDF71" s="2936"/>
      <c r="DDG71" s="2936"/>
      <c r="DDH71" s="2936"/>
      <c r="DDI71" s="2936"/>
      <c r="DDJ71" s="2936"/>
      <c r="DDK71" s="2936"/>
      <c r="DDL71" s="2936"/>
      <c r="DDM71" s="2936"/>
      <c r="DDN71" s="2936"/>
      <c r="DDO71" s="2936"/>
      <c r="DDP71" s="2936"/>
      <c r="DDQ71" s="2936"/>
      <c r="DDR71" s="2936"/>
      <c r="DDS71" s="2936"/>
      <c r="DDT71" s="2936"/>
      <c r="DDU71" s="2936"/>
      <c r="DDV71" s="2936"/>
      <c r="DDW71" s="2936"/>
      <c r="DDX71" s="2936"/>
      <c r="DDY71" s="2936"/>
      <c r="DDZ71" s="2936"/>
      <c r="DEA71" s="2936"/>
      <c r="DEB71" s="2936"/>
      <c r="DEC71" s="2936"/>
      <c r="DED71" s="2936"/>
      <c r="DEE71" s="2936"/>
      <c r="DEF71" s="2936"/>
      <c r="DEG71" s="2936"/>
      <c r="DEH71" s="2936"/>
      <c r="DEI71" s="2936"/>
      <c r="DEJ71" s="2936"/>
      <c r="DEK71" s="2936"/>
      <c r="DEL71" s="2936"/>
      <c r="DEM71" s="2936"/>
      <c r="DEN71" s="2936"/>
      <c r="DEO71" s="2936"/>
      <c r="DEP71" s="2936"/>
      <c r="DEQ71" s="2936"/>
      <c r="DER71" s="2936"/>
      <c r="DES71" s="2936"/>
      <c r="DET71" s="2936"/>
      <c r="DEU71" s="2936"/>
      <c r="DEV71" s="2936"/>
      <c r="DEW71" s="2936"/>
      <c r="DEX71" s="2936"/>
      <c r="DEY71" s="2936"/>
      <c r="DEZ71" s="2936"/>
      <c r="DFA71" s="2936"/>
      <c r="DFB71" s="2936"/>
      <c r="DFC71" s="2936"/>
      <c r="DFD71" s="2936"/>
      <c r="DFE71" s="2936"/>
      <c r="DFF71" s="2936"/>
      <c r="DFG71" s="2936"/>
      <c r="DFH71" s="2936"/>
      <c r="DFI71" s="2936"/>
      <c r="DFJ71" s="2936"/>
      <c r="DFK71" s="2936"/>
      <c r="DFL71" s="2936"/>
      <c r="DFM71" s="2936"/>
      <c r="DFN71" s="2936"/>
      <c r="DFO71" s="2936"/>
      <c r="DFP71" s="2936"/>
      <c r="DFQ71" s="2936"/>
      <c r="DFR71" s="2936"/>
      <c r="DFS71" s="2936"/>
      <c r="DFT71" s="2936"/>
      <c r="DFU71" s="2936"/>
      <c r="DFV71" s="2936"/>
      <c r="DFW71" s="2936"/>
      <c r="DFX71" s="2936"/>
      <c r="DFY71" s="2936"/>
      <c r="DFZ71" s="2936"/>
      <c r="DGA71" s="2936"/>
      <c r="DGB71" s="2936"/>
      <c r="DGC71" s="2936"/>
      <c r="DGD71" s="2936"/>
      <c r="DGE71" s="2936"/>
      <c r="DGF71" s="2936"/>
      <c r="DGG71" s="2936"/>
      <c r="DGH71" s="2936"/>
      <c r="DGI71" s="2936"/>
      <c r="DGJ71" s="2936"/>
      <c r="DGK71" s="2936"/>
      <c r="DGL71" s="2936"/>
      <c r="DGM71" s="2936"/>
      <c r="DGN71" s="2936"/>
      <c r="DGO71" s="2936"/>
      <c r="DGP71" s="2936"/>
      <c r="DGQ71" s="2936"/>
      <c r="DGR71" s="2936"/>
      <c r="DGS71" s="2936"/>
      <c r="DGT71" s="2936"/>
      <c r="DGU71" s="2936"/>
      <c r="DGV71" s="2936"/>
      <c r="DGW71" s="2936"/>
      <c r="DGX71" s="2936"/>
      <c r="DGY71" s="2936"/>
      <c r="DGZ71" s="2936"/>
      <c r="DHA71" s="2936"/>
      <c r="DHB71" s="2936"/>
      <c r="DHC71" s="2936"/>
      <c r="DHD71" s="2936"/>
      <c r="DHE71" s="2936"/>
      <c r="DHF71" s="2936"/>
      <c r="DHG71" s="2936"/>
      <c r="DHH71" s="2936"/>
      <c r="DHI71" s="2936"/>
      <c r="DHJ71" s="2936"/>
      <c r="DHK71" s="2936"/>
      <c r="DHL71" s="2936"/>
      <c r="DHM71" s="2936"/>
      <c r="DHN71" s="2936"/>
      <c r="DHO71" s="2936"/>
      <c r="DHP71" s="2936"/>
      <c r="DHQ71" s="2936"/>
      <c r="DHR71" s="2936"/>
      <c r="DHS71" s="2936"/>
      <c r="DHT71" s="2936"/>
      <c r="DHU71" s="2936"/>
      <c r="DHV71" s="2936"/>
      <c r="DHW71" s="2936"/>
      <c r="DHX71" s="2936"/>
      <c r="DHY71" s="2936"/>
      <c r="DHZ71" s="2936"/>
      <c r="DIA71" s="2936"/>
      <c r="DIB71" s="2936"/>
      <c r="DIC71" s="2936"/>
      <c r="DID71" s="2936"/>
      <c r="DIE71" s="2936"/>
      <c r="DIF71" s="2936"/>
      <c r="DIG71" s="2936"/>
      <c r="DIH71" s="2936"/>
      <c r="DII71" s="2936"/>
      <c r="DIJ71" s="2936"/>
      <c r="DIK71" s="2936"/>
      <c r="DIL71" s="2936"/>
      <c r="DIM71" s="2936"/>
      <c r="DIN71" s="2936"/>
      <c r="DIO71" s="2936"/>
      <c r="DIP71" s="2936"/>
      <c r="DIQ71" s="2936"/>
      <c r="DIR71" s="2936"/>
      <c r="DIS71" s="2936"/>
      <c r="DIT71" s="2936"/>
      <c r="DIU71" s="2936"/>
      <c r="DIV71" s="2936"/>
      <c r="DIW71" s="2936"/>
      <c r="DIX71" s="2936"/>
      <c r="DIY71" s="2936"/>
      <c r="DIZ71" s="2936"/>
      <c r="DJA71" s="2936"/>
      <c r="DJB71" s="2936"/>
      <c r="DJC71" s="2936"/>
      <c r="DJD71" s="2936"/>
      <c r="DJE71" s="2936"/>
      <c r="DJF71" s="2936"/>
      <c r="DJG71" s="2936"/>
      <c r="DJH71" s="2936"/>
      <c r="DJI71" s="2936"/>
      <c r="DJJ71" s="2936"/>
      <c r="DJK71" s="2936"/>
      <c r="DJL71" s="2936"/>
      <c r="DJM71" s="2936"/>
      <c r="DJN71" s="2936"/>
      <c r="DJO71" s="2936"/>
      <c r="DJP71" s="2936"/>
      <c r="DJQ71" s="2936"/>
      <c r="DJR71" s="2936"/>
      <c r="DJS71" s="2936"/>
      <c r="DJT71" s="2936"/>
      <c r="DJU71" s="2936"/>
      <c r="DJV71" s="2936"/>
      <c r="DJW71" s="2936"/>
      <c r="DJX71" s="2936"/>
      <c r="DJY71" s="2936"/>
      <c r="DJZ71" s="2936"/>
      <c r="DKA71" s="2936"/>
      <c r="DKB71" s="2936"/>
      <c r="DKC71" s="2936"/>
      <c r="DKD71" s="2936"/>
      <c r="DKE71" s="2936"/>
      <c r="DKF71" s="2936"/>
      <c r="DKG71" s="2936"/>
      <c r="DKH71" s="2936"/>
      <c r="DKI71" s="2936"/>
      <c r="DKJ71" s="2936"/>
      <c r="DKK71" s="2936"/>
      <c r="DKL71" s="2936"/>
      <c r="DKM71" s="2936"/>
      <c r="DKN71" s="2936"/>
      <c r="DKO71" s="2936"/>
      <c r="DKP71" s="2936"/>
      <c r="DKQ71" s="2936"/>
      <c r="DKR71" s="2936"/>
      <c r="DKS71" s="2936"/>
      <c r="DKT71" s="2936"/>
      <c r="DKU71" s="2936"/>
      <c r="DKV71" s="2936"/>
      <c r="DKW71" s="2936"/>
      <c r="DKX71" s="2936"/>
      <c r="DKY71" s="2936"/>
      <c r="DKZ71" s="2936"/>
      <c r="DLA71" s="2936"/>
      <c r="DLB71" s="2936"/>
      <c r="DLC71" s="2936"/>
      <c r="DLD71" s="2936"/>
      <c r="DLE71" s="2936"/>
      <c r="DLF71" s="2936"/>
      <c r="DLG71" s="2936"/>
      <c r="DLH71" s="2936"/>
      <c r="DLI71" s="2936"/>
      <c r="DLJ71" s="2936"/>
      <c r="DLK71" s="2936"/>
      <c r="DLL71" s="2936"/>
      <c r="DLM71" s="2936"/>
      <c r="DLN71" s="2936"/>
      <c r="DLO71" s="2936"/>
      <c r="DLP71" s="2936"/>
      <c r="DLQ71" s="2936"/>
      <c r="DLR71" s="2936"/>
      <c r="DLS71" s="2936"/>
      <c r="DLT71" s="2936"/>
      <c r="DLU71" s="2936"/>
      <c r="DLV71" s="2936"/>
      <c r="DLW71" s="2936"/>
      <c r="DLX71" s="2936"/>
      <c r="DLY71" s="2936"/>
      <c r="DLZ71" s="2936"/>
      <c r="DMA71" s="2936"/>
      <c r="DMB71" s="2936"/>
      <c r="DMC71" s="2936"/>
      <c r="DMD71" s="2936"/>
      <c r="DME71" s="2936"/>
      <c r="DMF71" s="2936"/>
      <c r="DMG71" s="2936"/>
      <c r="DMH71" s="2936"/>
      <c r="DMI71" s="2936"/>
      <c r="DMJ71" s="2936"/>
      <c r="DMK71" s="2936"/>
      <c r="DML71" s="2936"/>
      <c r="DMM71" s="2936"/>
      <c r="DMN71" s="2936"/>
      <c r="DMO71" s="2936"/>
      <c r="DMP71" s="2936"/>
      <c r="DMQ71" s="2936"/>
      <c r="DMR71" s="2936"/>
      <c r="DMS71" s="2936"/>
      <c r="DMT71" s="2936"/>
      <c r="DMU71" s="2936"/>
      <c r="DMV71" s="2936"/>
      <c r="DMW71" s="2936"/>
      <c r="DMX71" s="2936"/>
      <c r="DMY71" s="2936"/>
      <c r="DMZ71" s="2936"/>
      <c r="DNA71" s="2936"/>
      <c r="DNB71" s="2936"/>
      <c r="DNC71" s="2936"/>
      <c r="DND71" s="2936"/>
      <c r="DNE71" s="2936"/>
      <c r="DNF71" s="2936"/>
      <c r="DNG71" s="2936"/>
      <c r="DNH71" s="2936"/>
      <c r="DNI71" s="2936"/>
      <c r="DNJ71" s="2936"/>
      <c r="DNK71" s="2936"/>
      <c r="DNL71" s="2936"/>
      <c r="DNM71" s="2936"/>
      <c r="DNN71" s="2936"/>
      <c r="DNO71" s="2936"/>
      <c r="DNP71" s="2936"/>
      <c r="DNQ71" s="2936"/>
      <c r="DNR71" s="2936"/>
      <c r="DNS71" s="2936"/>
      <c r="DNT71" s="2936"/>
      <c r="DNU71" s="2936"/>
      <c r="DNV71" s="2936"/>
      <c r="DNW71" s="2936"/>
      <c r="DNX71" s="2936"/>
      <c r="DNY71" s="2936"/>
      <c r="DNZ71" s="2936"/>
      <c r="DOA71" s="2936"/>
      <c r="DOB71" s="2936"/>
      <c r="DOC71" s="2936"/>
      <c r="DOD71" s="2936"/>
      <c r="DOE71" s="2936"/>
      <c r="DOF71" s="2936"/>
      <c r="DOG71" s="2936"/>
      <c r="DOH71" s="2936"/>
      <c r="DOI71" s="2936"/>
      <c r="DOJ71" s="2936"/>
      <c r="DOK71" s="2936"/>
      <c r="DOL71" s="2936"/>
      <c r="DOM71" s="2936"/>
      <c r="DON71" s="2936"/>
      <c r="DOO71" s="2936"/>
      <c r="DOP71" s="2936"/>
      <c r="DOQ71" s="2936"/>
      <c r="DOR71" s="2936"/>
      <c r="DOS71" s="2936"/>
      <c r="DOT71" s="2936"/>
      <c r="DOU71" s="2936"/>
      <c r="DOV71" s="2936"/>
      <c r="DOW71" s="2936"/>
      <c r="DOX71" s="2936"/>
      <c r="DOY71" s="2936"/>
      <c r="DOZ71" s="2936"/>
      <c r="DPA71" s="2936"/>
      <c r="DPB71" s="2936"/>
      <c r="DPC71" s="2936"/>
      <c r="DPD71" s="2936"/>
      <c r="DPE71" s="2936"/>
      <c r="DPF71" s="2936"/>
      <c r="DPG71" s="2936"/>
      <c r="DPH71" s="2936"/>
      <c r="DPI71" s="2936"/>
      <c r="DPJ71" s="2936"/>
      <c r="DPK71" s="2936"/>
      <c r="DPL71" s="2936"/>
      <c r="DPM71" s="2936"/>
      <c r="DPN71" s="2936"/>
      <c r="DPO71" s="2936"/>
      <c r="DPP71" s="2936"/>
      <c r="DPQ71" s="2936"/>
      <c r="DPR71" s="2936"/>
      <c r="DPS71" s="2936"/>
      <c r="DPT71" s="2936"/>
      <c r="DPU71" s="2936"/>
      <c r="DPV71" s="2936"/>
      <c r="DPW71" s="2936"/>
      <c r="DPX71" s="2936"/>
      <c r="DPY71" s="2936"/>
      <c r="DPZ71" s="2936"/>
      <c r="DQA71" s="2936"/>
      <c r="DQB71" s="2936"/>
      <c r="DQC71" s="2936"/>
      <c r="DQD71" s="2936"/>
      <c r="DQE71" s="2936"/>
      <c r="DQF71" s="2936"/>
      <c r="DQG71" s="2936"/>
      <c r="DQH71" s="2936"/>
      <c r="DQI71" s="2936"/>
      <c r="DQJ71" s="2936"/>
      <c r="DQK71" s="2936"/>
      <c r="DQL71" s="2936"/>
      <c r="DQM71" s="2936"/>
      <c r="DQN71" s="2936"/>
      <c r="DQO71" s="2936"/>
      <c r="DQP71" s="2936"/>
      <c r="DQQ71" s="2936"/>
      <c r="DQR71" s="2936"/>
      <c r="DQS71" s="2936"/>
      <c r="DQT71" s="2936"/>
      <c r="DQU71" s="2936"/>
      <c r="DQV71" s="2936"/>
      <c r="DQW71" s="2936"/>
      <c r="DQX71" s="2936"/>
      <c r="DQY71" s="2936"/>
      <c r="DQZ71" s="2936"/>
      <c r="DRA71" s="2936"/>
      <c r="DRB71" s="2936"/>
      <c r="DRC71" s="2936"/>
      <c r="DRD71" s="2936"/>
      <c r="DRE71" s="2936"/>
      <c r="DRF71" s="2936"/>
      <c r="DRG71" s="2936"/>
      <c r="DRH71" s="2936"/>
      <c r="DRI71" s="2936"/>
      <c r="DRJ71" s="2936"/>
      <c r="DRK71" s="2936"/>
      <c r="DRL71" s="2936"/>
      <c r="DRM71" s="2936"/>
      <c r="DRN71" s="2936"/>
      <c r="DRO71" s="2936"/>
      <c r="DRP71" s="2936"/>
      <c r="DRQ71" s="2936"/>
      <c r="DRR71" s="2936"/>
      <c r="DRS71" s="2936"/>
      <c r="DRT71" s="2936"/>
      <c r="DRU71" s="2936"/>
      <c r="DRV71" s="2936"/>
      <c r="DRW71" s="2936"/>
      <c r="DRX71" s="2936"/>
      <c r="DRY71" s="2936"/>
      <c r="DRZ71" s="2936"/>
      <c r="DSA71" s="2936"/>
      <c r="DSB71" s="2936"/>
      <c r="DSC71" s="2936"/>
      <c r="DSD71" s="2936"/>
      <c r="DSE71" s="2936"/>
      <c r="DSF71" s="2936"/>
      <c r="DSG71" s="2936"/>
      <c r="DSH71" s="2936"/>
      <c r="DSI71" s="2936"/>
      <c r="DSJ71" s="2936"/>
      <c r="DSK71" s="2936"/>
      <c r="DSL71" s="2936"/>
      <c r="DSM71" s="2936"/>
      <c r="DSN71" s="2936"/>
      <c r="DSO71" s="2936"/>
      <c r="DSP71" s="2936"/>
      <c r="DSQ71" s="2936"/>
      <c r="DSR71" s="2936"/>
      <c r="DSS71" s="2936"/>
      <c r="DST71" s="2936"/>
      <c r="DSU71" s="2936"/>
      <c r="DSV71" s="2936"/>
      <c r="DSW71" s="2936"/>
      <c r="DSX71" s="2936"/>
      <c r="DSY71" s="2936"/>
      <c r="DSZ71" s="2936"/>
      <c r="DTA71" s="2936"/>
      <c r="DTB71" s="2936"/>
      <c r="DTC71" s="2936"/>
      <c r="DTD71" s="2936"/>
      <c r="DTE71" s="2936"/>
      <c r="DTF71" s="2936"/>
      <c r="DTG71" s="2936"/>
      <c r="DTH71" s="2936"/>
      <c r="DTI71" s="2936"/>
      <c r="DTJ71" s="2936"/>
      <c r="DTK71" s="2936"/>
      <c r="DTL71" s="2936"/>
      <c r="DTM71" s="2936"/>
      <c r="DTN71" s="2936"/>
      <c r="DTO71" s="2936"/>
      <c r="DTP71" s="2936"/>
      <c r="DTQ71" s="2936"/>
      <c r="DTR71" s="2936"/>
      <c r="DTS71" s="2936"/>
      <c r="DTT71" s="2936"/>
      <c r="DTU71" s="2936"/>
      <c r="DTV71" s="2936"/>
      <c r="DTW71" s="2936"/>
      <c r="DTX71" s="2936"/>
      <c r="DTY71" s="2936"/>
      <c r="DTZ71" s="2936"/>
      <c r="DUA71" s="2936"/>
      <c r="DUB71" s="2936"/>
      <c r="DUC71" s="2936"/>
      <c r="DUD71" s="2936"/>
      <c r="DUE71" s="2936"/>
      <c r="DUF71" s="2936"/>
      <c r="DUG71" s="2936"/>
      <c r="DUH71" s="2936"/>
      <c r="DUI71" s="2936"/>
      <c r="DUJ71" s="2936"/>
      <c r="DUK71" s="2936"/>
      <c r="DUL71" s="2936"/>
      <c r="DUM71" s="2936"/>
      <c r="DUN71" s="2936"/>
      <c r="DUO71" s="2936"/>
      <c r="DUP71" s="2936"/>
      <c r="DUQ71" s="2936"/>
      <c r="DUR71" s="2936"/>
      <c r="DUS71" s="2936"/>
      <c r="DUT71" s="2936"/>
      <c r="DUU71" s="2936"/>
      <c r="DUV71" s="2936"/>
      <c r="DUW71" s="2936"/>
      <c r="DUX71" s="2936"/>
      <c r="DUY71" s="2936"/>
      <c r="DUZ71" s="2936"/>
      <c r="DVA71" s="2936"/>
      <c r="DVB71" s="2936"/>
      <c r="DVC71" s="2936"/>
      <c r="DVD71" s="2936"/>
      <c r="DVE71" s="2936"/>
      <c r="DVF71" s="2936"/>
      <c r="DVG71" s="2936"/>
      <c r="DVH71" s="2936"/>
      <c r="DVI71" s="2936"/>
      <c r="DVJ71" s="2936"/>
      <c r="DVK71" s="2936"/>
      <c r="DVL71" s="2936"/>
      <c r="DVM71" s="2936"/>
      <c r="DVN71" s="2936"/>
      <c r="DVO71" s="2936"/>
      <c r="DVP71" s="2936"/>
      <c r="DVQ71" s="2936"/>
      <c r="DVR71" s="2936"/>
      <c r="DVS71" s="2936"/>
      <c r="DVT71" s="2936"/>
      <c r="DVU71" s="2936"/>
      <c r="DVV71" s="2936"/>
      <c r="DVW71" s="2936"/>
      <c r="DVX71" s="2936"/>
      <c r="DVY71" s="2936"/>
      <c r="DVZ71" s="2936"/>
      <c r="DWA71" s="2936"/>
      <c r="DWB71" s="2936"/>
      <c r="DWC71" s="2936"/>
      <c r="DWD71" s="2936"/>
      <c r="DWE71" s="2936"/>
      <c r="DWF71" s="2936"/>
      <c r="DWG71" s="2936"/>
      <c r="DWH71" s="2936"/>
      <c r="DWI71" s="2936"/>
      <c r="DWJ71" s="2936"/>
      <c r="DWK71" s="2936"/>
      <c r="DWL71" s="2936"/>
      <c r="DWM71" s="2936"/>
      <c r="DWN71" s="2936"/>
      <c r="DWO71" s="2936"/>
      <c r="DWP71" s="2936"/>
      <c r="DWQ71" s="2936"/>
      <c r="DWR71" s="2936"/>
      <c r="DWS71" s="2936"/>
      <c r="DWT71" s="2936"/>
      <c r="DWU71" s="2936"/>
      <c r="DWV71" s="2936"/>
      <c r="DWW71" s="2936"/>
      <c r="DWX71" s="2936"/>
      <c r="DWY71" s="2936"/>
      <c r="DWZ71" s="2936"/>
      <c r="DXA71" s="2936"/>
      <c r="DXB71" s="2936"/>
      <c r="DXC71" s="2936"/>
      <c r="DXD71" s="2936"/>
      <c r="DXE71" s="2936"/>
      <c r="DXF71" s="2936"/>
      <c r="DXG71" s="2936"/>
      <c r="DXH71" s="2936"/>
      <c r="DXI71" s="2936"/>
      <c r="DXJ71" s="2936"/>
      <c r="DXK71" s="2936"/>
      <c r="DXL71" s="2936"/>
      <c r="DXM71" s="2936"/>
      <c r="DXN71" s="2936"/>
      <c r="DXO71" s="2936"/>
      <c r="DXP71" s="2936"/>
      <c r="DXQ71" s="2936"/>
      <c r="DXR71" s="2936"/>
      <c r="DXS71" s="2936"/>
      <c r="DXT71" s="2936"/>
      <c r="DXU71" s="2936"/>
      <c r="DXV71" s="2936"/>
      <c r="DXW71" s="2936"/>
      <c r="DXX71" s="2936"/>
      <c r="DXY71" s="2936"/>
      <c r="DXZ71" s="2936"/>
      <c r="DYA71" s="2936"/>
      <c r="DYB71" s="2936"/>
      <c r="DYC71" s="2936"/>
      <c r="DYD71" s="2936"/>
      <c r="DYE71" s="2936"/>
      <c r="DYF71" s="2936"/>
      <c r="DYG71" s="2936"/>
      <c r="DYH71" s="2936"/>
      <c r="DYI71" s="2936"/>
      <c r="DYJ71" s="2936"/>
      <c r="DYK71" s="2936"/>
      <c r="DYL71" s="2936"/>
      <c r="DYM71" s="2936"/>
      <c r="DYN71" s="2936"/>
      <c r="DYO71" s="2936"/>
      <c r="DYP71" s="2936"/>
      <c r="DYQ71" s="2936"/>
      <c r="DYR71" s="2936"/>
      <c r="DYS71" s="2936"/>
      <c r="DYT71" s="2936"/>
      <c r="DYU71" s="2936"/>
      <c r="DYV71" s="2936"/>
      <c r="DYW71" s="2936"/>
      <c r="DYX71" s="2936"/>
      <c r="DYY71" s="2936"/>
      <c r="DYZ71" s="2936"/>
      <c r="DZA71" s="2936"/>
      <c r="DZB71" s="2936"/>
      <c r="DZC71" s="2936"/>
      <c r="DZD71" s="2936"/>
      <c r="DZE71" s="2936"/>
      <c r="DZF71" s="2936"/>
      <c r="DZG71" s="2936"/>
      <c r="DZH71" s="2936"/>
      <c r="DZI71" s="2936"/>
      <c r="DZJ71" s="2936"/>
      <c r="DZK71" s="2936"/>
      <c r="DZL71" s="2936"/>
      <c r="DZM71" s="2936"/>
      <c r="DZN71" s="2936"/>
      <c r="DZO71" s="2936"/>
      <c r="DZP71" s="2936"/>
      <c r="DZQ71" s="2936"/>
      <c r="DZR71" s="2936"/>
      <c r="DZS71" s="2936"/>
      <c r="DZT71" s="2936"/>
      <c r="DZU71" s="2936"/>
      <c r="DZV71" s="2936"/>
      <c r="DZW71" s="2936"/>
      <c r="DZX71" s="2936"/>
      <c r="DZY71" s="2936"/>
      <c r="DZZ71" s="2936"/>
      <c r="EAA71" s="2936"/>
      <c r="EAB71" s="2936"/>
      <c r="EAC71" s="2936"/>
      <c r="EAD71" s="2936"/>
      <c r="EAE71" s="2936"/>
      <c r="EAF71" s="2936"/>
      <c r="EAG71" s="2936"/>
      <c r="EAH71" s="2936"/>
      <c r="EAI71" s="2936"/>
      <c r="EAJ71" s="2936"/>
      <c r="EAK71" s="2936"/>
      <c r="EAL71" s="2936"/>
      <c r="EAM71" s="2936"/>
      <c r="EAN71" s="2936"/>
      <c r="EAO71" s="2936"/>
      <c r="EAP71" s="2936"/>
      <c r="EAQ71" s="2936"/>
      <c r="EAR71" s="2936"/>
      <c r="EAS71" s="2936"/>
      <c r="EAT71" s="2936"/>
      <c r="EAU71" s="2936"/>
      <c r="EAV71" s="2936"/>
      <c r="EAW71" s="2936"/>
      <c r="EAX71" s="2936"/>
      <c r="EAY71" s="2936"/>
      <c r="EAZ71" s="2936"/>
      <c r="EBA71" s="2936"/>
      <c r="EBB71" s="2936"/>
      <c r="EBC71" s="2936"/>
      <c r="EBD71" s="2936"/>
      <c r="EBE71" s="2936"/>
      <c r="EBF71" s="2936"/>
      <c r="EBG71" s="2936"/>
      <c r="EBH71" s="2936"/>
      <c r="EBI71" s="2936"/>
      <c r="EBJ71" s="2936"/>
      <c r="EBK71" s="2936"/>
      <c r="EBL71" s="2936"/>
      <c r="EBM71" s="2936"/>
      <c r="EBN71" s="2936"/>
      <c r="EBO71" s="2936"/>
      <c r="EBP71" s="2936"/>
      <c r="EBQ71" s="2936"/>
      <c r="EBR71" s="2936"/>
      <c r="EBS71" s="2936"/>
      <c r="EBT71" s="2936"/>
      <c r="EBU71" s="2936"/>
      <c r="EBV71" s="2936"/>
      <c r="EBW71" s="2936"/>
      <c r="EBX71" s="2936"/>
      <c r="EBY71" s="2936"/>
      <c r="EBZ71" s="2936"/>
      <c r="ECA71" s="2936"/>
      <c r="ECB71" s="2936"/>
      <c r="ECC71" s="2936"/>
      <c r="ECD71" s="2936"/>
      <c r="ECE71" s="2936"/>
      <c r="ECF71" s="2936"/>
      <c r="ECG71" s="2936"/>
      <c r="ECH71" s="2936"/>
      <c r="ECI71" s="2936"/>
      <c r="ECJ71" s="2936"/>
      <c r="ECK71" s="2936"/>
      <c r="ECL71" s="2936"/>
      <c r="ECM71" s="2936"/>
      <c r="ECN71" s="2936"/>
      <c r="ECO71" s="2936"/>
      <c r="ECP71" s="2936"/>
      <c r="ECQ71" s="2936"/>
      <c r="ECR71" s="2936"/>
      <c r="ECS71" s="2936"/>
      <c r="ECT71" s="2936"/>
      <c r="ECU71" s="2936"/>
      <c r="ECV71" s="2936"/>
      <c r="ECW71" s="2936"/>
      <c r="ECX71" s="2936"/>
      <c r="ECY71" s="2936"/>
      <c r="ECZ71" s="2936"/>
      <c r="EDA71" s="2936"/>
      <c r="EDB71" s="2936"/>
      <c r="EDC71" s="2936"/>
      <c r="EDD71" s="2936"/>
      <c r="EDE71" s="2936"/>
      <c r="EDF71" s="2936"/>
      <c r="EDG71" s="2936"/>
      <c r="EDH71" s="2936"/>
      <c r="EDI71" s="2936"/>
      <c r="EDJ71" s="2936"/>
      <c r="EDK71" s="2936"/>
      <c r="EDL71" s="2936"/>
      <c r="EDM71" s="2936"/>
      <c r="EDN71" s="2936"/>
      <c r="EDO71" s="2936"/>
      <c r="EDP71" s="2936"/>
      <c r="EDQ71" s="2936"/>
      <c r="EDR71" s="2936"/>
      <c r="EDS71" s="2936"/>
      <c r="EDT71" s="2936"/>
      <c r="EDU71" s="2936"/>
      <c r="EDV71" s="2936"/>
      <c r="EDW71" s="2936"/>
      <c r="EDX71" s="2936"/>
      <c r="EDY71" s="2936"/>
      <c r="EDZ71" s="2936"/>
      <c r="EEA71" s="2936"/>
      <c r="EEB71" s="2936"/>
      <c r="EEC71" s="2936"/>
      <c r="EED71" s="2936"/>
      <c r="EEE71" s="2936"/>
      <c r="EEF71" s="2936"/>
      <c r="EEG71" s="2936"/>
      <c r="EEH71" s="2936"/>
      <c r="EEI71" s="2936"/>
      <c r="EEJ71" s="2936"/>
      <c r="EEK71" s="2936"/>
      <c r="EEL71" s="2936"/>
      <c r="EEM71" s="2936"/>
      <c r="EEN71" s="2936"/>
      <c r="EEO71" s="2936"/>
      <c r="EEP71" s="2936"/>
      <c r="EEQ71" s="2936"/>
      <c r="EER71" s="2936"/>
      <c r="EES71" s="2936"/>
      <c r="EET71" s="2936"/>
      <c r="EEU71" s="2936"/>
      <c r="EEV71" s="2936"/>
      <c r="EEW71" s="2936"/>
      <c r="EEX71" s="2936"/>
      <c r="EEY71" s="2936"/>
      <c r="EEZ71" s="2936"/>
      <c r="EFA71" s="2936"/>
      <c r="EFB71" s="2936"/>
      <c r="EFC71" s="2936"/>
      <c r="EFD71" s="2936"/>
      <c r="EFE71" s="2936"/>
      <c r="EFF71" s="2936"/>
      <c r="EFG71" s="2936"/>
      <c r="EFH71" s="2936"/>
      <c r="EFI71" s="2936"/>
      <c r="EFJ71" s="2936"/>
      <c r="EFK71" s="2936"/>
      <c r="EFL71" s="2936"/>
      <c r="EFM71" s="2936"/>
      <c r="EFN71" s="2936"/>
      <c r="EFO71" s="2936"/>
      <c r="EFP71" s="2936"/>
      <c r="EFQ71" s="2936"/>
      <c r="EFR71" s="2936"/>
      <c r="EFS71" s="2936"/>
      <c r="EFT71" s="2936"/>
      <c r="EFU71" s="2936"/>
      <c r="EFV71" s="2936"/>
      <c r="EFW71" s="2936"/>
      <c r="EFX71" s="2936"/>
      <c r="EFY71" s="2936"/>
      <c r="EFZ71" s="2936"/>
      <c r="EGA71" s="2936"/>
      <c r="EGB71" s="2936"/>
      <c r="EGC71" s="2936"/>
      <c r="EGD71" s="2936"/>
      <c r="EGE71" s="2936"/>
      <c r="EGF71" s="2936"/>
      <c r="EGG71" s="2936"/>
      <c r="EGH71" s="2936"/>
      <c r="EGI71" s="2936"/>
      <c r="EGJ71" s="2936"/>
      <c r="EGK71" s="2936"/>
      <c r="EGL71" s="2936"/>
      <c r="EGM71" s="2936"/>
      <c r="EGN71" s="2936"/>
      <c r="EGO71" s="2936"/>
      <c r="EGP71" s="2936"/>
      <c r="EGQ71" s="2936"/>
      <c r="EGR71" s="2936"/>
      <c r="EGS71" s="2936"/>
      <c r="EGT71" s="2936"/>
      <c r="EGU71" s="2936"/>
      <c r="EGV71" s="2936"/>
      <c r="EGW71" s="2936"/>
      <c r="EGX71" s="2936"/>
      <c r="EGY71" s="2936"/>
      <c r="EGZ71" s="2936"/>
      <c r="EHA71" s="2936"/>
      <c r="EHB71" s="2936"/>
      <c r="EHC71" s="2936"/>
      <c r="EHD71" s="2936"/>
      <c r="EHE71" s="2936"/>
      <c r="EHF71" s="2936"/>
      <c r="EHG71" s="2936"/>
      <c r="EHH71" s="2936"/>
      <c r="EHI71" s="2936"/>
      <c r="EHJ71" s="2936"/>
      <c r="EHK71" s="2936"/>
      <c r="EHL71" s="2936"/>
      <c r="EHM71" s="2936"/>
      <c r="EHN71" s="2936"/>
      <c r="EHO71" s="2936"/>
      <c r="EHP71" s="2936"/>
      <c r="EHQ71" s="2936"/>
      <c r="EHR71" s="2936"/>
      <c r="EHS71" s="2936"/>
      <c r="EHT71" s="2936"/>
      <c r="EHU71" s="2936"/>
      <c r="EHV71" s="2936"/>
      <c r="EHW71" s="2936"/>
      <c r="EHX71" s="2936"/>
      <c r="EHY71" s="2936"/>
      <c r="EHZ71" s="2936"/>
      <c r="EIA71" s="2936"/>
      <c r="EIB71" s="2936"/>
      <c r="EIC71" s="2936"/>
      <c r="EID71" s="2936"/>
      <c r="EIE71" s="2936"/>
      <c r="EIF71" s="2936"/>
      <c r="EIG71" s="2936"/>
      <c r="EIH71" s="2936"/>
      <c r="EII71" s="2936"/>
      <c r="EIJ71" s="2936"/>
      <c r="EIK71" s="2936"/>
      <c r="EIL71" s="2936"/>
      <c r="EIM71" s="2936"/>
      <c r="EIN71" s="2936"/>
      <c r="EIO71" s="2936"/>
      <c r="EIP71" s="2936"/>
      <c r="EIQ71" s="2936"/>
      <c r="EIR71" s="2936"/>
      <c r="EIS71" s="2936"/>
      <c r="EIT71" s="2936"/>
      <c r="EIU71" s="2936"/>
      <c r="EIV71" s="2936"/>
      <c r="EIW71" s="2936"/>
      <c r="EIX71" s="2936"/>
      <c r="EIY71" s="2936"/>
      <c r="EIZ71" s="2936"/>
      <c r="EJA71" s="2936"/>
      <c r="EJB71" s="2936"/>
      <c r="EJC71" s="2936"/>
      <c r="EJD71" s="2936"/>
      <c r="EJE71" s="2936"/>
      <c r="EJF71" s="2936"/>
      <c r="EJG71" s="2936"/>
      <c r="EJH71" s="2936"/>
      <c r="EJI71" s="2936"/>
      <c r="EJJ71" s="2936"/>
      <c r="EJK71" s="2936"/>
      <c r="EJL71" s="2936"/>
      <c r="EJM71" s="2936"/>
      <c r="EJN71" s="2936"/>
      <c r="EJO71" s="2936"/>
      <c r="EJP71" s="2936"/>
      <c r="EJQ71" s="2936"/>
      <c r="EJR71" s="2936"/>
      <c r="EJS71" s="2936"/>
      <c r="EJT71" s="2936"/>
      <c r="EJU71" s="2936"/>
      <c r="EJV71" s="2936"/>
      <c r="EJW71" s="2936"/>
      <c r="EJX71" s="2936"/>
      <c r="EJY71" s="2936"/>
      <c r="EJZ71" s="2936"/>
      <c r="EKA71" s="2936"/>
      <c r="EKB71" s="2936"/>
      <c r="EKC71" s="2936"/>
      <c r="EKD71" s="2936"/>
      <c r="EKE71" s="2936"/>
      <c r="EKF71" s="2936"/>
      <c r="EKG71" s="2936"/>
      <c r="EKH71" s="2936"/>
      <c r="EKI71" s="2936"/>
      <c r="EKJ71" s="2936"/>
      <c r="EKK71" s="2936"/>
      <c r="EKL71" s="2936"/>
      <c r="EKM71" s="2936"/>
      <c r="EKN71" s="2936"/>
      <c r="EKO71" s="2936"/>
      <c r="EKP71" s="2936"/>
      <c r="EKQ71" s="2936"/>
      <c r="EKR71" s="2936"/>
      <c r="EKS71" s="2936"/>
      <c r="EKT71" s="2936"/>
      <c r="EKU71" s="2936"/>
      <c r="EKV71" s="2936"/>
      <c r="EKW71" s="2936"/>
      <c r="EKX71" s="2936"/>
      <c r="EKY71" s="2936"/>
      <c r="EKZ71" s="2936"/>
      <c r="ELA71" s="2936"/>
      <c r="ELB71" s="2936"/>
      <c r="ELC71" s="2936"/>
      <c r="ELD71" s="2936"/>
      <c r="ELE71" s="2936"/>
      <c r="ELF71" s="2936"/>
      <c r="ELG71" s="2936"/>
      <c r="ELH71" s="2936"/>
      <c r="ELI71" s="2936"/>
      <c r="ELJ71" s="2936"/>
      <c r="ELK71" s="2936"/>
      <c r="ELL71" s="2936"/>
      <c r="ELM71" s="2936"/>
      <c r="ELN71" s="2936"/>
      <c r="ELO71" s="2936"/>
      <c r="ELP71" s="2936"/>
      <c r="ELQ71" s="2936"/>
      <c r="ELR71" s="2936"/>
      <c r="ELS71" s="2936"/>
      <c r="ELT71" s="2936"/>
      <c r="ELU71" s="2936"/>
      <c r="ELV71" s="2936"/>
      <c r="ELW71" s="2936"/>
      <c r="ELX71" s="2936"/>
      <c r="ELY71" s="2936"/>
      <c r="ELZ71" s="2936"/>
      <c r="EMA71" s="2936"/>
      <c r="EMB71" s="2936"/>
      <c r="EMC71" s="2936"/>
      <c r="EMD71" s="2936"/>
      <c r="EME71" s="2936"/>
      <c r="EMF71" s="2936"/>
      <c r="EMG71" s="2936"/>
      <c r="EMH71" s="2936"/>
      <c r="EMI71" s="2936"/>
      <c r="EMJ71" s="2936"/>
      <c r="EMK71" s="2936"/>
      <c r="EML71" s="2936"/>
      <c r="EMM71" s="2936"/>
      <c r="EMN71" s="2936"/>
      <c r="EMO71" s="2936"/>
      <c r="EMP71" s="2936"/>
      <c r="EMQ71" s="2936"/>
      <c r="EMR71" s="2936"/>
      <c r="EMS71" s="2936"/>
      <c r="EMT71" s="2936"/>
      <c r="EMU71" s="2936"/>
      <c r="EMV71" s="2936"/>
      <c r="EMW71" s="2936"/>
      <c r="EMX71" s="2936"/>
      <c r="EMY71" s="2936"/>
      <c r="EMZ71" s="2936"/>
      <c r="ENA71" s="2936"/>
      <c r="ENB71" s="2936"/>
      <c r="ENC71" s="2936"/>
      <c r="END71" s="2936"/>
      <c r="ENE71" s="2936"/>
      <c r="ENF71" s="2936"/>
      <c r="ENG71" s="2936"/>
      <c r="ENH71" s="2936"/>
      <c r="ENI71" s="2936"/>
      <c r="ENJ71" s="2936"/>
      <c r="ENK71" s="2936"/>
      <c r="ENL71" s="2936"/>
      <c r="ENM71" s="2936"/>
      <c r="ENN71" s="2936"/>
      <c r="ENO71" s="2936"/>
      <c r="ENP71" s="2936"/>
      <c r="ENQ71" s="2936"/>
      <c r="ENR71" s="2936"/>
      <c r="ENS71" s="2936"/>
      <c r="ENT71" s="2936"/>
      <c r="ENU71" s="2936"/>
      <c r="ENV71" s="2936"/>
      <c r="ENW71" s="2936"/>
      <c r="ENX71" s="2936"/>
      <c r="ENY71" s="2936"/>
      <c r="ENZ71" s="2936"/>
      <c r="EOA71" s="2936"/>
      <c r="EOB71" s="2936"/>
      <c r="EOC71" s="2936"/>
      <c r="EOD71" s="2936"/>
      <c r="EOE71" s="2936"/>
      <c r="EOF71" s="2936"/>
      <c r="EOG71" s="2936"/>
      <c r="EOH71" s="2936"/>
      <c r="EOI71" s="2936"/>
      <c r="EOJ71" s="2936"/>
      <c r="EOK71" s="2936"/>
      <c r="EOL71" s="2936"/>
      <c r="EOM71" s="2936"/>
      <c r="EON71" s="2936"/>
      <c r="EOO71" s="2936"/>
      <c r="EOP71" s="2936"/>
      <c r="EOQ71" s="2936"/>
      <c r="EOR71" s="2936"/>
      <c r="EOS71" s="2936"/>
      <c r="EOT71" s="2936"/>
      <c r="EOU71" s="2936"/>
      <c r="EOV71" s="2936"/>
      <c r="EOW71" s="2936"/>
      <c r="EOX71" s="2936"/>
      <c r="EOY71" s="2936"/>
      <c r="EOZ71" s="2936"/>
      <c r="EPA71" s="2936"/>
      <c r="EPB71" s="2936"/>
      <c r="EPC71" s="2936"/>
      <c r="EPD71" s="2936"/>
      <c r="EPE71" s="2936"/>
      <c r="EPF71" s="2936"/>
      <c r="EPG71" s="2936"/>
      <c r="EPH71" s="2936"/>
      <c r="EPI71" s="2936"/>
      <c r="EPJ71" s="2936"/>
      <c r="EPK71" s="2936"/>
      <c r="EPL71" s="2936"/>
      <c r="EPM71" s="2936"/>
      <c r="EPN71" s="2936"/>
      <c r="EPO71" s="2936"/>
      <c r="EPP71" s="2936"/>
      <c r="EPQ71" s="2936"/>
      <c r="EPR71" s="2936"/>
      <c r="EPS71" s="2936"/>
      <c r="EPT71" s="2936"/>
      <c r="EPU71" s="2936"/>
      <c r="EPV71" s="2936"/>
      <c r="EPW71" s="2936"/>
      <c r="EPX71" s="2936"/>
      <c r="EPY71" s="2936"/>
      <c r="EPZ71" s="2936"/>
      <c r="EQA71" s="2936"/>
      <c r="EQB71" s="2936"/>
      <c r="EQC71" s="2936"/>
      <c r="EQD71" s="2936"/>
      <c r="EQE71" s="2936"/>
      <c r="EQF71" s="2936"/>
      <c r="EQG71" s="2936"/>
      <c r="EQH71" s="2936"/>
      <c r="EQI71" s="2936"/>
      <c r="EQJ71" s="2936"/>
      <c r="EQK71" s="2936"/>
      <c r="EQL71" s="2936"/>
      <c r="EQM71" s="2936"/>
      <c r="EQN71" s="2936"/>
      <c r="EQO71" s="2936"/>
      <c r="EQP71" s="2936"/>
      <c r="EQQ71" s="2936"/>
      <c r="EQR71" s="2936"/>
      <c r="EQS71" s="2936"/>
      <c r="EQT71" s="2936"/>
      <c r="EQU71" s="2936"/>
      <c r="EQV71" s="2936"/>
      <c r="EQW71" s="2936"/>
      <c r="EQX71" s="2936"/>
      <c r="EQY71" s="2936"/>
      <c r="EQZ71" s="2936"/>
      <c r="ERA71" s="2936"/>
      <c r="ERB71" s="2936"/>
      <c r="ERC71" s="2936"/>
      <c r="ERD71" s="2936"/>
      <c r="ERE71" s="2936"/>
      <c r="ERF71" s="2936"/>
      <c r="ERG71" s="2936"/>
      <c r="ERH71" s="2936"/>
      <c r="ERI71" s="2936"/>
      <c r="ERJ71" s="2936"/>
      <c r="ERK71" s="2936"/>
      <c r="ERL71" s="2936"/>
      <c r="ERM71" s="2936"/>
      <c r="ERN71" s="2936"/>
      <c r="ERO71" s="2936"/>
      <c r="ERP71" s="2936"/>
      <c r="ERQ71" s="2936"/>
      <c r="ERR71" s="2936"/>
      <c r="ERS71" s="2936"/>
      <c r="ERT71" s="2936"/>
      <c r="ERU71" s="2936"/>
      <c r="ERV71" s="2936"/>
      <c r="ERW71" s="2936"/>
      <c r="ERX71" s="2936"/>
      <c r="ERY71" s="2936"/>
      <c r="ERZ71" s="2936"/>
      <c r="ESA71" s="2936"/>
      <c r="ESB71" s="2936"/>
      <c r="ESC71" s="2936"/>
      <c r="ESD71" s="2936"/>
      <c r="ESE71" s="2936"/>
      <c r="ESF71" s="2936"/>
      <c r="ESG71" s="2936"/>
      <c r="ESH71" s="2936"/>
      <c r="ESI71" s="2936"/>
      <c r="ESJ71" s="2936"/>
      <c r="ESK71" s="2936"/>
      <c r="ESL71" s="2936"/>
      <c r="ESM71" s="2936"/>
      <c r="ESN71" s="2936"/>
      <c r="ESO71" s="2936"/>
      <c r="ESP71" s="2936"/>
      <c r="ESQ71" s="2936"/>
      <c r="ESR71" s="2936"/>
      <c r="ESS71" s="2936"/>
      <c r="EST71" s="2936"/>
      <c r="ESU71" s="2936"/>
      <c r="ESV71" s="2936"/>
      <c r="ESW71" s="2936"/>
      <c r="ESX71" s="2936"/>
      <c r="ESY71" s="2936"/>
      <c r="ESZ71" s="2936"/>
      <c r="ETA71" s="2936"/>
      <c r="ETB71" s="2936"/>
      <c r="ETC71" s="2936"/>
      <c r="ETD71" s="2936"/>
      <c r="ETE71" s="2936"/>
      <c r="ETF71" s="2936"/>
      <c r="ETG71" s="2936"/>
      <c r="ETH71" s="2936"/>
      <c r="ETI71" s="2936"/>
      <c r="ETJ71" s="2936"/>
      <c r="ETK71" s="2936"/>
      <c r="ETL71" s="2936"/>
      <c r="ETM71" s="2936"/>
      <c r="ETN71" s="2936"/>
      <c r="ETO71" s="2936"/>
      <c r="ETP71" s="2936"/>
      <c r="ETQ71" s="2936"/>
      <c r="ETR71" s="2936"/>
      <c r="ETS71" s="2936"/>
      <c r="ETT71" s="2936"/>
      <c r="ETU71" s="2936"/>
      <c r="ETV71" s="2936"/>
      <c r="ETW71" s="2936"/>
      <c r="ETX71" s="2936"/>
      <c r="ETY71" s="2936"/>
      <c r="ETZ71" s="2936"/>
      <c r="EUA71" s="2936"/>
      <c r="EUB71" s="2936"/>
      <c r="EUC71" s="2936"/>
      <c r="EUD71" s="2936"/>
      <c r="EUE71" s="2936"/>
      <c r="EUF71" s="2936"/>
      <c r="EUG71" s="2936"/>
      <c r="EUH71" s="2936"/>
      <c r="EUI71" s="2936"/>
      <c r="EUJ71" s="2936"/>
      <c r="EUK71" s="2936"/>
      <c r="EUL71" s="2936"/>
      <c r="EUM71" s="2936"/>
      <c r="EUN71" s="2936"/>
      <c r="EUO71" s="2936"/>
      <c r="EUP71" s="2936"/>
      <c r="EUQ71" s="2936"/>
      <c r="EUR71" s="2936"/>
      <c r="EUS71" s="2936"/>
      <c r="EUT71" s="2936"/>
      <c r="EUU71" s="2936"/>
      <c r="EUV71" s="2936"/>
      <c r="EUW71" s="2936"/>
      <c r="EUX71" s="2936"/>
      <c r="EUY71" s="2936"/>
      <c r="EUZ71" s="2936"/>
      <c r="EVA71" s="2936"/>
      <c r="EVB71" s="2936"/>
      <c r="EVC71" s="2936"/>
      <c r="EVD71" s="2936"/>
      <c r="EVE71" s="2936"/>
      <c r="EVF71" s="2936"/>
      <c r="EVG71" s="2936"/>
      <c r="EVH71" s="2936"/>
      <c r="EVI71" s="2936"/>
      <c r="EVJ71" s="2936"/>
      <c r="EVK71" s="2936"/>
      <c r="EVL71" s="2936"/>
      <c r="EVM71" s="2936"/>
      <c r="EVN71" s="2936"/>
      <c r="EVO71" s="2936"/>
      <c r="EVP71" s="2936"/>
      <c r="EVQ71" s="2936"/>
      <c r="EVR71" s="2936"/>
      <c r="EVS71" s="2936"/>
      <c r="EVT71" s="2936"/>
      <c r="EVU71" s="2936"/>
      <c r="EVV71" s="2936"/>
      <c r="EVW71" s="2936"/>
      <c r="EVX71" s="2936"/>
      <c r="EVY71" s="2936"/>
      <c r="EVZ71" s="2936"/>
      <c r="EWA71" s="2936"/>
      <c r="EWB71" s="2936"/>
      <c r="EWC71" s="2936"/>
      <c r="EWD71" s="2936"/>
      <c r="EWE71" s="2936"/>
      <c r="EWF71" s="2936"/>
      <c r="EWG71" s="2936"/>
      <c r="EWH71" s="2936"/>
      <c r="EWI71" s="2936"/>
      <c r="EWJ71" s="2936"/>
      <c r="EWK71" s="2936"/>
      <c r="EWL71" s="2936"/>
      <c r="EWM71" s="2936"/>
      <c r="EWN71" s="2936"/>
      <c r="EWO71" s="2936"/>
      <c r="EWP71" s="2936"/>
      <c r="EWQ71" s="2936"/>
      <c r="EWR71" s="2936"/>
      <c r="EWS71" s="2936"/>
      <c r="EWT71" s="2936"/>
      <c r="EWU71" s="2936"/>
      <c r="EWV71" s="2936"/>
      <c r="EWW71" s="2936"/>
      <c r="EWX71" s="2936"/>
      <c r="EWY71" s="2936"/>
      <c r="EWZ71" s="2936"/>
      <c r="EXA71" s="2936"/>
      <c r="EXB71" s="2936"/>
      <c r="EXC71" s="2936"/>
      <c r="EXD71" s="2936"/>
      <c r="EXE71" s="2936"/>
      <c r="EXF71" s="2936"/>
      <c r="EXG71" s="2936"/>
      <c r="EXH71" s="2936"/>
      <c r="EXI71" s="2936"/>
      <c r="EXJ71" s="2936"/>
      <c r="EXK71" s="2936"/>
      <c r="EXL71" s="2936"/>
      <c r="EXM71" s="2936"/>
      <c r="EXN71" s="2936"/>
      <c r="EXO71" s="2936"/>
      <c r="EXP71" s="2936"/>
      <c r="EXQ71" s="2936"/>
      <c r="EXR71" s="2936"/>
      <c r="EXS71" s="2936"/>
      <c r="EXT71" s="2936"/>
      <c r="EXU71" s="2936"/>
      <c r="EXV71" s="2936"/>
      <c r="EXW71" s="2936"/>
      <c r="EXX71" s="2936"/>
      <c r="EXY71" s="2936"/>
      <c r="EXZ71" s="2936"/>
      <c r="EYA71" s="2936"/>
      <c r="EYB71" s="2936"/>
      <c r="EYC71" s="2936"/>
      <c r="EYD71" s="2936"/>
      <c r="EYE71" s="2936"/>
      <c r="EYF71" s="2936"/>
      <c r="EYG71" s="2936"/>
      <c r="EYH71" s="2936"/>
      <c r="EYI71" s="2936"/>
      <c r="EYJ71" s="2936"/>
      <c r="EYK71" s="2936"/>
      <c r="EYL71" s="2936"/>
      <c r="EYM71" s="2936"/>
      <c r="EYN71" s="2936"/>
      <c r="EYO71" s="2936"/>
      <c r="EYP71" s="2936"/>
      <c r="EYQ71" s="2936"/>
      <c r="EYR71" s="2936"/>
      <c r="EYS71" s="2936"/>
      <c r="EYT71" s="2936"/>
      <c r="EYU71" s="2936"/>
      <c r="EYV71" s="2936"/>
      <c r="EYW71" s="2936"/>
      <c r="EYX71" s="2936"/>
      <c r="EYY71" s="2936"/>
      <c r="EYZ71" s="2936"/>
      <c r="EZA71" s="2936"/>
      <c r="EZB71" s="2936"/>
      <c r="EZC71" s="2936"/>
      <c r="EZD71" s="2936"/>
      <c r="EZE71" s="2936"/>
      <c r="EZF71" s="2936"/>
      <c r="EZG71" s="2936"/>
      <c r="EZH71" s="2936"/>
      <c r="EZI71" s="2936"/>
      <c r="EZJ71" s="2936"/>
      <c r="EZK71" s="2936"/>
      <c r="EZL71" s="2936"/>
      <c r="EZM71" s="2936"/>
      <c r="EZN71" s="2936"/>
      <c r="EZO71" s="2936"/>
      <c r="EZP71" s="2936"/>
      <c r="EZQ71" s="2936"/>
      <c r="EZR71" s="2936"/>
      <c r="EZS71" s="2936"/>
      <c r="EZT71" s="2936"/>
      <c r="EZU71" s="2936"/>
      <c r="EZV71" s="2936"/>
      <c r="EZW71" s="2936"/>
      <c r="EZX71" s="2936"/>
      <c r="EZY71" s="2936"/>
      <c r="EZZ71" s="2936"/>
      <c r="FAA71" s="2936"/>
      <c r="FAB71" s="2936"/>
      <c r="FAC71" s="2936"/>
      <c r="FAD71" s="2936"/>
      <c r="FAE71" s="2936"/>
      <c r="FAF71" s="2936"/>
      <c r="FAG71" s="2936"/>
      <c r="FAH71" s="2936"/>
      <c r="FAI71" s="2936"/>
      <c r="FAJ71" s="2936"/>
      <c r="FAK71" s="2936"/>
      <c r="FAL71" s="2936"/>
      <c r="FAM71" s="2936"/>
      <c r="FAN71" s="2936"/>
      <c r="FAO71" s="2936"/>
      <c r="FAP71" s="2936"/>
      <c r="FAQ71" s="2936"/>
      <c r="FAR71" s="2936"/>
      <c r="FAS71" s="2936"/>
      <c r="FAT71" s="2936"/>
      <c r="FAU71" s="2936"/>
      <c r="FAV71" s="2936"/>
      <c r="FAW71" s="2936"/>
      <c r="FAX71" s="2936"/>
      <c r="FAY71" s="2936"/>
      <c r="FAZ71" s="2936"/>
      <c r="FBA71" s="2936"/>
      <c r="FBB71" s="2936"/>
      <c r="FBC71" s="2936"/>
      <c r="FBD71" s="2936"/>
      <c r="FBE71" s="2936"/>
      <c r="FBF71" s="2936"/>
      <c r="FBG71" s="2936"/>
      <c r="FBH71" s="2936"/>
      <c r="FBI71" s="2936"/>
      <c r="FBJ71" s="2936"/>
      <c r="FBK71" s="2936"/>
      <c r="FBL71" s="2936"/>
      <c r="FBM71" s="2936"/>
      <c r="FBN71" s="2936"/>
      <c r="FBO71" s="2936"/>
      <c r="FBP71" s="2936"/>
      <c r="FBQ71" s="2936"/>
      <c r="FBR71" s="2936"/>
      <c r="FBS71" s="2936"/>
      <c r="FBT71" s="2936"/>
      <c r="FBU71" s="2936"/>
      <c r="FBV71" s="2936"/>
      <c r="FBW71" s="2936"/>
      <c r="FBX71" s="2936"/>
      <c r="FBY71" s="2936"/>
      <c r="FBZ71" s="2936"/>
      <c r="FCA71" s="2936"/>
      <c r="FCB71" s="2936"/>
      <c r="FCC71" s="2936"/>
      <c r="FCD71" s="2936"/>
      <c r="FCE71" s="2936"/>
      <c r="FCF71" s="2936"/>
      <c r="FCG71" s="2936"/>
      <c r="FCH71" s="2936"/>
      <c r="FCI71" s="2936"/>
      <c r="FCJ71" s="2936"/>
      <c r="FCK71" s="2936"/>
      <c r="FCL71" s="2936"/>
      <c r="FCM71" s="2936"/>
      <c r="FCN71" s="2936"/>
      <c r="FCO71" s="2936"/>
      <c r="FCP71" s="2936"/>
      <c r="FCQ71" s="2936"/>
      <c r="FCR71" s="2936"/>
      <c r="FCS71" s="2936"/>
      <c r="FCT71" s="2936"/>
      <c r="FCU71" s="2936"/>
      <c r="FCV71" s="2936"/>
      <c r="FCW71" s="2936"/>
      <c r="FCX71" s="2936"/>
      <c r="FCY71" s="2936"/>
      <c r="FCZ71" s="2936"/>
      <c r="FDA71" s="2936"/>
      <c r="FDB71" s="2936"/>
      <c r="FDC71" s="2936"/>
      <c r="FDD71" s="2936"/>
      <c r="FDE71" s="2936"/>
      <c r="FDF71" s="2936"/>
      <c r="FDG71" s="2936"/>
      <c r="FDH71" s="2936"/>
      <c r="FDI71" s="2936"/>
      <c r="FDJ71" s="2936"/>
      <c r="FDK71" s="2936"/>
      <c r="FDL71" s="2936"/>
      <c r="FDM71" s="2936"/>
      <c r="FDN71" s="2936"/>
      <c r="FDO71" s="2936"/>
      <c r="FDP71" s="2936"/>
      <c r="FDQ71" s="2936"/>
      <c r="FDR71" s="2936"/>
      <c r="FDS71" s="2936"/>
      <c r="FDT71" s="2936"/>
      <c r="FDU71" s="2936"/>
      <c r="FDV71" s="2936"/>
      <c r="FDW71" s="2936"/>
      <c r="FDX71" s="2936"/>
      <c r="FDY71" s="2936"/>
      <c r="FDZ71" s="2936"/>
      <c r="FEA71" s="2936"/>
      <c r="FEB71" s="2936"/>
      <c r="FEC71" s="2936"/>
      <c r="FED71" s="2936"/>
      <c r="FEE71" s="2936"/>
      <c r="FEF71" s="2936"/>
      <c r="FEG71" s="2936"/>
      <c r="FEH71" s="2936"/>
      <c r="FEI71" s="2936"/>
      <c r="FEJ71" s="2936"/>
      <c r="FEK71" s="2936"/>
      <c r="FEL71" s="2936"/>
      <c r="FEM71" s="2936"/>
      <c r="FEN71" s="2936"/>
      <c r="FEO71" s="2936"/>
      <c r="FEP71" s="2936"/>
      <c r="FEQ71" s="2936"/>
      <c r="FER71" s="2936"/>
      <c r="FES71" s="2936"/>
      <c r="FET71" s="2936"/>
      <c r="FEU71" s="2936"/>
      <c r="FEV71" s="2936"/>
      <c r="FEW71" s="2936"/>
      <c r="FEX71" s="2936"/>
      <c r="FEY71" s="2936"/>
      <c r="FEZ71" s="2936"/>
      <c r="FFA71" s="2936"/>
      <c r="FFB71" s="2936"/>
      <c r="FFC71" s="2936"/>
      <c r="FFD71" s="2936"/>
      <c r="FFE71" s="2936"/>
      <c r="FFF71" s="2936"/>
      <c r="FFG71" s="2936"/>
      <c r="FFH71" s="2936"/>
      <c r="FFI71" s="2936"/>
      <c r="FFJ71" s="2936"/>
      <c r="FFK71" s="2936"/>
      <c r="FFL71" s="2936"/>
      <c r="FFM71" s="2936"/>
      <c r="FFN71" s="2936"/>
      <c r="FFO71" s="2936"/>
      <c r="FFP71" s="2936"/>
      <c r="FFQ71" s="2936"/>
      <c r="FFR71" s="2936"/>
      <c r="FFS71" s="2936"/>
      <c r="FFT71" s="2936"/>
      <c r="FFU71" s="2936"/>
      <c r="FFV71" s="2936"/>
      <c r="FFW71" s="2936"/>
      <c r="FFX71" s="2936"/>
      <c r="FFY71" s="2936"/>
      <c r="FFZ71" s="2936"/>
      <c r="FGA71" s="2936"/>
      <c r="FGB71" s="2936"/>
      <c r="FGC71" s="2936"/>
      <c r="FGD71" s="2936"/>
      <c r="FGE71" s="2936"/>
      <c r="FGF71" s="2936"/>
      <c r="FGG71" s="2936"/>
      <c r="FGH71" s="2936"/>
      <c r="FGI71" s="2936"/>
      <c r="FGJ71" s="2936"/>
      <c r="FGK71" s="2936"/>
      <c r="FGL71" s="2936"/>
      <c r="FGM71" s="2936"/>
      <c r="FGN71" s="2936"/>
      <c r="FGO71" s="2936"/>
      <c r="FGP71" s="2936"/>
      <c r="FGQ71" s="2936"/>
      <c r="FGR71" s="2936"/>
      <c r="FGS71" s="2936"/>
      <c r="FGT71" s="2936"/>
      <c r="FGU71" s="2936"/>
      <c r="FGV71" s="2936"/>
      <c r="FGW71" s="2936"/>
      <c r="FGX71" s="2936"/>
      <c r="FGY71" s="2936"/>
      <c r="FGZ71" s="2936"/>
      <c r="FHA71" s="2936"/>
      <c r="FHB71" s="2936"/>
      <c r="FHC71" s="2936"/>
      <c r="FHD71" s="2936"/>
      <c r="FHE71" s="2936"/>
      <c r="FHF71" s="2936"/>
      <c r="FHG71" s="2936"/>
      <c r="FHH71" s="2936"/>
      <c r="FHI71" s="2936"/>
      <c r="FHJ71" s="2936"/>
      <c r="FHK71" s="2936"/>
      <c r="FHL71" s="2936"/>
      <c r="FHM71" s="2936"/>
      <c r="FHN71" s="2936"/>
      <c r="FHO71" s="2936"/>
      <c r="FHP71" s="2936"/>
      <c r="FHQ71" s="2936"/>
      <c r="FHR71" s="2936"/>
      <c r="FHS71" s="2936"/>
      <c r="FHT71" s="2936"/>
      <c r="FHU71" s="2936"/>
      <c r="FHV71" s="2936"/>
      <c r="FHW71" s="2936"/>
      <c r="FHX71" s="2936"/>
      <c r="FHY71" s="2936"/>
      <c r="FHZ71" s="2936"/>
      <c r="FIA71" s="2936"/>
      <c r="FIB71" s="2936"/>
      <c r="FIC71" s="2936"/>
      <c r="FID71" s="2936"/>
      <c r="FIE71" s="2936"/>
      <c r="FIF71" s="2936"/>
      <c r="FIG71" s="2936"/>
      <c r="FIH71" s="2936"/>
      <c r="FII71" s="2936"/>
      <c r="FIJ71" s="2936"/>
      <c r="FIK71" s="2936"/>
      <c r="FIL71" s="2936"/>
      <c r="FIM71" s="2936"/>
      <c r="FIN71" s="2936"/>
      <c r="FIO71" s="2936"/>
      <c r="FIP71" s="2936"/>
      <c r="FIQ71" s="2936"/>
      <c r="FIR71" s="2936"/>
      <c r="FIS71" s="2936"/>
      <c r="FIT71" s="2936"/>
      <c r="FIU71" s="2936"/>
      <c r="FIV71" s="2936"/>
      <c r="FIW71" s="2936"/>
      <c r="FIX71" s="2936"/>
      <c r="FIY71" s="2936"/>
      <c r="FIZ71" s="2936"/>
      <c r="FJA71" s="2936"/>
      <c r="FJB71" s="2936"/>
      <c r="FJC71" s="2936"/>
      <c r="FJD71" s="2936"/>
      <c r="FJE71" s="2936"/>
      <c r="FJF71" s="2936"/>
      <c r="FJG71" s="2936"/>
      <c r="FJH71" s="2936"/>
      <c r="FJI71" s="2936"/>
      <c r="FJJ71" s="2936"/>
      <c r="FJK71" s="2936"/>
      <c r="FJL71" s="2936"/>
      <c r="FJM71" s="2936"/>
      <c r="FJN71" s="2936"/>
      <c r="FJO71" s="2936"/>
      <c r="FJP71" s="2936"/>
      <c r="FJQ71" s="2936"/>
      <c r="FJR71" s="2936"/>
      <c r="FJS71" s="2936"/>
      <c r="FJT71" s="2936"/>
      <c r="FJU71" s="2936"/>
      <c r="FJV71" s="2936"/>
      <c r="FJW71" s="2936"/>
      <c r="FJX71" s="2936"/>
      <c r="FJY71" s="2936"/>
      <c r="FJZ71" s="2936"/>
      <c r="FKA71" s="2936"/>
      <c r="FKB71" s="2936"/>
      <c r="FKC71" s="2936"/>
      <c r="FKD71" s="2936"/>
      <c r="FKE71" s="2936"/>
      <c r="FKF71" s="2936"/>
      <c r="FKG71" s="2936"/>
      <c r="FKH71" s="2936"/>
      <c r="FKI71" s="2936"/>
      <c r="FKJ71" s="2936"/>
      <c r="FKK71" s="2936"/>
      <c r="FKL71" s="2936"/>
      <c r="FKM71" s="2936"/>
      <c r="FKN71" s="2936"/>
      <c r="FKO71" s="2936"/>
      <c r="FKP71" s="2936"/>
      <c r="FKQ71" s="2936"/>
      <c r="FKR71" s="2936"/>
      <c r="FKS71" s="2936"/>
      <c r="FKT71" s="2936"/>
      <c r="FKU71" s="2936"/>
      <c r="FKV71" s="2936"/>
      <c r="FKW71" s="2936"/>
      <c r="FKX71" s="2936"/>
      <c r="FKY71" s="2936"/>
      <c r="FKZ71" s="2936"/>
      <c r="FLA71" s="2936"/>
      <c r="FLB71" s="2936"/>
      <c r="FLC71" s="2936"/>
      <c r="FLD71" s="2936"/>
      <c r="FLE71" s="2936"/>
      <c r="FLF71" s="2936"/>
      <c r="FLG71" s="2936"/>
      <c r="FLH71" s="2936"/>
      <c r="FLI71" s="2936"/>
      <c r="FLJ71" s="2936"/>
      <c r="FLK71" s="2936"/>
      <c r="FLL71" s="2936"/>
      <c r="FLM71" s="2936"/>
      <c r="FLN71" s="2936"/>
      <c r="FLO71" s="2936"/>
      <c r="FLP71" s="2936"/>
      <c r="FLQ71" s="2936"/>
      <c r="FLR71" s="2936"/>
      <c r="FLS71" s="2936"/>
      <c r="FLT71" s="2936"/>
      <c r="FLU71" s="2936"/>
      <c r="FLV71" s="2936"/>
      <c r="FLW71" s="2936"/>
      <c r="FLX71" s="2936"/>
      <c r="FLY71" s="2936"/>
      <c r="FLZ71" s="2936"/>
      <c r="FMA71" s="2936"/>
      <c r="FMB71" s="2936"/>
      <c r="FMC71" s="2936"/>
      <c r="FMD71" s="2936"/>
      <c r="FME71" s="2936"/>
      <c r="FMF71" s="2936"/>
      <c r="FMG71" s="2936"/>
      <c r="FMH71" s="2936"/>
      <c r="FMI71" s="2936"/>
      <c r="FMJ71" s="2936"/>
      <c r="FMK71" s="2936"/>
      <c r="FML71" s="2936"/>
      <c r="FMM71" s="2936"/>
      <c r="FMN71" s="2936"/>
      <c r="FMO71" s="2936"/>
      <c r="FMP71" s="2936"/>
      <c r="FMQ71" s="2936"/>
      <c r="FMR71" s="2936"/>
      <c r="FMS71" s="2936"/>
      <c r="FMT71" s="2936"/>
      <c r="FMU71" s="2936"/>
      <c r="FMV71" s="2936"/>
      <c r="FMW71" s="2936"/>
      <c r="FMX71" s="2936"/>
      <c r="FMY71" s="2936"/>
      <c r="FMZ71" s="2936"/>
      <c r="FNA71" s="2936"/>
      <c r="FNB71" s="2936"/>
      <c r="FNC71" s="2936"/>
      <c r="FND71" s="2936"/>
      <c r="FNE71" s="2936"/>
      <c r="FNF71" s="2936"/>
      <c r="FNG71" s="2936"/>
      <c r="FNH71" s="2936"/>
      <c r="FNI71" s="2936"/>
      <c r="FNJ71" s="2936"/>
      <c r="FNK71" s="2936"/>
      <c r="FNL71" s="2936"/>
      <c r="FNM71" s="2936"/>
      <c r="FNN71" s="2936"/>
      <c r="FNO71" s="2936"/>
      <c r="FNP71" s="2936"/>
      <c r="FNQ71" s="2936"/>
      <c r="FNR71" s="2936"/>
      <c r="FNS71" s="2936"/>
      <c r="FNT71" s="2936"/>
      <c r="FNU71" s="2936"/>
      <c r="FNV71" s="2936"/>
      <c r="FNW71" s="2936"/>
      <c r="FNX71" s="2936"/>
      <c r="FNY71" s="2936"/>
      <c r="FNZ71" s="2936"/>
      <c r="FOA71" s="2936"/>
      <c r="FOB71" s="2936"/>
      <c r="FOC71" s="2936"/>
      <c r="FOD71" s="2936"/>
      <c r="FOE71" s="2936"/>
      <c r="FOF71" s="2936"/>
      <c r="FOG71" s="2936"/>
      <c r="FOH71" s="2936"/>
      <c r="FOI71" s="2936"/>
      <c r="FOJ71" s="2936"/>
      <c r="FOK71" s="2936"/>
      <c r="FOL71" s="2936"/>
      <c r="FOM71" s="2936"/>
      <c r="FON71" s="2936"/>
      <c r="FOO71" s="2936"/>
      <c r="FOP71" s="2936"/>
      <c r="FOQ71" s="2936"/>
      <c r="FOR71" s="2936"/>
      <c r="FOS71" s="2936"/>
      <c r="FOT71" s="2936"/>
      <c r="FOU71" s="2936"/>
      <c r="FOV71" s="2936"/>
      <c r="FOW71" s="2936"/>
      <c r="FOX71" s="2936"/>
      <c r="FOY71" s="2936"/>
      <c r="FOZ71" s="2936"/>
      <c r="FPA71" s="2936"/>
      <c r="FPB71" s="2936"/>
      <c r="FPC71" s="2936"/>
      <c r="FPD71" s="2936"/>
      <c r="FPE71" s="2936"/>
      <c r="FPF71" s="2936"/>
      <c r="FPG71" s="2936"/>
      <c r="FPH71" s="2936"/>
      <c r="FPI71" s="2936"/>
      <c r="FPJ71" s="2936"/>
      <c r="FPK71" s="2936"/>
      <c r="FPL71" s="2936"/>
      <c r="FPM71" s="2936"/>
      <c r="FPN71" s="2936"/>
      <c r="FPO71" s="2936"/>
      <c r="FPP71" s="2936"/>
      <c r="FPQ71" s="2936"/>
      <c r="FPR71" s="2936"/>
      <c r="FPS71" s="2936"/>
      <c r="FPT71" s="2936"/>
      <c r="FPU71" s="2936"/>
      <c r="FPV71" s="2936"/>
      <c r="FPW71" s="2936"/>
      <c r="FPX71" s="2936"/>
      <c r="FPY71" s="2936"/>
      <c r="FPZ71" s="2936"/>
      <c r="FQA71" s="2936"/>
      <c r="FQB71" s="2936"/>
      <c r="FQC71" s="2936"/>
      <c r="FQD71" s="2936"/>
      <c r="FQE71" s="2936"/>
      <c r="FQF71" s="2936"/>
      <c r="FQG71" s="2936"/>
      <c r="FQH71" s="2936"/>
      <c r="FQI71" s="2936"/>
      <c r="FQJ71" s="2936"/>
      <c r="FQK71" s="2936"/>
      <c r="FQL71" s="2936"/>
      <c r="FQM71" s="2936"/>
      <c r="FQN71" s="2936"/>
      <c r="FQO71" s="2936"/>
      <c r="FQP71" s="2936"/>
      <c r="FQQ71" s="2936"/>
      <c r="FQR71" s="2936"/>
      <c r="FQS71" s="2936"/>
      <c r="FQT71" s="2936"/>
      <c r="FQU71" s="2936"/>
      <c r="FQV71" s="2936"/>
      <c r="FQW71" s="2936"/>
      <c r="FQX71" s="2936"/>
      <c r="FQY71" s="2936"/>
      <c r="FQZ71" s="2936"/>
      <c r="FRA71" s="2936"/>
      <c r="FRB71" s="2936"/>
      <c r="FRC71" s="2936"/>
      <c r="FRD71" s="2936"/>
      <c r="FRE71" s="2936"/>
      <c r="FRF71" s="2936"/>
      <c r="FRG71" s="2936"/>
      <c r="FRH71" s="2936"/>
      <c r="FRI71" s="2936"/>
      <c r="FRJ71" s="2936"/>
      <c r="FRK71" s="2936"/>
      <c r="FRL71" s="2936"/>
      <c r="FRM71" s="2936"/>
      <c r="FRN71" s="2936"/>
      <c r="FRO71" s="2936"/>
      <c r="FRP71" s="2936"/>
      <c r="FRQ71" s="2936"/>
      <c r="FRR71" s="2936"/>
      <c r="FRS71" s="2936"/>
      <c r="FRT71" s="2936"/>
      <c r="FRU71" s="2936"/>
      <c r="FRV71" s="2936"/>
      <c r="FRW71" s="2936"/>
      <c r="FRX71" s="2936"/>
      <c r="FRY71" s="2936"/>
      <c r="FRZ71" s="2936"/>
      <c r="FSA71" s="2936"/>
      <c r="FSB71" s="2936"/>
      <c r="FSC71" s="2936"/>
      <c r="FSD71" s="2936"/>
      <c r="FSE71" s="2936"/>
      <c r="FSF71" s="2936"/>
      <c r="FSG71" s="2936"/>
      <c r="FSH71" s="2936"/>
      <c r="FSI71" s="2936"/>
      <c r="FSJ71" s="2936"/>
      <c r="FSK71" s="2936"/>
      <c r="FSL71" s="2936"/>
      <c r="FSM71" s="2936"/>
      <c r="FSN71" s="2936"/>
      <c r="FSO71" s="2936"/>
      <c r="FSP71" s="2936"/>
      <c r="FSQ71" s="2936"/>
      <c r="FSR71" s="2936"/>
      <c r="FSS71" s="2936"/>
      <c r="FST71" s="2936"/>
      <c r="FSU71" s="2936"/>
      <c r="FSV71" s="2936"/>
      <c r="FSW71" s="2936"/>
      <c r="FSX71" s="2936"/>
      <c r="FSY71" s="2936"/>
      <c r="FSZ71" s="2936"/>
      <c r="FTA71" s="2936"/>
      <c r="FTB71" s="2936"/>
      <c r="FTC71" s="2936"/>
      <c r="FTD71" s="2936"/>
      <c r="FTE71" s="2936"/>
      <c r="FTF71" s="2936"/>
      <c r="FTG71" s="2936"/>
      <c r="FTH71" s="2936"/>
      <c r="FTI71" s="2936"/>
      <c r="FTJ71" s="2936"/>
      <c r="FTK71" s="2936"/>
      <c r="FTL71" s="2936"/>
      <c r="FTM71" s="2936"/>
      <c r="FTN71" s="2936"/>
      <c r="FTO71" s="2936"/>
      <c r="FTP71" s="2936"/>
      <c r="FTQ71" s="2936"/>
      <c r="FTR71" s="2936"/>
      <c r="FTS71" s="2936"/>
      <c r="FTT71" s="2936"/>
      <c r="FTU71" s="2936"/>
      <c r="FTV71" s="2936"/>
      <c r="FTW71" s="2936"/>
      <c r="FTX71" s="2936"/>
      <c r="FTY71" s="2936"/>
      <c r="FTZ71" s="2936"/>
      <c r="FUA71" s="2936"/>
      <c r="FUB71" s="2936"/>
      <c r="FUC71" s="2936"/>
      <c r="FUD71" s="2936"/>
      <c r="FUE71" s="2936"/>
      <c r="FUF71" s="2936"/>
      <c r="FUG71" s="2936"/>
      <c r="FUH71" s="2936"/>
      <c r="FUI71" s="2936"/>
      <c r="FUJ71" s="2936"/>
      <c r="FUK71" s="2936"/>
      <c r="FUL71" s="2936"/>
      <c r="FUM71" s="2936"/>
      <c r="FUN71" s="2936"/>
      <c r="FUO71" s="2936"/>
      <c r="FUP71" s="2936"/>
      <c r="FUQ71" s="2936"/>
      <c r="FUR71" s="2936"/>
      <c r="FUS71" s="2936"/>
      <c r="FUT71" s="2936"/>
      <c r="FUU71" s="2936"/>
      <c r="FUV71" s="2936"/>
      <c r="FUW71" s="2936"/>
      <c r="FUX71" s="2936"/>
      <c r="FUY71" s="2936"/>
      <c r="FUZ71" s="2936"/>
      <c r="FVA71" s="2936"/>
      <c r="FVB71" s="2936"/>
      <c r="FVC71" s="2936"/>
      <c r="FVD71" s="2936"/>
      <c r="FVE71" s="2936"/>
      <c r="FVF71" s="2936"/>
      <c r="FVG71" s="2936"/>
      <c r="FVH71" s="2936"/>
      <c r="FVI71" s="2936"/>
      <c r="FVJ71" s="2936"/>
      <c r="FVK71" s="2936"/>
      <c r="FVL71" s="2936"/>
      <c r="FVM71" s="2936"/>
      <c r="FVN71" s="2936"/>
      <c r="FVO71" s="2936"/>
      <c r="FVP71" s="2936"/>
      <c r="FVQ71" s="2936"/>
      <c r="FVR71" s="2936"/>
      <c r="FVS71" s="2936"/>
      <c r="FVT71" s="2936"/>
      <c r="FVU71" s="2936"/>
      <c r="FVV71" s="2936"/>
      <c r="FVW71" s="2936"/>
      <c r="FVX71" s="2936"/>
      <c r="FVY71" s="2936"/>
      <c r="FVZ71" s="2936"/>
      <c r="FWA71" s="2936"/>
      <c r="FWB71" s="2936"/>
      <c r="FWC71" s="2936"/>
      <c r="FWD71" s="2936"/>
      <c r="FWE71" s="2936"/>
      <c r="FWF71" s="2936"/>
      <c r="FWG71" s="2936"/>
      <c r="FWH71" s="2936"/>
      <c r="FWI71" s="2936"/>
      <c r="FWJ71" s="2936"/>
      <c r="FWK71" s="2936"/>
      <c r="FWL71" s="2936"/>
      <c r="FWM71" s="2936"/>
      <c r="FWN71" s="2936"/>
      <c r="FWO71" s="2936"/>
      <c r="FWP71" s="2936"/>
      <c r="FWQ71" s="2936"/>
      <c r="FWR71" s="2936"/>
      <c r="FWS71" s="2936"/>
      <c r="FWT71" s="2936"/>
      <c r="FWU71" s="2936"/>
      <c r="FWV71" s="2936"/>
      <c r="FWW71" s="2936"/>
      <c r="FWX71" s="2936"/>
      <c r="FWY71" s="2936"/>
      <c r="FWZ71" s="2936"/>
      <c r="FXA71" s="2936"/>
      <c r="FXB71" s="2936"/>
      <c r="FXC71" s="2936"/>
      <c r="FXD71" s="2936"/>
      <c r="FXE71" s="2936"/>
      <c r="FXF71" s="2936"/>
      <c r="FXG71" s="2936"/>
      <c r="FXH71" s="2936"/>
      <c r="FXI71" s="2936"/>
      <c r="FXJ71" s="2936"/>
      <c r="FXK71" s="2936"/>
      <c r="FXL71" s="2936"/>
      <c r="FXM71" s="2936"/>
      <c r="FXN71" s="2936"/>
      <c r="FXO71" s="2936"/>
      <c r="FXP71" s="2936"/>
      <c r="FXQ71" s="2936"/>
      <c r="FXR71" s="2936"/>
      <c r="FXS71" s="2936"/>
      <c r="FXT71" s="2936"/>
      <c r="FXU71" s="2936"/>
      <c r="FXV71" s="2936"/>
      <c r="FXW71" s="2936"/>
      <c r="FXX71" s="2936"/>
      <c r="FXY71" s="2936"/>
      <c r="FXZ71" s="2936"/>
      <c r="FYA71" s="2936"/>
      <c r="FYB71" s="2936"/>
      <c r="FYC71" s="2936"/>
      <c r="FYD71" s="2936"/>
      <c r="FYE71" s="2936"/>
      <c r="FYF71" s="2936"/>
      <c r="FYG71" s="2936"/>
      <c r="FYH71" s="2936"/>
      <c r="FYI71" s="2936"/>
      <c r="FYJ71" s="2936"/>
      <c r="FYK71" s="2936"/>
      <c r="FYL71" s="2936"/>
      <c r="FYM71" s="2936"/>
      <c r="FYN71" s="2936"/>
      <c r="FYO71" s="2936"/>
      <c r="FYP71" s="2936"/>
      <c r="FYQ71" s="2936"/>
      <c r="FYR71" s="2936"/>
      <c r="FYS71" s="2936"/>
      <c r="FYT71" s="2936"/>
      <c r="FYU71" s="2936"/>
      <c r="FYV71" s="2936"/>
      <c r="FYW71" s="2936"/>
      <c r="FYX71" s="2936"/>
      <c r="FYY71" s="2936"/>
      <c r="FYZ71" s="2936"/>
      <c r="FZA71" s="2936"/>
      <c r="FZB71" s="2936"/>
      <c r="FZC71" s="2936"/>
      <c r="FZD71" s="2936"/>
      <c r="FZE71" s="2936"/>
      <c r="FZF71" s="2936"/>
      <c r="FZG71" s="2936"/>
      <c r="FZH71" s="2936"/>
      <c r="FZI71" s="2936"/>
      <c r="FZJ71" s="2936"/>
      <c r="FZK71" s="2936"/>
      <c r="FZL71" s="2936"/>
      <c r="FZM71" s="2936"/>
      <c r="FZN71" s="2936"/>
      <c r="FZO71" s="2936"/>
      <c r="FZP71" s="2936"/>
      <c r="FZQ71" s="2936"/>
      <c r="FZR71" s="2936"/>
      <c r="FZS71" s="2936"/>
      <c r="FZT71" s="2936"/>
      <c r="FZU71" s="2936"/>
      <c r="FZV71" s="2936"/>
      <c r="FZW71" s="2936"/>
      <c r="FZX71" s="2936"/>
      <c r="FZY71" s="2936"/>
      <c r="FZZ71" s="2936"/>
      <c r="GAA71" s="2936"/>
      <c r="GAB71" s="2936"/>
      <c r="GAC71" s="2936"/>
      <c r="GAD71" s="2936"/>
      <c r="GAE71" s="2936"/>
      <c r="GAF71" s="2936"/>
      <c r="GAG71" s="2936"/>
      <c r="GAH71" s="2936"/>
      <c r="GAI71" s="2936"/>
      <c r="GAJ71" s="2936"/>
      <c r="GAK71" s="2936"/>
      <c r="GAL71" s="2936"/>
      <c r="GAM71" s="2936"/>
      <c r="GAN71" s="2936"/>
      <c r="GAO71" s="2936"/>
      <c r="GAP71" s="2936"/>
      <c r="GAQ71" s="2936"/>
      <c r="GAR71" s="2936"/>
      <c r="GAS71" s="2936"/>
      <c r="GAT71" s="2936"/>
      <c r="GAU71" s="2936"/>
      <c r="GAV71" s="2936"/>
      <c r="GAW71" s="2936"/>
      <c r="GAX71" s="2936"/>
      <c r="GAY71" s="2936"/>
      <c r="GAZ71" s="2936"/>
      <c r="GBA71" s="2936"/>
      <c r="GBB71" s="2936"/>
      <c r="GBC71" s="2936"/>
      <c r="GBD71" s="2936"/>
      <c r="GBE71" s="2936"/>
      <c r="GBF71" s="2936"/>
      <c r="GBG71" s="2936"/>
      <c r="GBH71" s="2936"/>
      <c r="GBI71" s="2936"/>
      <c r="GBJ71" s="2936"/>
      <c r="GBK71" s="2936"/>
      <c r="GBL71" s="2936"/>
      <c r="GBM71" s="2936"/>
      <c r="GBN71" s="2936"/>
      <c r="GBO71" s="2936"/>
      <c r="GBP71" s="2936"/>
      <c r="GBQ71" s="2936"/>
      <c r="GBR71" s="2936"/>
      <c r="GBS71" s="2936"/>
      <c r="GBT71" s="2936"/>
      <c r="GBU71" s="2936"/>
      <c r="GBV71" s="2936"/>
      <c r="GBW71" s="2936"/>
      <c r="GBX71" s="2936"/>
      <c r="GBY71" s="2936"/>
      <c r="GBZ71" s="2936"/>
      <c r="GCA71" s="2936"/>
      <c r="GCB71" s="2936"/>
      <c r="GCC71" s="2936"/>
      <c r="GCD71" s="2936"/>
      <c r="GCE71" s="2936"/>
      <c r="GCF71" s="2936"/>
      <c r="GCG71" s="2936"/>
      <c r="GCH71" s="2936"/>
      <c r="GCI71" s="2936"/>
      <c r="GCJ71" s="2936"/>
      <c r="GCK71" s="2936"/>
      <c r="GCL71" s="2936"/>
      <c r="GCM71" s="2936"/>
      <c r="GCN71" s="2936"/>
      <c r="GCO71" s="2936"/>
      <c r="GCP71" s="2936"/>
      <c r="GCQ71" s="2936"/>
      <c r="GCR71" s="2936"/>
      <c r="GCS71" s="2936"/>
      <c r="GCT71" s="2936"/>
      <c r="GCU71" s="2936"/>
      <c r="GCV71" s="2936"/>
      <c r="GCW71" s="2936"/>
      <c r="GCX71" s="2936"/>
      <c r="GCY71" s="2936"/>
      <c r="GCZ71" s="2936"/>
      <c r="GDA71" s="2936"/>
      <c r="GDB71" s="2936"/>
      <c r="GDC71" s="2936"/>
      <c r="GDD71" s="2936"/>
      <c r="GDE71" s="2936"/>
      <c r="GDF71" s="2936"/>
      <c r="GDG71" s="2936"/>
      <c r="GDH71" s="2936"/>
      <c r="GDI71" s="2936"/>
      <c r="GDJ71" s="2936"/>
      <c r="GDK71" s="2936"/>
      <c r="GDL71" s="2936"/>
      <c r="GDM71" s="2936"/>
      <c r="GDN71" s="2936"/>
      <c r="GDO71" s="2936"/>
      <c r="GDP71" s="2936"/>
      <c r="GDQ71" s="2936"/>
      <c r="GDR71" s="2936"/>
      <c r="GDS71" s="2936"/>
      <c r="GDT71" s="2936"/>
      <c r="GDU71" s="2936"/>
      <c r="GDV71" s="2936"/>
      <c r="GDW71" s="2936"/>
      <c r="GDX71" s="2936"/>
      <c r="GDY71" s="2936"/>
      <c r="GDZ71" s="2936"/>
      <c r="GEA71" s="2936"/>
      <c r="GEB71" s="2936"/>
      <c r="GEC71" s="2936"/>
      <c r="GED71" s="2936"/>
      <c r="GEE71" s="2936"/>
      <c r="GEF71" s="2936"/>
      <c r="GEG71" s="2936"/>
      <c r="GEH71" s="2936"/>
      <c r="GEI71" s="2936"/>
      <c r="GEJ71" s="2936"/>
      <c r="GEK71" s="2936"/>
      <c r="GEL71" s="2936"/>
      <c r="GEM71" s="2936"/>
      <c r="GEN71" s="2936"/>
      <c r="GEO71" s="2936"/>
      <c r="GEP71" s="2936"/>
      <c r="GEQ71" s="2936"/>
      <c r="GER71" s="2936"/>
      <c r="GES71" s="2936"/>
      <c r="GET71" s="2936"/>
      <c r="GEU71" s="2936"/>
      <c r="GEV71" s="2936"/>
      <c r="GEW71" s="2936"/>
      <c r="GEX71" s="2936"/>
      <c r="GEY71" s="2936"/>
      <c r="GEZ71" s="2936"/>
      <c r="GFA71" s="2936"/>
      <c r="GFB71" s="2936"/>
      <c r="GFC71" s="2936"/>
      <c r="GFD71" s="2936"/>
      <c r="GFE71" s="2936"/>
      <c r="GFF71" s="2936"/>
      <c r="GFG71" s="2936"/>
      <c r="GFH71" s="2936"/>
      <c r="GFI71" s="2936"/>
      <c r="GFJ71" s="2936"/>
      <c r="GFK71" s="2936"/>
      <c r="GFL71" s="2936"/>
      <c r="GFM71" s="2936"/>
      <c r="GFN71" s="2936"/>
      <c r="GFO71" s="2936"/>
      <c r="GFP71" s="2936"/>
      <c r="GFQ71" s="2936"/>
      <c r="GFR71" s="2936"/>
      <c r="GFS71" s="2936"/>
      <c r="GFT71" s="2936"/>
      <c r="GFU71" s="2936"/>
      <c r="GFV71" s="2936"/>
      <c r="GFW71" s="2936"/>
      <c r="GFX71" s="2936"/>
      <c r="GFY71" s="2936"/>
      <c r="GFZ71" s="2936"/>
      <c r="GGA71" s="2936"/>
      <c r="GGB71" s="2936"/>
      <c r="GGC71" s="2936"/>
      <c r="GGD71" s="2936"/>
      <c r="GGE71" s="2936"/>
      <c r="GGF71" s="2936"/>
      <c r="GGG71" s="2936"/>
      <c r="GGH71" s="2936"/>
      <c r="GGI71" s="2936"/>
      <c r="GGJ71" s="2936"/>
      <c r="GGK71" s="2936"/>
      <c r="GGL71" s="2936"/>
      <c r="GGM71" s="2936"/>
      <c r="GGN71" s="2936"/>
      <c r="GGO71" s="2936"/>
      <c r="GGP71" s="2936"/>
      <c r="GGQ71" s="2936"/>
      <c r="GGR71" s="2936"/>
      <c r="GGS71" s="2936"/>
      <c r="GGT71" s="2936"/>
      <c r="GGU71" s="2936"/>
      <c r="GGV71" s="2936"/>
      <c r="GGW71" s="2936"/>
      <c r="GGX71" s="2936"/>
      <c r="GGY71" s="2936"/>
      <c r="GGZ71" s="2936"/>
      <c r="GHA71" s="2936"/>
      <c r="GHB71" s="2936"/>
      <c r="GHC71" s="2936"/>
      <c r="GHD71" s="2936"/>
      <c r="GHE71" s="2936"/>
      <c r="GHF71" s="2936"/>
      <c r="GHG71" s="2936"/>
      <c r="GHH71" s="2936"/>
      <c r="GHI71" s="2936"/>
      <c r="GHJ71" s="2936"/>
      <c r="GHK71" s="2936"/>
      <c r="GHL71" s="2936"/>
      <c r="GHM71" s="2936"/>
      <c r="GHN71" s="2936"/>
      <c r="GHO71" s="2936"/>
      <c r="GHP71" s="2936"/>
      <c r="GHQ71" s="2936"/>
      <c r="GHR71" s="2936"/>
      <c r="GHS71" s="2936"/>
      <c r="GHT71" s="2936"/>
      <c r="GHU71" s="2936"/>
      <c r="GHV71" s="2936"/>
      <c r="GHW71" s="2936"/>
      <c r="GHX71" s="2936"/>
      <c r="GHY71" s="2936"/>
      <c r="GHZ71" s="2936"/>
      <c r="GIA71" s="2936"/>
      <c r="GIB71" s="2936"/>
      <c r="GIC71" s="2936"/>
      <c r="GID71" s="2936"/>
      <c r="GIE71" s="2936"/>
      <c r="GIF71" s="2936"/>
      <c r="GIG71" s="2936"/>
      <c r="GIH71" s="2936"/>
      <c r="GII71" s="2936"/>
      <c r="GIJ71" s="2936"/>
      <c r="GIK71" s="2936"/>
      <c r="GIL71" s="2936"/>
      <c r="GIM71" s="2936"/>
      <c r="GIN71" s="2936"/>
      <c r="GIO71" s="2936"/>
      <c r="GIP71" s="2936"/>
      <c r="GIQ71" s="2936"/>
      <c r="GIR71" s="2936"/>
      <c r="GIS71" s="2936"/>
      <c r="GIT71" s="2936"/>
      <c r="GIU71" s="2936"/>
      <c r="GIV71" s="2936"/>
      <c r="GIW71" s="2936"/>
      <c r="GIX71" s="2936"/>
      <c r="GIY71" s="2936"/>
      <c r="GIZ71" s="2936"/>
      <c r="GJA71" s="2936"/>
      <c r="GJB71" s="2936"/>
      <c r="GJC71" s="2936"/>
      <c r="GJD71" s="2936"/>
      <c r="GJE71" s="2936"/>
      <c r="GJF71" s="2936"/>
      <c r="GJG71" s="2936"/>
      <c r="GJH71" s="2936"/>
      <c r="GJI71" s="2936"/>
      <c r="GJJ71" s="2936"/>
      <c r="GJK71" s="2936"/>
      <c r="GJL71" s="2936"/>
      <c r="GJM71" s="2936"/>
      <c r="GJN71" s="2936"/>
      <c r="GJO71" s="2936"/>
      <c r="GJP71" s="2936"/>
      <c r="GJQ71" s="2936"/>
      <c r="GJR71" s="2936"/>
      <c r="GJS71" s="2936"/>
      <c r="GJT71" s="2936"/>
      <c r="GJU71" s="2936"/>
      <c r="GJV71" s="2936"/>
      <c r="GJW71" s="2936"/>
      <c r="GJX71" s="2936"/>
      <c r="GJY71" s="2936"/>
      <c r="GJZ71" s="2936"/>
      <c r="GKA71" s="2936"/>
      <c r="GKB71" s="2936"/>
      <c r="GKC71" s="2936"/>
      <c r="GKD71" s="2936"/>
      <c r="GKE71" s="2936"/>
      <c r="GKF71" s="2936"/>
      <c r="GKG71" s="2936"/>
      <c r="GKH71" s="2936"/>
      <c r="GKI71" s="2936"/>
      <c r="GKJ71" s="2936"/>
      <c r="GKK71" s="2936"/>
      <c r="GKL71" s="2936"/>
      <c r="GKM71" s="2936"/>
      <c r="GKN71" s="2936"/>
      <c r="GKO71" s="2936"/>
      <c r="GKP71" s="2936"/>
      <c r="GKQ71" s="2936"/>
      <c r="GKR71" s="2936"/>
      <c r="GKS71" s="2936"/>
      <c r="GKT71" s="2936"/>
      <c r="GKU71" s="2936"/>
      <c r="GKV71" s="2936"/>
      <c r="GKW71" s="2936"/>
      <c r="GKX71" s="2936"/>
      <c r="GKY71" s="2936"/>
      <c r="GKZ71" s="2936"/>
      <c r="GLA71" s="2936"/>
      <c r="GLB71" s="2936"/>
      <c r="GLC71" s="2936"/>
      <c r="GLD71" s="2936"/>
      <c r="GLE71" s="2936"/>
      <c r="GLF71" s="2936"/>
      <c r="GLG71" s="2936"/>
      <c r="GLH71" s="2936"/>
      <c r="GLI71" s="2936"/>
      <c r="GLJ71" s="2936"/>
      <c r="GLK71" s="2936"/>
      <c r="GLL71" s="2936"/>
      <c r="GLM71" s="2936"/>
      <c r="GLN71" s="2936"/>
      <c r="GLO71" s="2936"/>
      <c r="GLP71" s="2936"/>
      <c r="GLQ71" s="2936"/>
      <c r="GLR71" s="2936"/>
      <c r="GLS71" s="2936"/>
      <c r="GLT71" s="2936"/>
      <c r="GLU71" s="2936"/>
      <c r="GLV71" s="2936"/>
      <c r="GLW71" s="2936"/>
      <c r="GLX71" s="2936"/>
      <c r="GLY71" s="2936"/>
      <c r="GLZ71" s="2936"/>
      <c r="GMA71" s="2936"/>
      <c r="GMB71" s="2936"/>
      <c r="GMC71" s="2936"/>
      <c r="GMD71" s="2936"/>
      <c r="GME71" s="2936"/>
      <c r="GMF71" s="2936"/>
      <c r="GMG71" s="2936"/>
      <c r="GMH71" s="2936"/>
      <c r="GMI71" s="2936"/>
      <c r="GMJ71" s="2936"/>
      <c r="GMK71" s="2936"/>
      <c r="GML71" s="2936"/>
      <c r="GMM71" s="2936"/>
      <c r="GMN71" s="2936"/>
      <c r="GMO71" s="2936"/>
      <c r="GMP71" s="2936"/>
      <c r="GMQ71" s="2936"/>
      <c r="GMR71" s="2936"/>
      <c r="GMS71" s="2936"/>
      <c r="GMT71" s="2936"/>
      <c r="GMU71" s="2936"/>
      <c r="GMV71" s="2936"/>
      <c r="GMW71" s="2936"/>
      <c r="GMX71" s="2936"/>
      <c r="GMY71" s="2936"/>
      <c r="GMZ71" s="2936"/>
      <c r="GNA71" s="2936"/>
      <c r="GNB71" s="2936"/>
      <c r="GNC71" s="2936"/>
      <c r="GND71" s="2936"/>
      <c r="GNE71" s="2936"/>
      <c r="GNF71" s="2936"/>
      <c r="GNG71" s="2936"/>
      <c r="GNH71" s="2936"/>
      <c r="GNI71" s="2936"/>
      <c r="GNJ71" s="2936"/>
      <c r="GNK71" s="2936"/>
      <c r="GNL71" s="2936"/>
      <c r="GNM71" s="2936"/>
      <c r="GNN71" s="2936"/>
      <c r="GNO71" s="2936"/>
      <c r="GNP71" s="2936"/>
      <c r="GNQ71" s="2936"/>
      <c r="GNR71" s="2936"/>
      <c r="GNS71" s="2936"/>
      <c r="GNT71" s="2936"/>
      <c r="GNU71" s="2936"/>
      <c r="GNV71" s="2936"/>
      <c r="GNW71" s="2936"/>
      <c r="GNX71" s="2936"/>
      <c r="GNY71" s="2936"/>
      <c r="GNZ71" s="2936"/>
      <c r="GOA71" s="2936"/>
      <c r="GOB71" s="2936"/>
      <c r="GOC71" s="2936"/>
      <c r="GOD71" s="2936"/>
      <c r="GOE71" s="2936"/>
      <c r="GOF71" s="2936"/>
      <c r="GOG71" s="2936"/>
      <c r="GOH71" s="2936"/>
      <c r="GOI71" s="2936"/>
      <c r="GOJ71" s="2936"/>
      <c r="GOK71" s="2936"/>
      <c r="GOL71" s="2936"/>
      <c r="GOM71" s="2936"/>
      <c r="GON71" s="2936"/>
      <c r="GOO71" s="2936"/>
      <c r="GOP71" s="2936"/>
      <c r="GOQ71" s="2936"/>
      <c r="GOR71" s="2936"/>
      <c r="GOS71" s="2936"/>
      <c r="GOT71" s="2936"/>
      <c r="GOU71" s="2936"/>
      <c r="GOV71" s="2936"/>
      <c r="GOW71" s="2936"/>
      <c r="GOX71" s="2936"/>
      <c r="GOY71" s="2936"/>
      <c r="GOZ71" s="2936"/>
      <c r="GPA71" s="2936"/>
      <c r="GPB71" s="2936"/>
      <c r="GPC71" s="2936"/>
      <c r="GPD71" s="2936"/>
      <c r="GPE71" s="2936"/>
      <c r="GPF71" s="2936"/>
      <c r="GPG71" s="2936"/>
      <c r="GPH71" s="2936"/>
      <c r="GPI71" s="2936"/>
      <c r="GPJ71" s="2936"/>
      <c r="GPK71" s="2936"/>
      <c r="GPL71" s="2936"/>
      <c r="GPM71" s="2936"/>
      <c r="GPN71" s="2936"/>
      <c r="GPO71" s="2936"/>
      <c r="GPP71" s="2936"/>
      <c r="GPQ71" s="2936"/>
      <c r="GPR71" s="2936"/>
      <c r="GPS71" s="2936"/>
      <c r="GPT71" s="2936"/>
      <c r="GPU71" s="2936"/>
      <c r="GPV71" s="2936"/>
      <c r="GPW71" s="2936"/>
      <c r="GPX71" s="2936"/>
      <c r="GPY71" s="2936"/>
      <c r="GPZ71" s="2936"/>
      <c r="GQA71" s="2936"/>
      <c r="GQB71" s="2936"/>
      <c r="GQC71" s="2936"/>
      <c r="GQD71" s="2936"/>
      <c r="GQE71" s="2936"/>
      <c r="GQF71" s="2936"/>
      <c r="GQG71" s="2936"/>
      <c r="GQH71" s="2936"/>
      <c r="GQI71" s="2936"/>
      <c r="GQJ71" s="2936"/>
      <c r="GQK71" s="2936"/>
      <c r="GQL71" s="2936"/>
      <c r="GQM71" s="2936"/>
      <c r="GQN71" s="2936"/>
      <c r="GQO71" s="2936"/>
      <c r="GQP71" s="2936"/>
      <c r="GQQ71" s="2936"/>
      <c r="GQR71" s="2936"/>
      <c r="GQS71" s="2936"/>
      <c r="GQT71" s="2936"/>
      <c r="GQU71" s="2936"/>
      <c r="GQV71" s="2936"/>
      <c r="GQW71" s="2936"/>
      <c r="GQX71" s="2936"/>
      <c r="GQY71" s="2936"/>
      <c r="GQZ71" s="2936"/>
      <c r="GRA71" s="2936"/>
      <c r="GRB71" s="2936"/>
      <c r="GRC71" s="2936"/>
      <c r="GRD71" s="2936"/>
      <c r="GRE71" s="2936"/>
      <c r="GRF71" s="2936"/>
      <c r="GRG71" s="2936"/>
      <c r="GRH71" s="2936"/>
      <c r="GRI71" s="2936"/>
      <c r="GRJ71" s="2936"/>
      <c r="GRK71" s="2936"/>
      <c r="GRL71" s="2936"/>
      <c r="GRM71" s="2936"/>
      <c r="GRN71" s="2936"/>
      <c r="GRO71" s="2936"/>
      <c r="GRP71" s="2936"/>
      <c r="GRQ71" s="2936"/>
      <c r="GRR71" s="2936"/>
      <c r="GRS71" s="2936"/>
      <c r="GRT71" s="2936"/>
      <c r="GRU71" s="2936"/>
      <c r="GRV71" s="2936"/>
      <c r="GRW71" s="2936"/>
      <c r="GRX71" s="2936"/>
      <c r="GRY71" s="2936"/>
      <c r="GRZ71" s="2936"/>
      <c r="GSA71" s="2936"/>
      <c r="GSB71" s="2936"/>
      <c r="GSC71" s="2936"/>
      <c r="GSD71" s="2936"/>
      <c r="GSE71" s="2936"/>
      <c r="GSF71" s="2936"/>
      <c r="GSG71" s="2936"/>
      <c r="GSH71" s="2936"/>
      <c r="GSI71" s="2936"/>
      <c r="GSJ71" s="2936"/>
      <c r="GSK71" s="2936"/>
      <c r="GSL71" s="2936"/>
      <c r="GSM71" s="2936"/>
      <c r="GSN71" s="2936"/>
      <c r="GSO71" s="2936"/>
      <c r="GSP71" s="2936"/>
      <c r="GSQ71" s="2936"/>
      <c r="GSR71" s="2936"/>
      <c r="GSS71" s="2936"/>
      <c r="GST71" s="2936"/>
      <c r="GSU71" s="2936"/>
      <c r="GSV71" s="2936"/>
      <c r="GSW71" s="2936"/>
      <c r="GSX71" s="2936"/>
      <c r="GSY71" s="2936"/>
      <c r="GSZ71" s="2936"/>
      <c r="GTA71" s="2936"/>
      <c r="GTB71" s="2936"/>
      <c r="GTC71" s="2936"/>
      <c r="GTD71" s="2936"/>
      <c r="GTE71" s="2936"/>
      <c r="GTF71" s="2936"/>
      <c r="GTG71" s="2936"/>
      <c r="GTH71" s="2936"/>
      <c r="GTI71" s="2936"/>
      <c r="GTJ71" s="2936"/>
      <c r="GTK71" s="2936"/>
      <c r="GTL71" s="2936"/>
      <c r="GTM71" s="2936"/>
      <c r="GTN71" s="2936"/>
      <c r="GTO71" s="2936"/>
      <c r="GTP71" s="2936"/>
      <c r="GTQ71" s="2936"/>
      <c r="GTR71" s="2936"/>
      <c r="GTS71" s="2936"/>
      <c r="GTT71" s="2936"/>
      <c r="GTU71" s="2936"/>
      <c r="GTV71" s="2936"/>
      <c r="GTW71" s="2936"/>
      <c r="GTX71" s="2936"/>
      <c r="GTY71" s="2936"/>
      <c r="GTZ71" s="2936"/>
      <c r="GUA71" s="2936"/>
      <c r="GUB71" s="2936"/>
      <c r="GUC71" s="2936"/>
      <c r="GUD71" s="2936"/>
      <c r="GUE71" s="2936"/>
      <c r="GUF71" s="2936"/>
      <c r="GUG71" s="2936"/>
      <c r="GUH71" s="2936"/>
      <c r="GUI71" s="2936"/>
      <c r="GUJ71" s="2936"/>
      <c r="GUK71" s="2936"/>
      <c r="GUL71" s="2936"/>
      <c r="GUM71" s="2936"/>
      <c r="GUN71" s="2936"/>
      <c r="GUO71" s="2936"/>
      <c r="GUP71" s="2936"/>
      <c r="GUQ71" s="2936"/>
      <c r="GUR71" s="2936"/>
      <c r="GUS71" s="2936"/>
      <c r="GUT71" s="2936"/>
      <c r="GUU71" s="2936"/>
      <c r="GUV71" s="2936"/>
      <c r="GUW71" s="2936"/>
      <c r="GUX71" s="2936"/>
      <c r="GUY71" s="2936"/>
      <c r="GUZ71" s="2936"/>
      <c r="GVA71" s="2936"/>
      <c r="GVB71" s="2936"/>
      <c r="GVC71" s="2936"/>
      <c r="GVD71" s="2936"/>
      <c r="GVE71" s="2936"/>
      <c r="GVF71" s="2936"/>
      <c r="GVG71" s="2936"/>
      <c r="GVH71" s="2936"/>
      <c r="GVI71" s="2936"/>
      <c r="GVJ71" s="2936"/>
      <c r="GVK71" s="2936"/>
      <c r="GVL71" s="2936"/>
      <c r="GVM71" s="2936"/>
      <c r="GVN71" s="2936"/>
      <c r="GVO71" s="2936"/>
      <c r="GVP71" s="2936"/>
      <c r="GVQ71" s="2936"/>
      <c r="GVR71" s="2936"/>
      <c r="GVS71" s="2936"/>
      <c r="GVT71" s="2936"/>
      <c r="GVU71" s="2936"/>
      <c r="GVV71" s="2936"/>
      <c r="GVW71" s="2936"/>
      <c r="GVX71" s="2936"/>
      <c r="GVY71" s="2936"/>
      <c r="GVZ71" s="2936"/>
      <c r="GWA71" s="2936"/>
      <c r="GWB71" s="2936"/>
      <c r="GWC71" s="2936"/>
      <c r="GWD71" s="2936"/>
      <c r="GWE71" s="2936"/>
      <c r="GWF71" s="2936"/>
      <c r="GWG71" s="2936"/>
      <c r="GWH71" s="2936"/>
      <c r="GWI71" s="2936"/>
      <c r="GWJ71" s="2936"/>
      <c r="GWK71" s="2936"/>
      <c r="GWL71" s="2936"/>
      <c r="GWM71" s="2936"/>
      <c r="GWN71" s="2936"/>
      <c r="GWO71" s="2936"/>
      <c r="GWP71" s="2936"/>
      <c r="GWQ71" s="2936"/>
      <c r="GWR71" s="2936"/>
      <c r="GWS71" s="2936"/>
      <c r="GWT71" s="2936"/>
      <c r="GWU71" s="2936"/>
      <c r="GWV71" s="2936"/>
      <c r="GWW71" s="2936"/>
      <c r="GWX71" s="2936"/>
      <c r="GWY71" s="2936"/>
      <c r="GWZ71" s="2936"/>
      <c r="GXA71" s="2936"/>
      <c r="GXB71" s="2936"/>
      <c r="GXC71" s="2936"/>
      <c r="GXD71" s="2936"/>
      <c r="GXE71" s="2936"/>
      <c r="GXF71" s="2936"/>
      <c r="GXG71" s="2936"/>
      <c r="GXH71" s="2936"/>
      <c r="GXI71" s="2936"/>
      <c r="GXJ71" s="2936"/>
      <c r="GXK71" s="2936"/>
      <c r="GXL71" s="2936"/>
      <c r="GXM71" s="2936"/>
      <c r="GXN71" s="2936"/>
      <c r="GXO71" s="2936"/>
      <c r="GXP71" s="2936"/>
      <c r="GXQ71" s="2936"/>
      <c r="GXR71" s="2936"/>
      <c r="GXS71" s="2936"/>
      <c r="GXT71" s="2936"/>
      <c r="GXU71" s="2936"/>
      <c r="GXV71" s="2936"/>
      <c r="GXW71" s="2936"/>
      <c r="GXX71" s="2936"/>
      <c r="GXY71" s="2936"/>
      <c r="GXZ71" s="2936"/>
      <c r="GYA71" s="2936"/>
      <c r="GYB71" s="2936"/>
      <c r="GYC71" s="2936"/>
      <c r="GYD71" s="2936"/>
      <c r="GYE71" s="2936"/>
      <c r="GYF71" s="2936"/>
      <c r="GYG71" s="2936"/>
      <c r="GYH71" s="2936"/>
      <c r="GYI71" s="2936"/>
      <c r="GYJ71" s="2936"/>
      <c r="GYK71" s="2936"/>
      <c r="GYL71" s="2936"/>
      <c r="GYM71" s="2936"/>
      <c r="GYN71" s="2936"/>
      <c r="GYO71" s="2936"/>
      <c r="GYP71" s="2936"/>
      <c r="GYQ71" s="2936"/>
      <c r="GYR71" s="2936"/>
      <c r="GYS71" s="2936"/>
      <c r="GYT71" s="2936"/>
      <c r="GYU71" s="2936"/>
      <c r="GYV71" s="2936"/>
      <c r="GYW71" s="2936"/>
      <c r="GYX71" s="2936"/>
      <c r="GYY71" s="2936"/>
      <c r="GYZ71" s="2936"/>
      <c r="GZA71" s="2936"/>
      <c r="GZB71" s="2936"/>
      <c r="GZC71" s="2936"/>
      <c r="GZD71" s="2936"/>
      <c r="GZE71" s="2936"/>
      <c r="GZF71" s="2936"/>
      <c r="GZG71" s="2936"/>
      <c r="GZH71" s="2936"/>
      <c r="GZI71" s="2936"/>
      <c r="GZJ71" s="2936"/>
      <c r="GZK71" s="2936"/>
      <c r="GZL71" s="2936"/>
      <c r="GZM71" s="2936"/>
      <c r="GZN71" s="2936"/>
      <c r="GZO71" s="2936"/>
      <c r="GZP71" s="2936"/>
      <c r="GZQ71" s="2936"/>
      <c r="GZR71" s="2936"/>
      <c r="GZS71" s="2936"/>
      <c r="GZT71" s="2936"/>
      <c r="GZU71" s="2936"/>
      <c r="GZV71" s="2936"/>
      <c r="GZW71" s="2936"/>
      <c r="GZX71" s="2936"/>
      <c r="GZY71" s="2936"/>
      <c r="GZZ71" s="2936"/>
      <c r="HAA71" s="2936"/>
      <c r="HAB71" s="2936"/>
      <c r="HAC71" s="2936"/>
      <c r="HAD71" s="2936"/>
      <c r="HAE71" s="2936"/>
      <c r="HAF71" s="2936"/>
      <c r="HAG71" s="2936"/>
      <c r="HAH71" s="2936"/>
      <c r="HAI71" s="2936"/>
      <c r="HAJ71" s="2936"/>
      <c r="HAK71" s="2936"/>
      <c r="HAL71" s="2936"/>
      <c r="HAM71" s="2936"/>
      <c r="HAN71" s="2936"/>
      <c r="HAO71" s="2936"/>
      <c r="HAP71" s="2936"/>
      <c r="HAQ71" s="2936"/>
      <c r="HAR71" s="2936"/>
      <c r="HAS71" s="2936"/>
      <c r="HAT71" s="2936"/>
      <c r="HAU71" s="2936"/>
      <c r="HAV71" s="2936"/>
      <c r="HAW71" s="2936"/>
      <c r="HAX71" s="2936"/>
      <c r="HAY71" s="2936"/>
      <c r="HAZ71" s="2936"/>
      <c r="HBA71" s="2936"/>
      <c r="HBB71" s="2936"/>
      <c r="HBC71" s="2936"/>
      <c r="HBD71" s="2936"/>
      <c r="HBE71" s="2936"/>
      <c r="HBF71" s="2936"/>
      <c r="HBG71" s="2936"/>
      <c r="HBH71" s="2936"/>
      <c r="HBI71" s="2936"/>
      <c r="HBJ71" s="2936"/>
      <c r="HBK71" s="2936"/>
      <c r="HBL71" s="2936"/>
      <c r="HBM71" s="2936"/>
      <c r="HBN71" s="2936"/>
      <c r="HBO71" s="2936"/>
      <c r="HBP71" s="2936"/>
      <c r="HBQ71" s="2936"/>
      <c r="HBR71" s="2936"/>
      <c r="HBS71" s="2936"/>
      <c r="HBT71" s="2936"/>
      <c r="HBU71" s="2936"/>
      <c r="HBV71" s="2936"/>
      <c r="HBW71" s="2936"/>
      <c r="HBX71" s="2936"/>
      <c r="HBY71" s="2936"/>
      <c r="HBZ71" s="2936"/>
      <c r="HCA71" s="2936"/>
      <c r="HCB71" s="2936"/>
      <c r="HCC71" s="2936"/>
      <c r="HCD71" s="2936"/>
      <c r="HCE71" s="2936"/>
      <c r="HCF71" s="2936"/>
      <c r="HCG71" s="2936"/>
      <c r="HCH71" s="2936"/>
      <c r="HCI71" s="2936"/>
      <c r="HCJ71" s="2936"/>
      <c r="HCK71" s="2936"/>
      <c r="HCL71" s="2936"/>
      <c r="HCM71" s="2936"/>
      <c r="HCN71" s="2936"/>
      <c r="HCO71" s="2936"/>
      <c r="HCP71" s="2936"/>
      <c r="HCQ71" s="2936"/>
      <c r="HCR71" s="2936"/>
      <c r="HCS71" s="2936"/>
      <c r="HCT71" s="2936"/>
      <c r="HCU71" s="2936"/>
      <c r="HCV71" s="2936"/>
      <c r="HCW71" s="2936"/>
      <c r="HCX71" s="2936"/>
      <c r="HCY71" s="2936"/>
      <c r="HCZ71" s="2936"/>
      <c r="HDA71" s="2936"/>
      <c r="HDB71" s="2936"/>
      <c r="HDC71" s="2936"/>
      <c r="HDD71" s="2936"/>
      <c r="HDE71" s="2936"/>
      <c r="HDF71" s="2936"/>
      <c r="HDG71" s="2936"/>
      <c r="HDH71" s="2936"/>
      <c r="HDI71" s="2936"/>
      <c r="HDJ71" s="2936"/>
      <c r="HDK71" s="2936"/>
      <c r="HDL71" s="2936"/>
      <c r="HDM71" s="2936"/>
      <c r="HDN71" s="2936"/>
      <c r="HDO71" s="2936"/>
      <c r="HDP71" s="2936"/>
      <c r="HDQ71" s="2936"/>
      <c r="HDR71" s="2936"/>
      <c r="HDS71" s="2936"/>
      <c r="HDT71" s="2936"/>
      <c r="HDU71" s="2936"/>
      <c r="HDV71" s="2936"/>
      <c r="HDW71" s="2936"/>
      <c r="HDX71" s="2936"/>
      <c r="HDY71" s="2936"/>
      <c r="HDZ71" s="2936"/>
      <c r="HEA71" s="2936"/>
      <c r="HEB71" s="2936"/>
      <c r="HEC71" s="2936"/>
      <c r="HED71" s="2936"/>
      <c r="HEE71" s="2936"/>
      <c r="HEF71" s="2936"/>
      <c r="HEG71" s="2936"/>
      <c r="HEH71" s="2936"/>
      <c r="HEI71" s="2936"/>
      <c r="HEJ71" s="2936"/>
      <c r="HEK71" s="2936"/>
      <c r="HEL71" s="2936"/>
      <c r="HEM71" s="2936"/>
      <c r="HEN71" s="2936"/>
      <c r="HEO71" s="2936"/>
      <c r="HEP71" s="2936"/>
      <c r="HEQ71" s="2936"/>
      <c r="HER71" s="2936"/>
      <c r="HES71" s="2936"/>
      <c r="HET71" s="2936"/>
      <c r="HEU71" s="2936"/>
      <c r="HEV71" s="2936"/>
      <c r="HEW71" s="2936"/>
      <c r="HEX71" s="2936"/>
      <c r="HEY71" s="2936"/>
      <c r="HEZ71" s="2936"/>
      <c r="HFA71" s="2936"/>
      <c r="HFB71" s="2936"/>
      <c r="HFC71" s="2936"/>
      <c r="HFD71" s="2936"/>
      <c r="HFE71" s="2936"/>
      <c r="HFF71" s="2936"/>
      <c r="HFG71" s="2936"/>
      <c r="HFH71" s="2936"/>
      <c r="HFI71" s="2936"/>
      <c r="HFJ71" s="2936"/>
      <c r="HFK71" s="2936"/>
      <c r="HFL71" s="2936"/>
      <c r="HFM71" s="2936"/>
      <c r="HFN71" s="2936"/>
      <c r="HFO71" s="2936"/>
      <c r="HFP71" s="2936"/>
      <c r="HFQ71" s="2936"/>
      <c r="HFR71" s="2936"/>
      <c r="HFS71" s="2936"/>
      <c r="HFT71" s="2936"/>
      <c r="HFU71" s="2936"/>
      <c r="HFV71" s="2936"/>
      <c r="HFW71" s="2936"/>
      <c r="HFX71" s="2936"/>
      <c r="HFY71" s="2936"/>
      <c r="HFZ71" s="2936"/>
      <c r="HGA71" s="2936"/>
      <c r="HGB71" s="2936"/>
      <c r="HGC71" s="2936"/>
      <c r="HGD71" s="2936"/>
      <c r="HGE71" s="2936"/>
      <c r="HGF71" s="2936"/>
      <c r="HGG71" s="2936"/>
      <c r="HGH71" s="2936"/>
      <c r="HGI71" s="2936"/>
      <c r="HGJ71" s="2936"/>
      <c r="HGK71" s="2936"/>
      <c r="HGL71" s="2936"/>
      <c r="HGM71" s="2936"/>
      <c r="HGN71" s="2936"/>
      <c r="HGO71" s="2936"/>
      <c r="HGP71" s="2936"/>
      <c r="HGQ71" s="2936"/>
      <c r="HGR71" s="2936"/>
      <c r="HGS71" s="2936"/>
      <c r="HGT71" s="2936"/>
      <c r="HGU71" s="2936"/>
      <c r="HGV71" s="2936"/>
      <c r="HGW71" s="2936"/>
      <c r="HGX71" s="2936"/>
      <c r="HGY71" s="2936"/>
      <c r="HGZ71" s="2936"/>
      <c r="HHA71" s="2936"/>
      <c r="HHB71" s="2936"/>
      <c r="HHC71" s="2936"/>
      <c r="HHD71" s="2936"/>
      <c r="HHE71" s="2936"/>
      <c r="HHF71" s="2936"/>
      <c r="HHG71" s="2936"/>
      <c r="HHH71" s="2936"/>
      <c r="HHI71" s="2936"/>
      <c r="HHJ71" s="2936"/>
      <c r="HHK71" s="2936"/>
      <c r="HHL71" s="2936"/>
      <c r="HHM71" s="2936"/>
      <c r="HHN71" s="2936"/>
      <c r="HHO71" s="2936"/>
      <c r="HHP71" s="2936"/>
      <c r="HHQ71" s="2936"/>
      <c r="HHR71" s="2936"/>
      <c r="HHS71" s="2936"/>
      <c r="HHT71" s="2936"/>
      <c r="HHU71" s="2936"/>
      <c r="HHV71" s="2936"/>
      <c r="HHW71" s="2936"/>
      <c r="HHX71" s="2936"/>
      <c r="HHY71" s="2936"/>
      <c r="HHZ71" s="2936"/>
      <c r="HIA71" s="2936"/>
      <c r="HIB71" s="2936"/>
      <c r="HIC71" s="2936"/>
      <c r="HID71" s="2936"/>
      <c r="HIE71" s="2936"/>
      <c r="HIF71" s="2936"/>
      <c r="HIG71" s="2936"/>
      <c r="HIH71" s="2936"/>
      <c r="HII71" s="2936"/>
      <c r="HIJ71" s="2936"/>
      <c r="HIK71" s="2936"/>
      <c r="HIL71" s="2936"/>
      <c r="HIM71" s="2936"/>
      <c r="HIN71" s="2936"/>
      <c r="HIO71" s="2936"/>
      <c r="HIP71" s="2936"/>
      <c r="HIQ71" s="2936"/>
      <c r="HIR71" s="2936"/>
      <c r="HIS71" s="2936"/>
      <c r="HIT71" s="2936"/>
      <c r="HIU71" s="2936"/>
      <c r="HIV71" s="2936"/>
      <c r="HIW71" s="2936"/>
      <c r="HIX71" s="2936"/>
      <c r="HIY71" s="2936"/>
      <c r="HIZ71" s="2936"/>
      <c r="HJA71" s="2936"/>
      <c r="HJB71" s="2936"/>
      <c r="HJC71" s="2936"/>
      <c r="HJD71" s="2936"/>
      <c r="HJE71" s="2936"/>
      <c r="HJF71" s="2936"/>
      <c r="HJG71" s="2936"/>
      <c r="HJH71" s="2936"/>
      <c r="HJI71" s="2936"/>
      <c r="HJJ71" s="2936"/>
      <c r="HJK71" s="2936"/>
      <c r="HJL71" s="2936"/>
      <c r="HJM71" s="2936"/>
      <c r="HJN71" s="2936"/>
      <c r="HJO71" s="2936"/>
      <c r="HJP71" s="2936"/>
      <c r="HJQ71" s="2936"/>
      <c r="HJR71" s="2936"/>
      <c r="HJS71" s="2936"/>
      <c r="HJT71" s="2936"/>
      <c r="HJU71" s="2936"/>
      <c r="HJV71" s="2936"/>
      <c r="HJW71" s="2936"/>
      <c r="HJX71" s="2936"/>
      <c r="HJY71" s="2936"/>
      <c r="HJZ71" s="2936"/>
      <c r="HKA71" s="2936"/>
      <c r="HKB71" s="2936"/>
      <c r="HKC71" s="2936"/>
      <c r="HKD71" s="2936"/>
      <c r="HKE71" s="2936"/>
      <c r="HKF71" s="2936"/>
      <c r="HKG71" s="2936"/>
      <c r="HKH71" s="2936"/>
      <c r="HKI71" s="2936"/>
      <c r="HKJ71" s="2936"/>
      <c r="HKK71" s="2936"/>
      <c r="HKL71" s="2936"/>
      <c r="HKM71" s="2936"/>
      <c r="HKN71" s="2936"/>
      <c r="HKO71" s="2936"/>
      <c r="HKP71" s="2936"/>
      <c r="HKQ71" s="2936"/>
      <c r="HKR71" s="2936"/>
      <c r="HKS71" s="2936"/>
      <c r="HKT71" s="2936"/>
      <c r="HKU71" s="2936"/>
      <c r="HKV71" s="2936"/>
      <c r="HKW71" s="2936"/>
      <c r="HKX71" s="2936"/>
      <c r="HKY71" s="2936"/>
      <c r="HKZ71" s="2936"/>
      <c r="HLA71" s="2936"/>
      <c r="HLB71" s="2936"/>
      <c r="HLC71" s="2936"/>
      <c r="HLD71" s="2936"/>
      <c r="HLE71" s="2936"/>
      <c r="HLF71" s="2936"/>
      <c r="HLG71" s="2936"/>
      <c r="HLH71" s="2936"/>
      <c r="HLI71" s="2936"/>
      <c r="HLJ71" s="2936"/>
      <c r="HLK71" s="2936"/>
      <c r="HLL71" s="2936"/>
      <c r="HLM71" s="2936"/>
      <c r="HLN71" s="2936"/>
      <c r="HLO71" s="2936"/>
      <c r="HLP71" s="2936"/>
      <c r="HLQ71" s="2936"/>
      <c r="HLR71" s="2936"/>
      <c r="HLS71" s="2936"/>
      <c r="HLT71" s="2936"/>
      <c r="HLU71" s="2936"/>
      <c r="HLV71" s="2936"/>
      <c r="HLW71" s="2936"/>
      <c r="HLX71" s="2936"/>
      <c r="HLY71" s="2936"/>
      <c r="HLZ71" s="2936"/>
      <c r="HMA71" s="2936"/>
      <c r="HMB71" s="2936"/>
      <c r="HMC71" s="2936"/>
      <c r="HMD71" s="2936"/>
      <c r="HME71" s="2936"/>
      <c r="HMF71" s="2936"/>
      <c r="HMG71" s="2936"/>
      <c r="HMH71" s="2936"/>
      <c r="HMI71" s="2936"/>
      <c r="HMJ71" s="2936"/>
      <c r="HMK71" s="2936"/>
      <c r="HML71" s="2936"/>
      <c r="HMM71" s="2936"/>
      <c r="HMN71" s="2936"/>
      <c r="HMO71" s="2936"/>
      <c r="HMP71" s="2936"/>
      <c r="HMQ71" s="2936"/>
      <c r="HMR71" s="2936"/>
      <c r="HMS71" s="2936"/>
      <c r="HMT71" s="2936"/>
      <c r="HMU71" s="2936"/>
      <c r="HMV71" s="2936"/>
      <c r="HMW71" s="2936"/>
      <c r="HMX71" s="2936"/>
      <c r="HMY71" s="2936"/>
      <c r="HMZ71" s="2936"/>
      <c r="HNA71" s="2936"/>
      <c r="HNB71" s="2936"/>
      <c r="HNC71" s="2936"/>
      <c r="HND71" s="2936"/>
      <c r="HNE71" s="2936"/>
      <c r="HNF71" s="2936"/>
      <c r="HNG71" s="2936"/>
      <c r="HNH71" s="2936"/>
      <c r="HNI71" s="2936"/>
      <c r="HNJ71" s="2936"/>
      <c r="HNK71" s="2936"/>
      <c r="HNL71" s="2936"/>
      <c r="HNM71" s="2936"/>
      <c r="HNN71" s="2936"/>
      <c r="HNO71" s="2936"/>
      <c r="HNP71" s="2936"/>
      <c r="HNQ71" s="2936"/>
      <c r="HNR71" s="2936"/>
      <c r="HNS71" s="2936"/>
      <c r="HNT71" s="2936"/>
      <c r="HNU71" s="2936"/>
      <c r="HNV71" s="2936"/>
      <c r="HNW71" s="2936"/>
      <c r="HNX71" s="2936"/>
      <c r="HNY71" s="2936"/>
      <c r="HNZ71" s="2936"/>
      <c r="HOA71" s="2936"/>
      <c r="HOB71" s="2936"/>
      <c r="HOC71" s="2936"/>
      <c r="HOD71" s="2936"/>
      <c r="HOE71" s="2936"/>
      <c r="HOF71" s="2936"/>
      <c r="HOG71" s="2936"/>
      <c r="HOH71" s="2936"/>
      <c r="HOI71" s="2936"/>
      <c r="HOJ71" s="2936"/>
      <c r="HOK71" s="2936"/>
      <c r="HOL71" s="2936"/>
      <c r="HOM71" s="2936"/>
      <c r="HON71" s="2936"/>
      <c r="HOO71" s="2936"/>
      <c r="HOP71" s="2936"/>
      <c r="HOQ71" s="2936"/>
      <c r="HOR71" s="2936"/>
      <c r="HOS71" s="2936"/>
      <c r="HOT71" s="2936"/>
      <c r="HOU71" s="2936"/>
      <c r="HOV71" s="2936"/>
      <c r="HOW71" s="2936"/>
      <c r="HOX71" s="2936"/>
      <c r="HOY71" s="2936"/>
      <c r="HOZ71" s="2936"/>
      <c r="HPA71" s="2936"/>
      <c r="HPB71" s="2936"/>
      <c r="HPC71" s="2936"/>
      <c r="HPD71" s="2936"/>
      <c r="HPE71" s="2936"/>
      <c r="HPF71" s="2936"/>
      <c r="HPG71" s="2936"/>
      <c r="HPH71" s="2936"/>
      <c r="HPI71" s="2936"/>
      <c r="HPJ71" s="2936"/>
      <c r="HPK71" s="2936"/>
      <c r="HPL71" s="2936"/>
      <c r="HPM71" s="2936"/>
      <c r="HPN71" s="2936"/>
      <c r="HPO71" s="2936"/>
      <c r="HPP71" s="2936"/>
      <c r="HPQ71" s="2936"/>
      <c r="HPR71" s="2936"/>
      <c r="HPS71" s="2936"/>
      <c r="HPT71" s="2936"/>
      <c r="HPU71" s="2936"/>
      <c r="HPV71" s="2936"/>
      <c r="HPW71" s="2936"/>
      <c r="HPX71" s="2936"/>
      <c r="HPY71" s="2936"/>
      <c r="HPZ71" s="2936"/>
      <c r="HQA71" s="2936"/>
      <c r="HQB71" s="2936"/>
      <c r="HQC71" s="2936"/>
      <c r="HQD71" s="2936"/>
      <c r="HQE71" s="2936"/>
      <c r="HQF71" s="2936"/>
      <c r="HQG71" s="2936"/>
      <c r="HQH71" s="2936"/>
      <c r="HQI71" s="2936"/>
      <c r="HQJ71" s="2936"/>
      <c r="HQK71" s="2936"/>
      <c r="HQL71" s="2936"/>
      <c r="HQM71" s="2936"/>
      <c r="HQN71" s="2936"/>
      <c r="HQO71" s="2936"/>
      <c r="HQP71" s="2936"/>
      <c r="HQQ71" s="2936"/>
      <c r="HQR71" s="2936"/>
      <c r="HQS71" s="2936"/>
      <c r="HQT71" s="2936"/>
      <c r="HQU71" s="2936"/>
      <c r="HQV71" s="2936"/>
      <c r="HQW71" s="2936"/>
      <c r="HQX71" s="2936"/>
      <c r="HQY71" s="2936"/>
      <c r="HQZ71" s="2936"/>
      <c r="HRA71" s="2936"/>
      <c r="HRB71" s="2936"/>
      <c r="HRC71" s="2936"/>
      <c r="HRD71" s="2936"/>
      <c r="HRE71" s="2936"/>
      <c r="HRF71" s="2936"/>
      <c r="HRG71" s="2936"/>
      <c r="HRH71" s="2936"/>
      <c r="HRI71" s="2936"/>
      <c r="HRJ71" s="2936"/>
      <c r="HRK71" s="2936"/>
      <c r="HRL71" s="2936"/>
      <c r="HRM71" s="2936"/>
      <c r="HRN71" s="2936"/>
      <c r="HRO71" s="2936"/>
      <c r="HRP71" s="2936"/>
      <c r="HRQ71" s="2936"/>
      <c r="HRR71" s="2936"/>
      <c r="HRS71" s="2936"/>
      <c r="HRT71" s="2936"/>
      <c r="HRU71" s="2936"/>
      <c r="HRV71" s="2936"/>
      <c r="HRW71" s="2936"/>
      <c r="HRX71" s="2936"/>
      <c r="HRY71" s="2936"/>
      <c r="HRZ71" s="2936"/>
      <c r="HSA71" s="2936"/>
      <c r="HSB71" s="2936"/>
      <c r="HSC71" s="2936"/>
      <c r="HSD71" s="2936"/>
      <c r="HSE71" s="2936"/>
      <c r="HSF71" s="2936"/>
      <c r="HSG71" s="2936"/>
      <c r="HSH71" s="2936"/>
      <c r="HSI71" s="2936"/>
      <c r="HSJ71" s="2936"/>
      <c r="HSK71" s="2936"/>
      <c r="HSL71" s="2936"/>
      <c r="HSM71" s="2936"/>
      <c r="HSN71" s="2936"/>
      <c r="HSO71" s="2936"/>
      <c r="HSP71" s="2936"/>
      <c r="HSQ71" s="2936"/>
      <c r="HSR71" s="2936"/>
      <c r="HSS71" s="2936"/>
      <c r="HST71" s="2936"/>
      <c r="HSU71" s="2936"/>
      <c r="HSV71" s="2936"/>
      <c r="HSW71" s="2936"/>
      <c r="HSX71" s="2936"/>
      <c r="HSY71" s="2936"/>
      <c r="HSZ71" s="2936"/>
      <c r="HTA71" s="2936"/>
      <c r="HTB71" s="2936"/>
      <c r="HTC71" s="2936"/>
      <c r="HTD71" s="2936"/>
      <c r="HTE71" s="2936"/>
      <c r="HTF71" s="2936"/>
      <c r="HTG71" s="2936"/>
      <c r="HTH71" s="2936"/>
      <c r="HTI71" s="2936"/>
      <c r="HTJ71" s="2936"/>
      <c r="HTK71" s="2936"/>
      <c r="HTL71" s="2936"/>
      <c r="HTM71" s="2936"/>
      <c r="HTN71" s="2936"/>
      <c r="HTO71" s="2936"/>
      <c r="HTP71" s="2936"/>
      <c r="HTQ71" s="2936"/>
      <c r="HTR71" s="2936"/>
      <c r="HTS71" s="2936"/>
      <c r="HTT71" s="2936"/>
      <c r="HTU71" s="2936"/>
      <c r="HTV71" s="2936"/>
      <c r="HTW71" s="2936"/>
      <c r="HTX71" s="2936"/>
      <c r="HTY71" s="2936"/>
      <c r="HTZ71" s="2936"/>
      <c r="HUA71" s="2936"/>
      <c r="HUB71" s="2936"/>
      <c r="HUC71" s="2936"/>
      <c r="HUD71" s="2936"/>
      <c r="HUE71" s="2936"/>
      <c r="HUF71" s="2936"/>
      <c r="HUG71" s="2936"/>
      <c r="HUH71" s="2936"/>
      <c r="HUI71" s="2936"/>
      <c r="HUJ71" s="2936"/>
      <c r="HUK71" s="2936"/>
      <c r="HUL71" s="2936"/>
      <c r="HUM71" s="2936"/>
      <c r="HUN71" s="2936"/>
      <c r="HUO71" s="2936"/>
      <c r="HUP71" s="2936"/>
      <c r="HUQ71" s="2936"/>
      <c r="HUR71" s="2936"/>
      <c r="HUS71" s="2936"/>
      <c r="HUT71" s="2936"/>
      <c r="HUU71" s="2936"/>
      <c r="HUV71" s="2936"/>
      <c r="HUW71" s="2936"/>
      <c r="HUX71" s="2936"/>
      <c r="HUY71" s="2936"/>
      <c r="HUZ71" s="2936"/>
      <c r="HVA71" s="2936"/>
      <c r="HVB71" s="2936"/>
      <c r="HVC71" s="2936"/>
      <c r="HVD71" s="2936"/>
      <c r="HVE71" s="2936"/>
      <c r="HVF71" s="2936"/>
      <c r="HVG71" s="2936"/>
      <c r="HVH71" s="2936"/>
      <c r="HVI71" s="2936"/>
      <c r="HVJ71" s="2936"/>
      <c r="HVK71" s="2936"/>
      <c r="HVL71" s="2936"/>
      <c r="HVM71" s="2936"/>
      <c r="HVN71" s="2936"/>
      <c r="HVO71" s="2936"/>
      <c r="HVP71" s="2936"/>
      <c r="HVQ71" s="2936"/>
      <c r="HVR71" s="2936"/>
      <c r="HVS71" s="2936"/>
      <c r="HVT71" s="2936"/>
      <c r="HVU71" s="2936"/>
      <c r="HVV71" s="2936"/>
      <c r="HVW71" s="2936"/>
      <c r="HVX71" s="2936"/>
      <c r="HVY71" s="2936"/>
      <c r="HVZ71" s="2936"/>
      <c r="HWA71" s="2936"/>
      <c r="HWB71" s="2936"/>
      <c r="HWC71" s="2936"/>
      <c r="HWD71" s="2936"/>
      <c r="HWE71" s="2936"/>
      <c r="HWF71" s="2936"/>
      <c r="HWG71" s="2936"/>
      <c r="HWH71" s="2936"/>
      <c r="HWI71" s="2936"/>
      <c r="HWJ71" s="2936"/>
      <c r="HWK71" s="2936"/>
      <c r="HWL71" s="2936"/>
      <c r="HWM71" s="2936"/>
      <c r="HWN71" s="2936"/>
      <c r="HWO71" s="2936"/>
      <c r="HWP71" s="2936"/>
      <c r="HWQ71" s="2936"/>
      <c r="HWR71" s="2936"/>
      <c r="HWS71" s="2936"/>
      <c r="HWT71" s="2936"/>
      <c r="HWU71" s="2936"/>
      <c r="HWV71" s="2936"/>
      <c r="HWW71" s="2936"/>
      <c r="HWX71" s="2936"/>
      <c r="HWY71" s="2936"/>
      <c r="HWZ71" s="2936"/>
      <c r="HXA71" s="2936"/>
      <c r="HXB71" s="2936"/>
      <c r="HXC71" s="2936"/>
      <c r="HXD71" s="2936"/>
      <c r="HXE71" s="2936"/>
      <c r="HXF71" s="2936"/>
      <c r="HXG71" s="2936"/>
      <c r="HXH71" s="2936"/>
      <c r="HXI71" s="2936"/>
      <c r="HXJ71" s="2936"/>
      <c r="HXK71" s="2936"/>
      <c r="HXL71" s="2936"/>
      <c r="HXM71" s="2936"/>
      <c r="HXN71" s="2936"/>
      <c r="HXO71" s="2936"/>
      <c r="HXP71" s="2936"/>
      <c r="HXQ71" s="2936"/>
      <c r="HXR71" s="2936"/>
      <c r="HXS71" s="2936"/>
      <c r="HXT71" s="2936"/>
      <c r="HXU71" s="2936"/>
      <c r="HXV71" s="2936"/>
      <c r="HXW71" s="2936"/>
      <c r="HXX71" s="2936"/>
      <c r="HXY71" s="2936"/>
      <c r="HXZ71" s="2936"/>
      <c r="HYA71" s="2936"/>
      <c r="HYB71" s="2936"/>
      <c r="HYC71" s="2936"/>
      <c r="HYD71" s="2936"/>
      <c r="HYE71" s="2936"/>
      <c r="HYF71" s="2936"/>
      <c r="HYG71" s="2936"/>
      <c r="HYH71" s="2936"/>
      <c r="HYI71" s="2936"/>
      <c r="HYJ71" s="2936"/>
      <c r="HYK71" s="2936"/>
      <c r="HYL71" s="2936"/>
      <c r="HYM71" s="2936"/>
      <c r="HYN71" s="2936"/>
      <c r="HYO71" s="2936"/>
      <c r="HYP71" s="2936"/>
      <c r="HYQ71" s="2936"/>
      <c r="HYR71" s="2936"/>
      <c r="HYS71" s="2936"/>
      <c r="HYT71" s="2936"/>
      <c r="HYU71" s="2936"/>
      <c r="HYV71" s="2936"/>
      <c r="HYW71" s="2936"/>
      <c r="HYX71" s="2936"/>
      <c r="HYY71" s="2936"/>
      <c r="HYZ71" s="2936"/>
      <c r="HZA71" s="2936"/>
      <c r="HZB71" s="2936"/>
      <c r="HZC71" s="2936"/>
      <c r="HZD71" s="2936"/>
      <c r="HZE71" s="2936"/>
      <c r="HZF71" s="2936"/>
      <c r="HZG71" s="2936"/>
      <c r="HZH71" s="2936"/>
      <c r="HZI71" s="2936"/>
      <c r="HZJ71" s="2936"/>
      <c r="HZK71" s="2936"/>
      <c r="HZL71" s="2936"/>
      <c r="HZM71" s="2936"/>
      <c r="HZN71" s="2936"/>
      <c r="HZO71" s="2936"/>
      <c r="HZP71" s="2936"/>
      <c r="HZQ71" s="2936"/>
      <c r="HZR71" s="2936"/>
      <c r="HZS71" s="2936"/>
      <c r="HZT71" s="2936"/>
      <c r="HZU71" s="2936"/>
      <c r="HZV71" s="2936"/>
      <c r="HZW71" s="2936"/>
      <c r="HZX71" s="2936"/>
      <c r="HZY71" s="2936"/>
      <c r="HZZ71" s="2936"/>
      <c r="IAA71" s="2936"/>
      <c r="IAB71" s="2936"/>
      <c r="IAC71" s="2936"/>
      <c r="IAD71" s="2936"/>
      <c r="IAE71" s="2936"/>
      <c r="IAF71" s="2936"/>
      <c r="IAG71" s="2936"/>
      <c r="IAH71" s="2936"/>
      <c r="IAI71" s="2936"/>
      <c r="IAJ71" s="2936"/>
      <c r="IAK71" s="2936"/>
      <c r="IAL71" s="2936"/>
      <c r="IAM71" s="2936"/>
      <c r="IAN71" s="2936"/>
      <c r="IAO71" s="2936"/>
      <c r="IAP71" s="2936"/>
      <c r="IAQ71" s="2936"/>
      <c r="IAR71" s="2936"/>
      <c r="IAS71" s="2936"/>
      <c r="IAT71" s="2936"/>
      <c r="IAU71" s="2936"/>
      <c r="IAV71" s="2936"/>
      <c r="IAW71" s="2936"/>
      <c r="IAX71" s="2936"/>
      <c r="IAY71" s="2936"/>
      <c r="IAZ71" s="2936"/>
      <c r="IBA71" s="2936"/>
      <c r="IBB71" s="2936"/>
      <c r="IBC71" s="2936"/>
      <c r="IBD71" s="2936"/>
      <c r="IBE71" s="2936"/>
      <c r="IBF71" s="2936"/>
      <c r="IBG71" s="2936"/>
      <c r="IBH71" s="2936"/>
      <c r="IBI71" s="2936"/>
      <c r="IBJ71" s="2936"/>
      <c r="IBK71" s="2936"/>
      <c r="IBL71" s="2936"/>
      <c r="IBM71" s="2936"/>
      <c r="IBN71" s="2936"/>
      <c r="IBO71" s="2936"/>
      <c r="IBP71" s="2936"/>
      <c r="IBQ71" s="2936"/>
      <c r="IBR71" s="2936"/>
      <c r="IBS71" s="2936"/>
      <c r="IBT71" s="2936"/>
      <c r="IBU71" s="2936"/>
      <c r="IBV71" s="2936"/>
      <c r="IBW71" s="2936"/>
      <c r="IBX71" s="2936"/>
      <c r="IBY71" s="2936"/>
      <c r="IBZ71" s="2936"/>
      <c r="ICA71" s="2936"/>
      <c r="ICB71" s="2936"/>
      <c r="ICC71" s="2936"/>
      <c r="ICD71" s="2936"/>
      <c r="ICE71" s="2936"/>
      <c r="ICF71" s="2936"/>
      <c r="ICG71" s="2936"/>
      <c r="ICH71" s="2936"/>
      <c r="ICI71" s="2936"/>
      <c r="ICJ71" s="2936"/>
      <c r="ICK71" s="2936"/>
      <c r="ICL71" s="2936"/>
      <c r="ICM71" s="2936"/>
      <c r="ICN71" s="2936"/>
      <c r="ICO71" s="2936"/>
      <c r="ICP71" s="2936"/>
      <c r="ICQ71" s="2936"/>
      <c r="ICR71" s="2936"/>
      <c r="ICS71" s="2936"/>
      <c r="ICT71" s="2936"/>
      <c r="ICU71" s="2936"/>
      <c r="ICV71" s="2936"/>
      <c r="ICW71" s="2936"/>
      <c r="ICX71" s="2936"/>
      <c r="ICY71" s="2936"/>
      <c r="ICZ71" s="2936"/>
      <c r="IDA71" s="2936"/>
      <c r="IDB71" s="2936"/>
      <c r="IDC71" s="2936"/>
      <c r="IDD71" s="2936"/>
      <c r="IDE71" s="2936"/>
      <c r="IDF71" s="2936"/>
      <c r="IDG71" s="2936"/>
      <c r="IDH71" s="2936"/>
      <c r="IDI71" s="2936"/>
      <c r="IDJ71" s="2936"/>
      <c r="IDK71" s="2936"/>
      <c r="IDL71" s="2936"/>
      <c r="IDM71" s="2936"/>
      <c r="IDN71" s="2936"/>
      <c r="IDO71" s="2936"/>
      <c r="IDP71" s="2936"/>
      <c r="IDQ71" s="2936"/>
      <c r="IDR71" s="2936"/>
      <c r="IDS71" s="2936"/>
      <c r="IDT71" s="2936"/>
      <c r="IDU71" s="2936"/>
      <c r="IDV71" s="2936"/>
      <c r="IDW71" s="2936"/>
      <c r="IDX71" s="2936"/>
      <c r="IDY71" s="2936"/>
      <c r="IDZ71" s="2936"/>
      <c r="IEA71" s="2936"/>
      <c r="IEB71" s="2936"/>
      <c r="IEC71" s="2936"/>
      <c r="IED71" s="2936"/>
      <c r="IEE71" s="2936"/>
      <c r="IEF71" s="2936"/>
      <c r="IEG71" s="2936"/>
      <c r="IEH71" s="2936"/>
      <c r="IEI71" s="2936"/>
      <c r="IEJ71" s="2936"/>
      <c r="IEK71" s="2936"/>
      <c r="IEL71" s="2936"/>
      <c r="IEM71" s="2936"/>
      <c r="IEN71" s="2936"/>
      <c r="IEO71" s="2936"/>
      <c r="IEP71" s="2936"/>
      <c r="IEQ71" s="2936"/>
      <c r="IER71" s="2936"/>
      <c r="IES71" s="2936"/>
      <c r="IET71" s="2936"/>
      <c r="IEU71" s="2936"/>
      <c r="IEV71" s="2936"/>
      <c r="IEW71" s="2936"/>
      <c r="IEX71" s="2936"/>
      <c r="IEY71" s="2936"/>
      <c r="IEZ71" s="2936"/>
      <c r="IFA71" s="2936"/>
      <c r="IFB71" s="2936"/>
      <c r="IFC71" s="2936"/>
      <c r="IFD71" s="2936"/>
      <c r="IFE71" s="2936"/>
      <c r="IFF71" s="2936"/>
      <c r="IFG71" s="2936"/>
      <c r="IFH71" s="2936"/>
      <c r="IFI71" s="2936"/>
      <c r="IFJ71" s="2936"/>
      <c r="IFK71" s="2936"/>
      <c r="IFL71" s="2936"/>
      <c r="IFM71" s="2936"/>
      <c r="IFN71" s="2936"/>
      <c r="IFO71" s="2936"/>
      <c r="IFP71" s="2936"/>
      <c r="IFQ71" s="2936"/>
      <c r="IFR71" s="2936"/>
      <c r="IFS71" s="2936"/>
      <c r="IFT71" s="2936"/>
      <c r="IFU71" s="2936"/>
      <c r="IFV71" s="2936"/>
      <c r="IFW71" s="2936"/>
      <c r="IFX71" s="2936"/>
      <c r="IFY71" s="2936"/>
      <c r="IFZ71" s="2936"/>
      <c r="IGA71" s="2936"/>
      <c r="IGB71" s="2936"/>
      <c r="IGC71" s="2936"/>
      <c r="IGD71" s="2936"/>
      <c r="IGE71" s="2936"/>
      <c r="IGF71" s="2936"/>
      <c r="IGG71" s="2936"/>
      <c r="IGH71" s="2936"/>
      <c r="IGI71" s="2936"/>
      <c r="IGJ71" s="2936"/>
      <c r="IGK71" s="2936"/>
      <c r="IGL71" s="2936"/>
      <c r="IGM71" s="2936"/>
      <c r="IGN71" s="2936"/>
      <c r="IGO71" s="2936"/>
      <c r="IGP71" s="2936"/>
      <c r="IGQ71" s="2936"/>
      <c r="IGR71" s="2936"/>
      <c r="IGS71" s="2936"/>
      <c r="IGT71" s="2936"/>
      <c r="IGU71" s="2936"/>
      <c r="IGV71" s="2936"/>
      <c r="IGW71" s="2936"/>
      <c r="IGX71" s="2936"/>
      <c r="IGY71" s="2936"/>
      <c r="IGZ71" s="2936"/>
      <c r="IHA71" s="2936"/>
      <c r="IHB71" s="2936"/>
      <c r="IHC71" s="2936"/>
      <c r="IHD71" s="2936"/>
      <c r="IHE71" s="2936"/>
      <c r="IHF71" s="2936"/>
      <c r="IHG71" s="2936"/>
      <c r="IHH71" s="2936"/>
      <c r="IHI71" s="2936"/>
      <c r="IHJ71" s="2936"/>
      <c r="IHK71" s="2936"/>
      <c r="IHL71" s="2936"/>
      <c r="IHM71" s="2936"/>
      <c r="IHN71" s="2936"/>
      <c r="IHO71" s="2936"/>
      <c r="IHP71" s="2936"/>
      <c r="IHQ71" s="2936"/>
      <c r="IHR71" s="2936"/>
      <c r="IHS71" s="2936"/>
      <c r="IHT71" s="2936"/>
      <c r="IHU71" s="2936"/>
      <c r="IHV71" s="2936"/>
      <c r="IHW71" s="2936"/>
      <c r="IHX71" s="2936"/>
      <c r="IHY71" s="2936"/>
      <c r="IHZ71" s="2936"/>
      <c r="IIA71" s="2936"/>
      <c r="IIB71" s="2936"/>
      <c r="IIC71" s="2936"/>
      <c r="IID71" s="2936"/>
      <c r="IIE71" s="2936"/>
      <c r="IIF71" s="2936"/>
      <c r="IIG71" s="2936"/>
      <c r="IIH71" s="2936"/>
      <c r="III71" s="2936"/>
      <c r="IIJ71" s="2936"/>
      <c r="IIK71" s="2936"/>
      <c r="IIL71" s="2936"/>
      <c r="IIM71" s="2936"/>
      <c r="IIN71" s="2936"/>
      <c r="IIO71" s="2936"/>
      <c r="IIP71" s="2936"/>
      <c r="IIQ71" s="2936"/>
      <c r="IIR71" s="2936"/>
      <c r="IIS71" s="2936"/>
      <c r="IIT71" s="2936"/>
      <c r="IIU71" s="2936"/>
      <c r="IIV71" s="2936"/>
      <c r="IIW71" s="2936"/>
      <c r="IIX71" s="2936"/>
      <c r="IIY71" s="2936"/>
      <c r="IIZ71" s="2936"/>
      <c r="IJA71" s="2936"/>
      <c r="IJB71" s="2936"/>
      <c r="IJC71" s="2936"/>
      <c r="IJD71" s="2936"/>
      <c r="IJE71" s="2936"/>
      <c r="IJF71" s="2936"/>
      <c r="IJG71" s="2936"/>
      <c r="IJH71" s="2936"/>
      <c r="IJI71" s="2936"/>
      <c r="IJJ71" s="2936"/>
      <c r="IJK71" s="2936"/>
      <c r="IJL71" s="2936"/>
      <c r="IJM71" s="2936"/>
      <c r="IJN71" s="2936"/>
      <c r="IJO71" s="2936"/>
      <c r="IJP71" s="2936"/>
      <c r="IJQ71" s="2936"/>
      <c r="IJR71" s="2936"/>
      <c r="IJS71" s="2936"/>
      <c r="IJT71" s="2936"/>
      <c r="IJU71" s="2936"/>
      <c r="IJV71" s="2936"/>
      <c r="IJW71" s="2936"/>
      <c r="IJX71" s="2936"/>
      <c r="IJY71" s="2936"/>
      <c r="IJZ71" s="2936"/>
      <c r="IKA71" s="2936"/>
      <c r="IKB71" s="2936"/>
      <c r="IKC71" s="2936"/>
      <c r="IKD71" s="2936"/>
      <c r="IKE71" s="2936"/>
      <c r="IKF71" s="2936"/>
      <c r="IKG71" s="2936"/>
      <c r="IKH71" s="2936"/>
      <c r="IKI71" s="2936"/>
      <c r="IKJ71" s="2936"/>
      <c r="IKK71" s="2936"/>
      <c r="IKL71" s="2936"/>
      <c r="IKM71" s="2936"/>
      <c r="IKN71" s="2936"/>
      <c r="IKO71" s="2936"/>
      <c r="IKP71" s="2936"/>
      <c r="IKQ71" s="2936"/>
      <c r="IKR71" s="2936"/>
      <c r="IKS71" s="2936"/>
      <c r="IKT71" s="2936"/>
      <c r="IKU71" s="2936"/>
      <c r="IKV71" s="2936"/>
      <c r="IKW71" s="2936"/>
      <c r="IKX71" s="2936"/>
      <c r="IKY71" s="2936"/>
      <c r="IKZ71" s="2936"/>
      <c r="ILA71" s="2936"/>
      <c r="ILB71" s="2936"/>
      <c r="ILC71" s="2936"/>
      <c r="ILD71" s="2936"/>
      <c r="ILE71" s="2936"/>
      <c r="ILF71" s="2936"/>
      <c r="ILG71" s="2936"/>
      <c r="ILH71" s="2936"/>
      <c r="ILI71" s="2936"/>
      <c r="ILJ71" s="2936"/>
      <c r="ILK71" s="2936"/>
      <c r="ILL71" s="2936"/>
      <c r="ILM71" s="2936"/>
      <c r="ILN71" s="2936"/>
      <c r="ILO71" s="2936"/>
      <c r="ILP71" s="2936"/>
      <c r="ILQ71" s="2936"/>
      <c r="ILR71" s="2936"/>
      <c r="ILS71" s="2936"/>
      <c r="ILT71" s="2936"/>
      <c r="ILU71" s="2936"/>
      <c r="ILV71" s="2936"/>
      <c r="ILW71" s="2936"/>
      <c r="ILX71" s="2936"/>
      <c r="ILY71" s="2936"/>
      <c r="ILZ71" s="2936"/>
      <c r="IMA71" s="2936"/>
      <c r="IMB71" s="2936"/>
      <c r="IMC71" s="2936"/>
      <c r="IMD71" s="2936"/>
      <c r="IME71" s="2936"/>
      <c r="IMF71" s="2936"/>
      <c r="IMG71" s="2936"/>
      <c r="IMH71" s="2936"/>
      <c r="IMI71" s="2936"/>
      <c r="IMJ71" s="2936"/>
      <c r="IMK71" s="2936"/>
      <c r="IML71" s="2936"/>
      <c r="IMM71" s="2936"/>
      <c r="IMN71" s="2936"/>
      <c r="IMO71" s="2936"/>
      <c r="IMP71" s="2936"/>
      <c r="IMQ71" s="2936"/>
      <c r="IMR71" s="2936"/>
      <c r="IMS71" s="2936"/>
      <c r="IMT71" s="2936"/>
      <c r="IMU71" s="2936"/>
      <c r="IMV71" s="2936"/>
      <c r="IMW71" s="2936"/>
      <c r="IMX71" s="2936"/>
      <c r="IMY71" s="2936"/>
      <c r="IMZ71" s="2936"/>
      <c r="INA71" s="2936"/>
      <c r="INB71" s="2936"/>
      <c r="INC71" s="2936"/>
      <c r="IND71" s="2936"/>
      <c r="INE71" s="2936"/>
      <c r="INF71" s="2936"/>
      <c r="ING71" s="2936"/>
      <c r="INH71" s="2936"/>
      <c r="INI71" s="2936"/>
      <c r="INJ71" s="2936"/>
      <c r="INK71" s="2936"/>
      <c r="INL71" s="2936"/>
      <c r="INM71" s="2936"/>
      <c r="INN71" s="2936"/>
      <c r="INO71" s="2936"/>
      <c r="INP71" s="2936"/>
      <c r="INQ71" s="2936"/>
      <c r="INR71" s="2936"/>
      <c r="INS71" s="2936"/>
      <c r="INT71" s="2936"/>
      <c r="INU71" s="2936"/>
      <c r="INV71" s="2936"/>
      <c r="INW71" s="2936"/>
      <c r="INX71" s="2936"/>
      <c r="INY71" s="2936"/>
      <c r="INZ71" s="2936"/>
      <c r="IOA71" s="2936"/>
      <c r="IOB71" s="2936"/>
      <c r="IOC71" s="2936"/>
      <c r="IOD71" s="2936"/>
      <c r="IOE71" s="2936"/>
      <c r="IOF71" s="2936"/>
      <c r="IOG71" s="2936"/>
      <c r="IOH71" s="2936"/>
      <c r="IOI71" s="2936"/>
      <c r="IOJ71" s="2936"/>
      <c r="IOK71" s="2936"/>
      <c r="IOL71" s="2936"/>
      <c r="IOM71" s="2936"/>
      <c r="ION71" s="2936"/>
      <c r="IOO71" s="2936"/>
      <c r="IOP71" s="2936"/>
      <c r="IOQ71" s="2936"/>
      <c r="IOR71" s="2936"/>
      <c r="IOS71" s="2936"/>
      <c r="IOT71" s="2936"/>
      <c r="IOU71" s="2936"/>
      <c r="IOV71" s="2936"/>
      <c r="IOW71" s="2936"/>
      <c r="IOX71" s="2936"/>
      <c r="IOY71" s="2936"/>
      <c r="IOZ71" s="2936"/>
      <c r="IPA71" s="2936"/>
      <c r="IPB71" s="2936"/>
      <c r="IPC71" s="2936"/>
      <c r="IPD71" s="2936"/>
      <c r="IPE71" s="2936"/>
      <c r="IPF71" s="2936"/>
      <c r="IPG71" s="2936"/>
      <c r="IPH71" s="2936"/>
      <c r="IPI71" s="2936"/>
      <c r="IPJ71" s="2936"/>
      <c r="IPK71" s="2936"/>
      <c r="IPL71" s="2936"/>
      <c r="IPM71" s="2936"/>
      <c r="IPN71" s="2936"/>
      <c r="IPO71" s="2936"/>
      <c r="IPP71" s="2936"/>
      <c r="IPQ71" s="2936"/>
      <c r="IPR71" s="2936"/>
      <c r="IPS71" s="2936"/>
      <c r="IPT71" s="2936"/>
      <c r="IPU71" s="2936"/>
      <c r="IPV71" s="2936"/>
      <c r="IPW71" s="2936"/>
      <c r="IPX71" s="2936"/>
      <c r="IPY71" s="2936"/>
      <c r="IPZ71" s="2936"/>
      <c r="IQA71" s="2936"/>
      <c r="IQB71" s="2936"/>
      <c r="IQC71" s="2936"/>
      <c r="IQD71" s="2936"/>
      <c r="IQE71" s="2936"/>
      <c r="IQF71" s="2936"/>
      <c r="IQG71" s="2936"/>
      <c r="IQH71" s="2936"/>
      <c r="IQI71" s="2936"/>
      <c r="IQJ71" s="2936"/>
      <c r="IQK71" s="2936"/>
      <c r="IQL71" s="2936"/>
      <c r="IQM71" s="2936"/>
      <c r="IQN71" s="2936"/>
      <c r="IQO71" s="2936"/>
      <c r="IQP71" s="2936"/>
      <c r="IQQ71" s="2936"/>
      <c r="IQR71" s="2936"/>
      <c r="IQS71" s="2936"/>
      <c r="IQT71" s="2936"/>
      <c r="IQU71" s="2936"/>
      <c r="IQV71" s="2936"/>
      <c r="IQW71" s="2936"/>
      <c r="IQX71" s="2936"/>
      <c r="IQY71" s="2936"/>
      <c r="IQZ71" s="2936"/>
      <c r="IRA71" s="2936"/>
      <c r="IRB71" s="2936"/>
      <c r="IRC71" s="2936"/>
      <c r="IRD71" s="2936"/>
      <c r="IRE71" s="2936"/>
      <c r="IRF71" s="2936"/>
      <c r="IRG71" s="2936"/>
      <c r="IRH71" s="2936"/>
      <c r="IRI71" s="2936"/>
      <c r="IRJ71" s="2936"/>
      <c r="IRK71" s="2936"/>
      <c r="IRL71" s="2936"/>
      <c r="IRM71" s="2936"/>
      <c r="IRN71" s="2936"/>
      <c r="IRO71" s="2936"/>
      <c r="IRP71" s="2936"/>
      <c r="IRQ71" s="2936"/>
      <c r="IRR71" s="2936"/>
      <c r="IRS71" s="2936"/>
      <c r="IRT71" s="2936"/>
      <c r="IRU71" s="2936"/>
      <c r="IRV71" s="2936"/>
      <c r="IRW71" s="2936"/>
      <c r="IRX71" s="2936"/>
      <c r="IRY71" s="2936"/>
      <c r="IRZ71" s="2936"/>
      <c r="ISA71" s="2936"/>
      <c r="ISB71" s="2936"/>
      <c r="ISC71" s="2936"/>
      <c r="ISD71" s="2936"/>
      <c r="ISE71" s="2936"/>
      <c r="ISF71" s="2936"/>
      <c r="ISG71" s="2936"/>
      <c r="ISH71" s="2936"/>
      <c r="ISI71" s="2936"/>
      <c r="ISJ71" s="2936"/>
      <c r="ISK71" s="2936"/>
      <c r="ISL71" s="2936"/>
      <c r="ISM71" s="2936"/>
      <c r="ISN71" s="2936"/>
      <c r="ISO71" s="2936"/>
      <c r="ISP71" s="2936"/>
      <c r="ISQ71" s="2936"/>
      <c r="ISR71" s="2936"/>
      <c r="ISS71" s="2936"/>
      <c r="IST71" s="2936"/>
      <c r="ISU71" s="2936"/>
      <c r="ISV71" s="2936"/>
      <c r="ISW71" s="2936"/>
      <c r="ISX71" s="2936"/>
      <c r="ISY71" s="2936"/>
      <c r="ISZ71" s="2936"/>
      <c r="ITA71" s="2936"/>
      <c r="ITB71" s="2936"/>
      <c r="ITC71" s="2936"/>
      <c r="ITD71" s="2936"/>
      <c r="ITE71" s="2936"/>
      <c r="ITF71" s="2936"/>
      <c r="ITG71" s="2936"/>
      <c r="ITH71" s="2936"/>
      <c r="ITI71" s="2936"/>
      <c r="ITJ71" s="2936"/>
      <c r="ITK71" s="2936"/>
      <c r="ITL71" s="2936"/>
      <c r="ITM71" s="2936"/>
      <c r="ITN71" s="2936"/>
      <c r="ITO71" s="2936"/>
      <c r="ITP71" s="2936"/>
      <c r="ITQ71" s="2936"/>
      <c r="ITR71" s="2936"/>
      <c r="ITS71" s="2936"/>
      <c r="ITT71" s="2936"/>
      <c r="ITU71" s="2936"/>
      <c r="ITV71" s="2936"/>
      <c r="ITW71" s="2936"/>
      <c r="ITX71" s="2936"/>
      <c r="ITY71" s="2936"/>
      <c r="ITZ71" s="2936"/>
      <c r="IUA71" s="2936"/>
      <c r="IUB71" s="2936"/>
      <c r="IUC71" s="2936"/>
      <c r="IUD71" s="2936"/>
      <c r="IUE71" s="2936"/>
      <c r="IUF71" s="2936"/>
      <c r="IUG71" s="2936"/>
      <c r="IUH71" s="2936"/>
      <c r="IUI71" s="2936"/>
      <c r="IUJ71" s="2936"/>
      <c r="IUK71" s="2936"/>
      <c r="IUL71" s="2936"/>
      <c r="IUM71" s="2936"/>
      <c r="IUN71" s="2936"/>
      <c r="IUO71" s="2936"/>
      <c r="IUP71" s="2936"/>
      <c r="IUQ71" s="2936"/>
      <c r="IUR71" s="2936"/>
      <c r="IUS71" s="2936"/>
      <c r="IUT71" s="2936"/>
      <c r="IUU71" s="2936"/>
      <c r="IUV71" s="2936"/>
      <c r="IUW71" s="2936"/>
      <c r="IUX71" s="2936"/>
      <c r="IUY71" s="2936"/>
      <c r="IUZ71" s="2936"/>
      <c r="IVA71" s="2936"/>
      <c r="IVB71" s="2936"/>
      <c r="IVC71" s="2936"/>
      <c r="IVD71" s="2936"/>
      <c r="IVE71" s="2936"/>
      <c r="IVF71" s="2936"/>
      <c r="IVG71" s="2936"/>
      <c r="IVH71" s="2936"/>
      <c r="IVI71" s="2936"/>
      <c r="IVJ71" s="2936"/>
      <c r="IVK71" s="2936"/>
      <c r="IVL71" s="2936"/>
      <c r="IVM71" s="2936"/>
      <c r="IVN71" s="2936"/>
      <c r="IVO71" s="2936"/>
      <c r="IVP71" s="2936"/>
      <c r="IVQ71" s="2936"/>
      <c r="IVR71" s="2936"/>
      <c r="IVS71" s="2936"/>
      <c r="IVT71" s="2936"/>
      <c r="IVU71" s="2936"/>
      <c r="IVV71" s="2936"/>
      <c r="IVW71" s="2936"/>
      <c r="IVX71" s="2936"/>
      <c r="IVY71" s="2936"/>
      <c r="IVZ71" s="2936"/>
      <c r="IWA71" s="2936"/>
      <c r="IWB71" s="2936"/>
      <c r="IWC71" s="2936"/>
      <c r="IWD71" s="2936"/>
      <c r="IWE71" s="2936"/>
      <c r="IWF71" s="2936"/>
      <c r="IWG71" s="2936"/>
      <c r="IWH71" s="2936"/>
      <c r="IWI71" s="2936"/>
      <c r="IWJ71" s="2936"/>
      <c r="IWK71" s="2936"/>
      <c r="IWL71" s="2936"/>
      <c r="IWM71" s="2936"/>
      <c r="IWN71" s="2936"/>
      <c r="IWO71" s="2936"/>
      <c r="IWP71" s="2936"/>
      <c r="IWQ71" s="2936"/>
      <c r="IWR71" s="2936"/>
      <c r="IWS71" s="2936"/>
      <c r="IWT71" s="2936"/>
      <c r="IWU71" s="2936"/>
      <c r="IWV71" s="2936"/>
      <c r="IWW71" s="2936"/>
      <c r="IWX71" s="2936"/>
      <c r="IWY71" s="2936"/>
      <c r="IWZ71" s="2936"/>
      <c r="IXA71" s="2936"/>
      <c r="IXB71" s="2936"/>
      <c r="IXC71" s="2936"/>
      <c r="IXD71" s="2936"/>
      <c r="IXE71" s="2936"/>
      <c r="IXF71" s="2936"/>
      <c r="IXG71" s="2936"/>
      <c r="IXH71" s="2936"/>
      <c r="IXI71" s="2936"/>
      <c r="IXJ71" s="2936"/>
      <c r="IXK71" s="2936"/>
      <c r="IXL71" s="2936"/>
      <c r="IXM71" s="2936"/>
      <c r="IXN71" s="2936"/>
      <c r="IXO71" s="2936"/>
      <c r="IXP71" s="2936"/>
      <c r="IXQ71" s="2936"/>
      <c r="IXR71" s="2936"/>
      <c r="IXS71" s="2936"/>
      <c r="IXT71" s="2936"/>
      <c r="IXU71" s="2936"/>
      <c r="IXV71" s="2936"/>
      <c r="IXW71" s="2936"/>
      <c r="IXX71" s="2936"/>
      <c r="IXY71" s="2936"/>
      <c r="IXZ71" s="2936"/>
      <c r="IYA71" s="2936"/>
      <c r="IYB71" s="2936"/>
      <c r="IYC71" s="2936"/>
      <c r="IYD71" s="2936"/>
      <c r="IYE71" s="2936"/>
      <c r="IYF71" s="2936"/>
      <c r="IYG71" s="2936"/>
      <c r="IYH71" s="2936"/>
      <c r="IYI71" s="2936"/>
      <c r="IYJ71" s="2936"/>
      <c r="IYK71" s="2936"/>
      <c r="IYL71" s="2936"/>
      <c r="IYM71" s="2936"/>
      <c r="IYN71" s="2936"/>
      <c r="IYO71" s="2936"/>
      <c r="IYP71" s="2936"/>
      <c r="IYQ71" s="2936"/>
      <c r="IYR71" s="2936"/>
      <c r="IYS71" s="2936"/>
      <c r="IYT71" s="2936"/>
      <c r="IYU71" s="2936"/>
      <c r="IYV71" s="2936"/>
      <c r="IYW71" s="2936"/>
      <c r="IYX71" s="2936"/>
      <c r="IYY71" s="2936"/>
      <c r="IYZ71" s="2936"/>
      <c r="IZA71" s="2936"/>
      <c r="IZB71" s="2936"/>
      <c r="IZC71" s="2936"/>
      <c r="IZD71" s="2936"/>
      <c r="IZE71" s="2936"/>
      <c r="IZF71" s="2936"/>
      <c r="IZG71" s="2936"/>
      <c r="IZH71" s="2936"/>
      <c r="IZI71" s="2936"/>
      <c r="IZJ71" s="2936"/>
      <c r="IZK71" s="2936"/>
      <c r="IZL71" s="2936"/>
      <c r="IZM71" s="2936"/>
      <c r="IZN71" s="2936"/>
      <c r="IZO71" s="2936"/>
      <c r="IZP71" s="2936"/>
      <c r="IZQ71" s="2936"/>
      <c r="IZR71" s="2936"/>
      <c r="IZS71" s="2936"/>
      <c r="IZT71" s="2936"/>
      <c r="IZU71" s="2936"/>
      <c r="IZV71" s="2936"/>
      <c r="IZW71" s="2936"/>
      <c r="IZX71" s="2936"/>
      <c r="IZY71" s="2936"/>
      <c r="IZZ71" s="2936"/>
      <c r="JAA71" s="2936"/>
      <c r="JAB71" s="2936"/>
      <c r="JAC71" s="2936"/>
      <c r="JAD71" s="2936"/>
      <c r="JAE71" s="2936"/>
      <c r="JAF71" s="2936"/>
      <c r="JAG71" s="2936"/>
      <c r="JAH71" s="2936"/>
      <c r="JAI71" s="2936"/>
      <c r="JAJ71" s="2936"/>
      <c r="JAK71" s="2936"/>
      <c r="JAL71" s="2936"/>
      <c r="JAM71" s="2936"/>
      <c r="JAN71" s="2936"/>
      <c r="JAO71" s="2936"/>
      <c r="JAP71" s="2936"/>
      <c r="JAQ71" s="2936"/>
      <c r="JAR71" s="2936"/>
      <c r="JAS71" s="2936"/>
      <c r="JAT71" s="2936"/>
      <c r="JAU71" s="2936"/>
      <c r="JAV71" s="2936"/>
      <c r="JAW71" s="2936"/>
      <c r="JAX71" s="2936"/>
      <c r="JAY71" s="2936"/>
      <c r="JAZ71" s="2936"/>
      <c r="JBA71" s="2936"/>
      <c r="JBB71" s="2936"/>
      <c r="JBC71" s="2936"/>
      <c r="JBD71" s="2936"/>
      <c r="JBE71" s="2936"/>
      <c r="JBF71" s="2936"/>
      <c r="JBG71" s="2936"/>
      <c r="JBH71" s="2936"/>
      <c r="JBI71" s="2936"/>
      <c r="JBJ71" s="2936"/>
      <c r="JBK71" s="2936"/>
      <c r="JBL71" s="2936"/>
      <c r="JBM71" s="2936"/>
      <c r="JBN71" s="2936"/>
      <c r="JBO71" s="2936"/>
      <c r="JBP71" s="2936"/>
      <c r="JBQ71" s="2936"/>
      <c r="JBR71" s="2936"/>
      <c r="JBS71" s="2936"/>
      <c r="JBT71" s="2936"/>
      <c r="JBU71" s="2936"/>
      <c r="JBV71" s="2936"/>
      <c r="JBW71" s="2936"/>
      <c r="JBX71" s="2936"/>
      <c r="JBY71" s="2936"/>
      <c r="JBZ71" s="2936"/>
      <c r="JCA71" s="2936"/>
      <c r="JCB71" s="2936"/>
      <c r="JCC71" s="2936"/>
      <c r="JCD71" s="2936"/>
      <c r="JCE71" s="2936"/>
      <c r="JCF71" s="2936"/>
      <c r="JCG71" s="2936"/>
      <c r="JCH71" s="2936"/>
      <c r="JCI71" s="2936"/>
      <c r="JCJ71" s="2936"/>
      <c r="JCK71" s="2936"/>
      <c r="JCL71" s="2936"/>
      <c r="JCM71" s="2936"/>
      <c r="JCN71" s="2936"/>
      <c r="JCO71" s="2936"/>
      <c r="JCP71" s="2936"/>
      <c r="JCQ71" s="2936"/>
      <c r="JCR71" s="2936"/>
      <c r="JCS71" s="2936"/>
      <c r="JCT71" s="2936"/>
      <c r="JCU71" s="2936"/>
      <c r="JCV71" s="2936"/>
      <c r="JCW71" s="2936"/>
      <c r="JCX71" s="2936"/>
      <c r="JCY71" s="2936"/>
      <c r="JCZ71" s="2936"/>
      <c r="JDA71" s="2936"/>
      <c r="JDB71" s="2936"/>
      <c r="JDC71" s="2936"/>
      <c r="JDD71" s="2936"/>
      <c r="JDE71" s="2936"/>
      <c r="JDF71" s="2936"/>
      <c r="JDG71" s="2936"/>
      <c r="JDH71" s="2936"/>
      <c r="JDI71" s="2936"/>
      <c r="JDJ71" s="2936"/>
      <c r="JDK71" s="2936"/>
      <c r="JDL71" s="2936"/>
      <c r="JDM71" s="2936"/>
      <c r="JDN71" s="2936"/>
      <c r="JDO71" s="2936"/>
      <c r="JDP71" s="2936"/>
      <c r="JDQ71" s="2936"/>
      <c r="JDR71" s="2936"/>
      <c r="JDS71" s="2936"/>
      <c r="JDT71" s="2936"/>
      <c r="JDU71" s="2936"/>
      <c r="JDV71" s="2936"/>
      <c r="JDW71" s="2936"/>
      <c r="JDX71" s="2936"/>
      <c r="JDY71" s="2936"/>
      <c r="JDZ71" s="2936"/>
      <c r="JEA71" s="2936"/>
      <c r="JEB71" s="2936"/>
      <c r="JEC71" s="2936"/>
      <c r="JED71" s="2936"/>
      <c r="JEE71" s="2936"/>
      <c r="JEF71" s="2936"/>
      <c r="JEG71" s="2936"/>
      <c r="JEH71" s="2936"/>
      <c r="JEI71" s="2936"/>
      <c r="JEJ71" s="2936"/>
      <c r="JEK71" s="2936"/>
      <c r="JEL71" s="2936"/>
      <c r="JEM71" s="2936"/>
      <c r="JEN71" s="2936"/>
      <c r="JEO71" s="2936"/>
      <c r="JEP71" s="2936"/>
      <c r="JEQ71" s="2936"/>
      <c r="JER71" s="2936"/>
      <c r="JES71" s="2936"/>
      <c r="JET71" s="2936"/>
      <c r="JEU71" s="2936"/>
      <c r="JEV71" s="2936"/>
      <c r="JEW71" s="2936"/>
      <c r="JEX71" s="2936"/>
      <c r="JEY71" s="2936"/>
      <c r="JEZ71" s="2936"/>
      <c r="JFA71" s="2936"/>
      <c r="JFB71" s="2936"/>
      <c r="JFC71" s="2936"/>
      <c r="JFD71" s="2936"/>
      <c r="JFE71" s="2936"/>
      <c r="JFF71" s="2936"/>
      <c r="JFG71" s="2936"/>
      <c r="JFH71" s="2936"/>
      <c r="JFI71" s="2936"/>
      <c r="JFJ71" s="2936"/>
      <c r="JFK71" s="2936"/>
      <c r="JFL71" s="2936"/>
      <c r="JFM71" s="2936"/>
      <c r="JFN71" s="2936"/>
      <c r="JFO71" s="2936"/>
      <c r="JFP71" s="2936"/>
      <c r="JFQ71" s="2936"/>
      <c r="JFR71" s="2936"/>
      <c r="JFS71" s="2936"/>
      <c r="JFT71" s="2936"/>
      <c r="JFU71" s="2936"/>
      <c r="JFV71" s="2936"/>
      <c r="JFW71" s="2936"/>
      <c r="JFX71" s="2936"/>
      <c r="JFY71" s="2936"/>
      <c r="JFZ71" s="2936"/>
      <c r="JGA71" s="2936"/>
      <c r="JGB71" s="2936"/>
      <c r="JGC71" s="2936"/>
      <c r="JGD71" s="2936"/>
      <c r="JGE71" s="2936"/>
      <c r="JGF71" s="2936"/>
      <c r="JGG71" s="2936"/>
      <c r="JGH71" s="2936"/>
      <c r="JGI71" s="2936"/>
      <c r="JGJ71" s="2936"/>
      <c r="JGK71" s="2936"/>
      <c r="JGL71" s="2936"/>
      <c r="JGM71" s="2936"/>
      <c r="JGN71" s="2936"/>
      <c r="JGO71" s="2936"/>
      <c r="JGP71" s="2936"/>
      <c r="JGQ71" s="2936"/>
      <c r="JGR71" s="2936"/>
      <c r="JGS71" s="2936"/>
      <c r="JGT71" s="2936"/>
      <c r="JGU71" s="2936"/>
      <c r="JGV71" s="2936"/>
      <c r="JGW71" s="2936"/>
      <c r="JGX71" s="2936"/>
      <c r="JGY71" s="2936"/>
      <c r="JGZ71" s="2936"/>
      <c r="JHA71" s="2936"/>
      <c r="JHB71" s="2936"/>
      <c r="JHC71" s="2936"/>
      <c r="JHD71" s="2936"/>
      <c r="JHE71" s="2936"/>
      <c r="JHF71" s="2936"/>
      <c r="JHG71" s="2936"/>
      <c r="JHH71" s="2936"/>
      <c r="JHI71" s="2936"/>
      <c r="JHJ71" s="2936"/>
      <c r="JHK71" s="2936"/>
      <c r="JHL71" s="2936"/>
      <c r="JHM71" s="2936"/>
      <c r="JHN71" s="2936"/>
      <c r="JHO71" s="2936"/>
      <c r="JHP71" s="2936"/>
      <c r="JHQ71" s="2936"/>
      <c r="JHR71" s="2936"/>
      <c r="JHS71" s="2936"/>
      <c r="JHT71" s="2936"/>
      <c r="JHU71" s="2936"/>
      <c r="JHV71" s="2936"/>
      <c r="JHW71" s="2936"/>
      <c r="JHX71" s="2936"/>
      <c r="JHY71" s="2936"/>
      <c r="JHZ71" s="2936"/>
      <c r="JIA71" s="2936"/>
      <c r="JIB71" s="2936"/>
      <c r="JIC71" s="2936"/>
      <c r="JID71" s="2936"/>
      <c r="JIE71" s="2936"/>
      <c r="JIF71" s="2936"/>
      <c r="JIG71" s="2936"/>
      <c r="JIH71" s="2936"/>
      <c r="JII71" s="2936"/>
      <c r="JIJ71" s="2936"/>
      <c r="JIK71" s="2936"/>
      <c r="JIL71" s="2936"/>
      <c r="JIM71" s="2936"/>
      <c r="JIN71" s="2936"/>
      <c r="JIO71" s="2936"/>
      <c r="JIP71" s="2936"/>
      <c r="JIQ71" s="2936"/>
      <c r="JIR71" s="2936"/>
      <c r="JIS71" s="2936"/>
      <c r="JIT71" s="2936"/>
      <c r="JIU71" s="2936"/>
      <c r="JIV71" s="2936"/>
      <c r="JIW71" s="2936"/>
      <c r="JIX71" s="2936"/>
      <c r="JIY71" s="2936"/>
      <c r="JIZ71" s="2936"/>
      <c r="JJA71" s="2936"/>
      <c r="JJB71" s="2936"/>
      <c r="JJC71" s="2936"/>
      <c r="JJD71" s="2936"/>
      <c r="JJE71" s="2936"/>
      <c r="JJF71" s="2936"/>
      <c r="JJG71" s="2936"/>
      <c r="JJH71" s="2936"/>
      <c r="JJI71" s="2936"/>
      <c r="JJJ71" s="2936"/>
      <c r="JJK71" s="2936"/>
      <c r="JJL71" s="2936"/>
      <c r="JJM71" s="2936"/>
      <c r="JJN71" s="2936"/>
      <c r="JJO71" s="2936"/>
      <c r="JJP71" s="2936"/>
      <c r="JJQ71" s="2936"/>
      <c r="JJR71" s="2936"/>
      <c r="JJS71" s="2936"/>
      <c r="JJT71" s="2936"/>
      <c r="JJU71" s="2936"/>
      <c r="JJV71" s="2936"/>
      <c r="JJW71" s="2936"/>
      <c r="JJX71" s="2936"/>
      <c r="JJY71" s="2936"/>
      <c r="JJZ71" s="2936"/>
      <c r="JKA71" s="2936"/>
      <c r="JKB71" s="2936"/>
      <c r="JKC71" s="2936"/>
      <c r="JKD71" s="2936"/>
      <c r="JKE71" s="2936"/>
      <c r="JKF71" s="2936"/>
      <c r="JKG71" s="2936"/>
      <c r="JKH71" s="2936"/>
      <c r="JKI71" s="2936"/>
      <c r="JKJ71" s="2936"/>
      <c r="JKK71" s="2936"/>
      <c r="JKL71" s="2936"/>
      <c r="JKM71" s="2936"/>
      <c r="JKN71" s="2936"/>
      <c r="JKO71" s="2936"/>
      <c r="JKP71" s="2936"/>
      <c r="JKQ71" s="2936"/>
      <c r="JKR71" s="2936"/>
      <c r="JKS71" s="2936"/>
      <c r="JKT71" s="2936"/>
      <c r="JKU71" s="2936"/>
      <c r="JKV71" s="2936"/>
      <c r="JKW71" s="2936"/>
      <c r="JKX71" s="2936"/>
      <c r="JKY71" s="2936"/>
      <c r="JKZ71" s="2936"/>
      <c r="JLA71" s="2936"/>
      <c r="JLB71" s="2936"/>
      <c r="JLC71" s="2936"/>
      <c r="JLD71" s="2936"/>
      <c r="JLE71" s="2936"/>
      <c r="JLF71" s="2936"/>
      <c r="JLG71" s="2936"/>
      <c r="JLH71" s="2936"/>
      <c r="JLI71" s="2936"/>
      <c r="JLJ71" s="2936"/>
      <c r="JLK71" s="2936"/>
      <c r="JLL71" s="2936"/>
      <c r="JLM71" s="2936"/>
      <c r="JLN71" s="2936"/>
      <c r="JLO71" s="2936"/>
      <c r="JLP71" s="2936"/>
      <c r="JLQ71" s="2936"/>
      <c r="JLR71" s="2936"/>
      <c r="JLS71" s="2936"/>
      <c r="JLT71" s="2936"/>
      <c r="JLU71" s="2936"/>
      <c r="JLV71" s="2936"/>
      <c r="JLW71" s="2936"/>
      <c r="JLX71" s="2936"/>
      <c r="JLY71" s="2936"/>
      <c r="JLZ71" s="2936"/>
      <c r="JMA71" s="2936"/>
      <c r="JMB71" s="2936"/>
      <c r="JMC71" s="2936"/>
      <c r="JMD71" s="2936"/>
      <c r="JME71" s="2936"/>
      <c r="JMF71" s="2936"/>
      <c r="JMG71" s="2936"/>
      <c r="JMH71" s="2936"/>
      <c r="JMI71" s="2936"/>
      <c r="JMJ71" s="2936"/>
      <c r="JMK71" s="2936"/>
      <c r="JML71" s="2936"/>
      <c r="JMM71" s="2936"/>
      <c r="JMN71" s="2936"/>
      <c r="JMO71" s="2936"/>
      <c r="JMP71" s="2936"/>
      <c r="JMQ71" s="2936"/>
      <c r="JMR71" s="2936"/>
      <c r="JMS71" s="2936"/>
      <c r="JMT71" s="2936"/>
      <c r="JMU71" s="2936"/>
      <c r="JMV71" s="2936"/>
      <c r="JMW71" s="2936"/>
      <c r="JMX71" s="2936"/>
      <c r="JMY71" s="2936"/>
      <c r="JMZ71" s="2936"/>
      <c r="JNA71" s="2936"/>
      <c r="JNB71" s="2936"/>
      <c r="JNC71" s="2936"/>
      <c r="JND71" s="2936"/>
      <c r="JNE71" s="2936"/>
      <c r="JNF71" s="2936"/>
      <c r="JNG71" s="2936"/>
      <c r="JNH71" s="2936"/>
      <c r="JNI71" s="2936"/>
      <c r="JNJ71" s="2936"/>
      <c r="JNK71" s="2936"/>
      <c r="JNL71" s="2936"/>
      <c r="JNM71" s="2936"/>
      <c r="JNN71" s="2936"/>
      <c r="JNO71" s="2936"/>
      <c r="JNP71" s="2936"/>
      <c r="JNQ71" s="2936"/>
      <c r="JNR71" s="2936"/>
      <c r="JNS71" s="2936"/>
      <c r="JNT71" s="2936"/>
      <c r="JNU71" s="2936"/>
      <c r="JNV71" s="2936"/>
      <c r="JNW71" s="2936"/>
      <c r="JNX71" s="2936"/>
      <c r="JNY71" s="2936"/>
      <c r="JNZ71" s="2936"/>
      <c r="JOA71" s="2936"/>
      <c r="JOB71" s="2936"/>
      <c r="JOC71" s="2936"/>
      <c r="JOD71" s="2936"/>
      <c r="JOE71" s="2936"/>
      <c r="JOF71" s="2936"/>
      <c r="JOG71" s="2936"/>
      <c r="JOH71" s="2936"/>
      <c r="JOI71" s="2936"/>
      <c r="JOJ71" s="2936"/>
      <c r="JOK71" s="2936"/>
      <c r="JOL71" s="2936"/>
      <c r="JOM71" s="2936"/>
      <c r="JON71" s="2936"/>
      <c r="JOO71" s="2936"/>
      <c r="JOP71" s="2936"/>
      <c r="JOQ71" s="2936"/>
      <c r="JOR71" s="2936"/>
      <c r="JOS71" s="2936"/>
      <c r="JOT71" s="2936"/>
      <c r="JOU71" s="2936"/>
      <c r="JOV71" s="2936"/>
      <c r="JOW71" s="2936"/>
      <c r="JOX71" s="2936"/>
      <c r="JOY71" s="2936"/>
      <c r="JOZ71" s="2936"/>
      <c r="JPA71" s="2936"/>
      <c r="JPB71" s="2936"/>
      <c r="JPC71" s="2936"/>
      <c r="JPD71" s="2936"/>
      <c r="JPE71" s="2936"/>
      <c r="JPF71" s="2936"/>
      <c r="JPG71" s="2936"/>
      <c r="JPH71" s="2936"/>
      <c r="JPI71" s="2936"/>
      <c r="JPJ71" s="2936"/>
      <c r="JPK71" s="2936"/>
      <c r="JPL71" s="2936"/>
      <c r="JPM71" s="2936"/>
      <c r="JPN71" s="2936"/>
      <c r="JPO71" s="2936"/>
      <c r="JPP71" s="2936"/>
      <c r="JPQ71" s="2936"/>
      <c r="JPR71" s="2936"/>
      <c r="JPS71" s="2936"/>
      <c r="JPT71" s="2936"/>
      <c r="JPU71" s="2936"/>
      <c r="JPV71" s="2936"/>
      <c r="JPW71" s="2936"/>
      <c r="JPX71" s="2936"/>
      <c r="JPY71" s="2936"/>
      <c r="JPZ71" s="2936"/>
      <c r="JQA71" s="2936"/>
      <c r="JQB71" s="2936"/>
      <c r="JQC71" s="2936"/>
      <c r="JQD71" s="2936"/>
      <c r="JQE71" s="2936"/>
      <c r="JQF71" s="2936"/>
      <c r="JQG71" s="2936"/>
      <c r="JQH71" s="2936"/>
      <c r="JQI71" s="2936"/>
      <c r="JQJ71" s="2936"/>
      <c r="JQK71" s="2936"/>
      <c r="JQL71" s="2936"/>
      <c r="JQM71" s="2936"/>
      <c r="JQN71" s="2936"/>
      <c r="JQO71" s="2936"/>
      <c r="JQP71" s="2936"/>
      <c r="JQQ71" s="2936"/>
      <c r="JQR71" s="2936"/>
      <c r="JQS71" s="2936"/>
      <c r="JQT71" s="2936"/>
      <c r="JQU71" s="2936"/>
      <c r="JQV71" s="2936"/>
      <c r="JQW71" s="2936"/>
      <c r="JQX71" s="2936"/>
      <c r="JQY71" s="2936"/>
      <c r="JQZ71" s="2936"/>
      <c r="JRA71" s="2936"/>
      <c r="JRB71" s="2936"/>
      <c r="JRC71" s="2936"/>
      <c r="JRD71" s="2936"/>
      <c r="JRE71" s="2936"/>
      <c r="JRF71" s="2936"/>
      <c r="JRG71" s="2936"/>
      <c r="JRH71" s="2936"/>
      <c r="JRI71" s="2936"/>
      <c r="JRJ71" s="2936"/>
      <c r="JRK71" s="2936"/>
      <c r="JRL71" s="2936"/>
      <c r="JRM71" s="2936"/>
      <c r="JRN71" s="2936"/>
      <c r="JRO71" s="2936"/>
      <c r="JRP71" s="2936"/>
      <c r="JRQ71" s="2936"/>
      <c r="JRR71" s="2936"/>
      <c r="JRS71" s="2936"/>
      <c r="JRT71" s="2936"/>
      <c r="JRU71" s="2936"/>
      <c r="JRV71" s="2936"/>
      <c r="JRW71" s="2936"/>
      <c r="JRX71" s="2936"/>
      <c r="JRY71" s="2936"/>
      <c r="JRZ71" s="2936"/>
      <c r="JSA71" s="2936"/>
      <c r="JSB71" s="2936"/>
      <c r="JSC71" s="2936"/>
      <c r="JSD71" s="2936"/>
      <c r="JSE71" s="2936"/>
      <c r="JSF71" s="2936"/>
      <c r="JSG71" s="2936"/>
      <c r="JSH71" s="2936"/>
      <c r="JSI71" s="2936"/>
      <c r="JSJ71" s="2936"/>
      <c r="JSK71" s="2936"/>
      <c r="JSL71" s="2936"/>
      <c r="JSM71" s="2936"/>
      <c r="JSN71" s="2936"/>
      <c r="JSO71" s="2936"/>
      <c r="JSP71" s="2936"/>
      <c r="JSQ71" s="2936"/>
      <c r="JSR71" s="2936"/>
      <c r="JSS71" s="2936"/>
      <c r="JST71" s="2936"/>
      <c r="JSU71" s="2936"/>
      <c r="JSV71" s="2936"/>
      <c r="JSW71" s="2936"/>
      <c r="JSX71" s="2936"/>
      <c r="JSY71" s="2936"/>
      <c r="JSZ71" s="2936"/>
      <c r="JTA71" s="2936"/>
      <c r="JTB71" s="2936"/>
      <c r="JTC71" s="2936"/>
      <c r="JTD71" s="2936"/>
      <c r="JTE71" s="2936"/>
      <c r="JTF71" s="2936"/>
      <c r="JTG71" s="2936"/>
      <c r="JTH71" s="2936"/>
      <c r="JTI71" s="2936"/>
      <c r="JTJ71" s="2936"/>
      <c r="JTK71" s="2936"/>
      <c r="JTL71" s="2936"/>
      <c r="JTM71" s="2936"/>
      <c r="JTN71" s="2936"/>
      <c r="JTO71" s="2936"/>
      <c r="JTP71" s="2936"/>
      <c r="JTQ71" s="2936"/>
      <c r="JTR71" s="2936"/>
      <c r="JTS71" s="2936"/>
      <c r="JTT71" s="2936"/>
      <c r="JTU71" s="2936"/>
      <c r="JTV71" s="2936"/>
      <c r="JTW71" s="2936"/>
      <c r="JTX71" s="2936"/>
      <c r="JTY71" s="2936"/>
      <c r="JTZ71" s="2936"/>
      <c r="JUA71" s="2936"/>
      <c r="JUB71" s="2936"/>
      <c r="JUC71" s="2936"/>
      <c r="JUD71" s="2936"/>
      <c r="JUE71" s="2936"/>
      <c r="JUF71" s="2936"/>
      <c r="JUG71" s="2936"/>
      <c r="JUH71" s="2936"/>
      <c r="JUI71" s="2936"/>
      <c r="JUJ71" s="2936"/>
      <c r="JUK71" s="2936"/>
      <c r="JUL71" s="2936"/>
      <c r="JUM71" s="2936"/>
      <c r="JUN71" s="2936"/>
      <c r="JUO71" s="2936"/>
      <c r="JUP71" s="2936"/>
      <c r="JUQ71" s="2936"/>
      <c r="JUR71" s="2936"/>
      <c r="JUS71" s="2936"/>
      <c r="JUT71" s="2936"/>
      <c r="JUU71" s="2936"/>
      <c r="JUV71" s="2936"/>
      <c r="JUW71" s="2936"/>
      <c r="JUX71" s="2936"/>
      <c r="JUY71" s="2936"/>
      <c r="JUZ71" s="2936"/>
      <c r="JVA71" s="2936"/>
      <c r="JVB71" s="2936"/>
      <c r="JVC71" s="2936"/>
      <c r="JVD71" s="2936"/>
      <c r="JVE71" s="2936"/>
      <c r="JVF71" s="2936"/>
      <c r="JVG71" s="2936"/>
      <c r="JVH71" s="2936"/>
      <c r="JVI71" s="2936"/>
      <c r="JVJ71" s="2936"/>
      <c r="JVK71" s="2936"/>
      <c r="JVL71" s="2936"/>
      <c r="JVM71" s="2936"/>
      <c r="JVN71" s="2936"/>
      <c r="JVO71" s="2936"/>
      <c r="JVP71" s="2936"/>
      <c r="JVQ71" s="2936"/>
      <c r="JVR71" s="2936"/>
      <c r="JVS71" s="2936"/>
      <c r="JVT71" s="2936"/>
      <c r="JVU71" s="2936"/>
      <c r="JVV71" s="2936"/>
      <c r="JVW71" s="2936"/>
      <c r="JVX71" s="2936"/>
      <c r="JVY71" s="2936"/>
      <c r="JVZ71" s="2936"/>
      <c r="JWA71" s="2936"/>
      <c r="JWB71" s="2936"/>
      <c r="JWC71" s="2936"/>
      <c r="JWD71" s="2936"/>
      <c r="JWE71" s="2936"/>
      <c r="JWF71" s="2936"/>
      <c r="JWG71" s="2936"/>
      <c r="JWH71" s="2936"/>
      <c r="JWI71" s="2936"/>
      <c r="JWJ71" s="2936"/>
      <c r="JWK71" s="2936"/>
      <c r="JWL71" s="2936"/>
      <c r="JWM71" s="2936"/>
      <c r="JWN71" s="2936"/>
      <c r="JWO71" s="2936"/>
      <c r="JWP71" s="2936"/>
      <c r="JWQ71" s="2936"/>
      <c r="JWR71" s="2936"/>
      <c r="JWS71" s="2936"/>
      <c r="JWT71" s="2936"/>
      <c r="JWU71" s="2936"/>
      <c r="JWV71" s="2936"/>
      <c r="JWW71" s="2936"/>
      <c r="JWX71" s="2936"/>
      <c r="JWY71" s="2936"/>
      <c r="JWZ71" s="2936"/>
      <c r="JXA71" s="2936"/>
      <c r="JXB71" s="2936"/>
      <c r="JXC71" s="2936"/>
      <c r="JXD71" s="2936"/>
      <c r="JXE71" s="2936"/>
      <c r="JXF71" s="2936"/>
      <c r="JXG71" s="2936"/>
      <c r="JXH71" s="2936"/>
      <c r="JXI71" s="2936"/>
      <c r="JXJ71" s="2936"/>
      <c r="JXK71" s="2936"/>
      <c r="JXL71" s="2936"/>
      <c r="JXM71" s="2936"/>
      <c r="JXN71" s="2936"/>
      <c r="JXO71" s="2936"/>
      <c r="JXP71" s="2936"/>
      <c r="JXQ71" s="2936"/>
      <c r="JXR71" s="2936"/>
      <c r="JXS71" s="2936"/>
      <c r="JXT71" s="2936"/>
      <c r="JXU71" s="2936"/>
      <c r="JXV71" s="2936"/>
      <c r="JXW71" s="2936"/>
      <c r="JXX71" s="2936"/>
      <c r="JXY71" s="2936"/>
      <c r="JXZ71" s="2936"/>
      <c r="JYA71" s="2936"/>
      <c r="JYB71" s="2936"/>
      <c r="JYC71" s="2936"/>
      <c r="JYD71" s="2936"/>
      <c r="JYE71" s="2936"/>
      <c r="JYF71" s="2936"/>
      <c r="JYG71" s="2936"/>
      <c r="JYH71" s="2936"/>
      <c r="JYI71" s="2936"/>
      <c r="JYJ71" s="2936"/>
      <c r="JYK71" s="2936"/>
      <c r="JYL71" s="2936"/>
      <c r="JYM71" s="2936"/>
      <c r="JYN71" s="2936"/>
      <c r="JYO71" s="2936"/>
      <c r="JYP71" s="2936"/>
      <c r="JYQ71" s="2936"/>
      <c r="JYR71" s="2936"/>
      <c r="JYS71" s="2936"/>
      <c r="JYT71" s="2936"/>
      <c r="JYU71" s="2936"/>
      <c r="JYV71" s="2936"/>
      <c r="JYW71" s="2936"/>
      <c r="JYX71" s="2936"/>
      <c r="JYY71" s="2936"/>
      <c r="JYZ71" s="2936"/>
      <c r="JZA71" s="2936"/>
      <c r="JZB71" s="2936"/>
      <c r="JZC71" s="2936"/>
      <c r="JZD71" s="2936"/>
      <c r="JZE71" s="2936"/>
      <c r="JZF71" s="2936"/>
      <c r="JZG71" s="2936"/>
      <c r="JZH71" s="2936"/>
      <c r="JZI71" s="2936"/>
      <c r="JZJ71" s="2936"/>
      <c r="JZK71" s="2936"/>
      <c r="JZL71" s="2936"/>
      <c r="JZM71" s="2936"/>
      <c r="JZN71" s="2936"/>
      <c r="JZO71" s="2936"/>
      <c r="JZP71" s="2936"/>
      <c r="JZQ71" s="2936"/>
      <c r="JZR71" s="2936"/>
      <c r="JZS71" s="2936"/>
      <c r="JZT71" s="2936"/>
      <c r="JZU71" s="2936"/>
      <c r="JZV71" s="2936"/>
      <c r="JZW71" s="2936"/>
      <c r="JZX71" s="2936"/>
      <c r="JZY71" s="2936"/>
      <c r="JZZ71" s="2936"/>
      <c r="KAA71" s="2936"/>
      <c r="KAB71" s="2936"/>
      <c r="KAC71" s="2936"/>
      <c r="KAD71" s="2936"/>
      <c r="KAE71" s="2936"/>
      <c r="KAF71" s="2936"/>
      <c r="KAG71" s="2936"/>
      <c r="KAH71" s="2936"/>
      <c r="KAI71" s="2936"/>
      <c r="KAJ71" s="2936"/>
      <c r="KAK71" s="2936"/>
      <c r="KAL71" s="2936"/>
      <c r="KAM71" s="2936"/>
      <c r="KAN71" s="2936"/>
      <c r="KAO71" s="2936"/>
      <c r="KAP71" s="2936"/>
      <c r="KAQ71" s="2936"/>
      <c r="KAR71" s="2936"/>
      <c r="KAS71" s="2936"/>
      <c r="KAT71" s="2936"/>
      <c r="KAU71" s="2936"/>
      <c r="KAV71" s="2936"/>
      <c r="KAW71" s="2936"/>
      <c r="KAX71" s="2936"/>
      <c r="KAY71" s="2936"/>
      <c r="KAZ71" s="2936"/>
      <c r="KBA71" s="2936"/>
      <c r="KBB71" s="2936"/>
      <c r="KBC71" s="2936"/>
      <c r="KBD71" s="2936"/>
      <c r="KBE71" s="2936"/>
      <c r="KBF71" s="2936"/>
      <c r="KBG71" s="2936"/>
      <c r="KBH71" s="2936"/>
      <c r="KBI71" s="2936"/>
      <c r="KBJ71" s="2936"/>
      <c r="KBK71" s="2936"/>
      <c r="KBL71" s="2936"/>
      <c r="KBM71" s="2936"/>
      <c r="KBN71" s="2936"/>
      <c r="KBO71" s="2936"/>
      <c r="KBP71" s="2936"/>
      <c r="KBQ71" s="2936"/>
      <c r="KBR71" s="2936"/>
      <c r="KBS71" s="2936"/>
      <c r="KBT71" s="2936"/>
      <c r="KBU71" s="2936"/>
      <c r="KBV71" s="2936"/>
      <c r="KBW71" s="2936"/>
      <c r="KBX71" s="2936"/>
      <c r="KBY71" s="2936"/>
      <c r="KBZ71" s="2936"/>
      <c r="KCA71" s="2936"/>
      <c r="KCB71" s="2936"/>
      <c r="KCC71" s="2936"/>
      <c r="KCD71" s="2936"/>
      <c r="KCE71" s="2936"/>
      <c r="KCF71" s="2936"/>
      <c r="KCG71" s="2936"/>
      <c r="KCH71" s="2936"/>
      <c r="KCI71" s="2936"/>
      <c r="KCJ71" s="2936"/>
      <c r="KCK71" s="2936"/>
      <c r="KCL71" s="2936"/>
      <c r="KCM71" s="2936"/>
      <c r="KCN71" s="2936"/>
      <c r="KCO71" s="2936"/>
      <c r="KCP71" s="2936"/>
      <c r="KCQ71" s="2936"/>
      <c r="KCR71" s="2936"/>
      <c r="KCS71" s="2936"/>
      <c r="KCT71" s="2936"/>
      <c r="KCU71" s="2936"/>
      <c r="KCV71" s="2936"/>
      <c r="KCW71" s="2936"/>
      <c r="KCX71" s="2936"/>
      <c r="KCY71" s="2936"/>
      <c r="KCZ71" s="2936"/>
      <c r="KDA71" s="2936"/>
      <c r="KDB71" s="2936"/>
      <c r="KDC71" s="2936"/>
      <c r="KDD71" s="2936"/>
      <c r="KDE71" s="2936"/>
      <c r="KDF71" s="2936"/>
      <c r="KDG71" s="2936"/>
      <c r="KDH71" s="2936"/>
      <c r="KDI71" s="2936"/>
      <c r="KDJ71" s="2936"/>
      <c r="KDK71" s="2936"/>
      <c r="KDL71" s="2936"/>
      <c r="KDM71" s="2936"/>
      <c r="KDN71" s="2936"/>
      <c r="KDO71" s="2936"/>
      <c r="KDP71" s="2936"/>
      <c r="KDQ71" s="2936"/>
      <c r="KDR71" s="2936"/>
      <c r="KDS71" s="2936"/>
      <c r="KDT71" s="2936"/>
      <c r="KDU71" s="2936"/>
      <c r="KDV71" s="2936"/>
      <c r="KDW71" s="2936"/>
      <c r="KDX71" s="2936"/>
      <c r="KDY71" s="2936"/>
      <c r="KDZ71" s="2936"/>
      <c r="KEA71" s="2936"/>
      <c r="KEB71" s="2936"/>
      <c r="KEC71" s="2936"/>
      <c r="KED71" s="2936"/>
      <c r="KEE71" s="2936"/>
      <c r="KEF71" s="2936"/>
      <c r="KEG71" s="2936"/>
      <c r="KEH71" s="2936"/>
      <c r="KEI71" s="2936"/>
      <c r="KEJ71" s="2936"/>
      <c r="KEK71" s="2936"/>
      <c r="KEL71" s="2936"/>
      <c r="KEM71" s="2936"/>
      <c r="KEN71" s="2936"/>
      <c r="KEO71" s="2936"/>
      <c r="KEP71" s="2936"/>
      <c r="KEQ71" s="2936"/>
      <c r="KER71" s="2936"/>
      <c r="KES71" s="2936"/>
      <c r="KET71" s="2936"/>
      <c r="KEU71" s="2936"/>
      <c r="KEV71" s="2936"/>
      <c r="KEW71" s="2936"/>
      <c r="KEX71" s="2936"/>
      <c r="KEY71" s="2936"/>
      <c r="KEZ71" s="2936"/>
      <c r="KFA71" s="2936"/>
      <c r="KFB71" s="2936"/>
      <c r="KFC71" s="2936"/>
      <c r="KFD71" s="2936"/>
      <c r="KFE71" s="2936"/>
      <c r="KFF71" s="2936"/>
      <c r="KFG71" s="2936"/>
      <c r="KFH71" s="2936"/>
      <c r="KFI71" s="2936"/>
      <c r="KFJ71" s="2936"/>
      <c r="KFK71" s="2936"/>
      <c r="KFL71" s="2936"/>
      <c r="KFM71" s="2936"/>
      <c r="KFN71" s="2936"/>
      <c r="KFO71" s="2936"/>
      <c r="KFP71" s="2936"/>
      <c r="KFQ71" s="2936"/>
      <c r="KFR71" s="2936"/>
      <c r="KFS71" s="2936"/>
      <c r="KFT71" s="2936"/>
      <c r="KFU71" s="2936"/>
      <c r="KFV71" s="2936"/>
      <c r="KFW71" s="2936"/>
      <c r="KFX71" s="2936"/>
      <c r="KFY71" s="2936"/>
      <c r="KFZ71" s="2936"/>
      <c r="KGA71" s="2936"/>
      <c r="KGB71" s="2936"/>
      <c r="KGC71" s="2936"/>
      <c r="KGD71" s="2936"/>
      <c r="KGE71" s="2936"/>
      <c r="KGF71" s="2936"/>
      <c r="KGG71" s="2936"/>
      <c r="KGH71" s="2936"/>
      <c r="KGI71" s="2936"/>
      <c r="KGJ71" s="2936"/>
      <c r="KGK71" s="2936"/>
      <c r="KGL71" s="2936"/>
      <c r="KGM71" s="2936"/>
      <c r="KGN71" s="2936"/>
      <c r="KGO71" s="2936"/>
      <c r="KGP71" s="2936"/>
      <c r="KGQ71" s="2936"/>
      <c r="KGR71" s="2936"/>
      <c r="KGS71" s="2936"/>
      <c r="KGT71" s="2936"/>
      <c r="KGU71" s="2936"/>
      <c r="KGV71" s="2936"/>
      <c r="KGW71" s="2936"/>
      <c r="KGX71" s="2936"/>
      <c r="KGY71" s="2936"/>
      <c r="KGZ71" s="2936"/>
      <c r="KHA71" s="2936"/>
      <c r="KHB71" s="2936"/>
      <c r="KHC71" s="2936"/>
      <c r="KHD71" s="2936"/>
      <c r="KHE71" s="2936"/>
      <c r="KHF71" s="2936"/>
      <c r="KHG71" s="2936"/>
      <c r="KHH71" s="2936"/>
      <c r="KHI71" s="2936"/>
      <c r="KHJ71" s="2936"/>
      <c r="KHK71" s="2936"/>
      <c r="KHL71" s="2936"/>
      <c r="KHM71" s="2936"/>
      <c r="KHN71" s="2936"/>
      <c r="KHO71" s="2936"/>
      <c r="KHP71" s="2936"/>
      <c r="KHQ71" s="2936"/>
      <c r="KHR71" s="2936"/>
      <c r="KHS71" s="2936"/>
      <c r="KHT71" s="2936"/>
      <c r="KHU71" s="2936"/>
      <c r="KHV71" s="2936"/>
      <c r="KHW71" s="2936"/>
      <c r="KHX71" s="2936"/>
      <c r="KHY71" s="2936"/>
      <c r="KHZ71" s="2936"/>
      <c r="KIA71" s="2936"/>
      <c r="KIB71" s="2936"/>
      <c r="KIC71" s="2936"/>
      <c r="KID71" s="2936"/>
      <c r="KIE71" s="2936"/>
      <c r="KIF71" s="2936"/>
      <c r="KIG71" s="2936"/>
      <c r="KIH71" s="2936"/>
      <c r="KII71" s="2936"/>
      <c r="KIJ71" s="2936"/>
      <c r="KIK71" s="2936"/>
      <c r="KIL71" s="2936"/>
      <c r="KIM71" s="2936"/>
      <c r="KIN71" s="2936"/>
      <c r="KIO71" s="2936"/>
      <c r="KIP71" s="2936"/>
      <c r="KIQ71" s="2936"/>
      <c r="KIR71" s="2936"/>
      <c r="KIS71" s="2936"/>
      <c r="KIT71" s="2936"/>
      <c r="KIU71" s="2936"/>
      <c r="KIV71" s="2936"/>
      <c r="KIW71" s="2936"/>
      <c r="KIX71" s="2936"/>
      <c r="KIY71" s="2936"/>
      <c r="KIZ71" s="2936"/>
      <c r="KJA71" s="2936"/>
      <c r="KJB71" s="2936"/>
      <c r="KJC71" s="2936"/>
      <c r="KJD71" s="2936"/>
      <c r="KJE71" s="2936"/>
      <c r="KJF71" s="2936"/>
      <c r="KJG71" s="2936"/>
      <c r="KJH71" s="2936"/>
      <c r="KJI71" s="2936"/>
      <c r="KJJ71" s="2936"/>
      <c r="KJK71" s="2936"/>
      <c r="KJL71" s="2936"/>
      <c r="KJM71" s="2936"/>
      <c r="KJN71" s="2936"/>
      <c r="KJO71" s="2936"/>
      <c r="KJP71" s="2936"/>
      <c r="KJQ71" s="2936"/>
      <c r="KJR71" s="2936"/>
      <c r="KJS71" s="2936"/>
      <c r="KJT71" s="2936"/>
      <c r="KJU71" s="2936"/>
      <c r="KJV71" s="2936"/>
      <c r="KJW71" s="2936"/>
      <c r="KJX71" s="2936"/>
      <c r="KJY71" s="2936"/>
      <c r="KJZ71" s="2936"/>
      <c r="KKA71" s="2936"/>
      <c r="KKB71" s="2936"/>
      <c r="KKC71" s="2936"/>
      <c r="KKD71" s="2936"/>
      <c r="KKE71" s="2936"/>
      <c r="KKF71" s="2936"/>
      <c r="KKG71" s="2936"/>
      <c r="KKH71" s="2936"/>
      <c r="KKI71" s="2936"/>
      <c r="KKJ71" s="2936"/>
      <c r="KKK71" s="2936"/>
      <c r="KKL71" s="2936"/>
      <c r="KKM71" s="2936"/>
      <c r="KKN71" s="2936"/>
      <c r="KKO71" s="2936"/>
      <c r="KKP71" s="2936"/>
      <c r="KKQ71" s="2936"/>
      <c r="KKR71" s="2936"/>
      <c r="KKS71" s="2936"/>
      <c r="KKT71" s="2936"/>
      <c r="KKU71" s="2936"/>
      <c r="KKV71" s="2936"/>
      <c r="KKW71" s="2936"/>
      <c r="KKX71" s="2936"/>
      <c r="KKY71" s="2936"/>
      <c r="KKZ71" s="2936"/>
      <c r="KLA71" s="2936"/>
      <c r="KLB71" s="2936"/>
      <c r="KLC71" s="2936"/>
      <c r="KLD71" s="2936"/>
      <c r="KLE71" s="2936"/>
      <c r="KLF71" s="2936"/>
      <c r="KLG71" s="2936"/>
      <c r="KLH71" s="2936"/>
      <c r="KLI71" s="2936"/>
      <c r="KLJ71" s="2936"/>
      <c r="KLK71" s="2936"/>
      <c r="KLL71" s="2936"/>
      <c r="KLM71" s="2936"/>
      <c r="KLN71" s="2936"/>
      <c r="KLO71" s="2936"/>
      <c r="KLP71" s="2936"/>
      <c r="KLQ71" s="2936"/>
      <c r="KLR71" s="2936"/>
      <c r="KLS71" s="2936"/>
      <c r="KLT71" s="2936"/>
      <c r="KLU71" s="2936"/>
      <c r="KLV71" s="2936"/>
      <c r="KLW71" s="2936"/>
      <c r="KLX71" s="2936"/>
      <c r="KLY71" s="2936"/>
      <c r="KLZ71" s="2936"/>
      <c r="KMA71" s="2936"/>
      <c r="KMB71" s="2936"/>
      <c r="KMC71" s="2936"/>
      <c r="KMD71" s="2936"/>
      <c r="KME71" s="2936"/>
      <c r="KMF71" s="2936"/>
      <c r="KMG71" s="2936"/>
      <c r="KMH71" s="2936"/>
      <c r="KMI71" s="2936"/>
      <c r="KMJ71" s="2936"/>
      <c r="KMK71" s="2936"/>
      <c r="KML71" s="2936"/>
      <c r="KMM71" s="2936"/>
      <c r="KMN71" s="2936"/>
      <c r="KMO71" s="2936"/>
      <c r="KMP71" s="2936"/>
      <c r="KMQ71" s="2936"/>
      <c r="KMR71" s="2936"/>
      <c r="KMS71" s="2936"/>
      <c r="KMT71" s="2936"/>
      <c r="KMU71" s="2936"/>
      <c r="KMV71" s="2936"/>
      <c r="KMW71" s="2936"/>
      <c r="KMX71" s="2936"/>
      <c r="KMY71" s="2936"/>
      <c r="KMZ71" s="2936"/>
      <c r="KNA71" s="2936"/>
      <c r="KNB71" s="2936"/>
      <c r="KNC71" s="2936"/>
      <c r="KND71" s="2936"/>
      <c r="KNE71" s="2936"/>
      <c r="KNF71" s="2936"/>
      <c r="KNG71" s="2936"/>
      <c r="KNH71" s="2936"/>
      <c r="KNI71" s="2936"/>
      <c r="KNJ71" s="2936"/>
      <c r="KNK71" s="2936"/>
      <c r="KNL71" s="2936"/>
      <c r="KNM71" s="2936"/>
      <c r="KNN71" s="2936"/>
      <c r="KNO71" s="2936"/>
      <c r="KNP71" s="2936"/>
      <c r="KNQ71" s="2936"/>
      <c r="KNR71" s="2936"/>
      <c r="KNS71" s="2936"/>
      <c r="KNT71" s="2936"/>
      <c r="KNU71" s="2936"/>
      <c r="KNV71" s="2936"/>
      <c r="KNW71" s="2936"/>
      <c r="KNX71" s="2936"/>
      <c r="KNY71" s="2936"/>
      <c r="KNZ71" s="2936"/>
      <c r="KOA71" s="2936"/>
      <c r="KOB71" s="2936"/>
      <c r="KOC71" s="2936"/>
      <c r="KOD71" s="2936"/>
      <c r="KOE71" s="2936"/>
      <c r="KOF71" s="2936"/>
      <c r="KOG71" s="2936"/>
      <c r="KOH71" s="2936"/>
      <c r="KOI71" s="2936"/>
      <c r="KOJ71" s="2936"/>
      <c r="KOK71" s="2936"/>
      <c r="KOL71" s="2936"/>
      <c r="KOM71" s="2936"/>
      <c r="KON71" s="2936"/>
      <c r="KOO71" s="2936"/>
      <c r="KOP71" s="2936"/>
      <c r="KOQ71" s="2936"/>
      <c r="KOR71" s="2936"/>
      <c r="KOS71" s="2936"/>
      <c r="KOT71" s="2936"/>
      <c r="KOU71" s="2936"/>
      <c r="KOV71" s="2936"/>
      <c r="KOW71" s="2936"/>
      <c r="KOX71" s="2936"/>
      <c r="KOY71" s="2936"/>
      <c r="KOZ71" s="2936"/>
      <c r="KPA71" s="2936"/>
      <c r="KPB71" s="2936"/>
      <c r="KPC71" s="2936"/>
      <c r="KPD71" s="2936"/>
      <c r="KPE71" s="2936"/>
      <c r="KPF71" s="2936"/>
      <c r="KPG71" s="2936"/>
      <c r="KPH71" s="2936"/>
      <c r="KPI71" s="2936"/>
      <c r="KPJ71" s="2936"/>
      <c r="KPK71" s="2936"/>
      <c r="KPL71" s="2936"/>
      <c r="KPM71" s="2936"/>
      <c r="KPN71" s="2936"/>
      <c r="KPO71" s="2936"/>
      <c r="KPP71" s="2936"/>
      <c r="KPQ71" s="2936"/>
      <c r="KPR71" s="2936"/>
      <c r="KPS71" s="2936"/>
      <c r="KPT71" s="2936"/>
      <c r="KPU71" s="2936"/>
      <c r="KPV71" s="2936"/>
      <c r="KPW71" s="2936"/>
      <c r="KPX71" s="2936"/>
      <c r="KPY71" s="2936"/>
      <c r="KPZ71" s="2936"/>
      <c r="KQA71" s="2936"/>
      <c r="KQB71" s="2936"/>
      <c r="KQC71" s="2936"/>
      <c r="KQD71" s="2936"/>
      <c r="KQE71" s="2936"/>
      <c r="KQF71" s="2936"/>
      <c r="KQG71" s="2936"/>
      <c r="KQH71" s="2936"/>
      <c r="KQI71" s="2936"/>
      <c r="KQJ71" s="2936"/>
      <c r="KQK71" s="2936"/>
      <c r="KQL71" s="2936"/>
      <c r="KQM71" s="2936"/>
      <c r="KQN71" s="2936"/>
      <c r="KQO71" s="2936"/>
      <c r="KQP71" s="2936"/>
      <c r="KQQ71" s="2936"/>
      <c r="KQR71" s="2936"/>
      <c r="KQS71" s="2936"/>
      <c r="KQT71" s="2936"/>
      <c r="KQU71" s="2936"/>
      <c r="KQV71" s="2936"/>
      <c r="KQW71" s="2936"/>
      <c r="KQX71" s="2936"/>
      <c r="KQY71" s="2936"/>
      <c r="KQZ71" s="2936"/>
      <c r="KRA71" s="2936"/>
      <c r="KRB71" s="2936"/>
      <c r="KRC71" s="2936"/>
      <c r="KRD71" s="2936"/>
      <c r="KRE71" s="2936"/>
      <c r="KRF71" s="2936"/>
      <c r="KRG71" s="2936"/>
      <c r="KRH71" s="2936"/>
      <c r="KRI71" s="2936"/>
      <c r="KRJ71" s="2936"/>
      <c r="KRK71" s="2936"/>
      <c r="KRL71" s="2936"/>
      <c r="KRM71" s="2936"/>
      <c r="KRN71" s="2936"/>
      <c r="KRO71" s="2936"/>
      <c r="KRP71" s="2936"/>
      <c r="KRQ71" s="2936"/>
      <c r="KRR71" s="2936"/>
      <c r="KRS71" s="2936"/>
      <c r="KRT71" s="2936"/>
      <c r="KRU71" s="2936"/>
      <c r="KRV71" s="2936"/>
      <c r="KRW71" s="2936"/>
      <c r="KRX71" s="2936"/>
      <c r="KRY71" s="2936"/>
      <c r="KRZ71" s="2936"/>
      <c r="KSA71" s="2936"/>
      <c r="KSB71" s="2936"/>
      <c r="KSC71" s="2936"/>
      <c r="KSD71" s="2936"/>
      <c r="KSE71" s="2936"/>
      <c r="KSF71" s="2936"/>
      <c r="KSG71" s="2936"/>
      <c r="KSH71" s="2936"/>
      <c r="KSI71" s="2936"/>
      <c r="KSJ71" s="2936"/>
      <c r="KSK71" s="2936"/>
      <c r="KSL71" s="2936"/>
      <c r="KSM71" s="2936"/>
      <c r="KSN71" s="2936"/>
      <c r="KSO71" s="2936"/>
      <c r="KSP71" s="2936"/>
      <c r="KSQ71" s="2936"/>
      <c r="KSR71" s="2936"/>
      <c r="KSS71" s="2936"/>
      <c r="KST71" s="2936"/>
      <c r="KSU71" s="2936"/>
      <c r="KSV71" s="2936"/>
      <c r="KSW71" s="2936"/>
      <c r="KSX71" s="2936"/>
      <c r="KSY71" s="2936"/>
      <c r="KSZ71" s="2936"/>
      <c r="KTA71" s="2936"/>
      <c r="KTB71" s="2936"/>
      <c r="KTC71" s="2936"/>
      <c r="KTD71" s="2936"/>
      <c r="KTE71" s="2936"/>
      <c r="KTF71" s="2936"/>
      <c r="KTG71" s="2936"/>
      <c r="KTH71" s="2936"/>
      <c r="KTI71" s="2936"/>
      <c r="KTJ71" s="2936"/>
      <c r="KTK71" s="2936"/>
      <c r="KTL71" s="2936"/>
      <c r="KTM71" s="2936"/>
      <c r="KTN71" s="2936"/>
      <c r="KTO71" s="2936"/>
      <c r="KTP71" s="2936"/>
      <c r="KTQ71" s="2936"/>
      <c r="KTR71" s="2936"/>
      <c r="KTS71" s="2936"/>
      <c r="KTT71" s="2936"/>
      <c r="KTU71" s="2936"/>
      <c r="KTV71" s="2936"/>
      <c r="KTW71" s="2936"/>
      <c r="KTX71" s="2936"/>
      <c r="KTY71" s="2936"/>
      <c r="KTZ71" s="2936"/>
      <c r="KUA71" s="2936"/>
      <c r="KUB71" s="2936"/>
      <c r="KUC71" s="2936"/>
      <c r="KUD71" s="2936"/>
      <c r="KUE71" s="2936"/>
      <c r="KUF71" s="2936"/>
      <c r="KUG71" s="2936"/>
      <c r="KUH71" s="2936"/>
      <c r="KUI71" s="2936"/>
      <c r="KUJ71" s="2936"/>
      <c r="KUK71" s="2936"/>
      <c r="KUL71" s="2936"/>
      <c r="KUM71" s="2936"/>
      <c r="KUN71" s="2936"/>
      <c r="KUO71" s="2936"/>
      <c r="KUP71" s="2936"/>
      <c r="KUQ71" s="2936"/>
      <c r="KUR71" s="2936"/>
      <c r="KUS71" s="2936"/>
      <c r="KUT71" s="2936"/>
      <c r="KUU71" s="2936"/>
      <c r="KUV71" s="2936"/>
      <c r="KUW71" s="2936"/>
      <c r="KUX71" s="2936"/>
      <c r="KUY71" s="2936"/>
      <c r="KUZ71" s="2936"/>
      <c r="KVA71" s="2936"/>
      <c r="KVB71" s="2936"/>
      <c r="KVC71" s="2936"/>
      <c r="KVD71" s="2936"/>
      <c r="KVE71" s="2936"/>
      <c r="KVF71" s="2936"/>
      <c r="KVG71" s="2936"/>
      <c r="KVH71" s="2936"/>
      <c r="KVI71" s="2936"/>
      <c r="KVJ71" s="2936"/>
      <c r="KVK71" s="2936"/>
      <c r="KVL71" s="2936"/>
      <c r="KVM71" s="2936"/>
      <c r="KVN71" s="2936"/>
      <c r="KVO71" s="2936"/>
      <c r="KVP71" s="2936"/>
      <c r="KVQ71" s="2936"/>
      <c r="KVR71" s="2936"/>
      <c r="KVS71" s="2936"/>
      <c r="KVT71" s="2936"/>
      <c r="KVU71" s="2936"/>
      <c r="KVV71" s="2936"/>
      <c r="KVW71" s="2936"/>
      <c r="KVX71" s="2936"/>
      <c r="KVY71" s="2936"/>
      <c r="KVZ71" s="2936"/>
      <c r="KWA71" s="2936"/>
      <c r="KWB71" s="2936"/>
      <c r="KWC71" s="2936"/>
      <c r="KWD71" s="2936"/>
      <c r="KWE71" s="2936"/>
      <c r="KWF71" s="2936"/>
      <c r="KWG71" s="2936"/>
      <c r="KWH71" s="2936"/>
      <c r="KWI71" s="2936"/>
      <c r="KWJ71" s="2936"/>
      <c r="KWK71" s="2936"/>
      <c r="KWL71" s="2936"/>
      <c r="KWM71" s="2936"/>
      <c r="KWN71" s="2936"/>
      <c r="KWO71" s="2936"/>
      <c r="KWP71" s="2936"/>
      <c r="KWQ71" s="2936"/>
      <c r="KWR71" s="2936"/>
      <c r="KWS71" s="2936"/>
      <c r="KWT71" s="2936"/>
      <c r="KWU71" s="2936"/>
      <c r="KWV71" s="2936"/>
      <c r="KWW71" s="2936"/>
      <c r="KWX71" s="2936"/>
      <c r="KWY71" s="2936"/>
      <c r="KWZ71" s="2936"/>
      <c r="KXA71" s="2936"/>
      <c r="KXB71" s="2936"/>
      <c r="KXC71" s="2936"/>
      <c r="KXD71" s="2936"/>
      <c r="KXE71" s="2936"/>
      <c r="KXF71" s="2936"/>
      <c r="KXG71" s="2936"/>
      <c r="KXH71" s="2936"/>
      <c r="KXI71" s="2936"/>
      <c r="KXJ71" s="2936"/>
      <c r="KXK71" s="2936"/>
      <c r="KXL71" s="2936"/>
      <c r="KXM71" s="2936"/>
      <c r="KXN71" s="2936"/>
      <c r="KXO71" s="2936"/>
      <c r="KXP71" s="2936"/>
      <c r="KXQ71" s="2936"/>
      <c r="KXR71" s="2936"/>
      <c r="KXS71" s="2936"/>
      <c r="KXT71" s="2936"/>
      <c r="KXU71" s="2936"/>
      <c r="KXV71" s="2936"/>
      <c r="KXW71" s="2936"/>
      <c r="KXX71" s="2936"/>
      <c r="KXY71" s="2936"/>
      <c r="KXZ71" s="2936"/>
      <c r="KYA71" s="2936"/>
      <c r="KYB71" s="2936"/>
      <c r="KYC71" s="2936"/>
      <c r="KYD71" s="2936"/>
      <c r="KYE71" s="2936"/>
      <c r="KYF71" s="2936"/>
      <c r="KYG71" s="2936"/>
      <c r="KYH71" s="2936"/>
      <c r="KYI71" s="2936"/>
      <c r="KYJ71" s="2936"/>
      <c r="KYK71" s="2936"/>
      <c r="KYL71" s="2936"/>
      <c r="KYM71" s="2936"/>
      <c r="KYN71" s="2936"/>
      <c r="KYO71" s="2936"/>
      <c r="KYP71" s="2936"/>
      <c r="KYQ71" s="2936"/>
      <c r="KYR71" s="2936"/>
      <c r="KYS71" s="2936"/>
      <c r="KYT71" s="2936"/>
      <c r="KYU71" s="2936"/>
      <c r="KYV71" s="2936"/>
      <c r="KYW71" s="2936"/>
      <c r="KYX71" s="2936"/>
      <c r="KYY71" s="2936"/>
      <c r="KYZ71" s="2936"/>
      <c r="KZA71" s="2936"/>
      <c r="KZB71" s="2936"/>
      <c r="KZC71" s="2936"/>
      <c r="KZD71" s="2936"/>
      <c r="KZE71" s="2936"/>
      <c r="KZF71" s="2936"/>
      <c r="KZG71" s="2936"/>
      <c r="KZH71" s="2936"/>
      <c r="KZI71" s="2936"/>
      <c r="KZJ71" s="2936"/>
      <c r="KZK71" s="2936"/>
      <c r="KZL71" s="2936"/>
      <c r="KZM71" s="2936"/>
      <c r="KZN71" s="2936"/>
      <c r="KZO71" s="2936"/>
      <c r="KZP71" s="2936"/>
      <c r="KZQ71" s="2936"/>
      <c r="KZR71" s="2936"/>
      <c r="KZS71" s="2936"/>
      <c r="KZT71" s="2936"/>
      <c r="KZU71" s="2936"/>
      <c r="KZV71" s="2936"/>
      <c r="KZW71" s="2936"/>
      <c r="KZX71" s="2936"/>
      <c r="KZY71" s="2936"/>
      <c r="KZZ71" s="2936"/>
      <c r="LAA71" s="2936"/>
      <c r="LAB71" s="2936"/>
      <c r="LAC71" s="2936"/>
      <c r="LAD71" s="2936"/>
      <c r="LAE71" s="2936"/>
      <c r="LAF71" s="2936"/>
      <c r="LAG71" s="2936"/>
      <c r="LAH71" s="2936"/>
      <c r="LAI71" s="2936"/>
      <c r="LAJ71" s="2936"/>
      <c r="LAK71" s="2936"/>
      <c r="LAL71" s="2936"/>
      <c r="LAM71" s="2936"/>
      <c r="LAN71" s="2936"/>
      <c r="LAO71" s="2936"/>
      <c r="LAP71" s="2936"/>
      <c r="LAQ71" s="2936"/>
      <c r="LAR71" s="2936"/>
      <c r="LAS71" s="2936"/>
      <c r="LAT71" s="2936"/>
      <c r="LAU71" s="2936"/>
      <c r="LAV71" s="2936"/>
      <c r="LAW71" s="2936"/>
      <c r="LAX71" s="2936"/>
      <c r="LAY71" s="2936"/>
      <c r="LAZ71" s="2936"/>
      <c r="LBA71" s="2936"/>
      <c r="LBB71" s="2936"/>
      <c r="LBC71" s="2936"/>
      <c r="LBD71" s="2936"/>
      <c r="LBE71" s="2936"/>
      <c r="LBF71" s="2936"/>
      <c r="LBG71" s="2936"/>
      <c r="LBH71" s="2936"/>
      <c r="LBI71" s="2936"/>
      <c r="LBJ71" s="2936"/>
      <c r="LBK71" s="2936"/>
      <c r="LBL71" s="2936"/>
      <c r="LBM71" s="2936"/>
      <c r="LBN71" s="2936"/>
      <c r="LBO71" s="2936"/>
      <c r="LBP71" s="2936"/>
      <c r="LBQ71" s="2936"/>
      <c r="LBR71" s="2936"/>
      <c r="LBS71" s="2936"/>
      <c r="LBT71" s="2936"/>
      <c r="LBU71" s="2936"/>
      <c r="LBV71" s="2936"/>
      <c r="LBW71" s="2936"/>
      <c r="LBX71" s="2936"/>
      <c r="LBY71" s="2936"/>
      <c r="LBZ71" s="2936"/>
      <c r="LCA71" s="2936"/>
      <c r="LCB71" s="2936"/>
      <c r="LCC71" s="2936"/>
      <c r="LCD71" s="2936"/>
      <c r="LCE71" s="2936"/>
      <c r="LCF71" s="2936"/>
      <c r="LCG71" s="2936"/>
      <c r="LCH71" s="2936"/>
      <c r="LCI71" s="2936"/>
      <c r="LCJ71" s="2936"/>
      <c r="LCK71" s="2936"/>
      <c r="LCL71" s="2936"/>
      <c r="LCM71" s="2936"/>
      <c r="LCN71" s="2936"/>
      <c r="LCO71" s="2936"/>
      <c r="LCP71" s="2936"/>
      <c r="LCQ71" s="2936"/>
      <c r="LCR71" s="2936"/>
      <c r="LCS71" s="2936"/>
      <c r="LCT71" s="2936"/>
      <c r="LCU71" s="2936"/>
      <c r="LCV71" s="2936"/>
      <c r="LCW71" s="2936"/>
      <c r="LCX71" s="2936"/>
      <c r="LCY71" s="2936"/>
      <c r="LCZ71" s="2936"/>
      <c r="LDA71" s="2936"/>
      <c r="LDB71" s="2936"/>
      <c r="LDC71" s="2936"/>
      <c r="LDD71" s="2936"/>
      <c r="LDE71" s="2936"/>
      <c r="LDF71" s="2936"/>
      <c r="LDG71" s="2936"/>
      <c r="LDH71" s="2936"/>
      <c r="LDI71" s="2936"/>
      <c r="LDJ71" s="2936"/>
      <c r="LDK71" s="2936"/>
      <c r="LDL71" s="2936"/>
      <c r="LDM71" s="2936"/>
      <c r="LDN71" s="2936"/>
      <c r="LDO71" s="2936"/>
      <c r="LDP71" s="2936"/>
      <c r="LDQ71" s="2936"/>
      <c r="LDR71" s="2936"/>
      <c r="LDS71" s="2936"/>
      <c r="LDT71" s="2936"/>
      <c r="LDU71" s="2936"/>
      <c r="LDV71" s="2936"/>
      <c r="LDW71" s="2936"/>
      <c r="LDX71" s="2936"/>
      <c r="LDY71" s="2936"/>
      <c r="LDZ71" s="2936"/>
      <c r="LEA71" s="2936"/>
      <c r="LEB71" s="2936"/>
      <c r="LEC71" s="2936"/>
      <c r="LED71" s="2936"/>
      <c r="LEE71" s="2936"/>
      <c r="LEF71" s="2936"/>
      <c r="LEG71" s="2936"/>
      <c r="LEH71" s="2936"/>
      <c r="LEI71" s="2936"/>
      <c r="LEJ71" s="2936"/>
      <c r="LEK71" s="2936"/>
      <c r="LEL71" s="2936"/>
      <c r="LEM71" s="2936"/>
      <c r="LEN71" s="2936"/>
      <c r="LEO71" s="2936"/>
      <c r="LEP71" s="2936"/>
      <c r="LEQ71" s="2936"/>
      <c r="LER71" s="2936"/>
      <c r="LES71" s="2936"/>
      <c r="LET71" s="2936"/>
      <c r="LEU71" s="2936"/>
      <c r="LEV71" s="2936"/>
      <c r="LEW71" s="2936"/>
      <c r="LEX71" s="2936"/>
      <c r="LEY71" s="2936"/>
      <c r="LEZ71" s="2936"/>
      <c r="LFA71" s="2936"/>
      <c r="LFB71" s="2936"/>
      <c r="LFC71" s="2936"/>
      <c r="LFD71" s="2936"/>
      <c r="LFE71" s="2936"/>
      <c r="LFF71" s="2936"/>
      <c r="LFG71" s="2936"/>
      <c r="LFH71" s="2936"/>
      <c r="LFI71" s="2936"/>
      <c r="LFJ71" s="2936"/>
      <c r="LFK71" s="2936"/>
      <c r="LFL71" s="2936"/>
      <c r="LFM71" s="2936"/>
      <c r="LFN71" s="2936"/>
      <c r="LFO71" s="2936"/>
      <c r="LFP71" s="2936"/>
      <c r="LFQ71" s="2936"/>
      <c r="LFR71" s="2936"/>
      <c r="LFS71" s="2936"/>
      <c r="LFT71" s="2936"/>
      <c r="LFU71" s="2936"/>
      <c r="LFV71" s="2936"/>
      <c r="LFW71" s="2936"/>
      <c r="LFX71" s="2936"/>
      <c r="LFY71" s="2936"/>
      <c r="LFZ71" s="2936"/>
      <c r="LGA71" s="2936"/>
      <c r="LGB71" s="2936"/>
      <c r="LGC71" s="2936"/>
      <c r="LGD71" s="2936"/>
      <c r="LGE71" s="2936"/>
      <c r="LGF71" s="2936"/>
      <c r="LGG71" s="2936"/>
      <c r="LGH71" s="2936"/>
      <c r="LGI71" s="2936"/>
      <c r="LGJ71" s="2936"/>
      <c r="LGK71" s="2936"/>
      <c r="LGL71" s="2936"/>
      <c r="LGM71" s="2936"/>
      <c r="LGN71" s="2936"/>
      <c r="LGO71" s="2936"/>
      <c r="LGP71" s="2936"/>
      <c r="LGQ71" s="2936"/>
      <c r="LGR71" s="2936"/>
      <c r="LGS71" s="2936"/>
      <c r="LGT71" s="2936"/>
      <c r="LGU71" s="2936"/>
      <c r="LGV71" s="2936"/>
      <c r="LGW71" s="2936"/>
      <c r="LGX71" s="2936"/>
      <c r="LGY71" s="2936"/>
      <c r="LGZ71" s="2936"/>
      <c r="LHA71" s="2936"/>
      <c r="LHB71" s="2936"/>
      <c r="LHC71" s="2936"/>
      <c r="LHD71" s="2936"/>
      <c r="LHE71" s="2936"/>
      <c r="LHF71" s="2936"/>
      <c r="LHG71" s="2936"/>
      <c r="LHH71" s="2936"/>
      <c r="LHI71" s="2936"/>
      <c r="LHJ71" s="2936"/>
      <c r="LHK71" s="2936"/>
      <c r="LHL71" s="2936"/>
      <c r="LHM71" s="2936"/>
      <c r="LHN71" s="2936"/>
      <c r="LHO71" s="2936"/>
      <c r="LHP71" s="2936"/>
      <c r="LHQ71" s="2936"/>
      <c r="LHR71" s="2936"/>
      <c r="LHS71" s="2936"/>
      <c r="LHT71" s="2936"/>
      <c r="LHU71" s="2936"/>
      <c r="LHV71" s="2936"/>
      <c r="LHW71" s="2936"/>
      <c r="LHX71" s="2936"/>
      <c r="LHY71" s="2936"/>
      <c r="LHZ71" s="2936"/>
      <c r="LIA71" s="2936"/>
      <c r="LIB71" s="2936"/>
      <c r="LIC71" s="2936"/>
      <c r="LID71" s="2936"/>
      <c r="LIE71" s="2936"/>
      <c r="LIF71" s="2936"/>
      <c r="LIG71" s="2936"/>
      <c r="LIH71" s="2936"/>
      <c r="LII71" s="2936"/>
      <c r="LIJ71" s="2936"/>
      <c r="LIK71" s="2936"/>
      <c r="LIL71" s="2936"/>
      <c r="LIM71" s="2936"/>
      <c r="LIN71" s="2936"/>
      <c r="LIO71" s="2936"/>
      <c r="LIP71" s="2936"/>
      <c r="LIQ71" s="2936"/>
      <c r="LIR71" s="2936"/>
      <c r="LIS71" s="2936"/>
      <c r="LIT71" s="2936"/>
      <c r="LIU71" s="2936"/>
      <c r="LIV71" s="2936"/>
      <c r="LIW71" s="2936"/>
      <c r="LIX71" s="2936"/>
      <c r="LIY71" s="2936"/>
      <c r="LIZ71" s="2936"/>
      <c r="LJA71" s="2936"/>
      <c r="LJB71" s="2936"/>
      <c r="LJC71" s="2936"/>
      <c r="LJD71" s="2936"/>
      <c r="LJE71" s="2936"/>
      <c r="LJF71" s="2936"/>
      <c r="LJG71" s="2936"/>
      <c r="LJH71" s="2936"/>
      <c r="LJI71" s="2936"/>
      <c r="LJJ71" s="2936"/>
      <c r="LJK71" s="2936"/>
      <c r="LJL71" s="2936"/>
      <c r="LJM71" s="2936"/>
      <c r="LJN71" s="2936"/>
      <c r="LJO71" s="2936"/>
      <c r="LJP71" s="2936"/>
      <c r="LJQ71" s="2936"/>
      <c r="LJR71" s="2936"/>
      <c r="LJS71" s="2936"/>
      <c r="LJT71" s="2936"/>
      <c r="LJU71" s="2936"/>
      <c r="LJV71" s="2936"/>
      <c r="LJW71" s="2936"/>
      <c r="LJX71" s="2936"/>
      <c r="LJY71" s="2936"/>
      <c r="LJZ71" s="2936"/>
      <c r="LKA71" s="2936"/>
      <c r="LKB71" s="2936"/>
      <c r="LKC71" s="2936"/>
      <c r="LKD71" s="2936"/>
      <c r="LKE71" s="2936"/>
      <c r="LKF71" s="2936"/>
      <c r="LKG71" s="2936"/>
      <c r="LKH71" s="2936"/>
      <c r="LKI71" s="2936"/>
      <c r="LKJ71" s="2936"/>
      <c r="LKK71" s="2936"/>
      <c r="LKL71" s="2936"/>
      <c r="LKM71" s="2936"/>
      <c r="LKN71" s="2936"/>
      <c r="LKO71" s="2936"/>
      <c r="LKP71" s="2936"/>
      <c r="LKQ71" s="2936"/>
      <c r="LKR71" s="2936"/>
      <c r="LKS71" s="2936"/>
      <c r="LKT71" s="2936"/>
      <c r="LKU71" s="2936"/>
      <c r="LKV71" s="2936"/>
      <c r="LKW71" s="2936"/>
      <c r="LKX71" s="2936"/>
      <c r="LKY71" s="2936"/>
      <c r="LKZ71" s="2936"/>
      <c r="LLA71" s="2936"/>
      <c r="LLB71" s="2936"/>
      <c r="LLC71" s="2936"/>
      <c r="LLD71" s="2936"/>
      <c r="LLE71" s="2936"/>
      <c r="LLF71" s="2936"/>
      <c r="LLG71" s="2936"/>
      <c r="LLH71" s="2936"/>
      <c r="LLI71" s="2936"/>
      <c r="LLJ71" s="2936"/>
      <c r="LLK71" s="2936"/>
      <c r="LLL71" s="2936"/>
      <c r="LLM71" s="2936"/>
      <c r="LLN71" s="2936"/>
      <c r="LLO71" s="2936"/>
      <c r="LLP71" s="2936"/>
      <c r="LLQ71" s="2936"/>
      <c r="LLR71" s="2936"/>
      <c r="LLS71" s="2936"/>
      <c r="LLT71" s="2936"/>
      <c r="LLU71" s="2936"/>
      <c r="LLV71" s="2936"/>
      <c r="LLW71" s="2936"/>
      <c r="LLX71" s="2936"/>
      <c r="LLY71" s="2936"/>
      <c r="LLZ71" s="2936"/>
      <c r="LMA71" s="2936"/>
      <c r="LMB71" s="2936"/>
      <c r="LMC71" s="2936"/>
      <c r="LMD71" s="2936"/>
      <c r="LME71" s="2936"/>
      <c r="LMF71" s="2936"/>
      <c r="LMG71" s="2936"/>
      <c r="LMH71" s="2936"/>
      <c r="LMI71" s="2936"/>
      <c r="LMJ71" s="2936"/>
      <c r="LMK71" s="2936"/>
      <c r="LML71" s="2936"/>
      <c r="LMM71" s="2936"/>
      <c r="LMN71" s="2936"/>
      <c r="LMO71" s="2936"/>
      <c r="LMP71" s="2936"/>
      <c r="LMQ71" s="2936"/>
      <c r="LMR71" s="2936"/>
      <c r="LMS71" s="2936"/>
      <c r="LMT71" s="2936"/>
      <c r="LMU71" s="2936"/>
      <c r="LMV71" s="2936"/>
      <c r="LMW71" s="2936"/>
      <c r="LMX71" s="2936"/>
      <c r="LMY71" s="2936"/>
      <c r="LMZ71" s="2936"/>
      <c r="LNA71" s="2936"/>
      <c r="LNB71" s="2936"/>
      <c r="LNC71" s="2936"/>
      <c r="LND71" s="2936"/>
      <c r="LNE71" s="2936"/>
      <c r="LNF71" s="2936"/>
      <c r="LNG71" s="2936"/>
      <c r="LNH71" s="2936"/>
      <c r="LNI71" s="2936"/>
      <c r="LNJ71" s="2936"/>
      <c r="LNK71" s="2936"/>
      <c r="LNL71" s="2936"/>
      <c r="LNM71" s="2936"/>
      <c r="LNN71" s="2936"/>
      <c r="LNO71" s="2936"/>
      <c r="LNP71" s="2936"/>
      <c r="LNQ71" s="2936"/>
      <c r="LNR71" s="2936"/>
      <c r="LNS71" s="2936"/>
      <c r="LNT71" s="2936"/>
      <c r="LNU71" s="2936"/>
      <c r="LNV71" s="2936"/>
      <c r="LNW71" s="2936"/>
      <c r="LNX71" s="2936"/>
      <c r="LNY71" s="2936"/>
      <c r="LNZ71" s="2936"/>
      <c r="LOA71" s="2936"/>
      <c r="LOB71" s="2936"/>
      <c r="LOC71" s="2936"/>
      <c r="LOD71" s="2936"/>
      <c r="LOE71" s="2936"/>
      <c r="LOF71" s="2936"/>
      <c r="LOG71" s="2936"/>
      <c r="LOH71" s="2936"/>
      <c r="LOI71" s="2936"/>
      <c r="LOJ71" s="2936"/>
      <c r="LOK71" s="2936"/>
      <c r="LOL71" s="2936"/>
      <c r="LOM71" s="2936"/>
      <c r="LON71" s="2936"/>
      <c r="LOO71" s="2936"/>
      <c r="LOP71" s="2936"/>
      <c r="LOQ71" s="2936"/>
      <c r="LOR71" s="2936"/>
      <c r="LOS71" s="2936"/>
      <c r="LOT71" s="2936"/>
      <c r="LOU71" s="2936"/>
      <c r="LOV71" s="2936"/>
      <c r="LOW71" s="2936"/>
      <c r="LOX71" s="2936"/>
      <c r="LOY71" s="2936"/>
      <c r="LOZ71" s="2936"/>
      <c r="LPA71" s="2936"/>
      <c r="LPB71" s="2936"/>
      <c r="LPC71" s="2936"/>
      <c r="LPD71" s="2936"/>
      <c r="LPE71" s="2936"/>
      <c r="LPF71" s="2936"/>
      <c r="LPG71" s="2936"/>
      <c r="LPH71" s="2936"/>
      <c r="LPI71" s="2936"/>
      <c r="LPJ71" s="2936"/>
      <c r="LPK71" s="2936"/>
      <c r="LPL71" s="2936"/>
      <c r="LPM71" s="2936"/>
      <c r="LPN71" s="2936"/>
      <c r="LPO71" s="2936"/>
      <c r="LPP71" s="2936"/>
      <c r="LPQ71" s="2936"/>
      <c r="LPR71" s="2936"/>
      <c r="LPS71" s="2936"/>
      <c r="LPT71" s="2936"/>
      <c r="LPU71" s="2936"/>
      <c r="LPV71" s="2936"/>
      <c r="LPW71" s="2936"/>
      <c r="LPX71" s="2936"/>
      <c r="LPY71" s="2936"/>
      <c r="LPZ71" s="2936"/>
      <c r="LQA71" s="2936"/>
      <c r="LQB71" s="2936"/>
      <c r="LQC71" s="2936"/>
      <c r="LQD71" s="2936"/>
      <c r="LQE71" s="2936"/>
      <c r="LQF71" s="2936"/>
      <c r="LQG71" s="2936"/>
      <c r="LQH71" s="2936"/>
      <c r="LQI71" s="2936"/>
      <c r="LQJ71" s="2936"/>
      <c r="LQK71" s="2936"/>
      <c r="LQL71" s="2936"/>
      <c r="LQM71" s="2936"/>
      <c r="LQN71" s="2936"/>
      <c r="LQO71" s="2936"/>
      <c r="LQP71" s="2936"/>
      <c r="LQQ71" s="2936"/>
      <c r="LQR71" s="2936"/>
      <c r="LQS71" s="2936"/>
      <c r="LQT71" s="2936"/>
      <c r="LQU71" s="2936"/>
      <c r="LQV71" s="2936"/>
      <c r="LQW71" s="2936"/>
      <c r="LQX71" s="2936"/>
      <c r="LQY71" s="2936"/>
      <c r="LQZ71" s="2936"/>
      <c r="LRA71" s="2936"/>
      <c r="LRB71" s="2936"/>
      <c r="LRC71" s="2936"/>
      <c r="LRD71" s="2936"/>
      <c r="LRE71" s="2936"/>
      <c r="LRF71" s="2936"/>
      <c r="LRG71" s="2936"/>
      <c r="LRH71" s="2936"/>
      <c r="LRI71" s="2936"/>
      <c r="LRJ71" s="2936"/>
      <c r="LRK71" s="2936"/>
      <c r="LRL71" s="2936"/>
      <c r="LRM71" s="2936"/>
      <c r="LRN71" s="2936"/>
      <c r="LRO71" s="2936"/>
      <c r="LRP71" s="2936"/>
      <c r="LRQ71" s="2936"/>
      <c r="LRR71" s="2936"/>
      <c r="LRS71" s="2936"/>
      <c r="LRT71" s="2936"/>
      <c r="LRU71" s="2936"/>
      <c r="LRV71" s="2936"/>
      <c r="LRW71" s="2936"/>
      <c r="LRX71" s="2936"/>
      <c r="LRY71" s="2936"/>
      <c r="LRZ71" s="2936"/>
      <c r="LSA71" s="2936"/>
      <c r="LSB71" s="2936"/>
      <c r="LSC71" s="2936"/>
      <c r="LSD71" s="2936"/>
      <c r="LSE71" s="2936"/>
      <c r="LSF71" s="2936"/>
      <c r="LSG71" s="2936"/>
      <c r="LSH71" s="2936"/>
      <c r="LSI71" s="2936"/>
      <c r="LSJ71" s="2936"/>
      <c r="LSK71" s="2936"/>
      <c r="LSL71" s="2936"/>
      <c r="LSM71" s="2936"/>
      <c r="LSN71" s="2936"/>
      <c r="LSO71" s="2936"/>
      <c r="LSP71" s="2936"/>
      <c r="LSQ71" s="2936"/>
      <c r="LSR71" s="2936"/>
      <c r="LSS71" s="2936"/>
      <c r="LST71" s="2936"/>
      <c r="LSU71" s="2936"/>
      <c r="LSV71" s="2936"/>
      <c r="LSW71" s="2936"/>
      <c r="LSX71" s="2936"/>
      <c r="LSY71" s="2936"/>
      <c r="LSZ71" s="2936"/>
      <c r="LTA71" s="2936"/>
      <c r="LTB71" s="2936"/>
      <c r="LTC71" s="2936"/>
      <c r="LTD71" s="2936"/>
      <c r="LTE71" s="2936"/>
      <c r="LTF71" s="2936"/>
      <c r="LTG71" s="2936"/>
      <c r="LTH71" s="2936"/>
      <c r="LTI71" s="2936"/>
      <c r="LTJ71" s="2936"/>
      <c r="LTK71" s="2936"/>
      <c r="LTL71" s="2936"/>
      <c r="LTM71" s="2936"/>
      <c r="LTN71" s="2936"/>
      <c r="LTO71" s="2936"/>
      <c r="LTP71" s="2936"/>
      <c r="LTQ71" s="2936"/>
      <c r="LTR71" s="2936"/>
      <c r="LTS71" s="2936"/>
      <c r="LTT71" s="2936"/>
      <c r="LTU71" s="2936"/>
      <c r="LTV71" s="2936"/>
      <c r="LTW71" s="2936"/>
      <c r="LTX71" s="2936"/>
      <c r="LTY71" s="2936"/>
      <c r="LTZ71" s="2936"/>
      <c r="LUA71" s="2936"/>
      <c r="LUB71" s="2936"/>
      <c r="LUC71" s="2936"/>
      <c r="LUD71" s="2936"/>
      <c r="LUE71" s="2936"/>
      <c r="LUF71" s="2936"/>
      <c r="LUG71" s="2936"/>
      <c r="LUH71" s="2936"/>
      <c r="LUI71" s="2936"/>
      <c r="LUJ71" s="2936"/>
      <c r="LUK71" s="2936"/>
      <c r="LUL71" s="2936"/>
      <c r="LUM71" s="2936"/>
      <c r="LUN71" s="2936"/>
      <c r="LUO71" s="2936"/>
      <c r="LUP71" s="2936"/>
      <c r="LUQ71" s="2936"/>
      <c r="LUR71" s="2936"/>
      <c r="LUS71" s="2936"/>
      <c r="LUT71" s="2936"/>
      <c r="LUU71" s="2936"/>
      <c r="LUV71" s="2936"/>
      <c r="LUW71" s="2936"/>
      <c r="LUX71" s="2936"/>
      <c r="LUY71" s="2936"/>
      <c r="LUZ71" s="2936"/>
      <c r="LVA71" s="2936"/>
      <c r="LVB71" s="2936"/>
      <c r="LVC71" s="2936"/>
      <c r="LVD71" s="2936"/>
      <c r="LVE71" s="2936"/>
      <c r="LVF71" s="2936"/>
      <c r="LVG71" s="2936"/>
      <c r="LVH71" s="2936"/>
      <c r="LVI71" s="2936"/>
      <c r="LVJ71" s="2936"/>
      <c r="LVK71" s="2936"/>
      <c r="LVL71" s="2936"/>
      <c r="LVM71" s="2936"/>
      <c r="LVN71" s="2936"/>
      <c r="LVO71" s="2936"/>
      <c r="LVP71" s="2936"/>
      <c r="LVQ71" s="2936"/>
      <c r="LVR71" s="2936"/>
      <c r="LVS71" s="2936"/>
      <c r="LVT71" s="2936"/>
      <c r="LVU71" s="2936"/>
      <c r="LVV71" s="2936"/>
      <c r="LVW71" s="2936"/>
      <c r="LVX71" s="2936"/>
      <c r="LVY71" s="2936"/>
      <c r="LVZ71" s="2936"/>
      <c r="LWA71" s="2936"/>
      <c r="LWB71" s="2936"/>
      <c r="LWC71" s="2936"/>
      <c r="LWD71" s="2936"/>
      <c r="LWE71" s="2936"/>
      <c r="LWF71" s="2936"/>
      <c r="LWG71" s="2936"/>
      <c r="LWH71" s="2936"/>
      <c r="LWI71" s="2936"/>
      <c r="LWJ71" s="2936"/>
      <c r="LWK71" s="2936"/>
      <c r="LWL71" s="2936"/>
      <c r="LWM71" s="2936"/>
      <c r="LWN71" s="2936"/>
      <c r="LWO71" s="2936"/>
      <c r="LWP71" s="2936"/>
      <c r="LWQ71" s="2936"/>
      <c r="LWR71" s="2936"/>
      <c r="LWS71" s="2936"/>
      <c r="LWT71" s="2936"/>
      <c r="LWU71" s="2936"/>
      <c r="LWV71" s="2936"/>
      <c r="LWW71" s="2936"/>
      <c r="LWX71" s="2936"/>
      <c r="LWY71" s="2936"/>
      <c r="LWZ71" s="2936"/>
      <c r="LXA71" s="2936"/>
      <c r="LXB71" s="2936"/>
      <c r="LXC71" s="2936"/>
      <c r="LXD71" s="2936"/>
      <c r="LXE71" s="2936"/>
      <c r="LXF71" s="2936"/>
      <c r="LXG71" s="2936"/>
      <c r="LXH71" s="2936"/>
      <c r="LXI71" s="2936"/>
      <c r="LXJ71" s="2936"/>
      <c r="LXK71" s="2936"/>
      <c r="LXL71" s="2936"/>
      <c r="LXM71" s="2936"/>
      <c r="LXN71" s="2936"/>
      <c r="LXO71" s="2936"/>
      <c r="LXP71" s="2936"/>
      <c r="LXQ71" s="2936"/>
      <c r="LXR71" s="2936"/>
      <c r="LXS71" s="2936"/>
      <c r="LXT71" s="2936"/>
      <c r="LXU71" s="2936"/>
      <c r="LXV71" s="2936"/>
      <c r="LXW71" s="2936"/>
      <c r="LXX71" s="2936"/>
      <c r="LXY71" s="2936"/>
      <c r="LXZ71" s="2936"/>
      <c r="LYA71" s="2936"/>
      <c r="LYB71" s="2936"/>
      <c r="LYC71" s="2936"/>
      <c r="LYD71" s="2936"/>
      <c r="LYE71" s="2936"/>
      <c r="LYF71" s="2936"/>
      <c r="LYG71" s="2936"/>
      <c r="LYH71" s="2936"/>
      <c r="LYI71" s="2936"/>
      <c r="LYJ71" s="2936"/>
      <c r="LYK71" s="2936"/>
      <c r="LYL71" s="2936"/>
      <c r="LYM71" s="2936"/>
      <c r="LYN71" s="2936"/>
      <c r="LYO71" s="2936"/>
      <c r="LYP71" s="2936"/>
      <c r="LYQ71" s="2936"/>
      <c r="LYR71" s="2936"/>
      <c r="LYS71" s="2936"/>
      <c r="LYT71" s="2936"/>
      <c r="LYU71" s="2936"/>
      <c r="LYV71" s="2936"/>
      <c r="LYW71" s="2936"/>
      <c r="LYX71" s="2936"/>
      <c r="LYY71" s="2936"/>
      <c r="LYZ71" s="2936"/>
      <c r="LZA71" s="2936"/>
      <c r="LZB71" s="2936"/>
      <c r="LZC71" s="2936"/>
      <c r="LZD71" s="2936"/>
      <c r="LZE71" s="2936"/>
      <c r="LZF71" s="2936"/>
      <c r="LZG71" s="2936"/>
      <c r="LZH71" s="2936"/>
      <c r="LZI71" s="2936"/>
      <c r="LZJ71" s="2936"/>
      <c r="LZK71" s="2936"/>
      <c r="LZL71" s="2936"/>
      <c r="LZM71" s="2936"/>
      <c r="LZN71" s="2936"/>
      <c r="LZO71" s="2936"/>
      <c r="LZP71" s="2936"/>
      <c r="LZQ71" s="2936"/>
      <c r="LZR71" s="2936"/>
      <c r="LZS71" s="2936"/>
      <c r="LZT71" s="2936"/>
      <c r="LZU71" s="2936"/>
      <c r="LZV71" s="2936"/>
      <c r="LZW71" s="2936"/>
      <c r="LZX71" s="2936"/>
      <c r="LZY71" s="2936"/>
      <c r="LZZ71" s="2936"/>
      <c r="MAA71" s="2936"/>
      <c r="MAB71" s="2936"/>
      <c r="MAC71" s="2936"/>
      <c r="MAD71" s="2936"/>
      <c r="MAE71" s="2936"/>
      <c r="MAF71" s="2936"/>
      <c r="MAG71" s="2936"/>
      <c r="MAH71" s="2936"/>
      <c r="MAI71" s="2936"/>
      <c r="MAJ71" s="2936"/>
      <c r="MAK71" s="2936"/>
      <c r="MAL71" s="2936"/>
      <c r="MAM71" s="2936"/>
      <c r="MAN71" s="2936"/>
      <c r="MAO71" s="2936"/>
      <c r="MAP71" s="2936"/>
      <c r="MAQ71" s="2936"/>
      <c r="MAR71" s="2936"/>
      <c r="MAS71" s="2936"/>
      <c r="MAT71" s="2936"/>
      <c r="MAU71" s="2936"/>
      <c r="MAV71" s="2936"/>
      <c r="MAW71" s="2936"/>
      <c r="MAX71" s="2936"/>
      <c r="MAY71" s="2936"/>
      <c r="MAZ71" s="2936"/>
      <c r="MBA71" s="2936"/>
      <c r="MBB71" s="2936"/>
      <c r="MBC71" s="2936"/>
      <c r="MBD71" s="2936"/>
      <c r="MBE71" s="2936"/>
      <c r="MBF71" s="2936"/>
      <c r="MBG71" s="2936"/>
      <c r="MBH71" s="2936"/>
      <c r="MBI71" s="2936"/>
      <c r="MBJ71" s="2936"/>
      <c r="MBK71" s="2936"/>
      <c r="MBL71" s="2936"/>
      <c r="MBM71" s="2936"/>
      <c r="MBN71" s="2936"/>
      <c r="MBO71" s="2936"/>
      <c r="MBP71" s="2936"/>
      <c r="MBQ71" s="2936"/>
      <c r="MBR71" s="2936"/>
      <c r="MBS71" s="2936"/>
      <c r="MBT71" s="2936"/>
      <c r="MBU71" s="2936"/>
      <c r="MBV71" s="2936"/>
      <c r="MBW71" s="2936"/>
      <c r="MBX71" s="2936"/>
      <c r="MBY71" s="2936"/>
      <c r="MBZ71" s="2936"/>
      <c r="MCA71" s="2936"/>
      <c r="MCB71" s="2936"/>
      <c r="MCC71" s="2936"/>
      <c r="MCD71" s="2936"/>
      <c r="MCE71" s="2936"/>
      <c r="MCF71" s="2936"/>
      <c r="MCG71" s="2936"/>
      <c r="MCH71" s="2936"/>
      <c r="MCI71" s="2936"/>
      <c r="MCJ71" s="2936"/>
      <c r="MCK71" s="2936"/>
      <c r="MCL71" s="2936"/>
      <c r="MCM71" s="2936"/>
      <c r="MCN71" s="2936"/>
      <c r="MCO71" s="2936"/>
      <c r="MCP71" s="2936"/>
      <c r="MCQ71" s="2936"/>
      <c r="MCR71" s="2936"/>
      <c r="MCS71" s="2936"/>
      <c r="MCT71" s="2936"/>
      <c r="MCU71" s="2936"/>
      <c r="MCV71" s="2936"/>
      <c r="MCW71" s="2936"/>
      <c r="MCX71" s="2936"/>
      <c r="MCY71" s="2936"/>
      <c r="MCZ71" s="2936"/>
      <c r="MDA71" s="2936"/>
      <c r="MDB71" s="2936"/>
      <c r="MDC71" s="2936"/>
      <c r="MDD71" s="2936"/>
      <c r="MDE71" s="2936"/>
      <c r="MDF71" s="2936"/>
      <c r="MDG71" s="2936"/>
      <c r="MDH71" s="2936"/>
      <c r="MDI71" s="2936"/>
      <c r="MDJ71" s="2936"/>
      <c r="MDK71" s="2936"/>
      <c r="MDL71" s="2936"/>
      <c r="MDM71" s="2936"/>
      <c r="MDN71" s="2936"/>
      <c r="MDO71" s="2936"/>
      <c r="MDP71" s="2936"/>
      <c r="MDQ71" s="2936"/>
      <c r="MDR71" s="2936"/>
      <c r="MDS71" s="2936"/>
      <c r="MDT71" s="2936"/>
      <c r="MDU71" s="2936"/>
      <c r="MDV71" s="2936"/>
      <c r="MDW71" s="2936"/>
      <c r="MDX71" s="2936"/>
      <c r="MDY71" s="2936"/>
      <c r="MDZ71" s="2936"/>
      <c r="MEA71" s="2936"/>
      <c r="MEB71" s="2936"/>
      <c r="MEC71" s="2936"/>
      <c r="MED71" s="2936"/>
      <c r="MEE71" s="2936"/>
      <c r="MEF71" s="2936"/>
      <c r="MEG71" s="2936"/>
      <c r="MEH71" s="2936"/>
      <c r="MEI71" s="2936"/>
      <c r="MEJ71" s="2936"/>
      <c r="MEK71" s="2936"/>
      <c r="MEL71" s="2936"/>
      <c r="MEM71" s="2936"/>
      <c r="MEN71" s="2936"/>
      <c r="MEO71" s="2936"/>
      <c r="MEP71" s="2936"/>
      <c r="MEQ71" s="2936"/>
      <c r="MER71" s="2936"/>
      <c r="MES71" s="2936"/>
      <c r="MET71" s="2936"/>
      <c r="MEU71" s="2936"/>
      <c r="MEV71" s="2936"/>
      <c r="MEW71" s="2936"/>
      <c r="MEX71" s="2936"/>
      <c r="MEY71" s="2936"/>
      <c r="MEZ71" s="2936"/>
      <c r="MFA71" s="2936"/>
      <c r="MFB71" s="2936"/>
      <c r="MFC71" s="2936"/>
      <c r="MFD71" s="2936"/>
      <c r="MFE71" s="2936"/>
      <c r="MFF71" s="2936"/>
      <c r="MFG71" s="2936"/>
      <c r="MFH71" s="2936"/>
      <c r="MFI71" s="2936"/>
      <c r="MFJ71" s="2936"/>
      <c r="MFK71" s="2936"/>
      <c r="MFL71" s="2936"/>
      <c r="MFM71" s="2936"/>
      <c r="MFN71" s="2936"/>
      <c r="MFO71" s="2936"/>
      <c r="MFP71" s="2936"/>
      <c r="MFQ71" s="2936"/>
      <c r="MFR71" s="2936"/>
      <c r="MFS71" s="2936"/>
      <c r="MFT71" s="2936"/>
      <c r="MFU71" s="2936"/>
      <c r="MFV71" s="2936"/>
      <c r="MFW71" s="2936"/>
      <c r="MFX71" s="2936"/>
      <c r="MFY71" s="2936"/>
      <c r="MFZ71" s="2936"/>
      <c r="MGA71" s="2936"/>
      <c r="MGB71" s="2936"/>
      <c r="MGC71" s="2936"/>
      <c r="MGD71" s="2936"/>
      <c r="MGE71" s="2936"/>
      <c r="MGF71" s="2936"/>
      <c r="MGG71" s="2936"/>
      <c r="MGH71" s="2936"/>
      <c r="MGI71" s="2936"/>
      <c r="MGJ71" s="2936"/>
      <c r="MGK71" s="2936"/>
      <c r="MGL71" s="2936"/>
      <c r="MGM71" s="2936"/>
      <c r="MGN71" s="2936"/>
      <c r="MGO71" s="2936"/>
      <c r="MGP71" s="2936"/>
      <c r="MGQ71" s="2936"/>
      <c r="MGR71" s="2936"/>
      <c r="MGS71" s="2936"/>
      <c r="MGT71" s="2936"/>
      <c r="MGU71" s="2936"/>
      <c r="MGV71" s="2936"/>
      <c r="MGW71" s="2936"/>
      <c r="MGX71" s="2936"/>
      <c r="MGY71" s="2936"/>
      <c r="MGZ71" s="2936"/>
      <c r="MHA71" s="2936"/>
      <c r="MHB71" s="2936"/>
      <c r="MHC71" s="2936"/>
      <c r="MHD71" s="2936"/>
      <c r="MHE71" s="2936"/>
      <c r="MHF71" s="2936"/>
      <c r="MHG71" s="2936"/>
      <c r="MHH71" s="2936"/>
      <c r="MHI71" s="2936"/>
      <c r="MHJ71" s="2936"/>
      <c r="MHK71" s="2936"/>
      <c r="MHL71" s="2936"/>
      <c r="MHM71" s="2936"/>
      <c r="MHN71" s="2936"/>
      <c r="MHO71" s="2936"/>
      <c r="MHP71" s="2936"/>
      <c r="MHQ71" s="2936"/>
      <c r="MHR71" s="2936"/>
      <c r="MHS71" s="2936"/>
      <c r="MHT71" s="2936"/>
      <c r="MHU71" s="2936"/>
      <c r="MHV71" s="2936"/>
      <c r="MHW71" s="2936"/>
      <c r="MHX71" s="2936"/>
      <c r="MHY71" s="2936"/>
      <c r="MHZ71" s="2936"/>
      <c r="MIA71" s="2936"/>
      <c r="MIB71" s="2936"/>
      <c r="MIC71" s="2936"/>
      <c r="MID71" s="2936"/>
      <c r="MIE71" s="2936"/>
      <c r="MIF71" s="2936"/>
      <c r="MIG71" s="2936"/>
      <c r="MIH71" s="2936"/>
      <c r="MII71" s="2936"/>
      <c r="MIJ71" s="2936"/>
      <c r="MIK71" s="2936"/>
      <c r="MIL71" s="2936"/>
      <c r="MIM71" s="2936"/>
      <c r="MIN71" s="2936"/>
      <c r="MIO71" s="2936"/>
      <c r="MIP71" s="2936"/>
      <c r="MIQ71" s="2936"/>
      <c r="MIR71" s="2936"/>
      <c r="MIS71" s="2936"/>
      <c r="MIT71" s="2936"/>
      <c r="MIU71" s="2936"/>
      <c r="MIV71" s="2936"/>
      <c r="MIW71" s="2936"/>
      <c r="MIX71" s="2936"/>
      <c r="MIY71" s="2936"/>
      <c r="MIZ71" s="2936"/>
      <c r="MJA71" s="2936"/>
      <c r="MJB71" s="2936"/>
      <c r="MJC71" s="2936"/>
      <c r="MJD71" s="2936"/>
      <c r="MJE71" s="2936"/>
      <c r="MJF71" s="2936"/>
      <c r="MJG71" s="2936"/>
      <c r="MJH71" s="2936"/>
      <c r="MJI71" s="2936"/>
      <c r="MJJ71" s="2936"/>
      <c r="MJK71" s="2936"/>
      <c r="MJL71" s="2936"/>
      <c r="MJM71" s="2936"/>
      <c r="MJN71" s="2936"/>
      <c r="MJO71" s="2936"/>
      <c r="MJP71" s="2936"/>
      <c r="MJQ71" s="2936"/>
      <c r="MJR71" s="2936"/>
      <c r="MJS71" s="2936"/>
      <c r="MJT71" s="2936"/>
      <c r="MJU71" s="2936"/>
      <c r="MJV71" s="2936"/>
      <c r="MJW71" s="2936"/>
      <c r="MJX71" s="2936"/>
      <c r="MJY71" s="2936"/>
      <c r="MJZ71" s="2936"/>
      <c r="MKA71" s="2936"/>
      <c r="MKB71" s="2936"/>
      <c r="MKC71" s="2936"/>
      <c r="MKD71" s="2936"/>
      <c r="MKE71" s="2936"/>
      <c r="MKF71" s="2936"/>
      <c r="MKG71" s="2936"/>
      <c r="MKH71" s="2936"/>
      <c r="MKI71" s="2936"/>
      <c r="MKJ71" s="2936"/>
      <c r="MKK71" s="2936"/>
      <c r="MKL71" s="2936"/>
      <c r="MKM71" s="2936"/>
      <c r="MKN71" s="2936"/>
      <c r="MKO71" s="2936"/>
      <c r="MKP71" s="2936"/>
      <c r="MKQ71" s="2936"/>
      <c r="MKR71" s="2936"/>
      <c r="MKS71" s="2936"/>
      <c r="MKT71" s="2936"/>
      <c r="MKU71" s="2936"/>
      <c r="MKV71" s="2936"/>
      <c r="MKW71" s="2936"/>
      <c r="MKX71" s="2936"/>
      <c r="MKY71" s="2936"/>
      <c r="MKZ71" s="2936"/>
      <c r="MLA71" s="2936"/>
      <c r="MLB71" s="2936"/>
      <c r="MLC71" s="2936"/>
      <c r="MLD71" s="2936"/>
      <c r="MLE71" s="2936"/>
      <c r="MLF71" s="2936"/>
      <c r="MLG71" s="2936"/>
      <c r="MLH71" s="2936"/>
      <c r="MLI71" s="2936"/>
      <c r="MLJ71" s="2936"/>
      <c r="MLK71" s="2936"/>
      <c r="MLL71" s="2936"/>
      <c r="MLM71" s="2936"/>
      <c r="MLN71" s="2936"/>
      <c r="MLO71" s="2936"/>
      <c r="MLP71" s="2936"/>
      <c r="MLQ71" s="2936"/>
      <c r="MLR71" s="2936"/>
      <c r="MLS71" s="2936"/>
      <c r="MLT71" s="2936"/>
      <c r="MLU71" s="2936"/>
      <c r="MLV71" s="2936"/>
      <c r="MLW71" s="2936"/>
      <c r="MLX71" s="2936"/>
      <c r="MLY71" s="2936"/>
      <c r="MLZ71" s="2936"/>
      <c r="MMA71" s="2936"/>
      <c r="MMB71" s="2936"/>
      <c r="MMC71" s="2936"/>
      <c r="MMD71" s="2936"/>
      <c r="MME71" s="2936"/>
      <c r="MMF71" s="2936"/>
      <c r="MMG71" s="2936"/>
      <c r="MMH71" s="2936"/>
      <c r="MMI71" s="2936"/>
      <c r="MMJ71" s="2936"/>
      <c r="MMK71" s="2936"/>
      <c r="MML71" s="2936"/>
      <c r="MMM71" s="2936"/>
      <c r="MMN71" s="2936"/>
      <c r="MMO71" s="2936"/>
      <c r="MMP71" s="2936"/>
      <c r="MMQ71" s="2936"/>
      <c r="MMR71" s="2936"/>
      <c r="MMS71" s="2936"/>
      <c r="MMT71" s="2936"/>
      <c r="MMU71" s="2936"/>
      <c r="MMV71" s="2936"/>
      <c r="MMW71" s="2936"/>
      <c r="MMX71" s="2936"/>
      <c r="MMY71" s="2936"/>
      <c r="MMZ71" s="2936"/>
      <c r="MNA71" s="2936"/>
      <c r="MNB71" s="2936"/>
      <c r="MNC71" s="2936"/>
      <c r="MND71" s="2936"/>
      <c r="MNE71" s="2936"/>
      <c r="MNF71" s="2936"/>
      <c r="MNG71" s="2936"/>
      <c r="MNH71" s="2936"/>
      <c r="MNI71" s="2936"/>
      <c r="MNJ71" s="2936"/>
      <c r="MNK71" s="2936"/>
      <c r="MNL71" s="2936"/>
      <c r="MNM71" s="2936"/>
      <c r="MNN71" s="2936"/>
      <c r="MNO71" s="2936"/>
      <c r="MNP71" s="2936"/>
      <c r="MNQ71" s="2936"/>
      <c r="MNR71" s="2936"/>
      <c r="MNS71" s="2936"/>
      <c r="MNT71" s="2936"/>
      <c r="MNU71" s="2936"/>
      <c r="MNV71" s="2936"/>
      <c r="MNW71" s="2936"/>
      <c r="MNX71" s="2936"/>
      <c r="MNY71" s="2936"/>
      <c r="MNZ71" s="2936"/>
      <c r="MOA71" s="2936"/>
      <c r="MOB71" s="2936"/>
      <c r="MOC71" s="2936"/>
      <c r="MOD71" s="2936"/>
      <c r="MOE71" s="2936"/>
      <c r="MOF71" s="2936"/>
      <c r="MOG71" s="2936"/>
      <c r="MOH71" s="2936"/>
      <c r="MOI71" s="2936"/>
      <c r="MOJ71" s="2936"/>
      <c r="MOK71" s="2936"/>
      <c r="MOL71" s="2936"/>
      <c r="MOM71" s="2936"/>
      <c r="MON71" s="2936"/>
      <c r="MOO71" s="2936"/>
      <c r="MOP71" s="2936"/>
      <c r="MOQ71" s="2936"/>
      <c r="MOR71" s="2936"/>
      <c r="MOS71" s="2936"/>
      <c r="MOT71" s="2936"/>
      <c r="MOU71" s="2936"/>
      <c r="MOV71" s="2936"/>
      <c r="MOW71" s="2936"/>
      <c r="MOX71" s="2936"/>
      <c r="MOY71" s="2936"/>
      <c r="MOZ71" s="2936"/>
      <c r="MPA71" s="2936"/>
      <c r="MPB71" s="2936"/>
      <c r="MPC71" s="2936"/>
      <c r="MPD71" s="2936"/>
      <c r="MPE71" s="2936"/>
      <c r="MPF71" s="2936"/>
      <c r="MPG71" s="2936"/>
      <c r="MPH71" s="2936"/>
      <c r="MPI71" s="2936"/>
      <c r="MPJ71" s="2936"/>
      <c r="MPK71" s="2936"/>
      <c r="MPL71" s="2936"/>
      <c r="MPM71" s="2936"/>
      <c r="MPN71" s="2936"/>
      <c r="MPO71" s="2936"/>
      <c r="MPP71" s="2936"/>
      <c r="MPQ71" s="2936"/>
      <c r="MPR71" s="2936"/>
      <c r="MPS71" s="2936"/>
      <c r="MPT71" s="2936"/>
      <c r="MPU71" s="2936"/>
      <c r="MPV71" s="2936"/>
      <c r="MPW71" s="2936"/>
      <c r="MPX71" s="2936"/>
      <c r="MPY71" s="2936"/>
      <c r="MPZ71" s="2936"/>
      <c r="MQA71" s="2936"/>
      <c r="MQB71" s="2936"/>
      <c r="MQC71" s="2936"/>
      <c r="MQD71" s="2936"/>
      <c r="MQE71" s="2936"/>
      <c r="MQF71" s="2936"/>
      <c r="MQG71" s="2936"/>
      <c r="MQH71" s="2936"/>
      <c r="MQI71" s="2936"/>
      <c r="MQJ71" s="2936"/>
      <c r="MQK71" s="2936"/>
      <c r="MQL71" s="2936"/>
      <c r="MQM71" s="2936"/>
      <c r="MQN71" s="2936"/>
      <c r="MQO71" s="2936"/>
      <c r="MQP71" s="2936"/>
      <c r="MQQ71" s="2936"/>
      <c r="MQR71" s="2936"/>
      <c r="MQS71" s="2936"/>
      <c r="MQT71" s="2936"/>
      <c r="MQU71" s="2936"/>
      <c r="MQV71" s="2936"/>
      <c r="MQW71" s="2936"/>
      <c r="MQX71" s="2936"/>
      <c r="MQY71" s="2936"/>
      <c r="MQZ71" s="2936"/>
      <c r="MRA71" s="2936"/>
      <c r="MRB71" s="2936"/>
      <c r="MRC71" s="2936"/>
      <c r="MRD71" s="2936"/>
      <c r="MRE71" s="2936"/>
      <c r="MRF71" s="2936"/>
      <c r="MRG71" s="2936"/>
      <c r="MRH71" s="2936"/>
      <c r="MRI71" s="2936"/>
      <c r="MRJ71" s="2936"/>
      <c r="MRK71" s="2936"/>
      <c r="MRL71" s="2936"/>
      <c r="MRM71" s="2936"/>
      <c r="MRN71" s="2936"/>
      <c r="MRO71" s="2936"/>
      <c r="MRP71" s="2936"/>
      <c r="MRQ71" s="2936"/>
      <c r="MRR71" s="2936"/>
      <c r="MRS71" s="2936"/>
      <c r="MRT71" s="2936"/>
      <c r="MRU71" s="2936"/>
      <c r="MRV71" s="2936"/>
      <c r="MRW71" s="2936"/>
      <c r="MRX71" s="2936"/>
      <c r="MRY71" s="2936"/>
      <c r="MRZ71" s="2936"/>
      <c r="MSA71" s="2936"/>
      <c r="MSB71" s="2936"/>
      <c r="MSC71" s="2936"/>
      <c r="MSD71" s="2936"/>
      <c r="MSE71" s="2936"/>
      <c r="MSF71" s="2936"/>
      <c r="MSG71" s="2936"/>
      <c r="MSH71" s="2936"/>
      <c r="MSI71" s="2936"/>
      <c r="MSJ71" s="2936"/>
      <c r="MSK71" s="2936"/>
      <c r="MSL71" s="2936"/>
      <c r="MSM71" s="2936"/>
      <c r="MSN71" s="2936"/>
      <c r="MSO71" s="2936"/>
      <c r="MSP71" s="2936"/>
      <c r="MSQ71" s="2936"/>
      <c r="MSR71" s="2936"/>
      <c r="MSS71" s="2936"/>
      <c r="MST71" s="2936"/>
      <c r="MSU71" s="2936"/>
      <c r="MSV71" s="2936"/>
      <c r="MSW71" s="2936"/>
      <c r="MSX71" s="2936"/>
      <c r="MSY71" s="2936"/>
      <c r="MSZ71" s="2936"/>
      <c r="MTA71" s="2936"/>
      <c r="MTB71" s="2936"/>
      <c r="MTC71" s="2936"/>
      <c r="MTD71" s="2936"/>
      <c r="MTE71" s="2936"/>
      <c r="MTF71" s="2936"/>
      <c r="MTG71" s="2936"/>
      <c r="MTH71" s="2936"/>
      <c r="MTI71" s="2936"/>
      <c r="MTJ71" s="2936"/>
      <c r="MTK71" s="2936"/>
      <c r="MTL71" s="2936"/>
      <c r="MTM71" s="2936"/>
      <c r="MTN71" s="2936"/>
      <c r="MTO71" s="2936"/>
      <c r="MTP71" s="2936"/>
      <c r="MTQ71" s="2936"/>
      <c r="MTR71" s="2936"/>
      <c r="MTS71" s="2936"/>
      <c r="MTT71" s="2936"/>
      <c r="MTU71" s="2936"/>
      <c r="MTV71" s="2936"/>
      <c r="MTW71" s="2936"/>
      <c r="MTX71" s="2936"/>
      <c r="MTY71" s="2936"/>
      <c r="MTZ71" s="2936"/>
      <c r="MUA71" s="2936"/>
      <c r="MUB71" s="2936"/>
      <c r="MUC71" s="2936"/>
      <c r="MUD71" s="2936"/>
      <c r="MUE71" s="2936"/>
      <c r="MUF71" s="2936"/>
      <c r="MUG71" s="2936"/>
      <c r="MUH71" s="2936"/>
      <c r="MUI71" s="2936"/>
      <c r="MUJ71" s="2936"/>
      <c r="MUK71" s="2936"/>
      <c r="MUL71" s="2936"/>
      <c r="MUM71" s="2936"/>
      <c r="MUN71" s="2936"/>
      <c r="MUO71" s="2936"/>
      <c r="MUP71" s="2936"/>
      <c r="MUQ71" s="2936"/>
      <c r="MUR71" s="2936"/>
      <c r="MUS71" s="2936"/>
      <c r="MUT71" s="2936"/>
      <c r="MUU71" s="2936"/>
      <c r="MUV71" s="2936"/>
      <c r="MUW71" s="2936"/>
      <c r="MUX71" s="2936"/>
      <c r="MUY71" s="2936"/>
      <c r="MUZ71" s="2936"/>
      <c r="MVA71" s="2936"/>
      <c r="MVB71" s="2936"/>
      <c r="MVC71" s="2936"/>
      <c r="MVD71" s="2936"/>
      <c r="MVE71" s="2936"/>
      <c r="MVF71" s="2936"/>
      <c r="MVG71" s="2936"/>
      <c r="MVH71" s="2936"/>
      <c r="MVI71" s="2936"/>
      <c r="MVJ71" s="2936"/>
      <c r="MVK71" s="2936"/>
      <c r="MVL71" s="2936"/>
      <c r="MVM71" s="2936"/>
      <c r="MVN71" s="2936"/>
      <c r="MVO71" s="2936"/>
      <c r="MVP71" s="2936"/>
      <c r="MVQ71" s="2936"/>
      <c r="MVR71" s="2936"/>
      <c r="MVS71" s="2936"/>
      <c r="MVT71" s="2936"/>
      <c r="MVU71" s="2936"/>
      <c r="MVV71" s="2936"/>
      <c r="MVW71" s="2936"/>
      <c r="MVX71" s="2936"/>
      <c r="MVY71" s="2936"/>
      <c r="MVZ71" s="2936"/>
      <c r="MWA71" s="2936"/>
      <c r="MWB71" s="2936"/>
      <c r="MWC71" s="2936"/>
      <c r="MWD71" s="2936"/>
      <c r="MWE71" s="2936"/>
      <c r="MWF71" s="2936"/>
      <c r="MWG71" s="2936"/>
      <c r="MWH71" s="2936"/>
      <c r="MWI71" s="2936"/>
      <c r="MWJ71" s="2936"/>
      <c r="MWK71" s="2936"/>
      <c r="MWL71" s="2936"/>
      <c r="MWM71" s="2936"/>
      <c r="MWN71" s="2936"/>
      <c r="MWO71" s="2936"/>
      <c r="MWP71" s="2936"/>
      <c r="MWQ71" s="2936"/>
      <c r="MWR71" s="2936"/>
      <c r="MWS71" s="2936"/>
      <c r="MWT71" s="2936"/>
      <c r="MWU71" s="2936"/>
      <c r="MWV71" s="2936"/>
      <c r="MWW71" s="2936"/>
      <c r="MWX71" s="2936"/>
      <c r="MWY71" s="2936"/>
      <c r="MWZ71" s="2936"/>
      <c r="MXA71" s="2936"/>
      <c r="MXB71" s="2936"/>
      <c r="MXC71" s="2936"/>
      <c r="MXD71" s="2936"/>
      <c r="MXE71" s="2936"/>
      <c r="MXF71" s="2936"/>
      <c r="MXG71" s="2936"/>
      <c r="MXH71" s="2936"/>
      <c r="MXI71" s="2936"/>
      <c r="MXJ71" s="2936"/>
      <c r="MXK71" s="2936"/>
      <c r="MXL71" s="2936"/>
      <c r="MXM71" s="2936"/>
      <c r="MXN71" s="2936"/>
      <c r="MXO71" s="2936"/>
      <c r="MXP71" s="2936"/>
      <c r="MXQ71" s="2936"/>
      <c r="MXR71" s="2936"/>
      <c r="MXS71" s="2936"/>
      <c r="MXT71" s="2936"/>
      <c r="MXU71" s="2936"/>
      <c r="MXV71" s="2936"/>
      <c r="MXW71" s="2936"/>
      <c r="MXX71" s="2936"/>
      <c r="MXY71" s="2936"/>
      <c r="MXZ71" s="2936"/>
      <c r="MYA71" s="2936"/>
      <c r="MYB71" s="2936"/>
      <c r="MYC71" s="2936"/>
      <c r="MYD71" s="2936"/>
      <c r="MYE71" s="2936"/>
      <c r="MYF71" s="2936"/>
      <c r="MYG71" s="2936"/>
      <c r="MYH71" s="2936"/>
      <c r="MYI71" s="2936"/>
      <c r="MYJ71" s="2936"/>
      <c r="MYK71" s="2936"/>
      <c r="MYL71" s="2936"/>
      <c r="MYM71" s="2936"/>
      <c r="MYN71" s="2936"/>
      <c r="MYO71" s="2936"/>
      <c r="MYP71" s="2936"/>
      <c r="MYQ71" s="2936"/>
      <c r="MYR71" s="2936"/>
      <c r="MYS71" s="2936"/>
      <c r="MYT71" s="2936"/>
      <c r="MYU71" s="2936"/>
      <c r="MYV71" s="2936"/>
      <c r="MYW71" s="2936"/>
      <c r="MYX71" s="2936"/>
      <c r="MYY71" s="2936"/>
      <c r="MYZ71" s="2936"/>
      <c r="MZA71" s="2936"/>
      <c r="MZB71" s="2936"/>
      <c r="MZC71" s="2936"/>
      <c r="MZD71" s="2936"/>
      <c r="MZE71" s="2936"/>
      <c r="MZF71" s="2936"/>
      <c r="MZG71" s="2936"/>
      <c r="MZH71" s="2936"/>
      <c r="MZI71" s="2936"/>
      <c r="MZJ71" s="2936"/>
      <c r="MZK71" s="2936"/>
      <c r="MZL71" s="2936"/>
      <c r="MZM71" s="2936"/>
      <c r="MZN71" s="2936"/>
      <c r="MZO71" s="2936"/>
      <c r="MZP71" s="2936"/>
      <c r="MZQ71" s="2936"/>
      <c r="MZR71" s="2936"/>
      <c r="MZS71" s="2936"/>
      <c r="MZT71" s="2936"/>
      <c r="MZU71" s="2936"/>
      <c r="MZV71" s="2936"/>
      <c r="MZW71" s="2936"/>
      <c r="MZX71" s="2936"/>
      <c r="MZY71" s="2936"/>
      <c r="MZZ71" s="2936"/>
      <c r="NAA71" s="2936"/>
      <c r="NAB71" s="2936"/>
      <c r="NAC71" s="2936"/>
      <c r="NAD71" s="2936"/>
      <c r="NAE71" s="2936"/>
      <c r="NAF71" s="2936"/>
      <c r="NAG71" s="2936"/>
      <c r="NAH71" s="2936"/>
      <c r="NAI71" s="2936"/>
      <c r="NAJ71" s="2936"/>
      <c r="NAK71" s="2936"/>
      <c r="NAL71" s="2936"/>
      <c r="NAM71" s="2936"/>
      <c r="NAN71" s="2936"/>
      <c r="NAO71" s="2936"/>
      <c r="NAP71" s="2936"/>
      <c r="NAQ71" s="2936"/>
      <c r="NAR71" s="2936"/>
      <c r="NAS71" s="2936"/>
      <c r="NAT71" s="2936"/>
      <c r="NAU71" s="2936"/>
      <c r="NAV71" s="2936"/>
      <c r="NAW71" s="2936"/>
      <c r="NAX71" s="2936"/>
      <c r="NAY71" s="2936"/>
      <c r="NAZ71" s="2936"/>
      <c r="NBA71" s="2936"/>
      <c r="NBB71" s="2936"/>
      <c r="NBC71" s="2936"/>
      <c r="NBD71" s="2936"/>
      <c r="NBE71" s="2936"/>
      <c r="NBF71" s="2936"/>
      <c r="NBG71" s="2936"/>
      <c r="NBH71" s="2936"/>
      <c r="NBI71" s="2936"/>
      <c r="NBJ71" s="2936"/>
      <c r="NBK71" s="2936"/>
      <c r="NBL71" s="2936"/>
      <c r="NBM71" s="2936"/>
      <c r="NBN71" s="2936"/>
      <c r="NBO71" s="2936"/>
      <c r="NBP71" s="2936"/>
      <c r="NBQ71" s="2936"/>
      <c r="NBR71" s="2936"/>
      <c r="NBS71" s="2936"/>
      <c r="NBT71" s="2936"/>
      <c r="NBU71" s="2936"/>
      <c r="NBV71" s="2936"/>
      <c r="NBW71" s="2936"/>
      <c r="NBX71" s="2936"/>
      <c r="NBY71" s="2936"/>
      <c r="NBZ71" s="2936"/>
      <c r="NCA71" s="2936"/>
      <c r="NCB71" s="2936"/>
      <c r="NCC71" s="2936"/>
      <c r="NCD71" s="2936"/>
      <c r="NCE71" s="2936"/>
      <c r="NCF71" s="2936"/>
      <c r="NCG71" s="2936"/>
      <c r="NCH71" s="2936"/>
      <c r="NCI71" s="2936"/>
      <c r="NCJ71" s="2936"/>
      <c r="NCK71" s="2936"/>
      <c r="NCL71" s="2936"/>
      <c r="NCM71" s="2936"/>
      <c r="NCN71" s="2936"/>
      <c r="NCO71" s="2936"/>
      <c r="NCP71" s="2936"/>
      <c r="NCQ71" s="2936"/>
      <c r="NCR71" s="2936"/>
      <c r="NCS71" s="2936"/>
      <c r="NCT71" s="2936"/>
      <c r="NCU71" s="2936"/>
      <c r="NCV71" s="2936"/>
      <c r="NCW71" s="2936"/>
      <c r="NCX71" s="2936"/>
      <c r="NCY71" s="2936"/>
      <c r="NCZ71" s="2936"/>
      <c r="NDA71" s="2936"/>
      <c r="NDB71" s="2936"/>
      <c r="NDC71" s="2936"/>
      <c r="NDD71" s="2936"/>
      <c r="NDE71" s="2936"/>
      <c r="NDF71" s="2936"/>
      <c r="NDG71" s="2936"/>
      <c r="NDH71" s="2936"/>
      <c r="NDI71" s="2936"/>
      <c r="NDJ71" s="2936"/>
      <c r="NDK71" s="2936"/>
      <c r="NDL71" s="2936"/>
      <c r="NDM71" s="2936"/>
      <c r="NDN71" s="2936"/>
      <c r="NDO71" s="2936"/>
      <c r="NDP71" s="2936"/>
      <c r="NDQ71" s="2936"/>
      <c r="NDR71" s="2936"/>
      <c r="NDS71" s="2936"/>
      <c r="NDT71" s="2936"/>
      <c r="NDU71" s="2936"/>
      <c r="NDV71" s="2936"/>
      <c r="NDW71" s="2936"/>
      <c r="NDX71" s="2936"/>
      <c r="NDY71" s="2936"/>
      <c r="NDZ71" s="2936"/>
      <c r="NEA71" s="2936"/>
      <c r="NEB71" s="2936"/>
      <c r="NEC71" s="2936"/>
      <c r="NED71" s="2936"/>
      <c r="NEE71" s="2936"/>
      <c r="NEF71" s="2936"/>
      <c r="NEG71" s="2936"/>
      <c r="NEH71" s="2936"/>
      <c r="NEI71" s="2936"/>
      <c r="NEJ71" s="2936"/>
      <c r="NEK71" s="2936"/>
      <c r="NEL71" s="2936"/>
      <c r="NEM71" s="2936"/>
      <c r="NEN71" s="2936"/>
      <c r="NEO71" s="2936"/>
      <c r="NEP71" s="2936"/>
      <c r="NEQ71" s="2936"/>
      <c r="NER71" s="2936"/>
      <c r="NES71" s="2936"/>
      <c r="NET71" s="2936"/>
      <c r="NEU71" s="2936"/>
      <c r="NEV71" s="2936"/>
      <c r="NEW71" s="2936"/>
      <c r="NEX71" s="2936"/>
      <c r="NEY71" s="2936"/>
      <c r="NEZ71" s="2936"/>
      <c r="NFA71" s="2936"/>
      <c r="NFB71" s="2936"/>
      <c r="NFC71" s="2936"/>
      <c r="NFD71" s="2936"/>
      <c r="NFE71" s="2936"/>
      <c r="NFF71" s="2936"/>
      <c r="NFG71" s="2936"/>
      <c r="NFH71" s="2936"/>
      <c r="NFI71" s="2936"/>
      <c r="NFJ71" s="2936"/>
      <c r="NFK71" s="2936"/>
      <c r="NFL71" s="2936"/>
      <c r="NFM71" s="2936"/>
      <c r="NFN71" s="2936"/>
      <c r="NFO71" s="2936"/>
      <c r="NFP71" s="2936"/>
      <c r="NFQ71" s="2936"/>
      <c r="NFR71" s="2936"/>
      <c r="NFS71" s="2936"/>
      <c r="NFT71" s="2936"/>
      <c r="NFU71" s="2936"/>
      <c r="NFV71" s="2936"/>
      <c r="NFW71" s="2936"/>
      <c r="NFX71" s="2936"/>
      <c r="NFY71" s="2936"/>
      <c r="NFZ71" s="2936"/>
      <c r="NGA71" s="2936"/>
      <c r="NGB71" s="2936"/>
      <c r="NGC71" s="2936"/>
      <c r="NGD71" s="2936"/>
      <c r="NGE71" s="2936"/>
      <c r="NGF71" s="2936"/>
      <c r="NGG71" s="2936"/>
      <c r="NGH71" s="2936"/>
      <c r="NGI71" s="2936"/>
      <c r="NGJ71" s="2936"/>
      <c r="NGK71" s="2936"/>
      <c r="NGL71" s="2936"/>
      <c r="NGM71" s="2936"/>
      <c r="NGN71" s="2936"/>
      <c r="NGO71" s="2936"/>
      <c r="NGP71" s="2936"/>
      <c r="NGQ71" s="2936"/>
      <c r="NGR71" s="2936"/>
      <c r="NGS71" s="2936"/>
      <c r="NGT71" s="2936"/>
      <c r="NGU71" s="2936"/>
      <c r="NGV71" s="2936"/>
      <c r="NGW71" s="2936"/>
      <c r="NGX71" s="2936"/>
      <c r="NGY71" s="2936"/>
      <c r="NGZ71" s="2936"/>
      <c r="NHA71" s="2936"/>
      <c r="NHB71" s="2936"/>
      <c r="NHC71" s="2936"/>
      <c r="NHD71" s="2936"/>
      <c r="NHE71" s="2936"/>
      <c r="NHF71" s="2936"/>
      <c r="NHG71" s="2936"/>
      <c r="NHH71" s="2936"/>
      <c r="NHI71" s="2936"/>
      <c r="NHJ71" s="2936"/>
      <c r="NHK71" s="2936"/>
      <c r="NHL71" s="2936"/>
      <c r="NHM71" s="2936"/>
      <c r="NHN71" s="2936"/>
      <c r="NHO71" s="2936"/>
      <c r="NHP71" s="2936"/>
      <c r="NHQ71" s="2936"/>
      <c r="NHR71" s="2936"/>
      <c r="NHS71" s="2936"/>
      <c r="NHT71" s="2936"/>
      <c r="NHU71" s="2936"/>
      <c r="NHV71" s="2936"/>
      <c r="NHW71" s="2936"/>
      <c r="NHX71" s="2936"/>
      <c r="NHY71" s="2936"/>
      <c r="NHZ71" s="2936"/>
      <c r="NIA71" s="2936"/>
      <c r="NIB71" s="2936"/>
      <c r="NIC71" s="2936"/>
      <c r="NID71" s="2936"/>
      <c r="NIE71" s="2936"/>
      <c r="NIF71" s="2936"/>
      <c r="NIG71" s="2936"/>
      <c r="NIH71" s="2936"/>
      <c r="NII71" s="2936"/>
      <c r="NIJ71" s="2936"/>
      <c r="NIK71" s="2936"/>
      <c r="NIL71" s="2936"/>
      <c r="NIM71" s="2936"/>
      <c r="NIN71" s="2936"/>
      <c r="NIO71" s="2936"/>
      <c r="NIP71" s="2936"/>
      <c r="NIQ71" s="2936"/>
      <c r="NIR71" s="2936"/>
      <c r="NIS71" s="2936"/>
      <c r="NIT71" s="2936"/>
      <c r="NIU71" s="2936"/>
      <c r="NIV71" s="2936"/>
      <c r="NIW71" s="2936"/>
      <c r="NIX71" s="2936"/>
      <c r="NIY71" s="2936"/>
      <c r="NIZ71" s="2936"/>
      <c r="NJA71" s="2936"/>
      <c r="NJB71" s="2936"/>
      <c r="NJC71" s="2936"/>
      <c r="NJD71" s="2936"/>
      <c r="NJE71" s="2936"/>
      <c r="NJF71" s="2936"/>
      <c r="NJG71" s="2936"/>
      <c r="NJH71" s="2936"/>
      <c r="NJI71" s="2936"/>
      <c r="NJJ71" s="2936"/>
      <c r="NJK71" s="2936"/>
      <c r="NJL71" s="2936"/>
      <c r="NJM71" s="2936"/>
      <c r="NJN71" s="2936"/>
      <c r="NJO71" s="2936"/>
      <c r="NJP71" s="2936"/>
      <c r="NJQ71" s="2936"/>
      <c r="NJR71" s="2936"/>
      <c r="NJS71" s="2936"/>
      <c r="NJT71" s="2936"/>
      <c r="NJU71" s="2936"/>
      <c r="NJV71" s="2936"/>
      <c r="NJW71" s="2936"/>
      <c r="NJX71" s="2936"/>
      <c r="NJY71" s="2936"/>
      <c r="NJZ71" s="2936"/>
      <c r="NKA71" s="2936"/>
      <c r="NKB71" s="2936"/>
      <c r="NKC71" s="2936"/>
      <c r="NKD71" s="2936"/>
      <c r="NKE71" s="2936"/>
      <c r="NKF71" s="2936"/>
      <c r="NKG71" s="2936"/>
      <c r="NKH71" s="2936"/>
      <c r="NKI71" s="2936"/>
      <c r="NKJ71" s="2936"/>
      <c r="NKK71" s="2936"/>
      <c r="NKL71" s="2936"/>
      <c r="NKM71" s="2936"/>
      <c r="NKN71" s="2936"/>
      <c r="NKO71" s="2936"/>
      <c r="NKP71" s="2936"/>
      <c r="NKQ71" s="2936"/>
      <c r="NKR71" s="2936"/>
      <c r="NKS71" s="2936"/>
      <c r="NKT71" s="2936"/>
      <c r="NKU71" s="2936"/>
      <c r="NKV71" s="2936"/>
      <c r="NKW71" s="2936"/>
      <c r="NKX71" s="2936"/>
      <c r="NKY71" s="2936"/>
      <c r="NKZ71" s="2936"/>
      <c r="NLA71" s="2936"/>
      <c r="NLB71" s="2936"/>
      <c r="NLC71" s="2936"/>
      <c r="NLD71" s="2936"/>
      <c r="NLE71" s="2936"/>
      <c r="NLF71" s="2936"/>
      <c r="NLG71" s="2936"/>
      <c r="NLH71" s="2936"/>
      <c r="NLI71" s="2936"/>
      <c r="NLJ71" s="2936"/>
      <c r="NLK71" s="2936"/>
      <c r="NLL71" s="2936"/>
      <c r="NLM71" s="2936"/>
      <c r="NLN71" s="2936"/>
      <c r="NLO71" s="2936"/>
      <c r="NLP71" s="2936"/>
      <c r="NLQ71" s="2936"/>
      <c r="NLR71" s="2936"/>
      <c r="NLS71" s="2936"/>
      <c r="NLT71" s="2936"/>
      <c r="NLU71" s="2936"/>
      <c r="NLV71" s="2936"/>
      <c r="NLW71" s="2936"/>
      <c r="NLX71" s="2936"/>
      <c r="NLY71" s="2936"/>
      <c r="NLZ71" s="2936"/>
      <c r="NMA71" s="2936"/>
      <c r="NMB71" s="2936"/>
      <c r="NMC71" s="2936"/>
      <c r="NMD71" s="2936"/>
      <c r="NME71" s="2936"/>
      <c r="NMF71" s="2936"/>
      <c r="NMG71" s="2936"/>
      <c r="NMH71" s="2936"/>
      <c r="NMI71" s="2936"/>
      <c r="NMJ71" s="2936"/>
      <c r="NMK71" s="2936"/>
      <c r="NML71" s="2936"/>
      <c r="NMM71" s="2936"/>
      <c r="NMN71" s="2936"/>
      <c r="NMO71" s="2936"/>
      <c r="NMP71" s="2936"/>
      <c r="NMQ71" s="2936"/>
      <c r="NMR71" s="2936"/>
      <c r="NMS71" s="2936"/>
      <c r="NMT71" s="2936"/>
      <c r="NMU71" s="2936"/>
      <c r="NMV71" s="2936"/>
      <c r="NMW71" s="2936"/>
      <c r="NMX71" s="2936"/>
      <c r="NMY71" s="2936"/>
      <c r="NMZ71" s="2936"/>
      <c r="NNA71" s="2936"/>
      <c r="NNB71" s="2936"/>
      <c r="NNC71" s="2936"/>
      <c r="NND71" s="2936"/>
      <c r="NNE71" s="2936"/>
      <c r="NNF71" s="2936"/>
      <c r="NNG71" s="2936"/>
      <c r="NNH71" s="2936"/>
      <c r="NNI71" s="2936"/>
      <c r="NNJ71" s="2936"/>
      <c r="NNK71" s="2936"/>
      <c r="NNL71" s="2936"/>
      <c r="NNM71" s="2936"/>
      <c r="NNN71" s="2936"/>
      <c r="NNO71" s="2936"/>
      <c r="NNP71" s="2936"/>
      <c r="NNQ71" s="2936"/>
      <c r="NNR71" s="2936"/>
      <c r="NNS71" s="2936"/>
      <c r="NNT71" s="2936"/>
      <c r="NNU71" s="2936"/>
      <c r="NNV71" s="2936"/>
      <c r="NNW71" s="2936"/>
      <c r="NNX71" s="2936"/>
      <c r="NNY71" s="2936"/>
      <c r="NNZ71" s="2936"/>
      <c r="NOA71" s="2936"/>
      <c r="NOB71" s="2936"/>
      <c r="NOC71" s="2936"/>
      <c r="NOD71" s="2936"/>
      <c r="NOE71" s="2936"/>
      <c r="NOF71" s="2936"/>
      <c r="NOG71" s="2936"/>
      <c r="NOH71" s="2936"/>
      <c r="NOI71" s="2936"/>
      <c r="NOJ71" s="2936"/>
      <c r="NOK71" s="2936"/>
      <c r="NOL71" s="2936"/>
      <c r="NOM71" s="2936"/>
      <c r="NON71" s="2936"/>
      <c r="NOO71" s="2936"/>
      <c r="NOP71" s="2936"/>
      <c r="NOQ71" s="2936"/>
      <c r="NOR71" s="2936"/>
      <c r="NOS71" s="2936"/>
      <c r="NOT71" s="2936"/>
      <c r="NOU71" s="2936"/>
      <c r="NOV71" s="2936"/>
      <c r="NOW71" s="2936"/>
      <c r="NOX71" s="2936"/>
      <c r="NOY71" s="2936"/>
      <c r="NOZ71" s="2936"/>
      <c r="NPA71" s="2936"/>
      <c r="NPB71" s="2936"/>
      <c r="NPC71" s="2936"/>
      <c r="NPD71" s="2936"/>
      <c r="NPE71" s="2936"/>
      <c r="NPF71" s="2936"/>
      <c r="NPG71" s="2936"/>
      <c r="NPH71" s="2936"/>
      <c r="NPI71" s="2936"/>
      <c r="NPJ71" s="2936"/>
      <c r="NPK71" s="2936"/>
      <c r="NPL71" s="2936"/>
      <c r="NPM71" s="2936"/>
      <c r="NPN71" s="2936"/>
      <c r="NPO71" s="2936"/>
      <c r="NPP71" s="2936"/>
      <c r="NPQ71" s="2936"/>
      <c r="NPR71" s="2936"/>
      <c r="NPS71" s="2936"/>
      <c r="NPT71" s="2936"/>
      <c r="NPU71" s="2936"/>
      <c r="NPV71" s="2936"/>
      <c r="NPW71" s="2936"/>
      <c r="NPX71" s="2936"/>
      <c r="NPY71" s="2936"/>
      <c r="NPZ71" s="2936"/>
      <c r="NQA71" s="2936"/>
      <c r="NQB71" s="2936"/>
      <c r="NQC71" s="2936"/>
      <c r="NQD71" s="2936"/>
      <c r="NQE71" s="2936"/>
      <c r="NQF71" s="2936"/>
      <c r="NQG71" s="2936"/>
      <c r="NQH71" s="2936"/>
      <c r="NQI71" s="2936"/>
      <c r="NQJ71" s="2936"/>
      <c r="NQK71" s="2936"/>
      <c r="NQL71" s="2936"/>
      <c r="NQM71" s="2936"/>
      <c r="NQN71" s="2936"/>
      <c r="NQO71" s="2936"/>
      <c r="NQP71" s="2936"/>
      <c r="NQQ71" s="2936"/>
      <c r="NQR71" s="2936"/>
      <c r="NQS71" s="2936"/>
      <c r="NQT71" s="2936"/>
      <c r="NQU71" s="2936"/>
      <c r="NQV71" s="2936"/>
      <c r="NQW71" s="2936"/>
      <c r="NQX71" s="2936"/>
      <c r="NQY71" s="2936"/>
      <c r="NQZ71" s="2936"/>
      <c r="NRA71" s="2936"/>
      <c r="NRB71" s="2936"/>
      <c r="NRC71" s="2936"/>
      <c r="NRD71" s="2936"/>
      <c r="NRE71" s="2936"/>
      <c r="NRF71" s="2936"/>
      <c r="NRG71" s="2936"/>
      <c r="NRH71" s="2936"/>
      <c r="NRI71" s="2936"/>
      <c r="NRJ71" s="2936"/>
      <c r="NRK71" s="2936"/>
      <c r="NRL71" s="2936"/>
      <c r="NRM71" s="2936"/>
      <c r="NRN71" s="2936"/>
      <c r="NRO71" s="2936"/>
      <c r="NRP71" s="2936"/>
      <c r="NRQ71" s="2936"/>
      <c r="NRR71" s="2936"/>
      <c r="NRS71" s="2936"/>
      <c r="NRT71" s="2936"/>
      <c r="NRU71" s="2936"/>
      <c r="NRV71" s="2936"/>
      <c r="NRW71" s="2936"/>
      <c r="NRX71" s="2936"/>
      <c r="NRY71" s="2936"/>
      <c r="NRZ71" s="2936"/>
      <c r="NSA71" s="2936"/>
      <c r="NSB71" s="2936"/>
      <c r="NSC71" s="2936"/>
      <c r="NSD71" s="2936"/>
      <c r="NSE71" s="2936"/>
      <c r="NSF71" s="2936"/>
      <c r="NSG71" s="2936"/>
      <c r="NSH71" s="2936"/>
      <c r="NSI71" s="2936"/>
      <c r="NSJ71" s="2936"/>
      <c r="NSK71" s="2936"/>
      <c r="NSL71" s="2936"/>
      <c r="NSM71" s="2936"/>
      <c r="NSN71" s="2936"/>
      <c r="NSO71" s="2936"/>
      <c r="NSP71" s="2936"/>
      <c r="NSQ71" s="2936"/>
      <c r="NSR71" s="2936"/>
      <c r="NSS71" s="2936"/>
      <c r="NST71" s="2936"/>
      <c r="NSU71" s="2936"/>
      <c r="NSV71" s="2936"/>
      <c r="NSW71" s="2936"/>
      <c r="NSX71" s="2936"/>
      <c r="NSY71" s="2936"/>
      <c r="NSZ71" s="2936"/>
      <c r="NTA71" s="2936"/>
      <c r="NTB71" s="2936"/>
      <c r="NTC71" s="2936"/>
      <c r="NTD71" s="2936"/>
      <c r="NTE71" s="2936"/>
      <c r="NTF71" s="2936"/>
      <c r="NTG71" s="2936"/>
      <c r="NTH71" s="2936"/>
      <c r="NTI71" s="2936"/>
      <c r="NTJ71" s="2936"/>
      <c r="NTK71" s="2936"/>
      <c r="NTL71" s="2936"/>
      <c r="NTM71" s="2936"/>
      <c r="NTN71" s="2936"/>
      <c r="NTO71" s="2936"/>
      <c r="NTP71" s="2936"/>
      <c r="NTQ71" s="2936"/>
      <c r="NTR71" s="2936"/>
      <c r="NTS71" s="2936"/>
      <c r="NTT71" s="2936"/>
      <c r="NTU71" s="2936"/>
      <c r="NTV71" s="2936"/>
      <c r="NTW71" s="2936"/>
      <c r="NTX71" s="2936"/>
      <c r="NTY71" s="2936"/>
      <c r="NTZ71" s="2936"/>
      <c r="NUA71" s="2936"/>
      <c r="NUB71" s="2936"/>
      <c r="NUC71" s="2936"/>
      <c r="NUD71" s="2936"/>
      <c r="NUE71" s="2936"/>
      <c r="NUF71" s="2936"/>
      <c r="NUG71" s="2936"/>
      <c r="NUH71" s="2936"/>
      <c r="NUI71" s="2936"/>
      <c r="NUJ71" s="2936"/>
      <c r="NUK71" s="2936"/>
      <c r="NUL71" s="2936"/>
      <c r="NUM71" s="2936"/>
      <c r="NUN71" s="2936"/>
      <c r="NUO71" s="2936"/>
      <c r="NUP71" s="2936"/>
      <c r="NUQ71" s="2936"/>
      <c r="NUR71" s="2936"/>
      <c r="NUS71" s="2936"/>
      <c r="NUT71" s="2936"/>
      <c r="NUU71" s="2936"/>
      <c r="NUV71" s="2936"/>
      <c r="NUW71" s="2936"/>
      <c r="NUX71" s="2936"/>
      <c r="NUY71" s="2936"/>
      <c r="NUZ71" s="2936"/>
      <c r="NVA71" s="2936"/>
      <c r="NVB71" s="2936"/>
      <c r="NVC71" s="2936"/>
      <c r="NVD71" s="2936"/>
      <c r="NVE71" s="2936"/>
      <c r="NVF71" s="2936"/>
      <c r="NVG71" s="2936"/>
      <c r="NVH71" s="2936"/>
      <c r="NVI71" s="2936"/>
      <c r="NVJ71" s="2936"/>
      <c r="NVK71" s="2936"/>
      <c r="NVL71" s="2936"/>
      <c r="NVM71" s="2936"/>
      <c r="NVN71" s="2936"/>
      <c r="NVO71" s="2936"/>
      <c r="NVP71" s="2936"/>
      <c r="NVQ71" s="2936"/>
      <c r="NVR71" s="2936"/>
      <c r="NVS71" s="2936"/>
      <c r="NVT71" s="2936"/>
      <c r="NVU71" s="2936"/>
      <c r="NVV71" s="2936"/>
      <c r="NVW71" s="2936"/>
      <c r="NVX71" s="2936"/>
      <c r="NVY71" s="2936"/>
      <c r="NVZ71" s="2936"/>
      <c r="NWA71" s="2936"/>
      <c r="NWB71" s="2936"/>
      <c r="NWC71" s="2936"/>
      <c r="NWD71" s="2936"/>
      <c r="NWE71" s="2936"/>
      <c r="NWF71" s="2936"/>
      <c r="NWG71" s="2936"/>
      <c r="NWH71" s="2936"/>
      <c r="NWI71" s="2936"/>
      <c r="NWJ71" s="2936"/>
      <c r="NWK71" s="2936"/>
      <c r="NWL71" s="2936"/>
      <c r="NWM71" s="2936"/>
      <c r="NWN71" s="2936"/>
      <c r="NWO71" s="2936"/>
      <c r="NWP71" s="2936"/>
      <c r="NWQ71" s="2936"/>
      <c r="NWR71" s="2936"/>
      <c r="NWS71" s="2936"/>
      <c r="NWT71" s="2936"/>
      <c r="NWU71" s="2936"/>
      <c r="NWV71" s="2936"/>
      <c r="NWW71" s="2936"/>
      <c r="NWX71" s="2936"/>
      <c r="NWY71" s="2936"/>
      <c r="NWZ71" s="2936"/>
      <c r="NXA71" s="2936"/>
      <c r="NXB71" s="2936"/>
      <c r="NXC71" s="2936"/>
      <c r="NXD71" s="2936"/>
      <c r="NXE71" s="2936"/>
      <c r="NXF71" s="2936"/>
      <c r="NXG71" s="2936"/>
      <c r="NXH71" s="2936"/>
      <c r="NXI71" s="2936"/>
      <c r="NXJ71" s="2936"/>
      <c r="NXK71" s="2936"/>
      <c r="NXL71" s="2936"/>
      <c r="NXM71" s="2936"/>
      <c r="NXN71" s="2936"/>
      <c r="NXO71" s="2936"/>
      <c r="NXP71" s="2936"/>
      <c r="NXQ71" s="2936"/>
      <c r="NXR71" s="2936"/>
      <c r="NXS71" s="2936"/>
      <c r="NXT71" s="2936"/>
      <c r="NXU71" s="2936"/>
      <c r="NXV71" s="2936"/>
      <c r="NXW71" s="2936"/>
      <c r="NXX71" s="2936"/>
      <c r="NXY71" s="2936"/>
      <c r="NXZ71" s="2936"/>
      <c r="NYA71" s="2936"/>
      <c r="NYB71" s="2936"/>
      <c r="NYC71" s="2936"/>
      <c r="NYD71" s="2936"/>
      <c r="NYE71" s="2936"/>
      <c r="NYF71" s="2936"/>
      <c r="NYG71" s="2936"/>
      <c r="NYH71" s="2936"/>
      <c r="NYI71" s="2936"/>
      <c r="NYJ71" s="2936"/>
      <c r="NYK71" s="2936"/>
      <c r="NYL71" s="2936"/>
      <c r="NYM71" s="2936"/>
      <c r="NYN71" s="2936"/>
      <c r="NYO71" s="2936"/>
      <c r="NYP71" s="2936"/>
      <c r="NYQ71" s="2936"/>
      <c r="NYR71" s="2936"/>
      <c r="NYS71" s="2936"/>
      <c r="NYT71" s="2936"/>
      <c r="NYU71" s="2936"/>
      <c r="NYV71" s="2936"/>
      <c r="NYW71" s="2936"/>
      <c r="NYX71" s="2936"/>
      <c r="NYY71" s="2936"/>
      <c r="NYZ71" s="2936"/>
      <c r="NZA71" s="2936"/>
      <c r="NZB71" s="2936"/>
      <c r="NZC71" s="2936"/>
      <c r="NZD71" s="2936"/>
      <c r="NZE71" s="2936"/>
      <c r="NZF71" s="2936"/>
      <c r="NZG71" s="2936"/>
      <c r="NZH71" s="2936"/>
      <c r="NZI71" s="2936"/>
      <c r="NZJ71" s="2936"/>
      <c r="NZK71" s="2936"/>
      <c r="NZL71" s="2936"/>
      <c r="NZM71" s="2936"/>
      <c r="NZN71" s="2936"/>
      <c r="NZO71" s="2936"/>
      <c r="NZP71" s="2936"/>
      <c r="NZQ71" s="2936"/>
      <c r="NZR71" s="2936"/>
      <c r="NZS71" s="2936"/>
      <c r="NZT71" s="2936"/>
      <c r="NZU71" s="2936"/>
      <c r="NZV71" s="2936"/>
      <c r="NZW71" s="2936"/>
      <c r="NZX71" s="2936"/>
      <c r="NZY71" s="2936"/>
      <c r="NZZ71" s="2936"/>
      <c r="OAA71" s="2936"/>
      <c r="OAB71" s="2936"/>
      <c r="OAC71" s="2936"/>
      <c r="OAD71" s="2936"/>
      <c r="OAE71" s="2936"/>
      <c r="OAF71" s="2936"/>
      <c r="OAG71" s="2936"/>
      <c r="OAH71" s="2936"/>
      <c r="OAI71" s="2936"/>
      <c r="OAJ71" s="2936"/>
      <c r="OAK71" s="2936"/>
      <c r="OAL71" s="2936"/>
      <c r="OAM71" s="2936"/>
      <c r="OAN71" s="2936"/>
      <c r="OAO71" s="2936"/>
      <c r="OAP71" s="2936"/>
      <c r="OAQ71" s="2936"/>
      <c r="OAR71" s="2936"/>
      <c r="OAS71" s="2936"/>
      <c r="OAT71" s="2936"/>
      <c r="OAU71" s="2936"/>
      <c r="OAV71" s="2936"/>
      <c r="OAW71" s="2936"/>
      <c r="OAX71" s="2936"/>
      <c r="OAY71" s="2936"/>
      <c r="OAZ71" s="2936"/>
      <c r="OBA71" s="2936"/>
      <c r="OBB71" s="2936"/>
      <c r="OBC71" s="2936"/>
      <c r="OBD71" s="2936"/>
      <c r="OBE71" s="2936"/>
      <c r="OBF71" s="2936"/>
      <c r="OBG71" s="2936"/>
      <c r="OBH71" s="2936"/>
      <c r="OBI71" s="2936"/>
      <c r="OBJ71" s="2936"/>
      <c r="OBK71" s="2936"/>
      <c r="OBL71" s="2936"/>
      <c r="OBM71" s="2936"/>
      <c r="OBN71" s="2936"/>
      <c r="OBO71" s="2936"/>
      <c r="OBP71" s="2936"/>
      <c r="OBQ71" s="2936"/>
      <c r="OBR71" s="2936"/>
      <c r="OBS71" s="2936"/>
      <c r="OBT71" s="2936"/>
      <c r="OBU71" s="2936"/>
      <c r="OBV71" s="2936"/>
      <c r="OBW71" s="2936"/>
      <c r="OBX71" s="2936"/>
      <c r="OBY71" s="2936"/>
      <c r="OBZ71" s="2936"/>
      <c r="OCA71" s="2936"/>
      <c r="OCB71" s="2936"/>
      <c r="OCC71" s="2936"/>
      <c r="OCD71" s="2936"/>
      <c r="OCE71" s="2936"/>
      <c r="OCF71" s="2936"/>
      <c r="OCG71" s="2936"/>
      <c r="OCH71" s="2936"/>
      <c r="OCI71" s="2936"/>
      <c r="OCJ71" s="2936"/>
      <c r="OCK71" s="2936"/>
      <c r="OCL71" s="2936"/>
      <c r="OCM71" s="2936"/>
      <c r="OCN71" s="2936"/>
      <c r="OCO71" s="2936"/>
      <c r="OCP71" s="2936"/>
      <c r="OCQ71" s="2936"/>
      <c r="OCR71" s="2936"/>
      <c r="OCS71" s="2936"/>
      <c r="OCT71" s="2936"/>
      <c r="OCU71" s="2936"/>
      <c r="OCV71" s="2936"/>
      <c r="OCW71" s="2936"/>
      <c r="OCX71" s="2936"/>
      <c r="OCY71" s="2936"/>
      <c r="OCZ71" s="2936"/>
      <c r="ODA71" s="2936"/>
      <c r="ODB71" s="2936"/>
      <c r="ODC71" s="2936"/>
      <c r="ODD71" s="2936"/>
      <c r="ODE71" s="2936"/>
      <c r="ODF71" s="2936"/>
      <c r="ODG71" s="2936"/>
      <c r="ODH71" s="2936"/>
      <c r="ODI71" s="2936"/>
      <c r="ODJ71" s="2936"/>
      <c r="ODK71" s="2936"/>
      <c r="ODL71" s="2936"/>
      <c r="ODM71" s="2936"/>
      <c r="ODN71" s="2936"/>
      <c r="ODO71" s="2936"/>
      <c r="ODP71" s="2936"/>
      <c r="ODQ71" s="2936"/>
      <c r="ODR71" s="2936"/>
      <c r="ODS71" s="2936"/>
      <c r="ODT71" s="2936"/>
      <c r="ODU71" s="2936"/>
      <c r="ODV71" s="2936"/>
      <c r="ODW71" s="2936"/>
      <c r="ODX71" s="2936"/>
      <c r="ODY71" s="2936"/>
      <c r="ODZ71" s="2936"/>
      <c r="OEA71" s="2936"/>
      <c r="OEB71" s="2936"/>
      <c r="OEC71" s="2936"/>
      <c r="OED71" s="2936"/>
      <c r="OEE71" s="2936"/>
      <c r="OEF71" s="2936"/>
      <c r="OEG71" s="2936"/>
      <c r="OEH71" s="2936"/>
      <c r="OEI71" s="2936"/>
      <c r="OEJ71" s="2936"/>
      <c r="OEK71" s="2936"/>
      <c r="OEL71" s="2936"/>
      <c r="OEM71" s="2936"/>
      <c r="OEN71" s="2936"/>
      <c r="OEO71" s="2936"/>
      <c r="OEP71" s="2936"/>
      <c r="OEQ71" s="2936"/>
      <c r="OER71" s="2936"/>
      <c r="OES71" s="2936"/>
      <c r="OET71" s="2936"/>
      <c r="OEU71" s="2936"/>
      <c r="OEV71" s="2936"/>
      <c r="OEW71" s="2936"/>
      <c r="OEX71" s="2936"/>
      <c r="OEY71" s="2936"/>
      <c r="OEZ71" s="2936"/>
      <c r="OFA71" s="2936"/>
      <c r="OFB71" s="2936"/>
      <c r="OFC71" s="2936"/>
      <c r="OFD71" s="2936"/>
      <c r="OFE71" s="2936"/>
      <c r="OFF71" s="2936"/>
      <c r="OFG71" s="2936"/>
      <c r="OFH71" s="2936"/>
      <c r="OFI71" s="2936"/>
      <c r="OFJ71" s="2936"/>
      <c r="OFK71" s="2936"/>
      <c r="OFL71" s="2936"/>
      <c r="OFM71" s="2936"/>
      <c r="OFN71" s="2936"/>
      <c r="OFO71" s="2936"/>
      <c r="OFP71" s="2936"/>
      <c r="OFQ71" s="2936"/>
      <c r="OFR71" s="2936"/>
      <c r="OFS71" s="2936"/>
      <c r="OFT71" s="2936"/>
      <c r="OFU71" s="2936"/>
      <c r="OFV71" s="2936"/>
      <c r="OFW71" s="2936"/>
      <c r="OFX71" s="2936"/>
      <c r="OFY71" s="2936"/>
      <c r="OFZ71" s="2936"/>
      <c r="OGA71" s="2936"/>
      <c r="OGB71" s="2936"/>
      <c r="OGC71" s="2936"/>
      <c r="OGD71" s="2936"/>
      <c r="OGE71" s="2936"/>
      <c r="OGF71" s="2936"/>
      <c r="OGG71" s="2936"/>
      <c r="OGH71" s="2936"/>
      <c r="OGI71" s="2936"/>
      <c r="OGJ71" s="2936"/>
      <c r="OGK71" s="2936"/>
      <c r="OGL71" s="2936"/>
      <c r="OGM71" s="2936"/>
      <c r="OGN71" s="2936"/>
      <c r="OGO71" s="2936"/>
      <c r="OGP71" s="2936"/>
      <c r="OGQ71" s="2936"/>
      <c r="OGR71" s="2936"/>
      <c r="OGS71" s="2936"/>
      <c r="OGT71" s="2936"/>
      <c r="OGU71" s="2936"/>
      <c r="OGV71" s="2936"/>
      <c r="OGW71" s="2936"/>
      <c r="OGX71" s="2936"/>
      <c r="OGY71" s="2936"/>
      <c r="OGZ71" s="2936"/>
      <c r="OHA71" s="2936"/>
      <c r="OHB71" s="2936"/>
      <c r="OHC71" s="2936"/>
      <c r="OHD71" s="2936"/>
      <c r="OHE71" s="2936"/>
      <c r="OHF71" s="2936"/>
      <c r="OHG71" s="2936"/>
      <c r="OHH71" s="2936"/>
      <c r="OHI71" s="2936"/>
      <c r="OHJ71" s="2936"/>
      <c r="OHK71" s="2936"/>
      <c r="OHL71" s="2936"/>
      <c r="OHM71" s="2936"/>
      <c r="OHN71" s="2936"/>
      <c r="OHO71" s="2936"/>
      <c r="OHP71" s="2936"/>
      <c r="OHQ71" s="2936"/>
      <c r="OHR71" s="2936"/>
      <c r="OHS71" s="2936"/>
      <c r="OHT71" s="2936"/>
      <c r="OHU71" s="2936"/>
      <c r="OHV71" s="2936"/>
      <c r="OHW71" s="2936"/>
      <c r="OHX71" s="2936"/>
      <c r="OHY71" s="2936"/>
      <c r="OHZ71" s="2936"/>
      <c r="OIA71" s="2936"/>
      <c r="OIB71" s="2936"/>
      <c r="OIC71" s="2936"/>
      <c r="OID71" s="2936"/>
      <c r="OIE71" s="2936"/>
      <c r="OIF71" s="2936"/>
      <c r="OIG71" s="2936"/>
      <c r="OIH71" s="2936"/>
      <c r="OII71" s="2936"/>
      <c r="OIJ71" s="2936"/>
      <c r="OIK71" s="2936"/>
      <c r="OIL71" s="2936"/>
      <c r="OIM71" s="2936"/>
      <c r="OIN71" s="2936"/>
      <c r="OIO71" s="2936"/>
      <c r="OIP71" s="2936"/>
      <c r="OIQ71" s="2936"/>
      <c r="OIR71" s="2936"/>
      <c r="OIS71" s="2936"/>
      <c r="OIT71" s="2936"/>
      <c r="OIU71" s="2936"/>
      <c r="OIV71" s="2936"/>
      <c r="OIW71" s="2936"/>
      <c r="OIX71" s="2936"/>
      <c r="OIY71" s="2936"/>
      <c r="OIZ71" s="2936"/>
      <c r="OJA71" s="2936"/>
      <c r="OJB71" s="2936"/>
      <c r="OJC71" s="2936"/>
      <c r="OJD71" s="2936"/>
      <c r="OJE71" s="2936"/>
      <c r="OJF71" s="2936"/>
      <c r="OJG71" s="2936"/>
      <c r="OJH71" s="2936"/>
      <c r="OJI71" s="2936"/>
      <c r="OJJ71" s="2936"/>
      <c r="OJK71" s="2936"/>
      <c r="OJL71" s="2936"/>
      <c r="OJM71" s="2936"/>
      <c r="OJN71" s="2936"/>
      <c r="OJO71" s="2936"/>
      <c r="OJP71" s="2936"/>
      <c r="OJQ71" s="2936"/>
      <c r="OJR71" s="2936"/>
      <c r="OJS71" s="2936"/>
      <c r="OJT71" s="2936"/>
      <c r="OJU71" s="2936"/>
      <c r="OJV71" s="2936"/>
      <c r="OJW71" s="2936"/>
      <c r="OJX71" s="2936"/>
      <c r="OJY71" s="2936"/>
      <c r="OJZ71" s="2936"/>
      <c r="OKA71" s="2936"/>
      <c r="OKB71" s="2936"/>
      <c r="OKC71" s="2936"/>
      <c r="OKD71" s="2936"/>
      <c r="OKE71" s="2936"/>
      <c r="OKF71" s="2936"/>
      <c r="OKG71" s="2936"/>
      <c r="OKH71" s="2936"/>
      <c r="OKI71" s="2936"/>
      <c r="OKJ71" s="2936"/>
      <c r="OKK71" s="2936"/>
      <c r="OKL71" s="2936"/>
      <c r="OKM71" s="2936"/>
      <c r="OKN71" s="2936"/>
      <c r="OKO71" s="2936"/>
      <c r="OKP71" s="2936"/>
      <c r="OKQ71" s="2936"/>
      <c r="OKR71" s="2936"/>
      <c r="OKS71" s="2936"/>
      <c r="OKT71" s="2936"/>
      <c r="OKU71" s="2936"/>
      <c r="OKV71" s="2936"/>
      <c r="OKW71" s="2936"/>
      <c r="OKX71" s="2936"/>
      <c r="OKY71" s="2936"/>
      <c r="OKZ71" s="2936"/>
      <c r="OLA71" s="2936"/>
      <c r="OLB71" s="2936"/>
      <c r="OLC71" s="2936"/>
      <c r="OLD71" s="2936"/>
      <c r="OLE71" s="2936"/>
      <c r="OLF71" s="2936"/>
      <c r="OLG71" s="2936"/>
      <c r="OLH71" s="2936"/>
      <c r="OLI71" s="2936"/>
      <c r="OLJ71" s="2936"/>
      <c r="OLK71" s="2936"/>
      <c r="OLL71" s="2936"/>
      <c r="OLM71" s="2936"/>
      <c r="OLN71" s="2936"/>
      <c r="OLO71" s="2936"/>
      <c r="OLP71" s="2936"/>
      <c r="OLQ71" s="2936"/>
      <c r="OLR71" s="2936"/>
      <c r="OLS71" s="2936"/>
      <c r="OLT71" s="2936"/>
      <c r="OLU71" s="2936"/>
      <c r="OLV71" s="2936"/>
      <c r="OLW71" s="2936"/>
      <c r="OLX71" s="2936"/>
      <c r="OLY71" s="2936"/>
      <c r="OLZ71" s="2936"/>
      <c r="OMA71" s="2936"/>
      <c r="OMB71" s="2936"/>
      <c r="OMC71" s="2936"/>
      <c r="OMD71" s="2936"/>
      <c r="OME71" s="2936"/>
      <c r="OMF71" s="2936"/>
      <c r="OMG71" s="2936"/>
      <c r="OMH71" s="2936"/>
      <c r="OMI71" s="2936"/>
      <c r="OMJ71" s="2936"/>
      <c r="OMK71" s="2936"/>
      <c r="OML71" s="2936"/>
      <c r="OMM71" s="2936"/>
      <c r="OMN71" s="2936"/>
      <c r="OMO71" s="2936"/>
      <c r="OMP71" s="2936"/>
      <c r="OMQ71" s="2936"/>
      <c r="OMR71" s="2936"/>
      <c r="OMS71" s="2936"/>
      <c r="OMT71" s="2936"/>
      <c r="OMU71" s="2936"/>
      <c r="OMV71" s="2936"/>
      <c r="OMW71" s="2936"/>
      <c r="OMX71" s="2936"/>
      <c r="OMY71" s="2936"/>
      <c r="OMZ71" s="2936"/>
      <c r="ONA71" s="2936"/>
      <c r="ONB71" s="2936"/>
      <c r="ONC71" s="2936"/>
      <c r="OND71" s="2936"/>
      <c r="ONE71" s="2936"/>
      <c r="ONF71" s="2936"/>
      <c r="ONG71" s="2936"/>
      <c r="ONH71" s="2936"/>
      <c r="ONI71" s="2936"/>
      <c r="ONJ71" s="2936"/>
      <c r="ONK71" s="2936"/>
      <c r="ONL71" s="2936"/>
      <c r="ONM71" s="2936"/>
      <c r="ONN71" s="2936"/>
      <c r="ONO71" s="2936"/>
      <c r="ONP71" s="2936"/>
      <c r="ONQ71" s="2936"/>
      <c r="ONR71" s="2936"/>
      <c r="ONS71" s="2936"/>
      <c r="ONT71" s="2936"/>
      <c r="ONU71" s="2936"/>
      <c r="ONV71" s="2936"/>
      <c r="ONW71" s="2936"/>
      <c r="ONX71" s="2936"/>
      <c r="ONY71" s="2936"/>
      <c r="ONZ71" s="2936"/>
      <c r="OOA71" s="2936"/>
      <c r="OOB71" s="2936"/>
      <c r="OOC71" s="2936"/>
      <c r="OOD71" s="2936"/>
      <c r="OOE71" s="2936"/>
      <c r="OOF71" s="2936"/>
      <c r="OOG71" s="2936"/>
      <c r="OOH71" s="2936"/>
      <c r="OOI71" s="2936"/>
      <c r="OOJ71" s="2936"/>
      <c r="OOK71" s="2936"/>
      <c r="OOL71" s="2936"/>
      <c r="OOM71" s="2936"/>
      <c r="OON71" s="2936"/>
      <c r="OOO71" s="2936"/>
      <c r="OOP71" s="2936"/>
      <c r="OOQ71" s="2936"/>
      <c r="OOR71" s="2936"/>
      <c r="OOS71" s="2936"/>
      <c r="OOT71" s="2936"/>
      <c r="OOU71" s="2936"/>
      <c r="OOV71" s="2936"/>
      <c r="OOW71" s="2936"/>
      <c r="OOX71" s="2936"/>
      <c r="OOY71" s="2936"/>
      <c r="OOZ71" s="2936"/>
      <c r="OPA71" s="2936"/>
      <c r="OPB71" s="2936"/>
      <c r="OPC71" s="2936"/>
      <c r="OPD71" s="2936"/>
      <c r="OPE71" s="2936"/>
      <c r="OPF71" s="2936"/>
      <c r="OPG71" s="2936"/>
      <c r="OPH71" s="2936"/>
      <c r="OPI71" s="2936"/>
      <c r="OPJ71" s="2936"/>
      <c r="OPK71" s="2936"/>
      <c r="OPL71" s="2936"/>
      <c r="OPM71" s="2936"/>
      <c r="OPN71" s="2936"/>
      <c r="OPO71" s="2936"/>
      <c r="OPP71" s="2936"/>
      <c r="OPQ71" s="2936"/>
      <c r="OPR71" s="2936"/>
      <c r="OPS71" s="2936"/>
      <c r="OPT71" s="2936"/>
      <c r="OPU71" s="2936"/>
      <c r="OPV71" s="2936"/>
      <c r="OPW71" s="2936"/>
      <c r="OPX71" s="2936"/>
      <c r="OPY71" s="2936"/>
      <c r="OPZ71" s="2936"/>
      <c r="OQA71" s="2936"/>
      <c r="OQB71" s="2936"/>
      <c r="OQC71" s="2936"/>
      <c r="OQD71" s="2936"/>
      <c r="OQE71" s="2936"/>
      <c r="OQF71" s="2936"/>
      <c r="OQG71" s="2936"/>
      <c r="OQH71" s="2936"/>
      <c r="OQI71" s="2936"/>
      <c r="OQJ71" s="2936"/>
      <c r="OQK71" s="2936"/>
      <c r="OQL71" s="2936"/>
      <c r="OQM71" s="2936"/>
      <c r="OQN71" s="2936"/>
      <c r="OQO71" s="2936"/>
      <c r="OQP71" s="2936"/>
      <c r="OQQ71" s="2936"/>
      <c r="OQR71" s="2936"/>
      <c r="OQS71" s="2936"/>
      <c r="OQT71" s="2936"/>
      <c r="OQU71" s="2936"/>
      <c r="OQV71" s="2936"/>
      <c r="OQW71" s="2936"/>
      <c r="OQX71" s="2936"/>
      <c r="OQY71" s="2936"/>
      <c r="OQZ71" s="2936"/>
      <c r="ORA71" s="2936"/>
      <c r="ORB71" s="2936"/>
      <c r="ORC71" s="2936"/>
      <c r="ORD71" s="2936"/>
      <c r="ORE71" s="2936"/>
      <c r="ORF71" s="2936"/>
      <c r="ORG71" s="2936"/>
      <c r="ORH71" s="2936"/>
      <c r="ORI71" s="2936"/>
      <c r="ORJ71" s="2936"/>
      <c r="ORK71" s="2936"/>
      <c r="ORL71" s="2936"/>
      <c r="ORM71" s="2936"/>
      <c r="ORN71" s="2936"/>
      <c r="ORO71" s="2936"/>
      <c r="ORP71" s="2936"/>
      <c r="ORQ71" s="2936"/>
      <c r="ORR71" s="2936"/>
      <c r="ORS71" s="2936"/>
      <c r="ORT71" s="2936"/>
      <c r="ORU71" s="2936"/>
      <c r="ORV71" s="2936"/>
      <c r="ORW71" s="2936"/>
      <c r="ORX71" s="2936"/>
      <c r="ORY71" s="2936"/>
      <c r="ORZ71" s="2936"/>
      <c r="OSA71" s="2936"/>
      <c r="OSB71" s="2936"/>
      <c r="OSC71" s="2936"/>
      <c r="OSD71" s="2936"/>
      <c r="OSE71" s="2936"/>
      <c r="OSF71" s="2936"/>
      <c r="OSG71" s="2936"/>
      <c r="OSH71" s="2936"/>
      <c r="OSI71" s="2936"/>
      <c r="OSJ71" s="2936"/>
      <c r="OSK71" s="2936"/>
      <c r="OSL71" s="2936"/>
      <c r="OSM71" s="2936"/>
      <c r="OSN71" s="2936"/>
      <c r="OSO71" s="2936"/>
      <c r="OSP71" s="2936"/>
      <c r="OSQ71" s="2936"/>
      <c r="OSR71" s="2936"/>
      <c r="OSS71" s="2936"/>
      <c r="OST71" s="2936"/>
      <c r="OSU71" s="2936"/>
      <c r="OSV71" s="2936"/>
      <c r="OSW71" s="2936"/>
      <c r="OSX71" s="2936"/>
      <c r="OSY71" s="2936"/>
      <c r="OSZ71" s="2936"/>
      <c r="OTA71" s="2936"/>
      <c r="OTB71" s="2936"/>
      <c r="OTC71" s="2936"/>
      <c r="OTD71" s="2936"/>
      <c r="OTE71" s="2936"/>
      <c r="OTF71" s="2936"/>
      <c r="OTG71" s="2936"/>
      <c r="OTH71" s="2936"/>
      <c r="OTI71" s="2936"/>
      <c r="OTJ71" s="2936"/>
      <c r="OTK71" s="2936"/>
      <c r="OTL71" s="2936"/>
      <c r="OTM71" s="2936"/>
      <c r="OTN71" s="2936"/>
      <c r="OTO71" s="2936"/>
      <c r="OTP71" s="2936"/>
      <c r="OTQ71" s="2936"/>
      <c r="OTR71" s="2936"/>
      <c r="OTS71" s="2936"/>
      <c r="OTT71" s="2936"/>
      <c r="OTU71" s="2936"/>
      <c r="OTV71" s="2936"/>
      <c r="OTW71" s="2936"/>
      <c r="OTX71" s="2936"/>
      <c r="OTY71" s="2936"/>
      <c r="OTZ71" s="2936"/>
      <c r="OUA71" s="2936"/>
      <c r="OUB71" s="2936"/>
      <c r="OUC71" s="2936"/>
      <c r="OUD71" s="2936"/>
      <c r="OUE71" s="2936"/>
      <c r="OUF71" s="2936"/>
      <c r="OUG71" s="2936"/>
      <c r="OUH71" s="2936"/>
      <c r="OUI71" s="2936"/>
      <c r="OUJ71" s="2936"/>
      <c r="OUK71" s="2936"/>
      <c r="OUL71" s="2936"/>
      <c r="OUM71" s="2936"/>
      <c r="OUN71" s="2936"/>
      <c r="OUO71" s="2936"/>
      <c r="OUP71" s="2936"/>
      <c r="OUQ71" s="2936"/>
      <c r="OUR71" s="2936"/>
      <c r="OUS71" s="2936"/>
      <c r="OUT71" s="2936"/>
      <c r="OUU71" s="2936"/>
      <c r="OUV71" s="2936"/>
      <c r="OUW71" s="2936"/>
      <c r="OUX71" s="2936"/>
      <c r="OUY71" s="2936"/>
      <c r="OUZ71" s="2936"/>
      <c r="OVA71" s="2936"/>
      <c r="OVB71" s="2936"/>
      <c r="OVC71" s="2936"/>
      <c r="OVD71" s="2936"/>
      <c r="OVE71" s="2936"/>
      <c r="OVF71" s="2936"/>
      <c r="OVG71" s="2936"/>
      <c r="OVH71" s="2936"/>
      <c r="OVI71" s="2936"/>
      <c r="OVJ71" s="2936"/>
      <c r="OVK71" s="2936"/>
      <c r="OVL71" s="2936"/>
      <c r="OVM71" s="2936"/>
      <c r="OVN71" s="2936"/>
      <c r="OVO71" s="2936"/>
      <c r="OVP71" s="2936"/>
      <c r="OVQ71" s="2936"/>
      <c r="OVR71" s="2936"/>
      <c r="OVS71" s="2936"/>
      <c r="OVT71" s="2936"/>
      <c r="OVU71" s="2936"/>
      <c r="OVV71" s="2936"/>
      <c r="OVW71" s="2936"/>
      <c r="OVX71" s="2936"/>
      <c r="OVY71" s="2936"/>
      <c r="OVZ71" s="2936"/>
      <c r="OWA71" s="2936"/>
      <c r="OWB71" s="2936"/>
      <c r="OWC71" s="2936"/>
      <c r="OWD71" s="2936"/>
      <c r="OWE71" s="2936"/>
      <c r="OWF71" s="2936"/>
      <c r="OWG71" s="2936"/>
      <c r="OWH71" s="2936"/>
      <c r="OWI71" s="2936"/>
      <c r="OWJ71" s="2936"/>
      <c r="OWK71" s="2936"/>
      <c r="OWL71" s="2936"/>
      <c r="OWM71" s="2936"/>
      <c r="OWN71" s="2936"/>
      <c r="OWO71" s="2936"/>
      <c r="OWP71" s="2936"/>
      <c r="OWQ71" s="2936"/>
      <c r="OWR71" s="2936"/>
      <c r="OWS71" s="2936"/>
      <c r="OWT71" s="2936"/>
      <c r="OWU71" s="2936"/>
      <c r="OWV71" s="2936"/>
      <c r="OWW71" s="2936"/>
      <c r="OWX71" s="2936"/>
      <c r="OWY71" s="2936"/>
      <c r="OWZ71" s="2936"/>
      <c r="OXA71" s="2936"/>
      <c r="OXB71" s="2936"/>
      <c r="OXC71" s="2936"/>
      <c r="OXD71" s="2936"/>
      <c r="OXE71" s="2936"/>
      <c r="OXF71" s="2936"/>
      <c r="OXG71" s="2936"/>
      <c r="OXH71" s="2936"/>
      <c r="OXI71" s="2936"/>
      <c r="OXJ71" s="2936"/>
      <c r="OXK71" s="2936"/>
      <c r="OXL71" s="2936"/>
      <c r="OXM71" s="2936"/>
      <c r="OXN71" s="2936"/>
      <c r="OXO71" s="2936"/>
      <c r="OXP71" s="2936"/>
      <c r="OXQ71" s="2936"/>
      <c r="OXR71" s="2936"/>
      <c r="OXS71" s="2936"/>
      <c r="OXT71" s="2936"/>
      <c r="OXU71" s="2936"/>
      <c r="OXV71" s="2936"/>
      <c r="OXW71" s="2936"/>
      <c r="OXX71" s="2936"/>
      <c r="OXY71" s="2936"/>
      <c r="OXZ71" s="2936"/>
      <c r="OYA71" s="2936"/>
      <c r="OYB71" s="2936"/>
      <c r="OYC71" s="2936"/>
      <c r="OYD71" s="2936"/>
      <c r="OYE71" s="2936"/>
      <c r="OYF71" s="2936"/>
      <c r="OYG71" s="2936"/>
      <c r="OYH71" s="2936"/>
      <c r="OYI71" s="2936"/>
      <c r="OYJ71" s="2936"/>
      <c r="OYK71" s="2936"/>
      <c r="OYL71" s="2936"/>
      <c r="OYM71" s="2936"/>
      <c r="OYN71" s="2936"/>
      <c r="OYO71" s="2936"/>
      <c r="OYP71" s="2936"/>
      <c r="OYQ71" s="2936"/>
      <c r="OYR71" s="2936"/>
      <c r="OYS71" s="2936"/>
      <c r="OYT71" s="2936"/>
      <c r="OYU71" s="2936"/>
      <c r="OYV71" s="2936"/>
      <c r="OYW71" s="2936"/>
      <c r="OYX71" s="2936"/>
      <c r="OYY71" s="2936"/>
      <c r="OYZ71" s="2936"/>
      <c r="OZA71" s="2936"/>
      <c r="OZB71" s="2936"/>
      <c r="OZC71" s="2936"/>
      <c r="OZD71" s="2936"/>
      <c r="OZE71" s="2936"/>
      <c r="OZF71" s="2936"/>
      <c r="OZG71" s="2936"/>
      <c r="OZH71" s="2936"/>
      <c r="OZI71" s="2936"/>
      <c r="OZJ71" s="2936"/>
      <c r="OZK71" s="2936"/>
      <c r="OZL71" s="2936"/>
      <c r="OZM71" s="2936"/>
      <c r="OZN71" s="2936"/>
      <c r="OZO71" s="2936"/>
      <c r="OZP71" s="2936"/>
      <c r="OZQ71" s="2936"/>
      <c r="OZR71" s="2936"/>
      <c r="OZS71" s="2936"/>
      <c r="OZT71" s="2936"/>
      <c r="OZU71" s="2936"/>
      <c r="OZV71" s="2936"/>
      <c r="OZW71" s="2936"/>
      <c r="OZX71" s="2936"/>
      <c r="OZY71" s="2936"/>
      <c r="OZZ71" s="2936"/>
      <c r="PAA71" s="2936"/>
      <c r="PAB71" s="2936"/>
      <c r="PAC71" s="2936"/>
      <c r="PAD71" s="2936"/>
      <c r="PAE71" s="2936"/>
      <c r="PAF71" s="2936"/>
      <c r="PAG71" s="2936"/>
      <c r="PAH71" s="2936"/>
      <c r="PAI71" s="2936"/>
      <c r="PAJ71" s="2936"/>
      <c r="PAK71" s="2936"/>
      <c r="PAL71" s="2936"/>
      <c r="PAM71" s="2936"/>
      <c r="PAN71" s="2936"/>
      <c r="PAO71" s="2936"/>
      <c r="PAP71" s="2936"/>
      <c r="PAQ71" s="2936"/>
      <c r="PAR71" s="2936"/>
      <c r="PAS71" s="2936"/>
      <c r="PAT71" s="2936"/>
      <c r="PAU71" s="2936"/>
      <c r="PAV71" s="2936"/>
      <c r="PAW71" s="2936"/>
      <c r="PAX71" s="2936"/>
      <c r="PAY71" s="2936"/>
      <c r="PAZ71" s="2936"/>
      <c r="PBA71" s="2936"/>
      <c r="PBB71" s="2936"/>
      <c r="PBC71" s="2936"/>
      <c r="PBD71" s="2936"/>
      <c r="PBE71" s="2936"/>
      <c r="PBF71" s="2936"/>
      <c r="PBG71" s="2936"/>
      <c r="PBH71" s="2936"/>
      <c r="PBI71" s="2936"/>
      <c r="PBJ71" s="2936"/>
      <c r="PBK71" s="2936"/>
      <c r="PBL71" s="2936"/>
      <c r="PBM71" s="2936"/>
      <c r="PBN71" s="2936"/>
      <c r="PBO71" s="2936"/>
      <c r="PBP71" s="2936"/>
      <c r="PBQ71" s="2936"/>
      <c r="PBR71" s="2936"/>
      <c r="PBS71" s="2936"/>
      <c r="PBT71" s="2936"/>
      <c r="PBU71" s="2936"/>
      <c r="PBV71" s="2936"/>
      <c r="PBW71" s="2936"/>
      <c r="PBX71" s="2936"/>
      <c r="PBY71" s="2936"/>
      <c r="PBZ71" s="2936"/>
      <c r="PCA71" s="2936"/>
      <c r="PCB71" s="2936"/>
      <c r="PCC71" s="2936"/>
      <c r="PCD71" s="2936"/>
      <c r="PCE71" s="2936"/>
      <c r="PCF71" s="2936"/>
      <c r="PCG71" s="2936"/>
      <c r="PCH71" s="2936"/>
      <c r="PCI71" s="2936"/>
      <c r="PCJ71" s="2936"/>
      <c r="PCK71" s="2936"/>
      <c r="PCL71" s="2936"/>
      <c r="PCM71" s="2936"/>
      <c r="PCN71" s="2936"/>
      <c r="PCO71" s="2936"/>
      <c r="PCP71" s="2936"/>
      <c r="PCQ71" s="2936"/>
      <c r="PCR71" s="2936"/>
      <c r="PCS71" s="2936"/>
      <c r="PCT71" s="2936"/>
      <c r="PCU71" s="2936"/>
      <c r="PCV71" s="2936"/>
      <c r="PCW71" s="2936"/>
      <c r="PCX71" s="2936"/>
      <c r="PCY71" s="2936"/>
      <c r="PCZ71" s="2936"/>
      <c r="PDA71" s="2936"/>
      <c r="PDB71" s="2936"/>
      <c r="PDC71" s="2936"/>
      <c r="PDD71" s="2936"/>
      <c r="PDE71" s="2936"/>
      <c r="PDF71" s="2936"/>
      <c r="PDG71" s="2936"/>
      <c r="PDH71" s="2936"/>
      <c r="PDI71" s="2936"/>
      <c r="PDJ71" s="2936"/>
      <c r="PDK71" s="2936"/>
      <c r="PDL71" s="2936"/>
      <c r="PDM71" s="2936"/>
      <c r="PDN71" s="2936"/>
      <c r="PDO71" s="2936"/>
      <c r="PDP71" s="2936"/>
      <c r="PDQ71" s="2936"/>
      <c r="PDR71" s="2936"/>
      <c r="PDS71" s="2936"/>
      <c r="PDT71" s="2936"/>
      <c r="PDU71" s="2936"/>
      <c r="PDV71" s="2936"/>
      <c r="PDW71" s="2936"/>
      <c r="PDX71" s="2936"/>
      <c r="PDY71" s="2936"/>
      <c r="PDZ71" s="2936"/>
      <c r="PEA71" s="2936"/>
      <c r="PEB71" s="2936"/>
      <c r="PEC71" s="2936"/>
      <c r="PED71" s="2936"/>
      <c r="PEE71" s="2936"/>
      <c r="PEF71" s="2936"/>
      <c r="PEG71" s="2936"/>
      <c r="PEH71" s="2936"/>
      <c r="PEI71" s="2936"/>
      <c r="PEJ71" s="2936"/>
      <c r="PEK71" s="2936"/>
      <c r="PEL71" s="2936"/>
      <c r="PEM71" s="2936"/>
      <c r="PEN71" s="2936"/>
      <c r="PEO71" s="2936"/>
      <c r="PEP71" s="2936"/>
      <c r="PEQ71" s="2936"/>
      <c r="PER71" s="2936"/>
      <c r="PES71" s="2936"/>
      <c r="PET71" s="2936"/>
      <c r="PEU71" s="2936"/>
      <c r="PEV71" s="2936"/>
      <c r="PEW71" s="2936"/>
      <c r="PEX71" s="2936"/>
      <c r="PEY71" s="2936"/>
      <c r="PEZ71" s="2936"/>
      <c r="PFA71" s="2936"/>
      <c r="PFB71" s="2936"/>
      <c r="PFC71" s="2936"/>
      <c r="PFD71" s="2936"/>
      <c r="PFE71" s="2936"/>
      <c r="PFF71" s="2936"/>
      <c r="PFG71" s="2936"/>
      <c r="PFH71" s="2936"/>
      <c r="PFI71" s="2936"/>
      <c r="PFJ71" s="2936"/>
      <c r="PFK71" s="2936"/>
      <c r="PFL71" s="2936"/>
      <c r="PFM71" s="2936"/>
      <c r="PFN71" s="2936"/>
      <c r="PFO71" s="2936"/>
      <c r="PFP71" s="2936"/>
      <c r="PFQ71" s="2936"/>
      <c r="PFR71" s="2936"/>
      <c r="PFS71" s="2936"/>
      <c r="PFT71" s="2936"/>
      <c r="PFU71" s="2936"/>
      <c r="PFV71" s="2936"/>
      <c r="PFW71" s="2936"/>
      <c r="PFX71" s="2936"/>
      <c r="PFY71" s="2936"/>
      <c r="PFZ71" s="2936"/>
      <c r="PGA71" s="2936"/>
      <c r="PGB71" s="2936"/>
      <c r="PGC71" s="2936"/>
      <c r="PGD71" s="2936"/>
      <c r="PGE71" s="2936"/>
      <c r="PGF71" s="2936"/>
      <c r="PGG71" s="2936"/>
      <c r="PGH71" s="2936"/>
      <c r="PGI71" s="2936"/>
      <c r="PGJ71" s="2936"/>
      <c r="PGK71" s="2936"/>
      <c r="PGL71" s="2936"/>
      <c r="PGM71" s="2936"/>
      <c r="PGN71" s="2936"/>
      <c r="PGO71" s="2936"/>
      <c r="PGP71" s="2936"/>
      <c r="PGQ71" s="2936"/>
      <c r="PGR71" s="2936"/>
      <c r="PGS71" s="2936"/>
      <c r="PGT71" s="2936"/>
      <c r="PGU71" s="2936"/>
      <c r="PGV71" s="2936"/>
      <c r="PGW71" s="2936"/>
      <c r="PGX71" s="2936"/>
      <c r="PGY71" s="2936"/>
      <c r="PGZ71" s="2936"/>
      <c r="PHA71" s="2936"/>
      <c r="PHB71" s="2936"/>
      <c r="PHC71" s="2936"/>
      <c r="PHD71" s="2936"/>
      <c r="PHE71" s="2936"/>
      <c r="PHF71" s="2936"/>
      <c r="PHG71" s="2936"/>
      <c r="PHH71" s="2936"/>
      <c r="PHI71" s="2936"/>
      <c r="PHJ71" s="2936"/>
      <c r="PHK71" s="2936"/>
      <c r="PHL71" s="2936"/>
      <c r="PHM71" s="2936"/>
      <c r="PHN71" s="2936"/>
      <c r="PHO71" s="2936"/>
      <c r="PHP71" s="2936"/>
      <c r="PHQ71" s="2936"/>
      <c r="PHR71" s="2936"/>
      <c r="PHS71" s="2936"/>
      <c r="PHT71" s="2936"/>
      <c r="PHU71" s="2936"/>
      <c r="PHV71" s="2936"/>
      <c r="PHW71" s="2936"/>
      <c r="PHX71" s="2936"/>
      <c r="PHY71" s="2936"/>
      <c r="PHZ71" s="2936"/>
      <c r="PIA71" s="2936"/>
      <c r="PIB71" s="2936"/>
      <c r="PIC71" s="2936"/>
      <c r="PID71" s="2936"/>
      <c r="PIE71" s="2936"/>
      <c r="PIF71" s="2936"/>
      <c r="PIG71" s="2936"/>
      <c r="PIH71" s="2936"/>
      <c r="PII71" s="2936"/>
      <c r="PIJ71" s="2936"/>
      <c r="PIK71" s="2936"/>
      <c r="PIL71" s="2936"/>
      <c r="PIM71" s="2936"/>
      <c r="PIN71" s="2936"/>
      <c r="PIO71" s="2936"/>
      <c r="PIP71" s="2936"/>
      <c r="PIQ71" s="2936"/>
      <c r="PIR71" s="2936"/>
      <c r="PIS71" s="2936"/>
      <c r="PIT71" s="2936"/>
      <c r="PIU71" s="2936"/>
      <c r="PIV71" s="2936"/>
      <c r="PIW71" s="2936"/>
      <c r="PIX71" s="2936"/>
      <c r="PIY71" s="2936"/>
      <c r="PIZ71" s="2936"/>
      <c r="PJA71" s="2936"/>
      <c r="PJB71" s="2936"/>
      <c r="PJC71" s="2936"/>
      <c r="PJD71" s="2936"/>
      <c r="PJE71" s="2936"/>
      <c r="PJF71" s="2936"/>
      <c r="PJG71" s="2936"/>
      <c r="PJH71" s="2936"/>
      <c r="PJI71" s="2936"/>
      <c r="PJJ71" s="2936"/>
      <c r="PJK71" s="2936"/>
      <c r="PJL71" s="2936"/>
      <c r="PJM71" s="2936"/>
      <c r="PJN71" s="2936"/>
      <c r="PJO71" s="2936"/>
      <c r="PJP71" s="2936"/>
      <c r="PJQ71" s="2936"/>
      <c r="PJR71" s="2936"/>
      <c r="PJS71" s="2936"/>
      <c r="PJT71" s="2936"/>
      <c r="PJU71" s="2936"/>
      <c r="PJV71" s="2936"/>
      <c r="PJW71" s="2936"/>
      <c r="PJX71" s="2936"/>
      <c r="PJY71" s="2936"/>
      <c r="PJZ71" s="2936"/>
      <c r="PKA71" s="2936"/>
      <c r="PKB71" s="2936"/>
      <c r="PKC71" s="2936"/>
      <c r="PKD71" s="2936"/>
      <c r="PKE71" s="2936"/>
      <c r="PKF71" s="2936"/>
      <c r="PKG71" s="2936"/>
      <c r="PKH71" s="2936"/>
      <c r="PKI71" s="2936"/>
      <c r="PKJ71" s="2936"/>
      <c r="PKK71" s="2936"/>
      <c r="PKL71" s="2936"/>
      <c r="PKM71" s="2936"/>
      <c r="PKN71" s="2936"/>
      <c r="PKO71" s="2936"/>
      <c r="PKP71" s="2936"/>
      <c r="PKQ71" s="2936"/>
      <c r="PKR71" s="2936"/>
      <c r="PKS71" s="2936"/>
      <c r="PKT71" s="2936"/>
      <c r="PKU71" s="2936"/>
      <c r="PKV71" s="2936"/>
      <c r="PKW71" s="2936"/>
      <c r="PKX71" s="2936"/>
      <c r="PKY71" s="2936"/>
      <c r="PKZ71" s="2936"/>
      <c r="PLA71" s="2936"/>
      <c r="PLB71" s="2936"/>
      <c r="PLC71" s="2936"/>
      <c r="PLD71" s="2936"/>
      <c r="PLE71" s="2936"/>
      <c r="PLF71" s="2936"/>
      <c r="PLG71" s="2936"/>
      <c r="PLH71" s="2936"/>
      <c r="PLI71" s="2936"/>
      <c r="PLJ71" s="2936"/>
      <c r="PLK71" s="2936"/>
      <c r="PLL71" s="2936"/>
      <c r="PLM71" s="2936"/>
      <c r="PLN71" s="2936"/>
      <c r="PLO71" s="2936"/>
      <c r="PLP71" s="2936"/>
      <c r="PLQ71" s="2936"/>
      <c r="PLR71" s="2936"/>
      <c r="PLS71" s="2936"/>
      <c r="PLT71" s="2936"/>
      <c r="PLU71" s="2936"/>
      <c r="PLV71" s="2936"/>
      <c r="PLW71" s="2936"/>
      <c r="PLX71" s="2936"/>
      <c r="PLY71" s="2936"/>
      <c r="PLZ71" s="2936"/>
      <c r="PMA71" s="2936"/>
      <c r="PMB71" s="2936"/>
      <c r="PMC71" s="2936"/>
      <c r="PMD71" s="2936"/>
      <c r="PME71" s="2936"/>
      <c r="PMF71" s="2936"/>
      <c r="PMG71" s="2936"/>
      <c r="PMH71" s="2936"/>
      <c r="PMI71" s="2936"/>
      <c r="PMJ71" s="2936"/>
      <c r="PMK71" s="2936"/>
      <c r="PML71" s="2936"/>
      <c r="PMM71" s="2936"/>
      <c r="PMN71" s="2936"/>
      <c r="PMO71" s="2936"/>
      <c r="PMP71" s="2936"/>
      <c r="PMQ71" s="2936"/>
      <c r="PMR71" s="2936"/>
      <c r="PMS71" s="2936"/>
      <c r="PMT71" s="2936"/>
      <c r="PMU71" s="2936"/>
      <c r="PMV71" s="2936"/>
      <c r="PMW71" s="2936"/>
      <c r="PMX71" s="2936"/>
      <c r="PMY71" s="2936"/>
      <c r="PMZ71" s="2936"/>
      <c r="PNA71" s="2936"/>
      <c r="PNB71" s="2936"/>
      <c r="PNC71" s="2936"/>
      <c r="PND71" s="2936"/>
      <c r="PNE71" s="2936"/>
      <c r="PNF71" s="2936"/>
      <c r="PNG71" s="2936"/>
      <c r="PNH71" s="2936"/>
      <c r="PNI71" s="2936"/>
      <c r="PNJ71" s="2936"/>
      <c r="PNK71" s="2936"/>
      <c r="PNL71" s="2936"/>
      <c r="PNM71" s="2936"/>
      <c r="PNN71" s="2936"/>
      <c r="PNO71" s="2936"/>
      <c r="PNP71" s="2936"/>
      <c r="PNQ71" s="2936"/>
      <c r="PNR71" s="2936"/>
      <c r="PNS71" s="2936"/>
      <c r="PNT71" s="2936"/>
      <c r="PNU71" s="2936"/>
      <c r="PNV71" s="2936"/>
      <c r="PNW71" s="2936"/>
      <c r="PNX71" s="2936"/>
      <c r="PNY71" s="2936"/>
      <c r="PNZ71" s="2936"/>
      <c r="POA71" s="2936"/>
      <c r="POB71" s="2936"/>
      <c r="POC71" s="2936"/>
      <c r="POD71" s="2936"/>
      <c r="POE71" s="2936"/>
      <c r="POF71" s="2936"/>
      <c r="POG71" s="2936"/>
      <c r="POH71" s="2936"/>
      <c r="POI71" s="2936"/>
      <c r="POJ71" s="2936"/>
      <c r="POK71" s="2936"/>
      <c r="POL71" s="2936"/>
      <c r="POM71" s="2936"/>
      <c r="PON71" s="2936"/>
      <c r="POO71" s="2936"/>
      <c r="POP71" s="2936"/>
      <c r="POQ71" s="2936"/>
      <c r="POR71" s="2936"/>
      <c r="POS71" s="2936"/>
      <c r="POT71" s="2936"/>
      <c r="POU71" s="2936"/>
      <c r="POV71" s="2936"/>
      <c r="POW71" s="2936"/>
      <c r="POX71" s="2936"/>
      <c r="POY71" s="2936"/>
      <c r="POZ71" s="2936"/>
      <c r="PPA71" s="2936"/>
      <c r="PPB71" s="2936"/>
      <c r="PPC71" s="2936"/>
      <c r="PPD71" s="2936"/>
      <c r="PPE71" s="2936"/>
      <c r="PPF71" s="2936"/>
      <c r="PPG71" s="2936"/>
      <c r="PPH71" s="2936"/>
      <c r="PPI71" s="2936"/>
      <c r="PPJ71" s="2936"/>
      <c r="PPK71" s="2936"/>
      <c r="PPL71" s="2936"/>
      <c r="PPM71" s="2936"/>
      <c r="PPN71" s="2936"/>
      <c r="PPO71" s="2936"/>
      <c r="PPP71" s="2936"/>
      <c r="PPQ71" s="2936"/>
      <c r="PPR71" s="2936"/>
      <c r="PPS71" s="2936"/>
      <c r="PPT71" s="2936"/>
      <c r="PPU71" s="2936"/>
      <c r="PPV71" s="2936"/>
      <c r="PPW71" s="2936"/>
      <c r="PPX71" s="2936"/>
      <c r="PPY71" s="2936"/>
      <c r="PPZ71" s="2936"/>
      <c r="PQA71" s="2936"/>
      <c r="PQB71" s="2936"/>
      <c r="PQC71" s="2936"/>
      <c r="PQD71" s="2936"/>
      <c r="PQE71" s="2936"/>
      <c r="PQF71" s="2936"/>
      <c r="PQG71" s="2936"/>
      <c r="PQH71" s="2936"/>
      <c r="PQI71" s="2936"/>
      <c r="PQJ71" s="2936"/>
      <c r="PQK71" s="2936"/>
      <c r="PQL71" s="2936"/>
      <c r="PQM71" s="2936"/>
      <c r="PQN71" s="2936"/>
      <c r="PQO71" s="2936"/>
      <c r="PQP71" s="2936"/>
      <c r="PQQ71" s="2936"/>
      <c r="PQR71" s="2936"/>
      <c r="PQS71" s="2936"/>
      <c r="PQT71" s="2936"/>
      <c r="PQU71" s="2936"/>
      <c r="PQV71" s="2936"/>
      <c r="PQW71" s="2936"/>
      <c r="PQX71" s="2936"/>
      <c r="PQY71" s="2936"/>
      <c r="PQZ71" s="2936"/>
      <c r="PRA71" s="2936"/>
      <c r="PRB71" s="2936"/>
      <c r="PRC71" s="2936"/>
      <c r="PRD71" s="2936"/>
      <c r="PRE71" s="2936"/>
      <c r="PRF71" s="2936"/>
      <c r="PRG71" s="2936"/>
      <c r="PRH71" s="2936"/>
      <c r="PRI71" s="2936"/>
      <c r="PRJ71" s="2936"/>
      <c r="PRK71" s="2936"/>
      <c r="PRL71" s="2936"/>
      <c r="PRM71" s="2936"/>
      <c r="PRN71" s="2936"/>
      <c r="PRO71" s="2936"/>
      <c r="PRP71" s="2936"/>
      <c r="PRQ71" s="2936"/>
      <c r="PRR71" s="2936"/>
      <c r="PRS71" s="2936"/>
      <c r="PRT71" s="2936"/>
      <c r="PRU71" s="2936"/>
      <c r="PRV71" s="2936"/>
      <c r="PRW71" s="2936"/>
      <c r="PRX71" s="2936"/>
      <c r="PRY71" s="2936"/>
      <c r="PRZ71" s="2936"/>
      <c r="PSA71" s="2936"/>
      <c r="PSB71" s="2936"/>
      <c r="PSC71" s="2936"/>
      <c r="PSD71" s="2936"/>
      <c r="PSE71" s="2936"/>
      <c r="PSF71" s="2936"/>
      <c r="PSG71" s="2936"/>
      <c r="PSH71" s="2936"/>
      <c r="PSI71" s="2936"/>
      <c r="PSJ71" s="2936"/>
      <c r="PSK71" s="2936"/>
      <c r="PSL71" s="2936"/>
      <c r="PSM71" s="2936"/>
      <c r="PSN71" s="2936"/>
      <c r="PSO71" s="2936"/>
      <c r="PSP71" s="2936"/>
      <c r="PSQ71" s="2936"/>
      <c r="PSR71" s="2936"/>
      <c r="PSS71" s="2936"/>
      <c r="PST71" s="2936"/>
      <c r="PSU71" s="2936"/>
      <c r="PSV71" s="2936"/>
      <c r="PSW71" s="2936"/>
      <c r="PSX71" s="2936"/>
      <c r="PSY71" s="2936"/>
      <c r="PSZ71" s="2936"/>
      <c r="PTA71" s="2936"/>
      <c r="PTB71" s="2936"/>
      <c r="PTC71" s="2936"/>
      <c r="PTD71" s="2936"/>
      <c r="PTE71" s="2936"/>
      <c r="PTF71" s="2936"/>
      <c r="PTG71" s="2936"/>
      <c r="PTH71" s="2936"/>
      <c r="PTI71" s="2936"/>
      <c r="PTJ71" s="2936"/>
      <c r="PTK71" s="2936"/>
      <c r="PTL71" s="2936"/>
      <c r="PTM71" s="2936"/>
      <c r="PTN71" s="2936"/>
      <c r="PTO71" s="2936"/>
      <c r="PTP71" s="2936"/>
      <c r="PTQ71" s="2936"/>
      <c r="PTR71" s="2936"/>
      <c r="PTS71" s="2936"/>
      <c r="PTT71" s="2936"/>
      <c r="PTU71" s="2936"/>
      <c r="PTV71" s="2936"/>
      <c r="PTW71" s="2936"/>
      <c r="PTX71" s="2936"/>
      <c r="PTY71" s="2936"/>
      <c r="PTZ71" s="2936"/>
      <c r="PUA71" s="2936"/>
      <c r="PUB71" s="2936"/>
      <c r="PUC71" s="2936"/>
      <c r="PUD71" s="2936"/>
      <c r="PUE71" s="2936"/>
      <c r="PUF71" s="2936"/>
      <c r="PUG71" s="2936"/>
      <c r="PUH71" s="2936"/>
      <c r="PUI71" s="2936"/>
      <c r="PUJ71" s="2936"/>
      <c r="PUK71" s="2936"/>
      <c r="PUL71" s="2936"/>
      <c r="PUM71" s="2936"/>
      <c r="PUN71" s="2936"/>
      <c r="PUO71" s="2936"/>
      <c r="PUP71" s="2936"/>
      <c r="PUQ71" s="2936"/>
      <c r="PUR71" s="2936"/>
      <c r="PUS71" s="2936"/>
      <c r="PUT71" s="2936"/>
      <c r="PUU71" s="2936"/>
      <c r="PUV71" s="2936"/>
      <c r="PUW71" s="2936"/>
      <c r="PUX71" s="2936"/>
      <c r="PUY71" s="2936"/>
      <c r="PUZ71" s="2936"/>
      <c r="PVA71" s="2936"/>
      <c r="PVB71" s="2936"/>
      <c r="PVC71" s="2936"/>
      <c r="PVD71" s="2936"/>
      <c r="PVE71" s="2936"/>
      <c r="PVF71" s="2936"/>
      <c r="PVG71" s="2936"/>
      <c r="PVH71" s="2936"/>
      <c r="PVI71" s="2936"/>
      <c r="PVJ71" s="2936"/>
      <c r="PVK71" s="2936"/>
      <c r="PVL71" s="2936"/>
      <c r="PVM71" s="2936"/>
      <c r="PVN71" s="2936"/>
      <c r="PVO71" s="2936"/>
      <c r="PVP71" s="2936"/>
      <c r="PVQ71" s="2936"/>
      <c r="PVR71" s="2936"/>
      <c r="PVS71" s="2936"/>
      <c r="PVT71" s="2936"/>
      <c r="PVU71" s="2936"/>
      <c r="PVV71" s="2936"/>
      <c r="PVW71" s="2936"/>
      <c r="PVX71" s="2936"/>
      <c r="PVY71" s="2936"/>
      <c r="PVZ71" s="2936"/>
      <c r="PWA71" s="2936"/>
      <c r="PWB71" s="2936"/>
      <c r="PWC71" s="2936"/>
      <c r="PWD71" s="2936"/>
      <c r="PWE71" s="2936"/>
      <c r="PWF71" s="2936"/>
      <c r="PWG71" s="2936"/>
      <c r="PWH71" s="2936"/>
      <c r="PWI71" s="2936"/>
      <c r="PWJ71" s="2936"/>
      <c r="PWK71" s="2936"/>
      <c r="PWL71" s="2936"/>
      <c r="PWM71" s="2936"/>
      <c r="PWN71" s="2936"/>
      <c r="PWO71" s="2936"/>
      <c r="PWP71" s="2936"/>
      <c r="PWQ71" s="2936"/>
      <c r="PWR71" s="2936"/>
      <c r="PWS71" s="2936"/>
      <c r="PWT71" s="2936"/>
      <c r="PWU71" s="2936"/>
      <c r="PWV71" s="2936"/>
      <c r="PWW71" s="2936"/>
      <c r="PWX71" s="2936"/>
      <c r="PWY71" s="2936"/>
      <c r="PWZ71" s="2936"/>
      <c r="PXA71" s="2936"/>
      <c r="PXB71" s="2936"/>
      <c r="PXC71" s="2936"/>
      <c r="PXD71" s="2936"/>
      <c r="PXE71" s="2936"/>
      <c r="PXF71" s="2936"/>
      <c r="PXG71" s="2936"/>
      <c r="PXH71" s="2936"/>
      <c r="PXI71" s="2936"/>
      <c r="PXJ71" s="2936"/>
      <c r="PXK71" s="2936"/>
      <c r="PXL71" s="2936"/>
      <c r="PXM71" s="2936"/>
      <c r="PXN71" s="2936"/>
      <c r="PXO71" s="2936"/>
      <c r="PXP71" s="2936"/>
      <c r="PXQ71" s="2936"/>
      <c r="PXR71" s="2936"/>
      <c r="PXS71" s="2936"/>
      <c r="PXT71" s="2936"/>
      <c r="PXU71" s="2936"/>
      <c r="PXV71" s="2936"/>
      <c r="PXW71" s="2936"/>
      <c r="PXX71" s="2936"/>
      <c r="PXY71" s="2936"/>
      <c r="PXZ71" s="2936"/>
      <c r="PYA71" s="2936"/>
      <c r="PYB71" s="2936"/>
      <c r="PYC71" s="2936"/>
      <c r="PYD71" s="2936"/>
      <c r="PYE71" s="2936"/>
      <c r="PYF71" s="2936"/>
      <c r="PYG71" s="2936"/>
      <c r="PYH71" s="2936"/>
      <c r="PYI71" s="2936"/>
      <c r="PYJ71" s="2936"/>
      <c r="PYK71" s="2936"/>
      <c r="PYL71" s="2936"/>
      <c r="PYM71" s="2936"/>
      <c r="PYN71" s="2936"/>
      <c r="PYO71" s="2936"/>
      <c r="PYP71" s="2936"/>
      <c r="PYQ71" s="2936"/>
      <c r="PYR71" s="2936"/>
      <c r="PYS71" s="2936"/>
      <c r="PYT71" s="2936"/>
      <c r="PYU71" s="2936"/>
      <c r="PYV71" s="2936"/>
      <c r="PYW71" s="2936"/>
      <c r="PYX71" s="2936"/>
      <c r="PYY71" s="2936"/>
      <c r="PYZ71" s="2936"/>
      <c r="PZA71" s="2936"/>
      <c r="PZB71" s="2936"/>
      <c r="PZC71" s="2936"/>
      <c r="PZD71" s="2936"/>
      <c r="PZE71" s="2936"/>
      <c r="PZF71" s="2936"/>
      <c r="PZG71" s="2936"/>
      <c r="PZH71" s="2936"/>
      <c r="PZI71" s="2936"/>
      <c r="PZJ71" s="2936"/>
      <c r="PZK71" s="2936"/>
      <c r="PZL71" s="2936"/>
      <c r="PZM71" s="2936"/>
      <c r="PZN71" s="2936"/>
      <c r="PZO71" s="2936"/>
      <c r="PZP71" s="2936"/>
      <c r="PZQ71" s="2936"/>
      <c r="PZR71" s="2936"/>
      <c r="PZS71" s="2936"/>
      <c r="PZT71" s="2936"/>
      <c r="PZU71" s="2936"/>
      <c r="PZV71" s="2936"/>
      <c r="PZW71" s="2936"/>
      <c r="PZX71" s="2936"/>
      <c r="PZY71" s="2936"/>
      <c r="PZZ71" s="2936"/>
      <c r="QAA71" s="2936"/>
      <c r="QAB71" s="2936"/>
      <c r="QAC71" s="2936"/>
      <c r="QAD71" s="2936"/>
      <c r="QAE71" s="2936"/>
      <c r="QAF71" s="2936"/>
      <c r="QAG71" s="2936"/>
      <c r="QAH71" s="2936"/>
      <c r="QAI71" s="2936"/>
      <c r="QAJ71" s="2936"/>
      <c r="QAK71" s="2936"/>
      <c r="QAL71" s="2936"/>
      <c r="QAM71" s="2936"/>
      <c r="QAN71" s="2936"/>
      <c r="QAO71" s="2936"/>
      <c r="QAP71" s="2936"/>
      <c r="QAQ71" s="2936"/>
      <c r="QAR71" s="2936"/>
      <c r="QAS71" s="2936"/>
      <c r="QAT71" s="2936"/>
      <c r="QAU71" s="2936"/>
      <c r="QAV71" s="2936"/>
      <c r="QAW71" s="2936"/>
      <c r="QAX71" s="2936"/>
      <c r="QAY71" s="2936"/>
      <c r="QAZ71" s="2936"/>
      <c r="QBA71" s="2936"/>
      <c r="QBB71" s="2936"/>
      <c r="QBC71" s="2936"/>
      <c r="QBD71" s="2936"/>
      <c r="QBE71" s="2936"/>
      <c r="QBF71" s="2936"/>
      <c r="QBG71" s="2936"/>
      <c r="QBH71" s="2936"/>
      <c r="QBI71" s="2936"/>
      <c r="QBJ71" s="2936"/>
      <c r="QBK71" s="2936"/>
      <c r="QBL71" s="2936"/>
      <c r="QBM71" s="2936"/>
      <c r="QBN71" s="2936"/>
      <c r="QBO71" s="2936"/>
      <c r="QBP71" s="2936"/>
      <c r="QBQ71" s="2936"/>
      <c r="QBR71" s="2936"/>
      <c r="QBS71" s="2936"/>
      <c r="QBT71" s="2936"/>
      <c r="QBU71" s="2936"/>
      <c r="QBV71" s="2936"/>
      <c r="QBW71" s="2936"/>
      <c r="QBX71" s="2936"/>
      <c r="QBY71" s="2936"/>
      <c r="QBZ71" s="2936"/>
      <c r="QCA71" s="2936"/>
      <c r="QCB71" s="2936"/>
      <c r="QCC71" s="2936"/>
      <c r="QCD71" s="2936"/>
      <c r="QCE71" s="2936"/>
      <c r="QCF71" s="2936"/>
      <c r="QCG71" s="2936"/>
      <c r="QCH71" s="2936"/>
      <c r="QCI71" s="2936"/>
      <c r="QCJ71" s="2936"/>
      <c r="QCK71" s="2936"/>
      <c r="QCL71" s="2936"/>
      <c r="QCM71" s="2936"/>
      <c r="QCN71" s="2936"/>
      <c r="QCO71" s="2936"/>
      <c r="QCP71" s="2936"/>
      <c r="QCQ71" s="2936"/>
      <c r="QCR71" s="2936"/>
      <c r="QCS71" s="2936"/>
      <c r="QCT71" s="2936"/>
      <c r="QCU71" s="2936"/>
      <c r="QCV71" s="2936"/>
      <c r="QCW71" s="2936"/>
      <c r="QCX71" s="2936"/>
      <c r="QCY71" s="2936"/>
      <c r="QCZ71" s="2936"/>
      <c r="QDA71" s="2936"/>
      <c r="QDB71" s="2936"/>
      <c r="QDC71" s="2936"/>
      <c r="QDD71" s="2936"/>
      <c r="QDE71" s="2936"/>
      <c r="QDF71" s="2936"/>
      <c r="QDG71" s="2936"/>
      <c r="QDH71" s="2936"/>
      <c r="QDI71" s="2936"/>
      <c r="QDJ71" s="2936"/>
      <c r="QDK71" s="2936"/>
      <c r="QDL71" s="2936"/>
      <c r="QDM71" s="2936"/>
      <c r="QDN71" s="2936"/>
      <c r="QDO71" s="2936"/>
      <c r="QDP71" s="2936"/>
      <c r="QDQ71" s="2936"/>
      <c r="QDR71" s="2936"/>
      <c r="QDS71" s="2936"/>
      <c r="QDT71" s="2936"/>
      <c r="QDU71" s="2936"/>
      <c r="QDV71" s="2936"/>
      <c r="QDW71" s="2936"/>
      <c r="QDX71" s="2936"/>
      <c r="QDY71" s="2936"/>
      <c r="QDZ71" s="2936"/>
      <c r="QEA71" s="2936"/>
      <c r="QEB71" s="2936"/>
      <c r="QEC71" s="2936"/>
      <c r="QED71" s="2936"/>
      <c r="QEE71" s="2936"/>
      <c r="QEF71" s="2936"/>
      <c r="QEG71" s="2936"/>
      <c r="QEH71" s="2936"/>
      <c r="QEI71" s="2936"/>
      <c r="QEJ71" s="2936"/>
      <c r="QEK71" s="2936"/>
      <c r="QEL71" s="2936"/>
      <c r="QEM71" s="2936"/>
      <c r="QEN71" s="2936"/>
      <c r="QEO71" s="2936"/>
      <c r="QEP71" s="2936"/>
      <c r="QEQ71" s="2936"/>
      <c r="QER71" s="2936"/>
      <c r="QES71" s="2936"/>
      <c r="QET71" s="2936"/>
      <c r="QEU71" s="2936"/>
      <c r="QEV71" s="2936"/>
      <c r="QEW71" s="2936"/>
      <c r="QEX71" s="2936"/>
      <c r="QEY71" s="2936"/>
      <c r="QEZ71" s="2936"/>
      <c r="QFA71" s="2936"/>
      <c r="QFB71" s="2936"/>
      <c r="QFC71" s="2936"/>
      <c r="QFD71" s="2936"/>
      <c r="QFE71" s="2936"/>
      <c r="QFF71" s="2936"/>
      <c r="QFG71" s="2936"/>
      <c r="QFH71" s="2936"/>
      <c r="QFI71" s="2936"/>
      <c r="QFJ71" s="2936"/>
      <c r="QFK71" s="2936"/>
      <c r="QFL71" s="2936"/>
      <c r="QFM71" s="2936"/>
      <c r="QFN71" s="2936"/>
      <c r="QFO71" s="2936"/>
      <c r="QFP71" s="2936"/>
      <c r="QFQ71" s="2936"/>
      <c r="QFR71" s="2936"/>
      <c r="QFS71" s="2936"/>
      <c r="QFT71" s="2936"/>
      <c r="QFU71" s="2936"/>
      <c r="QFV71" s="2936"/>
      <c r="QFW71" s="2936"/>
      <c r="QFX71" s="2936"/>
      <c r="QFY71" s="2936"/>
      <c r="QFZ71" s="2936"/>
      <c r="QGA71" s="2936"/>
      <c r="QGB71" s="2936"/>
      <c r="QGC71" s="2936"/>
      <c r="QGD71" s="2936"/>
      <c r="QGE71" s="2936"/>
      <c r="QGF71" s="2936"/>
      <c r="QGG71" s="2936"/>
      <c r="QGH71" s="2936"/>
      <c r="QGI71" s="2936"/>
      <c r="QGJ71" s="2936"/>
      <c r="QGK71" s="2936"/>
      <c r="QGL71" s="2936"/>
      <c r="QGM71" s="2936"/>
      <c r="QGN71" s="2936"/>
      <c r="QGO71" s="2936"/>
      <c r="QGP71" s="2936"/>
      <c r="QGQ71" s="2936"/>
      <c r="QGR71" s="2936"/>
      <c r="QGS71" s="2936"/>
      <c r="QGT71" s="2936"/>
      <c r="QGU71" s="2936"/>
      <c r="QGV71" s="2936"/>
      <c r="QGW71" s="2936"/>
      <c r="QGX71" s="2936"/>
      <c r="QGY71" s="2936"/>
      <c r="QGZ71" s="2936"/>
      <c r="QHA71" s="2936"/>
      <c r="QHB71" s="2936"/>
      <c r="QHC71" s="2936"/>
      <c r="QHD71" s="2936"/>
      <c r="QHE71" s="2936"/>
      <c r="QHF71" s="2936"/>
      <c r="QHG71" s="2936"/>
      <c r="QHH71" s="2936"/>
      <c r="QHI71" s="2936"/>
      <c r="QHJ71" s="2936"/>
      <c r="QHK71" s="2936"/>
      <c r="QHL71" s="2936"/>
      <c r="QHM71" s="2936"/>
      <c r="QHN71" s="2936"/>
      <c r="QHO71" s="2936"/>
      <c r="QHP71" s="2936"/>
      <c r="QHQ71" s="2936"/>
      <c r="QHR71" s="2936"/>
      <c r="QHS71" s="2936"/>
      <c r="QHT71" s="2936"/>
      <c r="QHU71" s="2936"/>
      <c r="QHV71" s="2936"/>
      <c r="QHW71" s="2936"/>
      <c r="QHX71" s="2936"/>
      <c r="QHY71" s="2936"/>
      <c r="QHZ71" s="2936"/>
      <c r="QIA71" s="2936"/>
      <c r="QIB71" s="2936"/>
      <c r="QIC71" s="2936"/>
      <c r="QID71" s="2936"/>
      <c r="QIE71" s="2936"/>
      <c r="QIF71" s="2936"/>
      <c r="QIG71" s="2936"/>
      <c r="QIH71" s="2936"/>
      <c r="QII71" s="2936"/>
      <c r="QIJ71" s="2936"/>
      <c r="QIK71" s="2936"/>
      <c r="QIL71" s="2936"/>
      <c r="QIM71" s="2936"/>
      <c r="QIN71" s="2936"/>
      <c r="QIO71" s="2936"/>
      <c r="QIP71" s="2936"/>
      <c r="QIQ71" s="2936"/>
      <c r="QIR71" s="2936"/>
      <c r="QIS71" s="2936"/>
      <c r="QIT71" s="2936"/>
      <c r="QIU71" s="2936"/>
      <c r="QIV71" s="2936"/>
      <c r="QIW71" s="2936"/>
      <c r="QIX71" s="2936"/>
      <c r="QIY71" s="2936"/>
      <c r="QIZ71" s="2936"/>
      <c r="QJA71" s="2936"/>
      <c r="QJB71" s="2936"/>
      <c r="QJC71" s="2936"/>
      <c r="QJD71" s="2936"/>
      <c r="QJE71" s="2936"/>
      <c r="QJF71" s="2936"/>
      <c r="QJG71" s="2936"/>
      <c r="QJH71" s="2936"/>
      <c r="QJI71" s="2936"/>
      <c r="QJJ71" s="2936"/>
      <c r="QJK71" s="2936"/>
      <c r="QJL71" s="2936"/>
      <c r="QJM71" s="2936"/>
      <c r="QJN71" s="2936"/>
      <c r="QJO71" s="2936"/>
      <c r="QJP71" s="2936"/>
      <c r="QJQ71" s="2936"/>
      <c r="QJR71" s="2936"/>
      <c r="QJS71" s="2936"/>
      <c r="QJT71" s="2936"/>
      <c r="QJU71" s="2936"/>
      <c r="QJV71" s="2936"/>
      <c r="QJW71" s="2936"/>
      <c r="QJX71" s="2936"/>
      <c r="QJY71" s="2936"/>
      <c r="QJZ71" s="2936"/>
      <c r="QKA71" s="2936"/>
      <c r="QKB71" s="2936"/>
      <c r="QKC71" s="2936"/>
      <c r="QKD71" s="2936"/>
      <c r="QKE71" s="2936"/>
      <c r="QKF71" s="2936"/>
      <c r="QKG71" s="2936"/>
      <c r="QKH71" s="2936"/>
      <c r="QKI71" s="2936"/>
      <c r="QKJ71" s="2936"/>
      <c r="QKK71" s="2936"/>
      <c r="QKL71" s="2936"/>
      <c r="QKM71" s="2936"/>
      <c r="QKN71" s="2936"/>
      <c r="QKO71" s="2936"/>
      <c r="QKP71" s="2936"/>
      <c r="QKQ71" s="2936"/>
      <c r="QKR71" s="2936"/>
      <c r="QKS71" s="2936"/>
      <c r="QKT71" s="2936"/>
      <c r="QKU71" s="2936"/>
      <c r="QKV71" s="2936"/>
      <c r="QKW71" s="2936"/>
      <c r="QKX71" s="2936"/>
      <c r="QKY71" s="2936"/>
      <c r="QKZ71" s="2936"/>
      <c r="QLA71" s="2936"/>
      <c r="QLB71" s="2936"/>
      <c r="QLC71" s="2936"/>
      <c r="QLD71" s="2936"/>
      <c r="QLE71" s="2936"/>
      <c r="QLF71" s="2936"/>
      <c r="QLG71" s="2936"/>
      <c r="QLH71" s="2936"/>
      <c r="QLI71" s="2936"/>
      <c r="QLJ71" s="2936"/>
      <c r="QLK71" s="2936"/>
      <c r="QLL71" s="2936"/>
      <c r="QLM71" s="2936"/>
      <c r="QLN71" s="2936"/>
      <c r="QLO71" s="2936"/>
      <c r="QLP71" s="2936"/>
      <c r="QLQ71" s="2936"/>
      <c r="QLR71" s="2936"/>
      <c r="QLS71" s="2936"/>
      <c r="QLT71" s="2936"/>
      <c r="QLU71" s="2936"/>
      <c r="QLV71" s="2936"/>
      <c r="QLW71" s="2936"/>
      <c r="QLX71" s="2936"/>
      <c r="QLY71" s="2936"/>
      <c r="QLZ71" s="2936"/>
      <c r="QMA71" s="2936"/>
      <c r="QMB71" s="2936"/>
      <c r="QMC71" s="2936"/>
      <c r="QMD71" s="2936"/>
      <c r="QME71" s="2936"/>
      <c r="QMF71" s="2936"/>
      <c r="QMG71" s="2936"/>
      <c r="QMH71" s="2936"/>
      <c r="QMI71" s="2936"/>
      <c r="QMJ71" s="2936"/>
      <c r="QMK71" s="2936"/>
      <c r="QML71" s="2936"/>
      <c r="QMM71" s="2936"/>
      <c r="QMN71" s="2936"/>
      <c r="QMO71" s="2936"/>
      <c r="QMP71" s="2936"/>
      <c r="QMQ71" s="2936"/>
      <c r="QMR71" s="2936"/>
      <c r="QMS71" s="2936"/>
      <c r="QMT71" s="2936"/>
      <c r="QMU71" s="2936"/>
      <c r="QMV71" s="2936"/>
      <c r="QMW71" s="2936"/>
      <c r="QMX71" s="2936"/>
      <c r="QMY71" s="2936"/>
      <c r="QMZ71" s="2936"/>
      <c r="QNA71" s="2936"/>
      <c r="QNB71" s="2936"/>
      <c r="QNC71" s="2936"/>
      <c r="QND71" s="2936"/>
      <c r="QNE71" s="2936"/>
      <c r="QNF71" s="2936"/>
      <c r="QNG71" s="2936"/>
      <c r="QNH71" s="2936"/>
      <c r="QNI71" s="2936"/>
      <c r="QNJ71" s="2936"/>
      <c r="QNK71" s="2936"/>
      <c r="QNL71" s="2936"/>
      <c r="QNM71" s="2936"/>
      <c r="QNN71" s="2936"/>
      <c r="QNO71" s="2936"/>
      <c r="QNP71" s="2936"/>
      <c r="QNQ71" s="2936"/>
      <c r="QNR71" s="2936"/>
      <c r="QNS71" s="2936"/>
      <c r="QNT71" s="2936"/>
      <c r="QNU71" s="2936"/>
      <c r="QNV71" s="2936"/>
      <c r="QNW71" s="2936"/>
      <c r="QNX71" s="2936"/>
      <c r="QNY71" s="2936"/>
      <c r="QNZ71" s="2936"/>
      <c r="QOA71" s="2936"/>
      <c r="QOB71" s="2936"/>
      <c r="QOC71" s="2936"/>
      <c r="QOD71" s="2936"/>
      <c r="QOE71" s="2936"/>
      <c r="QOF71" s="2936"/>
      <c r="QOG71" s="2936"/>
      <c r="QOH71" s="2936"/>
      <c r="QOI71" s="2936"/>
      <c r="QOJ71" s="2936"/>
      <c r="QOK71" s="2936"/>
      <c r="QOL71" s="2936"/>
      <c r="QOM71" s="2936"/>
      <c r="QON71" s="2936"/>
      <c r="QOO71" s="2936"/>
      <c r="QOP71" s="2936"/>
      <c r="QOQ71" s="2936"/>
      <c r="QOR71" s="2936"/>
      <c r="QOS71" s="2936"/>
      <c r="QOT71" s="2936"/>
      <c r="QOU71" s="2936"/>
      <c r="QOV71" s="2936"/>
      <c r="QOW71" s="2936"/>
      <c r="QOX71" s="2936"/>
      <c r="QOY71" s="2936"/>
      <c r="QOZ71" s="2936"/>
      <c r="QPA71" s="2936"/>
      <c r="QPB71" s="2936"/>
      <c r="QPC71" s="2936"/>
      <c r="QPD71" s="2936"/>
      <c r="QPE71" s="2936"/>
      <c r="QPF71" s="2936"/>
      <c r="QPG71" s="2936"/>
      <c r="QPH71" s="2936"/>
      <c r="QPI71" s="2936"/>
      <c r="QPJ71" s="2936"/>
      <c r="QPK71" s="2936"/>
      <c r="QPL71" s="2936"/>
      <c r="QPM71" s="2936"/>
      <c r="QPN71" s="2936"/>
      <c r="QPO71" s="2936"/>
      <c r="QPP71" s="2936"/>
      <c r="QPQ71" s="2936"/>
      <c r="QPR71" s="2936"/>
      <c r="QPS71" s="2936"/>
      <c r="QPT71" s="2936"/>
      <c r="QPU71" s="2936"/>
      <c r="QPV71" s="2936"/>
      <c r="QPW71" s="2936"/>
      <c r="QPX71" s="2936"/>
      <c r="QPY71" s="2936"/>
      <c r="QPZ71" s="2936"/>
      <c r="QQA71" s="2936"/>
      <c r="QQB71" s="2936"/>
      <c r="QQC71" s="2936"/>
      <c r="QQD71" s="2936"/>
      <c r="QQE71" s="2936"/>
      <c r="QQF71" s="2936"/>
      <c r="QQG71" s="2936"/>
      <c r="QQH71" s="2936"/>
      <c r="QQI71" s="2936"/>
      <c r="QQJ71" s="2936"/>
      <c r="QQK71" s="2936"/>
      <c r="QQL71" s="2936"/>
      <c r="QQM71" s="2936"/>
      <c r="QQN71" s="2936"/>
      <c r="QQO71" s="2936"/>
      <c r="QQP71" s="2936"/>
      <c r="QQQ71" s="2936"/>
      <c r="QQR71" s="2936"/>
      <c r="QQS71" s="2936"/>
      <c r="QQT71" s="2936"/>
      <c r="QQU71" s="2936"/>
      <c r="QQV71" s="2936"/>
      <c r="QQW71" s="2936"/>
      <c r="QQX71" s="2936"/>
      <c r="QQY71" s="2936"/>
      <c r="QQZ71" s="2936"/>
      <c r="QRA71" s="2936"/>
      <c r="QRB71" s="2936"/>
      <c r="QRC71" s="2936"/>
      <c r="QRD71" s="2936"/>
      <c r="QRE71" s="2936"/>
      <c r="QRF71" s="2936"/>
      <c r="QRG71" s="2936"/>
      <c r="QRH71" s="2936"/>
      <c r="QRI71" s="2936"/>
      <c r="QRJ71" s="2936"/>
      <c r="QRK71" s="2936"/>
      <c r="QRL71" s="2936"/>
      <c r="QRM71" s="2936"/>
      <c r="QRN71" s="2936"/>
      <c r="QRO71" s="2936"/>
      <c r="QRP71" s="2936"/>
      <c r="QRQ71" s="2936"/>
      <c r="QRR71" s="2936"/>
      <c r="QRS71" s="2936"/>
      <c r="QRT71" s="2936"/>
      <c r="QRU71" s="2936"/>
      <c r="QRV71" s="2936"/>
      <c r="QRW71" s="2936"/>
      <c r="QRX71" s="2936"/>
      <c r="QRY71" s="2936"/>
      <c r="QRZ71" s="2936"/>
      <c r="QSA71" s="2936"/>
      <c r="QSB71" s="2936"/>
      <c r="QSC71" s="2936"/>
      <c r="QSD71" s="2936"/>
      <c r="QSE71" s="2936"/>
      <c r="QSF71" s="2936"/>
      <c r="QSG71" s="2936"/>
      <c r="QSH71" s="2936"/>
      <c r="QSI71" s="2936"/>
      <c r="QSJ71" s="2936"/>
      <c r="QSK71" s="2936"/>
      <c r="QSL71" s="2936"/>
      <c r="QSM71" s="2936"/>
      <c r="QSN71" s="2936"/>
      <c r="QSO71" s="2936"/>
      <c r="QSP71" s="2936"/>
      <c r="QSQ71" s="2936"/>
      <c r="QSR71" s="2936"/>
      <c r="QSS71" s="2936"/>
      <c r="QST71" s="2936"/>
      <c r="QSU71" s="2936"/>
      <c r="QSV71" s="2936"/>
      <c r="QSW71" s="2936"/>
      <c r="QSX71" s="2936"/>
      <c r="QSY71" s="2936"/>
      <c r="QSZ71" s="2936"/>
      <c r="QTA71" s="2936"/>
      <c r="QTB71" s="2936"/>
      <c r="QTC71" s="2936"/>
      <c r="QTD71" s="2936"/>
      <c r="QTE71" s="2936"/>
      <c r="QTF71" s="2936"/>
      <c r="QTG71" s="2936"/>
      <c r="QTH71" s="2936"/>
      <c r="QTI71" s="2936"/>
      <c r="QTJ71" s="2936"/>
      <c r="QTK71" s="2936"/>
      <c r="QTL71" s="2936"/>
      <c r="QTM71" s="2936"/>
      <c r="QTN71" s="2936"/>
      <c r="QTO71" s="2936"/>
      <c r="QTP71" s="2936"/>
      <c r="QTQ71" s="2936"/>
      <c r="QTR71" s="2936"/>
      <c r="QTS71" s="2936"/>
      <c r="QTT71" s="2936"/>
      <c r="QTU71" s="2936"/>
      <c r="QTV71" s="2936"/>
      <c r="QTW71" s="2936"/>
      <c r="QTX71" s="2936"/>
      <c r="QTY71" s="2936"/>
      <c r="QTZ71" s="2936"/>
      <c r="QUA71" s="2936"/>
      <c r="QUB71" s="2936"/>
      <c r="QUC71" s="2936"/>
      <c r="QUD71" s="2936"/>
      <c r="QUE71" s="2936"/>
      <c r="QUF71" s="2936"/>
      <c r="QUG71" s="2936"/>
      <c r="QUH71" s="2936"/>
      <c r="QUI71" s="2936"/>
      <c r="QUJ71" s="2936"/>
      <c r="QUK71" s="2936"/>
      <c r="QUL71" s="2936"/>
      <c r="QUM71" s="2936"/>
      <c r="QUN71" s="2936"/>
      <c r="QUO71" s="2936"/>
      <c r="QUP71" s="2936"/>
      <c r="QUQ71" s="2936"/>
      <c r="QUR71" s="2936"/>
      <c r="QUS71" s="2936"/>
      <c r="QUT71" s="2936"/>
      <c r="QUU71" s="2936"/>
      <c r="QUV71" s="2936"/>
      <c r="QUW71" s="2936"/>
      <c r="QUX71" s="2936"/>
      <c r="QUY71" s="2936"/>
      <c r="QUZ71" s="2936"/>
      <c r="QVA71" s="2936"/>
      <c r="QVB71" s="2936"/>
      <c r="QVC71" s="2936"/>
      <c r="QVD71" s="2936"/>
      <c r="QVE71" s="2936"/>
      <c r="QVF71" s="2936"/>
      <c r="QVG71" s="2936"/>
      <c r="QVH71" s="2936"/>
      <c r="QVI71" s="2936"/>
      <c r="QVJ71" s="2936"/>
      <c r="QVK71" s="2936"/>
      <c r="QVL71" s="2936"/>
      <c r="QVM71" s="2936"/>
      <c r="QVN71" s="2936"/>
      <c r="QVO71" s="2936"/>
      <c r="QVP71" s="2936"/>
      <c r="QVQ71" s="2936"/>
      <c r="QVR71" s="2936"/>
      <c r="QVS71" s="2936"/>
      <c r="QVT71" s="2936"/>
      <c r="QVU71" s="2936"/>
      <c r="QVV71" s="2936"/>
      <c r="QVW71" s="2936"/>
      <c r="QVX71" s="2936"/>
      <c r="QVY71" s="2936"/>
      <c r="QVZ71" s="2936"/>
      <c r="QWA71" s="2936"/>
      <c r="QWB71" s="2936"/>
      <c r="QWC71" s="2936"/>
      <c r="QWD71" s="2936"/>
      <c r="QWE71" s="2936"/>
      <c r="QWF71" s="2936"/>
      <c r="QWG71" s="2936"/>
      <c r="QWH71" s="2936"/>
      <c r="QWI71" s="2936"/>
      <c r="QWJ71" s="2936"/>
      <c r="QWK71" s="2936"/>
      <c r="QWL71" s="2936"/>
      <c r="QWM71" s="2936"/>
      <c r="QWN71" s="2936"/>
      <c r="QWO71" s="2936"/>
      <c r="QWP71" s="2936"/>
      <c r="QWQ71" s="2936"/>
      <c r="QWR71" s="2936"/>
      <c r="QWS71" s="2936"/>
      <c r="QWT71" s="2936"/>
      <c r="QWU71" s="2936"/>
      <c r="QWV71" s="2936"/>
      <c r="QWW71" s="2936"/>
      <c r="QWX71" s="2936"/>
      <c r="QWY71" s="2936"/>
      <c r="QWZ71" s="2936"/>
      <c r="QXA71" s="2936"/>
      <c r="QXB71" s="2936"/>
      <c r="QXC71" s="2936"/>
      <c r="QXD71" s="2936"/>
      <c r="QXE71" s="2936"/>
      <c r="QXF71" s="2936"/>
      <c r="QXG71" s="2936"/>
      <c r="QXH71" s="2936"/>
      <c r="QXI71" s="2936"/>
      <c r="QXJ71" s="2936"/>
      <c r="QXK71" s="2936"/>
      <c r="QXL71" s="2936"/>
      <c r="QXM71" s="2936"/>
      <c r="QXN71" s="2936"/>
      <c r="QXO71" s="2936"/>
      <c r="QXP71" s="2936"/>
      <c r="QXQ71" s="2936"/>
      <c r="QXR71" s="2936"/>
      <c r="QXS71" s="2936"/>
      <c r="QXT71" s="2936"/>
      <c r="QXU71" s="2936"/>
      <c r="QXV71" s="2936"/>
      <c r="QXW71" s="2936"/>
      <c r="QXX71" s="2936"/>
      <c r="QXY71" s="2936"/>
      <c r="QXZ71" s="2936"/>
      <c r="QYA71" s="2936"/>
      <c r="QYB71" s="2936"/>
      <c r="QYC71" s="2936"/>
      <c r="QYD71" s="2936"/>
      <c r="QYE71" s="2936"/>
      <c r="QYF71" s="2936"/>
      <c r="QYG71" s="2936"/>
      <c r="QYH71" s="2936"/>
      <c r="QYI71" s="2936"/>
      <c r="QYJ71" s="2936"/>
      <c r="QYK71" s="2936"/>
      <c r="QYL71" s="2936"/>
      <c r="QYM71" s="2936"/>
      <c r="QYN71" s="2936"/>
      <c r="QYO71" s="2936"/>
      <c r="QYP71" s="2936"/>
      <c r="QYQ71" s="2936"/>
      <c r="QYR71" s="2936"/>
      <c r="QYS71" s="2936"/>
      <c r="QYT71" s="2936"/>
      <c r="QYU71" s="2936"/>
      <c r="QYV71" s="2936"/>
      <c r="QYW71" s="2936"/>
      <c r="QYX71" s="2936"/>
      <c r="QYY71" s="2936"/>
      <c r="QYZ71" s="2936"/>
      <c r="QZA71" s="2936"/>
      <c r="QZB71" s="2936"/>
      <c r="QZC71" s="2936"/>
      <c r="QZD71" s="2936"/>
      <c r="QZE71" s="2936"/>
      <c r="QZF71" s="2936"/>
      <c r="QZG71" s="2936"/>
      <c r="QZH71" s="2936"/>
      <c r="QZI71" s="2936"/>
      <c r="QZJ71" s="2936"/>
      <c r="QZK71" s="2936"/>
      <c r="QZL71" s="2936"/>
      <c r="QZM71" s="2936"/>
      <c r="QZN71" s="2936"/>
      <c r="QZO71" s="2936"/>
      <c r="QZP71" s="2936"/>
      <c r="QZQ71" s="2936"/>
      <c r="QZR71" s="2936"/>
      <c r="QZS71" s="2936"/>
      <c r="QZT71" s="2936"/>
      <c r="QZU71" s="2936"/>
      <c r="QZV71" s="2936"/>
      <c r="QZW71" s="2936"/>
      <c r="QZX71" s="2936"/>
      <c r="QZY71" s="2936"/>
      <c r="QZZ71" s="2936"/>
      <c r="RAA71" s="2936"/>
      <c r="RAB71" s="2936"/>
      <c r="RAC71" s="2936"/>
      <c r="RAD71" s="2936"/>
      <c r="RAE71" s="2936"/>
      <c r="RAF71" s="2936"/>
      <c r="RAG71" s="2936"/>
      <c r="RAH71" s="2936"/>
      <c r="RAI71" s="2936"/>
      <c r="RAJ71" s="2936"/>
      <c r="RAK71" s="2936"/>
      <c r="RAL71" s="2936"/>
      <c r="RAM71" s="2936"/>
      <c r="RAN71" s="2936"/>
      <c r="RAO71" s="2936"/>
      <c r="RAP71" s="2936"/>
      <c r="RAQ71" s="2936"/>
      <c r="RAR71" s="2936"/>
      <c r="RAS71" s="2936"/>
      <c r="RAT71" s="2936"/>
      <c r="RAU71" s="2936"/>
      <c r="RAV71" s="2936"/>
      <c r="RAW71" s="2936"/>
      <c r="RAX71" s="2936"/>
      <c r="RAY71" s="2936"/>
      <c r="RAZ71" s="2936"/>
      <c r="RBA71" s="2936"/>
      <c r="RBB71" s="2936"/>
      <c r="RBC71" s="2936"/>
      <c r="RBD71" s="2936"/>
      <c r="RBE71" s="2936"/>
      <c r="RBF71" s="2936"/>
      <c r="RBG71" s="2936"/>
      <c r="RBH71" s="2936"/>
      <c r="RBI71" s="2936"/>
      <c r="RBJ71" s="2936"/>
      <c r="RBK71" s="2936"/>
      <c r="RBL71" s="2936"/>
      <c r="RBM71" s="2936"/>
      <c r="RBN71" s="2936"/>
      <c r="RBO71" s="2936"/>
      <c r="RBP71" s="2936"/>
      <c r="RBQ71" s="2936"/>
      <c r="RBR71" s="2936"/>
      <c r="RBS71" s="2936"/>
      <c r="RBT71" s="2936"/>
      <c r="RBU71" s="2936"/>
      <c r="RBV71" s="2936"/>
      <c r="RBW71" s="2936"/>
      <c r="RBX71" s="2936"/>
      <c r="RBY71" s="2936"/>
      <c r="RBZ71" s="2936"/>
      <c r="RCA71" s="2936"/>
      <c r="RCB71" s="2936"/>
      <c r="RCC71" s="2936"/>
      <c r="RCD71" s="2936"/>
      <c r="RCE71" s="2936"/>
      <c r="RCF71" s="2936"/>
      <c r="RCG71" s="2936"/>
      <c r="RCH71" s="2936"/>
      <c r="RCI71" s="2936"/>
      <c r="RCJ71" s="2936"/>
      <c r="RCK71" s="2936"/>
      <c r="RCL71" s="2936"/>
      <c r="RCM71" s="2936"/>
      <c r="RCN71" s="2936"/>
      <c r="RCO71" s="2936"/>
      <c r="RCP71" s="2936"/>
      <c r="RCQ71" s="2936"/>
      <c r="RCR71" s="2936"/>
      <c r="RCS71" s="2936"/>
      <c r="RCT71" s="2936"/>
      <c r="RCU71" s="2936"/>
      <c r="RCV71" s="2936"/>
      <c r="RCW71" s="2936"/>
      <c r="RCX71" s="2936"/>
      <c r="RCY71" s="2936"/>
      <c r="RCZ71" s="2936"/>
      <c r="RDA71" s="2936"/>
      <c r="RDB71" s="2936"/>
      <c r="RDC71" s="2936"/>
      <c r="RDD71" s="2936"/>
      <c r="RDE71" s="2936"/>
      <c r="RDF71" s="2936"/>
      <c r="RDG71" s="2936"/>
      <c r="RDH71" s="2936"/>
      <c r="RDI71" s="2936"/>
      <c r="RDJ71" s="2936"/>
      <c r="RDK71" s="2936"/>
      <c r="RDL71" s="2936"/>
      <c r="RDM71" s="2936"/>
      <c r="RDN71" s="2936"/>
      <c r="RDO71" s="2936"/>
      <c r="RDP71" s="2936"/>
      <c r="RDQ71" s="2936"/>
      <c r="RDR71" s="2936"/>
      <c r="RDS71" s="2936"/>
      <c r="RDT71" s="2936"/>
      <c r="RDU71" s="2936"/>
      <c r="RDV71" s="2936"/>
      <c r="RDW71" s="2936"/>
      <c r="RDX71" s="2936"/>
      <c r="RDY71" s="2936"/>
      <c r="RDZ71" s="2936"/>
      <c r="REA71" s="2936"/>
      <c r="REB71" s="2936"/>
      <c r="REC71" s="2936"/>
      <c r="RED71" s="2936"/>
      <c r="REE71" s="2936"/>
      <c r="REF71" s="2936"/>
      <c r="REG71" s="2936"/>
      <c r="REH71" s="2936"/>
      <c r="REI71" s="2936"/>
      <c r="REJ71" s="2936"/>
      <c r="REK71" s="2936"/>
      <c r="REL71" s="2936"/>
      <c r="REM71" s="2936"/>
      <c r="REN71" s="2936"/>
      <c r="REO71" s="2936"/>
      <c r="REP71" s="2936"/>
      <c r="REQ71" s="2936"/>
      <c r="RER71" s="2936"/>
      <c r="RES71" s="2936"/>
      <c r="RET71" s="2936"/>
      <c r="REU71" s="2936"/>
      <c r="REV71" s="2936"/>
      <c r="REW71" s="2936"/>
      <c r="REX71" s="2936"/>
      <c r="REY71" s="2936"/>
      <c r="REZ71" s="2936"/>
      <c r="RFA71" s="2936"/>
      <c r="RFB71" s="2936"/>
      <c r="RFC71" s="2936"/>
      <c r="RFD71" s="2936"/>
      <c r="RFE71" s="2936"/>
      <c r="RFF71" s="2936"/>
      <c r="RFG71" s="2936"/>
      <c r="RFH71" s="2936"/>
      <c r="RFI71" s="2936"/>
      <c r="RFJ71" s="2936"/>
      <c r="RFK71" s="2936"/>
      <c r="RFL71" s="2936"/>
      <c r="RFM71" s="2936"/>
      <c r="RFN71" s="2936"/>
      <c r="RFO71" s="2936"/>
      <c r="RFP71" s="2936"/>
      <c r="RFQ71" s="2936"/>
      <c r="RFR71" s="2936"/>
      <c r="RFS71" s="2936"/>
      <c r="RFT71" s="2936"/>
      <c r="RFU71" s="2936"/>
      <c r="RFV71" s="2936"/>
      <c r="RFW71" s="2936"/>
      <c r="RFX71" s="2936"/>
      <c r="RFY71" s="2936"/>
      <c r="RFZ71" s="2936"/>
      <c r="RGA71" s="2936"/>
      <c r="RGB71" s="2936"/>
      <c r="RGC71" s="2936"/>
      <c r="RGD71" s="2936"/>
      <c r="RGE71" s="2936"/>
      <c r="RGF71" s="2936"/>
      <c r="RGG71" s="2936"/>
      <c r="RGH71" s="2936"/>
      <c r="RGI71" s="2936"/>
      <c r="RGJ71" s="2936"/>
      <c r="RGK71" s="2936"/>
      <c r="RGL71" s="2936"/>
      <c r="RGM71" s="2936"/>
      <c r="RGN71" s="2936"/>
      <c r="RGO71" s="2936"/>
      <c r="RGP71" s="2936"/>
      <c r="RGQ71" s="2936"/>
      <c r="RGR71" s="2936"/>
      <c r="RGS71" s="2936"/>
      <c r="RGT71" s="2936"/>
      <c r="RGU71" s="2936"/>
      <c r="RGV71" s="2936"/>
      <c r="RGW71" s="2936"/>
      <c r="RGX71" s="2936"/>
      <c r="RGY71" s="2936"/>
      <c r="RGZ71" s="2936"/>
      <c r="RHA71" s="2936"/>
      <c r="RHB71" s="2936"/>
      <c r="RHC71" s="2936"/>
      <c r="RHD71" s="2936"/>
      <c r="RHE71" s="2936"/>
      <c r="RHF71" s="2936"/>
      <c r="RHG71" s="2936"/>
      <c r="RHH71" s="2936"/>
      <c r="RHI71" s="2936"/>
      <c r="RHJ71" s="2936"/>
      <c r="RHK71" s="2936"/>
      <c r="RHL71" s="2936"/>
      <c r="RHM71" s="2936"/>
      <c r="RHN71" s="2936"/>
      <c r="RHO71" s="2936"/>
      <c r="RHP71" s="2936"/>
      <c r="RHQ71" s="2936"/>
      <c r="RHR71" s="2936"/>
      <c r="RHS71" s="2936"/>
      <c r="RHT71" s="2936"/>
      <c r="RHU71" s="2936"/>
      <c r="RHV71" s="2936"/>
      <c r="RHW71" s="2936"/>
      <c r="RHX71" s="2936"/>
      <c r="RHY71" s="2936"/>
      <c r="RHZ71" s="2936"/>
      <c r="RIA71" s="2936"/>
      <c r="RIB71" s="2936"/>
      <c r="RIC71" s="2936"/>
      <c r="RID71" s="2936"/>
      <c r="RIE71" s="2936"/>
      <c r="RIF71" s="2936"/>
      <c r="RIG71" s="2936"/>
      <c r="RIH71" s="2936"/>
      <c r="RII71" s="2936"/>
      <c r="RIJ71" s="2936"/>
      <c r="RIK71" s="2936"/>
      <c r="RIL71" s="2936"/>
      <c r="RIM71" s="2936"/>
      <c r="RIN71" s="2936"/>
      <c r="RIO71" s="2936"/>
      <c r="RIP71" s="2936"/>
      <c r="RIQ71" s="2936"/>
      <c r="RIR71" s="2936"/>
      <c r="RIS71" s="2936"/>
      <c r="RIT71" s="2936"/>
      <c r="RIU71" s="2936"/>
      <c r="RIV71" s="2936"/>
      <c r="RIW71" s="2936"/>
      <c r="RIX71" s="2936"/>
      <c r="RIY71" s="2936"/>
      <c r="RIZ71" s="2936"/>
      <c r="RJA71" s="2936"/>
      <c r="RJB71" s="2936"/>
      <c r="RJC71" s="2936"/>
      <c r="RJD71" s="2936"/>
      <c r="RJE71" s="2936"/>
      <c r="RJF71" s="2936"/>
      <c r="RJG71" s="2936"/>
      <c r="RJH71" s="2936"/>
      <c r="RJI71" s="2936"/>
      <c r="RJJ71" s="2936"/>
      <c r="RJK71" s="2936"/>
      <c r="RJL71" s="2936"/>
      <c r="RJM71" s="2936"/>
      <c r="RJN71" s="2936"/>
      <c r="RJO71" s="2936"/>
      <c r="RJP71" s="2936"/>
      <c r="RJQ71" s="2936"/>
      <c r="RJR71" s="2936"/>
      <c r="RJS71" s="2936"/>
      <c r="RJT71" s="2936"/>
      <c r="RJU71" s="2936"/>
      <c r="RJV71" s="2936"/>
      <c r="RJW71" s="2936"/>
      <c r="RJX71" s="2936"/>
      <c r="RJY71" s="2936"/>
      <c r="RJZ71" s="2936"/>
      <c r="RKA71" s="2936"/>
      <c r="RKB71" s="2936"/>
      <c r="RKC71" s="2936"/>
      <c r="RKD71" s="2936"/>
      <c r="RKE71" s="2936"/>
      <c r="RKF71" s="2936"/>
      <c r="RKG71" s="2936"/>
      <c r="RKH71" s="2936"/>
      <c r="RKI71" s="2936"/>
      <c r="RKJ71" s="2936"/>
      <c r="RKK71" s="2936"/>
      <c r="RKL71" s="2936"/>
      <c r="RKM71" s="2936"/>
      <c r="RKN71" s="2936"/>
      <c r="RKO71" s="2936"/>
      <c r="RKP71" s="2936"/>
      <c r="RKQ71" s="2936"/>
      <c r="RKR71" s="2936"/>
      <c r="RKS71" s="2936"/>
      <c r="RKT71" s="2936"/>
      <c r="RKU71" s="2936"/>
      <c r="RKV71" s="2936"/>
      <c r="RKW71" s="2936"/>
      <c r="RKX71" s="2936"/>
      <c r="RKY71" s="2936"/>
      <c r="RKZ71" s="2936"/>
      <c r="RLA71" s="2936"/>
      <c r="RLB71" s="2936"/>
      <c r="RLC71" s="2936"/>
      <c r="RLD71" s="2936"/>
      <c r="RLE71" s="2936"/>
      <c r="RLF71" s="2936"/>
      <c r="RLG71" s="2936"/>
      <c r="RLH71" s="2936"/>
      <c r="RLI71" s="2936"/>
      <c r="RLJ71" s="2936"/>
      <c r="RLK71" s="2936"/>
      <c r="RLL71" s="2936"/>
      <c r="RLM71" s="2936"/>
      <c r="RLN71" s="2936"/>
      <c r="RLO71" s="2936"/>
      <c r="RLP71" s="2936"/>
      <c r="RLQ71" s="2936"/>
      <c r="RLR71" s="2936"/>
      <c r="RLS71" s="2936"/>
      <c r="RLT71" s="2936"/>
      <c r="RLU71" s="2936"/>
      <c r="RLV71" s="2936"/>
      <c r="RLW71" s="2936"/>
      <c r="RLX71" s="2936"/>
      <c r="RLY71" s="2936"/>
      <c r="RLZ71" s="2936"/>
      <c r="RMA71" s="2936"/>
      <c r="RMB71" s="2936"/>
      <c r="RMC71" s="2936"/>
      <c r="RMD71" s="2936"/>
      <c r="RME71" s="2936"/>
      <c r="RMF71" s="2936"/>
      <c r="RMG71" s="2936"/>
      <c r="RMH71" s="2936"/>
      <c r="RMI71" s="2936"/>
      <c r="RMJ71" s="2936"/>
      <c r="RMK71" s="2936"/>
      <c r="RML71" s="2936"/>
      <c r="RMM71" s="2936"/>
      <c r="RMN71" s="2936"/>
      <c r="RMO71" s="2936"/>
      <c r="RMP71" s="2936"/>
      <c r="RMQ71" s="2936"/>
      <c r="RMR71" s="2936"/>
      <c r="RMS71" s="2936"/>
      <c r="RMT71" s="2936"/>
      <c r="RMU71" s="2936"/>
      <c r="RMV71" s="2936"/>
      <c r="RMW71" s="2936"/>
      <c r="RMX71" s="2936"/>
      <c r="RMY71" s="2936"/>
      <c r="RMZ71" s="2936"/>
      <c r="RNA71" s="2936"/>
      <c r="RNB71" s="2936"/>
      <c r="RNC71" s="2936"/>
      <c r="RND71" s="2936"/>
      <c r="RNE71" s="2936"/>
      <c r="RNF71" s="2936"/>
      <c r="RNG71" s="2936"/>
      <c r="RNH71" s="2936"/>
      <c r="RNI71" s="2936"/>
      <c r="RNJ71" s="2936"/>
      <c r="RNK71" s="2936"/>
      <c r="RNL71" s="2936"/>
      <c r="RNM71" s="2936"/>
      <c r="RNN71" s="2936"/>
      <c r="RNO71" s="2936"/>
      <c r="RNP71" s="2936"/>
      <c r="RNQ71" s="2936"/>
      <c r="RNR71" s="2936"/>
      <c r="RNS71" s="2936"/>
      <c r="RNT71" s="2936"/>
      <c r="RNU71" s="2936"/>
      <c r="RNV71" s="2936"/>
      <c r="RNW71" s="2936"/>
      <c r="RNX71" s="2936"/>
      <c r="RNY71" s="2936"/>
      <c r="RNZ71" s="2936"/>
      <c r="ROA71" s="2936"/>
      <c r="ROB71" s="2936"/>
      <c r="ROC71" s="2936"/>
      <c r="ROD71" s="2936"/>
      <c r="ROE71" s="2936"/>
      <c r="ROF71" s="2936"/>
      <c r="ROG71" s="2936"/>
      <c r="ROH71" s="2936"/>
      <c r="ROI71" s="2936"/>
      <c r="ROJ71" s="2936"/>
      <c r="ROK71" s="2936"/>
      <c r="ROL71" s="2936"/>
      <c r="ROM71" s="2936"/>
      <c r="RON71" s="2936"/>
      <c r="ROO71" s="2936"/>
      <c r="ROP71" s="2936"/>
      <c r="ROQ71" s="2936"/>
      <c r="ROR71" s="2936"/>
      <c r="ROS71" s="2936"/>
      <c r="ROT71" s="2936"/>
      <c r="ROU71" s="2936"/>
      <c r="ROV71" s="2936"/>
      <c r="ROW71" s="2936"/>
      <c r="ROX71" s="2936"/>
      <c r="ROY71" s="2936"/>
      <c r="ROZ71" s="2936"/>
      <c r="RPA71" s="2936"/>
      <c r="RPB71" s="2936"/>
      <c r="RPC71" s="2936"/>
      <c r="RPD71" s="2936"/>
      <c r="RPE71" s="2936"/>
      <c r="RPF71" s="2936"/>
      <c r="RPG71" s="2936"/>
      <c r="RPH71" s="2936"/>
      <c r="RPI71" s="2936"/>
      <c r="RPJ71" s="2936"/>
      <c r="RPK71" s="2936"/>
      <c r="RPL71" s="2936"/>
      <c r="RPM71" s="2936"/>
      <c r="RPN71" s="2936"/>
      <c r="RPO71" s="2936"/>
      <c r="RPP71" s="2936"/>
      <c r="RPQ71" s="2936"/>
      <c r="RPR71" s="2936"/>
      <c r="RPS71" s="2936"/>
      <c r="RPT71" s="2936"/>
      <c r="RPU71" s="2936"/>
      <c r="RPV71" s="2936"/>
      <c r="RPW71" s="2936"/>
      <c r="RPX71" s="2936"/>
      <c r="RPY71" s="2936"/>
      <c r="RPZ71" s="2936"/>
      <c r="RQA71" s="2936"/>
      <c r="RQB71" s="2936"/>
      <c r="RQC71" s="2936"/>
      <c r="RQD71" s="2936"/>
      <c r="RQE71" s="2936"/>
      <c r="RQF71" s="2936"/>
      <c r="RQG71" s="2936"/>
      <c r="RQH71" s="2936"/>
      <c r="RQI71" s="2936"/>
      <c r="RQJ71" s="2936"/>
      <c r="RQK71" s="2936"/>
      <c r="RQL71" s="2936"/>
      <c r="RQM71" s="2936"/>
      <c r="RQN71" s="2936"/>
      <c r="RQO71" s="2936"/>
      <c r="RQP71" s="2936"/>
      <c r="RQQ71" s="2936"/>
      <c r="RQR71" s="2936"/>
      <c r="RQS71" s="2936"/>
      <c r="RQT71" s="2936"/>
      <c r="RQU71" s="2936"/>
      <c r="RQV71" s="2936"/>
      <c r="RQW71" s="2936"/>
      <c r="RQX71" s="2936"/>
      <c r="RQY71" s="2936"/>
      <c r="RQZ71" s="2936"/>
      <c r="RRA71" s="2936"/>
      <c r="RRB71" s="2936"/>
      <c r="RRC71" s="2936"/>
      <c r="RRD71" s="2936"/>
      <c r="RRE71" s="2936"/>
      <c r="RRF71" s="2936"/>
      <c r="RRG71" s="2936"/>
      <c r="RRH71" s="2936"/>
      <c r="RRI71" s="2936"/>
      <c r="RRJ71" s="2936"/>
      <c r="RRK71" s="2936"/>
      <c r="RRL71" s="2936"/>
      <c r="RRM71" s="2936"/>
      <c r="RRN71" s="2936"/>
      <c r="RRO71" s="2936"/>
      <c r="RRP71" s="2936"/>
      <c r="RRQ71" s="2936"/>
      <c r="RRR71" s="2936"/>
      <c r="RRS71" s="2936"/>
      <c r="RRT71" s="2936"/>
      <c r="RRU71" s="2936"/>
      <c r="RRV71" s="2936"/>
      <c r="RRW71" s="2936"/>
      <c r="RRX71" s="2936"/>
      <c r="RRY71" s="2936"/>
      <c r="RRZ71" s="2936"/>
      <c r="RSA71" s="2936"/>
      <c r="RSB71" s="2936"/>
      <c r="RSC71" s="2936"/>
      <c r="RSD71" s="2936"/>
      <c r="RSE71" s="2936"/>
      <c r="RSF71" s="2936"/>
      <c r="RSG71" s="2936"/>
      <c r="RSH71" s="2936"/>
      <c r="RSI71" s="2936"/>
      <c r="RSJ71" s="2936"/>
      <c r="RSK71" s="2936"/>
      <c r="RSL71" s="2936"/>
      <c r="RSM71" s="2936"/>
      <c r="RSN71" s="2936"/>
      <c r="RSO71" s="2936"/>
      <c r="RSP71" s="2936"/>
      <c r="RSQ71" s="2936"/>
      <c r="RSR71" s="2936"/>
      <c r="RSS71" s="2936"/>
      <c r="RST71" s="2936"/>
      <c r="RSU71" s="2936"/>
      <c r="RSV71" s="2936"/>
      <c r="RSW71" s="2936"/>
      <c r="RSX71" s="2936"/>
      <c r="RSY71" s="2936"/>
      <c r="RSZ71" s="2936"/>
      <c r="RTA71" s="2936"/>
      <c r="RTB71" s="2936"/>
      <c r="RTC71" s="2936"/>
      <c r="RTD71" s="2936"/>
      <c r="RTE71" s="2936"/>
      <c r="RTF71" s="2936"/>
      <c r="RTG71" s="2936"/>
      <c r="RTH71" s="2936"/>
      <c r="RTI71" s="2936"/>
      <c r="RTJ71" s="2936"/>
      <c r="RTK71" s="2936"/>
      <c r="RTL71" s="2936"/>
      <c r="RTM71" s="2936"/>
      <c r="RTN71" s="2936"/>
      <c r="RTO71" s="2936"/>
      <c r="RTP71" s="2936"/>
      <c r="RTQ71" s="2936"/>
      <c r="RTR71" s="2936"/>
      <c r="RTS71" s="2936"/>
      <c r="RTT71" s="2936"/>
      <c r="RTU71" s="2936"/>
      <c r="RTV71" s="2936"/>
      <c r="RTW71" s="2936"/>
      <c r="RTX71" s="2936"/>
      <c r="RTY71" s="2936"/>
      <c r="RTZ71" s="2936"/>
      <c r="RUA71" s="2936"/>
      <c r="RUB71" s="2936"/>
      <c r="RUC71" s="2936"/>
      <c r="RUD71" s="2936"/>
      <c r="RUE71" s="2936"/>
      <c r="RUF71" s="2936"/>
      <c r="RUG71" s="2936"/>
      <c r="RUH71" s="2936"/>
      <c r="RUI71" s="2936"/>
      <c r="RUJ71" s="2936"/>
      <c r="RUK71" s="2936"/>
      <c r="RUL71" s="2936"/>
      <c r="RUM71" s="2936"/>
      <c r="RUN71" s="2936"/>
      <c r="RUO71" s="2936"/>
      <c r="RUP71" s="2936"/>
      <c r="RUQ71" s="2936"/>
      <c r="RUR71" s="2936"/>
      <c r="RUS71" s="2936"/>
      <c r="RUT71" s="2936"/>
      <c r="RUU71" s="2936"/>
      <c r="RUV71" s="2936"/>
      <c r="RUW71" s="2936"/>
      <c r="RUX71" s="2936"/>
      <c r="RUY71" s="2936"/>
      <c r="RUZ71" s="2936"/>
      <c r="RVA71" s="2936"/>
      <c r="RVB71" s="2936"/>
      <c r="RVC71" s="2936"/>
      <c r="RVD71" s="2936"/>
      <c r="RVE71" s="2936"/>
      <c r="RVF71" s="2936"/>
      <c r="RVG71" s="2936"/>
      <c r="RVH71" s="2936"/>
      <c r="RVI71" s="2936"/>
      <c r="RVJ71" s="2936"/>
      <c r="RVK71" s="2936"/>
      <c r="RVL71" s="2936"/>
      <c r="RVM71" s="2936"/>
      <c r="RVN71" s="2936"/>
      <c r="RVO71" s="2936"/>
      <c r="RVP71" s="2936"/>
      <c r="RVQ71" s="2936"/>
      <c r="RVR71" s="2936"/>
      <c r="RVS71" s="2936"/>
      <c r="RVT71" s="2936"/>
      <c r="RVU71" s="2936"/>
      <c r="RVV71" s="2936"/>
      <c r="RVW71" s="2936"/>
      <c r="RVX71" s="2936"/>
      <c r="RVY71" s="2936"/>
      <c r="RVZ71" s="2936"/>
      <c r="RWA71" s="2936"/>
      <c r="RWB71" s="2936"/>
      <c r="RWC71" s="2936"/>
      <c r="RWD71" s="2936"/>
      <c r="RWE71" s="2936"/>
      <c r="RWF71" s="2936"/>
      <c r="RWG71" s="2936"/>
      <c r="RWH71" s="2936"/>
      <c r="RWI71" s="2936"/>
      <c r="RWJ71" s="2936"/>
      <c r="RWK71" s="2936"/>
      <c r="RWL71" s="2936"/>
      <c r="RWM71" s="2936"/>
      <c r="RWN71" s="2936"/>
      <c r="RWO71" s="2936"/>
      <c r="RWP71" s="2936"/>
      <c r="RWQ71" s="2936"/>
      <c r="RWR71" s="2936"/>
      <c r="RWS71" s="2936"/>
      <c r="RWT71" s="2936"/>
      <c r="RWU71" s="2936"/>
      <c r="RWV71" s="2936"/>
      <c r="RWW71" s="2936"/>
      <c r="RWX71" s="2936"/>
      <c r="RWY71" s="2936"/>
      <c r="RWZ71" s="2936"/>
      <c r="RXA71" s="2936"/>
      <c r="RXB71" s="2936"/>
      <c r="RXC71" s="2936"/>
      <c r="RXD71" s="2936"/>
      <c r="RXE71" s="2936"/>
      <c r="RXF71" s="2936"/>
      <c r="RXG71" s="2936"/>
      <c r="RXH71" s="2936"/>
      <c r="RXI71" s="2936"/>
      <c r="RXJ71" s="2936"/>
      <c r="RXK71" s="2936"/>
      <c r="RXL71" s="2936"/>
      <c r="RXM71" s="2936"/>
      <c r="RXN71" s="2936"/>
      <c r="RXO71" s="2936"/>
      <c r="RXP71" s="2936"/>
      <c r="RXQ71" s="2936"/>
      <c r="RXR71" s="2936"/>
      <c r="RXS71" s="2936"/>
      <c r="RXT71" s="2936"/>
      <c r="RXU71" s="2936"/>
      <c r="RXV71" s="2936"/>
      <c r="RXW71" s="2936"/>
      <c r="RXX71" s="2936"/>
      <c r="RXY71" s="2936"/>
      <c r="RXZ71" s="2936"/>
      <c r="RYA71" s="2936"/>
      <c r="RYB71" s="2936"/>
      <c r="RYC71" s="2936"/>
      <c r="RYD71" s="2936"/>
      <c r="RYE71" s="2936"/>
      <c r="RYF71" s="2936"/>
      <c r="RYG71" s="2936"/>
      <c r="RYH71" s="2936"/>
      <c r="RYI71" s="2936"/>
      <c r="RYJ71" s="2936"/>
      <c r="RYK71" s="2936"/>
      <c r="RYL71" s="2936"/>
      <c r="RYM71" s="2936"/>
      <c r="RYN71" s="2936"/>
      <c r="RYO71" s="2936"/>
      <c r="RYP71" s="2936"/>
      <c r="RYQ71" s="2936"/>
      <c r="RYR71" s="2936"/>
      <c r="RYS71" s="2936"/>
      <c r="RYT71" s="2936"/>
      <c r="RYU71" s="2936"/>
      <c r="RYV71" s="2936"/>
      <c r="RYW71" s="2936"/>
      <c r="RYX71" s="2936"/>
      <c r="RYY71" s="2936"/>
      <c r="RYZ71" s="2936"/>
      <c r="RZA71" s="2936"/>
      <c r="RZB71" s="2936"/>
      <c r="RZC71" s="2936"/>
      <c r="RZD71" s="2936"/>
      <c r="RZE71" s="2936"/>
      <c r="RZF71" s="2936"/>
      <c r="RZG71" s="2936"/>
      <c r="RZH71" s="2936"/>
      <c r="RZI71" s="2936"/>
      <c r="RZJ71" s="2936"/>
      <c r="RZK71" s="2936"/>
      <c r="RZL71" s="2936"/>
      <c r="RZM71" s="2936"/>
      <c r="RZN71" s="2936"/>
      <c r="RZO71" s="2936"/>
      <c r="RZP71" s="2936"/>
      <c r="RZQ71" s="2936"/>
      <c r="RZR71" s="2936"/>
      <c r="RZS71" s="2936"/>
      <c r="RZT71" s="2936"/>
      <c r="RZU71" s="2936"/>
      <c r="RZV71" s="2936"/>
      <c r="RZW71" s="2936"/>
      <c r="RZX71" s="2936"/>
      <c r="RZY71" s="2936"/>
      <c r="RZZ71" s="2936"/>
      <c r="SAA71" s="2936"/>
      <c r="SAB71" s="2936"/>
      <c r="SAC71" s="2936"/>
      <c r="SAD71" s="2936"/>
      <c r="SAE71" s="2936"/>
      <c r="SAF71" s="2936"/>
      <c r="SAG71" s="2936"/>
      <c r="SAH71" s="2936"/>
      <c r="SAI71" s="2936"/>
      <c r="SAJ71" s="2936"/>
      <c r="SAK71" s="2936"/>
      <c r="SAL71" s="2936"/>
      <c r="SAM71" s="2936"/>
      <c r="SAN71" s="2936"/>
      <c r="SAO71" s="2936"/>
      <c r="SAP71" s="2936"/>
      <c r="SAQ71" s="2936"/>
      <c r="SAR71" s="2936"/>
      <c r="SAS71" s="2936"/>
      <c r="SAT71" s="2936"/>
      <c r="SAU71" s="2936"/>
      <c r="SAV71" s="2936"/>
      <c r="SAW71" s="2936"/>
      <c r="SAX71" s="2936"/>
      <c r="SAY71" s="2936"/>
      <c r="SAZ71" s="2936"/>
      <c r="SBA71" s="2936"/>
      <c r="SBB71" s="2936"/>
      <c r="SBC71" s="2936"/>
      <c r="SBD71" s="2936"/>
      <c r="SBE71" s="2936"/>
      <c r="SBF71" s="2936"/>
      <c r="SBG71" s="2936"/>
      <c r="SBH71" s="2936"/>
      <c r="SBI71" s="2936"/>
      <c r="SBJ71" s="2936"/>
      <c r="SBK71" s="2936"/>
      <c r="SBL71" s="2936"/>
      <c r="SBM71" s="2936"/>
      <c r="SBN71" s="2936"/>
      <c r="SBO71" s="2936"/>
      <c r="SBP71" s="2936"/>
      <c r="SBQ71" s="2936"/>
      <c r="SBR71" s="2936"/>
      <c r="SBS71" s="2936"/>
      <c r="SBT71" s="2936"/>
      <c r="SBU71" s="2936"/>
      <c r="SBV71" s="2936"/>
      <c r="SBW71" s="2936"/>
      <c r="SBX71" s="2936"/>
      <c r="SBY71" s="2936"/>
      <c r="SBZ71" s="2936"/>
      <c r="SCA71" s="2936"/>
      <c r="SCB71" s="2936"/>
      <c r="SCC71" s="2936"/>
      <c r="SCD71" s="2936"/>
      <c r="SCE71" s="2936"/>
      <c r="SCF71" s="2936"/>
      <c r="SCG71" s="2936"/>
      <c r="SCH71" s="2936"/>
      <c r="SCI71" s="2936"/>
      <c r="SCJ71" s="2936"/>
      <c r="SCK71" s="2936"/>
      <c r="SCL71" s="2936"/>
      <c r="SCM71" s="2936"/>
      <c r="SCN71" s="2936"/>
      <c r="SCO71" s="2936"/>
      <c r="SCP71" s="2936"/>
      <c r="SCQ71" s="2936"/>
      <c r="SCR71" s="2936"/>
      <c r="SCS71" s="2936"/>
      <c r="SCT71" s="2936"/>
      <c r="SCU71" s="2936"/>
      <c r="SCV71" s="2936"/>
      <c r="SCW71" s="2936"/>
      <c r="SCX71" s="2936"/>
      <c r="SCY71" s="2936"/>
      <c r="SCZ71" s="2936"/>
      <c r="SDA71" s="2936"/>
      <c r="SDB71" s="2936"/>
      <c r="SDC71" s="2936"/>
      <c r="SDD71" s="2936"/>
      <c r="SDE71" s="2936"/>
      <c r="SDF71" s="2936"/>
      <c r="SDG71" s="2936"/>
      <c r="SDH71" s="2936"/>
      <c r="SDI71" s="2936"/>
      <c r="SDJ71" s="2936"/>
      <c r="SDK71" s="2936"/>
      <c r="SDL71" s="2936"/>
      <c r="SDM71" s="2936"/>
      <c r="SDN71" s="2936"/>
      <c r="SDO71" s="2936"/>
      <c r="SDP71" s="2936"/>
      <c r="SDQ71" s="2936"/>
      <c r="SDR71" s="2936"/>
      <c r="SDS71" s="2936"/>
      <c r="SDT71" s="2936"/>
      <c r="SDU71" s="2936"/>
      <c r="SDV71" s="2936"/>
      <c r="SDW71" s="2936"/>
      <c r="SDX71" s="2936"/>
      <c r="SDY71" s="2936"/>
      <c r="SDZ71" s="2936"/>
      <c r="SEA71" s="2936"/>
      <c r="SEB71" s="2936"/>
      <c r="SEC71" s="2936"/>
      <c r="SED71" s="2936"/>
      <c r="SEE71" s="2936"/>
      <c r="SEF71" s="2936"/>
      <c r="SEG71" s="2936"/>
      <c r="SEH71" s="2936"/>
      <c r="SEI71" s="2936"/>
      <c r="SEJ71" s="2936"/>
      <c r="SEK71" s="2936"/>
      <c r="SEL71" s="2936"/>
      <c r="SEM71" s="2936"/>
      <c r="SEN71" s="2936"/>
      <c r="SEO71" s="2936"/>
      <c r="SEP71" s="2936"/>
      <c r="SEQ71" s="2936"/>
      <c r="SER71" s="2936"/>
      <c r="SES71" s="2936"/>
      <c r="SET71" s="2936"/>
      <c r="SEU71" s="2936"/>
      <c r="SEV71" s="2936"/>
      <c r="SEW71" s="2936"/>
      <c r="SEX71" s="2936"/>
      <c r="SEY71" s="2936"/>
      <c r="SEZ71" s="2936"/>
      <c r="SFA71" s="2936"/>
      <c r="SFB71" s="2936"/>
      <c r="SFC71" s="2936"/>
      <c r="SFD71" s="2936"/>
      <c r="SFE71" s="2936"/>
      <c r="SFF71" s="2936"/>
      <c r="SFG71" s="2936"/>
      <c r="SFH71" s="2936"/>
      <c r="SFI71" s="2936"/>
      <c r="SFJ71" s="2936"/>
      <c r="SFK71" s="2936"/>
      <c r="SFL71" s="2936"/>
      <c r="SFM71" s="2936"/>
      <c r="SFN71" s="2936"/>
      <c r="SFO71" s="2936"/>
      <c r="SFP71" s="2936"/>
      <c r="SFQ71" s="2936"/>
      <c r="SFR71" s="2936"/>
      <c r="SFS71" s="2936"/>
      <c r="SFT71" s="2936"/>
      <c r="SFU71" s="2936"/>
      <c r="SFV71" s="2936"/>
      <c r="SFW71" s="2936"/>
      <c r="SFX71" s="2936"/>
      <c r="SFY71" s="2936"/>
      <c r="SFZ71" s="2936"/>
      <c r="SGA71" s="2936"/>
      <c r="SGB71" s="2936"/>
      <c r="SGC71" s="2936"/>
      <c r="SGD71" s="2936"/>
      <c r="SGE71" s="2936"/>
      <c r="SGF71" s="2936"/>
      <c r="SGG71" s="2936"/>
      <c r="SGH71" s="2936"/>
      <c r="SGI71" s="2936"/>
      <c r="SGJ71" s="2936"/>
      <c r="SGK71" s="2936"/>
      <c r="SGL71" s="2936"/>
      <c r="SGM71" s="2936"/>
      <c r="SGN71" s="2936"/>
      <c r="SGO71" s="2936"/>
      <c r="SGP71" s="2936"/>
      <c r="SGQ71" s="2936"/>
      <c r="SGR71" s="2936"/>
      <c r="SGS71" s="2936"/>
      <c r="SGT71" s="2936"/>
      <c r="SGU71" s="2936"/>
      <c r="SGV71" s="2936"/>
      <c r="SGW71" s="2936"/>
      <c r="SGX71" s="2936"/>
      <c r="SGY71" s="2936"/>
      <c r="SGZ71" s="2936"/>
      <c r="SHA71" s="2936"/>
      <c r="SHB71" s="2936"/>
      <c r="SHC71" s="2936"/>
      <c r="SHD71" s="2936"/>
      <c r="SHE71" s="2936"/>
      <c r="SHF71" s="2936"/>
      <c r="SHG71" s="2936"/>
      <c r="SHH71" s="2936"/>
      <c r="SHI71" s="2936"/>
      <c r="SHJ71" s="2936"/>
      <c r="SHK71" s="2936"/>
      <c r="SHL71" s="2936"/>
      <c r="SHM71" s="2936"/>
      <c r="SHN71" s="2936"/>
      <c r="SHO71" s="2936"/>
      <c r="SHP71" s="2936"/>
      <c r="SHQ71" s="2936"/>
      <c r="SHR71" s="2936"/>
      <c r="SHS71" s="2936"/>
      <c r="SHT71" s="2936"/>
      <c r="SHU71" s="2936"/>
      <c r="SHV71" s="2936"/>
      <c r="SHW71" s="2936"/>
      <c r="SHX71" s="2936"/>
      <c r="SHY71" s="2936"/>
      <c r="SHZ71" s="2936"/>
      <c r="SIA71" s="2936"/>
      <c r="SIB71" s="2936"/>
      <c r="SIC71" s="2936"/>
      <c r="SID71" s="2936"/>
      <c r="SIE71" s="2936"/>
      <c r="SIF71" s="2936"/>
      <c r="SIG71" s="2936"/>
      <c r="SIH71" s="2936"/>
      <c r="SII71" s="2936"/>
      <c r="SIJ71" s="2936"/>
      <c r="SIK71" s="2936"/>
      <c r="SIL71" s="2936"/>
      <c r="SIM71" s="2936"/>
      <c r="SIN71" s="2936"/>
      <c r="SIO71" s="2936"/>
      <c r="SIP71" s="2936"/>
      <c r="SIQ71" s="2936"/>
      <c r="SIR71" s="2936"/>
      <c r="SIS71" s="2936"/>
      <c r="SIT71" s="2936"/>
      <c r="SIU71" s="2936"/>
      <c r="SIV71" s="2936"/>
      <c r="SIW71" s="2936"/>
      <c r="SIX71" s="2936"/>
      <c r="SIY71" s="2936"/>
      <c r="SIZ71" s="2936"/>
      <c r="SJA71" s="2936"/>
      <c r="SJB71" s="2936"/>
      <c r="SJC71" s="2936"/>
      <c r="SJD71" s="2936"/>
      <c r="SJE71" s="2936"/>
      <c r="SJF71" s="2936"/>
      <c r="SJG71" s="2936"/>
      <c r="SJH71" s="2936"/>
      <c r="SJI71" s="2936"/>
      <c r="SJJ71" s="2936"/>
      <c r="SJK71" s="2936"/>
      <c r="SJL71" s="2936"/>
      <c r="SJM71" s="2936"/>
      <c r="SJN71" s="2936"/>
      <c r="SJO71" s="2936"/>
      <c r="SJP71" s="2936"/>
      <c r="SJQ71" s="2936"/>
      <c r="SJR71" s="2936"/>
      <c r="SJS71" s="2936"/>
      <c r="SJT71" s="2936"/>
      <c r="SJU71" s="2936"/>
      <c r="SJV71" s="2936"/>
      <c r="SJW71" s="2936"/>
      <c r="SJX71" s="2936"/>
      <c r="SJY71" s="2936"/>
      <c r="SJZ71" s="2936"/>
      <c r="SKA71" s="2936"/>
      <c r="SKB71" s="2936"/>
      <c r="SKC71" s="2936"/>
      <c r="SKD71" s="2936"/>
      <c r="SKE71" s="2936"/>
      <c r="SKF71" s="2936"/>
      <c r="SKG71" s="2936"/>
      <c r="SKH71" s="2936"/>
      <c r="SKI71" s="2936"/>
      <c r="SKJ71" s="2936"/>
      <c r="SKK71" s="2936"/>
      <c r="SKL71" s="2936"/>
      <c r="SKM71" s="2936"/>
      <c r="SKN71" s="2936"/>
      <c r="SKO71" s="2936"/>
      <c r="SKP71" s="2936"/>
      <c r="SKQ71" s="2936"/>
      <c r="SKR71" s="2936"/>
      <c r="SKS71" s="2936"/>
      <c r="SKT71" s="2936"/>
      <c r="SKU71" s="2936"/>
      <c r="SKV71" s="2936"/>
      <c r="SKW71" s="2936"/>
      <c r="SKX71" s="2936"/>
      <c r="SKY71" s="2936"/>
      <c r="SKZ71" s="2936"/>
      <c r="SLA71" s="2936"/>
      <c r="SLB71" s="2936"/>
      <c r="SLC71" s="2936"/>
      <c r="SLD71" s="2936"/>
      <c r="SLE71" s="2936"/>
      <c r="SLF71" s="2936"/>
      <c r="SLG71" s="2936"/>
      <c r="SLH71" s="2936"/>
      <c r="SLI71" s="2936"/>
      <c r="SLJ71" s="2936"/>
      <c r="SLK71" s="2936"/>
      <c r="SLL71" s="2936"/>
      <c r="SLM71" s="2936"/>
      <c r="SLN71" s="2936"/>
      <c r="SLO71" s="2936"/>
      <c r="SLP71" s="2936"/>
      <c r="SLQ71" s="2936"/>
      <c r="SLR71" s="2936"/>
      <c r="SLS71" s="2936"/>
      <c r="SLT71" s="2936"/>
      <c r="SLU71" s="2936"/>
      <c r="SLV71" s="2936"/>
      <c r="SLW71" s="2936"/>
      <c r="SLX71" s="2936"/>
      <c r="SLY71" s="2936"/>
      <c r="SLZ71" s="2936"/>
      <c r="SMA71" s="2936"/>
      <c r="SMB71" s="2936"/>
      <c r="SMC71" s="2936"/>
      <c r="SMD71" s="2936"/>
      <c r="SME71" s="2936"/>
      <c r="SMF71" s="2936"/>
      <c r="SMG71" s="2936"/>
      <c r="SMH71" s="2936"/>
      <c r="SMI71" s="2936"/>
      <c r="SMJ71" s="2936"/>
      <c r="SMK71" s="2936"/>
      <c r="SML71" s="2936"/>
      <c r="SMM71" s="2936"/>
      <c r="SMN71" s="2936"/>
      <c r="SMO71" s="2936"/>
      <c r="SMP71" s="2936"/>
      <c r="SMQ71" s="2936"/>
      <c r="SMR71" s="2936"/>
      <c r="SMS71" s="2936"/>
      <c r="SMT71" s="2936"/>
      <c r="SMU71" s="2936"/>
      <c r="SMV71" s="2936"/>
      <c r="SMW71" s="2936"/>
      <c r="SMX71" s="2936"/>
      <c r="SMY71" s="2936"/>
      <c r="SMZ71" s="2936"/>
      <c r="SNA71" s="2936"/>
      <c r="SNB71" s="2936"/>
      <c r="SNC71" s="2936"/>
      <c r="SND71" s="2936"/>
      <c r="SNE71" s="2936"/>
      <c r="SNF71" s="2936"/>
      <c r="SNG71" s="2936"/>
      <c r="SNH71" s="2936"/>
      <c r="SNI71" s="2936"/>
      <c r="SNJ71" s="2936"/>
      <c r="SNK71" s="2936"/>
      <c r="SNL71" s="2936"/>
      <c r="SNM71" s="2936"/>
      <c r="SNN71" s="2936"/>
      <c r="SNO71" s="2936"/>
      <c r="SNP71" s="2936"/>
      <c r="SNQ71" s="2936"/>
      <c r="SNR71" s="2936"/>
      <c r="SNS71" s="2936"/>
      <c r="SNT71" s="2936"/>
      <c r="SNU71" s="2936"/>
      <c r="SNV71" s="2936"/>
      <c r="SNW71" s="2936"/>
      <c r="SNX71" s="2936"/>
      <c r="SNY71" s="2936"/>
      <c r="SNZ71" s="2936"/>
      <c r="SOA71" s="2936"/>
      <c r="SOB71" s="2936"/>
      <c r="SOC71" s="2936"/>
      <c r="SOD71" s="2936"/>
      <c r="SOE71" s="2936"/>
      <c r="SOF71" s="2936"/>
      <c r="SOG71" s="2936"/>
      <c r="SOH71" s="2936"/>
      <c r="SOI71" s="2936"/>
      <c r="SOJ71" s="2936"/>
      <c r="SOK71" s="2936"/>
      <c r="SOL71" s="2936"/>
      <c r="SOM71" s="2936"/>
      <c r="SON71" s="2936"/>
      <c r="SOO71" s="2936"/>
      <c r="SOP71" s="2936"/>
      <c r="SOQ71" s="2936"/>
      <c r="SOR71" s="2936"/>
      <c r="SOS71" s="2936"/>
      <c r="SOT71" s="2936"/>
      <c r="SOU71" s="2936"/>
      <c r="SOV71" s="2936"/>
      <c r="SOW71" s="2936"/>
      <c r="SOX71" s="2936"/>
      <c r="SOY71" s="2936"/>
      <c r="SOZ71" s="2936"/>
      <c r="SPA71" s="2936"/>
      <c r="SPB71" s="2936"/>
      <c r="SPC71" s="2936"/>
      <c r="SPD71" s="2936"/>
      <c r="SPE71" s="2936"/>
      <c r="SPF71" s="2936"/>
      <c r="SPG71" s="2936"/>
      <c r="SPH71" s="2936"/>
      <c r="SPI71" s="2936"/>
      <c r="SPJ71" s="2936"/>
      <c r="SPK71" s="2936"/>
      <c r="SPL71" s="2936"/>
      <c r="SPM71" s="2936"/>
      <c r="SPN71" s="2936"/>
      <c r="SPO71" s="2936"/>
      <c r="SPP71" s="2936"/>
      <c r="SPQ71" s="2936"/>
      <c r="SPR71" s="2936"/>
      <c r="SPS71" s="2936"/>
      <c r="SPT71" s="2936"/>
      <c r="SPU71" s="2936"/>
      <c r="SPV71" s="2936"/>
      <c r="SPW71" s="2936"/>
      <c r="SPX71" s="2936"/>
      <c r="SPY71" s="2936"/>
      <c r="SPZ71" s="2936"/>
      <c r="SQA71" s="2936"/>
      <c r="SQB71" s="2936"/>
      <c r="SQC71" s="2936"/>
      <c r="SQD71" s="2936"/>
      <c r="SQE71" s="2936"/>
      <c r="SQF71" s="2936"/>
      <c r="SQG71" s="2936"/>
      <c r="SQH71" s="2936"/>
      <c r="SQI71" s="2936"/>
      <c r="SQJ71" s="2936"/>
      <c r="SQK71" s="2936"/>
      <c r="SQL71" s="2936"/>
      <c r="SQM71" s="2936"/>
      <c r="SQN71" s="2936"/>
      <c r="SQO71" s="2936"/>
      <c r="SQP71" s="2936"/>
      <c r="SQQ71" s="2936"/>
      <c r="SQR71" s="2936"/>
      <c r="SQS71" s="2936"/>
      <c r="SQT71" s="2936"/>
      <c r="SQU71" s="2936"/>
      <c r="SQV71" s="2936"/>
      <c r="SQW71" s="2936"/>
      <c r="SQX71" s="2936"/>
      <c r="SQY71" s="2936"/>
      <c r="SQZ71" s="2936"/>
      <c r="SRA71" s="2936"/>
      <c r="SRB71" s="2936"/>
      <c r="SRC71" s="2936"/>
      <c r="SRD71" s="2936"/>
      <c r="SRE71" s="2936"/>
      <c r="SRF71" s="2936"/>
      <c r="SRG71" s="2936"/>
      <c r="SRH71" s="2936"/>
      <c r="SRI71" s="2936"/>
      <c r="SRJ71" s="2936"/>
      <c r="SRK71" s="2936"/>
      <c r="SRL71" s="2936"/>
      <c r="SRM71" s="2936"/>
      <c r="SRN71" s="2936"/>
      <c r="SRO71" s="2936"/>
      <c r="SRP71" s="2936"/>
      <c r="SRQ71" s="2936"/>
      <c r="SRR71" s="2936"/>
      <c r="SRS71" s="2936"/>
      <c r="SRT71" s="2936"/>
      <c r="SRU71" s="2936"/>
      <c r="SRV71" s="2936"/>
      <c r="SRW71" s="2936"/>
      <c r="SRX71" s="2936"/>
      <c r="SRY71" s="2936"/>
      <c r="SRZ71" s="2936"/>
      <c r="SSA71" s="2936"/>
      <c r="SSB71" s="2936"/>
      <c r="SSC71" s="2936"/>
      <c r="SSD71" s="2936"/>
      <c r="SSE71" s="2936"/>
      <c r="SSF71" s="2936"/>
      <c r="SSG71" s="2936"/>
      <c r="SSH71" s="2936"/>
      <c r="SSI71" s="2936"/>
      <c r="SSJ71" s="2936"/>
      <c r="SSK71" s="2936"/>
      <c r="SSL71" s="2936"/>
      <c r="SSM71" s="2936"/>
      <c r="SSN71" s="2936"/>
      <c r="SSO71" s="2936"/>
      <c r="SSP71" s="2936"/>
      <c r="SSQ71" s="2936"/>
      <c r="SSR71" s="2936"/>
      <c r="SSS71" s="2936"/>
      <c r="SST71" s="2936"/>
      <c r="SSU71" s="2936"/>
      <c r="SSV71" s="2936"/>
      <c r="SSW71" s="2936"/>
      <c r="SSX71" s="2936"/>
      <c r="SSY71" s="2936"/>
      <c r="SSZ71" s="2936"/>
      <c r="STA71" s="2936"/>
      <c r="STB71" s="2936"/>
      <c r="STC71" s="2936"/>
      <c r="STD71" s="2936"/>
      <c r="STE71" s="2936"/>
      <c r="STF71" s="2936"/>
      <c r="STG71" s="2936"/>
      <c r="STH71" s="2936"/>
      <c r="STI71" s="2936"/>
      <c r="STJ71" s="2936"/>
      <c r="STK71" s="2936"/>
      <c r="STL71" s="2936"/>
      <c r="STM71" s="2936"/>
      <c r="STN71" s="2936"/>
      <c r="STO71" s="2936"/>
      <c r="STP71" s="2936"/>
      <c r="STQ71" s="2936"/>
      <c r="STR71" s="2936"/>
      <c r="STS71" s="2936"/>
      <c r="STT71" s="2936"/>
      <c r="STU71" s="2936"/>
      <c r="STV71" s="2936"/>
      <c r="STW71" s="2936"/>
      <c r="STX71" s="2936"/>
      <c r="STY71" s="2936"/>
      <c r="STZ71" s="2936"/>
      <c r="SUA71" s="2936"/>
      <c r="SUB71" s="2936"/>
      <c r="SUC71" s="2936"/>
      <c r="SUD71" s="2936"/>
      <c r="SUE71" s="2936"/>
      <c r="SUF71" s="2936"/>
      <c r="SUG71" s="2936"/>
      <c r="SUH71" s="2936"/>
      <c r="SUI71" s="2936"/>
      <c r="SUJ71" s="2936"/>
      <c r="SUK71" s="2936"/>
      <c r="SUL71" s="2936"/>
      <c r="SUM71" s="2936"/>
      <c r="SUN71" s="2936"/>
      <c r="SUO71" s="2936"/>
      <c r="SUP71" s="2936"/>
      <c r="SUQ71" s="2936"/>
      <c r="SUR71" s="2936"/>
      <c r="SUS71" s="2936"/>
      <c r="SUT71" s="2936"/>
      <c r="SUU71" s="2936"/>
      <c r="SUV71" s="2936"/>
      <c r="SUW71" s="2936"/>
      <c r="SUX71" s="2936"/>
      <c r="SUY71" s="2936"/>
      <c r="SUZ71" s="2936"/>
      <c r="SVA71" s="2936"/>
      <c r="SVB71" s="2936"/>
      <c r="SVC71" s="2936"/>
      <c r="SVD71" s="2936"/>
      <c r="SVE71" s="2936"/>
      <c r="SVF71" s="2936"/>
      <c r="SVG71" s="2936"/>
      <c r="SVH71" s="2936"/>
      <c r="SVI71" s="2936"/>
      <c r="SVJ71" s="2936"/>
      <c r="SVK71" s="2936"/>
      <c r="SVL71" s="2936"/>
      <c r="SVM71" s="2936"/>
      <c r="SVN71" s="2936"/>
      <c r="SVO71" s="2936"/>
      <c r="SVP71" s="2936"/>
      <c r="SVQ71" s="2936"/>
      <c r="SVR71" s="2936"/>
      <c r="SVS71" s="2936"/>
      <c r="SVT71" s="2936"/>
      <c r="SVU71" s="2936"/>
      <c r="SVV71" s="2936"/>
      <c r="SVW71" s="2936"/>
      <c r="SVX71" s="2936"/>
      <c r="SVY71" s="2936"/>
      <c r="SVZ71" s="2936"/>
      <c r="SWA71" s="2936"/>
      <c r="SWB71" s="2936"/>
      <c r="SWC71" s="2936"/>
      <c r="SWD71" s="2936"/>
      <c r="SWE71" s="2936"/>
      <c r="SWF71" s="2936"/>
      <c r="SWG71" s="2936"/>
      <c r="SWH71" s="2936"/>
      <c r="SWI71" s="2936"/>
      <c r="SWJ71" s="2936"/>
      <c r="SWK71" s="2936"/>
      <c r="SWL71" s="2936"/>
      <c r="SWM71" s="2936"/>
      <c r="SWN71" s="2936"/>
      <c r="SWO71" s="2936"/>
      <c r="SWP71" s="2936"/>
      <c r="SWQ71" s="2936"/>
      <c r="SWR71" s="2936"/>
      <c r="SWS71" s="2936"/>
      <c r="SWT71" s="2936"/>
      <c r="SWU71" s="2936"/>
      <c r="SWV71" s="2936"/>
      <c r="SWW71" s="2936"/>
      <c r="SWX71" s="2936"/>
      <c r="SWY71" s="2936"/>
      <c r="SWZ71" s="2936"/>
      <c r="SXA71" s="2936"/>
      <c r="SXB71" s="2936"/>
      <c r="SXC71" s="2936"/>
      <c r="SXD71" s="2936"/>
      <c r="SXE71" s="2936"/>
      <c r="SXF71" s="2936"/>
      <c r="SXG71" s="2936"/>
      <c r="SXH71" s="2936"/>
      <c r="SXI71" s="2936"/>
      <c r="SXJ71" s="2936"/>
      <c r="SXK71" s="2936"/>
      <c r="SXL71" s="2936"/>
      <c r="SXM71" s="2936"/>
      <c r="SXN71" s="2936"/>
      <c r="SXO71" s="2936"/>
      <c r="SXP71" s="2936"/>
      <c r="SXQ71" s="2936"/>
      <c r="SXR71" s="2936"/>
      <c r="SXS71" s="2936"/>
      <c r="SXT71" s="2936"/>
      <c r="SXU71" s="2936"/>
      <c r="SXV71" s="2936"/>
      <c r="SXW71" s="2936"/>
      <c r="SXX71" s="2936"/>
      <c r="SXY71" s="2936"/>
      <c r="SXZ71" s="2936"/>
      <c r="SYA71" s="2936"/>
      <c r="SYB71" s="2936"/>
      <c r="SYC71" s="2936"/>
      <c r="SYD71" s="2936"/>
      <c r="SYE71" s="2936"/>
      <c r="SYF71" s="2936"/>
      <c r="SYG71" s="2936"/>
      <c r="SYH71" s="2936"/>
      <c r="SYI71" s="2936"/>
      <c r="SYJ71" s="2936"/>
      <c r="SYK71" s="2936"/>
      <c r="SYL71" s="2936"/>
      <c r="SYM71" s="2936"/>
      <c r="SYN71" s="2936"/>
      <c r="SYO71" s="2936"/>
      <c r="SYP71" s="2936"/>
      <c r="SYQ71" s="2936"/>
      <c r="SYR71" s="2936"/>
      <c r="SYS71" s="2936"/>
      <c r="SYT71" s="2936"/>
      <c r="SYU71" s="2936"/>
      <c r="SYV71" s="2936"/>
      <c r="SYW71" s="2936"/>
      <c r="SYX71" s="2936"/>
      <c r="SYY71" s="2936"/>
      <c r="SYZ71" s="2936"/>
      <c r="SZA71" s="2936"/>
      <c r="SZB71" s="2936"/>
      <c r="SZC71" s="2936"/>
      <c r="SZD71" s="2936"/>
      <c r="SZE71" s="2936"/>
      <c r="SZF71" s="2936"/>
      <c r="SZG71" s="2936"/>
      <c r="SZH71" s="2936"/>
      <c r="SZI71" s="2936"/>
      <c r="SZJ71" s="2936"/>
      <c r="SZK71" s="2936"/>
      <c r="SZL71" s="2936"/>
      <c r="SZM71" s="2936"/>
      <c r="SZN71" s="2936"/>
      <c r="SZO71" s="2936"/>
      <c r="SZP71" s="2936"/>
      <c r="SZQ71" s="2936"/>
      <c r="SZR71" s="2936"/>
      <c r="SZS71" s="2936"/>
      <c r="SZT71" s="2936"/>
      <c r="SZU71" s="2936"/>
      <c r="SZV71" s="2936"/>
      <c r="SZW71" s="2936"/>
      <c r="SZX71" s="2936"/>
      <c r="SZY71" s="2936"/>
      <c r="SZZ71" s="2936"/>
      <c r="TAA71" s="2936"/>
      <c r="TAB71" s="2936"/>
      <c r="TAC71" s="2936"/>
      <c r="TAD71" s="2936"/>
      <c r="TAE71" s="2936"/>
      <c r="TAF71" s="2936"/>
      <c r="TAG71" s="2936"/>
      <c r="TAH71" s="2936"/>
      <c r="TAI71" s="2936"/>
      <c r="TAJ71" s="2936"/>
      <c r="TAK71" s="2936"/>
      <c r="TAL71" s="2936"/>
      <c r="TAM71" s="2936"/>
      <c r="TAN71" s="2936"/>
      <c r="TAO71" s="2936"/>
      <c r="TAP71" s="2936"/>
      <c r="TAQ71" s="2936"/>
      <c r="TAR71" s="2936"/>
      <c r="TAS71" s="2936"/>
      <c r="TAT71" s="2936"/>
      <c r="TAU71" s="2936"/>
      <c r="TAV71" s="2936"/>
      <c r="TAW71" s="2936"/>
      <c r="TAX71" s="2936"/>
      <c r="TAY71" s="2936"/>
      <c r="TAZ71" s="2936"/>
      <c r="TBA71" s="2936"/>
      <c r="TBB71" s="2936"/>
      <c r="TBC71" s="2936"/>
      <c r="TBD71" s="2936"/>
      <c r="TBE71" s="2936"/>
      <c r="TBF71" s="2936"/>
      <c r="TBG71" s="2936"/>
      <c r="TBH71" s="2936"/>
      <c r="TBI71" s="2936"/>
      <c r="TBJ71" s="2936"/>
      <c r="TBK71" s="2936"/>
      <c r="TBL71" s="2936"/>
      <c r="TBM71" s="2936"/>
      <c r="TBN71" s="2936"/>
      <c r="TBO71" s="2936"/>
      <c r="TBP71" s="2936"/>
      <c r="TBQ71" s="2936"/>
      <c r="TBR71" s="2936"/>
      <c r="TBS71" s="2936"/>
      <c r="TBT71" s="2936"/>
      <c r="TBU71" s="2936"/>
      <c r="TBV71" s="2936"/>
      <c r="TBW71" s="2936"/>
      <c r="TBX71" s="2936"/>
      <c r="TBY71" s="2936"/>
      <c r="TBZ71" s="2936"/>
      <c r="TCA71" s="2936"/>
      <c r="TCB71" s="2936"/>
      <c r="TCC71" s="2936"/>
      <c r="TCD71" s="2936"/>
      <c r="TCE71" s="2936"/>
      <c r="TCF71" s="2936"/>
      <c r="TCG71" s="2936"/>
      <c r="TCH71" s="2936"/>
      <c r="TCI71" s="2936"/>
      <c r="TCJ71" s="2936"/>
      <c r="TCK71" s="2936"/>
      <c r="TCL71" s="2936"/>
      <c r="TCM71" s="2936"/>
      <c r="TCN71" s="2936"/>
      <c r="TCO71" s="2936"/>
      <c r="TCP71" s="2936"/>
      <c r="TCQ71" s="2936"/>
      <c r="TCR71" s="2936"/>
      <c r="TCS71" s="2936"/>
      <c r="TCT71" s="2936"/>
      <c r="TCU71" s="2936"/>
      <c r="TCV71" s="2936"/>
      <c r="TCW71" s="2936"/>
      <c r="TCX71" s="2936"/>
      <c r="TCY71" s="2936"/>
      <c r="TCZ71" s="2936"/>
      <c r="TDA71" s="2936"/>
      <c r="TDB71" s="2936"/>
      <c r="TDC71" s="2936"/>
      <c r="TDD71" s="2936"/>
      <c r="TDE71" s="2936"/>
      <c r="TDF71" s="2936"/>
      <c r="TDG71" s="2936"/>
      <c r="TDH71" s="2936"/>
      <c r="TDI71" s="2936"/>
      <c r="TDJ71" s="2936"/>
      <c r="TDK71" s="2936"/>
      <c r="TDL71" s="2936"/>
      <c r="TDM71" s="2936"/>
      <c r="TDN71" s="2936"/>
      <c r="TDO71" s="2936"/>
      <c r="TDP71" s="2936"/>
      <c r="TDQ71" s="2936"/>
      <c r="TDR71" s="2936"/>
      <c r="TDS71" s="2936"/>
      <c r="TDT71" s="2936"/>
      <c r="TDU71" s="2936"/>
      <c r="TDV71" s="2936"/>
      <c r="TDW71" s="2936"/>
      <c r="TDX71" s="2936"/>
      <c r="TDY71" s="2936"/>
      <c r="TDZ71" s="2936"/>
      <c r="TEA71" s="2936"/>
      <c r="TEB71" s="2936"/>
      <c r="TEC71" s="2936"/>
      <c r="TED71" s="2936"/>
      <c r="TEE71" s="2936"/>
      <c r="TEF71" s="2936"/>
      <c r="TEG71" s="2936"/>
      <c r="TEH71" s="2936"/>
      <c r="TEI71" s="2936"/>
      <c r="TEJ71" s="2936"/>
      <c r="TEK71" s="2936"/>
      <c r="TEL71" s="2936"/>
      <c r="TEM71" s="2936"/>
      <c r="TEN71" s="2936"/>
      <c r="TEO71" s="2936"/>
      <c r="TEP71" s="2936"/>
      <c r="TEQ71" s="2936"/>
      <c r="TER71" s="2936"/>
      <c r="TES71" s="2936"/>
      <c r="TET71" s="2936"/>
      <c r="TEU71" s="2936"/>
      <c r="TEV71" s="2936"/>
      <c r="TEW71" s="2936"/>
      <c r="TEX71" s="2936"/>
      <c r="TEY71" s="2936"/>
      <c r="TEZ71" s="2936"/>
      <c r="TFA71" s="2936"/>
      <c r="TFB71" s="2936"/>
      <c r="TFC71" s="2936"/>
      <c r="TFD71" s="2936"/>
      <c r="TFE71" s="2936"/>
      <c r="TFF71" s="2936"/>
      <c r="TFG71" s="2936"/>
      <c r="TFH71" s="2936"/>
      <c r="TFI71" s="2936"/>
      <c r="TFJ71" s="2936"/>
      <c r="TFK71" s="2936"/>
      <c r="TFL71" s="2936"/>
      <c r="TFM71" s="2936"/>
      <c r="TFN71" s="2936"/>
      <c r="TFO71" s="2936"/>
      <c r="TFP71" s="2936"/>
      <c r="TFQ71" s="2936"/>
      <c r="TFR71" s="2936"/>
      <c r="TFS71" s="2936"/>
      <c r="TFT71" s="2936"/>
      <c r="TFU71" s="2936"/>
      <c r="TFV71" s="2936"/>
      <c r="TFW71" s="2936"/>
      <c r="TFX71" s="2936"/>
      <c r="TFY71" s="2936"/>
      <c r="TFZ71" s="2936"/>
      <c r="TGA71" s="2936"/>
      <c r="TGB71" s="2936"/>
      <c r="TGC71" s="2936"/>
      <c r="TGD71" s="2936"/>
      <c r="TGE71" s="2936"/>
      <c r="TGF71" s="2936"/>
      <c r="TGG71" s="2936"/>
      <c r="TGH71" s="2936"/>
      <c r="TGI71" s="2936"/>
      <c r="TGJ71" s="2936"/>
      <c r="TGK71" s="2936"/>
      <c r="TGL71" s="2936"/>
      <c r="TGM71" s="2936"/>
      <c r="TGN71" s="2936"/>
      <c r="TGO71" s="2936"/>
      <c r="TGP71" s="2936"/>
      <c r="TGQ71" s="2936"/>
      <c r="TGR71" s="2936"/>
      <c r="TGS71" s="2936"/>
      <c r="TGT71" s="2936"/>
      <c r="TGU71" s="2936"/>
      <c r="TGV71" s="2936"/>
      <c r="TGW71" s="2936"/>
      <c r="TGX71" s="2936"/>
      <c r="TGY71" s="2936"/>
      <c r="TGZ71" s="2936"/>
      <c r="THA71" s="2936"/>
      <c r="THB71" s="2936"/>
      <c r="THC71" s="2936"/>
      <c r="THD71" s="2936"/>
      <c r="THE71" s="2936"/>
      <c r="THF71" s="2936"/>
      <c r="THG71" s="2936"/>
      <c r="THH71" s="2936"/>
      <c r="THI71" s="2936"/>
      <c r="THJ71" s="2936"/>
      <c r="THK71" s="2936"/>
      <c r="THL71" s="2936"/>
      <c r="THM71" s="2936"/>
      <c r="THN71" s="2936"/>
      <c r="THO71" s="2936"/>
      <c r="THP71" s="2936"/>
      <c r="THQ71" s="2936"/>
      <c r="THR71" s="2936"/>
      <c r="THS71" s="2936"/>
      <c r="THT71" s="2936"/>
      <c r="THU71" s="2936"/>
      <c r="THV71" s="2936"/>
      <c r="THW71" s="2936"/>
      <c r="THX71" s="2936"/>
      <c r="THY71" s="2936"/>
      <c r="THZ71" s="2936"/>
      <c r="TIA71" s="2936"/>
      <c r="TIB71" s="2936"/>
      <c r="TIC71" s="2936"/>
      <c r="TID71" s="2936"/>
      <c r="TIE71" s="2936"/>
      <c r="TIF71" s="2936"/>
      <c r="TIG71" s="2936"/>
      <c r="TIH71" s="2936"/>
      <c r="TII71" s="2936"/>
      <c r="TIJ71" s="2936"/>
      <c r="TIK71" s="2936"/>
      <c r="TIL71" s="2936"/>
      <c r="TIM71" s="2936"/>
      <c r="TIN71" s="2936"/>
      <c r="TIO71" s="2936"/>
      <c r="TIP71" s="2936"/>
      <c r="TIQ71" s="2936"/>
      <c r="TIR71" s="2936"/>
      <c r="TIS71" s="2936"/>
      <c r="TIT71" s="2936"/>
      <c r="TIU71" s="2936"/>
      <c r="TIV71" s="2936"/>
      <c r="TIW71" s="2936"/>
      <c r="TIX71" s="2936"/>
      <c r="TIY71" s="2936"/>
      <c r="TIZ71" s="2936"/>
      <c r="TJA71" s="2936"/>
      <c r="TJB71" s="2936"/>
      <c r="TJC71" s="2936"/>
      <c r="TJD71" s="2936"/>
      <c r="TJE71" s="2936"/>
      <c r="TJF71" s="2936"/>
      <c r="TJG71" s="2936"/>
      <c r="TJH71" s="2936"/>
      <c r="TJI71" s="2936"/>
      <c r="TJJ71" s="2936"/>
      <c r="TJK71" s="2936"/>
      <c r="TJL71" s="2936"/>
      <c r="TJM71" s="2936"/>
      <c r="TJN71" s="2936"/>
      <c r="TJO71" s="2936"/>
      <c r="TJP71" s="2936"/>
      <c r="TJQ71" s="2936"/>
      <c r="TJR71" s="2936"/>
      <c r="TJS71" s="2936"/>
      <c r="TJT71" s="2936"/>
      <c r="TJU71" s="2936"/>
      <c r="TJV71" s="2936"/>
      <c r="TJW71" s="2936"/>
      <c r="TJX71" s="2936"/>
      <c r="TJY71" s="2936"/>
      <c r="TJZ71" s="2936"/>
      <c r="TKA71" s="2936"/>
      <c r="TKB71" s="2936"/>
      <c r="TKC71" s="2936"/>
      <c r="TKD71" s="2936"/>
      <c r="TKE71" s="2936"/>
      <c r="TKF71" s="2936"/>
      <c r="TKG71" s="2936"/>
      <c r="TKH71" s="2936"/>
      <c r="TKI71" s="2936"/>
      <c r="TKJ71" s="2936"/>
      <c r="TKK71" s="2936"/>
      <c r="TKL71" s="2936"/>
      <c r="TKM71" s="2936"/>
      <c r="TKN71" s="2936"/>
      <c r="TKO71" s="2936"/>
      <c r="TKP71" s="2936"/>
      <c r="TKQ71" s="2936"/>
      <c r="TKR71" s="2936"/>
      <c r="TKS71" s="2936"/>
      <c r="TKT71" s="2936"/>
      <c r="TKU71" s="2936"/>
      <c r="TKV71" s="2936"/>
      <c r="TKW71" s="2936"/>
      <c r="TKX71" s="2936"/>
      <c r="TKY71" s="2936"/>
      <c r="TKZ71" s="2936"/>
      <c r="TLA71" s="2936"/>
      <c r="TLB71" s="2936"/>
      <c r="TLC71" s="2936"/>
      <c r="TLD71" s="2936"/>
      <c r="TLE71" s="2936"/>
      <c r="TLF71" s="2936"/>
      <c r="TLG71" s="2936"/>
      <c r="TLH71" s="2936"/>
      <c r="TLI71" s="2936"/>
      <c r="TLJ71" s="2936"/>
      <c r="TLK71" s="2936"/>
      <c r="TLL71" s="2936"/>
      <c r="TLM71" s="2936"/>
      <c r="TLN71" s="2936"/>
      <c r="TLO71" s="2936"/>
      <c r="TLP71" s="2936"/>
      <c r="TLQ71" s="2936"/>
      <c r="TLR71" s="2936"/>
      <c r="TLS71" s="2936"/>
      <c r="TLT71" s="2936"/>
      <c r="TLU71" s="2936"/>
      <c r="TLV71" s="2936"/>
      <c r="TLW71" s="2936"/>
      <c r="TLX71" s="2936"/>
      <c r="TLY71" s="2936"/>
      <c r="TLZ71" s="2936"/>
      <c r="TMA71" s="2936"/>
      <c r="TMB71" s="2936"/>
      <c r="TMC71" s="2936"/>
      <c r="TMD71" s="2936"/>
      <c r="TME71" s="2936"/>
      <c r="TMF71" s="2936"/>
      <c r="TMG71" s="2936"/>
      <c r="TMH71" s="2936"/>
      <c r="TMI71" s="2936"/>
      <c r="TMJ71" s="2936"/>
      <c r="TMK71" s="2936"/>
      <c r="TML71" s="2936"/>
      <c r="TMM71" s="2936"/>
      <c r="TMN71" s="2936"/>
      <c r="TMO71" s="2936"/>
      <c r="TMP71" s="2936"/>
      <c r="TMQ71" s="2936"/>
      <c r="TMR71" s="2936"/>
      <c r="TMS71" s="2936"/>
      <c r="TMT71" s="2936"/>
      <c r="TMU71" s="2936"/>
      <c r="TMV71" s="2936"/>
      <c r="TMW71" s="2936"/>
      <c r="TMX71" s="2936"/>
      <c r="TMY71" s="2936"/>
      <c r="TMZ71" s="2936"/>
      <c r="TNA71" s="2936"/>
      <c r="TNB71" s="2936"/>
      <c r="TNC71" s="2936"/>
      <c r="TND71" s="2936"/>
      <c r="TNE71" s="2936"/>
      <c r="TNF71" s="2936"/>
      <c r="TNG71" s="2936"/>
      <c r="TNH71" s="2936"/>
      <c r="TNI71" s="2936"/>
      <c r="TNJ71" s="2936"/>
      <c r="TNK71" s="2936"/>
      <c r="TNL71" s="2936"/>
      <c r="TNM71" s="2936"/>
      <c r="TNN71" s="2936"/>
      <c r="TNO71" s="2936"/>
      <c r="TNP71" s="2936"/>
      <c r="TNQ71" s="2936"/>
      <c r="TNR71" s="2936"/>
      <c r="TNS71" s="2936"/>
      <c r="TNT71" s="2936"/>
      <c r="TNU71" s="2936"/>
      <c r="TNV71" s="2936"/>
      <c r="TNW71" s="2936"/>
      <c r="TNX71" s="2936"/>
      <c r="TNY71" s="2936"/>
      <c r="TNZ71" s="2936"/>
      <c r="TOA71" s="2936"/>
      <c r="TOB71" s="2936"/>
      <c r="TOC71" s="2936"/>
      <c r="TOD71" s="2936"/>
      <c r="TOE71" s="2936"/>
      <c r="TOF71" s="2936"/>
      <c r="TOG71" s="2936"/>
      <c r="TOH71" s="2936"/>
      <c r="TOI71" s="2936"/>
      <c r="TOJ71" s="2936"/>
      <c r="TOK71" s="2936"/>
      <c r="TOL71" s="2936"/>
      <c r="TOM71" s="2936"/>
      <c r="TON71" s="2936"/>
      <c r="TOO71" s="2936"/>
      <c r="TOP71" s="2936"/>
      <c r="TOQ71" s="2936"/>
      <c r="TOR71" s="2936"/>
      <c r="TOS71" s="2936"/>
      <c r="TOT71" s="2936"/>
      <c r="TOU71" s="2936"/>
      <c r="TOV71" s="2936"/>
      <c r="TOW71" s="2936"/>
      <c r="TOX71" s="2936"/>
      <c r="TOY71" s="2936"/>
      <c r="TOZ71" s="2936"/>
      <c r="TPA71" s="2936"/>
      <c r="TPB71" s="2936"/>
      <c r="TPC71" s="2936"/>
      <c r="TPD71" s="2936"/>
      <c r="TPE71" s="2936"/>
      <c r="TPF71" s="2936"/>
      <c r="TPG71" s="2936"/>
      <c r="TPH71" s="2936"/>
      <c r="TPI71" s="2936"/>
      <c r="TPJ71" s="2936"/>
      <c r="TPK71" s="2936"/>
      <c r="TPL71" s="2936"/>
      <c r="TPM71" s="2936"/>
      <c r="TPN71" s="2936"/>
      <c r="TPO71" s="2936"/>
      <c r="TPP71" s="2936"/>
      <c r="TPQ71" s="2936"/>
      <c r="TPR71" s="2936"/>
      <c r="TPS71" s="2936"/>
      <c r="TPT71" s="2936"/>
      <c r="TPU71" s="2936"/>
      <c r="TPV71" s="2936"/>
      <c r="TPW71" s="2936"/>
      <c r="TPX71" s="2936"/>
      <c r="TPY71" s="2936"/>
      <c r="TPZ71" s="2936"/>
      <c r="TQA71" s="2936"/>
      <c r="TQB71" s="2936"/>
      <c r="TQC71" s="2936"/>
      <c r="TQD71" s="2936"/>
      <c r="TQE71" s="2936"/>
      <c r="TQF71" s="2936"/>
      <c r="TQG71" s="2936"/>
      <c r="TQH71" s="2936"/>
      <c r="TQI71" s="2936"/>
      <c r="TQJ71" s="2936"/>
      <c r="TQK71" s="2936"/>
      <c r="TQL71" s="2936"/>
      <c r="TQM71" s="2936"/>
      <c r="TQN71" s="2936"/>
      <c r="TQO71" s="2936"/>
      <c r="TQP71" s="2936"/>
      <c r="TQQ71" s="2936"/>
      <c r="TQR71" s="2936"/>
      <c r="TQS71" s="2936"/>
      <c r="TQT71" s="2936"/>
      <c r="TQU71" s="2936"/>
      <c r="TQV71" s="2936"/>
      <c r="TQW71" s="2936"/>
      <c r="TQX71" s="2936"/>
      <c r="TQY71" s="2936"/>
      <c r="TQZ71" s="2936"/>
      <c r="TRA71" s="2936"/>
      <c r="TRB71" s="2936"/>
      <c r="TRC71" s="2936"/>
      <c r="TRD71" s="2936"/>
      <c r="TRE71" s="2936"/>
      <c r="TRF71" s="2936"/>
      <c r="TRG71" s="2936"/>
      <c r="TRH71" s="2936"/>
      <c r="TRI71" s="2936"/>
      <c r="TRJ71" s="2936"/>
      <c r="TRK71" s="2936"/>
      <c r="TRL71" s="2936"/>
      <c r="TRM71" s="2936"/>
      <c r="TRN71" s="2936"/>
      <c r="TRO71" s="2936"/>
      <c r="TRP71" s="2936"/>
      <c r="TRQ71" s="2936"/>
      <c r="TRR71" s="2936"/>
      <c r="TRS71" s="2936"/>
      <c r="TRT71" s="2936"/>
      <c r="TRU71" s="2936"/>
      <c r="TRV71" s="2936"/>
      <c r="TRW71" s="2936"/>
      <c r="TRX71" s="2936"/>
      <c r="TRY71" s="2936"/>
      <c r="TRZ71" s="2936"/>
      <c r="TSA71" s="2936"/>
      <c r="TSB71" s="2936"/>
      <c r="TSC71" s="2936"/>
      <c r="TSD71" s="2936"/>
      <c r="TSE71" s="2936"/>
      <c r="TSF71" s="2936"/>
      <c r="TSG71" s="2936"/>
      <c r="TSH71" s="2936"/>
      <c r="TSI71" s="2936"/>
      <c r="TSJ71" s="2936"/>
      <c r="TSK71" s="2936"/>
      <c r="TSL71" s="2936"/>
      <c r="TSM71" s="2936"/>
      <c r="TSN71" s="2936"/>
      <c r="TSO71" s="2936"/>
      <c r="TSP71" s="2936"/>
      <c r="TSQ71" s="2936"/>
      <c r="TSR71" s="2936"/>
      <c r="TSS71" s="2936"/>
      <c r="TST71" s="2936"/>
      <c r="TSU71" s="2936"/>
      <c r="TSV71" s="2936"/>
      <c r="TSW71" s="2936"/>
      <c r="TSX71" s="2936"/>
      <c r="TSY71" s="2936"/>
      <c r="TSZ71" s="2936"/>
      <c r="TTA71" s="2936"/>
      <c r="TTB71" s="2936"/>
      <c r="TTC71" s="2936"/>
      <c r="TTD71" s="2936"/>
      <c r="TTE71" s="2936"/>
      <c r="TTF71" s="2936"/>
      <c r="TTG71" s="2936"/>
      <c r="TTH71" s="2936"/>
      <c r="TTI71" s="2936"/>
      <c r="TTJ71" s="2936"/>
      <c r="TTK71" s="2936"/>
      <c r="TTL71" s="2936"/>
      <c r="TTM71" s="2936"/>
      <c r="TTN71" s="2936"/>
      <c r="TTO71" s="2936"/>
      <c r="TTP71" s="2936"/>
      <c r="TTQ71" s="2936"/>
      <c r="TTR71" s="2936"/>
      <c r="TTS71" s="2936"/>
      <c r="TTT71" s="2936"/>
      <c r="TTU71" s="2936"/>
      <c r="TTV71" s="2936"/>
      <c r="TTW71" s="2936"/>
      <c r="TTX71" s="2936"/>
      <c r="TTY71" s="2936"/>
      <c r="TTZ71" s="2936"/>
      <c r="TUA71" s="2936"/>
      <c r="TUB71" s="2936"/>
      <c r="TUC71" s="2936"/>
      <c r="TUD71" s="2936"/>
      <c r="TUE71" s="2936"/>
      <c r="TUF71" s="2936"/>
      <c r="TUG71" s="2936"/>
      <c r="TUH71" s="2936"/>
      <c r="TUI71" s="2936"/>
      <c r="TUJ71" s="2936"/>
      <c r="TUK71" s="2936"/>
      <c r="TUL71" s="2936"/>
      <c r="TUM71" s="2936"/>
      <c r="TUN71" s="2936"/>
      <c r="TUO71" s="2936"/>
      <c r="TUP71" s="2936"/>
      <c r="TUQ71" s="2936"/>
      <c r="TUR71" s="2936"/>
      <c r="TUS71" s="2936"/>
      <c r="TUT71" s="2936"/>
      <c r="TUU71" s="2936"/>
      <c r="TUV71" s="2936"/>
      <c r="TUW71" s="2936"/>
      <c r="TUX71" s="2936"/>
      <c r="TUY71" s="2936"/>
      <c r="TUZ71" s="2936"/>
      <c r="TVA71" s="2936"/>
      <c r="TVB71" s="2936"/>
      <c r="TVC71" s="2936"/>
      <c r="TVD71" s="2936"/>
      <c r="TVE71" s="2936"/>
      <c r="TVF71" s="2936"/>
      <c r="TVG71" s="2936"/>
      <c r="TVH71" s="2936"/>
      <c r="TVI71" s="2936"/>
      <c r="TVJ71" s="2936"/>
      <c r="TVK71" s="2936"/>
      <c r="TVL71" s="2936"/>
      <c r="TVM71" s="2936"/>
      <c r="TVN71" s="2936"/>
      <c r="TVO71" s="2936"/>
      <c r="TVP71" s="2936"/>
      <c r="TVQ71" s="2936"/>
      <c r="TVR71" s="2936"/>
      <c r="TVS71" s="2936"/>
      <c r="TVT71" s="2936"/>
      <c r="TVU71" s="2936"/>
      <c r="TVV71" s="2936"/>
      <c r="TVW71" s="2936"/>
      <c r="TVX71" s="2936"/>
      <c r="TVY71" s="2936"/>
      <c r="TVZ71" s="2936"/>
      <c r="TWA71" s="2936"/>
      <c r="TWB71" s="2936"/>
      <c r="TWC71" s="2936"/>
      <c r="TWD71" s="2936"/>
      <c r="TWE71" s="2936"/>
      <c r="TWF71" s="2936"/>
      <c r="TWG71" s="2936"/>
      <c r="TWH71" s="2936"/>
      <c r="TWI71" s="2936"/>
      <c r="TWJ71" s="2936"/>
      <c r="TWK71" s="2936"/>
      <c r="TWL71" s="2936"/>
      <c r="TWM71" s="2936"/>
      <c r="TWN71" s="2936"/>
      <c r="TWO71" s="2936"/>
      <c r="TWP71" s="2936"/>
      <c r="TWQ71" s="2936"/>
      <c r="TWR71" s="2936"/>
      <c r="TWS71" s="2936"/>
      <c r="TWT71" s="2936"/>
      <c r="TWU71" s="2936"/>
      <c r="TWV71" s="2936"/>
      <c r="TWW71" s="2936"/>
      <c r="TWX71" s="2936"/>
      <c r="TWY71" s="2936"/>
      <c r="TWZ71" s="2936"/>
      <c r="TXA71" s="2936"/>
      <c r="TXB71" s="2936"/>
      <c r="TXC71" s="2936"/>
      <c r="TXD71" s="2936"/>
      <c r="TXE71" s="2936"/>
      <c r="TXF71" s="2936"/>
      <c r="TXG71" s="2936"/>
      <c r="TXH71" s="2936"/>
      <c r="TXI71" s="2936"/>
      <c r="TXJ71" s="2936"/>
      <c r="TXK71" s="2936"/>
      <c r="TXL71" s="2936"/>
      <c r="TXM71" s="2936"/>
      <c r="TXN71" s="2936"/>
      <c r="TXO71" s="2936"/>
      <c r="TXP71" s="2936"/>
      <c r="TXQ71" s="2936"/>
      <c r="TXR71" s="2936"/>
      <c r="TXS71" s="2936"/>
      <c r="TXT71" s="2936"/>
      <c r="TXU71" s="2936"/>
      <c r="TXV71" s="2936"/>
      <c r="TXW71" s="2936"/>
      <c r="TXX71" s="2936"/>
      <c r="TXY71" s="2936"/>
      <c r="TXZ71" s="2936"/>
      <c r="TYA71" s="2936"/>
      <c r="TYB71" s="2936"/>
      <c r="TYC71" s="2936"/>
      <c r="TYD71" s="2936"/>
      <c r="TYE71" s="2936"/>
      <c r="TYF71" s="2936"/>
      <c r="TYG71" s="2936"/>
      <c r="TYH71" s="2936"/>
      <c r="TYI71" s="2936"/>
      <c r="TYJ71" s="2936"/>
      <c r="TYK71" s="2936"/>
      <c r="TYL71" s="2936"/>
      <c r="TYM71" s="2936"/>
      <c r="TYN71" s="2936"/>
      <c r="TYO71" s="2936"/>
      <c r="TYP71" s="2936"/>
      <c r="TYQ71" s="2936"/>
      <c r="TYR71" s="2936"/>
      <c r="TYS71" s="2936"/>
      <c r="TYT71" s="2936"/>
      <c r="TYU71" s="2936"/>
      <c r="TYV71" s="2936"/>
      <c r="TYW71" s="2936"/>
      <c r="TYX71" s="2936"/>
      <c r="TYY71" s="2936"/>
      <c r="TYZ71" s="2936"/>
      <c r="TZA71" s="2936"/>
      <c r="TZB71" s="2936"/>
      <c r="TZC71" s="2936"/>
      <c r="TZD71" s="2936"/>
      <c r="TZE71" s="2936"/>
      <c r="TZF71" s="2936"/>
      <c r="TZG71" s="2936"/>
      <c r="TZH71" s="2936"/>
      <c r="TZI71" s="2936"/>
      <c r="TZJ71" s="2936"/>
      <c r="TZK71" s="2936"/>
      <c r="TZL71" s="2936"/>
      <c r="TZM71" s="2936"/>
      <c r="TZN71" s="2936"/>
      <c r="TZO71" s="2936"/>
      <c r="TZP71" s="2936"/>
      <c r="TZQ71" s="2936"/>
      <c r="TZR71" s="2936"/>
      <c r="TZS71" s="2936"/>
      <c r="TZT71" s="2936"/>
      <c r="TZU71" s="2936"/>
      <c r="TZV71" s="2936"/>
      <c r="TZW71" s="2936"/>
      <c r="TZX71" s="2936"/>
      <c r="TZY71" s="2936"/>
      <c r="TZZ71" s="2936"/>
      <c r="UAA71" s="2936"/>
      <c r="UAB71" s="2936"/>
      <c r="UAC71" s="2936"/>
      <c r="UAD71" s="2936"/>
      <c r="UAE71" s="2936"/>
      <c r="UAF71" s="2936"/>
      <c r="UAG71" s="2936"/>
      <c r="UAH71" s="2936"/>
      <c r="UAI71" s="2936"/>
      <c r="UAJ71" s="2936"/>
      <c r="UAK71" s="2936"/>
      <c r="UAL71" s="2936"/>
      <c r="UAM71" s="2936"/>
      <c r="UAN71" s="2936"/>
      <c r="UAO71" s="2936"/>
      <c r="UAP71" s="2936"/>
      <c r="UAQ71" s="2936"/>
      <c r="UAR71" s="2936"/>
      <c r="UAS71" s="2936"/>
      <c r="UAT71" s="2936"/>
      <c r="UAU71" s="2936"/>
      <c r="UAV71" s="2936"/>
      <c r="UAW71" s="2936"/>
      <c r="UAX71" s="2936"/>
      <c r="UAY71" s="2936"/>
      <c r="UAZ71" s="2936"/>
      <c r="UBA71" s="2936"/>
      <c r="UBB71" s="2936"/>
      <c r="UBC71" s="2936"/>
      <c r="UBD71" s="2936"/>
      <c r="UBE71" s="2936"/>
      <c r="UBF71" s="2936"/>
      <c r="UBG71" s="2936"/>
      <c r="UBH71" s="2936"/>
      <c r="UBI71" s="2936"/>
      <c r="UBJ71" s="2936"/>
      <c r="UBK71" s="2936"/>
      <c r="UBL71" s="2936"/>
      <c r="UBM71" s="2936"/>
      <c r="UBN71" s="2936"/>
      <c r="UBO71" s="2936"/>
      <c r="UBP71" s="2936"/>
      <c r="UBQ71" s="2936"/>
      <c r="UBR71" s="2936"/>
      <c r="UBS71" s="2936"/>
      <c r="UBT71" s="2936"/>
      <c r="UBU71" s="2936"/>
      <c r="UBV71" s="2936"/>
      <c r="UBW71" s="2936"/>
      <c r="UBX71" s="2936"/>
      <c r="UBY71" s="2936"/>
      <c r="UBZ71" s="2936"/>
      <c r="UCA71" s="2936"/>
      <c r="UCB71" s="2936"/>
      <c r="UCC71" s="2936"/>
      <c r="UCD71" s="2936"/>
      <c r="UCE71" s="2936"/>
      <c r="UCF71" s="2936"/>
      <c r="UCG71" s="2936"/>
      <c r="UCH71" s="2936"/>
      <c r="UCI71" s="2936"/>
      <c r="UCJ71" s="2936"/>
      <c r="UCK71" s="2936"/>
      <c r="UCL71" s="2936"/>
      <c r="UCM71" s="2936"/>
      <c r="UCN71" s="2936"/>
      <c r="UCO71" s="2936"/>
      <c r="UCP71" s="2936"/>
      <c r="UCQ71" s="2936"/>
      <c r="UCR71" s="2936"/>
      <c r="UCS71" s="2936"/>
      <c r="UCT71" s="2936"/>
      <c r="UCU71" s="2936"/>
      <c r="UCV71" s="2936"/>
      <c r="UCW71" s="2936"/>
      <c r="UCX71" s="2936"/>
      <c r="UCY71" s="2936"/>
      <c r="UCZ71" s="2936"/>
      <c r="UDA71" s="2936"/>
      <c r="UDB71" s="2936"/>
      <c r="UDC71" s="2936"/>
      <c r="UDD71" s="2936"/>
      <c r="UDE71" s="2936"/>
      <c r="UDF71" s="2936"/>
      <c r="UDG71" s="2936"/>
      <c r="UDH71" s="2936"/>
      <c r="UDI71" s="2936"/>
      <c r="UDJ71" s="2936"/>
      <c r="UDK71" s="2936"/>
      <c r="UDL71" s="2936"/>
      <c r="UDM71" s="2936"/>
      <c r="UDN71" s="2936"/>
      <c r="UDO71" s="2936"/>
      <c r="UDP71" s="2936"/>
      <c r="UDQ71" s="2936"/>
      <c r="UDR71" s="2936"/>
      <c r="UDS71" s="2936"/>
      <c r="UDT71" s="2936"/>
      <c r="UDU71" s="2936"/>
      <c r="UDV71" s="2936"/>
      <c r="UDW71" s="2936"/>
      <c r="UDX71" s="2936"/>
      <c r="UDY71" s="2936"/>
      <c r="UDZ71" s="2936"/>
      <c r="UEA71" s="2936"/>
      <c r="UEB71" s="2936"/>
      <c r="UEC71" s="2936"/>
      <c r="UED71" s="2936"/>
      <c r="UEE71" s="2936"/>
      <c r="UEF71" s="2936"/>
      <c r="UEG71" s="2936"/>
      <c r="UEH71" s="2936"/>
      <c r="UEI71" s="2936"/>
      <c r="UEJ71" s="2936"/>
      <c r="UEK71" s="2936"/>
      <c r="UEL71" s="2936"/>
      <c r="UEM71" s="2936"/>
      <c r="UEN71" s="2936"/>
      <c r="UEO71" s="2936"/>
      <c r="UEP71" s="2936"/>
      <c r="UEQ71" s="2936"/>
      <c r="UER71" s="2936"/>
      <c r="UES71" s="2936"/>
      <c r="UET71" s="2936"/>
      <c r="UEU71" s="2936"/>
      <c r="UEV71" s="2936"/>
      <c r="UEW71" s="2936"/>
      <c r="UEX71" s="2936"/>
      <c r="UEY71" s="2936"/>
      <c r="UEZ71" s="2936"/>
      <c r="UFA71" s="2936"/>
      <c r="UFB71" s="2936"/>
      <c r="UFC71" s="2936"/>
      <c r="UFD71" s="2936"/>
      <c r="UFE71" s="2936"/>
      <c r="UFF71" s="2936"/>
      <c r="UFG71" s="2936"/>
      <c r="UFH71" s="2936"/>
      <c r="UFI71" s="2936"/>
      <c r="UFJ71" s="2936"/>
      <c r="UFK71" s="2936"/>
      <c r="UFL71" s="2936"/>
      <c r="UFM71" s="2936"/>
      <c r="UFN71" s="2936"/>
      <c r="UFO71" s="2936"/>
      <c r="UFP71" s="2936"/>
      <c r="UFQ71" s="2936"/>
      <c r="UFR71" s="2936"/>
      <c r="UFS71" s="2936"/>
      <c r="UFT71" s="2936"/>
      <c r="UFU71" s="2936"/>
      <c r="UFV71" s="2936"/>
      <c r="UFW71" s="2936"/>
      <c r="UFX71" s="2936"/>
      <c r="UFY71" s="2936"/>
      <c r="UFZ71" s="2936"/>
      <c r="UGA71" s="2936"/>
      <c r="UGB71" s="2936"/>
      <c r="UGC71" s="2936"/>
      <c r="UGD71" s="2936"/>
      <c r="UGE71" s="2936"/>
      <c r="UGF71" s="2936"/>
      <c r="UGG71" s="2936"/>
      <c r="UGH71" s="2936"/>
      <c r="UGI71" s="2936"/>
      <c r="UGJ71" s="2936"/>
      <c r="UGK71" s="2936"/>
      <c r="UGL71" s="2936"/>
      <c r="UGM71" s="2936"/>
      <c r="UGN71" s="2936"/>
      <c r="UGO71" s="2936"/>
      <c r="UGP71" s="2936"/>
      <c r="UGQ71" s="2936"/>
      <c r="UGR71" s="2936"/>
      <c r="UGS71" s="2936"/>
      <c r="UGT71" s="2936"/>
      <c r="UGU71" s="2936"/>
      <c r="UGV71" s="2936"/>
      <c r="UGW71" s="2936"/>
      <c r="UGX71" s="2936"/>
      <c r="UGY71" s="2936"/>
      <c r="UGZ71" s="2936"/>
      <c r="UHA71" s="2936"/>
      <c r="UHB71" s="2936"/>
      <c r="UHC71" s="2936"/>
      <c r="UHD71" s="2936"/>
      <c r="UHE71" s="2936"/>
      <c r="UHF71" s="2936"/>
      <c r="UHG71" s="2936"/>
      <c r="UHH71" s="2936"/>
      <c r="UHI71" s="2936"/>
      <c r="UHJ71" s="2936"/>
      <c r="UHK71" s="2936"/>
      <c r="UHL71" s="2936"/>
      <c r="UHM71" s="2936"/>
      <c r="UHN71" s="2936"/>
      <c r="UHO71" s="2936"/>
      <c r="UHP71" s="2936"/>
      <c r="UHQ71" s="2936"/>
      <c r="UHR71" s="2936"/>
      <c r="UHS71" s="2936"/>
      <c r="UHT71" s="2936"/>
      <c r="UHU71" s="2936"/>
      <c r="UHV71" s="2936"/>
      <c r="UHW71" s="2936"/>
      <c r="UHX71" s="2936"/>
      <c r="UHY71" s="2936"/>
      <c r="UHZ71" s="2936"/>
      <c r="UIA71" s="2936"/>
      <c r="UIB71" s="2936"/>
      <c r="UIC71" s="2936"/>
      <c r="UID71" s="2936"/>
      <c r="UIE71" s="2936"/>
      <c r="UIF71" s="2936"/>
      <c r="UIG71" s="2936"/>
      <c r="UIH71" s="2936"/>
      <c r="UII71" s="2936"/>
      <c r="UIJ71" s="2936"/>
      <c r="UIK71" s="2936"/>
      <c r="UIL71" s="2936"/>
      <c r="UIM71" s="2936"/>
      <c r="UIN71" s="2936"/>
      <c r="UIO71" s="2936"/>
      <c r="UIP71" s="2936"/>
      <c r="UIQ71" s="2936"/>
      <c r="UIR71" s="2936"/>
      <c r="UIS71" s="2936"/>
      <c r="UIT71" s="2936"/>
      <c r="UIU71" s="2936"/>
      <c r="UIV71" s="2936"/>
      <c r="UIW71" s="2936"/>
      <c r="UIX71" s="2936"/>
      <c r="UIY71" s="2936"/>
      <c r="UIZ71" s="2936"/>
      <c r="UJA71" s="2936"/>
      <c r="UJB71" s="2936"/>
      <c r="UJC71" s="2936"/>
      <c r="UJD71" s="2936"/>
      <c r="UJE71" s="2936"/>
      <c r="UJF71" s="2936"/>
      <c r="UJG71" s="2936"/>
      <c r="UJH71" s="2936"/>
      <c r="UJI71" s="2936"/>
      <c r="UJJ71" s="2936"/>
      <c r="UJK71" s="2936"/>
      <c r="UJL71" s="2936"/>
      <c r="UJM71" s="2936"/>
      <c r="UJN71" s="2936"/>
      <c r="UJO71" s="2936"/>
      <c r="UJP71" s="2936"/>
      <c r="UJQ71" s="2936"/>
      <c r="UJR71" s="2936"/>
      <c r="UJS71" s="2936"/>
      <c r="UJT71" s="2936"/>
      <c r="UJU71" s="2936"/>
      <c r="UJV71" s="2936"/>
      <c r="UJW71" s="2936"/>
      <c r="UJX71" s="2936"/>
      <c r="UJY71" s="2936"/>
      <c r="UJZ71" s="2936"/>
      <c r="UKA71" s="2936"/>
      <c r="UKB71" s="2936"/>
      <c r="UKC71" s="2936"/>
      <c r="UKD71" s="2936"/>
      <c r="UKE71" s="2936"/>
      <c r="UKF71" s="2936"/>
      <c r="UKG71" s="2936"/>
      <c r="UKH71" s="2936"/>
      <c r="UKI71" s="2936"/>
      <c r="UKJ71" s="2936"/>
      <c r="UKK71" s="2936"/>
      <c r="UKL71" s="2936"/>
      <c r="UKM71" s="2936"/>
      <c r="UKN71" s="2936"/>
      <c r="UKO71" s="2936"/>
      <c r="UKP71" s="2936"/>
      <c r="UKQ71" s="2936"/>
      <c r="UKR71" s="2936"/>
      <c r="UKS71" s="2936"/>
      <c r="UKT71" s="2936"/>
      <c r="UKU71" s="2936"/>
      <c r="UKV71" s="2936"/>
      <c r="UKW71" s="2936"/>
      <c r="UKX71" s="2936"/>
      <c r="UKY71" s="2936"/>
      <c r="UKZ71" s="2936"/>
      <c r="ULA71" s="2936"/>
      <c r="ULB71" s="2936"/>
      <c r="ULC71" s="2936"/>
      <c r="ULD71" s="2936"/>
      <c r="ULE71" s="2936"/>
      <c r="ULF71" s="2936"/>
      <c r="ULG71" s="2936"/>
      <c r="ULH71" s="2936"/>
      <c r="ULI71" s="2936"/>
      <c r="ULJ71" s="2936"/>
      <c r="ULK71" s="2936"/>
      <c r="ULL71" s="2936"/>
      <c r="ULM71" s="2936"/>
      <c r="ULN71" s="2936"/>
      <c r="ULO71" s="2936"/>
      <c r="ULP71" s="2936"/>
      <c r="ULQ71" s="2936"/>
      <c r="ULR71" s="2936"/>
      <c r="ULS71" s="2936"/>
      <c r="ULT71" s="2936"/>
      <c r="ULU71" s="2936"/>
      <c r="ULV71" s="2936"/>
      <c r="ULW71" s="2936"/>
      <c r="ULX71" s="2936"/>
      <c r="ULY71" s="2936"/>
      <c r="ULZ71" s="2936"/>
      <c r="UMA71" s="2936"/>
      <c r="UMB71" s="2936"/>
      <c r="UMC71" s="2936"/>
      <c r="UMD71" s="2936"/>
      <c r="UME71" s="2936"/>
      <c r="UMF71" s="2936"/>
      <c r="UMG71" s="2936"/>
      <c r="UMH71" s="2936"/>
      <c r="UMI71" s="2936"/>
      <c r="UMJ71" s="2936"/>
      <c r="UMK71" s="2936"/>
      <c r="UML71" s="2936"/>
      <c r="UMM71" s="2936"/>
      <c r="UMN71" s="2936"/>
      <c r="UMO71" s="2936"/>
      <c r="UMP71" s="2936"/>
      <c r="UMQ71" s="2936"/>
      <c r="UMR71" s="2936"/>
      <c r="UMS71" s="2936"/>
      <c r="UMT71" s="2936"/>
      <c r="UMU71" s="2936"/>
      <c r="UMV71" s="2936"/>
      <c r="UMW71" s="2936"/>
      <c r="UMX71" s="2936"/>
      <c r="UMY71" s="2936"/>
      <c r="UMZ71" s="2936"/>
      <c r="UNA71" s="2936"/>
      <c r="UNB71" s="2936"/>
      <c r="UNC71" s="2936"/>
      <c r="UND71" s="2936"/>
      <c r="UNE71" s="2936"/>
      <c r="UNF71" s="2936"/>
      <c r="UNG71" s="2936"/>
      <c r="UNH71" s="2936"/>
      <c r="UNI71" s="2936"/>
      <c r="UNJ71" s="2936"/>
      <c r="UNK71" s="2936"/>
      <c r="UNL71" s="2936"/>
      <c r="UNM71" s="2936"/>
      <c r="UNN71" s="2936"/>
      <c r="UNO71" s="2936"/>
      <c r="UNP71" s="2936"/>
      <c r="UNQ71" s="2936"/>
      <c r="UNR71" s="2936"/>
      <c r="UNS71" s="2936"/>
      <c r="UNT71" s="2936"/>
      <c r="UNU71" s="2936"/>
      <c r="UNV71" s="2936"/>
      <c r="UNW71" s="2936"/>
      <c r="UNX71" s="2936"/>
      <c r="UNY71" s="2936"/>
      <c r="UNZ71" s="2936"/>
      <c r="UOA71" s="2936"/>
      <c r="UOB71" s="2936"/>
      <c r="UOC71" s="2936"/>
      <c r="UOD71" s="2936"/>
      <c r="UOE71" s="2936"/>
      <c r="UOF71" s="2936"/>
      <c r="UOG71" s="2936"/>
      <c r="UOH71" s="2936"/>
      <c r="UOI71" s="2936"/>
      <c r="UOJ71" s="2936"/>
      <c r="UOK71" s="2936"/>
      <c r="UOL71" s="2936"/>
      <c r="UOM71" s="2936"/>
      <c r="UON71" s="2936"/>
      <c r="UOO71" s="2936"/>
      <c r="UOP71" s="2936"/>
      <c r="UOQ71" s="2936"/>
      <c r="UOR71" s="2936"/>
      <c r="UOS71" s="2936"/>
      <c r="UOT71" s="2936"/>
      <c r="UOU71" s="2936"/>
      <c r="UOV71" s="2936"/>
      <c r="UOW71" s="2936"/>
      <c r="UOX71" s="2936"/>
      <c r="UOY71" s="2936"/>
      <c r="UOZ71" s="2936"/>
      <c r="UPA71" s="2936"/>
      <c r="UPB71" s="2936"/>
      <c r="UPC71" s="2936"/>
      <c r="UPD71" s="2936"/>
      <c r="UPE71" s="2936"/>
      <c r="UPF71" s="2936"/>
      <c r="UPG71" s="2936"/>
      <c r="UPH71" s="2936"/>
      <c r="UPI71" s="2936"/>
      <c r="UPJ71" s="2936"/>
      <c r="UPK71" s="2936"/>
      <c r="UPL71" s="2936"/>
      <c r="UPM71" s="2936"/>
      <c r="UPN71" s="2936"/>
      <c r="UPO71" s="2936"/>
      <c r="UPP71" s="2936"/>
      <c r="UPQ71" s="2936"/>
      <c r="UPR71" s="2936"/>
      <c r="UPS71" s="2936"/>
      <c r="UPT71" s="2936"/>
      <c r="UPU71" s="2936"/>
      <c r="UPV71" s="2936"/>
      <c r="UPW71" s="2936"/>
      <c r="UPX71" s="2936"/>
      <c r="UPY71" s="2936"/>
      <c r="UPZ71" s="2936"/>
      <c r="UQA71" s="2936"/>
      <c r="UQB71" s="2936"/>
      <c r="UQC71" s="2936"/>
      <c r="UQD71" s="2936"/>
      <c r="UQE71" s="2936"/>
      <c r="UQF71" s="2936"/>
      <c r="UQG71" s="2936"/>
      <c r="UQH71" s="2936"/>
      <c r="UQI71" s="2936"/>
      <c r="UQJ71" s="2936"/>
      <c r="UQK71" s="2936"/>
      <c r="UQL71" s="2936"/>
      <c r="UQM71" s="2936"/>
      <c r="UQN71" s="2936"/>
      <c r="UQO71" s="2936"/>
      <c r="UQP71" s="2936"/>
      <c r="UQQ71" s="2936"/>
      <c r="UQR71" s="2936"/>
      <c r="UQS71" s="2936"/>
      <c r="UQT71" s="2936"/>
      <c r="UQU71" s="2936"/>
      <c r="UQV71" s="2936"/>
      <c r="UQW71" s="2936"/>
      <c r="UQX71" s="2936"/>
      <c r="UQY71" s="2936"/>
      <c r="UQZ71" s="2936"/>
      <c r="URA71" s="2936"/>
      <c r="URB71" s="2936"/>
      <c r="URC71" s="2936"/>
      <c r="URD71" s="2936"/>
      <c r="URE71" s="2936"/>
      <c r="URF71" s="2936"/>
      <c r="URG71" s="2936"/>
      <c r="URH71" s="2936"/>
      <c r="URI71" s="2936"/>
      <c r="URJ71" s="2936"/>
      <c r="URK71" s="2936"/>
      <c r="URL71" s="2936"/>
      <c r="URM71" s="2936"/>
      <c r="URN71" s="2936"/>
      <c r="URO71" s="2936"/>
      <c r="URP71" s="2936"/>
      <c r="URQ71" s="2936"/>
      <c r="URR71" s="2936"/>
      <c r="URS71" s="2936"/>
      <c r="URT71" s="2936"/>
      <c r="URU71" s="2936"/>
      <c r="URV71" s="2936"/>
      <c r="URW71" s="2936"/>
      <c r="URX71" s="2936"/>
      <c r="URY71" s="2936"/>
      <c r="URZ71" s="2936"/>
      <c r="USA71" s="2936"/>
      <c r="USB71" s="2936"/>
      <c r="USC71" s="2936"/>
      <c r="USD71" s="2936"/>
      <c r="USE71" s="2936"/>
      <c r="USF71" s="2936"/>
      <c r="USG71" s="2936"/>
      <c r="USH71" s="2936"/>
      <c r="USI71" s="2936"/>
      <c r="USJ71" s="2936"/>
      <c r="USK71" s="2936"/>
      <c r="USL71" s="2936"/>
      <c r="USM71" s="2936"/>
      <c r="USN71" s="2936"/>
      <c r="USO71" s="2936"/>
      <c r="USP71" s="2936"/>
      <c r="USQ71" s="2936"/>
      <c r="USR71" s="2936"/>
      <c r="USS71" s="2936"/>
      <c r="UST71" s="2936"/>
      <c r="USU71" s="2936"/>
      <c r="USV71" s="2936"/>
      <c r="USW71" s="2936"/>
      <c r="USX71" s="2936"/>
      <c r="USY71" s="2936"/>
      <c r="USZ71" s="2936"/>
      <c r="UTA71" s="2936"/>
      <c r="UTB71" s="2936"/>
      <c r="UTC71" s="2936"/>
      <c r="UTD71" s="2936"/>
      <c r="UTE71" s="2936"/>
      <c r="UTF71" s="2936"/>
      <c r="UTG71" s="2936"/>
      <c r="UTH71" s="2936"/>
      <c r="UTI71" s="2936"/>
      <c r="UTJ71" s="2936"/>
      <c r="UTK71" s="2936"/>
      <c r="UTL71" s="2936"/>
      <c r="UTM71" s="2936"/>
      <c r="UTN71" s="2936"/>
      <c r="UTO71" s="2936"/>
      <c r="UTP71" s="2936"/>
      <c r="UTQ71" s="2936"/>
      <c r="UTR71" s="2936"/>
      <c r="UTS71" s="2936"/>
      <c r="UTT71" s="2936"/>
      <c r="UTU71" s="2936"/>
      <c r="UTV71" s="2936"/>
      <c r="UTW71" s="2936"/>
      <c r="UTX71" s="2936"/>
      <c r="UTY71" s="2936"/>
      <c r="UTZ71" s="2936"/>
      <c r="UUA71" s="2936"/>
      <c r="UUB71" s="2936"/>
      <c r="UUC71" s="2936"/>
      <c r="UUD71" s="2936"/>
      <c r="UUE71" s="2936"/>
      <c r="UUF71" s="2936"/>
      <c r="UUG71" s="2936"/>
      <c r="UUH71" s="2936"/>
      <c r="UUI71" s="2936"/>
      <c r="UUJ71" s="2936"/>
      <c r="UUK71" s="2936"/>
      <c r="UUL71" s="2936"/>
      <c r="UUM71" s="2936"/>
      <c r="UUN71" s="2936"/>
      <c r="UUO71" s="2936"/>
      <c r="UUP71" s="2936"/>
      <c r="UUQ71" s="2936"/>
      <c r="UUR71" s="2936"/>
      <c r="UUS71" s="2936"/>
      <c r="UUT71" s="2936"/>
      <c r="UUU71" s="2936"/>
      <c r="UUV71" s="2936"/>
      <c r="UUW71" s="2936"/>
      <c r="UUX71" s="2936"/>
      <c r="UUY71" s="2936"/>
      <c r="UUZ71" s="2936"/>
      <c r="UVA71" s="2936"/>
      <c r="UVB71" s="2936"/>
      <c r="UVC71" s="2936"/>
      <c r="UVD71" s="2936"/>
      <c r="UVE71" s="2936"/>
      <c r="UVF71" s="2936"/>
      <c r="UVG71" s="2936"/>
      <c r="UVH71" s="2936"/>
      <c r="UVI71" s="2936"/>
      <c r="UVJ71" s="2936"/>
      <c r="UVK71" s="2936"/>
      <c r="UVL71" s="2936"/>
      <c r="UVM71" s="2936"/>
      <c r="UVN71" s="2936"/>
      <c r="UVO71" s="2936"/>
      <c r="UVP71" s="2936"/>
      <c r="UVQ71" s="2936"/>
      <c r="UVR71" s="2936"/>
      <c r="UVS71" s="2936"/>
      <c r="UVT71" s="2936"/>
      <c r="UVU71" s="2936"/>
      <c r="UVV71" s="2936"/>
      <c r="UVW71" s="2936"/>
      <c r="UVX71" s="2936"/>
      <c r="UVY71" s="2936"/>
      <c r="UVZ71" s="2936"/>
      <c r="UWA71" s="2936"/>
      <c r="UWB71" s="2936"/>
      <c r="UWC71" s="2936"/>
      <c r="UWD71" s="2936"/>
      <c r="UWE71" s="2936"/>
      <c r="UWF71" s="2936"/>
      <c r="UWG71" s="2936"/>
      <c r="UWH71" s="2936"/>
      <c r="UWI71" s="2936"/>
      <c r="UWJ71" s="2936"/>
      <c r="UWK71" s="2936"/>
      <c r="UWL71" s="2936"/>
      <c r="UWM71" s="2936"/>
      <c r="UWN71" s="2936"/>
      <c r="UWO71" s="2936"/>
      <c r="UWP71" s="2936"/>
      <c r="UWQ71" s="2936"/>
      <c r="UWR71" s="2936"/>
      <c r="UWS71" s="2936"/>
      <c r="UWT71" s="2936"/>
      <c r="UWU71" s="2936"/>
      <c r="UWV71" s="2936"/>
      <c r="UWW71" s="2936"/>
      <c r="UWX71" s="2936"/>
      <c r="UWY71" s="2936"/>
      <c r="UWZ71" s="2936"/>
      <c r="UXA71" s="2936"/>
      <c r="UXB71" s="2936"/>
      <c r="UXC71" s="2936"/>
      <c r="UXD71" s="2936"/>
      <c r="UXE71" s="2936"/>
      <c r="UXF71" s="2936"/>
      <c r="UXG71" s="2936"/>
      <c r="UXH71" s="2936"/>
      <c r="UXI71" s="2936"/>
      <c r="UXJ71" s="2936"/>
      <c r="UXK71" s="2936"/>
      <c r="UXL71" s="2936"/>
      <c r="UXM71" s="2936"/>
      <c r="UXN71" s="2936"/>
      <c r="UXO71" s="2936"/>
      <c r="UXP71" s="2936"/>
      <c r="UXQ71" s="2936"/>
      <c r="UXR71" s="2936"/>
      <c r="UXS71" s="2936"/>
      <c r="UXT71" s="2936"/>
      <c r="UXU71" s="2936"/>
      <c r="UXV71" s="2936"/>
      <c r="UXW71" s="2936"/>
      <c r="UXX71" s="2936"/>
      <c r="UXY71" s="2936"/>
      <c r="UXZ71" s="2936"/>
      <c r="UYA71" s="2936"/>
      <c r="UYB71" s="2936"/>
      <c r="UYC71" s="2936"/>
      <c r="UYD71" s="2936"/>
      <c r="UYE71" s="2936"/>
      <c r="UYF71" s="2936"/>
      <c r="UYG71" s="2936"/>
      <c r="UYH71" s="2936"/>
      <c r="UYI71" s="2936"/>
      <c r="UYJ71" s="2936"/>
      <c r="UYK71" s="2936"/>
      <c r="UYL71" s="2936"/>
      <c r="UYM71" s="2936"/>
      <c r="UYN71" s="2936"/>
      <c r="UYO71" s="2936"/>
      <c r="UYP71" s="2936"/>
      <c r="UYQ71" s="2936"/>
      <c r="UYR71" s="2936"/>
      <c r="UYS71" s="2936"/>
      <c r="UYT71" s="2936"/>
      <c r="UYU71" s="2936"/>
      <c r="UYV71" s="2936"/>
      <c r="UYW71" s="2936"/>
      <c r="UYX71" s="2936"/>
      <c r="UYY71" s="2936"/>
      <c r="UYZ71" s="2936"/>
      <c r="UZA71" s="2936"/>
      <c r="UZB71" s="2936"/>
      <c r="UZC71" s="2936"/>
      <c r="UZD71" s="2936"/>
      <c r="UZE71" s="2936"/>
      <c r="UZF71" s="2936"/>
      <c r="UZG71" s="2936"/>
      <c r="UZH71" s="2936"/>
      <c r="UZI71" s="2936"/>
      <c r="UZJ71" s="2936"/>
      <c r="UZK71" s="2936"/>
      <c r="UZL71" s="2936"/>
      <c r="UZM71" s="2936"/>
      <c r="UZN71" s="2936"/>
      <c r="UZO71" s="2936"/>
      <c r="UZP71" s="2936"/>
      <c r="UZQ71" s="2936"/>
      <c r="UZR71" s="2936"/>
      <c r="UZS71" s="2936"/>
      <c r="UZT71" s="2936"/>
      <c r="UZU71" s="2936"/>
      <c r="UZV71" s="2936"/>
      <c r="UZW71" s="2936"/>
      <c r="UZX71" s="2936"/>
      <c r="UZY71" s="2936"/>
      <c r="UZZ71" s="2936"/>
      <c r="VAA71" s="2936"/>
      <c r="VAB71" s="2936"/>
      <c r="VAC71" s="2936"/>
      <c r="VAD71" s="2936"/>
      <c r="VAE71" s="2936"/>
      <c r="VAF71" s="2936"/>
      <c r="VAG71" s="2936"/>
      <c r="VAH71" s="2936"/>
      <c r="VAI71" s="2936"/>
      <c r="VAJ71" s="2936"/>
      <c r="VAK71" s="2936"/>
      <c r="VAL71" s="2936"/>
      <c r="VAM71" s="2936"/>
      <c r="VAN71" s="2936"/>
      <c r="VAO71" s="2936"/>
      <c r="VAP71" s="2936"/>
      <c r="VAQ71" s="2936"/>
      <c r="VAR71" s="2936"/>
      <c r="VAS71" s="2936"/>
      <c r="VAT71" s="2936"/>
      <c r="VAU71" s="2936"/>
      <c r="VAV71" s="2936"/>
      <c r="VAW71" s="2936"/>
      <c r="VAX71" s="2936"/>
      <c r="VAY71" s="2936"/>
      <c r="VAZ71" s="2936"/>
      <c r="VBA71" s="2936"/>
      <c r="VBB71" s="2936"/>
      <c r="VBC71" s="2936"/>
      <c r="VBD71" s="2936"/>
      <c r="VBE71" s="2936"/>
      <c r="VBF71" s="2936"/>
      <c r="VBG71" s="2936"/>
      <c r="VBH71" s="2936"/>
      <c r="VBI71" s="2936"/>
      <c r="VBJ71" s="2936"/>
      <c r="VBK71" s="2936"/>
      <c r="VBL71" s="2936"/>
      <c r="VBM71" s="2936"/>
      <c r="VBN71" s="2936"/>
      <c r="VBO71" s="2936"/>
      <c r="VBP71" s="2936"/>
      <c r="VBQ71" s="2936"/>
      <c r="VBR71" s="2936"/>
      <c r="VBS71" s="2936"/>
      <c r="VBT71" s="2936"/>
      <c r="VBU71" s="2936"/>
      <c r="VBV71" s="2936"/>
      <c r="VBW71" s="2936"/>
      <c r="VBX71" s="2936"/>
      <c r="VBY71" s="2936"/>
      <c r="VBZ71" s="2936"/>
      <c r="VCA71" s="2936"/>
      <c r="VCB71" s="2936"/>
      <c r="VCC71" s="2936"/>
      <c r="VCD71" s="2936"/>
      <c r="VCE71" s="2936"/>
      <c r="VCF71" s="2936"/>
      <c r="VCG71" s="2936"/>
      <c r="VCH71" s="2936"/>
      <c r="VCI71" s="2936"/>
      <c r="VCJ71" s="2936"/>
      <c r="VCK71" s="2936"/>
      <c r="VCL71" s="2936"/>
      <c r="VCM71" s="2936"/>
      <c r="VCN71" s="2936"/>
      <c r="VCO71" s="2936"/>
      <c r="VCP71" s="2936"/>
      <c r="VCQ71" s="2936"/>
      <c r="VCR71" s="2936"/>
      <c r="VCS71" s="2936"/>
      <c r="VCT71" s="2936"/>
      <c r="VCU71" s="2936"/>
      <c r="VCV71" s="2936"/>
      <c r="VCW71" s="2936"/>
      <c r="VCX71" s="2936"/>
      <c r="VCY71" s="2936"/>
      <c r="VCZ71" s="2936"/>
      <c r="VDA71" s="2936"/>
      <c r="VDB71" s="2936"/>
      <c r="VDC71" s="2936"/>
      <c r="VDD71" s="2936"/>
      <c r="VDE71" s="2936"/>
      <c r="VDF71" s="2936"/>
      <c r="VDG71" s="2936"/>
      <c r="VDH71" s="2936"/>
      <c r="VDI71" s="2936"/>
      <c r="VDJ71" s="2936"/>
      <c r="VDK71" s="2936"/>
      <c r="VDL71" s="2936"/>
      <c r="VDM71" s="2936"/>
      <c r="VDN71" s="2936"/>
      <c r="VDO71" s="2936"/>
      <c r="VDP71" s="2936"/>
      <c r="VDQ71" s="2936"/>
      <c r="VDR71" s="2936"/>
      <c r="VDS71" s="2936"/>
      <c r="VDT71" s="2936"/>
      <c r="VDU71" s="2936"/>
      <c r="VDV71" s="2936"/>
      <c r="VDW71" s="2936"/>
      <c r="VDX71" s="2936"/>
      <c r="VDY71" s="2936"/>
      <c r="VDZ71" s="2936"/>
      <c r="VEA71" s="2936"/>
      <c r="VEB71" s="2936"/>
      <c r="VEC71" s="2936"/>
      <c r="VED71" s="2936"/>
      <c r="VEE71" s="2936"/>
      <c r="VEF71" s="2936"/>
      <c r="VEG71" s="2936"/>
      <c r="VEH71" s="2936"/>
      <c r="VEI71" s="2936"/>
      <c r="VEJ71" s="2936"/>
      <c r="VEK71" s="2936"/>
      <c r="VEL71" s="2936"/>
      <c r="VEM71" s="2936"/>
      <c r="VEN71" s="2936"/>
      <c r="VEO71" s="2936"/>
      <c r="VEP71" s="2936"/>
      <c r="VEQ71" s="2936"/>
      <c r="VER71" s="2936"/>
      <c r="VES71" s="2936"/>
      <c r="VET71" s="2936"/>
      <c r="VEU71" s="2936"/>
      <c r="VEV71" s="2936"/>
      <c r="VEW71" s="2936"/>
      <c r="VEX71" s="2936"/>
      <c r="VEY71" s="2936"/>
      <c r="VEZ71" s="2936"/>
      <c r="VFA71" s="2936"/>
      <c r="VFB71" s="2936"/>
      <c r="VFC71" s="2936"/>
      <c r="VFD71" s="2936"/>
      <c r="VFE71" s="2936"/>
      <c r="VFF71" s="2936"/>
      <c r="VFG71" s="2936"/>
      <c r="VFH71" s="2936"/>
      <c r="VFI71" s="2936"/>
      <c r="VFJ71" s="2936"/>
      <c r="VFK71" s="2936"/>
      <c r="VFL71" s="2936"/>
      <c r="VFM71" s="2936"/>
      <c r="VFN71" s="2936"/>
      <c r="VFO71" s="2936"/>
      <c r="VFP71" s="2936"/>
      <c r="VFQ71" s="2936"/>
      <c r="VFR71" s="2936"/>
      <c r="VFS71" s="2936"/>
      <c r="VFT71" s="2936"/>
      <c r="VFU71" s="2936"/>
      <c r="VFV71" s="2936"/>
      <c r="VFW71" s="2936"/>
      <c r="VFX71" s="2936"/>
      <c r="VFY71" s="2936"/>
      <c r="VFZ71" s="2936"/>
      <c r="VGA71" s="2936"/>
      <c r="VGB71" s="2936"/>
      <c r="VGC71" s="2936"/>
      <c r="VGD71" s="2936"/>
      <c r="VGE71" s="2936"/>
      <c r="VGF71" s="2936"/>
      <c r="VGG71" s="2936"/>
      <c r="VGH71" s="2936"/>
      <c r="VGI71" s="2936"/>
      <c r="VGJ71" s="2936"/>
      <c r="VGK71" s="2936"/>
      <c r="VGL71" s="2936"/>
      <c r="VGM71" s="2936"/>
      <c r="VGN71" s="2936"/>
      <c r="VGO71" s="2936"/>
      <c r="VGP71" s="2936"/>
      <c r="VGQ71" s="2936"/>
      <c r="VGR71" s="2936"/>
      <c r="VGS71" s="2936"/>
      <c r="VGT71" s="2936"/>
      <c r="VGU71" s="2936"/>
      <c r="VGV71" s="2936"/>
      <c r="VGW71" s="2936"/>
      <c r="VGX71" s="2936"/>
      <c r="VGY71" s="2936"/>
      <c r="VGZ71" s="2936"/>
      <c r="VHA71" s="2936"/>
      <c r="VHB71" s="2936"/>
      <c r="VHC71" s="2936"/>
      <c r="VHD71" s="2936"/>
      <c r="VHE71" s="2936"/>
      <c r="VHF71" s="2936"/>
      <c r="VHG71" s="2936"/>
      <c r="VHH71" s="2936"/>
      <c r="VHI71" s="2936"/>
      <c r="VHJ71" s="2936"/>
      <c r="VHK71" s="2936"/>
      <c r="VHL71" s="2936"/>
      <c r="VHM71" s="2936"/>
      <c r="VHN71" s="2936"/>
      <c r="VHO71" s="2936"/>
      <c r="VHP71" s="2936"/>
      <c r="VHQ71" s="2936"/>
      <c r="VHR71" s="2936"/>
      <c r="VHS71" s="2936"/>
      <c r="VHT71" s="2936"/>
      <c r="VHU71" s="2936"/>
      <c r="VHV71" s="2936"/>
      <c r="VHW71" s="2936"/>
      <c r="VHX71" s="2936"/>
      <c r="VHY71" s="2936"/>
      <c r="VHZ71" s="2936"/>
      <c r="VIA71" s="2936"/>
      <c r="VIB71" s="2936"/>
      <c r="VIC71" s="2936"/>
      <c r="VID71" s="2936"/>
      <c r="VIE71" s="2936"/>
      <c r="VIF71" s="2936"/>
      <c r="VIG71" s="2936"/>
      <c r="VIH71" s="2936"/>
      <c r="VII71" s="2936"/>
      <c r="VIJ71" s="2936"/>
      <c r="VIK71" s="2936"/>
      <c r="VIL71" s="2936"/>
      <c r="VIM71" s="2936"/>
      <c r="VIN71" s="2936"/>
      <c r="VIO71" s="2936"/>
      <c r="VIP71" s="2936"/>
      <c r="VIQ71" s="2936"/>
      <c r="VIR71" s="2936"/>
      <c r="VIS71" s="2936"/>
      <c r="VIT71" s="2936"/>
      <c r="VIU71" s="2936"/>
      <c r="VIV71" s="2936"/>
      <c r="VIW71" s="2936"/>
      <c r="VIX71" s="2936"/>
      <c r="VIY71" s="2936"/>
      <c r="VIZ71" s="2936"/>
      <c r="VJA71" s="2936"/>
      <c r="VJB71" s="2936"/>
      <c r="VJC71" s="2936"/>
      <c r="VJD71" s="2936"/>
      <c r="VJE71" s="2936"/>
      <c r="VJF71" s="2936"/>
      <c r="VJG71" s="2936"/>
      <c r="VJH71" s="2936"/>
      <c r="VJI71" s="2936"/>
      <c r="VJJ71" s="2936"/>
      <c r="VJK71" s="2936"/>
      <c r="VJL71" s="2936"/>
      <c r="VJM71" s="2936"/>
      <c r="VJN71" s="2936"/>
      <c r="VJO71" s="2936"/>
      <c r="VJP71" s="2936"/>
      <c r="VJQ71" s="2936"/>
      <c r="VJR71" s="2936"/>
      <c r="VJS71" s="2936"/>
      <c r="VJT71" s="2936"/>
      <c r="VJU71" s="2936"/>
      <c r="VJV71" s="2936"/>
      <c r="VJW71" s="2936"/>
      <c r="VJX71" s="2936"/>
      <c r="VJY71" s="2936"/>
      <c r="VJZ71" s="2936"/>
      <c r="VKA71" s="2936"/>
      <c r="VKB71" s="2936"/>
      <c r="VKC71" s="2936"/>
      <c r="VKD71" s="2936"/>
      <c r="VKE71" s="2936"/>
      <c r="VKF71" s="2936"/>
      <c r="VKG71" s="2936"/>
      <c r="VKH71" s="2936"/>
      <c r="VKI71" s="2936"/>
      <c r="VKJ71" s="2936"/>
      <c r="VKK71" s="2936"/>
      <c r="VKL71" s="2936"/>
      <c r="VKM71" s="2936"/>
      <c r="VKN71" s="2936"/>
      <c r="VKO71" s="2936"/>
      <c r="VKP71" s="2936"/>
      <c r="VKQ71" s="2936"/>
      <c r="VKR71" s="2936"/>
      <c r="VKS71" s="2936"/>
      <c r="VKT71" s="2936"/>
      <c r="VKU71" s="2936"/>
      <c r="VKV71" s="2936"/>
      <c r="VKW71" s="2936"/>
      <c r="VKX71" s="2936"/>
      <c r="VKY71" s="2936"/>
      <c r="VKZ71" s="2936"/>
      <c r="VLA71" s="2936"/>
      <c r="VLB71" s="2936"/>
      <c r="VLC71" s="2936"/>
      <c r="VLD71" s="2936"/>
      <c r="VLE71" s="2936"/>
      <c r="VLF71" s="2936"/>
      <c r="VLG71" s="2936"/>
      <c r="VLH71" s="2936"/>
      <c r="VLI71" s="2936"/>
      <c r="VLJ71" s="2936"/>
      <c r="VLK71" s="2936"/>
      <c r="VLL71" s="2936"/>
      <c r="VLM71" s="2936"/>
      <c r="VLN71" s="2936"/>
      <c r="VLO71" s="2936"/>
      <c r="VLP71" s="2936"/>
      <c r="VLQ71" s="2936"/>
      <c r="VLR71" s="2936"/>
      <c r="VLS71" s="2936"/>
      <c r="VLT71" s="2936"/>
      <c r="VLU71" s="2936"/>
      <c r="VLV71" s="2936"/>
      <c r="VLW71" s="2936"/>
      <c r="VLX71" s="2936"/>
      <c r="VLY71" s="2936"/>
      <c r="VLZ71" s="2936"/>
      <c r="VMA71" s="2936"/>
      <c r="VMB71" s="2936"/>
      <c r="VMC71" s="2936"/>
      <c r="VMD71" s="2936"/>
      <c r="VME71" s="2936"/>
      <c r="VMF71" s="2936"/>
      <c r="VMG71" s="2936"/>
      <c r="VMH71" s="2936"/>
      <c r="VMI71" s="2936"/>
      <c r="VMJ71" s="2936"/>
      <c r="VMK71" s="2936"/>
      <c r="VML71" s="2936"/>
      <c r="VMM71" s="2936"/>
      <c r="VMN71" s="2936"/>
      <c r="VMO71" s="2936"/>
      <c r="VMP71" s="2936"/>
      <c r="VMQ71" s="2936"/>
      <c r="VMR71" s="2936"/>
      <c r="VMS71" s="2936"/>
      <c r="VMT71" s="2936"/>
      <c r="VMU71" s="2936"/>
      <c r="VMV71" s="2936"/>
      <c r="VMW71" s="2936"/>
      <c r="VMX71" s="2936"/>
      <c r="VMY71" s="2936"/>
      <c r="VMZ71" s="2936"/>
      <c r="VNA71" s="2936"/>
      <c r="VNB71" s="2936"/>
      <c r="VNC71" s="2936"/>
      <c r="VND71" s="2936"/>
      <c r="VNE71" s="2936"/>
      <c r="VNF71" s="2936"/>
      <c r="VNG71" s="2936"/>
      <c r="VNH71" s="2936"/>
      <c r="VNI71" s="2936"/>
      <c r="VNJ71" s="2936"/>
      <c r="VNK71" s="2936"/>
      <c r="VNL71" s="2936"/>
      <c r="VNM71" s="2936"/>
      <c r="VNN71" s="2936"/>
      <c r="VNO71" s="2936"/>
      <c r="VNP71" s="2936"/>
      <c r="VNQ71" s="2936"/>
      <c r="VNR71" s="2936"/>
      <c r="VNS71" s="2936"/>
      <c r="VNT71" s="2936"/>
      <c r="VNU71" s="2936"/>
      <c r="VNV71" s="2936"/>
      <c r="VNW71" s="2936"/>
      <c r="VNX71" s="2936"/>
      <c r="VNY71" s="2936"/>
      <c r="VNZ71" s="2936"/>
      <c r="VOA71" s="2936"/>
      <c r="VOB71" s="2936"/>
      <c r="VOC71" s="2936"/>
      <c r="VOD71" s="2936"/>
      <c r="VOE71" s="2936"/>
      <c r="VOF71" s="2936"/>
      <c r="VOG71" s="2936"/>
      <c r="VOH71" s="2936"/>
      <c r="VOI71" s="2936"/>
      <c r="VOJ71" s="2936"/>
      <c r="VOK71" s="2936"/>
      <c r="VOL71" s="2936"/>
      <c r="VOM71" s="2936"/>
      <c r="VON71" s="2936"/>
      <c r="VOO71" s="2936"/>
      <c r="VOP71" s="2936"/>
      <c r="VOQ71" s="2936"/>
      <c r="VOR71" s="2936"/>
      <c r="VOS71" s="2936"/>
      <c r="VOT71" s="2936"/>
      <c r="VOU71" s="2936"/>
      <c r="VOV71" s="2936"/>
      <c r="VOW71" s="2936"/>
      <c r="VOX71" s="2936"/>
      <c r="VOY71" s="2936"/>
      <c r="VOZ71" s="2936"/>
      <c r="VPA71" s="2936"/>
      <c r="VPB71" s="2936"/>
      <c r="VPC71" s="2936"/>
      <c r="VPD71" s="2936"/>
      <c r="VPE71" s="2936"/>
      <c r="VPF71" s="2936"/>
      <c r="VPG71" s="2936"/>
      <c r="VPH71" s="2936"/>
      <c r="VPI71" s="2936"/>
      <c r="VPJ71" s="2936"/>
      <c r="VPK71" s="2936"/>
      <c r="VPL71" s="2936"/>
      <c r="VPM71" s="2936"/>
      <c r="VPN71" s="2936"/>
      <c r="VPO71" s="2936"/>
      <c r="VPP71" s="2936"/>
      <c r="VPQ71" s="2936"/>
      <c r="VPR71" s="2936"/>
      <c r="VPS71" s="2936"/>
      <c r="VPT71" s="2936"/>
      <c r="VPU71" s="2936"/>
      <c r="VPV71" s="2936"/>
      <c r="VPW71" s="2936"/>
      <c r="VPX71" s="2936"/>
      <c r="VPY71" s="2936"/>
      <c r="VPZ71" s="2936"/>
      <c r="VQA71" s="2936"/>
      <c r="VQB71" s="2936"/>
      <c r="VQC71" s="2936"/>
      <c r="VQD71" s="2936"/>
      <c r="VQE71" s="2936"/>
      <c r="VQF71" s="2936"/>
      <c r="VQG71" s="2936"/>
      <c r="VQH71" s="2936"/>
      <c r="VQI71" s="2936"/>
      <c r="VQJ71" s="2936"/>
      <c r="VQK71" s="2936"/>
      <c r="VQL71" s="2936"/>
      <c r="VQM71" s="2936"/>
      <c r="VQN71" s="2936"/>
      <c r="VQO71" s="2936"/>
      <c r="VQP71" s="2936"/>
      <c r="VQQ71" s="2936"/>
      <c r="VQR71" s="2936"/>
      <c r="VQS71" s="2936"/>
      <c r="VQT71" s="2936"/>
      <c r="VQU71" s="2936"/>
      <c r="VQV71" s="2936"/>
      <c r="VQW71" s="2936"/>
      <c r="VQX71" s="2936"/>
      <c r="VQY71" s="2936"/>
      <c r="VQZ71" s="2936"/>
      <c r="VRA71" s="2936"/>
      <c r="VRB71" s="2936"/>
      <c r="VRC71" s="2936"/>
      <c r="VRD71" s="2936"/>
      <c r="VRE71" s="2936"/>
      <c r="VRF71" s="2936"/>
      <c r="VRG71" s="2936"/>
      <c r="VRH71" s="2936"/>
      <c r="VRI71" s="2936"/>
      <c r="VRJ71" s="2936"/>
      <c r="VRK71" s="2936"/>
      <c r="VRL71" s="2936"/>
      <c r="VRM71" s="2936"/>
      <c r="VRN71" s="2936"/>
      <c r="VRO71" s="2936"/>
      <c r="VRP71" s="2936"/>
      <c r="VRQ71" s="2936"/>
      <c r="VRR71" s="2936"/>
      <c r="VRS71" s="2936"/>
      <c r="VRT71" s="2936"/>
      <c r="VRU71" s="2936"/>
      <c r="VRV71" s="2936"/>
      <c r="VRW71" s="2936"/>
      <c r="VRX71" s="2936"/>
      <c r="VRY71" s="2936"/>
      <c r="VRZ71" s="2936"/>
      <c r="VSA71" s="2936"/>
      <c r="VSB71" s="2936"/>
      <c r="VSC71" s="2936"/>
      <c r="VSD71" s="2936"/>
      <c r="VSE71" s="2936"/>
      <c r="VSF71" s="2936"/>
      <c r="VSG71" s="2936"/>
      <c r="VSH71" s="2936"/>
      <c r="VSI71" s="2936"/>
      <c r="VSJ71" s="2936"/>
      <c r="VSK71" s="2936"/>
      <c r="VSL71" s="2936"/>
      <c r="VSM71" s="2936"/>
      <c r="VSN71" s="2936"/>
      <c r="VSO71" s="2936"/>
      <c r="VSP71" s="2936"/>
      <c r="VSQ71" s="2936"/>
      <c r="VSR71" s="2936"/>
      <c r="VSS71" s="2936"/>
      <c r="VST71" s="2936"/>
      <c r="VSU71" s="2936"/>
      <c r="VSV71" s="2936"/>
      <c r="VSW71" s="2936"/>
      <c r="VSX71" s="2936"/>
      <c r="VSY71" s="2936"/>
      <c r="VSZ71" s="2936"/>
      <c r="VTA71" s="2936"/>
      <c r="VTB71" s="2936"/>
      <c r="VTC71" s="2936"/>
      <c r="VTD71" s="2936"/>
      <c r="VTE71" s="2936"/>
      <c r="VTF71" s="2936"/>
      <c r="VTG71" s="2936"/>
      <c r="VTH71" s="2936"/>
      <c r="VTI71" s="2936"/>
      <c r="VTJ71" s="2936"/>
      <c r="VTK71" s="2936"/>
      <c r="VTL71" s="2936"/>
      <c r="VTM71" s="2936"/>
      <c r="VTN71" s="2936"/>
      <c r="VTO71" s="2936"/>
      <c r="VTP71" s="2936"/>
      <c r="VTQ71" s="2936"/>
      <c r="VTR71" s="2936"/>
      <c r="VTS71" s="2936"/>
      <c r="VTT71" s="2936"/>
      <c r="VTU71" s="2936"/>
      <c r="VTV71" s="2936"/>
      <c r="VTW71" s="2936"/>
      <c r="VTX71" s="2936"/>
      <c r="VTY71" s="2936"/>
      <c r="VTZ71" s="2936"/>
      <c r="VUA71" s="2936"/>
      <c r="VUB71" s="2936"/>
      <c r="VUC71" s="2936"/>
      <c r="VUD71" s="2936"/>
      <c r="VUE71" s="2936"/>
      <c r="VUF71" s="2936"/>
      <c r="VUG71" s="2936"/>
      <c r="VUH71" s="2936"/>
      <c r="VUI71" s="2936"/>
      <c r="VUJ71" s="2936"/>
      <c r="VUK71" s="2936"/>
      <c r="VUL71" s="2936"/>
      <c r="VUM71" s="2936"/>
      <c r="VUN71" s="2936"/>
      <c r="VUO71" s="2936"/>
      <c r="VUP71" s="2936"/>
      <c r="VUQ71" s="2936"/>
      <c r="VUR71" s="2936"/>
      <c r="VUS71" s="2936"/>
      <c r="VUT71" s="2936"/>
      <c r="VUU71" s="2936"/>
      <c r="VUV71" s="2936"/>
      <c r="VUW71" s="2936"/>
      <c r="VUX71" s="2936"/>
      <c r="VUY71" s="2936"/>
      <c r="VUZ71" s="2936"/>
      <c r="VVA71" s="2936"/>
      <c r="VVB71" s="2936"/>
      <c r="VVC71" s="2936"/>
      <c r="VVD71" s="2936"/>
      <c r="VVE71" s="2936"/>
      <c r="VVF71" s="2936"/>
      <c r="VVG71" s="2936"/>
      <c r="VVH71" s="2936"/>
      <c r="VVI71" s="2936"/>
      <c r="VVJ71" s="2936"/>
      <c r="VVK71" s="2936"/>
      <c r="VVL71" s="2936"/>
      <c r="VVM71" s="2936"/>
      <c r="VVN71" s="2936"/>
      <c r="VVO71" s="2936"/>
      <c r="VVP71" s="2936"/>
      <c r="VVQ71" s="2936"/>
      <c r="VVR71" s="2936"/>
      <c r="VVS71" s="2936"/>
      <c r="VVT71" s="2936"/>
      <c r="VVU71" s="2936"/>
      <c r="VVV71" s="2936"/>
      <c r="VVW71" s="2936"/>
      <c r="VVX71" s="2936"/>
      <c r="VVY71" s="2936"/>
      <c r="VVZ71" s="2936"/>
      <c r="VWA71" s="2936"/>
      <c r="VWB71" s="2936"/>
      <c r="VWC71" s="2936"/>
      <c r="VWD71" s="2936"/>
      <c r="VWE71" s="2936"/>
      <c r="VWF71" s="2936"/>
      <c r="VWG71" s="2936"/>
      <c r="VWH71" s="2936"/>
      <c r="VWI71" s="2936"/>
      <c r="VWJ71" s="2936"/>
      <c r="VWK71" s="2936"/>
      <c r="VWL71" s="2936"/>
      <c r="VWM71" s="2936"/>
      <c r="VWN71" s="2936"/>
      <c r="VWO71" s="2936"/>
      <c r="VWP71" s="2936"/>
      <c r="VWQ71" s="2936"/>
      <c r="VWR71" s="2936"/>
      <c r="VWS71" s="2936"/>
      <c r="VWT71" s="2936"/>
      <c r="VWU71" s="2936"/>
      <c r="VWV71" s="2936"/>
      <c r="VWW71" s="2936"/>
      <c r="VWX71" s="2936"/>
      <c r="VWY71" s="2936"/>
      <c r="VWZ71" s="2936"/>
      <c r="VXA71" s="2936"/>
      <c r="VXB71" s="2936"/>
      <c r="VXC71" s="2936"/>
      <c r="VXD71" s="2936"/>
      <c r="VXE71" s="2936"/>
      <c r="VXF71" s="2936"/>
      <c r="VXG71" s="2936"/>
      <c r="VXH71" s="2936"/>
      <c r="VXI71" s="2936"/>
      <c r="VXJ71" s="2936"/>
      <c r="VXK71" s="2936"/>
      <c r="VXL71" s="2936"/>
      <c r="VXM71" s="2936"/>
      <c r="VXN71" s="2936"/>
      <c r="VXO71" s="2936"/>
      <c r="VXP71" s="2936"/>
      <c r="VXQ71" s="2936"/>
      <c r="VXR71" s="2936"/>
      <c r="VXS71" s="2936"/>
      <c r="VXT71" s="2936"/>
      <c r="VXU71" s="2936"/>
      <c r="VXV71" s="2936"/>
      <c r="VXW71" s="2936"/>
      <c r="VXX71" s="2936"/>
      <c r="VXY71" s="2936"/>
      <c r="VXZ71" s="2936"/>
      <c r="VYA71" s="2936"/>
      <c r="VYB71" s="2936"/>
      <c r="VYC71" s="2936"/>
      <c r="VYD71" s="2936"/>
      <c r="VYE71" s="2936"/>
      <c r="VYF71" s="2936"/>
      <c r="VYG71" s="2936"/>
      <c r="VYH71" s="2936"/>
      <c r="VYI71" s="2936"/>
      <c r="VYJ71" s="2936"/>
      <c r="VYK71" s="2936"/>
      <c r="VYL71" s="2936"/>
      <c r="VYM71" s="2936"/>
      <c r="VYN71" s="2936"/>
      <c r="VYO71" s="2936"/>
      <c r="VYP71" s="2936"/>
      <c r="VYQ71" s="2936"/>
      <c r="VYR71" s="2936"/>
      <c r="VYS71" s="2936"/>
      <c r="VYT71" s="2936"/>
      <c r="VYU71" s="2936"/>
      <c r="VYV71" s="2936"/>
      <c r="VYW71" s="2936"/>
      <c r="VYX71" s="2936"/>
      <c r="VYY71" s="2936"/>
      <c r="VYZ71" s="2936"/>
      <c r="VZA71" s="2936"/>
      <c r="VZB71" s="2936"/>
      <c r="VZC71" s="2936"/>
      <c r="VZD71" s="2936"/>
      <c r="VZE71" s="2936"/>
      <c r="VZF71" s="2936"/>
      <c r="VZG71" s="2936"/>
      <c r="VZH71" s="2936"/>
      <c r="VZI71" s="2936"/>
      <c r="VZJ71" s="2936"/>
      <c r="VZK71" s="2936"/>
      <c r="VZL71" s="2936"/>
      <c r="VZM71" s="2936"/>
      <c r="VZN71" s="2936"/>
      <c r="VZO71" s="2936"/>
      <c r="VZP71" s="2936"/>
      <c r="VZQ71" s="2936"/>
      <c r="VZR71" s="2936"/>
      <c r="VZS71" s="2936"/>
      <c r="VZT71" s="2936"/>
      <c r="VZU71" s="2936"/>
      <c r="VZV71" s="2936"/>
      <c r="VZW71" s="2936"/>
      <c r="VZX71" s="2936"/>
      <c r="VZY71" s="2936"/>
      <c r="VZZ71" s="2936"/>
      <c r="WAA71" s="2936"/>
      <c r="WAB71" s="2936"/>
      <c r="WAC71" s="2936"/>
      <c r="WAD71" s="2936"/>
      <c r="WAE71" s="2936"/>
      <c r="WAF71" s="2936"/>
      <c r="WAG71" s="2936"/>
      <c r="WAH71" s="2936"/>
      <c r="WAI71" s="2936"/>
      <c r="WAJ71" s="2936"/>
      <c r="WAK71" s="2936"/>
      <c r="WAL71" s="2936"/>
      <c r="WAM71" s="2936"/>
      <c r="WAN71" s="2936"/>
      <c r="WAO71" s="2936"/>
      <c r="WAP71" s="2936"/>
      <c r="WAQ71" s="2936"/>
      <c r="WAR71" s="2936"/>
      <c r="WAS71" s="2936"/>
      <c r="WAT71" s="2936"/>
      <c r="WAU71" s="2936"/>
      <c r="WAV71" s="2936"/>
      <c r="WAW71" s="2936"/>
      <c r="WAX71" s="2936"/>
      <c r="WAY71" s="2936"/>
      <c r="WAZ71" s="2936"/>
      <c r="WBA71" s="2936"/>
      <c r="WBB71" s="2936"/>
      <c r="WBC71" s="2936"/>
      <c r="WBD71" s="2936"/>
      <c r="WBE71" s="2936"/>
      <c r="WBF71" s="2936"/>
      <c r="WBG71" s="2936"/>
      <c r="WBH71" s="2936"/>
      <c r="WBI71" s="2936"/>
      <c r="WBJ71" s="2936"/>
      <c r="WBK71" s="2936"/>
      <c r="WBL71" s="2936"/>
      <c r="WBM71" s="2936"/>
      <c r="WBN71" s="2936"/>
      <c r="WBO71" s="2936"/>
      <c r="WBP71" s="2936"/>
      <c r="WBQ71" s="2936"/>
      <c r="WBR71" s="2936"/>
      <c r="WBS71" s="2936"/>
      <c r="WBT71" s="2936"/>
      <c r="WBU71" s="2936"/>
      <c r="WBV71" s="2936"/>
      <c r="WBW71" s="2936"/>
      <c r="WBX71" s="2936"/>
      <c r="WBY71" s="2936"/>
      <c r="WBZ71" s="2936"/>
      <c r="WCA71" s="2936"/>
      <c r="WCB71" s="2936"/>
      <c r="WCC71" s="2936"/>
      <c r="WCD71" s="2936"/>
      <c r="WCE71" s="2936"/>
      <c r="WCF71" s="2936"/>
      <c r="WCG71" s="2936"/>
      <c r="WCH71" s="2936"/>
      <c r="WCI71" s="2936"/>
      <c r="WCJ71" s="2936"/>
      <c r="WCK71" s="2936"/>
      <c r="WCL71" s="2936"/>
      <c r="WCM71" s="2936"/>
      <c r="WCN71" s="2936"/>
      <c r="WCO71" s="2936"/>
      <c r="WCP71" s="2936"/>
      <c r="WCQ71" s="2936"/>
      <c r="WCR71" s="2936"/>
      <c r="WCS71" s="2936"/>
      <c r="WCT71" s="2936"/>
      <c r="WCU71" s="2936"/>
      <c r="WCV71" s="2936"/>
      <c r="WCW71" s="2936"/>
      <c r="WCX71" s="2936"/>
      <c r="WCY71" s="2936"/>
      <c r="WCZ71" s="2936"/>
      <c r="WDA71" s="2936"/>
      <c r="WDB71" s="2936"/>
      <c r="WDC71" s="2936"/>
      <c r="WDD71" s="2936"/>
      <c r="WDE71" s="2936"/>
      <c r="WDF71" s="2936"/>
      <c r="WDG71" s="2936"/>
      <c r="WDH71" s="2936"/>
      <c r="WDI71" s="2936"/>
      <c r="WDJ71" s="2936"/>
      <c r="WDK71" s="2936"/>
      <c r="WDL71" s="2936"/>
      <c r="WDM71" s="2936"/>
      <c r="WDN71" s="2936"/>
      <c r="WDO71" s="2936"/>
      <c r="WDP71" s="2936"/>
      <c r="WDQ71" s="2936"/>
      <c r="WDR71" s="2936"/>
      <c r="WDS71" s="2936"/>
      <c r="WDT71" s="2936"/>
      <c r="WDU71" s="2936"/>
      <c r="WDV71" s="2936"/>
      <c r="WDW71" s="2936"/>
      <c r="WDX71" s="2936"/>
      <c r="WDY71" s="2936"/>
      <c r="WDZ71" s="2936"/>
      <c r="WEA71" s="2936"/>
      <c r="WEB71" s="2936"/>
      <c r="WEC71" s="2936"/>
      <c r="WED71" s="2936"/>
      <c r="WEE71" s="2936"/>
      <c r="WEF71" s="2936"/>
      <c r="WEG71" s="2936"/>
      <c r="WEH71" s="2936"/>
      <c r="WEI71" s="2936"/>
      <c r="WEJ71" s="2936"/>
      <c r="WEK71" s="2936"/>
      <c r="WEL71" s="2936"/>
      <c r="WEM71" s="2936"/>
      <c r="WEN71" s="2936"/>
      <c r="WEO71" s="2936"/>
      <c r="WEP71" s="2936"/>
      <c r="WEQ71" s="2936"/>
      <c r="WER71" s="2936"/>
      <c r="WES71" s="2936"/>
      <c r="WET71" s="2936"/>
      <c r="WEU71" s="2936"/>
      <c r="WEV71" s="2936"/>
      <c r="WEW71" s="2936"/>
      <c r="WEX71" s="2936"/>
      <c r="WEY71" s="2936"/>
      <c r="WEZ71" s="2936"/>
      <c r="WFA71" s="2936"/>
      <c r="WFB71" s="2936"/>
      <c r="WFC71" s="2936"/>
      <c r="WFD71" s="2936"/>
      <c r="WFE71" s="2936"/>
      <c r="WFF71" s="2936"/>
      <c r="WFG71" s="2936"/>
      <c r="WFH71" s="2936"/>
      <c r="WFI71" s="2936"/>
      <c r="WFJ71" s="2936"/>
      <c r="WFK71" s="2936"/>
      <c r="WFL71" s="2936"/>
      <c r="WFM71" s="2936"/>
      <c r="WFN71" s="2936"/>
      <c r="WFO71" s="2936"/>
      <c r="WFP71" s="2936"/>
      <c r="WFQ71" s="2936"/>
      <c r="WFR71" s="2936"/>
      <c r="WFS71" s="2936"/>
      <c r="WFT71" s="2936"/>
      <c r="WFU71" s="2936"/>
      <c r="WFV71" s="2936"/>
      <c r="WFW71" s="2936"/>
      <c r="WFX71" s="2936"/>
      <c r="WFY71" s="2936"/>
      <c r="WFZ71" s="2936"/>
      <c r="WGA71" s="2936"/>
      <c r="WGB71" s="2936"/>
      <c r="WGC71" s="2936"/>
      <c r="WGD71" s="2936"/>
      <c r="WGE71" s="2936"/>
      <c r="WGF71" s="2936"/>
      <c r="WGG71" s="2936"/>
      <c r="WGH71" s="2936"/>
      <c r="WGI71" s="2936"/>
      <c r="WGJ71" s="2936"/>
      <c r="WGK71" s="2936"/>
      <c r="WGL71" s="2936"/>
      <c r="WGM71" s="2936"/>
      <c r="WGN71" s="2936"/>
      <c r="WGO71" s="2936"/>
      <c r="WGP71" s="2936"/>
      <c r="WGQ71" s="2936"/>
      <c r="WGR71" s="2936"/>
      <c r="WGS71" s="2936"/>
      <c r="WGT71" s="2936"/>
      <c r="WGU71" s="2936"/>
      <c r="WGV71" s="2936"/>
      <c r="WGW71" s="2936"/>
      <c r="WGX71" s="2936"/>
      <c r="WGY71" s="2936"/>
      <c r="WGZ71" s="2936"/>
      <c r="WHA71" s="2936"/>
      <c r="WHB71" s="2936"/>
      <c r="WHC71" s="2936"/>
      <c r="WHD71" s="2936"/>
      <c r="WHE71" s="2936"/>
      <c r="WHF71" s="2936"/>
      <c r="WHG71" s="2936"/>
      <c r="WHH71" s="2936"/>
      <c r="WHI71" s="2936"/>
      <c r="WHJ71" s="2936"/>
      <c r="WHK71" s="2936"/>
      <c r="WHL71" s="2936"/>
      <c r="WHM71" s="2936"/>
      <c r="WHN71" s="2936"/>
      <c r="WHO71" s="2936"/>
      <c r="WHP71" s="2936"/>
      <c r="WHQ71" s="2936"/>
      <c r="WHR71" s="2936"/>
      <c r="WHS71" s="2936"/>
      <c r="WHT71" s="2936"/>
      <c r="WHU71" s="2936"/>
      <c r="WHV71" s="2936"/>
      <c r="WHW71" s="2936"/>
      <c r="WHX71" s="2936"/>
      <c r="WHY71" s="2936"/>
      <c r="WHZ71" s="2936"/>
      <c r="WIA71" s="2936"/>
      <c r="WIB71" s="2936"/>
      <c r="WIC71" s="2936"/>
      <c r="WID71" s="2936"/>
      <c r="WIE71" s="2936"/>
      <c r="WIF71" s="2936"/>
      <c r="WIG71" s="2936"/>
      <c r="WIH71" s="2936"/>
      <c r="WII71" s="2936"/>
      <c r="WIJ71" s="2936"/>
      <c r="WIK71" s="2936"/>
      <c r="WIL71" s="2936"/>
      <c r="WIM71" s="2936"/>
      <c r="WIN71" s="2936"/>
      <c r="WIO71" s="2936"/>
      <c r="WIP71" s="2936"/>
      <c r="WIQ71" s="2936"/>
      <c r="WIR71" s="2936"/>
      <c r="WIS71" s="2936"/>
      <c r="WIT71" s="2936"/>
      <c r="WIU71" s="2936"/>
      <c r="WIV71" s="2936"/>
      <c r="WIW71" s="2936"/>
      <c r="WIX71" s="2936"/>
      <c r="WIY71" s="2936"/>
      <c r="WIZ71" s="2936"/>
      <c r="WJA71" s="2936"/>
      <c r="WJB71" s="2936"/>
      <c r="WJC71" s="2936"/>
      <c r="WJD71" s="2936"/>
      <c r="WJE71" s="2936"/>
      <c r="WJF71" s="2936"/>
      <c r="WJG71" s="2936"/>
      <c r="WJH71" s="2936"/>
      <c r="WJI71" s="2936"/>
      <c r="WJJ71" s="2936"/>
      <c r="WJK71" s="2936"/>
      <c r="WJL71" s="2936"/>
      <c r="WJM71" s="2936"/>
      <c r="WJN71" s="2936"/>
      <c r="WJO71" s="2936"/>
      <c r="WJP71" s="2936"/>
      <c r="WJQ71" s="2936"/>
      <c r="WJR71" s="2936"/>
      <c r="WJS71" s="2936"/>
      <c r="WJT71" s="2936"/>
      <c r="WJU71" s="2936"/>
      <c r="WJV71" s="2936"/>
      <c r="WJW71" s="2936"/>
      <c r="WJX71" s="2936"/>
      <c r="WJY71" s="2936"/>
      <c r="WJZ71" s="2936"/>
      <c r="WKA71" s="2936"/>
      <c r="WKB71" s="2936"/>
      <c r="WKC71" s="2936"/>
      <c r="WKD71" s="2936"/>
      <c r="WKE71" s="2936"/>
      <c r="WKF71" s="2936"/>
      <c r="WKG71" s="2936"/>
      <c r="WKH71" s="2936"/>
      <c r="WKI71" s="2936"/>
      <c r="WKJ71" s="2936"/>
      <c r="WKK71" s="2936"/>
      <c r="WKL71" s="2936"/>
      <c r="WKM71" s="2936"/>
      <c r="WKN71" s="2936"/>
      <c r="WKO71" s="2936"/>
      <c r="WKP71" s="2936"/>
      <c r="WKQ71" s="2936"/>
      <c r="WKR71" s="2936"/>
      <c r="WKS71" s="2936"/>
      <c r="WKT71" s="2936"/>
      <c r="WKU71" s="2936"/>
      <c r="WKV71" s="2936"/>
      <c r="WKW71" s="2936"/>
      <c r="WKX71" s="2936"/>
      <c r="WKY71" s="2936"/>
      <c r="WKZ71" s="2936"/>
      <c r="WLA71" s="2936"/>
      <c r="WLB71" s="2936"/>
      <c r="WLC71" s="2936"/>
      <c r="WLD71" s="2936"/>
      <c r="WLE71" s="2936"/>
      <c r="WLF71" s="2936"/>
      <c r="WLG71" s="2936"/>
      <c r="WLH71" s="2936"/>
      <c r="WLI71" s="2936"/>
      <c r="WLJ71" s="2936"/>
      <c r="WLK71" s="2936"/>
      <c r="WLL71" s="2936"/>
      <c r="WLM71" s="2936"/>
      <c r="WLN71" s="2936"/>
      <c r="WLO71" s="2936"/>
      <c r="WLP71" s="2936"/>
      <c r="WLQ71" s="2936"/>
      <c r="WLR71" s="2936"/>
      <c r="WLS71" s="2936"/>
      <c r="WLT71" s="2936"/>
      <c r="WLU71" s="2936"/>
      <c r="WLV71" s="2936"/>
      <c r="WLW71" s="2936"/>
      <c r="WLX71" s="2936"/>
      <c r="WLY71" s="2936"/>
      <c r="WLZ71" s="2936"/>
      <c r="WMA71" s="2936"/>
      <c r="WMB71" s="2936"/>
      <c r="WMC71" s="2936"/>
      <c r="WMD71" s="2936"/>
      <c r="WME71" s="2936"/>
      <c r="WMF71" s="2936"/>
      <c r="WMG71" s="2936"/>
      <c r="WMH71" s="2936"/>
      <c r="WMI71" s="2936"/>
      <c r="WMJ71" s="2936"/>
      <c r="WMK71" s="2936"/>
      <c r="WML71" s="2936"/>
      <c r="WMM71" s="2936"/>
      <c r="WMN71" s="2936"/>
      <c r="WMO71" s="2936"/>
      <c r="WMP71" s="2936"/>
      <c r="WMQ71" s="2936"/>
      <c r="WMR71" s="2936"/>
      <c r="WMS71" s="2936"/>
      <c r="WMT71" s="2936"/>
      <c r="WMU71" s="2936"/>
      <c r="WMV71" s="2936"/>
      <c r="WMW71" s="2936"/>
      <c r="WMX71" s="2936"/>
      <c r="WMY71" s="2936"/>
      <c r="WMZ71" s="2936"/>
      <c r="WNA71" s="2936"/>
      <c r="WNB71" s="2936"/>
      <c r="WNC71" s="2936"/>
      <c r="WND71" s="2936"/>
      <c r="WNE71" s="2936"/>
      <c r="WNF71" s="2936"/>
      <c r="WNG71" s="2936"/>
      <c r="WNH71" s="2936"/>
      <c r="WNI71" s="2936"/>
      <c r="WNJ71" s="2936"/>
      <c r="WNK71" s="2936"/>
      <c r="WNL71" s="2936"/>
      <c r="WNM71" s="2936"/>
      <c r="WNN71" s="2936"/>
      <c r="WNO71" s="2936"/>
      <c r="WNP71" s="2936"/>
      <c r="WNQ71" s="2936"/>
      <c r="WNR71" s="2936"/>
      <c r="WNS71" s="2936"/>
      <c r="WNT71" s="2936"/>
      <c r="WNU71" s="2936"/>
      <c r="WNV71" s="2936"/>
      <c r="WNW71" s="2936"/>
      <c r="WNX71" s="2936"/>
      <c r="WNY71" s="2936"/>
      <c r="WNZ71" s="2936"/>
      <c r="WOA71" s="2936"/>
      <c r="WOB71" s="2936"/>
      <c r="WOC71" s="2936"/>
      <c r="WOD71" s="2936"/>
      <c r="WOE71" s="2936"/>
      <c r="WOF71" s="2936"/>
      <c r="WOG71" s="2936"/>
      <c r="WOH71" s="2936"/>
      <c r="WOI71" s="2936"/>
      <c r="WOJ71" s="2936"/>
      <c r="WOK71" s="2936"/>
      <c r="WOL71" s="2936"/>
      <c r="WOM71" s="2936"/>
      <c r="WON71" s="2936"/>
      <c r="WOO71" s="2936"/>
      <c r="WOP71" s="2936"/>
      <c r="WOQ71" s="2936"/>
      <c r="WOR71" s="2936"/>
      <c r="WOS71" s="2936"/>
      <c r="WOT71" s="2936"/>
      <c r="WOU71" s="2936"/>
      <c r="WOV71" s="2936"/>
      <c r="WOW71" s="2936"/>
      <c r="WOX71" s="2936"/>
      <c r="WOY71" s="2936"/>
      <c r="WOZ71" s="2936"/>
      <c r="WPA71" s="2936"/>
      <c r="WPB71" s="2936"/>
      <c r="WPC71" s="2936"/>
      <c r="WPD71" s="2936"/>
      <c r="WPE71" s="2936"/>
      <c r="WPF71" s="2936"/>
      <c r="WPG71" s="2936"/>
      <c r="WPH71" s="2936"/>
      <c r="WPI71" s="2936"/>
      <c r="WPJ71" s="2936"/>
      <c r="WPK71" s="2936"/>
      <c r="WPL71" s="2936"/>
      <c r="WPM71" s="2936"/>
      <c r="WPN71" s="2936"/>
      <c r="WPO71" s="2936"/>
      <c r="WPP71" s="2936"/>
      <c r="WPQ71" s="2936"/>
      <c r="WPR71" s="2936"/>
      <c r="WPS71" s="2936"/>
      <c r="WPT71" s="2936"/>
      <c r="WPU71" s="2936"/>
      <c r="WPV71" s="2936"/>
      <c r="WPW71" s="2936"/>
      <c r="WPX71" s="2936"/>
      <c r="WPY71" s="2936"/>
      <c r="WPZ71" s="2936"/>
      <c r="WQA71" s="2936"/>
      <c r="WQB71" s="2936"/>
      <c r="WQC71" s="2936"/>
      <c r="WQD71" s="2936"/>
      <c r="WQE71" s="2936"/>
      <c r="WQF71" s="2936"/>
      <c r="WQG71" s="2936"/>
      <c r="WQH71" s="2936"/>
      <c r="WQI71" s="2936"/>
      <c r="WQJ71" s="2936"/>
      <c r="WQK71" s="2936"/>
      <c r="WQL71" s="2936"/>
      <c r="WQM71" s="2936"/>
      <c r="WQN71" s="2936"/>
      <c r="WQO71" s="2936"/>
      <c r="WQP71" s="2936"/>
      <c r="WQQ71" s="2936"/>
      <c r="WQR71" s="2936"/>
      <c r="WQS71" s="2936"/>
      <c r="WQT71" s="2936"/>
      <c r="WQU71" s="2936"/>
      <c r="WQV71" s="2936"/>
      <c r="WQW71" s="2936"/>
      <c r="WQX71" s="2936"/>
      <c r="WQY71" s="2936"/>
      <c r="WQZ71" s="2936"/>
      <c r="WRA71" s="2936"/>
      <c r="WRB71" s="2936"/>
      <c r="WRC71" s="2936"/>
      <c r="WRD71" s="2936"/>
      <c r="WRE71" s="2936"/>
      <c r="WRF71" s="2936"/>
      <c r="WRG71" s="2936"/>
      <c r="WRH71" s="2936"/>
      <c r="WRI71" s="2936"/>
      <c r="WRJ71" s="2936"/>
      <c r="WRK71" s="2936"/>
      <c r="WRL71" s="2936"/>
      <c r="WRM71" s="2936"/>
      <c r="WRN71" s="2936"/>
      <c r="WRO71" s="2936"/>
      <c r="WRP71" s="2936"/>
      <c r="WRQ71" s="2936"/>
      <c r="WRR71" s="2936"/>
      <c r="WRS71" s="2936"/>
      <c r="WRT71" s="2936"/>
      <c r="WRU71" s="2936"/>
      <c r="WRV71" s="2936"/>
      <c r="WRW71" s="2936"/>
      <c r="WRX71" s="2936"/>
      <c r="WRY71" s="2936"/>
      <c r="WRZ71" s="2936"/>
      <c r="WSA71" s="2936"/>
      <c r="WSB71" s="2936"/>
      <c r="WSC71" s="2936"/>
      <c r="WSD71" s="2936"/>
      <c r="WSE71" s="2936"/>
      <c r="WSF71" s="2936"/>
      <c r="WSG71" s="2936"/>
      <c r="WSH71" s="2936"/>
      <c r="WSI71" s="2936"/>
      <c r="WSJ71" s="2936"/>
      <c r="WSK71" s="2936"/>
      <c r="WSL71" s="2936"/>
      <c r="WSM71" s="2936"/>
      <c r="WSN71" s="2936"/>
      <c r="WSO71" s="2936"/>
      <c r="WSP71" s="2936"/>
      <c r="WSQ71" s="2936"/>
      <c r="WSR71" s="2936"/>
      <c r="WSS71" s="2936"/>
      <c r="WST71" s="2936"/>
      <c r="WSU71" s="2936"/>
      <c r="WSV71" s="2936"/>
      <c r="WSW71" s="2936"/>
      <c r="WSX71" s="2936"/>
      <c r="WSY71" s="2936"/>
      <c r="WSZ71" s="2936"/>
      <c r="WTA71" s="2936"/>
      <c r="WTB71" s="2936"/>
      <c r="WTC71" s="2936"/>
      <c r="WTD71" s="2936"/>
      <c r="WTE71" s="2936"/>
      <c r="WTF71" s="2936"/>
      <c r="WTG71" s="2936"/>
      <c r="WTH71" s="2936"/>
      <c r="WTI71" s="2936"/>
      <c r="WTJ71" s="2936"/>
      <c r="WTK71" s="2936"/>
      <c r="WTL71" s="2936"/>
      <c r="WTM71" s="2936"/>
      <c r="WTN71" s="2936"/>
      <c r="WTO71" s="2936"/>
      <c r="WTP71" s="2936"/>
      <c r="WTQ71" s="2936"/>
      <c r="WTR71" s="2936"/>
      <c r="WTS71" s="2936"/>
      <c r="WTT71" s="2936"/>
      <c r="WTU71" s="2936"/>
      <c r="WTV71" s="2936"/>
      <c r="WTW71" s="2936"/>
      <c r="WTX71" s="2936"/>
      <c r="WTY71" s="2936"/>
      <c r="WTZ71" s="2936"/>
      <c r="WUA71" s="2936"/>
      <c r="WUB71" s="2936"/>
      <c r="WUC71" s="2936"/>
      <c r="WUD71" s="2936"/>
      <c r="WUE71" s="2936"/>
      <c r="WUF71" s="2936"/>
      <c r="WUG71" s="2936"/>
      <c r="WUH71" s="2936"/>
      <c r="WUI71" s="2936"/>
      <c r="WUJ71" s="2936"/>
      <c r="WUK71" s="2936"/>
      <c r="WUL71" s="2936"/>
      <c r="WUM71" s="2936"/>
      <c r="WUN71" s="2936"/>
      <c r="WUO71" s="2936"/>
      <c r="WUP71" s="2936"/>
      <c r="WUQ71" s="2936"/>
      <c r="WUR71" s="2936"/>
      <c r="WUS71" s="2936"/>
      <c r="WUT71" s="2936"/>
      <c r="WUU71" s="2936"/>
      <c r="WUV71" s="2936"/>
      <c r="WUW71" s="2936"/>
      <c r="WUX71" s="2936"/>
      <c r="WUY71" s="2936"/>
      <c r="WUZ71" s="2936"/>
      <c r="WVA71" s="2936"/>
      <c r="WVB71" s="2936"/>
      <c r="WVC71" s="2936"/>
      <c r="WVD71" s="2936"/>
      <c r="WVE71" s="2936"/>
      <c r="WVF71" s="2936"/>
      <c r="WVG71" s="2936"/>
      <c r="WVH71" s="2936"/>
      <c r="WVI71" s="2936"/>
      <c r="WVJ71" s="2936"/>
      <c r="WVK71" s="2936"/>
      <c r="WVL71" s="2936"/>
      <c r="WVM71" s="2936"/>
      <c r="WVN71" s="2936"/>
      <c r="WVO71" s="2936"/>
      <c r="WVP71" s="2936"/>
      <c r="WVQ71" s="2936"/>
      <c r="WVR71" s="2936"/>
      <c r="WVS71" s="2936"/>
      <c r="WVT71" s="2936"/>
      <c r="WVU71" s="2936"/>
      <c r="WVV71" s="2936"/>
      <c r="WVW71" s="2936"/>
      <c r="WVX71" s="2936"/>
      <c r="WVY71" s="2936"/>
      <c r="WVZ71" s="2936"/>
      <c r="WWA71" s="2936"/>
      <c r="WWB71" s="2936"/>
      <c r="WWC71" s="2936"/>
      <c r="WWD71" s="2936"/>
      <c r="WWE71" s="2936"/>
      <c r="WWF71" s="2936"/>
      <c r="WWG71" s="2936"/>
      <c r="WWH71" s="2936"/>
      <c r="WWI71" s="2936"/>
      <c r="WWJ71" s="2936"/>
      <c r="WWK71" s="2936"/>
      <c r="WWL71" s="2936"/>
      <c r="WWM71" s="2936"/>
      <c r="WWN71" s="2936"/>
      <c r="WWO71" s="2936"/>
      <c r="WWP71" s="2936"/>
      <c r="WWQ71" s="2936"/>
      <c r="WWR71" s="2936"/>
      <c r="WWS71" s="2936"/>
      <c r="WWT71" s="2936"/>
      <c r="WWU71" s="2936"/>
      <c r="WWV71" s="2936"/>
      <c r="WWW71" s="2936"/>
      <c r="WWX71" s="2936"/>
      <c r="WWY71" s="2936"/>
      <c r="WWZ71" s="2936"/>
      <c r="WXA71" s="2936"/>
      <c r="WXB71" s="2936"/>
      <c r="WXC71" s="2936"/>
      <c r="WXD71" s="2936"/>
      <c r="WXE71" s="2936"/>
      <c r="WXF71" s="2936"/>
      <c r="WXG71" s="2936"/>
      <c r="WXH71" s="2936"/>
      <c r="WXI71" s="2936"/>
      <c r="WXJ71" s="2936"/>
      <c r="WXK71" s="2936"/>
      <c r="WXL71" s="2936"/>
      <c r="WXM71" s="2936"/>
      <c r="WXN71" s="2936"/>
      <c r="WXO71" s="2936"/>
      <c r="WXP71" s="2936"/>
      <c r="WXQ71" s="2936"/>
      <c r="WXR71" s="2936"/>
      <c r="WXS71" s="2936"/>
      <c r="WXT71" s="2936"/>
      <c r="WXU71" s="2936"/>
      <c r="WXV71" s="2936"/>
      <c r="WXW71" s="2936"/>
      <c r="WXX71" s="2936"/>
      <c r="WXY71" s="2936"/>
      <c r="WXZ71" s="2936"/>
      <c r="WYA71" s="2936"/>
      <c r="WYB71" s="2936"/>
      <c r="WYC71" s="2936"/>
      <c r="WYD71" s="2936"/>
      <c r="WYE71" s="2936"/>
      <c r="WYF71" s="2936"/>
      <c r="WYG71" s="2936"/>
      <c r="WYH71" s="2936"/>
      <c r="WYI71" s="2936"/>
      <c r="WYJ71" s="2936"/>
      <c r="WYK71" s="2936"/>
      <c r="WYL71" s="2936"/>
      <c r="WYM71" s="2936"/>
      <c r="WYN71" s="2936"/>
      <c r="WYO71" s="2936"/>
      <c r="WYP71" s="2936"/>
      <c r="WYQ71" s="2936"/>
      <c r="WYR71" s="2936"/>
      <c r="WYS71" s="2936"/>
      <c r="WYT71" s="2936"/>
      <c r="WYU71" s="2936"/>
      <c r="WYV71" s="2936"/>
      <c r="WYW71" s="2936"/>
      <c r="WYX71" s="2936"/>
      <c r="WYY71" s="2936"/>
      <c r="WYZ71" s="2936"/>
      <c r="WZA71" s="2936"/>
      <c r="WZB71" s="2936"/>
      <c r="WZC71" s="2936"/>
      <c r="WZD71" s="2936"/>
      <c r="WZE71" s="2936"/>
      <c r="WZF71" s="2936"/>
      <c r="WZG71" s="2936"/>
      <c r="WZH71" s="2936"/>
      <c r="WZI71" s="2936"/>
      <c r="WZJ71" s="2936"/>
      <c r="WZK71" s="2936"/>
      <c r="WZL71" s="2936"/>
      <c r="WZM71" s="2936"/>
      <c r="WZN71" s="2936"/>
      <c r="WZO71" s="2936"/>
      <c r="WZP71" s="2936"/>
      <c r="WZQ71" s="2936"/>
      <c r="WZR71" s="2936"/>
      <c r="WZS71" s="2936"/>
      <c r="WZT71" s="2936"/>
      <c r="WZU71" s="2936"/>
      <c r="WZV71" s="2936"/>
      <c r="WZW71" s="2936"/>
      <c r="WZX71" s="2936"/>
      <c r="WZY71" s="2936"/>
      <c r="WZZ71" s="2936"/>
      <c r="XAA71" s="2936"/>
      <c r="XAB71" s="2936"/>
      <c r="XAC71" s="2936"/>
      <c r="XAD71" s="2936"/>
      <c r="XAE71" s="2936"/>
      <c r="XAF71" s="2936"/>
      <c r="XAG71" s="2936"/>
      <c r="XAH71" s="2936"/>
      <c r="XAI71" s="2936"/>
      <c r="XAJ71" s="2936"/>
      <c r="XAK71" s="2936"/>
      <c r="XAL71" s="2936"/>
      <c r="XAM71" s="2936"/>
      <c r="XAN71" s="2936"/>
      <c r="XAO71" s="2936"/>
      <c r="XAP71" s="2936"/>
      <c r="XAQ71" s="2936"/>
      <c r="XAR71" s="2936"/>
      <c r="XAS71" s="2936"/>
      <c r="XAT71" s="2936"/>
      <c r="XAU71" s="2936"/>
      <c r="XAV71" s="2936"/>
      <c r="XAW71" s="2936"/>
      <c r="XAX71" s="2936"/>
      <c r="XAY71" s="2936"/>
      <c r="XAZ71" s="2936"/>
      <c r="XBA71" s="2936"/>
      <c r="XBB71" s="2936"/>
      <c r="XBC71" s="2936"/>
      <c r="XBD71" s="2936"/>
      <c r="XBE71" s="2936"/>
      <c r="XBF71" s="2936"/>
      <c r="XBG71" s="2936"/>
      <c r="XBH71" s="2936"/>
      <c r="XBI71" s="2936"/>
      <c r="XBJ71" s="2936"/>
      <c r="XBK71" s="2936"/>
      <c r="XBL71" s="2936"/>
      <c r="XBM71" s="2936"/>
      <c r="XBN71" s="2936"/>
      <c r="XBO71" s="2936"/>
      <c r="XBP71" s="2936"/>
      <c r="XBQ71" s="2936"/>
      <c r="XBR71" s="2936"/>
      <c r="XBS71" s="2936"/>
      <c r="XBT71" s="2936"/>
      <c r="XBU71" s="2936"/>
      <c r="XBV71" s="2936"/>
      <c r="XBW71" s="2936"/>
      <c r="XBX71" s="2936"/>
      <c r="XBY71" s="2936"/>
      <c r="XBZ71" s="2936"/>
      <c r="XCA71" s="2936"/>
      <c r="XCB71" s="2936"/>
      <c r="XCC71" s="2936"/>
      <c r="XCD71" s="2936"/>
      <c r="XCE71" s="2936"/>
      <c r="XCF71" s="2936"/>
      <c r="XCG71" s="2936"/>
      <c r="XCH71" s="2936"/>
      <c r="XCI71" s="2936"/>
      <c r="XCJ71" s="2936"/>
      <c r="XCK71" s="2936"/>
      <c r="XCL71" s="2936"/>
      <c r="XCM71" s="2936"/>
      <c r="XCN71" s="2936"/>
      <c r="XCO71" s="2936"/>
      <c r="XCP71" s="2936"/>
      <c r="XCQ71" s="2936"/>
      <c r="XCR71" s="2936"/>
      <c r="XCS71" s="2936"/>
      <c r="XCT71" s="2936"/>
      <c r="XCU71" s="2936"/>
      <c r="XCV71" s="2936"/>
      <c r="XCW71" s="2936"/>
      <c r="XCX71" s="2936"/>
      <c r="XCY71" s="2936"/>
      <c r="XCZ71" s="2936"/>
      <c r="XDA71" s="2936"/>
      <c r="XDB71" s="2936"/>
      <c r="XDC71" s="2936"/>
      <c r="XDD71" s="2936"/>
      <c r="XDE71" s="2936"/>
      <c r="XDF71" s="2936"/>
      <c r="XDG71" s="2936"/>
      <c r="XDH71" s="2936"/>
      <c r="XDI71" s="2936"/>
      <c r="XDJ71" s="2936"/>
      <c r="XDK71" s="2936"/>
      <c r="XDL71" s="2936"/>
      <c r="XDM71" s="2936"/>
      <c r="XDN71" s="2936"/>
      <c r="XDO71" s="2936"/>
      <c r="XDP71" s="2936"/>
      <c r="XDQ71" s="2936"/>
      <c r="XDR71" s="2936"/>
      <c r="XDS71" s="2936"/>
      <c r="XDT71" s="2936"/>
      <c r="XDU71" s="2936"/>
      <c r="XDV71" s="2936"/>
      <c r="XDW71" s="2936"/>
      <c r="XDX71" s="2936"/>
      <c r="XDY71" s="2936"/>
      <c r="XDZ71" s="2936"/>
      <c r="XEA71" s="2936"/>
      <c r="XEB71" s="2936"/>
      <c r="XEC71" s="2936"/>
      <c r="XED71" s="2936"/>
      <c r="XEE71" s="2936"/>
      <c r="XEF71" s="2936"/>
      <c r="XEG71" s="2936"/>
      <c r="XEH71" s="2936"/>
      <c r="XEI71" s="2936"/>
      <c r="XEJ71" s="2936"/>
      <c r="XEK71" s="2936"/>
      <c r="XEL71" s="2936"/>
      <c r="XEM71" s="2936"/>
      <c r="XEN71" s="2936"/>
      <c r="XEO71" s="2936"/>
      <c r="XEP71" s="2936"/>
      <c r="XEQ71" s="2936"/>
      <c r="XER71" s="2936"/>
      <c r="XES71" s="2936"/>
      <c r="XET71" s="2936"/>
      <c r="XEU71" s="2936"/>
      <c r="XEV71" s="2936"/>
      <c r="XEW71" s="2936"/>
      <c r="XEX71" s="2936"/>
      <c r="XEY71" s="2936"/>
      <c r="XEZ71" s="2936"/>
      <c r="XFA71" s="2936"/>
      <c r="XFB71" s="2936"/>
      <c r="XFC71" s="2936"/>
    </row>
    <row r="72" spans="1:16383" x14ac:dyDescent="0.25">
      <c r="A72" s="5" t="s">
        <v>1294</v>
      </c>
      <c r="B72" s="2936"/>
      <c r="C72" s="2936"/>
      <c r="D72" s="2936"/>
      <c r="F72" s="2936"/>
      <c r="G72" s="2936"/>
      <c r="H72" s="2936"/>
      <c r="I72" s="2936"/>
      <c r="J72" s="2936"/>
      <c r="K72" s="2936"/>
      <c r="L72" s="2936"/>
      <c r="M72" s="2936"/>
      <c r="N72" s="2936"/>
      <c r="O72" s="2936"/>
      <c r="P72" s="2936"/>
      <c r="Q72" s="2936"/>
      <c r="R72" s="2936"/>
      <c r="S72" s="2936"/>
      <c r="T72" s="2936"/>
      <c r="U72" s="2936"/>
      <c r="V72" s="2936"/>
      <c r="W72" s="2936"/>
      <c r="X72" s="2936"/>
      <c r="Y72" s="2936"/>
      <c r="Z72" s="2936"/>
      <c r="AA72" s="2936"/>
      <c r="AB72" s="2936"/>
      <c r="AC72" s="2936"/>
      <c r="AD72" s="2936"/>
      <c r="AE72" s="2936"/>
      <c r="AF72" s="2936"/>
      <c r="AG72" s="2936"/>
      <c r="AH72" s="2936"/>
      <c r="AI72" s="2936"/>
      <c r="AJ72" s="2936"/>
      <c r="AK72" s="2936"/>
      <c r="AL72" s="2936"/>
      <c r="AM72" s="2936"/>
      <c r="AN72" s="2936"/>
      <c r="AO72" s="2936"/>
      <c r="AP72" s="2936"/>
      <c r="AQ72" s="2936"/>
      <c r="AR72" s="2936"/>
      <c r="AS72" s="2936"/>
      <c r="AT72" s="2936"/>
      <c r="AU72" s="2936"/>
      <c r="AV72" s="2936"/>
      <c r="AW72" s="2936"/>
      <c r="AX72" s="2936"/>
      <c r="AY72" s="2936"/>
      <c r="AZ72" s="2936"/>
      <c r="BA72" s="2936"/>
      <c r="BB72" s="2936"/>
      <c r="BC72" s="2936"/>
      <c r="BD72" s="2936"/>
      <c r="BE72" s="2936"/>
      <c r="BF72" s="2936"/>
      <c r="BG72" s="2936"/>
      <c r="BH72" s="2936"/>
      <c r="BI72" s="2936"/>
      <c r="BJ72" s="2936"/>
      <c r="BK72" s="2936"/>
      <c r="BL72" s="2936"/>
      <c r="BM72" s="2936"/>
      <c r="BN72" s="2936"/>
      <c r="BO72" s="2936"/>
      <c r="BP72" s="2936"/>
      <c r="BQ72" s="2936"/>
      <c r="BR72" s="2936"/>
      <c r="BS72" s="2936"/>
      <c r="BT72" s="2936"/>
      <c r="BU72" s="2936"/>
      <c r="BV72" s="2936"/>
      <c r="BW72" s="2936"/>
      <c r="BX72" s="2936"/>
      <c r="BY72" s="2936"/>
      <c r="BZ72" s="2936"/>
      <c r="CA72" s="2936"/>
      <c r="CB72" s="2936"/>
      <c r="CC72" s="2936"/>
      <c r="CD72" s="2936"/>
      <c r="CE72" s="2936"/>
      <c r="CF72" s="2936"/>
      <c r="CG72" s="2936"/>
      <c r="CH72" s="2936"/>
      <c r="CI72" s="2936"/>
      <c r="CJ72" s="2936"/>
      <c r="CK72" s="2936"/>
      <c r="CL72" s="2936"/>
      <c r="CM72" s="2936"/>
      <c r="CN72" s="2936"/>
      <c r="CO72" s="2936"/>
      <c r="CP72" s="2936"/>
      <c r="CQ72" s="2936"/>
      <c r="CR72" s="2936"/>
      <c r="CS72" s="2936"/>
      <c r="CT72" s="2936"/>
      <c r="CU72" s="2936"/>
      <c r="CV72" s="2936"/>
      <c r="CW72" s="2936"/>
      <c r="CX72" s="2936"/>
      <c r="CY72" s="2936"/>
      <c r="CZ72" s="2936"/>
      <c r="DA72" s="2936"/>
      <c r="DB72" s="2936"/>
      <c r="DC72" s="2936"/>
      <c r="DD72" s="2936"/>
      <c r="DE72" s="2936"/>
      <c r="DF72" s="2936"/>
      <c r="DG72" s="2936"/>
      <c r="DH72" s="2936"/>
      <c r="DI72" s="2936"/>
      <c r="DJ72" s="2936"/>
      <c r="DK72" s="2936"/>
      <c r="DL72" s="2936"/>
      <c r="DM72" s="2936"/>
      <c r="DN72" s="2936"/>
      <c r="DO72" s="2936"/>
      <c r="DP72" s="2936"/>
      <c r="DQ72" s="2936"/>
      <c r="DR72" s="2936"/>
      <c r="DS72" s="2936"/>
      <c r="DT72" s="2936"/>
      <c r="DU72" s="2936"/>
      <c r="DV72" s="2936"/>
      <c r="DW72" s="2936"/>
      <c r="DX72" s="2936"/>
      <c r="DY72" s="2936"/>
      <c r="DZ72" s="2936"/>
      <c r="EA72" s="2936"/>
      <c r="EB72" s="2936"/>
      <c r="EC72" s="2936"/>
      <c r="ED72" s="2936"/>
      <c r="EE72" s="2936"/>
      <c r="EF72" s="2936"/>
      <c r="EG72" s="2936"/>
      <c r="EH72" s="2936"/>
      <c r="EI72" s="2936"/>
      <c r="EJ72" s="2936"/>
      <c r="EK72" s="2936"/>
      <c r="EL72" s="2936"/>
      <c r="EM72" s="2936"/>
      <c r="EN72" s="2936"/>
      <c r="EO72" s="2936"/>
      <c r="EP72" s="2936"/>
      <c r="EQ72" s="2936"/>
      <c r="ER72" s="2936"/>
      <c r="ES72" s="2936"/>
      <c r="ET72" s="2936"/>
      <c r="EU72" s="2936"/>
      <c r="EV72" s="2936"/>
      <c r="EW72" s="2936"/>
      <c r="EX72" s="2936"/>
      <c r="EY72" s="2936"/>
      <c r="EZ72" s="2936"/>
      <c r="FA72" s="2936"/>
      <c r="FB72" s="2936"/>
      <c r="FC72" s="2936"/>
      <c r="FD72" s="2936"/>
      <c r="FE72" s="2936"/>
      <c r="FF72" s="2936"/>
      <c r="FG72" s="2936"/>
      <c r="FH72" s="2936"/>
      <c r="FI72" s="2936"/>
      <c r="FJ72" s="2936"/>
      <c r="FK72" s="2936"/>
      <c r="FL72" s="2936"/>
      <c r="FM72" s="2936"/>
      <c r="FN72" s="2936"/>
      <c r="FO72" s="2936"/>
      <c r="FP72" s="2936"/>
      <c r="FQ72" s="2936"/>
      <c r="FR72" s="2936"/>
      <c r="FS72" s="2936"/>
      <c r="FT72" s="2936"/>
      <c r="FU72" s="2936"/>
      <c r="FV72" s="2936"/>
      <c r="FW72" s="2936"/>
      <c r="FX72" s="2936"/>
      <c r="FY72" s="2936"/>
      <c r="FZ72" s="2936"/>
      <c r="GA72" s="2936"/>
      <c r="GB72" s="2936"/>
      <c r="GC72" s="2936"/>
      <c r="GD72" s="2936"/>
      <c r="GE72" s="2936"/>
      <c r="GF72" s="2936"/>
      <c r="GG72" s="2936"/>
      <c r="GH72" s="2936"/>
      <c r="GI72" s="2936"/>
      <c r="GJ72" s="2936"/>
      <c r="GK72" s="2936"/>
      <c r="GL72" s="2936"/>
      <c r="GM72" s="2936"/>
      <c r="GN72" s="2936"/>
      <c r="GO72" s="2936"/>
      <c r="GP72" s="2936"/>
      <c r="GQ72" s="2936"/>
      <c r="GR72" s="2936"/>
      <c r="GS72" s="2936"/>
      <c r="GT72" s="2936"/>
      <c r="GU72" s="2936"/>
      <c r="GV72" s="2936"/>
      <c r="GW72" s="2936"/>
      <c r="GX72" s="2936"/>
      <c r="GY72" s="2936"/>
      <c r="GZ72" s="2936"/>
      <c r="HA72" s="2936"/>
      <c r="HB72" s="2936"/>
      <c r="HC72" s="2936"/>
      <c r="HD72" s="2936"/>
      <c r="HE72" s="2936"/>
      <c r="HF72" s="2936"/>
      <c r="HG72" s="2936"/>
      <c r="HH72" s="2936"/>
      <c r="HI72" s="2936"/>
      <c r="HJ72" s="2936"/>
      <c r="HK72" s="2936"/>
      <c r="HL72" s="2936"/>
      <c r="HM72" s="2936"/>
      <c r="HN72" s="2936"/>
      <c r="HO72" s="2936"/>
      <c r="HP72" s="2936"/>
      <c r="HQ72" s="2936"/>
      <c r="HR72" s="2936"/>
      <c r="HS72" s="2936"/>
      <c r="HT72" s="2936"/>
      <c r="HU72" s="2936"/>
      <c r="HV72" s="2936"/>
      <c r="HW72" s="2936"/>
      <c r="HX72" s="2936"/>
      <c r="HY72" s="2936"/>
      <c r="HZ72" s="2936"/>
      <c r="IA72" s="2936"/>
      <c r="IB72" s="2936"/>
      <c r="IC72" s="2936"/>
      <c r="ID72" s="2936"/>
      <c r="IE72" s="2936"/>
      <c r="IF72" s="2936"/>
      <c r="IG72" s="2936"/>
      <c r="IH72" s="2936"/>
      <c r="II72" s="2936"/>
      <c r="IJ72" s="2936"/>
      <c r="IK72" s="2936"/>
      <c r="IL72" s="2936"/>
      <c r="IM72" s="2936"/>
      <c r="IN72" s="2936"/>
      <c r="IO72" s="2936"/>
      <c r="IP72" s="2936"/>
      <c r="IQ72" s="2936"/>
      <c r="IR72" s="2936"/>
      <c r="IS72" s="2936"/>
      <c r="IT72" s="2936"/>
      <c r="IU72" s="2936"/>
      <c r="IV72" s="2936"/>
      <c r="IW72" s="2936"/>
      <c r="IX72" s="2936"/>
      <c r="IY72" s="2936"/>
      <c r="IZ72" s="2936"/>
      <c r="JA72" s="2936"/>
      <c r="JB72" s="2936"/>
      <c r="JC72" s="2936"/>
      <c r="JD72" s="2936"/>
      <c r="JE72" s="2936"/>
      <c r="JF72" s="2936"/>
      <c r="JG72" s="2936"/>
      <c r="JH72" s="2936"/>
      <c r="JI72" s="2936"/>
      <c r="JJ72" s="2936"/>
      <c r="JK72" s="2936"/>
      <c r="JL72" s="2936"/>
      <c r="JM72" s="2936"/>
      <c r="JN72" s="2936"/>
      <c r="JO72" s="2936"/>
      <c r="JP72" s="2936"/>
      <c r="JQ72" s="2936"/>
      <c r="JR72" s="2936"/>
      <c r="JS72" s="2936"/>
      <c r="JT72" s="2936"/>
      <c r="JU72" s="2936"/>
      <c r="JV72" s="2936"/>
      <c r="JW72" s="2936"/>
      <c r="JX72" s="2936"/>
      <c r="JY72" s="2936"/>
      <c r="JZ72" s="2936"/>
      <c r="KA72" s="2936"/>
      <c r="KB72" s="2936"/>
      <c r="KC72" s="2936"/>
      <c r="KD72" s="2936"/>
      <c r="KE72" s="2936"/>
      <c r="KF72" s="2936"/>
      <c r="KG72" s="2936"/>
      <c r="KH72" s="2936"/>
      <c r="KI72" s="2936"/>
      <c r="KJ72" s="2936"/>
      <c r="KK72" s="2936"/>
      <c r="KL72" s="2936"/>
      <c r="KM72" s="2936"/>
      <c r="KN72" s="2936"/>
      <c r="KO72" s="2936"/>
      <c r="KP72" s="2936"/>
      <c r="KQ72" s="2936"/>
      <c r="KR72" s="2936"/>
      <c r="KS72" s="2936"/>
      <c r="KT72" s="2936"/>
      <c r="KU72" s="2936"/>
      <c r="KV72" s="2936"/>
      <c r="KW72" s="2936"/>
      <c r="KX72" s="2936"/>
      <c r="KY72" s="2936"/>
      <c r="KZ72" s="2936"/>
      <c r="LA72" s="2936"/>
      <c r="LB72" s="2936"/>
      <c r="LC72" s="2936"/>
      <c r="LD72" s="2936"/>
      <c r="LE72" s="2936"/>
      <c r="LF72" s="2936"/>
      <c r="LG72" s="2936"/>
      <c r="LH72" s="2936"/>
      <c r="LI72" s="2936"/>
      <c r="LJ72" s="2936"/>
      <c r="LK72" s="2936"/>
      <c r="LL72" s="2936"/>
      <c r="LM72" s="2936"/>
      <c r="LN72" s="2936"/>
      <c r="LO72" s="2936"/>
      <c r="LP72" s="2936"/>
      <c r="LQ72" s="2936"/>
      <c r="LR72" s="2936"/>
      <c r="LS72" s="2936"/>
      <c r="LT72" s="2936"/>
      <c r="LU72" s="2936"/>
      <c r="LV72" s="2936"/>
      <c r="LW72" s="2936"/>
      <c r="LX72" s="2936"/>
      <c r="LY72" s="2936"/>
      <c r="LZ72" s="2936"/>
      <c r="MA72" s="2936"/>
      <c r="MB72" s="2936"/>
      <c r="MC72" s="2936"/>
      <c r="MD72" s="2936"/>
      <c r="ME72" s="2936"/>
      <c r="MF72" s="2936"/>
      <c r="MG72" s="2936"/>
      <c r="MH72" s="2936"/>
      <c r="MI72" s="2936"/>
      <c r="MJ72" s="2936"/>
      <c r="MK72" s="2936"/>
      <c r="ML72" s="2936"/>
      <c r="MM72" s="2936"/>
      <c r="MN72" s="2936"/>
      <c r="MO72" s="2936"/>
      <c r="MP72" s="2936"/>
      <c r="MQ72" s="2936"/>
      <c r="MR72" s="2936"/>
      <c r="MS72" s="2936"/>
      <c r="MT72" s="2936"/>
      <c r="MU72" s="2936"/>
      <c r="MV72" s="2936"/>
      <c r="MW72" s="2936"/>
      <c r="MX72" s="2936"/>
      <c r="MY72" s="2936"/>
      <c r="MZ72" s="2936"/>
      <c r="NA72" s="2936"/>
      <c r="NB72" s="2936"/>
      <c r="NC72" s="2936"/>
      <c r="ND72" s="2936"/>
      <c r="NE72" s="2936"/>
      <c r="NF72" s="2936"/>
      <c r="NG72" s="2936"/>
      <c r="NH72" s="2936"/>
      <c r="NI72" s="2936"/>
      <c r="NJ72" s="2936"/>
      <c r="NK72" s="2936"/>
      <c r="NL72" s="2936"/>
      <c r="NM72" s="2936"/>
      <c r="NN72" s="2936"/>
      <c r="NO72" s="2936"/>
      <c r="NP72" s="2936"/>
      <c r="NQ72" s="2936"/>
      <c r="NR72" s="2936"/>
      <c r="NS72" s="2936"/>
      <c r="NT72" s="2936"/>
      <c r="NU72" s="2936"/>
      <c r="NV72" s="2936"/>
      <c r="NW72" s="2936"/>
      <c r="NX72" s="2936"/>
      <c r="NY72" s="2936"/>
      <c r="NZ72" s="2936"/>
      <c r="OA72" s="2936"/>
      <c r="OB72" s="2936"/>
      <c r="OC72" s="2936"/>
      <c r="OD72" s="2936"/>
      <c r="OE72" s="2936"/>
      <c r="OF72" s="2936"/>
      <c r="OG72" s="2936"/>
      <c r="OH72" s="2936"/>
      <c r="OI72" s="2936"/>
      <c r="OJ72" s="2936"/>
      <c r="OK72" s="2936"/>
      <c r="OL72" s="2936"/>
      <c r="OM72" s="2936"/>
      <c r="ON72" s="2936"/>
      <c r="OO72" s="2936"/>
      <c r="OP72" s="2936"/>
      <c r="OQ72" s="2936"/>
      <c r="OR72" s="2936"/>
      <c r="OS72" s="2936"/>
      <c r="OT72" s="2936"/>
      <c r="OU72" s="2936"/>
      <c r="OV72" s="2936"/>
      <c r="OW72" s="2936"/>
      <c r="OX72" s="2936"/>
      <c r="OY72" s="2936"/>
      <c r="OZ72" s="2936"/>
      <c r="PA72" s="2936"/>
      <c r="PB72" s="2936"/>
      <c r="PC72" s="2936"/>
      <c r="PD72" s="2936"/>
      <c r="PE72" s="2936"/>
      <c r="PF72" s="2936"/>
      <c r="PG72" s="2936"/>
      <c r="PH72" s="2936"/>
      <c r="PI72" s="2936"/>
      <c r="PJ72" s="2936"/>
      <c r="PK72" s="2936"/>
      <c r="PL72" s="2936"/>
      <c r="PM72" s="2936"/>
      <c r="PN72" s="2936"/>
      <c r="PO72" s="2936"/>
      <c r="PP72" s="2936"/>
      <c r="PQ72" s="2936"/>
      <c r="PR72" s="2936"/>
      <c r="PS72" s="2936"/>
      <c r="PT72" s="2936"/>
      <c r="PU72" s="2936"/>
      <c r="PV72" s="2936"/>
      <c r="PW72" s="2936"/>
      <c r="PX72" s="2936"/>
      <c r="PY72" s="2936"/>
      <c r="PZ72" s="2936"/>
      <c r="QA72" s="2936"/>
      <c r="QB72" s="2936"/>
      <c r="QC72" s="2936"/>
      <c r="QD72" s="2936"/>
      <c r="QE72" s="2936"/>
      <c r="QF72" s="2936"/>
      <c r="QG72" s="2936"/>
      <c r="QH72" s="2936"/>
      <c r="QI72" s="2936"/>
      <c r="QJ72" s="2936"/>
      <c r="QK72" s="2936"/>
      <c r="QL72" s="2936"/>
      <c r="QM72" s="2936"/>
      <c r="QN72" s="2936"/>
      <c r="QO72" s="2936"/>
      <c r="QP72" s="2936"/>
      <c r="QQ72" s="2936"/>
      <c r="QR72" s="2936"/>
      <c r="QS72" s="2936"/>
      <c r="QT72" s="2936"/>
      <c r="QU72" s="2936"/>
      <c r="QV72" s="2936"/>
      <c r="QW72" s="2936"/>
      <c r="QX72" s="2936"/>
      <c r="QY72" s="2936"/>
      <c r="QZ72" s="2936"/>
      <c r="RA72" s="2936"/>
      <c r="RB72" s="2936"/>
      <c r="RC72" s="2936"/>
      <c r="RD72" s="2936"/>
      <c r="RE72" s="2936"/>
      <c r="RF72" s="2936"/>
      <c r="RG72" s="2936"/>
      <c r="RH72" s="2936"/>
      <c r="RI72" s="2936"/>
      <c r="RJ72" s="2936"/>
      <c r="RK72" s="2936"/>
      <c r="RL72" s="2936"/>
      <c r="RM72" s="2936"/>
      <c r="RN72" s="2936"/>
      <c r="RO72" s="2936"/>
      <c r="RP72" s="2936"/>
      <c r="RQ72" s="2936"/>
      <c r="RR72" s="2936"/>
      <c r="RS72" s="2936"/>
      <c r="RT72" s="2936"/>
      <c r="RU72" s="2936"/>
      <c r="RV72" s="2936"/>
      <c r="RW72" s="2936"/>
      <c r="RX72" s="2936"/>
      <c r="RY72" s="2936"/>
      <c r="RZ72" s="2936"/>
      <c r="SA72" s="2936"/>
      <c r="SB72" s="2936"/>
      <c r="SC72" s="2936"/>
      <c r="SD72" s="2936"/>
      <c r="SE72" s="2936"/>
      <c r="SF72" s="2936"/>
      <c r="SG72" s="2936"/>
      <c r="SH72" s="2936"/>
      <c r="SI72" s="2936"/>
      <c r="SJ72" s="2936"/>
      <c r="SK72" s="2936"/>
      <c r="SL72" s="2936"/>
      <c r="SM72" s="2936"/>
      <c r="SN72" s="2936"/>
      <c r="SO72" s="2936"/>
      <c r="SP72" s="2936"/>
      <c r="SQ72" s="2936"/>
      <c r="SR72" s="2936"/>
      <c r="SS72" s="2936"/>
      <c r="ST72" s="2936"/>
      <c r="SU72" s="2936"/>
      <c r="SV72" s="2936"/>
      <c r="SW72" s="2936"/>
      <c r="SX72" s="2936"/>
      <c r="SY72" s="2936"/>
      <c r="SZ72" s="2936"/>
      <c r="TA72" s="2936"/>
      <c r="TB72" s="2936"/>
      <c r="TC72" s="2936"/>
      <c r="TD72" s="2936"/>
      <c r="TE72" s="2936"/>
      <c r="TF72" s="2936"/>
      <c r="TG72" s="2936"/>
      <c r="TH72" s="2936"/>
      <c r="TI72" s="2936"/>
      <c r="TJ72" s="2936"/>
      <c r="TK72" s="2936"/>
      <c r="TL72" s="2936"/>
      <c r="TM72" s="2936"/>
      <c r="TN72" s="2936"/>
      <c r="TO72" s="2936"/>
      <c r="TP72" s="2936"/>
      <c r="TQ72" s="2936"/>
      <c r="TR72" s="2936"/>
      <c r="TS72" s="2936"/>
      <c r="TT72" s="2936"/>
      <c r="TU72" s="2936"/>
      <c r="TV72" s="2936"/>
      <c r="TW72" s="2936"/>
      <c r="TX72" s="2936"/>
      <c r="TY72" s="2936"/>
      <c r="TZ72" s="2936"/>
      <c r="UA72" s="2936"/>
      <c r="UB72" s="2936"/>
      <c r="UC72" s="2936"/>
      <c r="UD72" s="2936"/>
      <c r="UE72" s="2936"/>
      <c r="UF72" s="2936"/>
      <c r="UG72" s="2936"/>
      <c r="UH72" s="2936"/>
      <c r="UI72" s="2936"/>
      <c r="UJ72" s="2936"/>
      <c r="UK72" s="2936"/>
      <c r="UL72" s="2936"/>
      <c r="UM72" s="2936"/>
      <c r="UN72" s="2936"/>
      <c r="UO72" s="2936"/>
      <c r="UP72" s="2936"/>
      <c r="UQ72" s="2936"/>
      <c r="UR72" s="2936"/>
      <c r="US72" s="2936"/>
      <c r="UT72" s="2936"/>
      <c r="UU72" s="2936"/>
      <c r="UV72" s="2936"/>
      <c r="UW72" s="2936"/>
      <c r="UX72" s="2936"/>
      <c r="UY72" s="2936"/>
      <c r="UZ72" s="2936"/>
      <c r="VA72" s="2936"/>
      <c r="VB72" s="2936"/>
      <c r="VC72" s="2936"/>
      <c r="VD72" s="2936"/>
      <c r="VE72" s="2936"/>
      <c r="VF72" s="2936"/>
      <c r="VG72" s="2936"/>
      <c r="VH72" s="2936"/>
      <c r="VI72" s="2936"/>
      <c r="VJ72" s="2936"/>
      <c r="VK72" s="2936"/>
      <c r="VL72" s="2936"/>
      <c r="VM72" s="2936"/>
      <c r="VN72" s="2936"/>
      <c r="VO72" s="2936"/>
      <c r="VP72" s="2936"/>
      <c r="VQ72" s="2936"/>
      <c r="VR72" s="2936"/>
      <c r="VS72" s="2936"/>
      <c r="VT72" s="2936"/>
      <c r="VU72" s="2936"/>
      <c r="VV72" s="2936"/>
      <c r="VW72" s="2936"/>
      <c r="VX72" s="2936"/>
      <c r="VY72" s="2936"/>
      <c r="VZ72" s="2936"/>
      <c r="WA72" s="2936"/>
      <c r="WB72" s="2936"/>
      <c r="WC72" s="2936"/>
      <c r="WD72" s="2936"/>
      <c r="WE72" s="2936"/>
      <c r="WF72" s="2936"/>
      <c r="WG72" s="2936"/>
      <c r="WH72" s="2936"/>
      <c r="WI72" s="2936"/>
      <c r="WJ72" s="2936"/>
      <c r="WK72" s="2936"/>
      <c r="WL72" s="2936"/>
      <c r="WM72" s="2936"/>
      <c r="WN72" s="2936"/>
      <c r="WO72" s="2936"/>
      <c r="WP72" s="2936"/>
      <c r="WQ72" s="2936"/>
      <c r="WR72" s="2936"/>
      <c r="WS72" s="2936"/>
      <c r="WT72" s="2936"/>
      <c r="WU72" s="2936"/>
      <c r="WV72" s="2936"/>
      <c r="WW72" s="2936"/>
      <c r="WX72" s="2936"/>
      <c r="WY72" s="2936"/>
      <c r="WZ72" s="2936"/>
      <c r="XA72" s="2936"/>
      <c r="XB72" s="2936"/>
      <c r="XC72" s="2936"/>
      <c r="XD72" s="2936"/>
      <c r="XE72" s="2936"/>
      <c r="XF72" s="2936"/>
      <c r="XG72" s="2936"/>
      <c r="XH72" s="2936"/>
      <c r="XI72" s="2936"/>
      <c r="XJ72" s="2936"/>
      <c r="XK72" s="2936"/>
      <c r="XL72" s="2936"/>
      <c r="XM72" s="2936"/>
      <c r="XN72" s="2936"/>
      <c r="XO72" s="2936"/>
      <c r="XP72" s="2936"/>
      <c r="XQ72" s="2936"/>
      <c r="XR72" s="2936"/>
      <c r="XS72" s="2936"/>
      <c r="XT72" s="2936"/>
      <c r="XU72" s="2936"/>
      <c r="XV72" s="2936"/>
      <c r="XW72" s="2936"/>
      <c r="XX72" s="2936"/>
      <c r="XY72" s="2936"/>
      <c r="XZ72" s="2936"/>
      <c r="YA72" s="2936"/>
      <c r="YB72" s="2936"/>
      <c r="YC72" s="2936"/>
      <c r="YD72" s="2936"/>
      <c r="YE72" s="2936"/>
      <c r="YF72" s="2936"/>
      <c r="YG72" s="2936"/>
      <c r="YH72" s="2936"/>
      <c r="YI72" s="2936"/>
      <c r="YJ72" s="2936"/>
      <c r="YK72" s="2936"/>
      <c r="YL72" s="2936"/>
      <c r="YM72" s="2936"/>
      <c r="YN72" s="2936"/>
      <c r="YO72" s="2936"/>
      <c r="YP72" s="2936"/>
      <c r="YQ72" s="2936"/>
      <c r="YR72" s="2936"/>
      <c r="YS72" s="2936"/>
      <c r="YT72" s="2936"/>
      <c r="YU72" s="2936"/>
      <c r="YV72" s="2936"/>
      <c r="YW72" s="2936"/>
      <c r="YX72" s="2936"/>
      <c r="YY72" s="2936"/>
      <c r="YZ72" s="2936"/>
      <c r="ZA72" s="2936"/>
      <c r="ZB72" s="2936"/>
      <c r="ZC72" s="2936"/>
      <c r="ZD72" s="2936"/>
      <c r="ZE72" s="2936"/>
      <c r="ZF72" s="2936"/>
      <c r="ZG72" s="2936"/>
      <c r="ZH72" s="2936"/>
      <c r="ZI72" s="2936"/>
      <c r="ZJ72" s="2936"/>
      <c r="ZK72" s="2936"/>
      <c r="ZL72" s="2936"/>
      <c r="ZM72" s="2936"/>
      <c r="ZN72" s="2936"/>
      <c r="ZO72" s="2936"/>
      <c r="ZP72" s="2936"/>
      <c r="ZQ72" s="2936"/>
      <c r="ZR72" s="2936"/>
      <c r="ZS72" s="2936"/>
      <c r="ZT72" s="2936"/>
      <c r="ZU72" s="2936"/>
      <c r="ZV72" s="2936"/>
      <c r="ZW72" s="2936"/>
      <c r="ZX72" s="2936"/>
      <c r="ZY72" s="2936"/>
      <c r="ZZ72" s="2936"/>
      <c r="AAA72" s="2936"/>
      <c r="AAB72" s="2936"/>
      <c r="AAC72" s="2936"/>
      <c r="AAD72" s="2936"/>
      <c r="AAE72" s="2936"/>
      <c r="AAF72" s="2936"/>
      <c r="AAG72" s="2936"/>
      <c r="AAH72" s="2936"/>
      <c r="AAI72" s="2936"/>
      <c r="AAJ72" s="2936"/>
      <c r="AAK72" s="2936"/>
      <c r="AAL72" s="2936"/>
      <c r="AAM72" s="2936"/>
      <c r="AAN72" s="2936"/>
      <c r="AAO72" s="2936"/>
      <c r="AAP72" s="2936"/>
      <c r="AAQ72" s="2936"/>
      <c r="AAR72" s="2936"/>
      <c r="AAS72" s="2936"/>
      <c r="AAT72" s="2936"/>
      <c r="AAU72" s="2936"/>
      <c r="AAV72" s="2936"/>
      <c r="AAW72" s="2936"/>
      <c r="AAX72" s="2936"/>
      <c r="AAY72" s="2936"/>
      <c r="AAZ72" s="2936"/>
      <c r="ABA72" s="2936"/>
      <c r="ABB72" s="2936"/>
      <c r="ABC72" s="2936"/>
      <c r="ABD72" s="2936"/>
      <c r="ABE72" s="2936"/>
      <c r="ABF72" s="2936"/>
      <c r="ABG72" s="2936"/>
      <c r="ABH72" s="2936"/>
      <c r="ABI72" s="2936"/>
      <c r="ABJ72" s="2936"/>
      <c r="ABK72" s="2936"/>
      <c r="ABL72" s="2936"/>
      <c r="ABM72" s="2936"/>
      <c r="ABN72" s="2936"/>
      <c r="ABO72" s="2936"/>
      <c r="ABP72" s="2936"/>
      <c r="ABQ72" s="2936"/>
      <c r="ABR72" s="2936"/>
      <c r="ABS72" s="2936"/>
      <c r="ABT72" s="2936"/>
      <c r="ABU72" s="2936"/>
      <c r="ABV72" s="2936"/>
      <c r="ABW72" s="2936"/>
      <c r="ABX72" s="2936"/>
      <c r="ABY72" s="2936"/>
      <c r="ABZ72" s="2936"/>
      <c r="ACA72" s="2936"/>
      <c r="ACB72" s="2936"/>
      <c r="ACC72" s="2936"/>
      <c r="ACD72" s="2936"/>
      <c r="ACE72" s="2936"/>
      <c r="ACF72" s="2936"/>
      <c r="ACG72" s="2936"/>
      <c r="ACH72" s="2936"/>
      <c r="ACI72" s="2936"/>
      <c r="ACJ72" s="2936"/>
      <c r="ACK72" s="2936"/>
      <c r="ACL72" s="2936"/>
      <c r="ACM72" s="2936"/>
      <c r="ACN72" s="2936"/>
      <c r="ACO72" s="2936"/>
      <c r="ACP72" s="2936"/>
      <c r="ACQ72" s="2936"/>
      <c r="ACR72" s="2936"/>
      <c r="ACS72" s="2936"/>
      <c r="ACT72" s="2936"/>
      <c r="ACU72" s="2936"/>
      <c r="ACV72" s="2936"/>
      <c r="ACW72" s="2936"/>
      <c r="ACX72" s="2936"/>
      <c r="ACY72" s="2936"/>
      <c r="ACZ72" s="2936"/>
      <c r="ADA72" s="2936"/>
      <c r="ADB72" s="2936"/>
      <c r="ADC72" s="2936"/>
      <c r="ADD72" s="2936"/>
      <c r="ADE72" s="2936"/>
      <c r="ADF72" s="2936"/>
      <c r="ADG72" s="2936"/>
      <c r="ADH72" s="2936"/>
      <c r="ADI72" s="2936"/>
      <c r="ADJ72" s="2936"/>
      <c r="ADK72" s="2936"/>
      <c r="ADL72" s="2936"/>
      <c r="ADM72" s="2936"/>
      <c r="ADN72" s="2936"/>
      <c r="ADO72" s="2936"/>
      <c r="ADP72" s="2936"/>
      <c r="ADQ72" s="2936"/>
      <c r="ADR72" s="2936"/>
      <c r="ADS72" s="2936"/>
      <c r="ADT72" s="2936"/>
      <c r="ADU72" s="2936"/>
      <c r="ADV72" s="2936"/>
      <c r="ADW72" s="2936"/>
      <c r="ADX72" s="2936"/>
      <c r="ADY72" s="2936"/>
      <c r="ADZ72" s="2936"/>
      <c r="AEA72" s="2936"/>
      <c r="AEB72" s="2936"/>
      <c r="AEC72" s="2936"/>
      <c r="AED72" s="2936"/>
      <c r="AEE72" s="2936"/>
      <c r="AEF72" s="2936"/>
      <c r="AEG72" s="2936"/>
      <c r="AEH72" s="2936"/>
      <c r="AEI72" s="2936"/>
      <c r="AEJ72" s="2936"/>
      <c r="AEK72" s="2936"/>
      <c r="AEL72" s="2936"/>
      <c r="AEM72" s="2936"/>
      <c r="AEN72" s="2936"/>
      <c r="AEO72" s="2936"/>
      <c r="AEP72" s="2936"/>
      <c r="AEQ72" s="2936"/>
      <c r="AER72" s="2936"/>
      <c r="AES72" s="2936"/>
      <c r="AET72" s="2936"/>
      <c r="AEU72" s="2936"/>
      <c r="AEV72" s="2936"/>
      <c r="AEW72" s="2936"/>
      <c r="AEX72" s="2936"/>
      <c r="AEY72" s="2936"/>
      <c r="AEZ72" s="2936"/>
      <c r="AFA72" s="2936"/>
      <c r="AFB72" s="2936"/>
      <c r="AFC72" s="2936"/>
      <c r="AFD72" s="2936"/>
      <c r="AFE72" s="2936"/>
      <c r="AFF72" s="2936"/>
      <c r="AFG72" s="2936"/>
      <c r="AFH72" s="2936"/>
      <c r="AFI72" s="2936"/>
      <c r="AFJ72" s="2936"/>
      <c r="AFK72" s="2936"/>
      <c r="AFL72" s="2936"/>
      <c r="AFM72" s="2936"/>
      <c r="AFN72" s="2936"/>
      <c r="AFO72" s="2936"/>
      <c r="AFP72" s="2936"/>
      <c r="AFQ72" s="2936"/>
      <c r="AFR72" s="2936"/>
      <c r="AFS72" s="2936"/>
      <c r="AFT72" s="2936"/>
      <c r="AFU72" s="2936"/>
      <c r="AFV72" s="2936"/>
      <c r="AFW72" s="2936"/>
      <c r="AFX72" s="2936"/>
      <c r="AFY72" s="2936"/>
      <c r="AFZ72" s="2936"/>
      <c r="AGA72" s="2936"/>
      <c r="AGB72" s="2936"/>
      <c r="AGC72" s="2936"/>
      <c r="AGD72" s="2936"/>
      <c r="AGE72" s="2936"/>
      <c r="AGF72" s="2936"/>
      <c r="AGG72" s="2936"/>
      <c r="AGH72" s="2936"/>
      <c r="AGI72" s="2936"/>
      <c r="AGJ72" s="2936"/>
      <c r="AGK72" s="2936"/>
      <c r="AGL72" s="2936"/>
      <c r="AGM72" s="2936"/>
      <c r="AGN72" s="2936"/>
      <c r="AGO72" s="2936"/>
      <c r="AGP72" s="2936"/>
      <c r="AGQ72" s="2936"/>
      <c r="AGR72" s="2936"/>
      <c r="AGS72" s="2936"/>
      <c r="AGT72" s="2936"/>
      <c r="AGU72" s="2936"/>
      <c r="AGV72" s="2936"/>
      <c r="AGW72" s="2936"/>
      <c r="AGX72" s="2936"/>
      <c r="AGY72" s="2936"/>
      <c r="AGZ72" s="2936"/>
      <c r="AHA72" s="2936"/>
      <c r="AHB72" s="2936"/>
      <c r="AHC72" s="2936"/>
      <c r="AHD72" s="2936"/>
      <c r="AHE72" s="2936"/>
      <c r="AHF72" s="2936"/>
      <c r="AHG72" s="2936"/>
      <c r="AHH72" s="2936"/>
      <c r="AHI72" s="2936"/>
      <c r="AHJ72" s="2936"/>
      <c r="AHK72" s="2936"/>
      <c r="AHL72" s="2936"/>
      <c r="AHM72" s="2936"/>
      <c r="AHN72" s="2936"/>
      <c r="AHO72" s="2936"/>
      <c r="AHP72" s="2936"/>
      <c r="AHQ72" s="2936"/>
      <c r="AHR72" s="2936"/>
      <c r="AHS72" s="2936"/>
      <c r="AHT72" s="2936"/>
      <c r="AHU72" s="2936"/>
      <c r="AHV72" s="2936"/>
      <c r="AHW72" s="2936"/>
      <c r="AHX72" s="2936"/>
      <c r="AHY72" s="2936"/>
      <c r="AHZ72" s="2936"/>
      <c r="AIA72" s="2936"/>
      <c r="AIB72" s="2936"/>
      <c r="AIC72" s="2936"/>
      <c r="AID72" s="2936"/>
      <c r="AIE72" s="2936"/>
      <c r="AIF72" s="2936"/>
      <c r="AIG72" s="2936"/>
      <c r="AIH72" s="2936"/>
      <c r="AII72" s="2936"/>
      <c r="AIJ72" s="2936"/>
      <c r="AIK72" s="2936"/>
      <c r="AIL72" s="2936"/>
      <c r="AIM72" s="2936"/>
      <c r="AIN72" s="2936"/>
      <c r="AIO72" s="2936"/>
      <c r="AIP72" s="2936"/>
      <c r="AIQ72" s="2936"/>
      <c r="AIR72" s="2936"/>
      <c r="AIS72" s="2936"/>
      <c r="AIT72" s="2936"/>
      <c r="AIU72" s="2936"/>
      <c r="AIV72" s="2936"/>
      <c r="AIW72" s="2936"/>
      <c r="AIX72" s="2936"/>
      <c r="AIY72" s="2936"/>
      <c r="AIZ72" s="2936"/>
      <c r="AJA72" s="2936"/>
      <c r="AJB72" s="2936"/>
      <c r="AJC72" s="2936"/>
      <c r="AJD72" s="2936"/>
      <c r="AJE72" s="2936"/>
      <c r="AJF72" s="2936"/>
      <c r="AJG72" s="2936"/>
      <c r="AJH72" s="2936"/>
      <c r="AJI72" s="2936"/>
      <c r="AJJ72" s="2936"/>
      <c r="AJK72" s="2936"/>
      <c r="AJL72" s="2936"/>
      <c r="AJM72" s="2936"/>
      <c r="AJN72" s="2936"/>
      <c r="AJO72" s="2936"/>
      <c r="AJP72" s="2936"/>
      <c r="AJQ72" s="2936"/>
      <c r="AJR72" s="2936"/>
      <c r="AJS72" s="2936"/>
      <c r="AJT72" s="2936"/>
      <c r="AJU72" s="2936"/>
      <c r="AJV72" s="2936"/>
      <c r="AJW72" s="2936"/>
      <c r="AJX72" s="2936"/>
      <c r="AJY72" s="2936"/>
      <c r="AJZ72" s="2936"/>
      <c r="AKA72" s="2936"/>
      <c r="AKB72" s="2936"/>
      <c r="AKC72" s="2936"/>
      <c r="AKD72" s="2936"/>
      <c r="AKE72" s="2936"/>
      <c r="AKF72" s="2936"/>
      <c r="AKG72" s="2936"/>
      <c r="AKH72" s="2936"/>
      <c r="AKI72" s="2936"/>
      <c r="AKJ72" s="2936"/>
      <c r="AKK72" s="2936"/>
      <c r="AKL72" s="2936"/>
      <c r="AKM72" s="2936"/>
      <c r="AKN72" s="2936"/>
      <c r="AKO72" s="2936"/>
      <c r="AKP72" s="2936"/>
      <c r="AKQ72" s="2936"/>
      <c r="AKR72" s="2936"/>
      <c r="AKS72" s="2936"/>
      <c r="AKT72" s="2936"/>
      <c r="AKU72" s="2936"/>
      <c r="AKV72" s="2936"/>
      <c r="AKW72" s="2936"/>
      <c r="AKX72" s="2936"/>
      <c r="AKY72" s="2936"/>
      <c r="AKZ72" s="2936"/>
      <c r="ALA72" s="2936"/>
      <c r="ALB72" s="2936"/>
      <c r="ALC72" s="2936"/>
      <c r="ALD72" s="2936"/>
      <c r="ALE72" s="2936"/>
      <c r="ALF72" s="2936"/>
      <c r="ALG72" s="2936"/>
      <c r="ALH72" s="2936"/>
      <c r="ALI72" s="2936"/>
      <c r="ALJ72" s="2936"/>
      <c r="ALK72" s="2936"/>
      <c r="ALL72" s="2936"/>
      <c r="ALM72" s="2936"/>
      <c r="ALN72" s="2936"/>
      <c r="ALO72" s="2936"/>
      <c r="ALP72" s="2936"/>
      <c r="ALQ72" s="2936"/>
      <c r="ALR72" s="2936"/>
      <c r="ALS72" s="2936"/>
      <c r="ALT72" s="2936"/>
      <c r="ALU72" s="2936"/>
      <c r="ALV72" s="2936"/>
      <c r="ALW72" s="2936"/>
      <c r="ALX72" s="2936"/>
      <c r="ALY72" s="2936"/>
      <c r="ALZ72" s="2936"/>
      <c r="AMA72" s="2936"/>
      <c r="AMB72" s="2936"/>
      <c r="AMC72" s="2936"/>
      <c r="AMD72" s="2936"/>
      <c r="AME72" s="2936"/>
      <c r="AMF72" s="2936"/>
      <c r="AMG72" s="2936"/>
      <c r="AMH72" s="2936"/>
      <c r="AMI72" s="2936"/>
      <c r="AMJ72" s="2936"/>
      <c r="AMK72" s="2936"/>
      <c r="AML72" s="2936"/>
      <c r="AMM72" s="2936"/>
      <c r="AMN72" s="2936"/>
      <c r="AMO72" s="2936"/>
      <c r="AMP72" s="2936"/>
      <c r="AMQ72" s="2936"/>
      <c r="AMR72" s="2936"/>
      <c r="AMS72" s="2936"/>
      <c r="AMT72" s="2936"/>
      <c r="AMU72" s="2936"/>
      <c r="AMV72" s="2936"/>
      <c r="AMW72" s="2936"/>
      <c r="AMX72" s="2936"/>
      <c r="AMY72" s="2936"/>
      <c r="AMZ72" s="2936"/>
      <c r="ANA72" s="2936"/>
      <c r="ANB72" s="2936"/>
      <c r="ANC72" s="2936"/>
      <c r="AND72" s="2936"/>
      <c r="ANE72" s="2936"/>
      <c r="ANF72" s="2936"/>
      <c r="ANG72" s="2936"/>
      <c r="ANH72" s="2936"/>
      <c r="ANI72" s="2936"/>
      <c r="ANJ72" s="2936"/>
      <c r="ANK72" s="2936"/>
      <c r="ANL72" s="2936"/>
      <c r="ANM72" s="2936"/>
      <c r="ANN72" s="2936"/>
      <c r="ANO72" s="2936"/>
      <c r="ANP72" s="2936"/>
      <c r="ANQ72" s="2936"/>
      <c r="ANR72" s="2936"/>
      <c r="ANS72" s="2936"/>
      <c r="ANT72" s="2936"/>
      <c r="ANU72" s="2936"/>
      <c r="ANV72" s="2936"/>
      <c r="ANW72" s="2936"/>
      <c r="ANX72" s="2936"/>
      <c r="ANY72" s="2936"/>
      <c r="ANZ72" s="2936"/>
      <c r="AOA72" s="2936"/>
      <c r="AOB72" s="2936"/>
      <c r="AOC72" s="2936"/>
      <c r="AOD72" s="2936"/>
      <c r="AOE72" s="2936"/>
      <c r="AOF72" s="2936"/>
      <c r="AOG72" s="2936"/>
      <c r="AOH72" s="2936"/>
      <c r="AOI72" s="2936"/>
      <c r="AOJ72" s="2936"/>
      <c r="AOK72" s="2936"/>
      <c r="AOL72" s="2936"/>
      <c r="AOM72" s="2936"/>
      <c r="AON72" s="2936"/>
      <c r="AOO72" s="2936"/>
      <c r="AOP72" s="2936"/>
      <c r="AOQ72" s="2936"/>
      <c r="AOR72" s="2936"/>
      <c r="AOS72" s="2936"/>
      <c r="AOT72" s="2936"/>
      <c r="AOU72" s="2936"/>
      <c r="AOV72" s="2936"/>
      <c r="AOW72" s="2936"/>
      <c r="AOX72" s="2936"/>
      <c r="AOY72" s="2936"/>
      <c r="AOZ72" s="2936"/>
      <c r="APA72" s="2936"/>
      <c r="APB72" s="2936"/>
      <c r="APC72" s="2936"/>
      <c r="APD72" s="2936"/>
      <c r="APE72" s="2936"/>
      <c r="APF72" s="2936"/>
      <c r="APG72" s="2936"/>
      <c r="APH72" s="2936"/>
      <c r="API72" s="2936"/>
      <c r="APJ72" s="2936"/>
      <c r="APK72" s="2936"/>
      <c r="APL72" s="2936"/>
      <c r="APM72" s="2936"/>
      <c r="APN72" s="2936"/>
      <c r="APO72" s="2936"/>
      <c r="APP72" s="2936"/>
      <c r="APQ72" s="2936"/>
      <c r="APR72" s="2936"/>
      <c r="APS72" s="2936"/>
      <c r="APT72" s="2936"/>
      <c r="APU72" s="2936"/>
      <c r="APV72" s="2936"/>
      <c r="APW72" s="2936"/>
      <c r="APX72" s="2936"/>
      <c r="APY72" s="2936"/>
      <c r="APZ72" s="2936"/>
      <c r="AQA72" s="2936"/>
      <c r="AQB72" s="2936"/>
      <c r="AQC72" s="2936"/>
      <c r="AQD72" s="2936"/>
      <c r="AQE72" s="2936"/>
      <c r="AQF72" s="2936"/>
      <c r="AQG72" s="2936"/>
      <c r="AQH72" s="2936"/>
      <c r="AQI72" s="2936"/>
      <c r="AQJ72" s="2936"/>
      <c r="AQK72" s="2936"/>
      <c r="AQL72" s="2936"/>
      <c r="AQM72" s="2936"/>
      <c r="AQN72" s="2936"/>
      <c r="AQO72" s="2936"/>
      <c r="AQP72" s="2936"/>
      <c r="AQQ72" s="2936"/>
      <c r="AQR72" s="2936"/>
      <c r="AQS72" s="2936"/>
      <c r="AQT72" s="2936"/>
      <c r="AQU72" s="2936"/>
      <c r="AQV72" s="2936"/>
      <c r="AQW72" s="2936"/>
      <c r="AQX72" s="2936"/>
      <c r="AQY72" s="2936"/>
      <c r="AQZ72" s="2936"/>
      <c r="ARA72" s="2936"/>
      <c r="ARB72" s="2936"/>
      <c r="ARC72" s="2936"/>
      <c r="ARD72" s="2936"/>
      <c r="ARE72" s="2936"/>
      <c r="ARF72" s="2936"/>
      <c r="ARG72" s="2936"/>
      <c r="ARH72" s="2936"/>
      <c r="ARI72" s="2936"/>
      <c r="ARJ72" s="2936"/>
      <c r="ARK72" s="2936"/>
      <c r="ARL72" s="2936"/>
      <c r="ARM72" s="2936"/>
      <c r="ARN72" s="2936"/>
      <c r="ARO72" s="2936"/>
      <c r="ARP72" s="2936"/>
      <c r="ARQ72" s="2936"/>
      <c r="ARR72" s="2936"/>
      <c r="ARS72" s="2936"/>
      <c r="ART72" s="2936"/>
      <c r="ARU72" s="2936"/>
      <c r="ARV72" s="2936"/>
      <c r="ARW72" s="2936"/>
      <c r="ARX72" s="2936"/>
      <c r="ARY72" s="2936"/>
      <c r="ARZ72" s="2936"/>
      <c r="ASA72" s="2936"/>
      <c r="ASB72" s="2936"/>
      <c r="ASC72" s="2936"/>
      <c r="ASD72" s="2936"/>
      <c r="ASE72" s="2936"/>
      <c r="ASF72" s="2936"/>
      <c r="ASG72" s="2936"/>
      <c r="ASH72" s="2936"/>
      <c r="ASI72" s="2936"/>
      <c r="ASJ72" s="2936"/>
      <c r="ASK72" s="2936"/>
      <c r="ASL72" s="2936"/>
      <c r="ASM72" s="2936"/>
      <c r="ASN72" s="2936"/>
      <c r="ASO72" s="2936"/>
      <c r="ASP72" s="2936"/>
      <c r="ASQ72" s="2936"/>
      <c r="ASR72" s="2936"/>
      <c r="ASS72" s="2936"/>
      <c r="AST72" s="2936"/>
      <c r="ASU72" s="2936"/>
      <c r="ASV72" s="2936"/>
      <c r="ASW72" s="2936"/>
      <c r="ASX72" s="2936"/>
      <c r="ASY72" s="2936"/>
      <c r="ASZ72" s="2936"/>
      <c r="ATA72" s="2936"/>
      <c r="ATB72" s="2936"/>
      <c r="ATC72" s="2936"/>
      <c r="ATD72" s="2936"/>
      <c r="ATE72" s="2936"/>
      <c r="ATF72" s="2936"/>
      <c r="ATG72" s="2936"/>
      <c r="ATH72" s="2936"/>
      <c r="ATI72" s="2936"/>
      <c r="ATJ72" s="2936"/>
      <c r="ATK72" s="2936"/>
      <c r="ATL72" s="2936"/>
      <c r="ATM72" s="2936"/>
      <c r="ATN72" s="2936"/>
      <c r="ATO72" s="2936"/>
      <c r="ATP72" s="2936"/>
      <c r="ATQ72" s="2936"/>
      <c r="ATR72" s="2936"/>
      <c r="ATS72" s="2936"/>
      <c r="ATT72" s="2936"/>
      <c r="ATU72" s="2936"/>
      <c r="ATV72" s="2936"/>
      <c r="ATW72" s="2936"/>
      <c r="ATX72" s="2936"/>
      <c r="ATY72" s="2936"/>
      <c r="ATZ72" s="2936"/>
      <c r="AUA72" s="2936"/>
      <c r="AUB72" s="2936"/>
      <c r="AUC72" s="2936"/>
      <c r="AUD72" s="2936"/>
      <c r="AUE72" s="2936"/>
      <c r="AUF72" s="2936"/>
      <c r="AUG72" s="2936"/>
      <c r="AUH72" s="2936"/>
      <c r="AUI72" s="2936"/>
      <c r="AUJ72" s="2936"/>
      <c r="AUK72" s="2936"/>
      <c r="AUL72" s="2936"/>
      <c r="AUM72" s="2936"/>
      <c r="AUN72" s="2936"/>
      <c r="AUO72" s="2936"/>
      <c r="AUP72" s="2936"/>
      <c r="AUQ72" s="2936"/>
      <c r="AUR72" s="2936"/>
      <c r="AUS72" s="2936"/>
      <c r="AUT72" s="2936"/>
      <c r="AUU72" s="2936"/>
      <c r="AUV72" s="2936"/>
      <c r="AUW72" s="2936"/>
      <c r="AUX72" s="2936"/>
      <c r="AUY72" s="2936"/>
      <c r="AUZ72" s="2936"/>
      <c r="AVA72" s="2936"/>
      <c r="AVB72" s="2936"/>
      <c r="AVC72" s="2936"/>
      <c r="AVD72" s="2936"/>
      <c r="AVE72" s="2936"/>
      <c r="AVF72" s="2936"/>
      <c r="AVG72" s="2936"/>
      <c r="AVH72" s="2936"/>
      <c r="AVI72" s="2936"/>
      <c r="AVJ72" s="2936"/>
      <c r="AVK72" s="2936"/>
      <c r="AVL72" s="2936"/>
      <c r="AVM72" s="2936"/>
      <c r="AVN72" s="2936"/>
      <c r="AVO72" s="2936"/>
      <c r="AVP72" s="2936"/>
      <c r="AVQ72" s="2936"/>
      <c r="AVR72" s="2936"/>
      <c r="AVS72" s="2936"/>
      <c r="AVT72" s="2936"/>
      <c r="AVU72" s="2936"/>
      <c r="AVV72" s="2936"/>
      <c r="AVW72" s="2936"/>
      <c r="AVX72" s="2936"/>
      <c r="AVY72" s="2936"/>
      <c r="AVZ72" s="2936"/>
      <c r="AWA72" s="2936"/>
      <c r="AWB72" s="2936"/>
      <c r="AWC72" s="2936"/>
      <c r="AWD72" s="2936"/>
      <c r="AWE72" s="2936"/>
      <c r="AWF72" s="2936"/>
      <c r="AWG72" s="2936"/>
      <c r="AWH72" s="2936"/>
      <c r="AWI72" s="2936"/>
      <c r="AWJ72" s="2936"/>
      <c r="AWK72" s="2936"/>
      <c r="AWL72" s="2936"/>
      <c r="AWM72" s="2936"/>
      <c r="AWN72" s="2936"/>
      <c r="AWO72" s="2936"/>
      <c r="AWP72" s="2936"/>
      <c r="AWQ72" s="2936"/>
      <c r="AWR72" s="2936"/>
      <c r="AWS72" s="2936"/>
      <c r="AWT72" s="2936"/>
      <c r="AWU72" s="2936"/>
      <c r="AWV72" s="2936"/>
      <c r="AWW72" s="2936"/>
      <c r="AWX72" s="2936"/>
      <c r="AWY72" s="2936"/>
      <c r="AWZ72" s="2936"/>
      <c r="AXA72" s="2936"/>
      <c r="AXB72" s="2936"/>
      <c r="AXC72" s="2936"/>
      <c r="AXD72" s="2936"/>
      <c r="AXE72" s="2936"/>
      <c r="AXF72" s="2936"/>
      <c r="AXG72" s="2936"/>
      <c r="AXH72" s="2936"/>
      <c r="AXI72" s="2936"/>
      <c r="AXJ72" s="2936"/>
      <c r="AXK72" s="2936"/>
      <c r="AXL72" s="2936"/>
      <c r="AXM72" s="2936"/>
      <c r="AXN72" s="2936"/>
      <c r="AXO72" s="2936"/>
      <c r="AXP72" s="2936"/>
      <c r="AXQ72" s="2936"/>
      <c r="AXR72" s="2936"/>
      <c r="AXS72" s="2936"/>
      <c r="AXT72" s="2936"/>
      <c r="AXU72" s="2936"/>
      <c r="AXV72" s="2936"/>
      <c r="AXW72" s="2936"/>
      <c r="AXX72" s="2936"/>
      <c r="AXY72" s="2936"/>
      <c r="AXZ72" s="2936"/>
      <c r="AYA72" s="2936"/>
      <c r="AYB72" s="2936"/>
      <c r="AYC72" s="2936"/>
      <c r="AYD72" s="2936"/>
      <c r="AYE72" s="2936"/>
      <c r="AYF72" s="2936"/>
      <c r="AYG72" s="2936"/>
      <c r="AYH72" s="2936"/>
      <c r="AYI72" s="2936"/>
      <c r="AYJ72" s="2936"/>
      <c r="AYK72" s="2936"/>
      <c r="AYL72" s="2936"/>
      <c r="AYM72" s="2936"/>
      <c r="AYN72" s="2936"/>
      <c r="AYO72" s="2936"/>
      <c r="AYP72" s="2936"/>
      <c r="AYQ72" s="2936"/>
      <c r="AYR72" s="2936"/>
      <c r="AYS72" s="2936"/>
      <c r="AYT72" s="2936"/>
      <c r="AYU72" s="2936"/>
      <c r="AYV72" s="2936"/>
      <c r="AYW72" s="2936"/>
      <c r="AYX72" s="2936"/>
      <c r="AYY72" s="2936"/>
      <c r="AYZ72" s="2936"/>
      <c r="AZA72" s="2936"/>
      <c r="AZB72" s="2936"/>
      <c r="AZC72" s="2936"/>
      <c r="AZD72" s="2936"/>
      <c r="AZE72" s="2936"/>
      <c r="AZF72" s="2936"/>
      <c r="AZG72" s="2936"/>
      <c r="AZH72" s="2936"/>
      <c r="AZI72" s="2936"/>
      <c r="AZJ72" s="2936"/>
      <c r="AZK72" s="2936"/>
      <c r="AZL72" s="2936"/>
      <c r="AZM72" s="2936"/>
      <c r="AZN72" s="2936"/>
      <c r="AZO72" s="2936"/>
      <c r="AZP72" s="2936"/>
      <c r="AZQ72" s="2936"/>
      <c r="AZR72" s="2936"/>
      <c r="AZS72" s="2936"/>
      <c r="AZT72" s="2936"/>
      <c r="AZU72" s="2936"/>
      <c r="AZV72" s="2936"/>
      <c r="AZW72" s="2936"/>
      <c r="AZX72" s="2936"/>
      <c r="AZY72" s="2936"/>
      <c r="AZZ72" s="2936"/>
      <c r="BAA72" s="2936"/>
      <c r="BAB72" s="2936"/>
      <c r="BAC72" s="2936"/>
      <c r="BAD72" s="2936"/>
      <c r="BAE72" s="2936"/>
      <c r="BAF72" s="2936"/>
      <c r="BAG72" s="2936"/>
      <c r="BAH72" s="2936"/>
      <c r="BAI72" s="2936"/>
      <c r="BAJ72" s="2936"/>
      <c r="BAK72" s="2936"/>
      <c r="BAL72" s="2936"/>
      <c r="BAM72" s="2936"/>
      <c r="BAN72" s="2936"/>
      <c r="BAO72" s="2936"/>
      <c r="BAP72" s="2936"/>
      <c r="BAQ72" s="2936"/>
      <c r="BAR72" s="2936"/>
      <c r="BAS72" s="2936"/>
      <c r="BAT72" s="2936"/>
      <c r="BAU72" s="2936"/>
      <c r="BAV72" s="2936"/>
      <c r="BAW72" s="2936"/>
      <c r="BAX72" s="2936"/>
      <c r="BAY72" s="2936"/>
      <c r="BAZ72" s="2936"/>
      <c r="BBA72" s="2936"/>
      <c r="BBB72" s="2936"/>
      <c r="BBC72" s="2936"/>
      <c r="BBD72" s="2936"/>
      <c r="BBE72" s="2936"/>
      <c r="BBF72" s="2936"/>
      <c r="BBG72" s="2936"/>
      <c r="BBH72" s="2936"/>
      <c r="BBI72" s="2936"/>
      <c r="BBJ72" s="2936"/>
      <c r="BBK72" s="2936"/>
      <c r="BBL72" s="2936"/>
      <c r="BBM72" s="2936"/>
      <c r="BBN72" s="2936"/>
      <c r="BBO72" s="2936"/>
      <c r="BBP72" s="2936"/>
      <c r="BBQ72" s="2936"/>
      <c r="BBR72" s="2936"/>
      <c r="BBS72" s="2936"/>
      <c r="BBT72" s="2936"/>
      <c r="BBU72" s="2936"/>
      <c r="BBV72" s="2936"/>
      <c r="BBW72" s="2936"/>
      <c r="BBX72" s="2936"/>
      <c r="BBY72" s="2936"/>
      <c r="BBZ72" s="2936"/>
      <c r="BCA72" s="2936"/>
      <c r="BCB72" s="2936"/>
      <c r="BCC72" s="2936"/>
      <c r="BCD72" s="2936"/>
      <c r="BCE72" s="2936"/>
      <c r="BCF72" s="2936"/>
      <c r="BCG72" s="2936"/>
      <c r="BCH72" s="2936"/>
      <c r="BCI72" s="2936"/>
      <c r="BCJ72" s="2936"/>
      <c r="BCK72" s="2936"/>
      <c r="BCL72" s="2936"/>
      <c r="BCM72" s="2936"/>
      <c r="BCN72" s="2936"/>
      <c r="BCO72" s="2936"/>
      <c r="BCP72" s="2936"/>
      <c r="BCQ72" s="2936"/>
      <c r="BCR72" s="2936"/>
      <c r="BCS72" s="2936"/>
      <c r="BCT72" s="2936"/>
      <c r="BCU72" s="2936"/>
      <c r="BCV72" s="2936"/>
      <c r="BCW72" s="2936"/>
      <c r="BCX72" s="2936"/>
      <c r="BCY72" s="2936"/>
      <c r="BCZ72" s="2936"/>
      <c r="BDA72" s="2936"/>
      <c r="BDB72" s="2936"/>
      <c r="BDC72" s="2936"/>
      <c r="BDD72" s="2936"/>
      <c r="BDE72" s="2936"/>
      <c r="BDF72" s="2936"/>
      <c r="BDG72" s="2936"/>
      <c r="BDH72" s="2936"/>
      <c r="BDI72" s="2936"/>
      <c r="BDJ72" s="2936"/>
      <c r="BDK72" s="2936"/>
      <c r="BDL72" s="2936"/>
      <c r="BDM72" s="2936"/>
      <c r="BDN72" s="2936"/>
      <c r="BDO72" s="2936"/>
      <c r="BDP72" s="2936"/>
      <c r="BDQ72" s="2936"/>
      <c r="BDR72" s="2936"/>
      <c r="BDS72" s="2936"/>
      <c r="BDT72" s="2936"/>
      <c r="BDU72" s="2936"/>
      <c r="BDV72" s="2936"/>
      <c r="BDW72" s="2936"/>
      <c r="BDX72" s="2936"/>
      <c r="BDY72" s="2936"/>
      <c r="BDZ72" s="2936"/>
      <c r="BEA72" s="2936"/>
      <c r="BEB72" s="2936"/>
      <c r="BEC72" s="2936"/>
      <c r="BED72" s="2936"/>
      <c r="BEE72" s="2936"/>
      <c r="BEF72" s="2936"/>
      <c r="BEG72" s="2936"/>
      <c r="BEH72" s="2936"/>
      <c r="BEI72" s="2936"/>
      <c r="BEJ72" s="2936"/>
      <c r="BEK72" s="2936"/>
      <c r="BEL72" s="2936"/>
      <c r="BEM72" s="2936"/>
      <c r="BEN72" s="2936"/>
      <c r="BEO72" s="2936"/>
      <c r="BEP72" s="2936"/>
      <c r="BEQ72" s="2936"/>
      <c r="BER72" s="2936"/>
      <c r="BES72" s="2936"/>
      <c r="BET72" s="2936"/>
      <c r="BEU72" s="2936"/>
      <c r="BEV72" s="2936"/>
      <c r="BEW72" s="2936"/>
      <c r="BEX72" s="2936"/>
      <c r="BEY72" s="2936"/>
      <c r="BEZ72" s="2936"/>
      <c r="BFA72" s="2936"/>
      <c r="BFB72" s="2936"/>
      <c r="BFC72" s="2936"/>
      <c r="BFD72" s="2936"/>
      <c r="BFE72" s="2936"/>
      <c r="BFF72" s="2936"/>
      <c r="BFG72" s="2936"/>
      <c r="BFH72" s="2936"/>
      <c r="BFI72" s="2936"/>
      <c r="BFJ72" s="2936"/>
      <c r="BFK72" s="2936"/>
      <c r="BFL72" s="2936"/>
      <c r="BFM72" s="2936"/>
      <c r="BFN72" s="2936"/>
      <c r="BFO72" s="2936"/>
      <c r="BFP72" s="2936"/>
      <c r="BFQ72" s="2936"/>
      <c r="BFR72" s="2936"/>
      <c r="BFS72" s="2936"/>
      <c r="BFT72" s="2936"/>
      <c r="BFU72" s="2936"/>
      <c r="BFV72" s="2936"/>
      <c r="BFW72" s="2936"/>
      <c r="BFX72" s="2936"/>
      <c r="BFY72" s="2936"/>
      <c r="BFZ72" s="2936"/>
      <c r="BGA72" s="2936"/>
      <c r="BGB72" s="2936"/>
      <c r="BGC72" s="2936"/>
      <c r="BGD72" s="2936"/>
      <c r="BGE72" s="2936"/>
      <c r="BGF72" s="2936"/>
      <c r="BGG72" s="2936"/>
      <c r="BGH72" s="2936"/>
      <c r="BGI72" s="2936"/>
      <c r="BGJ72" s="2936"/>
      <c r="BGK72" s="2936"/>
      <c r="BGL72" s="2936"/>
      <c r="BGM72" s="2936"/>
      <c r="BGN72" s="2936"/>
      <c r="BGO72" s="2936"/>
      <c r="BGP72" s="2936"/>
      <c r="BGQ72" s="2936"/>
      <c r="BGR72" s="2936"/>
      <c r="BGS72" s="2936"/>
      <c r="BGT72" s="2936"/>
      <c r="BGU72" s="2936"/>
      <c r="BGV72" s="2936"/>
      <c r="BGW72" s="2936"/>
      <c r="BGX72" s="2936"/>
      <c r="BGY72" s="2936"/>
      <c r="BGZ72" s="2936"/>
      <c r="BHA72" s="2936"/>
      <c r="BHB72" s="2936"/>
      <c r="BHC72" s="2936"/>
      <c r="BHD72" s="2936"/>
      <c r="BHE72" s="2936"/>
      <c r="BHF72" s="2936"/>
      <c r="BHG72" s="2936"/>
      <c r="BHH72" s="2936"/>
      <c r="BHI72" s="2936"/>
      <c r="BHJ72" s="2936"/>
      <c r="BHK72" s="2936"/>
      <c r="BHL72" s="2936"/>
      <c r="BHM72" s="2936"/>
      <c r="BHN72" s="2936"/>
      <c r="BHO72" s="2936"/>
      <c r="BHP72" s="2936"/>
      <c r="BHQ72" s="2936"/>
      <c r="BHR72" s="2936"/>
      <c r="BHS72" s="2936"/>
      <c r="BHT72" s="2936"/>
      <c r="BHU72" s="2936"/>
      <c r="BHV72" s="2936"/>
      <c r="BHW72" s="2936"/>
      <c r="BHX72" s="2936"/>
      <c r="BHY72" s="2936"/>
      <c r="BHZ72" s="2936"/>
      <c r="BIA72" s="2936"/>
      <c r="BIB72" s="2936"/>
      <c r="BIC72" s="2936"/>
      <c r="BID72" s="2936"/>
      <c r="BIE72" s="2936"/>
      <c r="BIF72" s="2936"/>
      <c r="BIG72" s="2936"/>
      <c r="BIH72" s="2936"/>
      <c r="BII72" s="2936"/>
      <c r="BIJ72" s="2936"/>
      <c r="BIK72" s="2936"/>
      <c r="BIL72" s="2936"/>
      <c r="BIM72" s="2936"/>
      <c r="BIN72" s="2936"/>
      <c r="BIO72" s="2936"/>
      <c r="BIP72" s="2936"/>
      <c r="BIQ72" s="2936"/>
      <c r="BIR72" s="2936"/>
      <c r="BIS72" s="2936"/>
      <c r="BIT72" s="2936"/>
      <c r="BIU72" s="2936"/>
      <c r="BIV72" s="2936"/>
      <c r="BIW72" s="2936"/>
      <c r="BIX72" s="2936"/>
      <c r="BIY72" s="2936"/>
      <c r="BIZ72" s="2936"/>
      <c r="BJA72" s="2936"/>
      <c r="BJB72" s="2936"/>
      <c r="BJC72" s="2936"/>
      <c r="BJD72" s="2936"/>
      <c r="BJE72" s="2936"/>
      <c r="BJF72" s="2936"/>
      <c r="BJG72" s="2936"/>
      <c r="BJH72" s="2936"/>
      <c r="BJI72" s="2936"/>
      <c r="BJJ72" s="2936"/>
      <c r="BJK72" s="2936"/>
      <c r="BJL72" s="2936"/>
      <c r="BJM72" s="2936"/>
      <c r="BJN72" s="2936"/>
      <c r="BJO72" s="2936"/>
      <c r="BJP72" s="2936"/>
      <c r="BJQ72" s="2936"/>
      <c r="BJR72" s="2936"/>
      <c r="BJS72" s="2936"/>
      <c r="BJT72" s="2936"/>
      <c r="BJU72" s="2936"/>
      <c r="BJV72" s="2936"/>
      <c r="BJW72" s="2936"/>
      <c r="BJX72" s="2936"/>
      <c r="BJY72" s="2936"/>
      <c r="BJZ72" s="2936"/>
      <c r="BKA72" s="2936"/>
      <c r="BKB72" s="2936"/>
      <c r="BKC72" s="2936"/>
      <c r="BKD72" s="2936"/>
      <c r="BKE72" s="2936"/>
      <c r="BKF72" s="2936"/>
      <c r="BKG72" s="2936"/>
      <c r="BKH72" s="2936"/>
      <c r="BKI72" s="2936"/>
      <c r="BKJ72" s="2936"/>
      <c r="BKK72" s="2936"/>
      <c r="BKL72" s="2936"/>
      <c r="BKM72" s="2936"/>
      <c r="BKN72" s="2936"/>
      <c r="BKO72" s="2936"/>
      <c r="BKP72" s="2936"/>
      <c r="BKQ72" s="2936"/>
      <c r="BKR72" s="2936"/>
      <c r="BKS72" s="2936"/>
      <c r="BKT72" s="2936"/>
      <c r="BKU72" s="2936"/>
      <c r="BKV72" s="2936"/>
      <c r="BKW72" s="2936"/>
      <c r="BKX72" s="2936"/>
      <c r="BKY72" s="2936"/>
      <c r="BKZ72" s="2936"/>
      <c r="BLA72" s="2936"/>
      <c r="BLB72" s="2936"/>
      <c r="BLC72" s="2936"/>
      <c r="BLD72" s="2936"/>
      <c r="BLE72" s="2936"/>
      <c r="BLF72" s="2936"/>
      <c r="BLG72" s="2936"/>
      <c r="BLH72" s="2936"/>
      <c r="BLI72" s="2936"/>
      <c r="BLJ72" s="2936"/>
      <c r="BLK72" s="2936"/>
      <c r="BLL72" s="2936"/>
      <c r="BLM72" s="2936"/>
      <c r="BLN72" s="2936"/>
      <c r="BLO72" s="2936"/>
      <c r="BLP72" s="2936"/>
      <c r="BLQ72" s="2936"/>
      <c r="BLR72" s="2936"/>
      <c r="BLS72" s="2936"/>
      <c r="BLT72" s="2936"/>
      <c r="BLU72" s="2936"/>
      <c r="BLV72" s="2936"/>
      <c r="BLW72" s="2936"/>
      <c r="BLX72" s="2936"/>
      <c r="BLY72" s="2936"/>
      <c r="BLZ72" s="2936"/>
      <c r="BMA72" s="2936"/>
      <c r="BMB72" s="2936"/>
      <c r="BMC72" s="2936"/>
      <c r="BMD72" s="2936"/>
      <c r="BME72" s="2936"/>
      <c r="BMF72" s="2936"/>
      <c r="BMG72" s="2936"/>
      <c r="BMH72" s="2936"/>
      <c r="BMI72" s="2936"/>
      <c r="BMJ72" s="2936"/>
      <c r="BMK72" s="2936"/>
      <c r="BML72" s="2936"/>
      <c r="BMM72" s="2936"/>
      <c r="BMN72" s="2936"/>
      <c r="BMO72" s="2936"/>
      <c r="BMP72" s="2936"/>
      <c r="BMQ72" s="2936"/>
      <c r="BMR72" s="2936"/>
      <c r="BMS72" s="2936"/>
      <c r="BMT72" s="2936"/>
      <c r="BMU72" s="2936"/>
      <c r="BMV72" s="2936"/>
      <c r="BMW72" s="2936"/>
      <c r="BMX72" s="2936"/>
      <c r="BMY72" s="2936"/>
      <c r="BMZ72" s="2936"/>
      <c r="BNA72" s="2936"/>
      <c r="BNB72" s="2936"/>
      <c r="BNC72" s="2936"/>
      <c r="BND72" s="2936"/>
      <c r="BNE72" s="2936"/>
      <c r="BNF72" s="2936"/>
      <c r="BNG72" s="2936"/>
      <c r="BNH72" s="2936"/>
      <c r="BNI72" s="2936"/>
      <c r="BNJ72" s="2936"/>
      <c r="BNK72" s="2936"/>
      <c r="BNL72" s="2936"/>
      <c r="BNM72" s="2936"/>
      <c r="BNN72" s="2936"/>
      <c r="BNO72" s="2936"/>
      <c r="BNP72" s="2936"/>
      <c r="BNQ72" s="2936"/>
      <c r="BNR72" s="2936"/>
      <c r="BNS72" s="2936"/>
      <c r="BNT72" s="2936"/>
      <c r="BNU72" s="2936"/>
      <c r="BNV72" s="2936"/>
      <c r="BNW72" s="2936"/>
      <c r="BNX72" s="2936"/>
      <c r="BNY72" s="2936"/>
      <c r="BNZ72" s="2936"/>
      <c r="BOA72" s="2936"/>
      <c r="BOB72" s="2936"/>
      <c r="BOC72" s="2936"/>
      <c r="BOD72" s="2936"/>
      <c r="BOE72" s="2936"/>
      <c r="BOF72" s="2936"/>
      <c r="BOG72" s="2936"/>
      <c r="BOH72" s="2936"/>
      <c r="BOI72" s="2936"/>
      <c r="BOJ72" s="2936"/>
      <c r="BOK72" s="2936"/>
      <c r="BOL72" s="2936"/>
      <c r="BOM72" s="2936"/>
      <c r="BON72" s="2936"/>
      <c r="BOO72" s="2936"/>
      <c r="BOP72" s="2936"/>
      <c r="BOQ72" s="2936"/>
      <c r="BOR72" s="2936"/>
      <c r="BOS72" s="2936"/>
      <c r="BOT72" s="2936"/>
      <c r="BOU72" s="2936"/>
      <c r="BOV72" s="2936"/>
      <c r="BOW72" s="2936"/>
      <c r="BOX72" s="2936"/>
      <c r="BOY72" s="2936"/>
      <c r="BOZ72" s="2936"/>
      <c r="BPA72" s="2936"/>
      <c r="BPB72" s="2936"/>
      <c r="BPC72" s="2936"/>
      <c r="BPD72" s="2936"/>
      <c r="BPE72" s="2936"/>
      <c r="BPF72" s="2936"/>
      <c r="BPG72" s="2936"/>
      <c r="BPH72" s="2936"/>
      <c r="BPI72" s="2936"/>
      <c r="BPJ72" s="2936"/>
      <c r="BPK72" s="2936"/>
      <c r="BPL72" s="2936"/>
      <c r="BPM72" s="2936"/>
      <c r="BPN72" s="2936"/>
      <c r="BPO72" s="2936"/>
      <c r="BPP72" s="2936"/>
      <c r="BPQ72" s="2936"/>
      <c r="BPR72" s="2936"/>
      <c r="BPS72" s="2936"/>
      <c r="BPT72" s="2936"/>
      <c r="BPU72" s="2936"/>
      <c r="BPV72" s="2936"/>
      <c r="BPW72" s="2936"/>
      <c r="BPX72" s="2936"/>
      <c r="BPY72" s="2936"/>
      <c r="BPZ72" s="2936"/>
      <c r="BQA72" s="2936"/>
      <c r="BQB72" s="2936"/>
      <c r="BQC72" s="2936"/>
      <c r="BQD72" s="2936"/>
      <c r="BQE72" s="2936"/>
      <c r="BQF72" s="2936"/>
      <c r="BQG72" s="2936"/>
      <c r="BQH72" s="2936"/>
      <c r="BQI72" s="2936"/>
      <c r="BQJ72" s="2936"/>
      <c r="BQK72" s="2936"/>
      <c r="BQL72" s="2936"/>
      <c r="BQM72" s="2936"/>
      <c r="BQN72" s="2936"/>
      <c r="BQO72" s="2936"/>
      <c r="BQP72" s="2936"/>
      <c r="BQQ72" s="2936"/>
      <c r="BQR72" s="2936"/>
      <c r="BQS72" s="2936"/>
      <c r="BQT72" s="2936"/>
      <c r="BQU72" s="2936"/>
      <c r="BQV72" s="2936"/>
      <c r="BQW72" s="2936"/>
      <c r="BQX72" s="2936"/>
      <c r="BQY72" s="2936"/>
      <c r="BQZ72" s="2936"/>
      <c r="BRA72" s="2936"/>
      <c r="BRB72" s="2936"/>
      <c r="BRC72" s="2936"/>
      <c r="BRD72" s="2936"/>
      <c r="BRE72" s="2936"/>
      <c r="BRF72" s="2936"/>
      <c r="BRG72" s="2936"/>
      <c r="BRH72" s="2936"/>
      <c r="BRI72" s="2936"/>
      <c r="BRJ72" s="2936"/>
      <c r="BRK72" s="2936"/>
      <c r="BRL72" s="2936"/>
      <c r="BRM72" s="2936"/>
      <c r="BRN72" s="2936"/>
      <c r="BRO72" s="2936"/>
      <c r="BRP72" s="2936"/>
      <c r="BRQ72" s="2936"/>
      <c r="BRR72" s="2936"/>
      <c r="BRS72" s="2936"/>
      <c r="BRT72" s="2936"/>
      <c r="BRU72" s="2936"/>
      <c r="BRV72" s="2936"/>
      <c r="BRW72" s="2936"/>
      <c r="BRX72" s="2936"/>
      <c r="BRY72" s="2936"/>
      <c r="BRZ72" s="2936"/>
      <c r="BSA72" s="2936"/>
      <c r="BSB72" s="2936"/>
      <c r="BSC72" s="2936"/>
      <c r="BSD72" s="2936"/>
      <c r="BSE72" s="2936"/>
      <c r="BSF72" s="2936"/>
      <c r="BSG72" s="2936"/>
      <c r="BSH72" s="2936"/>
      <c r="BSI72" s="2936"/>
      <c r="BSJ72" s="2936"/>
      <c r="BSK72" s="2936"/>
      <c r="BSL72" s="2936"/>
      <c r="BSM72" s="2936"/>
      <c r="BSN72" s="2936"/>
      <c r="BSO72" s="2936"/>
      <c r="BSP72" s="2936"/>
      <c r="BSQ72" s="2936"/>
      <c r="BSR72" s="2936"/>
      <c r="BSS72" s="2936"/>
      <c r="BST72" s="2936"/>
      <c r="BSU72" s="2936"/>
      <c r="BSV72" s="2936"/>
      <c r="BSW72" s="2936"/>
      <c r="BSX72" s="2936"/>
      <c r="BSY72" s="2936"/>
      <c r="BSZ72" s="2936"/>
      <c r="BTA72" s="2936"/>
      <c r="BTB72" s="2936"/>
      <c r="BTC72" s="2936"/>
      <c r="BTD72" s="2936"/>
      <c r="BTE72" s="2936"/>
      <c r="BTF72" s="2936"/>
      <c r="BTG72" s="2936"/>
      <c r="BTH72" s="2936"/>
      <c r="BTI72" s="2936"/>
      <c r="BTJ72" s="2936"/>
      <c r="BTK72" s="2936"/>
      <c r="BTL72" s="2936"/>
      <c r="BTM72" s="2936"/>
      <c r="BTN72" s="2936"/>
      <c r="BTO72" s="2936"/>
      <c r="BTP72" s="2936"/>
      <c r="BTQ72" s="2936"/>
      <c r="BTR72" s="2936"/>
      <c r="BTS72" s="2936"/>
      <c r="BTT72" s="2936"/>
      <c r="BTU72" s="2936"/>
      <c r="BTV72" s="2936"/>
      <c r="BTW72" s="2936"/>
      <c r="BTX72" s="2936"/>
      <c r="BTY72" s="2936"/>
      <c r="BTZ72" s="2936"/>
      <c r="BUA72" s="2936"/>
      <c r="BUB72" s="2936"/>
      <c r="BUC72" s="2936"/>
      <c r="BUD72" s="2936"/>
      <c r="BUE72" s="2936"/>
      <c r="BUF72" s="2936"/>
      <c r="BUG72" s="2936"/>
      <c r="BUH72" s="2936"/>
      <c r="BUI72" s="2936"/>
      <c r="BUJ72" s="2936"/>
      <c r="BUK72" s="2936"/>
      <c r="BUL72" s="2936"/>
      <c r="BUM72" s="2936"/>
      <c r="BUN72" s="2936"/>
      <c r="BUO72" s="2936"/>
      <c r="BUP72" s="2936"/>
      <c r="BUQ72" s="2936"/>
      <c r="BUR72" s="2936"/>
      <c r="BUS72" s="2936"/>
      <c r="BUT72" s="2936"/>
      <c r="BUU72" s="2936"/>
      <c r="BUV72" s="2936"/>
      <c r="BUW72" s="2936"/>
      <c r="BUX72" s="2936"/>
      <c r="BUY72" s="2936"/>
      <c r="BUZ72" s="2936"/>
      <c r="BVA72" s="2936"/>
      <c r="BVB72" s="2936"/>
      <c r="BVC72" s="2936"/>
      <c r="BVD72" s="2936"/>
      <c r="BVE72" s="2936"/>
      <c r="BVF72" s="2936"/>
      <c r="BVG72" s="2936"/>
      <c r="BVH72" s="2936"/>
      <c r="BVI72" s="2936"/>
      <c r="BVJ72" s="2936"/>
      <c r="BVK72" s="2936"/>
      <c r="BVL72" s="2936"/>
      <c r="BVM72" s="2936"/>
      <c r="BVN72" s="2936"/>
      <c r="BVO72" s="2936"/>
      <c r="BVP72" s="2936"/>
      <c r="BVQ72" s="2936"/>
      <c r="BVR72" s="2936"/>
      <c r="BVS72" s="2936"/>
      <c r="BVT72" s="2936"/>
      <c r="BVU72" s="2936"/>
      <c r="BVV72" s="2936"/>
      <c r="BVW72" s="2936"/>
      <c r="BVX72" s="2936"/>
      <c r="BVY72" s="2936"/>
      <c r="BVZ72" s="2936"/>
      <c r="BWA72" s="2936"/>
      <c r="BWB72" s="2936"/>
      <c r="BWC72" s="2936"/>
      <c r="BWD72" s="2936"/>
      <c r="BWE72" s="2936"/>
      <c r="BWF72" s="2936"/>
      <c r="BWG72" s="2936"/>
      <c r="BWH72" s="2936"/>
      <c r="BWI72" s="2936"/>
      <c r="BWJ72" s="2936"/>
      <c r="BWK72" s="2936"/>
      <c r="BWL72" s="2936"/>
      <c r="BWM72" s="2936"/>
      <c r="BWN72" s="2936"/>
      <c r="BWO72" s="2936"/>
      <c r="BWP72" s="2936"/>
      <c r="BWQ72" s="2936"/>
      <c r="BWR72" s="2936"/>
      <c r="BWS72" s="2936"/>
      <c r="BWT72" s="2936"/>
      <c r="BWU72" s="2936"/>
      <c r="BWV72" s="2936"/>
      <c r="BWW72" s="2936"/>
      <c r="BWX72" s="2936"/>
      <c r="BWY72" s="2936"/>
      <c r="BWZ72" s="2936"/>
      <c r="BXA72" s="2936"/>
      <c r="BXB72" s="2936"/>
      <c r="BXC72" s="2936"/>
      <c r="BXD72" s="2936"/>
      <c r="BXE72" s="2936"/>
      <c r="BXF72" s="2936"/>
      <c r="BXG72" s="2936"/>
      <c r="BXH72" s="2936"/>
      <c r="BXI72" s="2936"/>
      <c r="BXJ72" s="2936"/>
      <c r="BXK72" s="2936"/>
      <c r="BXL72" s="2936"/>
      <c r="BXM72" s="2936"/>
      <c r="BXN72" s="2936"/>
      <c r="BXO72" s="2936"/>
      <c r="BXP72" s="2936"/>
      <c r="BXQ72" s="2936"/>
      <c r="BXR72" s="2936"/>
      <c r="BXS72" s="2936"/>
      <c r="BXT72" s="2936"/>
      <c r="BXU72" s="2936"/>
      <c r="BXV72" s="2936"/>
      <c r="BXW72" s="2936"/>
      <c r="BXX72" s="2936"/>
      <c r="BXY72" s="2936"/>
      <c r="BXZ72" s="2936"/>
      <c r="BYA72" s="2936"/>
      <c r="BYB72" s="2936"/>
      <c r="BYC72" s="2936"/>
      <c r="BYD72" s="2936"/>
      <c r="BYE72" s="2936"/>
      <c r="BYF72" s="2936"/>
      <c r="BYG72" s="2936"/>
      <c r="BYH72" s="2936"/>
      <c r="BYI72" s="2936"/>
      <c r="BYJ72" s="2936"/>
      <c r="BYK72" s="2936"/>
      <c r="BYL72" s="2936"/>
      <c r="BYM72" s="2936"/>
      <c r="BYN72" s="2936"/>
      <c r="BYO72" s="2936"/>
      <c r="BYP72" s="2936"/>
      <c r="BYQ72" s="2936"/>
      <c r="BYR72" s="2936"/>
      <c r="BYS72" s="2936"/>
      <c r="BYT72" s="2936"/>
      <c r="BYU72" s="2936"/>
      <c r="BYV72" s="2936"/>
      <c r="BYW72" s="2936"/>
      <c r="BYX72" s="2936"/>
      <c r="BYY72" s="2936"/>
      <c r="BYZ72" s="2936"/>
      <c r="BZA72" s="2936"/>
      <c r="BZB72" s="2936"/>
      <c r="BZC72" s="2936"/>
      <c r="BZD72" s="2936"/>
      <c r="BZE72" s="2936"/>
      <c r="BZF72" s="2936"/>
      <c r="BZG72" s="2936"/>
      <c r="BZH72" s="2936"/>
      <c r="BZI72" s="2936"/>
      <c r="BZJ72" s="2936"/>
      <c r="BZK72" s="2936"/>
      <c r="BZL72" s="2936"/>
      <c r="BZM72" s="2936"/>
      <c r="BZN72" s="2936"/>
      <c r="BZO72" s="2936"/>
      <c r="BZP72" s="2936"/>
      <c r="BZQ72" s="2936"/>
      <c r="BZR72" s="2936"/>
      <c r="BZS72" s="2936"/>
      <c r="BZT72" s="2936"/>
      <c r="BZU72" s="2936"/>
      <c r="BZV72" s="2936"/>
      <c r="BZW72" s="2936"/>
      <c r="BZX72" s="2936"/>
      <c r="BZY72" s="2936"/>
      <c r="BZZ72" s="2936"/>
      <c r="CAA72" s="2936"/>
      <c r="CAB72" s="2936"/>
      <c r="CAC72" s="2936"/>
      <c r="CAD72" s="2936"/>
      <c r="CAE72" s="2936"/>
      <c r="CAF72" s="2936"/>
      <c r="CAG72" s="2936"/>
      <c r="CAH72" s="2936"/>
      <c r="CAI72" s="2936"/>
      <c r="CAJ72" s="2936"/>
      <c r="CAK72" s="2936"/>
      <c r="CAL72" s="2936"/>
      <c r="CAM72" s="2936"/>
      <c r="CAN72" s="2936"/>
      <c r="CAO72" s="2936"/>
      <c r="CAP72" s="2936"/>
      <c r="CAQ72" s="2936"/>
      <c r="CAR72" s="2936"/>
      <c r="CAS72" s="2936"/>
      <c r="CAT72" s="2936"/>
      <c r="CAU72" s="2936"/>
      <c r="CAV72" s="2936"/>
      <c r="CAW72" s="2936"/>
      <c r="CAX72" s="2936"/>
      <c r="CAY72" s="2936"/>
      <c r="CAZ72" s="2936"/>
      <c r="CBA72" s="2936"/>
      <c r="CBB72" s="2936"/>
      <c r="CBC72" s="2936"/>
      <c r="CBD72" s="2936"/>
      <c r="CBE72" s="2936"/>
      <c r="CBF72" s="2936"/>
      <c r="CBG72" s="2936"/>
      <c r="CBH72" s="2936"/>
      <c r="CBI72" s="2936"/>
      <c r="CBJ72" s="2936"/>
      <c r="CBK72" s="2936"/>
      <c r="CBL72" s="2936"/>
      <c r="CBM72" s="2936"/>
      <c r="CBN72" s="2936"/>
      <c r="CBO72" s="2936"/>
      <c r="CBP72" s="2936"/>
      <c r="CBQ72" s="2936"/>
      <c r="CBR72" s="2936"/>
      <c r="CBS72" s="2936"/>
      <c r="CBT72" s="2936"/>
      <c r="CBU72" s="2936"/>
      <c r="CBV72" s="2936"/>
      <c r="CBW72" s="2936"/>
      <c r="CBX72" s="2936"/>
      <c r="CBY72" s="2936"/>
      <c r="CBZ72" s="2936"/>
      <c r="CCA72" s="2936"/>
      <c r="CCB72" s="2936"/>
      <c r="CCC72" s="2936"/>
      <c r="CCD72" s="2936"/>
      <c r="CCE72" s="2936"/>
      <c r="CCF72" s="2936"/>
      <c r="CCG72" s="2936"/>
      <c r="CCH72" s="2936"/>
      <c r="CCI72" s="2936"/>
      <c r="CCJ72" s="2936"/>
      <c r="CCK72" s="2936"/>
      <c r="CCL72" s="2936"/>
      <c r="CCM72" s="2936"/>
      <c r="CCN72" s="2936"/>
      <c r="CCO72" s="2936"/>
      <c r="CCP72" s="2936"/>
      <c r="CCQ72" s="2936"/>
      <c r="CCR72" s="2936"/>
      <c r="CCS72" s="2936"/>
      <c r="CCT72" s="2936"/>
      <c r="CCU72" s="2936"/>
      <c r="CCV72" s="2936"/>
      <c r="CCW72" s="2936"/>
      <c r="CCX72" s="2936"/>
      <c r="CCY72" s="2936"/>
      <c r="CCZ72" s="2936"/>
      <c r="CDA72" s="2936"/>
      <c r="CDB72" s="2936"/>
      <c r="CDC72" s="2936"/>
      <c r="CDD72" s="2936"/>
      <c r="CDE72" s="2936"/>
      <c r="CDF72" s="2936"/>
      <c r="CDG72" s="2936"/>
      <c r="CDH72" s="2936"/>
      <c r="CDI72" s="2936"/>
      <c r="CDJ72" s="2936"/>
      <c r="CDK72" s="2936"/>
      <c r="CDL72" s="2936"/>
      <c r="CDM72" s="2936"/>
      <c r="CDN72" s="2936"/>
      <c r="CDO72" s="2936"/>
      <c r="CDP72" s="2936"/>
      <c r="CDQ72" s="2936"/>
      <c r="CDR72" s="2936"/>
      <c r="CDS72" s="2936"/>
      <c r="CDT72" s="2936"/>
      <c r="CDU72" s="2936"/>
      <c r="CDV72" s="2936"/>
      <c r="CDW72" s="2936"/>
      <c r="CDX72" s="2936"/>
      <c r="CDY72" s="2936"/>
      <c r="CDZ72" s="2936"/>
      <c r="CEA72" s="2936"/>
      <c r="CEB72" s="2936"/>
      <c r="CEC72" s="2936"/>
      <c r="CED72" s="2936"/>
      <c r="CEE72" s="2936"/>
      <c r="CEF72" s="2936"/>
      <c r="CEG72" s="2936"/>
      <c r="CEH72" s="2936"/>
      <c r="CEI72" s="2936"/>
      <c r="CEJ72" s="2936"/>
      <c r="CEK72" s="2936"/>
      <c r="CEL72" s="2936"/>
      <c r="CEM72" s="2936"/>
      <c r="CEN72" s="2936"/>
      <c r="CEO72" s="2936"/>
      <c r="CEP72" s="2936"/>
      <c r="CEQ72" s="2936"/>
      <c r="CER72" s="2936"/>
      <c r="CES72" s="2936"/>
      <c r="CET72" s="2936"/>
      <c r="CEU72" s="2936"/>
      <c r="CEV72" s="2936"/>
      <c r="CEW72" s="2936"/>
      <c r="CEX72" s="2936"/>
      <c r="CEY72" s="2936"/>
      <c r="CEZ72" s="2936"/>
      <c r="CFA72" s="2936"/>
      <c r="CFB72" s="2936"/>
      <c r="CFC72" s="2936"/>
      <c r="CFD72" s="2936"/>
      <c r="CFE72" s="2936"/>
      <c r="CFF72" s="2936"/>
      <c r="CFG72" s="2936"/>
      <c r="CFH72" s="2936"/>
      <c r="CFI72" s="2936"/>
      <c r="CFJ72" s="2936"/>
      <c r="CFK72" s="2936"/>
      <c r="CFL72" s="2936"/>
      <c r="CFM72" s="2936"/>
      <c r="CFN72" s="2936"/>
      <c r="CFO72" s="2936"/>
      <c r="CFP72" s="2936"/>
      <c r="CFQ72" s="2936"/>
      <c r="CFR72" s="2936"/>
      <c r="CFS72" s="2936"/>
      <c r="CFT72" s="2936"/>
      <c r="CFU72" s="2936"/>
      <c r="CFV72" s="2936"/>
      <c r="CFW72" s="2936"/>
      <c r="CFX72" s="2936"/>
      <c r="CFY72" s="2936"/>
      <c r="CFZ72" s="2936"/>
      <c r="CGA72" s="2936"/>
      <c r="CGB72" s="2936"/>
      <c r="CGC72" s="2936"/>
      <c r="CGD72" s="2936"/>
      <c r="CGE72" s="2936"/>
      <c r="CGF72" s="2936"/>
      <c r="CGG72" s="2936"/>
      <c r="CGH72" s="2936"/>
      <c r="CGI72" s="2936"/>
      <c r="CGJ72" s="2936"/>
      <c r="CGK72" s="2936"/>
      <c r="CGL72" s="2936"/>
      <c r="CGM72" s="2936"/>
      <c r="CGN72" s="2936"/>
      <c r="CGO72" s="2936"/>
      <c r="CGP72" s="2936"/>
      <c r="CGQ72" s="2936"/>
      <c r="CGR72" s="2936"/>
      <c r="CGS72" s="2936"/>
      <c r="CGT72" s="2936"/>
      <c r="CGU72" s="2936"/>
      <c r="CGV72" s="2936"/>
      <c r="CGW72" s="2936"/>
      <c r="CGX72" s="2936"/>
      <c r="CGY72" s="2936"/>
      <c r="CGZ72" s="2936"/>
      <c r="CHA72" s="2936"/>
      <c r="CHB72" s="2936"/>
      <c r="CHC72" s="2936"/>
      <c r="CHD72" s="2936"/>
      <c r="CHE72" s="2936"/>
      <c r="CHF72" s="2936"/>
      <c r="CHG72" s="2936"/>
      <c r="CHH72" s="2936"/>
      <c r="CHI72" s="2936"/>
      <c r="CHJ72" s="2936"/>
      <c r="CHK72" s="2936"/>
      <c r="CHL72" s="2936"/>
      <c r="CHM72" s="2936"/>
      <c r="CHN72" s="2936"/>
      <c r="CHO72" s="2936"/>
      <c r="CHP72" s="2936"/>
      <c r="CHQ72" s="2936"/>
      <c r="CHR72" s="2936"/>
      <c r="CHS72" s="2936"/>
      <c r="CHT72" s="2936"/>
      <c r="CHU72" s="2936"/>
      <c r="CHV72" s="2936"/>
      <c r="CHW72" s="2936"/>
      <c r="CHX72" s="2936"/>
      <c r="CHY72" s="2936"/>
      <c r="CHZ72" s="2936"/>
      <c r="CIA72" s="2936"/>
      <c r="CIB72" s="2936"/>
      <c r="CIC72" s="2936"/>
      <c r="CID72" s="2936"/>
      <c r="CIE72" s="2936"/>
      <c r="CIF72" s="2936"/>
      <c r="CIG72" s="2936"/>
      <c r="CIH72" s="2936"/>
      <c r="CII72" s="2936"/>
      <c r="CIJ72" s="2936"/>
      <c r="CIK72" s="2936"/>
      <c r="CIL72" s="2936"/>
      <c r="CIM72" s="2936"/>
      <c r="CIN72" s="2936"/>
      <c r="CIO72" s="2936"/>
      <c r="CIP72" s="2936"/>
      <c r="CIQ72" s="2936"/>
      <c r="CIR72" s="2936"/>
      <c r="CIS72" s="2936"/>
      <c r="CIT72" s="2936"/>
      <c r="CIU72" s="2936"/>
      <c r="CIV72" s="2936"/>
      <c r="CIW72" s="2936"/>
      <c r="CIX72" s="2936"/>
      <c r="CIY72" s="2936"/>
      <c r="CIZ72" s="2936"/>
      <c r="CJA72" s="2936"/>
      <c r="CJB72" s="2936"/>
      <c r="CJC72" s="2936"/>
      <c r="CJD72" s="2936"/>
      <c r="CJE72" s="2936"/>
      <c r="CJF72" s="2936"/>
      <c r="CJG72" s="2936"/>
      <c r="CJH72" s="2936"/>
      <c r="CJI72" s="2936"/>
      <c r="CJJ72" s="2936"/>
      <c r="CJK72" s="2936"/>
      <c r="CJL72" s="2936"/>
      <c r="CJM72" s="2936"/>
      <c r="CJN72" s="2936"/>
      <c r="CJO72" s="2936"/>
      <c r="CJP72" s="2936"/>
      <c r="CJQ72" s="2936"/>
      <c r="CJR72" s="2936"/>
      <c r="CJS72" s="2936"/>
      <c r="CJT72" s="2936"/>
      <c r="CJU72" s="2936"/>
      <c r="CJV72" s="2936"/>
      <c r="CJW72" s="2936"/>
      <c r="CJX72" s="2936"/>
      <c r="CJY72" s="2936"/>
      <c r="CJZ72" s="2936"/>
      <c r="CKA72" s="2936"/>
      <c r="CKB72" s="2936"/>
      <c r="CKC72" s="2936"/>
      <c r="CKD72" s="2936"/>
      <c r="CKE72" s="2936"/>
      <c r="CKF72" s="2936"/>
      <c r="CKG72" s="2936"/>
      <c r="CKH72" s="2936"/>
      <c r="CKI72" s="2936"/>
      <c r="CKJ72" s="2936"/>
      <c r="CKK72" s="2936"/>
      <c r="CKL72" s="2936"/>
      <c r="CKM72" s="2936"/>
      <c r="CKN72" s="2936"/>
      <c r="CKO72" s="2936"/>
      <c r="CKP72" s="2936"/>
      <c r="CKQ72" s="2936"/>
      <c r="CKR72" s="2936"/>
      <c r="CKS72" s="2936"/>
      <c r="CKT72" s="2936"/>
      <c r="CKU72" s="2936"/>
      <c r="CKV72" s="2936"/>
      <c r="CKW72" s="2936"/>
      <c r="CKX72" s="2936"/>
      <c r="CKY72" s="2936"/>
      <c r="CKZ72" s="2936"/>
      <c r="CLA72" s="2936"/>
      <c r="CLB72" s="2936"/>
      <c r="CLC72" s="2936"/>
      <c r="CLD72" s="2936"/>
      <c r="CLE72" s="2936"/>
      <c r="CLF72" s="2936"/>
      <c r="CLG72" s="2936"/>
      <c r="CLH72" s="2936"/>
      <c r="CLI72" s="2936"/>
      <c r="CLJ72" s="2936"/>
      <c r="CLK72" s="2936"/>
      <c r="CLL72" s="2936"/>
      <c r="CLM72" s="2936"/>
      <c r="CLN72" s="2936"/>
      <c r="CLO72" s="2936"/>
      <c r="CLP72" s="2936"/>
      <c r="CLQ72" s="2936"/>
      <c r="CLR72" s="2936"/>
      <c r="CLS72" s="2936"/>
      <c r="CLT72" s="2936"/>
      <c r="CLU72" s="2936"/>
      <c r="CLV72" s="2936"/>
      <c r="CLW72" s="2936"/>
      <c r="CLX72" s="2936"/>
      <c r="CLY72" s="2936"/>
      <c r="CLZ72" s="2936"/>
      <c r="CMA72" s="2936"/>
      <c r="CMB72" s="2936"/>
      <c r="CMC72" s="2936"/>
      <c r="CMD72" s="2936"/>
      <c r="CME72" s="2936"/>
      <c r="CMF72" s="2936"/>
      <c r="CMG72" s="2936"/>
      <c r="CMH72" s="2936"/>
      <c r="CMI72" s="2936"/>
      <c r="CMJ72" s="2936"/>
      <c r="CMK72" s="2936"/>
      <c r="CML72" s="2936"/>
      <c r="CMM72" s="2936"/>
      <c r="CMN72" s="2936"/>
      <c r="CMO72" s="2936"/>
      <c r="CMP72" s="2936"/>
      <c r="CMQ72" s="2936"/>
      <c r="CMR72" s="2936"/>
      <c r="CMS72" s="2936"/>
      <c r="CMT72" s="2936"/>
      <c r="CMU72" s="2936"/>
      <c r="CMV72" s="2936"/>
      <c r="CMW72" s="2936"/>
      <c r="CMX72" s="2936"/>
      <c r="CMY72" s="2936"/>
      <c r="CMZ72" s="2936"/>
      <c r="CNA72" s="2936"/>
      <c r="CNB72" s="2936"/>
      <c r="CNC72" s="2936"/>
      <c r="CND72" s="2936"/>
      <c r="CNE72" s="2936"/>
      <c r="CNF72" s="2936"/>
      <c r="CNG72" s="2936"/>
      <c r="CNH72" s="2936"/>
      <c r="CNI72" s="2936"/>
      <c r="CNJ72" s="2936"/>
      <c r="CNK72" s="2936"/>
      <c r="CNL72" s="2936"/>
      <c r="CNM72" s="2936"/>
      <c r="CNN72" s="2936"/>
      <c r="CNO72" s="2936"/>
      <c r="CNP72" s="2936"/>
      <c r="CNQ72" s="2936"/>
      <c r="CNR72" s="2936"/>
      <c r="CNS72" s="2936"/>
      <c r="CNT72" s="2936"/>
      <c r="CNU72" s="2936"/>
      <c r="CNV72" s="2936"/>
      <c r="CNW72" s="2936"/>
      <c r="CNX72" s="2936"/>
      <c r="CNY72" s="2936"/>
      <c r="CNZ72" s="2936"/>
      <c r="COA72" s="2936"/>
      <c r="COB72" s="2936"/>
      <c r="COC72" s="2936"/>
      <c r="COD72" s="2936"/>
      <c r="COE72" s="2936"/>
      <c r="COF72" s="2936"/>
      <c r="COG72" s="2936"/>
      <c r="COH72" s="2936"/>
      <c r="COI72" s="2936"/>
      <c r="COJ72" s="2936"/>
      <c r="COK72" s="2936"/>
      <c r="COL72" s="2936"/>
      <c r="COM72" s="2936"/>
      <c r="CON72" s="2936"/>
      <c r="COO72" s="2936"/>
      <c r="COP72" s="2936"/>
      <c r="COQ72" s="2936"/>
      <c r="COR72" s="2936"/>
      <c r="COS72" s="2936"/>
      <c r="COT72" s="2936"/>
      <c r="COU72" s="2936"/>
      <c r="COV72" s="2936"/>
      <c r="COW72" s="2936"/>
      <c r="COX72" s="2936"/>
      <c r="COY72" s="2936"/>
      <c r="COZ72" s="2936"/>
      <c r="CPA72" s="2936"/>
      <c r="CPB72" s="2936"/>
      <c r="CPC72" s="2936"/>
      <c r="CPD72" s="2936"/>
      <c r="CPE72" s="2936"/>
      <c r="CPF72" s="2936"/>
      <c r="CPG72" s="2936"/>
      <c r="CPH72" s="2936"/>
      <c r="CPI72" s="2936"/>
      <c r="CPJ72" s="2936"/>
      <c r="CPK72" s="2936"/>
      <c r="CPL72" s="2936"/>
      <c r="CPM72" s="2936"/>
      <c r="CPN72" s="2936"/>
      <c r="CPO72" s="2936"/>
      <c r="CPP72" s="2936"/>
      <c r="CPQ72" s="2936"/>
      <c r="CPR72" s="2936"/>
      <c r="CPS72" s="2936"/>
      <c r="CPT72" s="2936"/>
      <c r="CPU72" s="2936"/>
      <c r="CPV72" s="2936"/>
      <c r="CPW72" s="2936"/>
      <c r="CPX72" s="2936"/>
      <c r="CPY72" s="2936"/>
      <c r="CPZ72" s="2936"/>
      <c r="CQA72" s="2936"/>
      <c r="CQB72" s="2936"/>
      <c r="CQC72" s="2936"/>
      <c r="CQD72" s="2936"/>
      <c r="CQE72" s="2936"/>
      <c r="CQF72" s="2936"/>
      <c r="CQG72" s="2936"/>
      <c r="CQH72" s="2936"/>
      <c r="CQI72" s="2936"/>
      <c r="CQJ72" s="2936"/>
      <c r="CQK72" s="2936"/>
      <c r="CQL72" s="2936"/>
      <c r="CQM72" s="2936"/>
      <c r="CQN72" s="2936"/>
      <c r="CQO72" s="2936"/>
      <c r="CQP72" s="2936"/>
      <c r="CQQ72" s="2936"/>
      <c r="CQR72" s="2936"/>
      <c r="CQS72" s="2936"/>
      <c r="CQT72" s="2936"/>
      <c r="CQU72" s="2936"/>
      <c r="CQV72" s="2936"/>
      <c r="CQW72" s="2936"/>
      <c r="CQX72" s="2936"/>
      <c r="CQY72" s="2936"/>
      <c r="CQZ72" s="2936"/>
      <c r="CRA72" s="2936"/>
      <c r="CRB72" s="2936"/>
      <c r="CRC72" s="2936"/>
      <c r="CRD72" s="2936"/>
      <c r="CRE72" s="2936"/>
      <c r="CRF72" s="2936"/>
      <c r="CRG72" s="2936"/>
      <c r="CRH72" s="2936"/>
      <c r="CRI72" s="2936"/>
      <c r="CRJ72" s="2936"/>
      <c r="CRK72" s="2936"/>
      <c r="CRL72" s="2936"/>
      <c r="CRM72" s="2936"/>
      <c r="CRN72" s="2936"/>
      <c r="CRO72" s="2936"/>
      <c r="CRP72" s="2936"/>
      <c r="CRQ72" s="2936"/>
      <c r="CRR72" s="2936"/>
      <c r="CRS72" s="2936"/>
      <c r="CRT72" s="2936"/>
      <c r="CRU72" s="2936"/>
      <c r="CRV72" s="2936"/>
      <c r="CRW72" s="2936"/>
      <c r="CRX72" s="2936"/>
      <c r="CRY72" s="2936"/>
      <c r="CRZ72" s="2936"/>
      <c r="CSA72" s="2936"/>
      <c r="CSB72" s="2936"/>
      <c r="CSC72" s="2936"/>
      <c r="CSD72" s="2936"/>
      <c r="CSE72" s="2936"/>
      <c r="CSF72" s="2936"/>
      <c r="CSG72" s="2936"/>
      <c r="CSH72" s="2936"/>
      <c r="CSI72" s="2936"/>
      <c r="CSJ72" s="2936"/>
      <c r="CSK72" s="2936"/>
      <c r="CSL72" s="2936"/>
      <c r="CSM72" s="2936"/>
      <c r="CSN72" s="2936"/>
      <c r="CSO72" s="2936"/>
      <c r="CSP72" s="2936"/>
      <c r="CSQ72" s="2936"/>
      <c r="CSR72" s="2936"/>
      <c r="CSS72" s="2936"/>
      <c r="CST72" s="2936"/>
      <c r="CSU72" s="2936"/>
      <c r="CSV72" s="2936"/>
      <c r="CSW72" s="2936"/>
      <c r="CSX72" s="2936"/>
      <c r="CSY72" s="2936"/>
      <c r="CSZ72" s="2936"/>
      <c r="CTA72" s="2936"/>
      <c r="CTB72" s="2936"/>
      <c r="CTC72" s="2936"/>
      <c r="CTD72" s="2936"/>
      <c r="CTE72" s="2936"/>
      <c r="CTF72" s="2936"/>
      <c r="CTG72" s="2936"/>
      <c r="CTH72" s="2936"/>
      <c r="CTI72" s="2936"/>
      <c r="CTJ72" s="2936"/>
      <c r="CTK72" s="2936"/>
      <c r="CTL72" s="2936"/>
      <c r="CTM72" s="2936"/>
      <c r="CTN72" s="2936"/>
      <c r="CTO72" s="2936"/>
      <c r="CTP72" s="2936"/>
      <c r="CTQ72" s="2936"/>
      <c r="CTR72" s="2936"/>
      <c r="CTS72" s="2936"/>
      <c r="CTT72" s="2936"/>
      <c r="CTU72" s="2936"/>
      <c r="CTV72" s="2936"/>
      <c r="CTW72" s="2936"/>
      <c r="CTX72" s="2936"/>
      <c r="CTY72" s="2936"/>
      <c r="CTZ72" s="2936"/>
      <c r="CUA72" s="2936"/>
      <c r="CUB72" s="2936"/>
      <c r="CUC72" s="2936"/>
      <c r="CUD72" s="2936"/>
      <c r="CUE72" s="2936"/>
      <c r="CUF72" s="2936"/>
      <c r="CUG72" s="2936"/>
      <c r="CUH72" s="2936"/>
      <c r="CUI72" s="2936"/>
      <c r="CUJ72" s="2936"/>
      <c r="CUK72" s="2936"/>
      <c r="CUL72" s="2936"/>
      <c r="CUM72" s="2936"/>
      <c r="CUN72" s="2936"/>
      <c r="CUO72" s="2936"/>
      <c r="CUP72" s="2936"/>
      <c r="CUQ72" s="2936"/>
      <c r="CUR72" s="2936"/>
      <c r="CUS72" s="2936"/>
      <c r="CUT72" s="2936"/>
      <c r="CUU72" s="2936"/>
      <c r="CUV72" s="2936"/>
      <c r="CUW72" s="2936"/>
      <c r="CUX72" s="2936"/>
      <c r="CUY72" s="2936"/>
      <c r="CUZ72" s="2936"/>
      <c r="CVA72" s="2936"/>
      <c r="CVB72" s="2936"/>
      <c r="CVC72" s="2936"/>
      <c r="CVD72" s="2936"/>
      <c r="CVE72" s="2936"/>
      <c r="CVF72" s="2936"/>
      <c r="CVG72" s="2936"/>
      <c r="CVH72" s="2936"/>
      <c r="CVI72" s="2936"/>
      <c r="CVJ72" s="2936"/>
      <c r="CVK72" s="2936"/>
      <c r="CVL72" s="2936"/>
      <c r="CVM72" s="2936"/>
      <c r="CVN72" s="2936"/>
      <c r="CVO72" s="2936"/>
      <c r="CVP72" s="2936"/>
      <c r="CVQ72" s="2936"/>
      <c r="CVR72" s="2936"/>
      <c r="CVS72" s="2936"/>
      <c r="CVT72" s="2936"/>
      <c r="CVU72" s="2936"/>
      <c r="CVV72" s="2936"/>
      <c r="CVW72" s="2936"/>
      <c r="CVX72" s="2936"/>
      <c r="CVY72" s="2936"/>
      <c r="CVZ72" s="2936"/>
      <c r="CWA72" s="2936"/>
      <c r="CWB72" s="2936"/>
      <c r="CWC72" s="2936"/>
      <c r="CWD72" s="2936"/>
      <c r="CWE72" s="2936"/>
      <c r="CWF72" s="2936"/>
      <c r="CWG72" s="2936"/>
      <c r="CWH72" s="2936"/>
      <c r="CWI72" s="2936"/>
      <c r="CWJ72" s="2936"/>
      <c r="CWK72" s="2936"/>
      <c r="CWL72" s="2936"/>
      <c r="CWM72" s="2936"/>
      <c r="CWN72" s="2936"/>
      <c r="CWO72" s="2936"/>
      <c r="CWP72" s="2936"/>
      <c r="CWQ72" s="2936"/>
      <c r="CWR72" s="2936"/>
      <c r="CWS72" s="2936"/>
      <c r="CWT72" s="2936"/>
      <c r="CWU72" s="2936"/>
      <c r="CWV72" s="2936"/>
      <c r="CWW72" s="2936"/>
      <c r="CWX72" s="2936"/>
      <c r="CWY72" s="2936"/>
      <c r="CWZ72" s="2936"/>
      <c r="CXA72" s="2936"/>
      <c r="CXB72" s="2936"/>
      <c r="CXC72" s="2936"/>
      <c r="CXD72" s="2936"/>
      <c r="CXE72" s="2936"/>
      <c r="CXF72" s="2936"/>
      <c r="CXG72" s="2936"/>
      <c r="CXH72" s="2936"/>
      <c r="CXI72" s="2936"/>
      <c r="CXJ72" s="2936"/>
      <c r="CXK72" s="2936"/>
      <c r="CXL72" s="2936"/>
      <c r="CXM72" s="2936"/>
      <c r="CXN72" s="2936"/>
      <c r="CXO72" s="2936"/>
      <c r="CXP72" s="2936"/>
      <c r="CXQ72" s="2936"/>
      <c r="CXR72" s="2936"/>
      <c r="CXS72" s="2936"/>
      <c r="CXT72" s="2936"/>
      <c r="CXU72" s="2936"/>
      <c r="CXV72" s="2936"/>
      <c r="CXW72" s="2936"/>
      <c r="CXX72" s="2936"/>
      <c r="CXY72" s="2936"/>
      <c r="CXZ72" s="2936"/>
      <c r="CYA72" s="2936"/>
      <c r="CYB72" s="2936"/>
      <c r="CYC72" s="2936"/>
      <c r="CYD72" s="2936"/>
      <c r="CYE72" s="2936"/>
      <c r="CYF72" s="2936"/>
      <c r="CYG72" s="2936"/>
      <c r="CYH72" s="2936"/>
      <c r="CYI72" s="2936"/>
      <c r="CYJ72" s="2936"/>
      <c r="CYK72" s="2936"/>
      <c r="CYL72" s="2936"/>
      <c r="CYM72" s="2936"/>
      <c r="CYN72" s="2936"/>
      <c r="CYO72" s="2936"/>
      <c r="CYP72" s="2936"/>
      <c r="CYQ72" s="2936"/>
      <c r="CYR72" s="2936"/>
      <c r="CYS72" s="2936"/>
      <c r="CYT72" s="2936"/>
      <c r="CYU72" s="2936"/>
      <c r="CYV72" s="2936"/>
      <c r="CYW72" s="2936"/>
      <c r="CYX72" s="2936"/>
      <c r="CYY72" s="2936"/>
      <c r="CYZ72" s="2936"/>
      <c r="CZA72" s="2936"/>
      <c r="CZB72" s="2936"/>
      <c r="CZC72" s="2936"/>
      <c r="CZD72" s="2936"/>
      <c r="CZE72" s="2936"/>
      <c r="CZF72" s="2936"/>
      <c r="CZG72" s="2936"/>
      <c r="CZH72" s="2936"/>
      <c r="CZI72" s="2936"/>
      <c r="CZJ72" s="2936"/>
      <c r="CZK72" s="2936"/>
      <c r="CZL72" s="2936"/>
      <c r="CZM72" s="2936"/>
      <c r="CZN72" s="2936"/>
      <c r="CZO72" s="2936"/>
      <c r="CZP72" s="2936"/>
      <c r="CZQ72" s="2936"/>
      <c r="CZR72" s="2936"/>
      <c r="CZS72" s="2936"/>
      <c r="CZT72" s="2936"/>
      <c r="CZU72" s="2936"/>
      <c r="CZV72" s="2936"/>
      <c r="CZW72" s="2936"/>
      <c r="CZX72" s="2936"/>
      <c r="CZY72" s="2936"/>
      <c r="CZZ72" s="2936"/>
      <c r="DAA72" s="2936"/>
      <c r="DAB72" s="2936"/>
      <c r="DAC72" s="2936"/>
      <c r="DAD72" s="2936"/>
      <c r="DAE72" s="2936"/>
      <c r="DAF72" s="2936"/>
      <c r="DAG72" s="2936"/>
      <c r="DAH72" s="2936"/>
      <c r="DAI72" s="2936"/>
      <c r="DAJ72" s="2936"/>
      <c r="DAK72" s="2936"/>
      <c r="DAL72" s="2936"/>
      <c r="DAM72" s="2936"/>
      <c r="DAN72" s="2936"/>
      <c r="DAO72" s="2936"/>
      <c r="DAP72" s="2936"/>
      <c r="DAQ72" s="2936"/>
      <c r="DAR72" s="2936"/>
      <c r="DAS72" s="2936"/>
      <c r="DAT72" s="2936"/>
      <c r="DAU72" s="2936"/>
      <c r="DAV72" s="2936"/>
      <c r="DAW72" s="2936"/>
      <c r="DAX72" s="2936"/>
      <c r="DAY72" s="2936"/>
      <c r="DAZ72" s="2936"/>
      <c r="DBA72" s="2936"/>
      <c r="DBB72" s="2936"/>
      <c r="DBC72" s="2936"/>
      <c r="DBD72" s="2936"/>
      <c r="DBE72" s="2936"/>
      <c r="DBF72" s="2936"/>
      <c r="DBG72" s="2936"/>
      <c r="DBH72" s="2936"/>
      <c r="DBI72" s="2936"/>
      <c r="DBJ72" s="2936"/>
      <c r="DBK72" s="2936"/>
      <c r="DBL72" s="2936"/>
      <c r="DBM72" s="2936"/>
      <c r="DBN72" s="2936"/>
      <c r="DBO72" s="2936"/>
      <c r="DBP72" s="2936"/>
      <c r="DBQ72" s="2936"/>
      <c r="DBR72" s="2936"/>
      <c r="DBS72" s="2936"/>
      <c r="DBT72" s="2936"/>
      <c r="DBU72" s="2936"/>
      <c r="DBV72" s="2936"/>
      <c r="DBW72" s="2936"/>
      <c r="DBX72" s="2936"/>
      <c r="DBY72" s="2936"/>
      <c r="DBZ72" s="2936"/>
      <c r="DCA72" s="2936"/>
      <c r="DCB72" s="2936"/>
      <c r="DCC72" s="2936"/>
      <c r="DCD72" s="2936"/>
      <c r="DCE72" s="2936"/>
      <c r="DCF72" s="2936"/>
      <c r="DCG72" s="2936"/>
      <c r="DCH72" s="2936"/>
      <c r="DCI72" s="2936"/>
      <c r="DCJ72" s="2936"/>
      <c r="DCK72" s="2936"/>
      <c r="DCL72" s="2936"/>
      <c r="DCM72" s="2936"/>
      <c r="DCN72" s="2936"/>
      <c r="DCO72" s="2936"/>
      <c r="DCP72" s="2936"/>
      <c r="DCQ72" s="2936"/>
      <c r="DCR72" s="2936"/>
      <c r="DCS72" s="2936"/>
      <c r="DCT72" s="2936"/>
      <c r="DCU72" s="2936"/>
      <c r="DCV72" s="2936"/>
      <c r="DCW72" s="2936"/>
      <c r="DCX72" s="2936"/>
      <c r="DCY72" s="2936"/>
      <c r="DCZ72" s="2936"/>
      <c r="DDA72" s="2936"/>
      <c r="DDB72" s="2936"/>
      <c r="DDC72" s="2936"/>
      <c r="DDD72" s="2936"/>
      <c r="DDE72" s="2936"/>
      <c r="DDF72" s="2936"/>
      <c r="DDG72" s="2936"/>
      <c r="DDH72" s="2936"/>
      <c r="DDI72" s="2936"/>
      <c r="DDJ72" s="2936"/>
      <c r="DDK72" s="2936"/>
      <c r="DDL72" s="2936"/>
      <c r="DDM72" s="2936"/>
      <c r="DDN72" s="2936"/>
      <c r="DDO72" s="2936"/>
      <c r="DDP72" s="2936"/>
      <c r="DDQ72" s="2936"/>
      <c r="DDR72" s="2936"/>
      <c r="DDS72" s="2936"/>
      <c r="DDT72" s="2936"/>
      <c r="DDU72" s="2936"/>
      <c r="DDV72" s="2936"/>
      <c r="DDW72" s="2936"/>
      <c r="DDX72" s="2936"/>
      <c r="DDY72" s="2936"/>
      <c r="DDZ72" s="2936"/>
      <c r="DEA72" s="2936"/>
      <c r="DEB72" s="2936"/>
      <c r="DEC72" s="2936"/>
      <c r="DED72" s="2936"/>
      <c r="DEE72" s="2936"/>
      <c r="DEF72" s="2936"/>
      <c r="DEG72" s="2936"/>
      <c r="DEH72" s="2936"/>
      <c r="DEI72" s="2936"/>
      <c r="DEJ72" s="2936"/>
      <c r="DEK72" s="2936"/>
      <c r="DEL72" s="2936"/>
      <c r="DEM72" s="2936"/>
      <c r="DEN72" s="2936"/>
      <c r="DEO72" s="2936"/>
      <c r="DEP72" s="2936"/>
      <c r="DEQ72" s="2936"/>
      <c r="DER72" s="2936"/>
      <c r="DES72" s="2936"/>
      <c r="DET72" s="2936"/>
      <c r="DEU72" s="2936"/>
      <c r="DEV72" s="2936"/>
      <c r="DEW72" s="2936"/>
      <c r="DEX72" s="2936"/>
      <c r="DEY72" s="2936"/>
      <c r="DEZ72" s="2936"/>
      <c r="DFA72" s="2936"/>
      <c r="DFB72" s="2936"/>
      <c r="DFC72" s="2936"/>
      <c r="DFD72" s="2936"/>
      <c r="DFE72" s="2936"/>
      <c r="DFF72" s="2936"/>
      <c r="DFG72" s="2936"/>
      <c r="DFH72" s="2936"/>
      <c r="DFI72" s="2936"/>
      <c r="DFJ72" s="2936"/>
      <c r="DFK72" s="2936"/>
      <c r="DFL72" s="2936"/>
      <c r="DFM72" s="2936"/>
      <c r="DFN72" s="2936"/>
      <c r="DFO72" s="2936"/>
      <c r="DFP72" s="2936"/>
      <c r="DFQ72" s="2936"/>
      <c r="DFR72" s="2936"/>
      <c r="DFS72" s="2936"/>
      <c r="DFT72" s="2936"/>
      <c r="DFU72" s="2936"/>
      <c r="DFV72" s="2936"/>
      <c r="DFW72" s="2936"/>
      <c r="DFX72" s="2936"/>
      <c r="DFY72" s="2936"/>
      <c r="DFZ72" s="2936"/>
      <c r="DGA72" s="2936"/>
      <c r="DGB72" s="2936"/>
      <c r="DGC72" s="2936"/>
      <c r="DGD72" s="2936"/>
      <c r="DGE72" s="2936"/>
      <c r="DGF72" s="2936"/>
      <c r="DGG72" s="2936"/>
      <c r="DGH72" s="2936"/>
      <c r="DGI72" s="2936"/>
      <c r="DGJ72" s="2936"/>
      <c r="DGK72" s="2936"/>
      <c r="DGL72" s="2936"/>
      <c r="DGM72" s="2936"/>
      <c r="DGN72" s="2936"/>
      <c r="DGO72" s="2936"/>
      <c r="DGP72" s="2936"/>
      <c r="DGQ72" s="2936"/>
      <c r="DGR72" s="2936"/>
      <c r="DGS72" s="2936"/>
      <c r="DGT72" s="2936"/>
      <c r="DGU72" s="2936"/>
      <c r="DGV72" s="2936"/>
      <c r="DGW72" s="2936"/>
      <c r="DGX72" s="2936"/>
      <c r="DGY72" s="2936"/>
      <c r="DGZ72" s="2936"/>
      <c r="DHA72" s="2936"/>
      <c r="DHB72" s="2936"/>
      <c r="DHC72" s="2936"/>
      <c r="DHD72" s="2936"/>
      <c r="DHE72" s="2936"/>
      <c r="DHF72" s="2936"/>
      <c r="DHG72" s="2936"/>
      <c r="DHH72" s="2936"/>
      <c r="DHI72" s="2936"/>
      <c r="DHJ72" s="2936"/>
      <c r="DHK72" s="2936"/>
      <c r="DHL72" s="2936"/>
      <c r="DHM72" s="2936"/>
      <c r="DHN72" s="2936"/>
      <c r="DHO72" s="2936"/>
      <c r="DHP72" s="2936"/>
      <c r="DHQ72" s="2936"/>
      <c r="DHR72" s="2936"/>
      <c r="DHS72" s="2936"/>
      <c r="DHT72" s="2936"/>
      <c r="DHU72" s="2936"/>
      <c r="DHV72" s="2936"/>
      <c r="DHW72" s="2936"/>
      <c r="DHX72" s="2936"/>
      <c r="DHY72" s="2936"/>
      <c r="DHZ72" s="2936"/>
      <c r="DIA72" s="2936"/>
      <c r="DIB72" s="2936"/>
      <c r="DIC72" s="2936"/>
      <c r="DID72" s="2936"/>
      <c r="DIE72" s="2936"/>
      <c r="DIF72" s="2936"/>
      <c r="DIG72" s="2936"/>
      <c r="DIH72" s="2936"/>
      <c r="DII72" s="2936"/>
      <c r="DIJ72" s="2936"/>
      <c r="DIK72" s="2936"/>
      <c r="DIL72" s="2936"/>
      <c r="DIM72" s="2936"/>
      <c r="DIN72" s="2936"/>
      <c r="DIO72" s="2936"/>
      <c r="DIP72" s="2936"/>
      <c r="DIQ72" s="2936"/>
      <c r="DIR72" s="2936"/>
      <c r="DIS72" s="2936"/>
      <c r="DIT72" s="2936"/>
      <c r="DIU72" s="2936"/>
      <c r="DIV72" s="2936"/>
      <c r="DIW72" s="2936"/>
      <c r="DIX72" s="2936"/>
      <c r="DIY72" s="2936"/>
      <c r="DIZ72" s="2936"/>
      <c r="DJA72" s="2936"/>
      <c r="DJB72" s="2936"/>
      <c r="DJC72" s="2936"/>
      <c r="DJD72" s="2936"/>
      <c r="DJE72" s="2936"/>
      <c r="DJF72" s="2936"/>
      <c r="DJG72" s="2936"/>
      <c r="DJH72" s="2936"/>
      <c r="DJI72" s="2936"/>
      <c r="DJJ72" s="2936"/>
      <c r="DJK72" s="2936"/>
      <c r="DJL72" s="2936"/>
      <c r="DJM72" s="2936"/>
      <c r="DJN72" s="2936"/>
      <c r="DJO72" s="2936"/>
      <c r="DJP72" s="2936"/>
      <c r="DJQ72" s="2936"/>
      <c r="DJR72" s="2936"/>
      <c r="DJS72" s="2936"/>
      <c r="DJT72" s="2936"/>
      <c r="DJU72" s="2936"/>
      <c r="DJV72" s="2936"/>
      <c r="DJW72" s="2936"/>
      <c r="DJX72" s="2936"/>
      <c r="DJY72" s="2936"/>
      <c r="DJZ72" s="2936"/>
      <c r="DKA72" s="2936"/>
      <c r="DKB72" s="2936"/>
      <c r="DKC72" s="2936"/>
      <c r="DKD72" s="2936"/>
      <c r="DKE72" s="2936"/>
      <c r="DKF72" s="2936"/>
      <c r="DKG72" s="2936"/>
      <c r="DKH72" s="2936"/>
      <c r="DKI72" s="2936"/>
      <c r="DKJ72" s="2936"/>
      <c r="DKK72" s="2936"/>
      <c r="DKL72" s="2936"/>
      <c r="DKM72" s="2936"/>
      <c r="DKN72" s="2936"/>
      <c r="DKO72" s="2936"/>
      <c r="DKP72" s="2936"/>
      <c r="DKQ72" s="2936"/>
      <c r="DKR72" s="2936"/>
      <c r="DKS72" s="2936"/>
      <c r="DKT72" s="2936"/>
      <c r="DKU72" s="2936"/>
      <c r="DKV72" s="2936"/>
      <c r="DKW72" s="2936"/>
      <c r="DKX72" s="2936"/>
      <c r="DKY72" s="2936"/>
      <c r="DKZ72" s="2936"/>
      <c r="DLA72" s="2936"/>
      <c r="DLB72" s="2936"/>
      <c r="DLC72" s="2936"/>
      <c r="DLD72" s="2936"/>
      <c r="DLE72" s="2936"/>
      <c r="DLF72" s="2936"/>
      <c r="DLG72" s="2936"/>
      <c r="DLH72" s="2936"/>
      <c r="DLI72" s="2936"/>
      <c r="DLJ72" s="2936"/>
      <c r="DLK72" s="2936"/>
      <c r="DLL72" s="2936"/>
      <c r="DLM72" s="2936"/>
      <c r="DLN72" s="2936"/>
      <c r="DLO72" s="2936"/>
      <c r="DLP72" s="2936"/>
      <c r="DLQ72" s="2936"/>
      <c r="DLR72" s="2936"/>
      <c r="DLS72" s="2936"/>
      <c r="DLT72" s="2936"/>
      <c r="DLU72" s="2936"/>
      <c r="DLV72" s="2936"/>
      <c r="DLW72" s="2936"/>
      <c r="DLX72" s="2936"/>
      <c r="DLY72" s="2936"/>
      <c r="DLZ72" s="2936"/>
      <c r="DMA72" s="2936"/>
      <c r="DMB72" s="2936"/>
      <c r="DMC72" s="2936"/>
      <c r="DMD72" s="2936"/>
      <c r="DME72" s="2936"/>
      <c r="DMF72" s="2936"/>
      <c r="DMG72" s="2936"/>
      <c r="DMH72" s="2936"/>
      <c r="DMI72" s="2936"/>
      <c r="DMJ72" s="2936"/>
      <c r="DMK72" s="2936"/>
      <c r="DML72" s="2936"/>
      <c r="DMM72" s="2936"/>
      <c r="DMN72" s="2936"/>
      <c r="DMO72" s="2936"/>
      <c r="DMP72" s="2936"/>
      <c r="DMQ72" s="2936"/>
      <c r="DMR72" s="2936"/>
      <c r="DMS72" s="2936"/>
      <c r="DMT72" s="2936"/>
      <c r="DMU72" s="2936"/>
      <c r="DMV72" s="2936"/>
      <c r="DMW72" s="2936"/>
      <c r="DMX72" s="2936"/>
      <c r="DMY72" s="2936"/>
      <c r="DMZ72" s="2936"/>
      <c r="DNA72" s="2936"/>
      <c r="DNB72" s="2936"/>
      <c r="DNC72" s="2936"/>
      <c r="DND72" s="2936"/>
      <c r="DNE72" s="2936"/>
      <c r="DNF72" s="2936"/>
      <c r="DNG72" s="2936"/>
      <c r="DNH72" s="2936"/>
      <c r="DNI72" s="2936"/>
      <c r="DNJ72" s="2936"/>
      <c r="DNK72" s="2936"/>
      <c r="DNL72" s="2936"/>
      <c r="DNM72" s="2936"/>
      <c r="DNN72" s="2936"/>
      <c r="DNO72" s="2936"/>
      <c r="DNP72" s="2936"/>
      <c r="DNQ72" s="2936"/>
      <c r="DNR72" s="2936"/>
      <c r="DNS72" s="2936"/>
      <c r="DNT72" s="2936"/>
      <c r="DNU72" s="2936"/>
      <c r="DNV72" s="2936"/>
      <c r="DNW72" s="2936"/>
      <c r="DNX72" s="2936"/>
      <c r="DNY72" s="2936"/>
      <c r="DNZ72" s="2936"/>
      <c r="DOA72" s="2936"/>
      <c r="DOB72" s="2936"/>
      <c r="DOC72" s="2936"/>
      <c r="DOD72" s="2936"/>
      <c r="DOE72" s="2936"/>
      <c r="DOF72" s="2936"/>
      <c r="DOG72" s="2936"/>
      <c r="DOH72" s="2936"/>
      <c r="DOI72" s="2936"/>
      <c r="DOJ72" s="2936"/>
      <c r="DOK72" s="2936"/>
      <c r="DOL72" s="2936"/>
      <c r="DOM72" s="2936"/>
      <c r="DON72" s="2936"/>
      <c r="DOO72" s="2936"/>
      <c r="DOP72" s="2936"/>
      <c r="DOQ72" s="2936"/>
      <c r="DOR72" s="2936"/>
      <c r="DOS72" s="2936"/>
      <c r="DOT72" s="2936"/>
      <c r="DOU72" s="2936"/>
      <c r="DOV72" s="2936"/>
      <c r="DOW72" s="2936"/>
      <c r="DOX72" s="2936"/>
      <c r="DOY72" s="2936"/>
      <c r="DOZ72" s="2936"/>
      <c r="DPA72" s="2936"/>
      <c r="DPB72" s="2936"/>
      <c r="DPC72" s="2936"/>
      <c r="DPD72" s="2936"/>
      <c r="DPE72" s="2936"/>
      <c r="DPF72" s="2936"/>
      <c r="DPG72" s="2936"/>
      <c r="DPH72" s="2936"/>
      <c r="DPI72" s="2936"/>
      <c r="DPJ72" s="2936"/>
      <c r="DPK72" s="2936"/>
      <c r="DPL72" s="2936"/>
      <c r="DPM72" s="2936"/>
      <c r="DPN72" s="2936"/>
      <c r="DPO72" s="2936"/>
      <c r="DPP72" s="2936"/>
      <c r="DPQ72" s="2936"/>
      <c r="DPR72" s="2936"/>
      <c r="DPS72" s="2936"/>
      <c r="DPT72" s="2936"/>
      <c r="DPU72" s="2936"/>
      <c r="DPV72" s="2936"/>
      <c r="DPW72" s="2936"/>
      <c r="DPX72" s="2936"/>
      <c r="DPY72" s="2936"/>
      <c r="DPZ72" s="2936"/>
      <c r="DQA72" s="2936"/>
      <c r="DQB72" s="2936"/>
      <c r="DQC72" s="2936"/>
      <c r="DQD72" s="2936"/>
      <c r="DQE72" s="2936"/>
      <c r="DQF72" s="2936"/>
      <c r="DQG72" s="2936"/>
      <c r="DQH72" s="2936"/>
      <c r="DQI72" s="2936"/>
      <c r="DQJ72" s="2936"/>
      <c r="DQK72" s="2936"/>
      <c r="DQL72" s="2936"/>
      <c r="DQM72" s="2936"/>
      <c r="DQN72" s="2936"/>
      <c r="DQO72" s="2936"/>
      <c r="DQP72" s="2936"/>
      <c r="DQQ72" s="2936"/>
      <c r="DQR72" s="2936"/>
      <c r="DQS72" s="2936"/>
      <c r="DQT72" s="2936"/>
      <c r="DQU72" s="2936"/>
      <c r="DQV72" s="2936"/>
      <c r="DQW72" s="2936"/>
      <c r="DQX72" s="2936"/>
      <c r="DQY72" s="2936"/>
      <c r="DQZ72" s="2936"/>
      <c r="DRA72" s="2936"/>
      <c r="DRB72" s="2936"/>
      <c r="DRC72" s="2936"/>
      <c r="DRD72" s="2936"/>
      <c r="DRE72" s="2936"/>
      <c r="DRF72" s="2936"/>
      <c r="DRG72" s="2936"/>
      <c r="DRH72" s="2936"/>
      <c r="DRI72" s="2936"/>
      <c r="DRJ72" s="2936"/>
      <c r="DRK72" s="2936"/>
      <c r="DRL72" s="2936"/>
      <c r="DRM72" s="2936"/>
      <c r="DRN72" s="2936"/>
      <c r="DRO72" s="2936"/>
      <c r="DRP72" s="2936"/>
      <c r="DRQ72" s="2936"/>
      <c r="DRR72" s="2936"/>
      <c r="DRS72" s="2936"/>
      <c r="DRT72" s="2936"/>
      <c r="DRU72" s="2936"/>
      <c r="DRV72" s="2936"/>
      <c r="DRW72" s="2936"/>
      <c r="DRX72" s="2936"/>
      <c r="DRY72" s="2936"/>
      <c r="DRZ72" s="2936"/>
      <c r="DSA72" s="2936"/>
      <c r="DSB72" s="2936"/>
      <c r="DSC72" s="2936"/>
      <c r="DSD72" s="2936"/>
      <c r="DSE72" s="2936"/>
      <c r="DSF72" s="2936"/>
      <c r="DSG72" s="2936"/>
      <c r="DSH72" s="2936"/>
      <c r="DSI72" s="2936"/>
      <c r="DSJ72" s="2936"/>
      <c r="DSK72" s="2936"/>
      <c r="DSL72" s="2936"/>
      <c r="DSM72" s="2936"/>
      <c r="DSN72" s="2936"/>
      <c r="DSO72" s="2936"/>
      <c r="DSP72" s="2936"/>
      <c r="DSQ72" s="2936"/>
      <c r="DSR72" s="2936"/>
      <c r="DSS72" s="2936"/>
      <c r="DST72" s="2936"/>
      <c r="DSU72" s="2936"/>
      <c r="DSV72" s="2936"/>
      <c r="DSW72" s="2936"/>
      <c r="DSX72" s="2936"/>
      <c r="DSY72" s="2936"/>
      <c r="DSZ72" s="2936"/>
      <c r="DTA72" s="2936"/>
      <c r="DTB72" s="2936"/>
      <c r="DTC72" s="2936"/>
      <c r="DTD72" s="2936"/>
      <c r="DTE72" s="2936"/>
      <c r="DTF72" s="2936"/>
      <c r="DTG72" s="2936"/>
      <c r="DTH72" s="2936"/>
      <c r="DTI72" s="2936"/>
      <c r="DTJ72" s="2936"/>
      <c r="DTK72" s="2936"/>
      <c r="DTL72" s="2936"/>
      <c r="DTM72" s="2936"/>
      <c r="DTN72" s="2936"/>
      <c r="DTO72" s="2936"/>
      <c r="DTP72" s="2936"/>
      <c r="DTQ72" s="2936"/>
      <c r="DTR72" s="2936"/>
      <c r="DTS72" s="2936"/>
      <c r="DTT72" s="2936"/>
      <c r="DTU72" s="2936"/>
      <c r="DTV72" s="2936"/>
      <c r="DTW72" s="2936"/>
      <c r="DTX72" s="2936"/>
      <c r="DTY72" s="2936"/>
      <c r="DTZ72" s="2936"/>
      <c r="DUA72" s="2936"/>
      <c r="DUB72" s="2936"/>
      <c r="DUC72" s="2936"/>
      <c r="DUD72" s="2936"/>
      <c r="DUE72" s="2936"/>
      <c r="DUF72" s="2936"/>
      <c r="DUG72" s="2936"/>
      <c r="DUH72" s="2936"/>
      <c r="DUI72" s="2936"/>
      <c r="DUJ72" s="2936"/>
      <c r="DUK72" s="2936"/>
      <c r="DUL72" s="2936"/>
      <c r="DUM72" s="2936"/>
      <c r="DUN72" s="2936"/>
      <c r="DUO72" s="2936"/>
      <c r="DUP72" s="2936"/>
      <c r="DUQ72" s="2936"/>
      <c r="DUR72" s="2936"/>
      <c r="DUS72" s="2936"/>
      <c r="DUT72" s="2936"/>
      <c r="DUU72" s="2936"/>
      <c r="DUV72" s="2936"/>
      <c r="DUW72" s="2936"/>
      <c r="DUX72" s="2936"/>
      <c r="DUY72" s="2936"/>
      <c r="DUZ72" s="2936"/>
      <c r="DVA72" s="2936"/>
      <c r="DVB72" s="2936"/>
      <c r="DVC72" s="2936"/>
      <c r="DVD72" s="2936"/>
      <c r="DVE72" s="2936"/>
      <c r="DVF72" s="2936"/>
      <c r="DVG72" s="2936"/>
      <c r="DVH72" s="2936"/>
      <c r="DVI72" s="2936"/>
      <c r="DVJ72" s="2936"/>
      <c r="DVK72" s="2936"/>
      <c r="DVL72" s="2936"/>
      <c r="DVM72" s="2936"/>
      <c r="DVN72" s="2936"/>
      <c r="DVO72" s="2936"/>
      <c r="DVP72" s="2936"/>
      <c r="DVQ72" s="2936"/>
      <c r="DVR72" s="2936"/>
      <c r="DVS72" s="2936"/>
      <c r="DVT72" s="2936"/>
      <c r="DVU72" s="2936"/>
      <c r="DVV72" s="2936"/>
      <c r="DVW72" s="2936"/>
      <c r="DVX72" s="2936"/>
      <c r="DVY72" s="2936"/>
      <c r="DVZ72" s="2936"/>
      <c r="DWA72" s="2936"/>
      <c r="DWB72" s="2936"/>
      <c r="DWC72" s="2936"/>
      <c r="DWD72" s="2936"/>
      <c r="DWE72" s="2936"/>
      <c r="DWF72" s="2936"/>
      <c r="DWG72" s="2936"/>
      <c r="DWH72" s="2936"/>
      <c r="DWI72" s="2936"/>
      <c r="DWJ72" s="2936"/>
      <c r="DWK72" s="2936"/>
      <c r="DWL72" s="2936"/>
      <c r="DWM72" s="2936"/>
      <c r="DWN72" s="2936"/>
      <c r="DWO72" s="2936"/>
      <c r="DWP72" s="2936"/>
      <c r="DWQ72" s="2936"/>
      <c r="DWR72" s="2936"/>
      <c r="DWS72" s="2936"/>
      <c r="DWT72" s="2936"/>
      <c r="DWU72" s="2936"/>
      <c r="DWV72" s="2936"/>
      <c r="DWW72" s="2936"/>
      <c r="DWX72" s="2936"/>
      <c r="DWY72" s="2936"/>
      <c r="DWZ72" s="2936"/>
      <c r="DXA72" s="2936"/>
      <c r="DXB72" s="2936"/>
      <c r="DXC72" s="2936"/>
      <c r="DXD72" s="2936"/>
      <c r="DXE72" s="2936"/>
      <c r="DXF72" s="2936"/>
      <c r="DXG72" s="2936"/>
      <c r="DXH72" s="2936"/>
      <c r="DXI72" s="2936"/>
      <c r="DXJ72" s="2936"/>
      <c r="DXK72" s="2936"/>
      <c r="DXL72" s="2936"/>
      <c r="DXM72" s="2936"/>
      <c r="DXN72" s="2936"/>
      <c r="DXO72" s="2936"/>
      <c r="DXP72" s="2936"/>
      <c r="DXQ72" s="2936"/>
      <c r="DXR72" s="2936"/>
      <c r="DXS72" s="2936"/>
      <c r="DXT72" s="2936"/>
      <c r="DXU72" s="2936"/>
      <c r="DXV72" s="2936"/>
      <c r="DXW72" s="2936"/>
      <c r="DXX72" s="2936"/>
      <c r="DXY72" s="2936"/>
      <c r="DXZ72" s="2936"/>
      <c r="DYA72" s="2936"/>
      <c r="DYB72" s="2936"/>
      <c r="DYC72" s="2936"/>
      <c r="DYD72" s="2936"/>
      <c r="DYE72" s="2936"/>
      <c r="DYF72" s="2936"/>
      <c r="DYG72" s="2936"/>
      <c r="DYH72" s="2936"/>
      <c r="DYI72" s="2936"/>
      <c r="DYJ72" s="2936"/>
      <c r="DYK72" s="2936"/>
      <c r="DYL72" s="2936"/>
      <c r="DYM72" s="2936"/>
      <c r="DYN72" s="2936"/>
      <c r="DYO72" s="2936"/>
      <c r="DYP72" s="2936"/>
      <c r="DYQ72" s="2936"/>
      <c r="DYR72" s="2936"/>
      <c r="DYS72" s="2936"/>
      <c r="DYT72" s="2936"/>
      <c r="DYU72" s="2936"/>
      <c r="DYV72" s="2936"/>
      <c r="DYW72" s="2936"/>
      <c r="DYX72" s="2936"/>
      <c r="DYY72" s="2936"/>
      <c r="DYZ72" s="2936"/>
      <c r="DZA72" s="2936"/>
      <c r="DZB72" s="2936"/>
      <c r="DZC72" s="2936"/>
      <c r="DZD72" s="2936"/>
      <c r="DZE72" s="2936"/>
      <c r="DZF72" s="2936"/>
      <c r="DZG72" s="2936"/>
      <c r="DZH72" s="2936"/>
      <c r="DZI72" s="2936"/>
      <c r="DZJ72" s="2936"/>
      <c r="DZK72" s="2936"/>
      <c r="DZL72" s="2936"/>
      <c r="DZM72" s="2936"/>
      <c r="DZN72" s="2936"/>
      <c r="DZO72" s="2936"/>
      <c r="DZP72" s="2936"/>
      <c r="DZQ72" s="2936"/>
      <c r="DZR72" s="2936"/>
      <c r="DZS72" s="2936"/>
      <c r="DZT72" s="2936"/>
      <c r="DZU72" s="2936"/>
      <c r="DZV72" s="2936"/>
      <c r="DZW72" s="2936"/>
      <c r="DZX72" s="2936"/>
      <c r="DZY72" s="2936"/>
      <c r="DZZ72" s="2936"/>
      <c r="EAA72" s="2936"/>
      <c r="EAB72" s="2936"/>
      <c r="EAC72" s="2936"/>
      <c r="EAD72" s="2936"/>
      <c r="EAE72" s="2936"/>
      <c r="EAF72" s="2936"/>
      <c r="EAG72" s="2936"/>
      <c r="EAH72" s="2936"/>
      <c r="EAI72" s="2936"/>
      <c r="EAJ72" s="2936"/>
      <c r="EAK72" s="2936"/>
      <c r="EAL72" s="2936"/>
      <c r="EAM72" s="2936"/>
      <c r="EAN72" s="2936"/>
      <c r="EAO72" s="2936"/>
      <c r="EAP72" s="2936"/>
      <c r="EAQ72" s="2936"/>
      <c r="EAR72" s="2936"/>
      <c r="EAS72" s="2936"/>
      <c r="EAT72" s="2936"/>
      <c r="EAU72" s="2936"/>
      <c r="EAV72" s="2936"/>
      <c r="EAW72" s="2936"/>
      <c r="EAX72" s="2936"/>
      <c r="EAY72" s="2936"/>
      <c r="EAZ72" s="2936"/>
      <c r="EBA72" s="2936"/>
      <c r="EBB72" s="2936"/>
      <c r="EBC72" s="2936"/>
      <c r="EBD72" s="2936"/>
      <c r="EBE72" s="2936"/>
      <c r="EBF72" s="2936"/>
      <c r="EBG72" s="2936"/>
      <c r="EBH72" s="2936"/>
      <c r="EBI72" s="2936"/>
      <c r="EBJ72" s="2936"/>
      <c r="EBK72" s="2936"/>
      <c r="EBL72" s="2936"/>
      <c r="EBM72" s="2936"/>
      <c r="EBN72" s="2936"/>
      <c r="EBO72" s="2936"/>
      <c r="EBP72" s="2936"/>
      <c r="EBQ72" s="2936"/>
      <c r="EBR72" s="2936"/>
      <c r="EBS72" s="2936"/>
      <c r="EBT72" s="2936"/>
      <c r="EBU72" s="2936"/>
      <c r="EBV72" s="2936"/>
      <c r="EBW72" s="2936"/>
      <c r="EBX72" s="2936"/>
      <c r="EBY72" s="2936"/>
      <c r="EBZ72" s="2936"/>
      <c r="ECA72" s="2936"/>
      <c r="ECB72" s="2936"/>
      <c r="ECC72" s="2936"/>
      <c r="ECD72" s="2936"/>
      <c r="ECE72" s="2936"/>
      <c r="ECF72" s="2936"/>
      <c r="ECG72" s="2936"/>
      <c r="ECH72" s="2936"/>
      <c r="ECI72" s="2936"/>
      <c r="ECJ72" s="2936"/>
      <c r="ECK72" s="2936"/>
      <c r="ECL72" s="2936"/>
      <c r="ECM72" s="2936"/>
      <c r="ECN72" s="2936"/>
      <c r="ECO72" s="2936"/>
      <c r="ECP72" s="2936"/>
      <c r="ECQ72" s="2936"/>
      <c r="ECR72" s="2936"/>
      <c r="ECS72" s="2936"/>
      <c r="ECT72" s="2936"/>
      <c r="ECU72" s="2936"/>
      <c r="ECV72" s="2936"/>
      <c r="ECW72" s="2936"/>
      <c r="ECX72" s="2936"/>
      <c r="ECY72" s="2936"/>
      <c r="ECZ72" s="2936"/>
      <c r="EDA72" s="2936"/>
      <c r="EDB72" s="2936"/>
      <c r="EDC72" s="2936"/>
      <c r="EDD72" s="2936"/>
      <c r="EDE72" s="2936"/>
      <c r="EDF72" s="2936"/>
      <c r="EDG72" s="2936"/>
      <c r="EDH72" s="2936"/>
      <c r="EDI72" s="2936"/>
      <c r="EDJ72" s="2936"/>
      <c r="EDK72" s="2936"/>
      <c r="EDL72" s="2936"/>
      <c r="EDM72" s="2936"/>
      <c r="EDN72" s="2936"/>
      <c r="EDO72" s="2936"/>
      <c r="EDP72" s="2936"/>
      <c r="EDQ72" s="2936"/>
      <c r="EDR72" s="2936"/>
      <c r="EDS72" s="2936"/>
      <c r="EDT72" s="2936"/>
      <c r="EDU72" s="2936"/>
      <c r="EDV72" s="2936"/>
      <c r="EDW72" s="2936"/>
      <c r="EDX72" s="2936"/>
      <c r="EDY72" s="2936"/>
      <c r="EDZ72" s="2936"/>
      <c r="EEA72" s="2936"/>
      <c r="EEB72" s="2936"/>
      <c r="EEC72" s="2936"/>
      <c r="EED72" s="2936"/>
      <c r="EEE72" s="2936"/>
      <c r="EEF72" s="2936"/>
      <c r="EEG72" s="2936"/>
      <c r="EEH72" s="2936"/>
      <c r="EEI72" s="2936"/>
      <c r="EEJ72" s="2936"/>
      <c r="EEK72" s="2936"/>
      <c r="EEL72" s="2936"/>
      <c r="EEM72" s="2936"/>
      <c r="EEN72" s="2936"/>
      <c r="EEO72" s="2936"/>
      <c r="EEP72" s="2936"/>
      <c r="EEQ72" s="2936"/>
      <c r="EER72" s="2936"/>
      <c r="EES72" s="2936"/>
      <c r="EET72" s="2936"/>
      <c r="EEU72" s="2936"/>
      <c r="EEV72" s="2936"/>
      <c r="EEW72" s="2936"/>
      <c r="EEX72" s="2936"/>
      <c r="EEY72" s="2936"/>
      <c r="EEZ72" s="2936"/>
      <c r="EFA72" s="2936"/>
      <c r="EFB72" s="2936"/>
      <c r="EFC72" s="2936"/>
      <c r="EFD72" s="2936"/>
      <c r="EFE72" s="2936"/>
      <c r="EFF72" s="2936"/>
      <c r="EFG72" s="2936"/>
      <c r="EFH72" s="2936"/>
      <c r="EFI72" s="2936"/>
      <c r="EFJ72" s="2936"/>
      <c r="EFK72" s="2936"/>
      <c r="EFL72" s="2936"/>
      <c r="EFM72" s="2936"/>
      <c r="EFN72" s="2936"/>
      <c r="EFO72" s="2936"/>
      <c r="EFP72" s="2936"/>
      <c r="EFQ72" s="2936"/>
      <c r="EFR72" s="2936"/>
      <c r="EFS72" s="2936"/>
      <c r="EFT72" s="2936"/>
      <c r="EFU72" s="2936"/>
      <c r="EFV72" s="2936"/>
      <c r="EFW72" s="2936"/>
      <c r="EFX72" s="2936"/>
      <c r="EFY72" s="2936"/>
      <c r="EFZ72" s="2936"/>
      <c r="EGA72" s="2936"/>
      <c r="EGB72" s="2936"/>
      <c r="EGC72" s="2936"/>
      <c r="EGD72" s="2936"/>
      <c r="EGE72" s="2936"/>
      <c r="EGF72" s="2936"/>
      <c r="EGG72" s="2936"/>
      <c r="EGH72" s="2936"/>
      <c r="EGI72" s="2936"/>
      <c r="EGJ72" s="2936"/>
      <c r="EGK72" s="2936"/>
      <c r="EGL72" s="2936"/>
      <c r="EGM72" s="2936"/>
      <c r="EGN72" s="2936"/>
      <c r="EGO72" s="2936"/>
      <c r="EGP72" s="2936"/>
      <c r="EGQ72" s="2936"/>
      <c r="EGR72" s="2936"/>
      <c r="EGS72" s="2936"/>
      <c r="EGT72" s="2936"/>
      <c r="EGU72" s="2936"/>
      <c r="EGV72" s="2936"/>
      <c r="EGW72" s="2936"/>
      <c r="EGX72" s="2936"/>
      <c r="EGY72" s="2936"/>
      <c r="EGZ72" s="2936"/>
      <c r="EHA72" s="2936"/>
      <c r="EHB72" s="2936"/>
      <c r="EHC72" s="2936"/>
      <c r="EHD72" s="2936"/>
      <c r="EHE72" s="2936"/>
      <c r="EHF72" s="2936"/>
      <c r="EHG72" s="2936"/>
      <c r="EHH72" s="2936"/>
      <c r="EHI72" s="2936"/>
      <c r="EHJ72" s="2936"/>
      <c r="EHK72" s="2936"/>
      <c r="EHL72" s="2936"/>
      <c r="EHM72" s="2936"/>
      <c r="EHN72" s="2936"/>
      <c r="EHO72" s="2936"/>
      <c r="EHP72" s="2936"/>
      <c r="EHQ72" s="2936"/>
      <c r="EHR72" s="2936"/>
      <c r="EHS72" s="2936"/>
      <c r="EHT72" s="2936"/>
      <c r="EHU72" s="2936"/>
      <c r="EHV72" s="2936"/>
      <c r="EHW72" s="2936"/>
      <c r="EHX72" s="2936"/>
      <c r="EHY72" s="2936"/>
      <c r="EHZ72" s="2936"/>
      <c r="EIA72" s="2936"/>
      <c r="EIB72" s="2936"/>
      <c r="EIC72" s="2936"/>
      <c r="EID72" s="2936"/>
      <c r="EIE72" s="2936"/>
      <c r="EIF72" s="2936"/>
      <c r="EIG72" s="2936"/>
      <c r="EIH72" s="2936"/>
      <c r="EII72" s="2936"/>
      <c r="EIJ72" s="2936"/>
      <c r="EIK72" s="2936"/>
      <c r="EIL72" s="2936"/>
      <c r="EIM72" s="2936"/>
      <c r="EIN72" s="2936"/>
      <c r="EIO72" s="2936"/>
      <c r="EIP72" s="2936"/>
      <c r="EIQ72" s="2936"/>
      <c r="EIR72" s="2936"/>
      <c r="EIS72" s="2936"/>
      <c r="EIT72" s="2936"/>
      <c r="EIU72" s="2936"/>
      <c r="EIV72" s="2936"/>
      <c r="EIW72" s="2936"/>
      <c r="EIX72" s="2936"/>
      <c r="EIY72" s="2936"/>
      <c r="EIZ72" s="2936"/>
      <c r="EJA72" s="2936"/>
      <c r="EJB72" s="2936"/>
      <c r="EJC72" s="2936"/>
      <c r="EJD72" s="2936"/>
      <c r="EJE72" s="2936"/>
      <c r="EJF72" s="2936"/>
      <c r="EJG72" s="2936"/>
      <c r="EJH72" s="2936"/>
      <c r="EJI72" s="2936"/>
      <c r="EJJ72" s="2936"/>
      <c r="EJK72" s="2936"/>
      <c r="EJL72" s="2936"/>
      <c r="EJM72" s="2936"/>
      <c r="EJN72" s="2936"/>
      <c r="EJO72" s="2936"/>
      <c r="EJP72" s="2936"/>
      <c r="EJQ72" s="2936"/>
      <c r="EJR72" s="2936"/>
      <c r="EJS72" s="2936"/>
      <c r="EJT72" s="2936"/>
      <c r="EJU72" s="2936"/>
      <c r="EJV72" s="2936"/>
      <c r="EJW72" s="2936"/>
      <c r="EJX72" s="2936"/>
      <c r="EJY72" s="2936"/>
      <c r="EJZ72" s="2936"/>
      <c r="EKA72" s="2936"/>
      <c r="EKB72" s="2936"/>
      <c r="EKC72" s="2936"/>
      <c r="EKD72" s="2936"/>
      <c r="EKE72" s="2936"/>
      <c r="EKF72" s="2936"/>
      <c r="EKG72" s="2936"/>
      <c r="EKH72" s="2936"/>
      <c r="EKI72" s="2936"/>
      <c r="EKJ72" s="2936"/>
      <c r="EKK72" s="2936"/>
      <c r="EKL72" s="2936"/>
      <c r="EKM72" s="2936"/>
      <c r="EKN72" s="2936"/>
      <c r="EKO72" s="2936"/>
      <c r="EKP72" s="2936"/>
      <c r="EKQ72" s="2936"/>
      <c r="EKR72" s="2936"/>
      <c r="EKS72" s="2936"/>
      <c r="EKT72" s="2936"/>
      <c r="EKU72" s="2936"/>
      <c r="EKV72" s="2936"/>
      <c r="EKW72" s="2936"/>
      <c r="EKX72" s="2936"/>
      <c r="EKY72" s="2936"/>
      <c r="EKZ72" s="2936"/>
      <c r="ELA72" s="2936"/>
      <c r="ELB72" s="2936"/>
      <c r="ELC72" s="2936"/>
      <c r="ELD72" s="2936"/>
      <c r="ELE72" s="2936"/>
      <c r="ELF72" s="2936"/>
      <c r="ELG72" s="2936"/>
      <c r="ELH72" s="2936"/>
      <c r="ELI72" s="2936"/>
      <c r="ELJ72" s="2936"/>
      <c r="ELK72" s="2936"/>
      <c r="ELL72" s="2936"/>
      <c r="ELM72" s="2936"/>
      <c r="ELN72" s="2936"/>
      <c r="ELO72" s="2936"/>
      <c r="ELP72" s="2936"/>
      <c r="ELQ72" s="2936"/>
      <c r="ELR72" s="2936"/>
      <c r="ELS72" s="2936"/>
      <c r="ELT72" s="2936"/>
      <c r="ELU72" s="2936"/>
      <c r="ELV72" s="2936"/>
      <c r="ELW72" s="2936"/>
      <c r="ELX72" s="2936"/>
      <c r="ELY72" s="2936"/>
      <c r="ELZ72" s="2936"/>
      <c r="EMA72" s="2936"/>
      <c r="EMB72" s="2936"/>
      <c r="EMC72" s="2936"/>
      <c r="EMD72" s="2936"/>
      <c r="EME72" s="2936"/>
      <c r="EMF72" s="2936"/>
      <c r="EMG72" s="2936"/>
      <c r="EMH72" s="2936"/>
      <c r="EMI72" s="2936"/>
      <c r="EMJ72" s="2936"/>
      <c r="EMK72" s="2936"/>
      <c r="EML72" s="2936"/>
      <c r="EMM72" s="2936"/>
      <c r="EMN72" s="2936"/>
      <c r="EMO72" s="2936"/>
      <c r="EMP72" s="2936"/>
      <c r="EMQ72" s="2936"/>
      <c r="EMR72" s="2936"/>
      <c r="EMS72" s="2936"/>
      <c r="EMT72" s="2936"/>
      <c r="EMU72" s="2936"/>
      <c r="EMV72" s="2936"/>
      <c r="EMW72" s="2936"/>
      <c r="EMX72" s="2936"/>
      <c r="EMY72" s="2936"/>
      <c r="EMZ72" s="2936"/>
      <c r="ENA72" s="2936"/>
      <c r="ENB72" s="2936"/>
      <c r="ENC72" s="2936"/>
      <c r="END72" s="2936"/>
      <c r="ENE72" s="2936"/>
      <c r="ENF72" s="2936"/>
      <c r="ENG72" s="2936"/>
      <c r="ENH72" s="2936"/>
      <c r="ENI72" s="2936"/>
      <c r="ENJ72" s="2936"/>
      <c r="ENK72" s="2936"/>
      <c r="ENL72" s="2936"/>
      <c r="ENM72" s="2936"/>
      <c r="ENN72" s="2936"/>
      <c r="ENO72" s="2936"/>
      <c r="ENP72" s="2936"/>
      <c r="ENQ72" s="2936"/>
      <c r="ENR72" s="2936"/>
      <c r="ENS72" s="2936"/>
      <c r="ENT72" s="2936"/>
      <c r="ENU72" s="2936"/>
      <c r="ENV72" s="2936"/>
      <c r="ENW72" s="2936"/>
      <c r="ENX72" s="2936"/>
      <c r="ENY72" s="2936"/>
      <c r="ENZ72" s="2936"/>
      <c r="EOA72" s="2936"/>
      <c r="EOB72" s="2936"/>
      <c r="EOC72" s="2936"/>
      <c r="EOD72" s="2936"/>
      <c r="EOE72" s="2936"/>
      <c r="EOF72" s="2936"/>
      <c r="EOG72" s="2936"/>
      <c r="EOH72" s="2936"/>
      <c r="EOI72" s="2936"/>
      <c r="EOJ72" s="2936"/>
      <c r="EOK72" s="2936"/>
      <c r="EOL72" s="2936"/>
      <c r="EOM72" s="2936"/>
      <c r="EON72" s="2936"/>
      <c r="EOO72" s="2936"/>
      <c r="EOP72" s="2936"/>
      <c r="EOQ72" s="2936"/>
      <c r="EOR72" s="2936"/>
      <c r="EOS72" s="2936"/>
      <c r="EOT72" s="2936"/>
      <c r="EOU72" s="2936"/>
      <c r="EOV72" s="2936"/>
      <c r="EOW72" s="2936"/>
      <c r="EOX72" s="2936"/>
      <c r="EOY72" s="2936"/>
      <c r="EOZ72" s="2936"/>
      <c r="EPA72" s="2936"/>
      <c r="EPB72" s="2936"/>
      <c r="EPC72" s="2936"/>
      <c r="EPD72" s="2936"/>
      <c r="EPE72" s="2936"/>
      <c r="EPF72" s="2936"/>
      <c r="EPG72" s="2936"/>
      <c r="EPH72" s="2936"/>
      <c r="EPI72" s="2936"/>
      <c r="EPJ72" s="2936"/>
      <c r="EPK72" s="2936"/>
      <c r="EPL72" s="2936"/>
      <c r="EPM72" s="2936"/>
      <c r="EPN72" s="2936"/>
      <c r="EPO72" s="2936"/>
      <c r="EPP72" s="2936"/>
      <c r="EPQ72" s="2936"/>
      <c r="EPR72" s="2936"/>
      <c r="EPS72" s="2936"/>
      <c r="EPT72" s="2936"/>
      <c r="EPU72" s="2936"/>
      <c r="EPV72" s="2936"/>
      <c r="EPW72" s="2936"/>
      <c r="EPX72" s="2936"/>
      <c r="EPY72" s="2936"/>
      <c r="EPZ72" s="2936"/>
      <c r="EQA72" s="2936"/>
      <c r="EQB72" s="2936"/>
      <c r="EQC72" s="2936"/>
      <c r="EQD72" s="2936"/>
      <c r="EQE72" s="2936"/>
      <c r="EQF72" s="2936"/>
      <c r="EQG72" s="2936"/>
      <c r="EQH72" s="2936"/>
      <c r="EQI72" s="2936"/>
      <c r="EQJ72" s="2936"/>
      <c r="EQK72" s="2936"/>
      <c r="EQL72" s="2936"/>
      <c r="EQM72" s="2936"/>
      <c r="EQN72" s="2936"/>
      <c r="EQO72" s="2936"/>
      <c r="EQP72" s="2936"/>
      <c r="EQQ72" s="2936"/>
      <c r="EQR72" s="2936"/>
      <c r="EQS72" s="2936"/>
      <c r="EQT72" s="2936"/>
      <c r="EQU72" s="2936"/>
      <c r="EQV72" s="2936"/>
      <c r="EQW72" s="2936"/>
      <c r="EQX72" s="2936"/>
      <c r="EQY72" s="2936"/>
      <c r="EQZ72" s="2936"/>
      <c r="ERA72" s="2936"/>
      <c r="ERB72" s="2936"/>
      <c r="ERC72" s="2936"/>
      <c r="ERD72" s="2936"/>
      <c r="ERE72" s="2936"/>
      <c r="ERF72" s="2936"/>
      <c r="ERG72" s="2936"/>
      <c r="ERH72" s="2936"/>
      <c r="ERI72" s="2936"/>
      <c r="ERJ72" s="2936"/>
      <c r="ERK72" s="2936"/>
      <c r="ERL72" s="2936"/>
      <c r="ERM72" s="2936"/>
      <c r="ERN72" s="2936"/>
      <c r="ERO72" s="2936"/>
      <c r="ERP72" s="2936"/>
      <c r="ERQ72" s="2936"/>
      <c r="ERR72" s="2936"/>
      <c r="ERS72" s="2936"/>
      <c r="ERT72" s="2936"/>
      <c r="ERU72" s="2936"/>
      <c r="ERV72" s="2936"/>
      <c r="ERW72" s="2936"/>
      <c r="ERX72" s="2936"/>
      <c r="ERY72" s="2936"/>
      <c r="ERZ72" s="2936"/>
      <c r="ESA72" s="2936"/>
      <c r="ESB72" s="2936"/>
      <c r="ESC72" s="2936"/>
      <c r="ESD72" s="2936"/>
      <c r="ESE72" s="2936"/>
      <c r="ESF72" s="2936"/>
      <c r="ESG72" s="2936"/>
      <c r="ESH72" s="2936"/>
      <c r="ESI72" s="2936"/>
      <c r="ESJ72" s="2936"/>
      <c r="ESK72" s="2936"/>
      <c r="ESL72" s="2936"/>
      <c r="ESM72" s="2936"/>
      <c r="ESN72" s="2936"/>
      <c r="ESO72" s="2936"/>
      <c r="ESP72" s="2936"/>
      <c r="ESQ72" s="2936"/>
      <c r="ESR72" s="2936"/>
      <c r="ESS72" s="2936"/>
      <c r="EST72" s="2936"/>
      <c r="ESU72" s="2936"/>
      <c r="ESV72" s="2936"/>
      <c r="ESW72" s="2936"/>
      <c r="ESX72" s="2936"/>
      <c r="ESY72" s="2936"/>
      <c r="ESZ72" s="2936"/>
      <c r="ETA72" s="2936"/>
      <c r="ETB72" s="2936"/>
      <c r="ETC72" s="2936"/>
      <c r="ETD72" s="2936"/>
      <c r="ETE72" s="2936"/>
      <c r="ETF72" s="2936"/>
      <c r="ETG72" s="2936"/>
      <c r="ETH72" s="2936"/>
      <c r="ETI72" s="2936"/>
      <c r="ETJ72" s="2936"/>
      <c r="ETK72" s="2936"/>
      <c r="ETL72" s="2936"/>
      <c r="ETM72" s="2936"/>
      <c r="ETN72" s="2936"/>
      <c r="ETO72" s="2936"/>
      <c r="ETP72" s="2936"/>
      <c r="ETQ72" s="2936"/>
      <c r="ETR72" s="2936"/>
      <c r="ETS72" s="2936"/>
      <c r="ETT72" s="2936"/>
      <c r="ETU72" s="2936"/>
      <c r="ETV72" s="2936"/>
      <c r="ETW72" s="2936"/>
      <c r="ETX72" s="2936"/>
      <c r="ETY72" s="2936"/>
      <c r="ETZ72" s="2936"/>
      <c r="EUA72" s="2936"/>
      <c r="EUB72" s="2936"/>
      <c r="EUC72" s="2936"/>
      <c r="EUD72" s="2936"/>
      <c r="EUE72" s="2936"/>
      <c r="EUF72" s="2936"/>
      <c r="EUG72" s="2936"/>
      <c r="EUH72" s="2936"/>
      <c r="EUI72" s="2936"/>
      <c r="EUJ72" s="2936"/>
      <c r="EUK72" s="2936"/>
      <c r="EUL72" s="2936"/>
      <c r="EUM72" s="2936"/>
      <c r="EUN72" s="2936"/>
      <c r="EUO72" s="2936"/>
      <c r="EUP72" s="2936"/>
      <c r="EUQ72" s="2936"/>
      <c r="EUR72" s="2936"/>
      <c r="EUS72" s="2936"/>
      <c r="EUT72" s="2936"/>
      <c r="EUU72" s="2936"/>
      <c r="EUV72" s="2936"/>
      <c r="EUW72" s="2936"/>
      <c r="EUX72" s="2936"/>
      <c r="EUY72" s="2936"/>
      <c r="EUZ72" s="2936"/>
      <c r="EVA72" s="2936"/>
      <c r="EVB72" s="2936"/>
      <c r="EVC72" s="2936"/>
      <c r="EVD72" s="2936"/>
      <c r="EVE72" s="2936"/>
      <c r="EVF72" s="2936"/>
      <c r="EVG72" s="2936"/>
      <c r="EVH72" s="2936"/>
      <c r="EVI72" s="2936"/>
      <c r="EVJ72" s="2936"/>
      <c r="EVK72" s="2936"/>
      <c r="EVL72" s="2936"/>
      <c r="EVM72" s="2936"/>
      <c r="EVN72" s="2936"/>
      <c r="EVO72" s="2936"/>
      <c r="EVP72" s="2936"/>
      <c r="EVQ72" s="2936"/>
      <c r="EVR72" s="2936"/>
      <c r="EVS72" s="2936"/>
      <c r="EVT72" s="2936"/>
      <c r="EVU72" s="2936"/>
      <c r="EVV72" s="2936"/>
      <c r="EVW72" s="2936"/>
      <c r="EVX72" s="2936"/>
      <c r="EVY72" s="2936"/>
      <c r="EVZ72" s="2936"/>
      <c r="EWA72" s="2936"/>
      <c r="EWB72" s="2936"/>
      <c r="EWC72" s="2936"/>
      <c r="EWD72" s="2936"/>
      <c r="EWE72" s="2936"/>
      <c r="EWF72" s="2936"/>
      <c r="EWG72" s="2936"/>
      <c r="EWH72" s="2936"/>
      <c r="EWI72" s="2936"/>
      <c r="EWJ72" s="2936"/>
      <c r="EWK72" s="2936"/>
      <c r="EWL72" s="2936"/>
      <c r="EWM72" s="2936"/>
      <c r="EWN72" s="2936"/>
      <c r="EWO72" s="2936"/>
      <c r="EWP72" s="2936"/>
      <c r="EWQ72" s="2936"/>
      <c r="EWR72" s="2936"/>
      <c r="EWS72" s="2936"/>
      <c r="EWT72" s="2936"/>
      <c r="EWU72" s="2936"/>
      <c r="EWV72" s="2936"/>
      <c r="EWW72" s="2936"/>
      <c r="EWX72" s="2936"/>
      <c r="EWY72" s="2936"/>
      <c r="EWZ72" s="2936"/>
      <c r="EXA72" s="2936"/>
      <c r="EXB72" s="2936"/>
      <c r="EXC72" s="2936"/>
      <c r="EXD72" s="2936"/>
      <c r="EXE72" s="2936"/>
      <c r="EXF72" s="2936"/>
      <c r="EXG72" s="2936"/>
      <c r="EXH72" s="2936"/>
      <c r="EXI72" s="2936"/>
      <c r="EXJ72" s="2936"/>
      <c r="EXK72" s="2936"/>
      <c r="EXL72" s="2936"/>
      <c r="EXM72" s="2936"/>
      <c r="EXN72" s="2936"/>
      <c r="EXO72" s="2936"/>
      <c r="EXP72" s="2936"/>
      <c r="EXQ72" s="2936"/>
      <c r="EXR72" s="2936"/>
      <c r="EXS72" s="2936"/>
      <c r="EXT72" s="2936"/>
      <c r="EXU72" s="2936"/>
      <c r="EXV72" s="2936"/>
      <c r="EXW72" s="2936"/>
      <c r="EXX72" s="2936"/>
      <c r="EXY72" s="2936"/>
      <c r="EXZ72" s="2936"/>
      <c r="EYA72" s="2936"/>
      <c r="EYB72" s="2936"/>
      <c r="EYC72" s="2936"/>
      <c r="EYD72" s="2936"/>
      <c r="EYE72" s="2936"/>
      <c r="EYF72" s="2936"/>
      <c r="EYG72" s="2936"/>
      <c r="EYH72" s="2936"/>
      <c r="EYI72" s="2936"/>
      <c r="EYJ72" s="2936"/>
      <c r="EYK72" s="2936"/>
      <c r="EYL72" s="2936"/>
      <c r="EYM72" s="2936"/>
      <c r="EYN72" s="2936"/>
      <c r="EYO72" s="2936"/>
      <c r="EYP72" s="2936"/>
      <c r="EYQ72" s="2936"/>
      <c r="EYR72" s="2936"/>
      <c r="EYS72" s="2936"/>
      <c r="EYT72" s="2936"/>
      <c r="EYU72" s="2936"/>
      <c r="EYV72" s="2936"/>
      <c r="EYW72" s="2936"/>
      <c r="EYX72" s="2936"/>
      <c r="EYY72" s="2936"/>
      <c r="EYZ72" s="2936"/>
      <c r="EZA72" s="2936"/>
      <c r="EZB72" s="2936"/>
      <c r="EZC72" s="2936"/>
      <c r="EZD72" s="2936"/>
      <c r="EZE72" s="2936"/>
      <c r="EZF72" s="2936"/>
      <c r="EZG72" s="2936"/>
      <c r="EZH72" s="2936"/>
      <c r="EZI72" s="2936"/>
      <c r="EZJ72" s="2936"/>
      <c r="EZK72" s="2936"/>
      <c r="EZL72" s="2936"/>
      <c r="EZM72" s="2936"/>
      <c r="EZN72" s="2936"/>
      <c r="EZO72" s="2936"/>
      <c r="EZP72" s="2936"/>
      <c r="EZQ72" s="2936"/>
      <c r="EZR72" s="2936"/>
      <c r="EZS72" s="2936"/>
      <c r="EZT72" s="2936"/>
      <c r="EZU72" s="2936"/>
      <c r="EZV72" s="2936"/>
      <c r="EZW72" s="2936"/>
      <c r="EZX72" s="2936"/>
      <c r="EZY72" s="2936"/>
      <c r="EZZ72" s="2936"/>
      <c r="FAA72" s="2936"/>
      <c r="FAB72" s="2936"/>
      <c r="FAC72" s="2936"/>
      <c r="FAD72" s="2936"/>
      <c r="FAE72" s="2936"/>
      <c r="FAF72" s="2936"/>
      <c r="FAG72" s="2936"/>
      <c r="FAH72" s="2936"/>
      <c r="FAI72" s="2936"/>
      <c r="FAJ72" s="2936"/>
      <c r="FAK72" s="2936"/>
      <c r="FAL72" s="2936"/>
      <c r="FAM72" s="2936"/>
      <c r="FAN72" s="2936"/>
      <c r="FAO72" s="2936"/>
      <c r="FAP72" s="2936"/>
      <c r="FAQ72" s="2936"/>
      <c r="FAR72" s="2936"/>
      <c r="FAS72" s="2936"/>
      <c r="FAT72" s="2936"/>
      <c r="FAU72" s="2936"/>
      <c r="FAV72" s="2936"/>
      <c r="FAW72" s="2936"/>
      <c r="FAX72" s="2936"/>
      <c r="FAY72" s="2936"/>
      <c r="FAZ72" s="2936"/>
      <c r="FBA72" s="2936"/>
      <c r="FBB72" s="2936"/>
      <c r="FBC72" s="2936"/>
      <c r="FBD72" s="2936"/>
      <c r="FBE72" s="2936"/>
      <c r="FBF72" s="2936"/>
      <c r="FBG72" s="2936"/>
      <c r="FBH72" s="2936"/>
      <c r="FBI72" s="2936"/>
      <c r="FBJ72" s="2936"/>
      <c r="FBK72" s="2936"/>
      <c r="FBL72" s="2936"/>
      <c r="FBM72" s="2936"/>
      <c r="FBN72" s="2936"/>
      <c r="FBO72" s="2936"/>
      <c r="FBP72" s="2936"/>
      <c r="FBQ72" s="2936"/>
      <c r="FBR72" s="2936"/>
      <c r="FBS72" s="2936"/>
      <c r="FBT72" s="2936"/>
      <c r="FBU72" s="2936"/>
      <c r="FBV72" s="2936"/>
      <c r="FBW72" s="2936"/>
      <c r="FBX72" s="2936"/>
      <c r="FBY72" s="2936"/>
      <c r="FBZ72" s="2936"/>
      <c r="FCA72" s="2936"/>
      <c r="FCB72" s="2936"/>
      <c r="FCC72" s="2936"/>
      <c r="FCD72" s="2936"/>
      <c r="FCE72" s="2936"/>
      <c r="FCF72" s="2936"/>
      <c r="FCG72" s="2936"/>
      <c r="FCH72" s="2936"/>
      <c r="FCI72" s="2936"/>
      <c r="FCJ72" s="2936"/>
      <c r="FCK72" s="2936"/>
      <c r="FCL72" s="2936"/>
      <c r="FCM72" s="2936"/>
      <c r="FCN72" s="2936"/>
      <c r="FCO72" s="2936"/>
      <c r="FCP72" s="2936"/>
      <c r="FCQ72" s="2936"/>
      <c r="FCR72" s="2936"/>
      <c r="FCS72" s="2936"/>
      <c r="FCT72" s="2936"/>
      <c r="FCU72" s="2936"/>
      <c r="FCV72" s="2936"/>
      <c r="FCW72" s="2936"/>
      <c r="FCX72" s="2936"/>
      <c r="FCY72" s="2936"/>
      <c r="FCZ72" s="2936"/>
      <c r="FDA72" s="2936"/>
      <c r="FDB72" s="2936"/>
      <c r="FDC72" s="2936"/>
      <c r="FDD72" s="2936"/>
      <c r="FDE72" s="2936"/>
      <c r="FDF72" s="2936"/>
      <c r="FDG72" s="2936"/>
      <c r="FDH72" s="2936"/>
      <c r="FDI72" s="2936"/>
      <c r="FDJ72" s="2936"/>
      <c r="FDK72" s="2936"/>
      <c r="FDL72" s="2936"/>
      <c r="FDM72" s="2936"/>
      <c r="FDN72" s="2936"/>
      <c r="FDO72" s="2936"/>
      <c r="FDP72" s="2936"/>
      <c r="FDQ72" s="2936"/>
      <c r="FDR72" s="2936"/>
      <c r="FDS72" s="2936"/>
      <c r="FDT72" s="2936"/>
      <c r="FDU72" s="2936"/>
      <c r="FDV72" s="2936"/>
      <c r="FDW72" s="2936"/>
      <c r="FDX72" s="2936"/>
      <c r="FDY72" s="2936"/>
      <c r="FDZ72" s="2936"/>
      <c r="FEA72" s="2936"/>
      <c r="FEB72" s="2936"/>
      <c r="FEC72" s="2936"/>
      <c r="FED72" s="2936"/>
      <c r="FEE72" s="2936"/>
      <c r="FEF72" s="2936"/>
      <c r="FEG72" s="2936"/>
      <c r="FEH72" s="2936"/>
      <c r="FEI72" s="2936"/>
      <c r="FEJ72" s="2936"/>
      <c r="FEK72" s="2936"/>
      <c r="FEL72" s="2936"/>
      <c r="FEM72" s="2936"/>
      <c r="FEN72" s="2936"/>
      <c r="FEO72" s="2936"/>
      <c r="FEP72" s="2936"/>
      <c r="FEQ72" s="2936"/>
      <c r="FER72" s="2936"/>
      <c r="FES72" s="2936"/>
      <c r="FET72" s="2936"/>
      <c r="FEU72" s="2936"/>
      <c r="FEV72" s="2936"/>
      <c r="FEW72" s="2936"/>
      <c r="FEX72" s="2936"/>
      <c r="FEY72" s="2936"/>
      <c r="FEZ72" s="2936"/>
      <c r="FFA72" s="2936"/>
      <c r="FFB72" s="2936"/>
      <c r="FFC72" s="2936"/>
      <c r="FFD72" s="2936"/>
      <c r="FFE72" s="2936"/>
      <c r="FFF72" s="2936"/>
      <c r="FFG72" s="2936"/>
      <c r="FFH72" s="2936"/>
      <c r="FFI72" s="2936"/>
      <c r="FFJ72" s="2936"/>
      <c r="FFK72" s="2936"/>
      <c r="FFL72" s="2936"/>
      <c r="FFM72" s="2936"/>
      <c r="FFN72" s="2936"/>
      <c r="FFO72" s="2936"/>
      <c r="FFP72" s="2936"/>
      <c r="FFQ72" s="2936"/>
      <c r="FFR72" s="2936"/>
      <c r="FFS72" s="2936"/>
      <c r="FFT72" s="2936"/>
      <c r="FFU72" s="2936"/>
      <c r="FFV72" s="2936"/>
      <c r="FFW72" s="2936"/>
      <c r="FFX72" s="2936"/>
      <c r="FFY72" s="2936"/>
      <c r="FFZ72" s="2936"/>
      <c r="FGA72" s="2936"/>
      <c r="FGB72" s="2936"/>
      <c r="FGC72" s="2936"/>
      <c r="FGD72" s="2936"/>
      <c r="FGE72" s="2936"/>
      <c r="FGF72" s="2936"/>
      <c r="FGG72" s="2936"/>
      <c r="FGH72" s="2936"/>
      <c r="FGI72" s="2936"/>
      <c r="FGJ72" s="2936"/>
      <c r="FGK72" s="2936"/>
      <c r="FGL72" s="2936"/>
      <c r="FGM72" s="2936"/>
      <c r="FGN72" s="2936"/>
      <c r="FGO72" s="2936"/>
      <c r="FGP72" s="2936"/>
      <c r="FGQ72" s="2936"/>
      <c r="FGR72" s="2936"/>
      <c r="FGS72" s="2936"/>
      <c r="FGT72" s="2936"/>
      <c r="FGU72" s="2936"/>
      <c r="FGV72" s="2936"/>
      <c r="FGW72" s="2936"/>
      <c r="FGX72" s="2936"/>
      <c r="FGY72" s="2936"/>
      <c r="FGZ72" s="2936"/>
      <c r="FHA72" s="2936"/>
      <c r="FHB72" s="2936"/>
      <c r="FHC72" s="2936"/>
      <c r="FHD72" s="2936"/>
      <c r="FHE72" s="2936"/>
      <c r="FHF72" s="2936"/>
      <c r="FHG72" s="2936"/>
      <c r="FHH72" s="2936"/>
      <c r="FHI72" s="2936"/>
      <c r="FHJ72" s="2936"/>
      <c r="FHK72" s="2936"/>
      <c r="FHL72" s="2936"/>
      <c r="FHM72" s="2936"/>
      <c r="FHN72" s="2936"/>
      <c r="FHO72" s="2936"/>
      <c r="FHP72" s="2936"/>
      <c r="FHQ72" s="2936"/>
      <c r="FHR72" s="2936"/>
      <c r="FHS72" s="2936"/>
      <c r="FHT72" s="2936"/>
      <c r="FHU72" s="2936"/>
      <c r="FHV72" s="2936"/>
      <c r="FHW72" s="2936"/>
      <c r="FHX72" s="2936"/>
      <c r="FHY72" s="2936"/>
      <c r="FHZ72" s="2936"/>
      <c r="FIA72" s="2936"/>
      <c r="FIB72" s="2936"/>
      <c r="FIC72" s="2936"/>
      <c r="FID72" s="2936"/>
      <c r="FIE72" s="2936"/>
      <c r="FIF72" s="2936"/>
      <c r="FIG72" s="2936"/>
      <c r="FIH72" s="2936"/>
      <c r="FII72" s="2936"/>
      <c r="FIJ72" s="2936"/>
      <c r="FIK72" s="2936"/>
      <c r="FIL72" s="2936"/>
      <c r="FIM72" s="2936"/>
      <c r="FIN72" s="2936"/>
      <c r="FIO72" s="2936"/>
      <c r="FIP72" s="2936"/>
      <c r="FIQ72" s="2936"/>
      <c r="FIR72" s="2936"/>
      <c r="FIS72" s="2936"/>
      <c r="FIT72" s="2936"/>
      <c r="FIU72" s="2936"/>
      <c r="FIV72" s="2936"/>
      <c r="FIW72" s="2936"/>
      <c r="FIX72" s="2936"/>
      <c r="FIY72" s="2936"/>
      <c r="FIZ72" s="2936"/>
      <c r="FJA72" s="2936"/>
      <c r="FJB72" s="2936"/>
      <c r="FJC72" s="2936"/>
      <c r="FJD72" s="2936"/>
      <c r="FJE72" s="2936"/>
      <c r="FJF72" s="2936"/>
      <c r="FJG72" s="2936"/>
      <c r="FJH72" s="2936"/>
      <c r="FJI72" s="2936"/>
      <c r="FJJ72" s="2936"/>
      <c r="FJK72" s="2936"/>
      <c r="FJL72" s="2936"/>
      <c r="FJM72" s="2936"/>
      <c r="FJN72" s="2936"/>
      <c r="FJO72" s="2936"/>
      <c r="FJP72" s="2936"/>
      <c r="FJQ72" s="2936"/>
      <c r="FJR72" s="2936"/>
      <c r="FJS72" s="2936"/>
      <c r="FJT72" s="2936"/>
      <c r="FJU72" s="2936"/>
      <c r="FJV72" s="2936"/>
      <c r="FJW72" s="2936"/>
      <c r="FJX72" s="2936"/>
      <c r="FJY72" s="2936"/>
      <c r="FJZ72" s="2936"/>
      <c r="FKA72" s="2936"/>
      <c r="FKB72" s="2936"/>
      <c r="FKC72" s="2936"/>
      <c r="FKD72" s="2936"/>
      <c r="FKE72" s="2936"/>
      <c r="FKF72" s="2936"/>
      <c r="FKG72" s="2936"/>
      <c r="FKH72" s="2936"/>
      <c r="FKI72" s="2936"/>
      <c r="FKJ72" s="2936"/>
      <c r="FKK72" s="2936"/>
      <c r="FKL72" s="2936"/>
      <c r="FKM72" s="2936"/>
      <c r="FKN72" s="2936"/>
      <c r="FKO72" s="2936"/>
      <c r="FKP72" s="2936"/>
      <c r="FKQ72" s="2936"/>
      <c r="FKR72" s="2936"/>
      <c r="FKS72" s="2936"/>
      <c r="FKT72" s="2936"/>
      <c r="FKU72" s="2936"/>
      <c r="FKV72" s="2936"/>
      <c r="FKW72" s="2936"/>
      <c r="FKX72" s="2936"/>
      <c r="FKY72" s="2936"/>
      <c r="FKZ72" s="2936"/>
      <c r="FLA72" s="2936"/>
      <c r="FLB72" s="2936"/>
      <c r="FLC72" s="2936"/>
      <c r="FLD72" s="2936"/>
      <c r="FLE72" s="2936"/>
      <c r="FLF72" s="2936"/>
      <c r="FLG72" s="2936"/>
      <c r="FLH72" s="2936"/>
      <c r="FLI72" s="2936"/>
      <c r="FLJ72" s="2936"/>
      <c r="FLK72" s="2936"/>
      <c r="FLL72" s="2936"/>
      <c r="FLM72" s="2936"/>
      <c r="FLN72" s="2936"/>
      <c r="FLO72" s="2936"/>
      <c r="FLP72" s="2936"/>
      <c r="FLQ72" s="2936"/>
      <c r="FLR72" s="2936"/>
      <c r="FLS72" s="2936"/>
      <c r="FLT72" s="2936"/>
      <c r="FLU72" s="2936"/>
      <c r="FLV72" s="2936"/>
      <c r="FLW72" s="2936"/>
      <c r="FLX72" s="2936"/>
      <c r="FLY72" s="2936"/>
      <c r="FLZ72" s="2936"/>
      <c r="FMA72" s="2936"/>
      <c r="FMB72" s="2936"/>
      <c r="FMC72" s="2936"/>
      <c r="FMD72" s="2936"/>
      <c r="FME72" s="2936"/>
      <c r="FMF72" s="2936"/>
      <c r="FMG72" s="2936"/>
      <c r="FMH72" s="2936"/>
      <c r="FMI72" s="2936"/>
      <c r="FMJ72" s="2936"/>
      <c r="FMK72" s="2936"/>
      <c r="FML72" s="2936"/>
      <c r="FMM72" s="2936"/>
      <c r="FMN72" s="2936"/>
      <c r="FMO72" s="2936"/>
      <c r="FMP72" s="2936"/>
      <c r="FMQ72" s="2936"/>
      <c r="FMR72" s="2936"/>
      <c r="FMS72" s="2936"/>
      <c r="FMT72" s="2936"/>
      <c r="FMU72" s="2936"/>
      <c r="FMV72" s="2936"/>
      <c r="FMW72" s="2936"/>
      <c r="FMX72" s="2936"/>
      <c r="FMY72" s="2936"/>
      <c r="FMZ72" s="2936"/>
      <c r="FNA72" s="2936"/>
      <c r="FNB72" s="2936"/>
      <c r="FNC72" s="2936"/>
      <c r="FND72" s="2936"/>
      <c r="FNE72" s="2936"/>
      <c r="FNF72" s="2936"/>
      <c r="FNG72" s="2936"/>
      <c r="FNH72" s="2936"/>
      <c r="FNI72" s="2936"/>
      <c r="FNJ72" s="2936"/>
      <c r="FNK72" s="2936"/>
      <c r="FNL72" s="2936"/>
      <c r="FNM72" s="2936"/>
      <c r="FNN72" s="2936"/>
      <c r="FNO72" s="2936"/>
      <c r="FNP72" s="2936"/>
      <c r="FNQ72" s="2936"/>
      <c r="FNR72" s="2936"/>
      <c r="FNS72" s="2936"/>
      <c r="FNT72" s="2936"/>
      <c r="FNU72" s="2936"/>
      <c r="FNV72" s="2936"/>
      <c r="FNW72" s="2936"/>
      <c r="FNX72" s="2936"/>
      <c r="FNY72" s="2936"/>
      <c r="FNZ72" s="2936"/>
      <c r="FOA72" s="2936"/>
      <c r="FOB72" s="2936"/>
      <c r="FOC72" s="2936"/>
      <c r="FOD72" s="2936"/>
      <c r="FOE72" s="2936"/>
      <c r="FOF72" s="2936"/>
      <c r="FOG72" s="2936"/>
      <c r="FOH72" s="2936"/>
      <c r="FOI72" s="2936"/>
      <c r="FOJ72" s="2936"/>
      <c r="FOK72" s="2936"/>
      <c r="FOL72" s="2936"/>
      <c r="FOM72" s="2936"/>
      <c r="FON72" s="2936"/>
      <c r="FOO72" s="2936"/>
      <c r="FOP72" s="2936"/>
      <c r="FOQ72" s="2936"/>
      <c r="FOR72" s="2936"/>
      <c r="FOS72" s="2936"/>
      <c r="FOT72" s="2936"/>
      <c r="FOU72" s="2936"/>
      <c r="FOV72" s="2936"/>
      <c r="FOW72" s="2936"/>
      <c r="FOX72" s="2936"/>
      <c r="FOY72" s="2936"/>
      <c r="FOZ72" s="2936"/>
      <c r="FPA72" s="2936"/>
      <c r="FPB72" s="2936"/>
      <c r="FPC72" s="2936"/>
      <c r="FPD72" s="2936"/>
      <c r="FPE72" s="2936"/>
      <c r="FPF72" s="2936"/>
      <c r="FPG72" s="2936"/>
      <c r="FPH72" s="2936"/>
      <c r="FPI72" s="2936"/>
      <c r="FPJ72" s="2936"/>
      <c r="FPK72" s="2936"/>
      <c r="FPL72" s="2936"/>
      <c r="FPM72" s="2936"/>
      <c r="FPN72" s="2936"/>
      <c r="FPO72" s="2936"/>
      <c r="FPP72" s="2936"/>
      <c r="FPQ72" s="2936"/>
      <c r="FPR72" s="2936"/>
      <c r="FPS72" s="2936"/>
      <c r="FPT72" s="2936"/>
      <c r="FPU72" s="2936"/>
      <c r="FPV72" s="2936"/>
      <c r="FPW72" s="2936"/>
      <c r="FPX72" s="2936"/>
      <c r="FPY72" s="2936"/>
      <c r="FPZ72" s="2936"/>
      <c r="FQA72" s="2936"/>
      <c r="FQB72" s="2936"/>
      <c r="FQC72" s="2936"/>
      <c r="FQD72" s="2936"/>
      <c r="FQE72" s="2936"/>
      <c r="FQF72" s="2936"/>
      <c r="FQG72" s="2936"/>
      <c r="FQH72" s="2936"/>
      <c r="FQI72" s="2936"/>
      <c r="FQJ72" s="2936"/>
      <c r="FQK72" s="2936"/>
      <c r="FQL72" s="2936"/>
      <c r="FQM72" s="2936"/>
      <c r="FQN72" s="2936"/>
      <c r="FQO72" s="2936"/>
      <c r="FQP72" s="2936"/>
      <c r="FQQ72" s="2936"/>
      <c r="FQR72" s="2936"/>
      <c r="FQS72" s="2936"/>
      <c r="FQT72" s="2936"/>
      <c r="FQU72" s="2936"/>
      <c r="FQV72" s="2936"/>
      <c r="FQW72" s="2936"/>
      <c r="FQX72" s="2936"/>
      <c r="FQY72" s="2936"/>
      <c r="FQZ72" s="2936"/>
      <c r="FRA72" s="2936"/>
      <c r="FRB72" s="2936"/>
      <c r="FRC72" s="2936"/>
      <c r="FRD72" s="2936"/>
      <c r="FRE72" s="2936"/>
      <c r="FRF72" s="2936"/>
      <c r="FRG72" s="2936"/>
      <c r="FRH72" s="2936"/>
      <c r="FRI72" s="2936"/>
      <c r="FRJ72" s="2936"/>
      <c r="FRK72" s="2936"/>
      <c r="FRL72" s="2936"/>
      <c r="FRM72" s="2936"/>
      <c r="FRN72" s="2936"/>
      <c r="FRO72" s="2936"/>
      <c r="FRP72" s="2936"/>
      <c r="FRQ72" s="2936"/>
      <c r="FRR72" s="2936"/>
      <c r="FRS72" s="2936"/>
      <c r="FRT72" s="2936"/>
      <c r="FRU72" s="2936"/>
      <c r="FRV72" s="2936"/>
      <c r="FRW72" s="2936"/>
      <c r="FRX72" s="2936"/>
      <c r="FRY72" s="2936"/>
      <c r="FRZ72" s="2936"/>
      <c r="FSA72" s="2936"/>
      <c r="FSB72" s="2936"/>
      <c r="FSC72" s="2936"/>
      <c r="FSD72" s="2936"/>
      <c r="FSE72" s="2936"/>
      <c r="FSF72" s="2936"/>
      <c r="FSG72" s="2936"/>
      <c r="FSH72" s="2936"/>
      <c r="FSI72" s="2936"/>
      <c r="FSJ72" s="2936"/>
      <c r="FSK72" s="2936"/>
      <c r="FSL72" s="2936"/>
      <c r="FSM72" s="2936"/>
      <c r="FSN72" s="2936"/>
      <c r="FSO72" s="2936"/>
      <c r="FSP72" s="2936"/>
      <c r="FSQ72" s="2936"/>
      <c r="FSR72" s="2936"/>
      <c r="FSS72" s="2936"/>
      <c r="FST72" s="2936"/>
      <c r="FSU72" s="2936"/>
      <c r="FSV72" s="2936"/>
      <c r="FSW72" s="2936"/>
      <c r="FSX72" s="2936"/>
      <c r="FSY72" s="2936"/>
      <c r="FSZ72" s="2936"/>
      <c r="FTA72" s="2936"/>
      <c r="FTB72" s="2936"/>
      <c r="FTC72" s="2936"/>
      <c r="FTD72" s="2936"/>
      <c r="FTE72" s="2936"/>
      <c r="FTF72" s="2936"/>
      <c r="FTG72" s="2936"/>
      <c r="FTH72" s="2936"/>
      <c r="FTI72" s="2936"/>
      <c r="FTJ72" s="2936"/>
      <c r="FTK72" s="2936"/>
      <c r="FTL72" s="2936"/>
      <c r="FTM72" s="2936"/>
      <c r="FTN72" s="2936"/>
      <c r="FTO72" s="2936"/>
      <c r="FTP72" s="2936"/>
      <c r="FTQ72" s="2936"/>
      <c r="FTR72" s="2936"/>
      <c r="FTS72" s="2936"/>
      <c r="FTT72" s="2936"/>
      <c r="FTU72" s="2936"/>
      <c r="FTV72" s="2936"/>
      <c r="FTW72" s="2936"/>
      <c r="FTX72" s="2936"/>
      <c r="FTY72" s="2936"/>
      <c r="FTZ72" s="2936"/>
      <c r="FUA72" s="2936"/>
      <c r="FUB72" s="2936"/>
      <c r="FUC72" s="2936"/>
      <c r="FUD72" s="2936"/>
      <c r="FUE72" s="2936"/>
      <c r="FUF72" s="2936"/>
      <c r="FUG72" s="2936"/>
      <c r="FUH72" s="2936"/>
      <c r="FUI72" s="2936"/>
      <c r="FUJ72" s="2936"/>
      <c r="FUK72" s="2936"/>
      <c r="FUL72" s="2936"/>
      <c r="FUM72" s="2936"/>
      <c r="FUN72" s="2936"/>
      <c r="FUO72" s="2936"/>
      <c r="FUP72" s="2936"/>
      <c r="FUQ72" s="2936"/>
      <c r="FUR72" s="2936"/>
      <c r="FUS72" s="2936"/>
      <c r="FUT72" s="2936"/>
      <c r="FUU72" s="2936"/>
      <c r="FUV72" s="2936"/>
      <c r="FUW72" s="2936"/>
      <c r="FUX72" s="2936"/>
      <c r="FUY72" s="2936"/>
      <c r="FUZ72" s="2936"/>
      <c r="FVA72" s="2936"/>
      <c r="FVB72" s="2936"/>
      <c r="FVC72" s="2936"/>
      <c r="FVD72" s="2936"/>
      <c r="FVE72" s="2936"/>
      <c r="FVF72" s="2936"/>
      <c r="FVG72" s="2936"/>
      <c r="FVH72" s="2936"/>
      <c r="FVI72" s="2936"/>
      <c r="FVJ72" s="2936"/>
      <c r="FVK72" s="2936"/>
      <c r="FVL72" s="2936"/>
      <c r="FVM72" s="2936"/>
      <c r="FVN72" s="2936"/>
      <c r="FVO72" s="2936"/>
      <c r="FVP72" s="2936"/>
      <c r="FVQ72" s="2936"/>
      <c r="FVR72" s="2936"/>
      <c r="FVS72" s="2936"/>
      <c r="FVT72" s="2936"/>
      <c r="FVU72" s="2936"/>
      <c r="FVV72" s="2936"/>
      <c r="FVW72" s="2936"/>
      <c r="FVX72" s="2936"/>
      <c r="FVY72" s="2936"/>
      <c r="FVZ72" s="2936"/>
      <c r="FWA72" s="2936"/>
      <c r="FWB72" s="2936"/>
      <c r="FWC72" s="2936"/>
      <c r="FWD72" s="2936"/>
      <c r="FWE72" s="2936"/>
      <c r="FWF72" s="2936"/>
      <c r="FWG72" s="2936"/>
      <c r="FWH72" s="2936"/>
      <c r="FWI72" s="2936"/>
      <c r="FWJ72" s="2936"/>
      <c r="FWK72" s="2936"/>
      <c r="FWL72" s="2936"/>
      <c r="FWM72" s="2936"/>
      <c r="FWN72" s="2936"/>
      <c r="FWO72" s="2936"/>
      <c r="FWP72" s="2936"/>
      <c r="FWQ72" s="2936"/>
      <c r="FWR72" s="2936"/>
      <c r="FWS72" s="2936"/>
      <c r="FWT72" s="2936"/>
      <c r="FWU72" s="2936"/>
      <c r="FWV72" s="2936"/>
      <c r="FWW72" s="2936"/>
      <c r="FWX72" s="2936"/>
      <c r="FWY72" s="2936"/>
      <c r="FWZ72" s="2936"/>
      <c r="FXA72" s="2936"/>
      <c r="FXB72" s="2936"/>
      <c r="FXC72" s="2936"/>
      <c r="FXD72" s="2936"/>
      <c r="FXE72" s="2936"/>
      <c r="FXF72" s="2936"/>
      <c r="FXG72" s="2936"/>
      <c r="FXH72" s="2936"/>
      <c r="FXI72" s="2936"/>
      <c r="FXJ72" s="2936"/>
      <c r="FXK72" s="2936"/>
      <c r="FXL72" s="2936"/>
      <c r="FXM72" s="2936"/>
      <c r="FXN72" s="2936"/>
      <c r="FXO72" s="2936"/>
      <c r="FXP72" s="2936"/>
      <c r="FXQ72" s="2936"/>
      <c r="FXR72" s="2936"/>
      <c r="FXS72" s="2936"/>
      <c r="FXT72" s="2936"/>
      <c r="FXU72" s="2936"/>
      <c r="FXV72" s="2936"/>
      <c r="FXW72" s="2936"/>
      <c r="FXX72" s="2936"/>
      <c r="FXY72" s="2936"/>
      <c r="FXZ72" s="2936"/>
      <c r="FYA72" s="2936"/>
      <c r="FYB72" s="2936"/>
      <c r="FYC72" s="2936"/>
      <c r="FYD72" s="2936"/>
      <c r="FYE72" s="2936"/>
      <c r="FYF72" s="2936"/>
      <c r="FYG72" s="2936"/>
      <c r="FYH72" s="2936"/>
      <c r="FYI72" s="2936"/>
      <c r="FYJ72" s="2936"/>
      <c r="FYK72" s="2936"/>
      <c r="FYL72" s="2936"/>
      <c r="FYM72" s="2936"/>
      <c r="FYN72" s="2936"/>
      <c r="FYO72" s="2936"/>
      <c r="FYP72" s="2936"/>
      <c r="FYQ72" s="2936"/>
      <c r="FYR72" s="2936"/>
      <c r="FYS72" s="2936"/>
      <c r="FYT72" s="2936"/>
      <c r="FYU72" s="2936"/>
      <c r="FYV72" s="2936"/>
      <c r="FYW72" s="2936"/>
      <c r="FYX72" s="2936"/>
      <c r="FYY72" s="2936"/>
      <c r="FYZ72" s="2936"/>
      <c r="FZA72" s="2936"/>
      <c r="FZB72" s="2936"/>
      <c r="FZC72" s="2936"/>
      <c r="FZD72" s="2936"/>
      <c r="FZE72" s="2936"/>
      <c r="FZF72" s="2936"/>
      <c r="FZG72" s="2936"/>
      <c r="FZH72" s="2936"/>
      <c r="FZI72" s="2936"/>
      <c r="FZJ72" s="2936"/>
      <c r="FZK72" s="2936"/>
      <c r="FZL72" s="2936"/>
      <c r="FZM72" s="2936"/>
      <c r="FZN72" s="2936"/>
      <c r="FZO72" s="2936"/>
      <c r="FZP72" s="2936"/>
      <c r="FZQ72" s="2936"/>
      <c r="FZR72" s="2936"/>
      <c r="FZS72" s="2936"/>
      <c r="FZT72" s="2936"/>
      <c r="FZU72" s="2936"/>
      <c r="FZV72" s="2936"/>
      <c r="FZW72" s="2936"/>
      <c r="FZX72" s="2936"/>
      <c r="FZY72" s="2936"/>
      <c r="FZZ72" s="2936"/>
      <c r="GAA72" s="2936"/>
      <c r="GAB72" s="2936"/>
      <c r="GAC72" s="2936"/>
      <c r="GAD72" s="2936"/>
      <c r="GAE72" s="2936"/>
      <c r="GAF72" s="2936"/>
      <c r="GAG72" s="2936"/>
      <c r="GAH72" s="2936"/>
      <c r="GAI72" s="2936"/>
      <c r="GAJ72" s="2936"/>
      <c r="GAK72" s="2936"/>
      <c r="GAL72" s="2936"/>
      <c r="GAM72" s="2936"/>
      <c r="GAN72" s="2936"/>
      <c r="GAO72" s="2936"/>
      <c r="GAP72" s="2936"/>
      <c r="GAQ72" s="2936"/>
      <c r="GAR72" s="2936"/>
      <c r="GAS72" s="2936"/>
      <c r="GAT72" s="2936"/>
      <c r="GAU72" s="2936"/>
      <c r="GAV72" s="2936"/>
      <c r="GAW72" s="2936"/>
      <c r="GAX72" s="2936"/>
      <c r="GAY72" s="2936"/>
      <c r="GAZ72" s="2936"/>
      <c r="GBA72" s="2936"/>
      <c r="GBB72" s="2936"/>
      <c r="GBC72" s="2936"/>
      <c r="GBD72" s="2936"/>
      <c r="GBE72" s="2936"/>
      <c r="GBF72" s="2936"/>
      <c r="GBG72" s="2936"/>
      <c r="GBH72" s="2936"/>
      <c r="GBI72" s="2936"/>
      <c r="GBJ72" s="2936"/>
      <c r="GBK72" s="2936"/>
      <c r="GBL72" s="2936"/>
      <c r="GBM72" s="2936"/>
      <c r="GBN72" s="2936"/>
      <c r="GBO72" s="2936"/>
      <c r="GBP72" s="2936"/>
      <c r="GBQ72" s="2936"/>
      <c r="GBR72" s="2936"/>
      <c r="GBS72" s="2936"/>
      <c r="GBT72" s="2936"/>
      <c r="GBU72" s="2936"/>
      <c r="GBV72" s="2936"/>
      <c r="GBW72" s="2936"/>
      <c r="GBX72" s="2936"/>
      <c r="GBY72" s="2936"/>
      <c r="GBZ72" s="2936"/>
      <c r="GCA72" s="2936"/>
      <c r="GCB72" s="2936"/>
      <c r="GCC72" s="2936"/>
      <c r="GCD72" s="2936"/>
      <c r="GCE72" s="2936"/>
      <c r="GCF72" s="2936"/>
      <c r="GCG72" s="2936"/>
      <c r="GCH72" s="2936"/>
      <c r="GCI72" s="2936"/>
      <c r="GCJ72" s="2936"/>
      <c r="GCK72" s="2936"/>
      <c r="GCL72" s="2936"/>
      <c r="GCM72" s="2936"/>
      <c r="GCN72" s="2936"/>
      <c r="GCO72" s="2936"/>
      <c r="GCP72" s="2936"/>
      <c r="GCQ72" s="2936"/>
      <c r="GCR72" s="2936"/>
      <c r="GCS72" s="2936"/>
      <c r="GCT72" s="2936"/>
      <c r="GCU72" s="2936"/>
      <c r="GCV72" s="2936"/>
      <c r="GCW72" s="2936"/>
      <c r="GCX72" s="2936"/>
      <c r="GCY72" s="2936"/>
      <c r="GCZ72" s="2936"/>
      <c r="GDA72" s="2936"/>
      <c r="GDB72" s="2936"/>
      <c r="GDC72" s="2936"/>
      <c r="GDD72" s="2936"/>
      <c r="GDE72" s="2936"/>
      <c r="GDF72" s="2936"/>
      <c r="GDG72" s="2936"/>
      <c r="GDH72" s="2936"/>
      <c r="GDI72" s="2936"/>
      <c r="GDJ72" s="2936"/>
      <c r="GDK72" s="2936"/>
      <c r="GDL72" s="2936"/>
      <c r="GDM72" s="2936"/>
      <c r="GDN72" s="2936"/>
      <c r="GDO72" s="2936"/>
      <c r="GDP72" s="2936"/>
      <c r="GDQ72" s="2936"/>
      <c r="GDR72" s="2936"/>
      <c r="GDS72" s="2936"/>
      <c r="GDT72" s="2936"/>
      <c r="GDU72" s="2936"/>
      <c r="GDV72" s="2936"/>
      <c r="GDW72" s="2936"/>
      <c r="GDX72" s="2936"/>
      <c r="GDY72" s="2936"/>
      <c r="GDZ72" s="2936"/>
      <c r="GEA72" s="2936"/>
      <c r="GEB72" s="2936"/>
      <c r="GEC72" s="2936"/>
      <c r="GED72" s="2936"/>
      <c r="GEE72" s="2936"/>
      <c r="GEF72" s="2936"/>
      <c r="GEG72" s="2936"/>
      <c r="GEH72" s="2936"/>
      <c r="GEI72" s="2936"/>
      <c r="GEJ72" s="2936"/>
      <c r="GEK72" s="2936"/>
      <c r="GEL72" s="2936"/>
      <c r="GEM72" s="2936"/>
      <c r="GEN72" s="2936"/>
      <c r="GEO72" s="2936"/>
      <c r="GEP72" s="2936"/>
      <c r="GEQ72" s="2936"/>
      <c r="GER72" s="2936"/>
      <c r="GES72" s="2936"/>
      <c r="GET72" s="2936"/>
      <c r="GEU72" s="2936"/>
      <c r="GEV72" s="2936"/>
      <c r="GEW72" s="2936"/>
      <c r="GEX72" s="2936"/>
      <c r="GEY72" s="2936"/>
      <c r="GEZ72" s="2936"/>
      <c r="GFA72" s="2936"/>
      <c r="GFB72" s="2936"/>
      <c r="GFC72" s="2936"/>
      <c r="GFD72" s="2936"/>
      <c r="GFE72" s="2936"/>
      <c r="GFF72" s="2936"/>
      <c r="GFG72" s="2936"/>
      <c r="GFH72" s="2936"/>
      <c r="GFI72" s="2936"/>
      <c r="GFJ72" s="2936"/>
      <c r="GFK72" s="2936"/>
      <c r="GFL72" s="2936"/>
      <c r="GFM72" s="2936"/>
      <c r="GFN72" s="2936"/>
      <c r="GFO72" s="2936"/>
      <c r="GFP72" s="2936"/>
      <c r="GFQ72" s="2936"/>
      <c r="GFR72" s="2936"/>
      <c r="GFS72" s="2936"/>
      <c r="GFT72" s="2936"/>
      <c r="GFU72" s="2936"/>
      <c r="GFV72" s="2936"/>
      <c r="GFW72" s="2936"/>
      <c r="GFX72" s="2936"/>
      <c r="GFY72" s="2936"/>
      <c r="GFZ72" s="2936"/>
      <c r="GGA72" s="2936"/>
      <c r="GGB72" s="2936"/>
      <c r="GGC72" s="2936"/>
      <c r="GGD72" s="2936"/>
      <c r="GGE72" s="2936"/>
      <c r="GGF72" s="2936"/>
      <c r="GGG72" s="2936"/>
      <c r="GGH72" s="2936"/>
      <c r="GGI72" s="2936"/>
      <c r="GGJ72" s="2936"/>
      <c r="GGK72" s="2936"/>
      <c r="GGL72" s="2936"/>
      <c r="GGM72" s="2936"/>
      <c r="GGN72" s="2936"/>
      <c r="GGO72" s="2936"/>
      <c r="GGP72" s="2936"/>
      <c r="GGQ72" s="2936"/>
      <c r="GGR72" s="2936"/>
      <c r="GGS72" s="2936"/>
      <c r="GGT72" s="2936"/>
      <c r="GGU72" s="2936"/>
      <c r="GGV72" s="2936"/>
      <c r="GGW72" s="2936"/>
      <c r="GGX72" s="2936"/>
      <c r="GGY72" s="2936"/>
      <c r="GGZ72" s="2936"/>
      <c r="GHA72" s="2936"/>
      <c r="GHB72" s="2936"/>
      <c r="GHC72" s="2936"/>
      <c r="GHD72" s="2936"/>
      <c r="GHE72" s="2936"/>
      <c r="GHF72" s="2936"/>
      <c r="GHG72" s="2936"/>
      <c r="GHH72" s="2936"/>
      <c r="GHI72" s="2936"/>
      <c r="GHJ72" s="2936"/>
      <c r="GHK72" s="2936"/>
      <c r="GHL72" s="2936"/>
      <c r="GHM72" s="2936"/>
      <c r="GHN72" s="2936"/>
      <c r="GHO72" s="2936"/>
      <c r="GHP72" s="2936"/>
      <c r="GHQ72" s="2936"/>
      <c r="GHR72" s="2936"/>
      <c r="GHS72" s="2936"/>
      <c r="GHT72" s="2936"/>
      <c r="GHU72" s="2936"/>
      <c r="GHV72" s="2936"/>
      <c r="GHW72" s="2936"/>
      <c r="GHX72" s="2936"/>
      <c r="GHY72" s="2936"/>
      <c r="GHZ72" s="2936"/>
      <c r="GIA72" s="2936"/>
      <c r="GIB72" s="2936"/>
      <c r="GIC72" s="2936"/>
      <c r="GID72" s="2936"/>
      <c r="GIE72" s="2936"/>
      <c r="GIF72" s="2936"/>
      <c r="GIG72" s="2936"/>
      <c r="GIH72" s="2936"/>
      <c r="GII72" s="2936"/>
      <c r="GIJ72" s="2936"/>
      <c r="GIK72" s="2936"/>
      <c r="GIL72" s="2936"/>
      <c r="GIM72" s="2936"/>
      <c r="GIN72" s="2936"/>
      <c r="GIO72" s="2936"/>
      <c r="GIP72" s="2936"/>
      <c r="GIQ72" s="2936"/>
      <c r="GIR72" s="2936"/>
      <c r="GIS72" s="2936"/>
      <c r="GIT72" s="2936"/>
      <c r="GIU72" s="2936"/>
      <c r="GIV72" s="2936"/>
      <c r="GIW72" s="2936"/>
      <c r="GIX72" s="2936"/>
      <c r="GIY72" s="2936"/>
      <c r="GIZ72" s="2936"/>
      <c r="GJA72" s="2936"/>
      <c r="GJB72" s="2936"/>
      <c r="GJC72" s="2936"/>
      <c r="GJD72" s="2936"/>
      <c r="GJE72" s="2936"/>
      <c r="GJF72" s="2936"/>
      <c r="GJG72" s="2936"/>
      <c r="GJH72" s="2936"/>
      <c r="GJI72" s="2936"/>
      <c r="GJJ72" s="2936"/>
      <c r="GJK72" s="2936"/>
      <c r="GJL72" s="2936"/>
      <c r="GJM72" s="2936"/>
      <c r="GJN72" s="2936"/>
      <c r="GJO72" s="2936"/>
      <c r="GJP72" s="2936"/>
      <c r="GJQ72" s="2936"/>
      <c r="GJR72" s="2936"/>
      <c r="GJS72" s="2936"/>
      <c r="GJT72" s="2936"/>
      <c r="GJU72" s="2936"/>
      <c r="GJV72" s="2936"/>
      <c r="GJW72" s="2936"/>
      <c r="GJX72" s="2936"/>
      <c r="GJY72" s="2936"/>
      <c r="GJZ72" s="2936"/>
      <c r="GKA72" s="2936"/>
      <c r="GKB72" s="2936"/>
      <c r="GKC72" s="2936"/>
      <c r="GKD72" s="2936"/>
      <c r="GKE72" s="2936"/>
      <c r="GKF72" s="2936"/>
      <c r="GKG72" s="2936"/>
      <c r="GKH72" s="2936"/>
      <c r="GKI72" s="2936"/>
      <c r="GKJ72" s="2936"/>
      <c r="GKK72" s="2936"/>
      <c r="GKL72" s="2936"/>
      <c r="GKM72" s="2936"/>
      <c r="GKN72" s="2936"/>
      <c r="GKO72" s="2936"/>
      <c r="GKP72" s="2936"/>
      <c r="GKQ72" s="2936"/>
      <c r="GKR72" s="2936"/>
      <c r="GKS72" s="2936"/>
      <c r="GKT72" s="2936"/>
      <c r="GKU72" s="2936"/>
      <c r="GKV72" s="2936"/>
      <c r="GKW72" s="2936"/>
      <c r="GKX72" s="2936"/>
      <c r="GKY72" s="2936"/>
      <c r="GKZ72" s="2936"/>
      <c r="GLA72" s="2936"/>
      <c r="GLB72" s="2936"/>
      <c r="GLC72" s="2936"/>
      <c r="GLD72" s="2936"/>
      <c r="GLE72" s="2936"/>
      <c r="GLF72" s="2936"/>
      <c r="GLG72" s="2936"/>
      <c r="GLH72" s="2936"/>
      <c r="GLI72" s="2936"/>
      <c r="GLJ72" s="2936"/>
      <c r="GLK72" s="2936"/>
      <c r="GLL72" s="2936"/>
      <c r="GLM72" s="2936"/>
      <c r="GLN72" s="2936"/>
      <c r="GLO72" s="2936"/>
      <c r="GLP72" s="2936"/>
      <c r="GLQ72" s="2936"/>
      <c r="GLR72" s="2936"/>
      <c r="GLS72" s="2936"/>
      <c r="GLT72" s="2936"/>
      <c r="GLU72" s="2936"/>
      <c r="GLV72" s="2936"/>
      <c r="GLW72" s="2936"/>
      <c r="GLX72" s="2936"/>
      <c r="GLY72" s="2936"/>
      <c r="GLZ72" s="2936"/>
      <c r="GMA72" s="2936"/>
      <c r="GMB72" s="2936"/>
      <c r="GMC72" s="2936"/>
      <c r="GMD72" s="2936"/>
      <c r="GME72" s="2936"/>
      <c r="GMF72" s="2936"/>
      <c r="GMG72" s="2936"/>
      <c r="GMH72" s="2936"/>
      <c r="GMI72" s="2936"/>
      <c r="GMJ72" s="2936"/>
      <c r="GMK72" s="2936"/>
      <c r="GML72" s="2936"/>
      <c r="GMM72" s="2936"/>
      <c r="GMN72" s="2936"/>
      <c r="GMO72" s="2936"/>
      <c r="GMP72" s="2936"/>
      <c r="GMQ72" s="2936"/>
      <c r="GMR72" s="2936"/>
      <c r="GMS72" s="2936"/>
      <c r="GMT72" s="2936"/>
      <c r="GMU72" s="2936"/>
      <c r="GMV72" s="2936"/>
      <c r="GMW72" s="2936"/>
      <c r="GMX72" s="2936"/>
      <c r="GMY72" s="2936"/>
      <c r="GMZ72" s="2936"/>
      <c r="GNA72" s="2936"/>
      <c r="GNB72" s="2936"/>
      <c r="GNC72" s="2936"/>
      <c r="GND72" s="2936"/>
      <c r="GNE72" s="2936"/>
      <c r="GNF72" s="2936"/>
      <c r="GNG72" s="2936"/>
      <c r="GNH72" s="2936"/>
      <c r="GNI72" s="2936"/>
      <c r="GNJ72" s="2936"/>
      <c r="GNK72" s="2936"/>
      <c r="GNL72" s="2936"/>
      <c r="GNM72" s="2936"/>
      <c r="GNN72" s="2936"/>
      <c r="GNO72" s="2936"/>
      <c r="GNP72" s="2936"/>
      <c r="GNQ72" s="2936"/>
      <c r="GNR72" s="2936"/>
      <c r="GNS72" s="2936"/>
      <c r="GNT72" s="2936"/>
      <c r="GNU72" s="2936"/>
      <c r="GNV72" s="2936"/>
      <c r="GNW72" s="2936"/>
      <c r="GNX72" s="2936"/>
      <c r="GNY72" s="2936"/>
      <c r="GNZ72" s="2936"/>
      <c r="GOA72" s="2936"/>
      <c r="GOB72" s="2936"/>
      <c r="GOC72" s="2936"/>
      <c r="GOD72" s="2936"/>
      <c r="GOE72" s="2936"/>
      <c r="GOF72" s="2936"/>
      <c r="GOG72" s="2936"/>
      <c r="GOH72" s="2936"/>
      <c r="GOI72" s="2936"/>
      <c r="GOJ72" s="2936"/>
      <c r="GOK72" s="2936"/>
      <c r="GOL72" s="2936"/>
      <c r="GOM72" s="2936"/>
      <c r="GON72" s="2936"/>
      <c r="GOO72" s="2936"/>
      <c r="GOP72" s="2936"/>
      <c r="GOQ72" s="2936"/>
      <c r="GOR72" s="2936"/>
      <c r="GOS72" s="2936"/>
      <c r="GOT72" s="2936"/>
      <c r="GOU72" s="2936"/>
      <c r="GOV72" s="2936"/>
      <c r="GOW72" s="2936"/>
      <c r="GOX72" s="2936"/>
      <c r="GOY72" s="2936"/>
      <c r="GOZ72" s="2936"/>
      <c r="GPA72" s="2936"/>
      <c r="GPB72" s="2936"/>
      <c r="GPC72" s="2936"/>
      <c r="GPD72" s="2936"/>
      <c r="GPE72" s="2936"/>
      <c r="GPF72" s="2936"/>
      <c r="GPG72" s="2936"/>
      <c r="GPH72" s="2936"/>
      <c r="GPI72" s="2936"/>
      <c r="GPJ72" s="2936"/>
      <c r="GPK72" s="2936"/>
      <c r="GPL72" s="2936"/>
      <c r="GPM72" s="2936"/>
      <c r="GPN72" s="2936"/>
      <c r="GPO72" s="2936"/>
      <c r="GPP72" s="2936"/>
      <c r="GPQ72" s="2936"/>
      <c r="GPR72" s="2936"/>
      <c r="GPS72" s="2936"/>
      <c r="GPT72" s="2936"/>
      <c r="GPU72" s="2936"/>
      <c r="GPV72" s="2936"/>
      <c r="GPW72" s="2936"/>
      <c r="GPX72" s="2936"/>
      <c r="GPY72" s="2936"/>
      <c r="GPZ72" s="2936"/>
      <c r="GQA72" s="2936"/>
      <c r="GQB72" s="2936"/>
      <c r="GQC72" s="2936"/>
      <c r="GQD72" s="2936"/>
      <c r="GQE72" s="2936"/>
      <c r="GQF72" s="2936"/>
      <c r="GQG72" s="2936"/>
      <c r="GQH72" s="2936"/>
      <c r="GQI72" s="2936"/>
      <c r="GQJ72" s="2936"/>
      <c r="GQK72" s="2936"/>
      <c r="GQL72" s="2936"/>
      <c r="GQM72" s="2936"/>
      <c r="GQN72" s="2936"/>
      <c r="GQO72" s="2936"/>
      <c r="GQP72" s="2936"/>
      <c r="GQQ72" s="2936"/>
      <c r="GQR72" s="2936"/>
      <c r="GQS72" s="2936"/>
      <c r="GQT72" s="2936"/>
      <c r="GQU72" s="2936"/>
      <c r="GQV72" s="2936"/>
      <c r="GQW72" s="2936"/>
      <c r="GQX72" s="2936"/>
      <c r="GQY72" s="2936"/>
      <c r="GQZ72" s="2936"/>
      <c r="GRA72" s="2936"/>
      <c r="GRB72" s="2936"/>
      <c r="GRC72" s="2936"/>
      <c r="GRD72" s="2936"/>
      <c r="GRE72" s="2936"/>
      <c r="GRF72" s="2936"/>
      <c r="GRG72" s="2936"/>
      <c r="GRH72" s="2936"/>
      <c r="GRI72" s="2936"/>
      <c r="GRJ72" s="2936"/>
      <c r="GRK72" s="2936"/>
      <c r="GRL72" s="2936"/>
      <c r="GRM72" s="2936"/>
      <c r="GRN72" s="2936"/>
      <c r="GRO72" s="2936"/>
      <c r="GRP72" s="2936"/>
      <c r="GRQ72" s="2936"/>
      <c r="GRR72" s="2936"/>
      <c r="GRS72" s="2936"/>
      <c r="GRT72" s="2936"/>
      <c r="GRU72" s="2936"/>
      <c r="GRV72" s="2936"/>
      <c r="GRW72" s="2936"/>
      <c r="GRX72" s="2936"/>
      <c r="GRY72" s="2936"/>
      <c r="GRZ72" s="2936"/>
      <c r="GSA72" s="2936"/>
      <c r="GSB72" s="2936"/>
      <c r="GSC72" s="2936"/>
      <c r="GSD72" s="2936"/>
      <c r="GSE72" s="2936"/>
      <c r="GSF72" s="2936"/>
      <c r="GSG72" s="2936"/>
      <c r="GSH72" s="2936"/>
      <c r="GSI72" s="2936"/>
      <c r="GSJ72" s="2936"/>
      <c r="GSK72" s="2936"/>
      <c r="GSL72" s="2936"/>
      <c r="GSM72" s="2936"/>
      <c r="GSN72" s="2936"/>
      <c r="GSO72" s="2936"/>
      <c r="GSP72" s="2936"/>
      <c r="GSQ72" s="2936"/>
      <c r="GSR72" s="2936"/>
      <c r="GSS72" s="2936"/>
      <c r="GST72" s="2936"/>
      <c r="GSU72" s="2936"/>
      <c r="GSV72" s="2936"/>
      <c r="GSW72" s="2936"/>
      <c r="GSX72" s="2936"/>
      <c r="GSY72" s="2936"/>
      <c r="GSZ72" s="2936"/>
      <c r="GTA72" s="2936"/>
      <c r="GTB72" s="2936"/>
      <c r="GTC72" s="2936"/>
      <c r="GTD72" s="2936"/>
      <c r="GTE72" s="2936"/>
      <c r="GTF72" s="2936"/>
      <c r="GTG72" s="2936"/>
      <c r="GTH72" s="2936"/>
      <c r="GTI72" s="2936"/>
      <c r="GTJ72" s="2936"/>
      <c r="GTK72" s="2936"/>
      <c r="GTL72" s="2936"/>
      <c r="GTM72" s="2936"/>
      <c r="GTN72" s="2936"/>
      <c r="GTO72" s="2936"/>
      <c r="GTP72" s="2936"/>
      <c r="GTQ72" s="2936"/>
      <c r="GTR72" s="2936"/>
      <c r="GTS72" s="2936"/>
      <c r="GTT72" s="2936"/>
      <c r="GTU72" s="2936"/>
      <c r="GTV72" s="2936"/>
      <c r="GTW72" s="2936"/>
      <c r="GTX72" s="2936"/>
      <c r="GTY72" s="2936"/>
      <c r="GTZ72" s="2936"/>
      <c r="GUA72" s="2936"/>
      <c r="GUB72" s="2936"/>
      <c r="GUC72" s="2936"/>
      <c r="GUD72" s="2936"/>
      <c r="GUE72" s="2936"/>
      <c r="GUF72" s="2936"/>
      <c r="GUG72" s="2936"/>
      <c r="GUH72" s="2936"/>
      <c r="GUI72" s="2936"/>
      <c r="GUJ72" s="2936"/>
      <c r="GUK72" s="2936"/>
      <c r="GUL72" s="2936"/>
      <c r="GUM72" s="2936"/>
      <c r="GUN72" s="2936"/>
      <c r="GUO72" s="2936"/>
      <c r="GUP72" s="2936"/>
      <c r="GUQ72" s="2936"/>
      <c r="GUR72" s="2936"/>
      <c r="GUS72" s="2936"/>
      <c r="GUT72" s="2936"/>
      <c r="GUU72" s="2936"/>
      <c r="GUV72" s="2936"/>
      <c r="GUW72" s="2936"/>
      <c r="GUX72" s="2936"/>
      <c r="GUY72" s="2936"/>
      <c r="GUZ72" s="2936"/>
      <c r="GVA72" s="2936"/>
      <c r="GVB72" s="2936"/>
      <c r="GVC72" s="2936"/>
      <c r="GVD72" s="2936"/>
      <c r="GVE72" s="2936"/>
      <c r="GVF72" s="2936"/>
      <c r="GVG72" s="2936"/>
      <c r="GVH72" s="2936"/>
      <c r="GVI72" s="2936"/>
      <c r="GVJ72" s="2936"/>
      <c r="GVK72" s="2936"/>
      <c r="GVL72" s="2936"/>
      <c r="GVM72" s="2936"/>
      <c r="GVN72" s="2936"/>
      <c r="GVO72" s="2936"/>
      <c r="GVP72" s="2936"/>
      <c r="GVQ72" s="2936"/>
      <c r="GVR72" s="2936"/>
      <c r="GVS72" s="2936"/>
      <c r="GVT72" s="2936"/>
      <c r="GVU72" s="2936"/>
      <c r="GVV72" s="2936"/>
      <c r="GVW72" s="2936"/>
      <c r="GVX72" s="2936"/>
      <c r="GVY72" s="2936"/>
      <c r="GVZ72" s="2936"/>
      <c r="GWA72" s="2936"/>
      <c r="GWB72" s="2936"/>
      <c r="GWC72" s="2936"/>
      <c r="GWD72" s="2936"/>
      <c r="GWE72" s="2936"/>
      <c r="GWF72" s="2936"/>
      <c r="GWG72" s="2936"/>
      <c r="GWH72" s="2936"/>
      <c r="GWI72" s="2936"/>
      <c r="GWJ72" s="2936"/>
      <c r="GWK72" s="2936"/>
      <c r="GWL72" s="2936"/>
      <c r="GWM72" s="2936"/>
      <c r="GWN72" s="2936"/>
      <c r="GWO72" s="2936"/>
      <c r="GWP72" s="2936"/>
      <c r="GWQ72" s="2936"/>
      <c r="GWR72" s="2936"/>
      <c r="GWS72" s="2936"/>
      <c r="GWT72" s="2936"/>
      <c r="GWU72" s="2936"/>
      <c r="GWV72" s="2936"/>
      <c r="GWW72" s="2936"/>
      <c r="GWX72" s="2936"/>
      <c r="GWY72" s="2936"/>
      <c r="GWZ72" s="2936"/>
      <c r="GXA72" s="2936"/>
      <c r="GXB72" s="2936"/>
      <c r="GXC72" s="2936"/>
      <c r="GXD72" s="2936"/>
      <c r="GXE72" s="2936"/>
      <c r="GXF72" s="2936"/>
      <c r="GXG72" s="2936"/>
      <c r="GXH72" s="2936"/>
      <c r="GXI72" s="2936"/>
      <c r="GXJ72" s="2936"/>
      <c r="GXK72" s="2936"/>
      <c r="GXL72" s="2936"/>
      <c r="GXM72" s="2936"/>
      <c r="GXN72" s="2936"/>
      <c r="GXO72" s="2936"/>
      <c r="GXP72" s="2936"/>
      <c r="GXQ72" s="2936"/>
      <c r="GXR72" s="2936"/>
      <c r="GXS72" s="2936"/>
      <c r="GXT72" s="2936"/>
      <c r="GXU72" s="2936"/>
      <c r="GXV72" s="2936"/>
      <c r="GXW72" s="2936"/>
      <c r="GXX72" s="2936"/>
      <c r="GXY72" s="2936"/>
      <c r="GXZ72" s="2936"/>
      <c r="GYA72" s="2936"/>
      <c r="GYB72" s="2936"/>
      <c r="GYC72" s="2936"/>
      <c r="GYD72" s="2936"/>
      <c r="GYE72" s="2936"/>
      <c r="GYF72" s="2936"/>
      <c r="GYG72" s="2936"/>
      <c r="GYH72" s="2936"/>
      <c r="GYI72" s="2936"/>
      <c r="GYJ72" s="2936"/>
      <c r="GYK72" s="2936"/>
      <c r="GYL72" s="2936"/>
      <c r="GYM72" s="2936"/>
      <c r="GYN72" s="2936"/>
      <c r="GYO72" s="2936"/>
      <c r="GYP72" s="2936"/>
      <c r="GYQ72" s="2936"/>
      <c r="GYR72" s="2936"/>
      <c r="GYS72" s="2936"/>
      <c r="GYT72" s="2936"/>
      <c r="GYU72" s="2936"/>
      <c r="GYV72" s="2936"/>
      <c r="GYW72" s="2936"/>
      <c r="GYX72" s="2936"/>
      <c r="GYY72" s="2936"/>
      <c r="GYZ72" s="2936"/>
      <c r="GZA72" s="2936"/>
      <c r="GZB72" s="2936"/>
      <c r="GZC72" s="2936"/>
      <c r="GZD72" s="2936"/>
      <c r="GZE72" s="2936"/>
      <c r="GZF72" s="2936"/>
      <c r="GZG72" s="2936"/>
      <c r="GZH72" s="2936"/>
      <c r="GZI72" s="2936"/>
      <c r="GZJ72" s="2936"/>
      <c r="GZK72" s="2936"/>
      <c r="GZL72" s="2936"/>
      <c r="GZM72" s="2936"/>
      <c r="GZN72" s="2936"/>
      <c r="GZO72" s="2936"/>
      <c r="GZP72" s="2936"/>
      <c r="GZQ72" s="2936"/>
      <c r="GZR72" s="2936"/>
      <c r="GZS72" s="2936"/>
      <c r="GZT72" s="2936"/>
      <c r="GZU72" s="2936"/>
      <c r="GZV72" s="2936"/>
      <c r="GZW72" s="2936"/>
      <c r="GZX72" s="2936"/>
      <c r="GZY72" s="2936"/>
      <c r="GZZ72" s="2936"/>
      <c r="HAA72" s="2936"/>
      <c r="HAB72" s="2936"/>
      <c r="HAC72" s="2936"/>
      <c r="HAD72" s="2936"/>
      <c r="HAE72" s="2936"/>
      <c r="HAF72" s="2936"/>
      <c r="HAG72" s="2936"/>
      <c r="HAH72" s="2936"/>
      <c r="HAI72" s="2936"/>
      <c r="HAJ72" s="2936"/>
      <c r="HAK72" s="2936"/>
      <c r="HAL72" s="2936"/>
      <c r="HAM72" s="2936"/>
      <c r="HAN72" s="2936"/>
      <c r="HAO72" s="2936"/>
      <c r="HAP72" s="2936"/>
      <c r="HAQ72" s="2936"/>
      <c r="HAR72" s="2936"/>
      <c r="HAS72" s="2936"/>
      <c r="HAT72" s="2936"/>
      <c r="HAU72" s="2936"/>
      <c r="HAV72" s="2936"/>
      <c r="HAW72" s="2936"/>
      <c r="HAX72" s="2936"/>
      <c r="HAY72" s="2936"/>
      <c r="HAZ72" s="2936"/>
      <c r="HBA72" s="2936"/>
      <c r="HBB72" s="2936"/>
      <c r="HBC72" s="2936"/>
      <c r="HBD72" s="2936"/>
      <c r="HBE72" s="2936"/>
      <c r="HBF72" s="2936"/>
      <c r="HBG72" s="2936"/>
      <c r="HBH72" s="2936"/>
      <c r="HBI72" s="2936"/>
      <c r="HBJ72" s="2936"/>
      <c r="HBK72" s="2936"/>
      <c r="HBL72" s="2936"/>
      <c r="HBM72" s="2936"/>
      <c r="HBN72" s="2936"/>
      <c r="HBO72" s="2936"/>
      <c r="HBP72" s="2936"/>
      <c r="HBQ72" s="2936"/>
      <c r="HBR72" s="2936"/>
      <c r="HBS72" s="2936"/>
      <c r="HBT72" s="2936"/>
      <c r="HBU72" s="2936"/>
      <c r="HBV72" s="2936"/>
      <c r="HBW72" s="2936"/>
      <c r="HBX72" s="2936"/>
      <c r="HBY72" s="2936"/>
      <c r="HBZ72" s="2936"/>
      <c r="HCA72" s="2936"/>
      <c r="HCB72" s="2936"/>
      <c r="HCC72" s="2936"/>
      <c r="HCD72" s="2936"/>
      <c r="HCE72" s="2936"/>
      <c r="HCF72" s="2936"/>
      <c r="HCG72" s="2936"/>
      <c r="HCH72" s="2936"/>
      <c r="HCI72" s="2936"/>
      <c r="HCJ72" s="2936"/>
      <c r="HCK72" s="2936"/>
      <c r="HCL72" s="2936"/>
      <c r="HCM72" s="2936"/>
      <c r="HCN72" s="2936"/>
      <c r="HCO72" s="2936"/>
      <c r="HCP72" s="2936"/>
      <c r="HCQ72" s="2936"/>
      <c r="HCR72" s="2936"/>
      <c r="HCS72" s="2936"/>
      <c r="HCT72" s="2936"/>
      <c r="HCU72" s="2936"/>
      <c r="HCV72" s="2936"/>
      <c r="HCW72" s="2936"/>
      <c r="HCX72" s="2936"/>
      <c r="HCY72" s="2936"/>
      <c r="HCZ72" s="2936"/>
      <c r="HDA72" s="2936"/>
      <c r="HDB72" s="2936"/>
      <c r="HDC72" s="2936"/>
      <c r="HDD72" s="2936"/>
      <c r="HDE72" s="2936"/>
      <c r="HDF72" s="2936"/>
      <c r="HDG72" s="2936"/>
      <c r="HDH72" s="2936"/>
      <c r="HDI72" s="2936"/>
      <c r="HDJ72" s="2936"/>
      <c r="HDK72" s="2936"/>
      <c r="HDL72" s="2936"/>
      <c r="HDM72" s="2936"/>
      <c r="HDN72" s="2936"/>
      <c r="HDO72" s="2936"/>
      <c r="HDP72" s="2936"/>
      <c r="HDQ72" s="2936"/>
      <c r="HDR72" s="2936"/>
      <c r="HDS72" s="2936"/>
      <c r="HDT72" s="2936"/>
      <c r="HDU72" s="2936"/>
      <c r="HDV72" s="2936"/>
      <c r="HDW72" s="2936"/>
      <c r="HDX72" s="2936"/>
      <c r="HDY72" s="2936"/>
      <c r="HDZ72" s="2936"/>
      <c r="HEA72" s="2936"/>
      <c r="HEB72" s="2936"/>
      <c r="HEC72" s="2936"/>
      <c r="HED72" s="2936"/>
      <c r="HEE72" s="2936"/>
      <c r="HEF72" s="2936"/>
      <c r="HEG72" s="2936"/>
      <c r="HEH72" s="2936"/>
      <c r="HEI72" s="2936"/>
      <c r="HEJ72" s="2936"/>
      <c r="HEK72" s="2936"/>
      <c r="HEL72" s="2936"/>
      <c r="HEM72" s="2936"/>
      <c r="HEN72" s="2936"/>
      <c r="HEO72" s="2936"/>
      <c r="HEP72" s="2936"/>
      <c r="HEQ72" s="2936"/>
      <c r="HER72" s="2936"/>
      <c r="HES72" s="2936"/>
      <c r="HET72" s="2936"/>
      <c r="HEU72" s="2936"/>
      <c r="HEV72" s="2936"/>
      <c r="HEW72" s="2936"/>
      <c r="HEX72" s="2936"/>
      <c r="HEY72" s="2936"/>
      <c r="HEZ72" s="2936"/>
      <c r="HFA72" s="2936"/>
      <c r="HFB72" s="2936"/>
      <c r="HFC72" s="2936"/>
      <c r="HFD72" s="2936"/>
      <c r="HFE72" s="2936"/>
      <c r="HFF72" s="2936"/>
      <c r="HFG72" s="2936"/>
      <c r="HFH72" s="2936"/>
      <c r="HFI72" s="2936"/>
      <c r="HFJ72" s="2936"/>
      <c r="HFK72" s="2936"/>
      <c r="HFL72" s="2936"/>
      <c r="HFM72" s="2936"/>
      <c r="HFN72" s="2936"/>
      <c r="HFO72" s="2936"/>
      <c r="HFP72" s="2936"/>
      <c r="HFQ72" s="2936"/>
      <c r="HFR72" s="2936"/>
      <c r="HFS72" s="2936"/>
      <c r="HFT72" s="2936"/>
      <c r="HFU72" s="2936"/>
      <c r="HFV72" s="2936"/>
      <c r="HFW72" s="2936"/>
      <c r="HFX72" s="2936"/>
      <c r="HFY72" s="2936"/>
      <c r="HFZ72" s="2936"/>
      <c r="HGA72" s="2936"/>
      <c r="HGB72" s="2936"/>
      <c r="HGC72" s="2936"/>
      <c r="HGD72" s="2936"/>
      <c r="HGE72" s="2936"/>
      <c r="HGF72" s="2936"/>
      <c r="HGG72" s="2936"/>
      <c r="HGH72" s="2936"/>
      <c r="HGI72" s="2936"/>
      <c r="HGJ72" s="2936"/>
      <c r="HGK72" s="2936"/>
      <c r="HGL72" s="2936"/>
      <c r="HGM72" s="2936"/>
      <c r="HGN72" s="2936"/>
      <c r="HGO72" s="2936"/>
      <c r="HGP72" s="2936"/>
      <c r="HGQ72" s="2936"/>
      <c r="HGR72" s="2936"/>
      <c r="HGS72" s="2936"/>
      <c r="HGT72" s="2936"/>
      <c r="HGU72" s="2936"/>
      <c r="HGV72" s="2936"/>
      <c r="HGW72" s="2936"/>
      <c r="HGX72" s="2936"/>
      <c r="HGY72" s="2936"/>
      <c r="HGZ72" s="2936"/>
      <c r="HHA72" s="2936"/>
      <c r="HHB72" s="2936"/>
      <c r="HHC72" s="2936"/>
      <c r="HHD72" s="2936"/>
      <c r="HHE72" s="2936"/>
      <c r="HHF72" s="2936"/>
      <c r="HHG72" s="2936"/>
      <c r="HHH72" s="2936"/>
      <c r="HHI72" s="2936"/>
      <c r="HHJ72" s="2936"/>
      <c r="HHK72" s="2936"/>
      <c r="HHL72" s="2936"/>
      <c r="HHM72" s="2936"/>
      <c r="HHN72" s="2936"/>
      <c r="HHO72" s="2936"/>
      <c r="HHP72" s="2936"/>
      <c r="HHQ72" s="2936"/>
      <c r="HHR72" s="2936"/>
      <c r="HHS72" s="2936"/>
      <c r="HHT72" s="2936"/>
      <c r="HHU72" s="2936"/>
      <c r="HHV72" s="2936"/>
      <c r="HHW72" s="2936"/>
      <c r="HHX72" s="2936"/>
      <c r="HHY72" s="2936"/>
      <c r="HHZ72" s="2936"/>
      <c r="HIA72" s="2936"/>
      <c r="HIB72" s="2936"/>
      <c r="HIC72" s="2936"/>
      <c r="HID72" s="2936"/>
      <c r="HIE72" s="2936"/>
      <c r="HIF72" s="2936"/>
      <c r="HIG72" s="2936"/>
      <c r="HIH72" s="2936"/>
      <c r="HII72" s="2936"/>
      <c r="HIJ72" s="2936"/>
      <c r="HIK72" s="2936"/>
      <c r="HIL72" s="2936"/>
      <c r="HIM72" s="2936"/>
      <c r="HIN72" s="2936"/>
      <c r="HIO72" s="2936"/>
      <c r="HIP72" s="2936"/>
      <c r="HIQ72" s="2936"/>
      <c r="HIR72" s="2936"/>
      <c r="HIS72" s="2936"/>
      <c r="HIT72" s="2936"/>
      <c r="HIU72" s="2936"/>
      <c r="HIV72" s="2936"/>
      <c r="HIW72" s="2936"/>
      <c r="HIX72" s="2936"/>
      <c r="HIY72" s="2936"/>
      <c r="HIZ72" s="2936"/>
      <c r="HJA72" s="2936"/>
      <c r="HJB72" s="2936"/>
      <c r="HJC72" s="2936"/>
      <c r="HJD72" s="2936"/>
      <c r="HJE72" s="2936"/>
      <c r="HJF72" s="2936"/>
      <c r="HJG72" s="2936"/>
      <c r="HJH72" s="2936"/>
      <c r="HJI72" s="2936"/>
      <c r="HJJ72" s="2936"/>
      <c r="HJK72" s="2936"/>
      <c r="HJL72" s="2936"/>
      <c r="HJM72" s="2936"/>
      <c r="HJN72" s="2936"/>
      <c r="HJO72" s="2936"/>
      <c r="HJP72" s="2936"/>
      <c r="HJQ72" s="2936"/>
      <c r="HJR72" s="2936"/>
      <c r="HJS72" s="2936"/>
      <c r="HJT72" s="2936"/>
      <c r="HJU72" s="2936"/>
      <c r="HJV72" s="2936"/>
      <c r="HJW72" s="2936"/>
      <c r="HJX72" s="2936"/>
      <c r="HJY72" s="2936"/>
      <c r="HJZ72" s="2936"/>
      <c r="HKA72" s="2936"/>
      <c r="HKB72" s="2936"/>
      <c r="HKC72" s="2936"/>
      <c r="HKD72" s="2936"/>
      <c r="HKE72" s="2936"/>
      <c r="HKF72" s="2936"/>
      <c r="HKG72" s="2936"/>
      <c r="HKH72" s="2936"/>
      <c r="HKI72" s="2936"/>
      <c r="HKJ72" s="2936"/>
      <c r="HKK72" s="2936"/>
      <c r="HKL72" s="2936"/>
      <c r="HKM72" s="2936"/>
      <c r="HKN72" s="2936"/>
      <c r="HKO72" s="2936"/>
      <c r="HKP72" s="2936"/>
      <c r="HKQ72" s="2936"/>
      <c r="HKR72" s="2936"/>
      <c r="HKS72" s="2936"/>
      <c r="HKT72" s="2936"/>
      <c r="HKU72" s="2936"/>
      <c r="HKV72" s="2936"/>
      <c r="HKW72" s="2936"/>
      <c r="HKX72" s="2936"/>
      <c r="HKY72" s="2936"/>
      <c r="HKZ72" s="2936"/>
      <c r="HLA72" s="2936"/>
      <c r="HLB72" s="2936"/>
      <c r="HLC72" s="2936"/>
      <c r="HLD72" s="2936"/>
      <c r="HLE72" s="2936"/>
      <c r="HLF72" s="2936"/>
      <c r="HLG72" s="2936"/>
      <c r="HLH72" s="2936"/>
      <c r="HLI72" s="2936"/>
      <c r="HLJ72" s="2936"/>
      <c r="HLK72" s="2936"/>
      <c r="HLL72" s="2936"/>
      <c r="HLM72" s="2936"/>
      <c r="HLN72" s="2936"/>
      <c r="HLO72" s="2936"/>
      <c r="HLP72" s="2936"/>
      <c r="HLQ72" s="2936"/>
      <c r="HLR72" s="2936"/>
      <c r="HLS72" s="2936"/>
      <c r="HLT72" s="2936"/>
      <c r="HLU72" s="2936"/>
      <c r="HLV72" s="2936"/>
      <c r="HLW72" s="2936"/>
      <c r="HLX72" s="2936"/>
      <c r="HLY72" s="2936"/>
      <c r="HLZ72" s="2936"/>
      <c r="HMA72" s="2936"/>
      <c r="HMB72" s="2936"/>
      <c r="HMC72" s="2936"/>
      <c r="HMD72" s="2936"/>
      <c r="HME72" s="2936"/>
      <c r="HMF72" s="2936"/>
      <c r="HMG72" s="2936"/>
      <c r="HMH72" s="2936"/>
      <c r="HMI72" s="2936"/>
      <c r="HMJ72" s="2936"/>
      <c r="HMK72" s="2936"/>
      <c r="HML72" s="2936"/>
      <c r="HMM72" s="2936"/>
      <c r="HMN72" s="2936"/>
      <c r="HMO72" s="2936"/>
      <c r="HMP72" s="2936"/>
      <c r="HMQ72" s="2936"/>
      <c r="HMR72" s="2936"/>
      <c r="HMS72" s="2936"/>
      <c r="HMT72" s="2936"/>
      <c r="HMU72" s="2936"/>
      <c r="HMV72" s="2936"/>
      <c r="HMW72" s="2936"/>
      <c r="HMX72" s="2936"/>
      <c r="HMY72" s="2936"/>
      <c r="HMZ72" s="2936"/>
      <c r="HNA72" s="2936"/>
      <c r="HNB72" s="2936"/>
      <c r="HNC72" s="2936"/>
      <c r="HND72" s="2936"/>
      <c r="HNE72" s="2936"/>
      <c r="HNF72" s="2936"/>
      <c r="HNG72" s="2936"/>
      <c r="HNH72" s="2936"/>
      <c r="HNI72" s="2936"/>
      <c r="HNJ72" s="2936"/>
      <c r="HNK72" s="2936"/>
      <c r="HNL72" s="2936"/>
      <c r="HNM72" s="2936"/>
      <c r="HNN72" s="2936"/>
      <c r="HNO72" s="2936"/>
      <c r="HNP72" s="2936"/>
      <c r="HNQ72" s="2936"/>
      <c r="HNR72" s="2936"/>
      <c r="HNS72" s="2936"/>
      <c r="HNT72" s="2936"/>
      <c r="HNU72" s="2936"/>
      <c r="HNV72" s="2936"/>
      <c r="HNW72" s="2936"/>
      <c r="HNX72" s="2936"/>
      <c r="HNY72" s="2936"/>
      <c r="HNZ72" s="2936"/>
      <c r="HOA72" s="2936"/>
      <c r="HOB72" s="2936"/>
      <c r="HOC72" s="2936"/>
      <c r="HOD72" s="2936"/>
      <c r="HOE72" s="2936"/>
      <c r="HOF72" s="2936"/>
      <c r="HOG72" s="2936"/>
      <c r="HOH72" s="2936"/>
      <c r="HOI72" s="2936"/>
      <c r="HOJ72" s="2936"/>
      <c r="HOK72" s="2936"/>
      <c r="HOL72" s="2936"/>
      <c r="HOM72" s="2936"/>
      <c r="HON72" s="2936"/>
      <c r="HOO72" s="2936"/>
      <c r="HOP72" s="2936"/>
      <c r="HOQ72" s="2936"/>
      <c r="HOR72" s="2936"/>
      <c r="HOS72" s="2936"/>
      <c r="HOT72" s="2936"/>
      <c r="HOU72" s="2936"/>
      <c r="HOV72" s="2936"/>
      <c r="HOW72" s="2936"/>
      <c r="HOX72" s="2936"/>
      <c r="HOY72" s="2936"/>
      <c r="HOZ72" s="2936"/>
      <c r="HPA72" s="2936"/>
      <c r="HPB72" s="2936"/>
      <c r="HPC72" s="2936"/>
      <c r="HPD72" s="2936"/>
      <c r="HPE72" s="2936"/>
      <c r="HPF72" s="2936"/>
      <c r="HPG72" s="2936"/>
      <c r="HPH72" s="2936"/>
      <c r="HPI72" s="2936"/>
      <c r="HPJ72" s="2936"/>
      <c r="HPK72" s="2936"/>
      <c r="HPL72" s="2936"/>
      <c r="HPM72" s="2936"/>
      <c r="HPN72" s="2936"/>
      <c r="HPO72" s="2936"/>
      <c r="HPP72" s="2936"/>
      <c r="HPQ72" s="2936"/>
      <c r="HPR72" s="2936"/>
      <c r="HPS72" s="2936"/>
      <c r="HPT72" s="2936"/>
      <c r="HPU72" s="2936"/>
      <c r="HPV72" s="2936"/>
      <c r="HPW72" s="2936"/>
      <c r="HPX72" s="2936"/>
      <c r="HPY72" s="2936"/>
      <c r="HPZ72" s="2936"/>
      <c r="HQA72" s="2936"/>
      <c r="HQB72" s="2936"/>
      <c r="HQC72" s="2936"/>
      <c r="HQD72" s="2936"/>
      <c r="HQE72" s="2936"/>
      <c r="HQF72" s="2936"/>
      <c r="HQG72" s="2936"/>
      <c r="HQH72" s="2936"/>
      <c r="HQI72" s="2936"/>
      <c r="HQJ72" s="2936"/>
      <c r="HQK72" s="2936"/>
      <c r="HQL72" s="2936"/>
      <c r="HQM72" s="2936"/>
      <c r="HQN72" s="2936"/>
      <c r="HQO72" s="2936"/>
      <c r="HQP72" s="2936"/>
      <c r="HQQ72" s="2936"/>
      <c r="HQR72" s="2936"/>
      <c r="HQS72" s="2936"/>
      <c r="HQT72" s="2936"/>
      <c r="HQU72" s="2936"/>
      <c r="HQV72" s="2936"/>
      <c r="HQW72" s="2936"/>
      <c r="HQX72" s="2936"/>
      <c r="HQY72" s="2936"/>
      <c r="HQZ72" s="2936"/>
      <c r="HRA72" s="2936"/>
      <c r="HRB72" s="2936"/>
      <c r="HRC72" s="2936"/>
      <c r="HRD72" s="2936"/>
      <c r="HRE72" s="2936"/>
      <c r="HRF72" s="2936"/>
      <c r="HRG72" s="2936"/>
      <c r="HRH72" s="2936"/>
      <c r="HRI72" s="2936"/>
      <c r="HRJ72" s="2936"/>
      <c r="HRK72" s="2936"/>
      <c r="HRL72" s="2936"/>
      <c r="HRM72" s="2936"/>
      <c r="HRN72" s="2936"/>
      <c r="HRO72" s="2936"/>
      <c r="HRP72" s="2936"/>
      <c r="HRQ72" s="2936"/>
      <c r="HRR72" s="2936"/>
      <c r="HRS72" s="2936"/>
      <c r="HRT72" s="2936"/>
      <c r="HRU72" s="2936"/>
      <c r="HRV72" s="2936"/>
      <c r="HRW72" s="2936"/>
      <c r="HRX72" s="2936"/>
      <c r="HRY72" s="2936"/>
      <c r="HRZ72" s="2936"/>
      <c r="HSA72" s="2936"/>
      <c r="HSB72" s="2936"/>
      <c r="HSC72" s="2936"/>
      <c r="HSD72" s="2936"/>
      <c r="HSE72" s="2936"/>
      <c r="HSF72" s="2936"/>
      <c r="HSG72" s="2936"/>
      <c r="HSH72" s="2936"/>
      <c r="HSI72" s="2936"/>
      <c r="HSJ72" s="2936"/>
      <c r="HSK72" s="2936"/>
      <c r="HSL72" s="2936"/>
      <c r="HSM72" s="2936"/>
      <c r="HSN72" s="2936"/>
      <c r="HSO72" s="2936"/>
      <c r="HSP72" s="2936"/>
      <c r="HSQ72" s="2936"/>
      <c r="HSR72" s="2936"/>
      <c r="HSS72" s="2936"/>
      <c r="HST72" s="2936"/>
      <c r="HSU72" s="2936"/>
      <c r="HSV72" s="2936"/>
      <c r="HSW72" s="2936"/>
      <c r="HSX72" s="2936"/>
      <c r="HSY72" s="2936"/>
      <c r="HSZ72" s="2936"/>
      <c r="HTA72" s="2936"/>
      <c r="HTB72" s="2936"/>
      <c r="HTC72" s="2936"/>
      <c r="HTD72" s="2936"/>
      <c r="HTE72" s="2936"/>
      <c r="HTF72" s="2936"/>
      <c r="HTG72" s="2936"/>
      <c r="HTH72" s="2936"/>
      <c r="HTI72" s="2936"/>
      <c r="HTJ72" s="2936"/>
      <c r="HTK72" s="2936"/>
      <c r="HTL72" s="2936"/>
      <c r="HTM72" s="2936"/>
      <c r="HTN72" s="2936"/>
      <c r="HTO72" s="2936"/>
      <c r="HTP72" s="2936"/>
      <c r="HTQ72" s="2936"/>
      <c r="HTR72" s="2936"/>
      <c r="HTS72" s="2936"/>
      <c r="HTT72" s="2936"/>
      <c r="HTU72" s="2936"/>
      <c r="HTV72" s="2936"/>
      <c r="HTW72" s="2936"/>
      <c r="HTX72" s="2936"/>
      <c r="HTY72" s="2936"/>
      <c r="HTZ72" s="2936"/>
      <c r="HUA72" s="2936"/>
      <c r="HUB72" s="2936"/>
      <c r="HUC72" s="2936"/>
      <c r="HUD72" s="2936"/>
      <c r="HUE72" s="2936"/>
      <c r="HUF72" s="2936"/>
      <c r="HUG72" s="2936"/>
      <c r="HUH72" s="2936"/>
      <c r="HUI72" s="2936"/>
      <c r="HUJ72" s="2936"/>
      <c r="HUK72" s="2936"/>
      <c r="HUL72" s="2936"/>
      <c r="HUM72" s="2936"/>
      <c r="HUN72" s="2936"/>
      <c r="HUO72" s="2936"/>
      <c r="HUP72" s="2936"/>
      <c r="HUQ72" s="2936"/>
      <c r="HUR72" s="2936"/>
      <c r="HUS72" s="2936"/>
      <c r="HUT72" s="2936"/>
      <c r="HUU72" s="2936"/>
      <c r="HUV72" s="2936"/>
      <c r="HUW72" s="2936"/>
      <c r="HUX72" s="2936"/>
      <c r="HUY72" s="2936"/>
      <c r="HUZ72" s="2936"/>
      <c r="HVA72" s="2936"/>
      <c r="HVB72" s="2936"/>
      <c r="HVC72" s="2936"/>
      <c r="HVD72" s="2936"/>
      <c r="HVE72" s="2936"/>
      <c r="HVF72" s="2936"/>
      <c r="HVG72" s="2936"/>
      <c r="HVH72" s="2936"/>
      <c r="HVI72" s="2936"/>
      <c r="HVJ72" s="2936"/>
      <c r="HVK72" s="2936"/>
      <c r="HVL72" s="2936"/>
      <c r="HVM72" s="2936"/>
      <c r="HVN72" s="2936"/>
      <c r="HVO72" s="2936"/>
      <c r="HVP72" s="2936"/>
      <c r="HVQ72" s="2936"/>
      <c r="HVR72" s="2936"/>
      <c r="HVS72" s="2936"/>
      <c r="HVT72" s="2936"/>
      <c r="HVU72" s="2936"/>
      <c r="HVV72" s="2936"/>
      <c r="HVW72" s="2936"/>
      <c r="HVX72" s="2936"/>
      <c r="HVY72" s="2936"/>
      <c r="HVZ72" s="2936"/>
      <c r="HWA72" s="2936"/>
      <c r="HWB72" s="2936"/>
      <c r="HWC72" s="2936"/>
      <c r="HWD72" s="2936"/>
      <c r="HWE72" s="2936"/>
      <c r="HWF72" s="2936"/>
      <c r="HWG72" s="2936"/>
      <c r="HWH72" s="2936"/>
      <c r="HWI72" s="2936"/>
      <c r="HWJ72" s="2936"/>
      <c r="HWK72" s="2936"/>
      <c r="HWL72" s="2936"/>
      <c r="HWM72" s="2936"/>
      <c r="HWN72" s="2936"/>
      <c r="HWO72" s="2936"/>
      <c r="HWP72" s="2936"/>
      <c r="HWQ72" s="2936"/>
      <c r="HWR72" s="2936"/>
      <c r="HWS72" s="2936"/>
      <c r="HWT72" s="2936"/>
      <c r="HWU72" s="2936"/>
      <c r="HWV72" s="2936"/>
      <c r="HWW72" s="2936"/>
      <c r="HWX72" s="2936"/>
      <c r="HWY72" s="2936"/>
      <c r="HWZ72" s="2936"/>
      <c r="HXA72" s="2936"/>
      <c r="HXB72" s="2936"/>
      <c r="HXC72" s="2936"/>
      <c r="HXD72" s="2936"/>
      <c r="HXE72" s="2936"/>
      <c r="HXF72" s="2936"/>
      <c r="HXG72" s="2936"/>
      <c r="HXH72" s="2936"/>
      <c r="HXI72" s="2936"/>
      <c r="HXJ72" s="2936"/>
      <c r="HXK72" s="2936"/>
      <c r="HXL72" s="2936"/>
      <c r="HXM72" s="2936"/>
      <c r="HXN72" s="2936"/>
      <c r="HXO72" s="2936"/>
      <c r="HXP72" s="2936"/>
      <c r="HXQ72" s="2936"/>
      <c r="HXR72" s="2936"/>
      <c r="HXS72" s="2936"/>
      <c r="HXT72" s="2936"/>
      <c r="HXU72" s="2936"/>
      <c r="HXV72" s="2936"/>
      <c r="HXW72" s="2936"/>
      <c r="HXX72" s="2936"/>
      <c r="HXY72" s="2936"/>
      <c r="HXZ72" s="2936"/>
      <c r="HYA72" s="2936"/>
      <c r="HYB72" s="2936"/>
      <c r="HYC72" s="2936"/>
      <c r="HYD72" s="2936"/>
      <c r="HYE72" s="2936"/>
      <c r="HYF72" s="2936"/>
      <c r="HYG72" s="2936"/>
      <c r="HYH72" s="2936"/>
      <c r="HYI72" s="2936"/>
      <c r="HYJ72" s="2936"/>
      <c r="HYK72" s="2936"/>
      <c r="HYL72" s="2936"/>
      <c r="HYM72" s="2936"/>
      <c r="HYN72" s="2936"/>
      <c r="HYO72" s="2936"/>
      <c r="HYP72" s="2936"/>
      <c r="HYQ72" s="2936"/>
      <c r="HYR72" s="2936"/>
      <c r="HYS72" s="2936"/>
      <c r="HYT72" s="2936"/>
      <c r="HYU72" s="2936"/>
      <c r="HYV72" s="2936"/>
      <c r="HYW72" s="2936"/>
      <c r="HYX72" s="2936"/>
      <c r="HYY72" s="2936"/>
      <c r="HYZ72" s="2936"/>
      <c r="HZA72" s="2936"/>
      <c r="HZB72" s="2936"/>
      <c r="HZC72" s="2936"/>
      <c r="HZD72" s="2936"/>
      <c r="HZE72" s="2936"/>
      <c r="HZF72" s="2936"/>
      <c r="HZG72" s="2936"/>
      <c r="HZH72" s="2936"/>
      <c r="HZI72" s="2936"/>
      <c r="HZJ72" s="2936"/>
      <c r="HZK72" s="2936"/>
      <c r="HZL72" s="2936"/>
      <c r="HZM72" s="2936"/>
      <c r="HZN72" s="2936"/>
      <c r="HZO72" s="2936"/>
      <c r="HZP72" s="2936"/>
      <c r="HZQ72" s="2936"/>
      <c r="HZR72" s="2936"/>
      <c r="HZS72" s="2936"/>
      <c r="HZT72" s="2936"/>
      <c r="HZU72" s="2936"/>
      <c r="HZV72" s="2936"/>
      <c r="HZW72" s="2936"/>
      <c r="HZX72" s="2936"/>
      <c r="HZY72" s="2936"/>
      <c r="HZZ72" s="2936"/>
      <c r="IAA72" s="2936"/>
      <c r="IAB72" s="2936"/>
      <c r="IAC72" s="2936"/>
      <c r="IAD72" s="2936"/>
      <c r="IAE72" s="2936"/>
      <c r="IAF72" s="2936"/>
      <c r="IAG72" s="2936"/>
      <c r="IAH72" s="2936"/>
      <c r="IAI72" s="2936"/>
      <c r="IAJ72" s="2936"/>
      <c r="IAK72" s="2936"/>
      <c r="IAL72" s="2936"/>
      <c r="IAM72" s="2936"/>
      <c r="IAN72" s="2936"/>
      <c r="IAO72" s="2936"/>
      <c r="IAP72" s="2936"/>
      <c r="IAQ72" s="2936"/>
      <c r="IAR72" s="2936"/>
      <c r="IAS72" s="2936"/>
      <c r="IAT72" s="2936"/>
      <c r="IAU72" s="2936"/>
      <c r="IAV72" s="2936"/>
      <c r="IAW72" s="2936"/>
      <c r="IAX72" s="2936"/>
      <c r="IAY72" s="2936"/>
      <c r="IAZ72" s="2936"/>
      <c r="IBA72" s="2936"/>
      <c r="IBB72" s="2936"/>
      <c r="IBC72" s="2936"/>
      <c r="IBD72" s="2936"/>
      <c r="IBE72" s="2936"/>
      <c r="IBF72" s="2936"/>
      <c r="IBG72" s="2936"/>
      <c r="IBH72" s="2936"/>
      <c r="IBI72" s="2936"/>
      <c r="IBJ72" s="2936"/>
      <c r="IBK72" s="2936"/>
      <c r="IBL72" s="2936"/>
      <c r="IBM72" s="2936"/>
      <c r="IBN72" s="2936"/>
      <c r="IBO72" s="2936"/>
      <c r="IBP72" s="2936"/>
      <c r="IBQ72" s="2936"/>
      <c r="IBR72" s="2936"/>
      <c r="IBS72" s="2936"/>
      <c r="IBT72" s="2936"/>
      <c r="IBU72" s="2936"/>
      <c r="IBV72" s="2936"/>
      <c r="IBW72" s="2936"/>
      <c r="IBX72" s="2936"/>
      <c r="IBY72" s="2936"/>
      <c r="IBZ72" s="2936"/>
      <c r="ICA72" s="2936"/>
      <c r="ICB72" s="2936"/>
      <c r="ICC72" s="2936"/>
      <c r="ICD72" s="2936"/>
      <c r="ICE72" s="2936"/>
      <c r="ICF72" s="2936"/>
      <c r="ICG72" s="2936"/>
      <c r="ICH72" s="2936"/>
      <c r="ICI72" s="2936"/>
      <c r="ICJ72" s="2936"/>
      <c r="ICK72" s="2936"/>
      <c r="ICL72" s="2936"/>
      <c r="ICM72" s="2936"/>
      <c r="ICN72" s="2936"/>
      <c r="ICO72" s="2936"/>
      <c r="ICP72" s="2936"/>
      <c r="ICQ72" s="2936"/>
      <c r="ICR72" s="2936"/>
      <c r="ICS72" s="2936"/>
      <c r="ICT72" s="2936"/>
      <c r="ICU72" s="2936"/>
      <c r="ICV72" s="2936"/>
      <c r="ICW72" s="2936"/>
      <c r="ICX72" s="2936"/>
      <c r="ICY72" s="2936"/>
      <c r="ICZ72" s="2936"/>
      <c r="IDA72" s="2936"/>
      <c r="IDB72" s="2936"/>
      <c r="IDC72" s="2936"/>
      <c r="IDD72" s="2936"/>
      <c r="IDE72" s="2936"/>
      <c r="IDF72" s="2936"/>
      <c r="IDG72" s="2936"/>
      <c r="IDH72" s="2936"/>
      <c r="IDI72" s="2936"/>
      <c r="IDJ72" s="2936"/>
      <c r="IDK72" s="2936"/>
      <c r="IDL72" s="2936"/>
      <c r="IDM72" s="2936"/>
      <c r="IDN72" s="2936"/>
      <c r="IDO72" s="2936"/>
      <c r="IDP72" s="2936"/>
      <c r="IDQ72" s="2936"/>
      <c r="IDR72" s="2936"/>
      <c r="IDS72" s="2936"/>
      <c r="IDT72" s="2936"/>
      <c r="IDU72" s="2936"/>
      <c r="IDV72" s="2936"/>
      <c r="IDW72" s="2936"/>
      <c r="IDX72" s="2936"/>
      <c r="IDY72" s="2936"/>
      <c r="IDZ72" s="2936"/>
      <c r="IEA72" s="2936"/>
      <c r="IEB72" s="2936"/>
      <c r="IEC72" s="2936"/>
      <c r="IED72" s="2936"/>
      <c r="IEE72" s="2936"/>
      <c r="IEF72" s="2936"/>
      <c r="IEG72" s="2936"/>
      <c r="IEH72" s="2936"/>
      <c r="IEI72" s="2936"/>
      <c r="IEJ72" s="2936"/>
      <c r="IEK72" s="2936"/>
      <c r="IEL72" s="2936"/>
      <c r="IEM72" s="2936"/>
      <c r="IEN72" s="2936"/>
      <c r="IEO72" s="2936"/>
      <c r="IEP72" s="2936"/>
      <c r="IEQ72" s="2936"/>
      <c r="IER72" s="2936"/>
      <c r="IES72" s="2936"/>
      <c r="IET72" s="2936"/>
      <c r="IEU72" s="2936"/>
      <c r="IEV72" s="2936"/>
      <c r="IEW72" s="2936"/>
      <c r="IEX72" s="2936"/>
      <c r="IEY72" s="2936"/>
      <c r="IEZ72" s="2936"/>
      <c r="IFA72" s="2936"/>
      <c r="IFB72" s="2936"/>
      <c r="IFC72" s="2936"/>
      <c r="IFD72" s="2936"/>
      <c r="IFE72" s="2936"/>
      <c r="IFF72" s="2936"/>
      <c r="IFG72" s="2936"/>
      <c r="IFH72" s="2936"/>
      <c r="IFI72" s="2936"/>
      <c r="IFJ72" s="2936"/>
      <c r="IFK72" s="2936"/>
      <c r="IFL72" s="2936"/>
      <c r="IFM72" s="2936"/>
      <c r="IFN72" s="2936"/>
      <c r="IFO72" s="2936"/>
      <c r="IFP72" s="2936"/>
      <c r="IFQ72" s="2936"/>
      <c r="IFR72" s="2936"/>
      <c r="IFS72" s="2936"/>
      <c r="IFT72" s="2936"/>
      <c r="IFU72" s="2936"/>
      <c r="IFV72" s="2936"/>
      <c r="IFW72" s="2936"/>
      <c r="IFX72" s="2936"/>
      <c r="IFY72" s="2936"/>
      <c r="IFZ72" s="2936"/>
      <c r="IGA72" s="2936"/>
      <c r="IGB72" s="2936"/>
      <c r="IGC72" s="2936"/>
      <c r="IGD72" s="2936"/>
      <c r="IGE72" s="2936"/>
      <c r="IGF72" s="2936"/>
      <c r="IGG72" s="2936"/>
      <c r="IGH72" s="2936"/>
      <c r="IGI72" s="2936"/>
      <c r="IGJ72" s="2936"/>
      <c r="IGK72" s="2936"/>
      <c r="IGL72" s="2936"/>
      <c r="IGM72" s="2936"/>
      <c r="IGN72" s="2936"/>
      <c r="IGO72" s="2936"/>
      <c r="IGP72" s="2936"/>
      <c r="IGQ72" s="2936"/>
      <c r="IGR72" s="2936"/>
      <c r="IGS72" s="2936"/>
      <c r="IGT72" s="2936"/>
      <c r="IGU72" s="2936"/>
      <c r="IGV72" s="2936"/>
      <c r="IGW72" s="2936"/>
      <c r="IGX72" s="2936"/>
      <c r="IGY72" s="2936"/>
      <c r="IGZ72" s="2936"/>
      <c r="IHA72" s="2936"/>
      <c r="IHB72" s="2936"/>
      <c r="IHC72" s="2936"/>
      <c r="IHD72" s="2936"/>
      <c r="IHE72" s="2936"/>
      <c r="IHF72" s="2936"/>
      <c r="IHG72" s="2936"/>
      <c r="IHH72" s="2936"/>
      <c r="IHI72" s="2936"/>
      <c r="IHJ72" s="2936"/>
      <c r="IHK72" s="2936"/>
      <c r="IHL72" s="2936"/>
      <c r="IHM72" s="2936"/>
      <c r="IHN72" s="2936"/>
      <c r="IHO72" s="2936"/>
      <c r="IHP72" s="2936"/>
      <c r="IHQ72" s="2936"/>
      <c r="IHR72" s="2936"/>
      <c r="IHS72" s="2936"/>
      <c r="IHT72" s="2936"/>
      <c r="IHU72" s="2936"/>
      <c r="IHV72" s="2936"/>
      <c r="IHW72" s="2936"/>
      <c r="IHX72" s="2936"/>
      <c r="IHY72" s="2936"/>
      <c r="IHZ72" s="2936"/>
      <c r="IIA72" s="2936"/>
      <c r="IIB72" s="2936"/>
      <c r="IIC72" s="2936"/>
      <c r="IID72" s="2936"/>
      <c r="IIE72" s="2936"/>
      <c r="IIF72" s="2936"/>
      <c r="IIG72" s="2936"/>
      <c r="IIH72" s="2936"/>
      <c r="III72" s="2936"/>
      <c r="IIJ72" s="2936"/>
      <c r="IIK72" s="2936"/>
      <c r="IIL72" s="2936"/>
      <c r="IIM72" s="2936"/>
      <c r="IIN72" s="2936"/>
      <c r="IIO72" s="2936"/>
      <c r="IIP72" s="2936"/>
      <c r="IIQ72" s="2936"/>
      <c r="IIR72" s="2936"/>
      <c r="IIS72" s="2936"/>
      <c r="IIT72" s="2936"/>
      <c r="IIU72" s="2936"/>
      <c r="IIV72" s="2936"/>
      <c r="IIW72" s="2936"/>
      <c r="IIX72" s="2936"/>
      <c r="IIY72" s="2936"/>
      <c r="IIZ72" s="2936"/>
      <c r="IJA72" s="2936"/>
      <c r="IJB72" s="2936"/>
      <c r="IJC72" s="2936"/>
      <c r="IJD72" s="2936"/>
      <c r="IJE72" s="2936"/>
      <c r="IJF72" s="2936"/>
      <c r="IJG72" s="2936"/>
      <c r="IJH72" s="2936"/>
      <c r="IJI72" s="2936"/>
      <c r="IJJ72" s="2936"/>
      <c r="IJK72" s="2936"/>
      <c r="IJL72" s="2936"/>
      <c r="IJM72" s="2936"/>
      <c r="IJN72" s="2936"/>
      <c r="IJO72" s="2936"/>
      <c r="IJP72" s="2936"/>
      <c r="IJQ72" s="2936"/>
      <c r="IJR72" s="2936"/>
      <c r="IJS72" s="2936"/>
      <c r="IJT72" s="2936"/>
      <c r="IJU72" s="2936"/>
      <c r="IJV72" s="2936"/>
      <c r="IJW72" s="2936"/>
      <c r="IJX72" s="2936"/>
      <c r="IJY72" s="2936"/>
      <c r="IJZ72" s="2936"/>
      <c r="IKA72" s="2936"/>
      <c r="IKB72" s="2936"/>
      <c r="IKC72" s="2936"/>
      <c r="IKD72" s="2936"/>
      <c r="IKE72" s="2936"/>
      <c r="IKF72" s="2936"/>
      <c r="IKG72" s="2936"/>
      <c r="IKH72" s="2936"/>
      <c r="IKI72" s="2936"/>
      <c r="IKJ72" s="2936"/>
      <c r="IKK72" s="2936"/>
      <c r="IKL72" s="2936"/>
      <c r="IKM72" s="2936"/>
      <c r="IKN72" s="2936"/>
      <c r="IKO72" s="2936"/>
      <c r="IKP72" s="2936"/>
      <c r="IKQ72" s="2936"/>
      <c r="IKR72" s="2936"/>
      <c r="IKS72" s="2936"/>
      <c r="IKT72" s="2936"/>
      <c r="IKU72" s="2936"/>
      <c r="IKV72" s="2936"/>
      <c r="IKW72" s="2936"/>
      <c r="IKX72" s="2936"/>
      <c r="IKY72" s="2936"/>
      <c r="IKZ72" s="2936"/>
      <c r="ILA72" s="2936"/>
      <c r="ILB72" s="2936"/>
      <c r="ILC72" s="2936"/>
      <c r="ILD72" s="2936"/>
      <c r="ILE72" s="2936"/>
      <c r="ILF72" s="2936"/>
      <c r="ILG72" s="2936"/>
      <c r="ILH72" s="2936"/>
      <c r="ILI72" s="2936"/>
      <c r="ILJ72" s="2936"/>
      <c r="ILK72" s="2936"/>
      <c r="ILL72" s="2936"/>
      <c r="ILM72" s="2936"/>
      <c r="ILN72" s="2936"/>
      <c r="ILO72" s="2936"/>
      <c r="ILP72" s="2936"/>
      <c r="ILQ72" s="2936"/>
      <c r="ILR72" s="2936"/>
      <c r="ILS72" s="2936"/>
      <c r="ILT72" s="2936"/>
      <c r="ILU72" s="2936"/>
      <c r="ILV72" s="2936"/>
      <c r="ILW72" s="2936"/>
      <c r="ILX72" s="2936"/>
      <c r="ILY72" s="2936"/>
      <c r="ILZ72" s="2936"/>
      <c r="IMA72" s="2936"/>
      <c r="IMB72" s="2936"/>
      <c r="IMC72" s="2936"/>
      <c r="IMD72" s="2936"/>
      <c r="IME72" s="2936"/>
      <c r="IMF72" s="2936"/>
      <c r="IMG72" s="2936"/>
      <c r="IMH72" s="2936"/>
      <c r="IMI72" s="2936"/>
      <c r="IMJ72" s="2936"/>
      <c r="IMK72" s="2936"/>
      <c r="IML72" s="2936"/>
      <c r="IMM72" s="2936"/>
      <c r="IMN72" s="2936"/>
      <c r="IMO72" s="2936"/>
      <c r="IMP72" s="2936"/>
      <c r="IMQ72" s="2936"/>
      <c r="IMR72" s="2936"/>
      <c r="IMS72" s="2936"/>
      <c r="IMT72" s="2936"/>
      <c r="IMU72" s="2936"/>
      <c r="IMV72" s="2936"/>
      <c r="IMW72" s="2936"/>
      <c r="IMX72" s="2936"/>
      <c r="IMY72" s="2936"/>
      <c r="IMZ72" s="2936"/>
      <c r="INA72" s="2936"/>
      <c r="INB72" s="2936"/>
      <c r="INC72" s="2936"/>
      <c r="IND72" s="2936"/>
      <c r="INE72" s="2936"/>
      <c r="INF72" s="2936"/>
      <c r="ING72" s="2936"/>
      <c r="INH72" s="2936"/>
      <c r="INI72" s="2936"/>
      <c r="INJ72" s="2936"/>
      <c r="INK72" s="2936"/>
      <c r="INL72" s="2936"/>
      <c r="INM72" s="2936"/>
      <c r="INN72" s="2936"/>
      <c r="INO72" s="2936"/>
      <c r="INP72" s="2936"/>
      <c r="INQ72" s="2936"/>
      <c r="INR72" s="2936"/>
      <c r="INS72" s="2936"/>
      <c r="INT72" s="2936"/>
      <c r="INU72" s="2936"/>
      <c r="INV72" s="2936"/>
      <c r="INW72" s="2936"/>
      <c r="INX72" s="2936"/>
      <c r="INY72" s="2936"/>
      <c r="INZ72" s="2936"/>
      <c r="IOA72" s="2936"/>
      <c r="IOB72" s="2936"/>
      <c r="IOC72" s="2936"/>
      <c r="IOD72" s="2936"/>
      <c r="IOE72" s="2936"/>
      <c r="IOF72" s="2936"/>
      <c r="IOG72" s="2936"/>
      <c r="IOH72" s="2936"/>
      <c r="IOI72" s="2936"/>
      <c r="IOJ72" s="2936"/>
      <c r="IOK72" s="2936"/>
      <c r="IOL72" s="2936"/>
      <c r="IOM72" s="2936"/>
      <c r="ION72" s="2936"/>
      <c r="IOO72" s="2936"/>
      <c r="IOP72" s="2936"/>
      <c r="IOQ72" s="2936"/>
      <c r="IOR72" s="2936"/>
      <c r="IOS72" s="2936"/>
      <c r="IOT72" s="2936"/>
      <c r="IOU72" s="2936"/>
      <c r="IOV72" s="2936"/>
      <c r="IOW72" s="2936"/>
      <c r="IOX72" s="2936"/>
      <c r="IOY72" s="2936"/>
      <c r="IOZ72" s="2936"/>
      <c r="IPA72" s="2936"/>
      <c r="IPB72" s="2936"/>
      <c r="IPC72" s="2936"/>
      <c r="IPD72" s="2936"/>
      <c r="IPE72" s="2936"/>
      <c r="IPF72" s="2936"/>
      <c r="IPG72" s="2936"/>
      <c r="IPH72" s="2936"/>
      <c r="IPI72" s="2936"/>
      <c r="IPJ72" s="2936"/>
      <c r="IPK72" s="2936"/>
      <c r="IPL72" s="2936"/>
      <c r="IPM72" s="2936"/>
      <c r="IPN72" s="2936"/>
      <c r="IPO72" s="2936"/>
      <c r="IPP72" s="2936"/>
      <c r="IPQ72" s="2936"/>
      <c r="IPR72" s="2936"/>
      <c r="IPS72" s="2936"/>
      <c r="IPT72" s="2936"/>
      <c r="IPU72" s="2936"/>
      <c r="IPV72" s="2936"/>
      <c r="IPW72" s="2936"/>
      <c r="IPX72" s="2936"/>
      <c r="IPY72" s="2936"/>
      <c r="IPZ72" s="2936"/>
      <c r="IQA72" s="2936"/>
      <c r="IQB72" s="2936"/>
      <c r="IQC72" s="2936"/>
      <c r="IQD72" s="2936"/>
      <c r="IQE72" s="2936"/>
      <c r="IQF72" s="2936"/>
      <c r="IQG72" s="2936"/>
      <c r="IQH72" s="2936"/>
      <c r="IQI72" s="2936"/>
      <c r="IQJ72" s="2936"/>
      <c r="IQK72" s="2936"/>
      <c r="IQL72" s="2936"/>
      <c r="IQM72" s="2936"/>
      <c r="IQN72" s="2936"/>
      <c r="IQO72" s="2936"/>
      <c r="IQP72" s="2936"/>
      <c r="IQQ72" s="2936"/>
      <c r="IQR72" s="2936"/>
      <c r="IQS72" s="2936"/>
      <c r="IQT72" s="2936"/>
      <c r="IQU72" s="2936"/>
      <c r="IQV72" s="2936"/>
      <c r="IQW72" s="2936"/>
      <c r="IQX72" s="2936"/>
      <c r="IQY72" s="2936"/>
      <c r="IQZ72" s="2936"/>
      <c r="IRA72" s="2936"/>
      <c r="IRB72" s="2936"/>
      <c r="IRC72" s="2936"/>
      <c r="IRD72" s="2936"/>
      <c r="IRE72" s="2936"/>
      <c r="IRF72" s="2936"/>
      <c r="IRG72" s="2936"/>
      <c r="IRH72" s="2936"/>
      <c r="IRI72" s="2936"/>
      <c r="IRJ72" s="2936"/>
      <c r="IRK72" s="2936"/>
      <c r="IRL72" s="2936"/>
      <c r="IRM72" s="2936"/>
      <c r="IRN72" s="2936"/>
      <c r="IRO72" s="2936"/>
      <c r="IRP72" s="2936"/>
      <c r="IRQ72" s="2936"/>
      <c r="IRR72" s="2936"/>
      <c r="IRS72" s="2936"/>
      <c r="IRT72" s="2936"/>
      <c r="IRU72" s="2936"/>
      <c r="IRV72" s="2936"/>
      <c r="IRW72" s="2936"/>
      <c r="IRX72" s="2936"/>
      <c r="IRY72" s="2936"/>
      <c r="IRZ72" s="2936"/>
      <c r="ISA72" s="2936"/>
      <c r="ISB72" s="2936"/>
      <c r="ISC72" s="2936"/>
      <c r="ISD72" s="2936"/>
      <c r="ISE72" s="2936"/>
      <c r="ISF72" s="2936"/>
      <c r="ISG72" s="2936"/>
      <c r="ISH72" s="2936"/>
      <c r="ISI72" s="2936"/>
      <c r="ISJ72" s="2936"/>
      <c r="ISK72" s="2936"/>
      <c r="ISL72" s="2936"/>
      <c r="ISM72" s="2936"/>
      <c r="ISN72" s="2936"/>
      <c r="ISO72" s="2936"/>
      <c r="ISP72" s="2936"/>
      <c r="ISQ72" s="2936"/>
      <c r="ISR72" s="2936"/>
      <c r="ISS72" s="2936"/>
      <c r="IST72" s="2936"/>
      <c r="ISU72" s="2936"/>
      <c r="ISV72" s="2936"/>
      <c r="ISW72" s="2936"/>
      <c r="ISX72" s="2936"/>
      <c r="ISY72" s="2936"/>
      <c r="ISZ72" s="2936"/>
      <c r="ITA72" s="2936"/>
      <c r="ITB72" s="2936"/>
      <c r="ITC72" s="2936"/>
      <c r="ITD72" s="2936"/>
      <c r="ITE72" s="2936"/>
      <c r="ITF72" s="2936"/>
      <c r="ITG72" s="2936"/>
      <c r="ITH72" s="2936"/>
      <c r="ITI72" s="2936"/>
      <c r="ITJ72" s="2936"/>
      <c r="ITK72" s="2936"/>
      <c r="ITL72" s="2936"/>
      <c r="ITM72" s="2936"/>
      <c r="ITN72" s="2936"/>
      <c r="ITO72" s="2936"/>
      <c r="ITP72" s="2936"/>
      <c r="ITQ72" s="2936"/>
      <c r="ITR72" s="2936"/>
      <c r="ITS72" s="2936"/>
      <c r="ITT72" s="2936"/>
      <c r="ITU72" s="2936"/>
      <c r="ITV72" s="2936"/>
      <c r="ITW72" s="2936"/>
      <c r="ITX72" s="2936"/>
      <c r="ITY72" s="2936"/>
      <c r="ITZ72" s="2936"/>
      <c r="IUA72" s="2936"/>
      <c r="IUB72" s="2936"/>
      <c r="IUC72" s="2936"/>
      <c r="IUD72" s="2936"/>
      <c r="IUE72" s="2936"/>
      <c r="IUF72" s="2936"/>
      <c r="IUG72" s="2936"/>
      <c r="IUH72" s="2936"/>
      <c r="IUI72" s="2936"/>
      <c r="IUJ72" s="2936"/>
      <c r="IUK72" s="2936"/>
      <c r="IUL72" s="2936"/>
      <c r="IUM72" s="2936"/>
      <c r="IUN72" s="2936"/>
      <c r="IUO72" s="2936"/>
      <c r="IUP72" s="2936"/>
      <c r="IUQ72" s="2936"/>
      <c r="IUR72" s="2936"/>
      <c r="IUS72" s="2936"/>
      <c r="IUT72" s="2936"/>
      <c r="IUU72" s="2936"/>
      <c r="IUV72" s="2936"/>
      <c r="IUW72" s="2936"/>
      <c r="IUX72" s="2936"/>
      <c r="IUY72" s="2936"/>
      <c r="IUZ72" s="2936"/>
      <c r="IVA72" s="2936"/>
      <c r="IVB72" s="2936"/>
      <c r="IVC72" s="2936"/>
      <c r="IVD72" s="2936"/>
      <c r="IVE72" s="2936"/>
      <c r="IVF72" s="2936"/>
      <c r="IVG72" s="2936"/>
      <c r="IVH72" s="2936"/>
      <c r="IVI72" s="2936"/>
      <c r="IVJ72" s="2936"/>
      <c r="IVK72" s="2936"/>
      <c r="IVL72" s="2936"/>
      <c r="IVM72" s="2936"/>
      <c r="IVN72" s="2936"/>
      <c r="IVO72" s="2936"/>
      <c r="IVP72" s="2936"/>
      <c r="IVQ72" s="2936"/>
      <c r="IVR72" s="2936"/>
      <c r="IVS72" s="2936"/>
      <c r="IVT72" s="2936"/>
      <c r="IVU72" s="2936"/>
      <c r="IVV72" s="2936"/>
      <c r="IVW72" s="2936"/>
      <c r="IVX72" s="2936"/>
      <c r="IVY72" s="2936"/>
      <c r="IVZ72" s="2936"/>
      <c r="IWA72" s="2936"/>
      <c r="IWB72" s="2936"/>
      <c r="IWC72" s="2936"/>
      <c r="IWD72" s="2936"/>
      <c r="IWE72" s="2936"/>
      <c r="IWF72" s="2936"/>
      <c r="IWG72" s="2936"/>
      <c r="IWH72" s="2936"/>
      <c r="IWI72" s="2936"/>
      <c r="IWJ72" s="2936"/>
      <c r="IWK72" s="2936"/>
      <c r="IWL72" s="2936"/>
      <c r="IWM72" s="2936"/>
      <c r="IWN72" s="2936"/>
      <c r="IWO72" s="2936"/>
      <c r="IWP72" s="2936"/>
      <c r="IWQ72" s="2936"/>
      <c r="IWR72" s="2936"/>
      <c r="IWS72" s="2936"/>
      <c r="IWT72" s="2936"/>
      <c r="IWU72" s="2936"/>
      <c r="IWV72" s="2936"/>
      <c r="IWW72" s="2936"/>
      <c r="IWX72" s="2936"/>
      <c r="IWY72" s="2936"/>
      <c r="IWZ72" s="2936"/>
      <c r="IXA72" s="2936"/>
      <c r="IXB72" s="2936"/>
      <c r="IXC72" s="2936"/>
      <c r="IXD72" s="2936"/>
      <c r="IXE72" s="2936"/>
      <c r="IXF72" s="2936"/>
      <c r="IXG72" s="2936"/>
      <c r="IXH72" s="2936"/>
      <c r="IXI72" s="2936"/>
      <c r="IXJ72" s="2936"/>
      <c r="IXK72" s="2936"/>
      <c r="IXL72" s="2936"/>
      <c r="IXM72" s="2936"/>
      <c r="IXN72" s="2936"/>
      <c r="IXO72" s="2936"/>
      <c r="IXP72" s="2936"/>
      <c r="IXQ72" s="2936"/>
      <c r="IXR72" s="2936"/>
      <c r="IXS72" s="2936"/>
      <c r="IXT72" s="2936"/>
      <c r="IXU72" s="2936"/>
      <c r="IXV72" s="2936"/>
      <c r="IXW72" s="2936"/>
      <c r="IXX72" s="2936"/>
      <c r="IXY72" s="2936"/>
      <c r="IXZ72" s="2936"/>
      <c r="IYA72" s="2936"/>
      <c r="IYB72" s="2936"/>
      <c r="IYC72" s="2936"/>
      <c r="IYD72" s="2936"/>
      <c r="IYE72" s="2936"/>
      <c r="IYF72" s="2936"/>
      <c r="IYG72" s="2936"/>
      <c r="IYH72" s="2936"/>
      <c r="IYI72" s="2936"/>
      <c r="IYJ72" s="2936"/>
      <c r="IYK72" s="2936"/>
      <c r="IYL72" s="2936"/>
      <c r="IYM72" s="2936"/>
      <c r="IYN72" s="2936"/>
      <c r="IYO72" s="2936"/>
      <c r="IYP72" s="2936"/>
      <c r="IYQ72" s="2936"/>
      <c r="IYR72" s="2936"/>
      <c r="IYS72" s="2936"/>
      <c r="IYT72" s="2936"/>
      <c r="IYU72" s="2936"/>
      <c r="IYV72" s="2936"/>
      <c r="IYW72" s="2936"/>
      <c r="IYX72" s="2936"/>
      <c r="IYY72" s="2936"/>
      <c r="IYZ72" s="2936"/>
      <c r="IZA72" s="2936"/>
      <c r="IZB72" s="2936"/>
      <c r="IZC72" s="2936"/>
      <c r="IZD72" s="2936"/>
      <c r="IZE72" s="2936"/>
      <c r="IZF72" s="2936"/>
      <c r="IZG72" s="2936"/>
      <c r="IZH72" s="2936"/>
      <c r="IZI72" s="2936"/>
      <c r="IZJ72" s="2936"/>
      <c r="IZK72" s="2936"/>
      <c r="IZL72" s="2936"/>
      <c r="IZM72" s="2936"/>
      <c r="IZN72" s="2936"/>
      <c r="IZO72" s="2936"/>
      <c r="IZP72" s="2936"/>
      <c r="IZQ72" s="2936"/>
      <c r="IZR72" s="2936"/>
      <c r="IZS72" s="2936"/>
      <c r="IZT72" s="2936"/>
      <c r="IZU72" s="2936"/>
      <c r="IZV72" s="2936"/>
      <c r="IZW72" s="2936"/>
      <c r="IZX72" s="2936"/>
      <c r="IZY72" s="2936"/>
      <c r="IZZ72" s="2936"/>
      <c r="JAA72" s="2936"/>
      <c r="JAB72" s="2936"/>
      <c r="JAC72" s="2936"/>
      <c r="JAD72" s="2936"/>
      <c r="JAE72" s="2936"/>
      <c r="JAF72" s="2936"/>
      <c r="JAG72" s="2936"/>
      <c r="JAH72" s="2936"/>
      <c r="JAI72" s="2936"/>
      <c r="JAJ72" s="2936"/>
      <c r="JAK72" s="2936"/>
      <c r="JAL72" s="2936"/>
      <c r="JAM72" s="2936"/>
      <c r="JAN72" s="2936"/>
      <c r="JAO72" s="2936"/>
      <c r="JAP72" s="2936"/>
      <c r="JAQ72" s="2936"/>
      <c r="JAR72" s="2936"/>
      <c r="JAS72" s="2936"/>
      <c r="JAT72" s="2936"/>
      <c r="JAU72" s="2936"/>
      <c r="JAV72" s="2936"/>
      <c r="JAW72" s="2936"/>
      <c r="JAX72" s="2936"/>
      <c r="JAY72" s="2936"/>
      <c r="JAZ72" s="2936"/>
      <c r="JBA72" s="2936"/>
      <c r="JBB72" s="2936"/>
      <c r="JBC72" s="2936"/>
      <c r="JBD72" s="2936"/>
      <c r="JBE72" s="2936"/>
      <c r="JBF72" s="2936"/>
      <c r="JBG72" s="2936"/>
      <c r="JBH72" s="2936"/>
      <c r="JBI72" s="2936"/>
      <c r="JBJ72" s="2936"/>
      <c r="JBK72" s="2936"/>
      <c r="JBL72" s="2936"/>
      <c r="JBM72" s="2936"/>
      <c r="JBN72" s="2936"/>
      <c r="JBO72" s="2936"/>
      <c r="JBP72" s="2936"/>
      <c r="JBQ72" s="2936"/>
      <c r="JBR72" s="2936"/>
      <c r="JBS72" s="2936"/>
      <c r="JBT72" s="2936"/>
      <c r="JBU72" s="2936"/>
      <c r="JBV72" s="2936"/>
      <c r="JBW72" s="2936"/>
      <c r="JBX72" s="2936"/>
      <c r="JBY72" s="2936"/>
      <c r="JBZ72" s="2936"/>
      <c r="JCA72" s="2936"/>
      <c r="JCB72" s="2936"/>
      <c r="JCC72" s="2936"/>
      <c r="JCD72" s="2936"/>
      <c r="JCE72" s="2936"/>
      <c r="JCF72" s="2936"/>
      <c r="JCG72" s="2936"/>
      <c r="JCH72" s="2936"/>
      <c r="JCI72" s="2936"/>
      <c r="JCJ72" s="2936"/>
      <c r="JCK72" s="2936"/>
      <c r="JCL72" s="2936"/>
      <c r="JCM72" s="2936"/>
      <c r="JCN72" s="2936"/>
      <c r="JCO72" s="2936"/>
      <c r="JCP72" s="2936"/>
      <c r="JCQ72" s="2936"/>
      <c r="JCR72" s="2936"/>
      <c r="JCS72" s="2936"/>
      <c r="JCT72" s="2936"/>
      <c r="JCU72" s="2936"/>
      <c r="JCV72" s="2936"/>
      <c r="JCW72" s="2936"/>
      <c r="JCX72" s="2936"/>
      <c r="JCY72" s="2936"/>
      <c r="JCZ72" s="2936"/>
      <c r="JDA72" s="2936"/>
      <c r="JDB72" s="2936"/>
      <c r="JDC72" s="2936"/>
      <c r="JDD72" s="2936"/>
      <c r="JDE72" s="2936"/>
      <c r="JDF72" s="2936"/>
      <c r="JDG72" s="2936"/>
      <c r="JDH72" s="2936"/>
      <c r="JDI72" s="2936"/>
      <c r="JDJ72" s="2936"/>
      <c r="JDK72" s="2936"/>
      <c r="JDL72" s="2936"/>
      <c r="JDM72" s="2936"/>
      <c r="JDN72" s="2936"/>
      <c r="JDO72" s="2936"/>
      <c r="JDP72" s="2936"/>
      <c r="JDQ72" s="2936"/>
      <c r="JDR72" s="2936"/>
      <c r="JDS72" s="2936"/>
      <c r="JDT72" s="2936"/>
      <c r="JDU72" s="2936"/>
      <c r="JDV72" s="2936"/>
      <c r="JDW72" s="2936"/>
      <c r="JDX72" s="2936"/>
      <c r="JDY72" s="2936"/>
      <c r="JDZ72" s="2936"/>
      <c r="JEA72" s="2936"/>
      <c r="JEB72" s="2936"/>
      <c r="JEC72" s="2936"/>
      <c r="JED72" s="2936"/>
      <c r="JEE72" s="2936"/>
      <c r="JEF72" s="2936"/>
      <c r="JEG72" s="2936"/>
      <c r="JEH72" s="2936"/>
      <c r="JEI72" s="2936"/>
      <c r="JEJ72" s="2936"/>
      <c r="JEK72" s="2936"/>
      <c r="JEL72" s="2936"/>
      <c r="JEM72" s="2936"/>
      <c r="JEN72" s="2936"/>
      <c r="JEO72" s="2936"/>
      <c r="JEP72" s="2936"/>
      <c r="JEQ72" s="2936"/>
      <c r="JER72" s="2936"/>
      <c r="JES72" s="2936"/>
      <c r="JET72" s="2936"/>
      <c r="JEU72" s="2936"/>
      <c r="JEV72" s="2936"/>
      <c r="JEW72" s="2936"/>
      <c r="JEX72" s="2936"/>
      <c r="JEY72" s="2936"/>
      <c r="JEZ72" s="2936"/>
      <c r="JFA72" s="2936"/>
      <c r="JFB72" s="2936"/>
      <c r="JFC72" s="2936"/>
      <c r="JFD72" s="2936"/>
      <c r="JFE72" s="2936"/>
      <c r="JFF72" s="2936"/>
      <c r="JFG72" s="2936"/>
      <c r="JFH72" s="2936"/>
      <c r="JFI72" s="2936"/>
      <c r="JFJ72" s="2936"/>
      <c r="JFK72" s="2936"/>
      <c r="JFL72" s="2936"/>
      <c r="JFM72" s="2936"/>
      <c r="JFN72" s="2936"/>
      <c r="JFO72" s="2936"/>
      <c r="JFP72" s="2936"/>
      <c r="JFQ72" s="2936"/>
      <c r="JFR72" s="2936"/>
      <c r="JFS72" s="2936"/>
      <c r="JFT72" s="2936"/>
      <c r="JFU72" s="2936"/>
      <c r="JFV72" s="2936"/>
      <c r="JFW72" s="2936"/>
      <c r="JFX72" s="2936"/>
      <c r="JFY72" s="2936"/>
      <c r="JFZ72" s="2936"/>
      <c r="JGA72" s="2936"/>
      <c r="JGB72" s="2936"/>
      <c r="JGC72" s="2936"/>
      <c r="JGD72" s="2936"/>
      <c r="JGE72" s="2936"/>
      <c r="JGF72" s="2936"/>
      <c r="JGG72" s="2936"/>
      <c r="JGH72" s="2936"/>
      <c r="JGI72" s="2936"/>
      <c r="JGJ72" s="2936"/>
      <c r="JGK72" s="2936"/>
      <c r="JGL72" s="2936"/>
      <c r="JGM72" s="2936"/>
      <c r="JGN72" s="2936"/>
      <c r="JGO72" s="2936"/>
      <c r="JGP72" s="2936"/>
      <c r="JGQ72" s="2936"/>
      <c r="JGR72" s="2936"/>
      <c r="JGS72" s="2936"/>
      <c r="JGT72" s="2936"/>
      <c r="JGU72" s="2936"/>
      <c r="JGV72" s="2936"/>
      <c r="JGW72" s="2936"/>
      <c r="JGX72" s="2936"/>
      <c r="JGY72" s="2936"/>
      <c r="JGZ72" s="2936"/>
      <c r="JHA72" s="2936"/>
      <c r="JHB72" s="2936"/>
      <c r="JHC72" s="2936"/>
      <c r="JHD72" s="2936"/>
      <c r="JHE72" s="2936"/>
      <c r="JHF72" s="2936"/>
      <c r="JHG72" s="2936"/>
      <c r="JHH72" s="2936"/>
      <c r="JHI72" s="2936"/>
      <c r="JHJ72" s="2936"/>
      <c r="JHK72" s="2936"/>
      <c r="JHL72" s="2936"/>
      <c r="JHM72" s="2936"/>
      <c r="JHN72" s="2936"/>
      <c r="JHO72" s="2936"/>
      <c r="JHP72" s="2936"/>
      <c r="JHQ72" s="2936"/>
      <c r="JHR72" s="2936"/>
      <c r="JHS72" s="2936"/>
      <c r="JHT72" s="2936"/>
      <c r="JHU72" s="2936"/>
      <c r="JHV72" s="2936"/>
      <c r="JHW72" s="2936"/>
      <c r="JHX72" s="2936"/>
      <c r="JHY72" s="2936"/>
      <c r="JHZ72" s="2936"/>
      <c r="JIA72" s="2936"/>
      <c r="JIB72" s="2936"/>
      <c r="JIC72" s="2936"/>
      <c r="JID72" s="2936"/>
      <c r="JIE72" s="2936"/>
      <c r="JIF72" s="2936"/>
      <c r="JIG72" s="2936"/>
      <c r="JIH72" s="2936"/>
      <c r="JII72" s="2936"/>
      <c r="JIJ72" s="2936"/>
      <c r="JIK72" s="2936"/>
      <c r="JIL72" s="2936"/>
      <c r="JIM72" s="2936"/>
      <c r="JIN72" s="2936"/>
      <c r="JIO72" s="2936"/>
      <c r="JIP72" s="2936"/>
      <c r="JIQ72" s="2936"/>
      <c r="JIR72" s="2936"/>
      <c r="JIS72" s="2936"/>
      <c r="JIT72" s="2936"/>
      <c r="JIU72" s="2936"/>
      <c r="JIV72" s="2936"/>
      <c r="JIW72" s="2936"/>
      <c r="JIX72" s="2936"/>
      <c r="JIY72" s="2936"/>
      <c r="JIZ72" s="2936"/>
      <c r="JJA72" s="2936"/>
      <c r="JJB72" s="2936"/>
      <c r="JJC72" s="2936"/>
      <c r="JJD72" s="2936"/>
      <c r="JJE72" s="2936"/>
      <c r="JJF72" s="2936"/>
      <c r="JJG72" s="2936"/>
      <c r="JJH72" s="2936"/>
      <c r="JJI72" s="2936"/>
      <c r="JJJ72" s="2936"/>
      <c r="JJK72" s="2936"/>
      <c r="JJL72" s="2936"/>
      <c r="JJM72" s="2936"/>
      <c r="JJN72" s="2936"/>
      <c r="JJO72" s="2936"/>
      <c r="JJP72" s="2936"/>
      <c r="JJQ72" s="2936"/>
      <c r="JJR72" s="2936"/>
      <c r="JJS72" s="2936"/>
      <c r="JJT72" s="2936"/>
      <c r="JJU72" s="2936"/>
      <c r="JJV72" s="2936"/>
      <c r="JJW72" s="2936"/>
      <c r="JJX72" s="2936"/>
      <c r="JJY72" s="2936"/>
      <c r="JJZ72" s="2936"/>
      <c r="JKA72" s="2936"/>
      <c r="JKB72" s="2936"/>
      <c r="JKC72" s="2936"/>
      <c r="JKD72" s="2936"/>
      <c r="JKE72" s="2936"/>
      <c r="JKF72" s="2936"/>
      <c r="JKG72" s="2936"/>
      <c r="JKH72" s="2936"/>
      <c r="JKI72" s="2936"/>
      <c r="JKJ72" s="2936"/>
      <c r="JKK72" s="2936"/>
      <c r="JKL72" s="2936"/>
      <c r="JKM72" s="2936"/>
      <c r="JKN72" s="2936"/>
      <c r="JKO72" s="2936"/>
      <c r="JKP72" s="2936"/>
      <c r="JKQ72" s="2936"/>
      <c r="JKR72" s="2936"/>
      <c r="JKS72" s="2936"/>
      <c r="JKT72" s="2936"/>
      <c r="JKU72" s="2936"/>
      <c r="JKV72" s="2936"/>
      <c r="JKW72" s="2936"/>
      <c r="JKX72" s="2936"/>
      <c r="JKY72" s="2936"/>
      <c r="JKZ72" s="2936"/>
      <c r="JLA72" s="2936"/>
      <c r="JLB72" s="2936"/>
      <c r="JLC72" s="2936"/>
      <c r="JLD72" s="2936"/>
      <c r="JLE72" s="2936"/>
      <c r="JLF72" s="2936"/>
      <c r="JLG72" s="2936"/>
      <c r="JLH72" s="2936"/>
      <c r="JLI72" s="2936"/>
      <c r="JLJ72" s="2936"/>
      <c r="JLK72" s="2936"/>
      <c r="JLL72" s="2936"/>
      <c r="JLM72" s="2936"/>
      <c r="JLN72" s="2936"/>
      <c r="JLO72" s="2936"/>
      <c r="JLP72" s="2936"/>
      <c r="JLQ72" s="2936"/>
      <c r="JLR72" s="2936"/>
      <c r="JLS72" s="2936"/>
      <c r="JLT72" s="2936"/>
      <c r="JLU72" s="2936"/>
      <c r="JLV72" s="2936"/>
      <c r="JLW72" s="2936"/>
      <c r="JLX72" s="2936"/>
      <c r="JLY72" s="2936"/>
      <c r="JLZ72" s="2936"/>
      <c r="JMA72" s="2936"/>
      <c r="JMB72" s="2936"/>
      <c r="JMC72" s="2936"/>
      <c r="JMD72" s="2936"/>
      <c r="JME72" s="2936"/>
      <c r="JMF72" s="2936"/>
      <c r="JMG72" s="2936"/>
      <c r="JMH72" s="2936"/>
      <c r="JMI72" s="2936"/>
      <c r="JMJ72" s="2936"/>
      <c r="JMK72" s="2936"/>
      <c r="JML72" s="2936"/>
      <c r="JMM72" s="2936"/>
      <c r="JMN72" s="2936"/>
      <c r="JMO72" s="2936"/>
      <c r="JMP72" s="2936"/>
      <c r="JMQ72" s="2936"/>
      <c r="JMR72" s="2936"/>
      <c r="JMS72" s="2936"/>
      <c r="JMT72" s="2936"/>
      <c r="JMU72" s="2936"/>
      <c r="JMV72" s="2936"/>
      <c r="JMW72" s="2936"/>
      <c r="JMX72" s="2936"/>
      <c r="JMY72" s="2936"/>
      <c r="JMZ72" s="2936"/>
      <c r="JNA72" s="2936"/>
      <c r="JNB72" s="2936"/>
      <c r="JNC72" s="2936"/>
      <c r="JND72" s="2936"/>
      <c r="JNE72" s="2936"/>
      <c r="JNF72" s="2936"/>
      <c r="JNG72" s="2936"/>
      <c r="JNH72" s="2936"/>
      <c r="JNI72" s="2936"/>
      <c r="JNJ72" s="2936"/>
      <c r="JNK72" s="2936"/>
      <c r="JNL72" s="2936"/>
      <c r="JNM72" s="2936"/>
      <c r="JNN72" s="2936"/>
      <c r="JNO72" s="2936"/>
      <c r="JNP72" s="2936"/>
      <c r="JNQ72" s="2936"/>
      <c r="JNR72" s="2936"/>
      <c r="JNS72" s="2936"/>
      <c r="JNT72" s="2936"/>
      <c r="JNU72" s="2936"/>
      <c r="JNV72" s="2936"/>
      <c r="JNW72" s="2936"/>
      <c r="JNX72" s="2936"/>
      <c r="JNY72" s="2936"/>
      <c r="JNZ72" s="2936"/>
      <c r="JOA72" s="2936"/>
      <c r="JOB72" s="2936"/>
      <c r="JOC72" s="2936"/>
      <c r="JOD72" s="2936"/>
      <c r="JOE72" s="2936"/>
      <c r="JOF72" s="2936"/>
      <c r="JOG72" s="2936"/>
      <c r="JOH72" s="2936"/>
      <c r="JOI72" s="2936"/>
      <c r="JOJ72" s="2936"/>
      <c r="JOK72" s="2936"/>
      <c r="JOL72" s="2936"/>
      <c r="JOM72" s="2936"/>
      <c r="JON72" s="2936"/>
      <c r="JOO72" s="2936"/>
      <c r="JOP72" s="2936"/>
      <c r="JOQ72" s="2936"/>
      <c r="JOR72" s="2936"/>
      <c r="JOS72" s="2936"/>
      <c r="JOT72" s="2936"/>
      <c r="JOU72" s="2936"/>
      <c r="JOV72" s="2936"/>
      <c r="JOW72" s="2936"/>
      <c r="JOX72" s="2936"/>
      <c r="JOY72" s="2936"/>
      <c r="JOZ72" s="2936"/>
      <c r="JPA72" s="2936"/>
      <c r="JPB72" s="2936"/>
      <c r="JPC72" s="2936"/>
      <c r="JPD72" s="2936"/>
      <c r="JPE72" s="2936"/>
      <c r="JPF72" s="2936"/>
      <c r="JPG72" s="2936"/>
      <c r="JPH72" s="2936"/>
      <c r="JPI72" s="2936"/>
      <c r="JPJ72" s="2936"/>
      <c r="JPK72" s="2936"/>
      <c r="JPL72" s="2936"/>
      <c r="JPM72" s="2936"/>
      <c r="JPN72" s="2936"/>
      <c r="JPO72" s="2936"/>
      <c r="JPP72" s="2936"/>
      <c r="JPQ72" s="2936"/>
      <c r="JPR72" s="2936"/>
      <c r="JPS72" s="2936"/>
      <c r="JPT72" s="2936"/>
      <c r="JPU72" s="2936"/>
      <c r="JPV72" s="2936"/>
      <c r="JPW72" s="2936"/>
      <c r="JPX72" s="2936"/>
      <c r="JPY72" s="2936"/>
      <c r="JPZ72" s="2936"/>
      <c r="JQA72" s="2936"/>
      <c r="JQB72" s="2936"/>
      <c r="JQC72" s="2936"/>
      <c r="JQD72" s="2936"/>
      <c r="JQE72" s="2936"/>
      <c r="JQF72" s="2936"/>
      <c r="JQG72" s="2936"/>
      <c r="JQH72" s="2936"/>
      <c r="JQI72" s="2936"/>
      <c r="JQJ72" s="2936"/>
      <c r="JQK72" s="2936"/>
      <c r="JQL72" s="2936"/>
      <c r="JQM72" s="2936"/>
      <c r="JQN72" s="2936"/>
      <c r="JQO72" s="2936"/>
      <c r="JQP72" s="2936"/>
      <c r="JQQ72" s="2936"/>
      <c r="JQR72" s="2936"/>
      <c r="JQS72" s="2936"/>
      <c r="JQT72" s="2936"/>
      <c r="JQU72" s="2936"/>
      <c r="JQV72" s="2936"/>
      <c r="JQW72" s="2936"/>
      <c r="JQX72" s="2936"/>
      <c r="JQY72" s="2936"/>
      <c r="JQZ72" s="2936"/>
      <c r="JRA72" s="2936"/>
      <c r="JRB72" s="2936"/>
      <c r="JRC72" s="2936"/>
      <c r="JRD72" s="2936"/>
      <c r="JRE72" s="2936"/>
      <c r="JRF72" s="2936"/>
      <c r="JRG72" s="2936"/>
      <c r="JRH72" s="2936"/>
      <c r="JRI72" s="2936"/>
      <c r="JRJ72" s="2936"/>
      <c r="JRK72" s="2936"/>
      <c r="JRL72" s="2936"/>
      <c r="JRM72" s="2936"/>
      <c r="JRN72" s="2936"/>
      <c r="JRO72" s="2936"/>
      <c r="JRP72" s="2936"/>
      <c r="JRQ72" s="2936"/>
      <c r="JRR72" s="2936"/>
      <c r="JRS72" s="2936"/>
      <c r="JRT72" s="2936"/>
      <c r="JRU72" s="2936"/>
      <c r="JRV72" s="2936"/>
      <c r="JRW72" s="2936"/>
      <c r="JRX72" s="2936"/>
      <c r="JRY72" s="2936"/>
      <c r="JRZ72" s="2936"/>
      <c r="JSA72" s="2936"/>
      <c r="JSB72" s="2936"/>
      <c r="JSC72" s="2936"/>
      <c r="JSD72" s="2936"/>
      <c r="JSE72" s="2936"/>
      <c r="JSF72" s="2936"/>
      <c r="JSG72" s="2936"/>
      <c r="JSH72" s="2936"/>
      <c r="JSI72" s="2936"/>
      <c r="JSJ72" s="2936"/>
      <c r="JSK72" s="2936"/>
      <c r="JSL72" s="2936"/>
      <c r="JSM72" s="2936"/>
      <c r="JSN72" s="2936"/>
      <c r="JSO72" s="2936"/>
      <c r="JSP72" s="2936"/>
      <c r="JSQ72" s="2936"/>
      <c r="JSR72" s="2936"/>
      <c r="JSS72" s="2936"/>
      <c r="JST72" s="2936"/>
      <c r="JSU72" s="2936"/>
      <c r="JSV72" s="2936"/>
      <c r="JSW72" s="2936"/>
      <c r="JSX72" s="2936"/>
      <c r="JSY72" s="2936"/>
      <c r="JSZ72" s="2936"/>
      <c r="JTA72" s="2936"/>
      <c r="JTB72" s="2936"/>
      <c r="JTC72" s="2936"/>
      <c r="JTD72" s="2936"/>
      <c r="JTE72" s="2936"/>
      <c r="JTF72" s="2936"/>
      <c r="JTG72" s="2936"/>
      <c r="JTH72" s="2936"/>
      <c r="JTI72" s="2936"/>
      <c r="JTJ72" s="2936"/>
      <c r="JTK72" s="2936"/>
      <c r="JTL72" s="2936"/>
      <c r="JTM72" s="2936"/>
      <c r="JTN72" s="2936"/>
      <c r="JTO72" s="2936"/>
      <c r="JTP72" s="2936"/>
      <c r="JTQ72" s="2936"/>
      <c r="JTR72" s="2936"/>
      <c r="JTS72" s="2936"/>
      <c r="JTT72" s="2936"/>
      <c r="JTU72" s="2936"/>
      <c r="JTV72" s="2936"/>
      <c r="JTW72" s="2936"/>
      <c r="JTX72" s="2936"/>
      <c r="JTY72" s="2936"/>
      <c r="JTZ72" s="2936"/>
      <c r="JUA72" s="2936"/>
      <c r="JUB72" s="2936"/>
      <c r="JUC72" s="2936"/>
      <c r="JUD72" s="2936"/>
      <c r="JUE72" s="2936"/>
      <c r="JUF72" s="2936"/>
      <c r="JUG72" s="2936"/>
      <c r="JUH72" s="2936"/>
      <c r="JUI72" s="2936"/>
      <c r="JUJ72" s="2936"/>
      <c r="JUK72" s="2936"/>
      <c r="JUL72" s="2936"/>
      <c r="JUM72" s="2936"/>
      <c r="JUN72" s="2936"/>
      <c r="JUO72" s="2936"/>
      <c r="JUP72" s="2936"/>
      <c r="JUQ72" s="2936"/>
      <c r="JUR72" s="2936"/>
      <c r="JUS72" s="2936"/>
      <c r="JUT72" s="2936"/>
      <c r="JUU72" s="2936"/>
      <c r="JUV72" s="2936"/>
      <c r="JUW72" s="2936"/>
      <c r="JUX72" s="2936"/>
      <c r="JUY72" s="2936"/>
      <c r="JUZ72" s="2936"/>
      <c r="JVA72" s="2936"/>
      <c r="JVB72" s="2936"/>
      <c r="JVC72" s="2936"/>
      <c r="JVD72" s="2936"/>
      <c r="JVE72" s="2936"/>
      <c r="JVF72" s="2936"/>
      <c r="JVG72" s="2936"/>
      <c r="JVH72" s="2936"/>
      <c r="JVI72" s="2936"/>
      <c r="JVJ72" s="2936"/>
      <c r="JVK72" s="2936"/>
      <c r="JVL72" s="2936"/>
      <c r="JVM72" s="2936"/>
      <c r="JVN72" s="2936"/>
      <c r="JVO72" s="2936"/>
      <c r="JVP72" s="2936"/>
      <c r="JVQ72" s="2936"/>
      <c r="JVR72" s="2936"/>
      <c r="JVS72" s="2936"/>
      <c r="JVT72" s="2936"/>
      <c r="JVU72" s="2936"/>
      <c r="JVV72" s="2936"/>
      <c r="JVW72" s="2936"/>
      <c r="JVX72" s="2936"/>
      <c r="JVY72" s="2936"/>
      <c r="JVZ72" s="2936"/>
      <c r="JWA72" s="2936"/>
      <c r="JWB72" s="2936"/>
      <c r="JWC72" s="2936"/>
      <c r="JWD72" s="2936"/>
      <c r="JWE72" s="2936"/>
      <c r="JWF72" s="2936"/>
      <c r="JWG72" s="2936"/>
      <c r="JWH72" s="2936"/>
      <c r="JWI72" s="2936"/>
      <c r="JWJ72" s="2936"/>
      <c r="JWK72" s="2936"/>
      <c r="JWL72" s="2936"/>
      <c r="JWM72" s="2936"/>
      <c r="JWN72" s="2936"/>
      <c r="JWO72" s="2936"/>
      <c r="JWP72" s="2936"/>
      <c r="JWQ72" s="2936"/>
      <c r="JWR72" s="2936"/>
      <c r="JWS72" s="2936"/>
      <c r="JWT72" s="2936"/>
      <c r="JWU72" s="2936"/>
      <c r="JWV72" s="2936"/>
      <c r="JWW72" s="2936"/>
      <c r="JWX72" s="2936"/>
      <c r="JWY72" s="2936"/>
      <c r="JWZ72" s="2936"/>
      <c r="JXA72" s="2936"/>
      <c r="JXB72" s="2936"/>
      <c r="JXC72" s="2936"/>
      <c r="JXD72" s="2936"/>
      <c r="JXE72" s="2936"/>
      <c r="JXF72" s="2936"/>
      <c r="JXG72" s="2936"/>
      <c r="JXH72" s="2936"/>
      <c r="JXI72" s="2936"/>
      <c r="JXJ72" s="2936"/>
      <c r="JXK72" s="2936"/>
      <c r="JXL72" s="2936"/>
      <c r="JXM72" s="2936"/>
      <c r="JXN72" s="2936"/>
      <c r="JXO72" s="2936"/>
      <c r="JXP72" s="2936"/>
      <c r="JXQ72" s="2936"/>
      <c r="JXR72" s="2936"/>
      <c r="JXS72" s="2936"/>
      <c r="JXT72" s="2936"/>
      <c r="JXU72" s="2936"/>
      <c r="JXV72" s="2936"/>
      <c r="JXW72" s="2936"/>
      <c r="JXX72" s="2936"/>
      <c r="JXY72" s="2936"/>
      <c r="JXZ72" s="2936"/>
      <c r="JYA72" s="2936"/>
      <c r="JYB72" s="2936"/>
      <c r="JYC72" s="2936"/>
      <c r="JYD72" s="2936"/>
      <c r="JYE72" s="2936"/>
      <c r="JYF72" s="2936"/>
      <c r="JYG72" s="2936"/>
      <c r="JYH72" s="2936"/>
      <c r="JYI72" s="2936"/>
      <c r="JYJ72" s="2936"/>
      <c r="JYK72" s="2936"/>
      <c r="JYL72" s="2936"/>
      <c r="JYM72" s="2936"/>
      <c r="JYN72" s="2936"/>
      <c r="JYO72" s="2936"/>
      <c r="JYP72" s="2936"/>
      <c r="JYQ72" s="2936"/>
      <c r="JYR72" s="2936"/>
      <c r="JYS72" s="2936"/>
      <c r="JYT72" s="2936"/>
      <c r="JYU72" s="2936"/>
      <c r="JYV72" s="2936"/>
      <c r="JYW72" s="2936"/>
      <c r="JYX72" s="2936"/>
      <c r="JYY72" s="2936"/>
      <c r="JYZ72" s="2936"/>
      <c r="JZA72" s="2936"/>
      <c r="JZB72" s="2936"/>
      <c r="JZC72" s="2936"/>
      <c r="JZD72" s="2936"/>
      <c r="JZE72" s="2936"/>
      <c r="JZF72" s="2936"/>
      <c r="JZG72" s="2936"/>
      <c r="JZH72" s="2936"/>
      <c r="JZI72" s="2936"/>
      <c r="JZJ72" s="2936"/>
      <c r="JZK72" s="2936"/>
      <c r="JZL72" s="2936"/>
      <c r="JZM72" s="2936"/>
      <c r="JZN72" s="2936"/>
      <c r="JZO72" s="2936"/>
      <c r="JZP72" s="2936"/>
      <c r="JZQ72" s="2936"/>
      <c r="JZR72" s="2936"/>
      <c r="JZS72" s="2936"/>
      <c r="JZT72" s="2936"/>
      <c r="JZU72" s="2936"/>
      <c r="JZV72" s="2936"/>
      <c r="JZW72" s="2936"/>
      <c r="JZX72" s="2936"/>
      <c r="JZY72" s="2936"/>
      <c r="JZZ72" s="2936"/>
      <c r="KAA72" s="2936"/>
      <c r="KAB72" s="2936"/>
      <c r="KAC72" s="2936"/>
      <c r="KAD72" s="2936"/>
      <c r="KAE72" s="2936"/>
      <c r="KAF72" s="2936"/>
      <c r="KAG72" s="2936"/>
      <c r="KAH72" s="2936"/>
      <c r="KAI72" s="2936"/>
      <c r="KAJ72" s="2936"/>
      <c r="KAK72" s="2936"/>
      <c r="KAL72" s="2936"/>
      <c r="KAM72" s="2936"/>
      <c r="KAN72" s="2936"/>
      <c r="KAO72" s="2936"/>
      <c r="KAP72" s="2936"/>
      <c r="KAQ72" s="2936"/>
      <c r="KAR72" s="2936"/>
      <c r="KAS72" s="2936"/>
      <c r="KAT72" s="2936"/>
      <c r="KAU72" s="2936"/>
      <c r="KAV72" s="2936"/>
      <c r="KAW72" s="2936"/>
      <c r="KAX72" s="2936"/>
      <c r="KAY72" s="2936"/>
      <c r="KAZ72" s="2936"/>
      <c r="KBA72" s="2936"/>
      <c r="KBB72" s="2936"/>
      <c r="KBC72" s="2936"/>
      <c r="KBD72" s="2936"/>
      <c r="KBE72" s="2936"/>
      <c r="KBF72" s="2936"/>
      <c r="KBG72" s="2936"/>
      <c r="KBH72" s="2936"/>
      <c r="KBI72" s="2936"/>
      <c r="KBJ72" s="2936"/>
      <c r="KBK72" s="2936"/>
      <c r="KBL72" s="2936"/>
      <c r="KBM72" s="2936"/>
      <c r="KBN72" s="2936"/>
      <c r="KBO72" s="2936"/>
      <c r="KBP72" s="2936"/>
      <c r="KBQ72" s="2936"/>
      <c r="KBR72" s="2936"/>
      <c r="KBS72" s="2936"/>
      <c r="KBT72" s="2936"/>
      <c r="KBU72" s="2936"/>
      <c r="KBV72" s="2936"/>
      <c r="KBW72" s="2936"/>
      <c r="KBX72" s="2936"/>
      <c r="KBY72" s="2936"/>
      <c r="KBZ72" s="2936"/>
      <c r="KCA72" s="2936"/>
      <c r="KCB72" s="2936"/>
      <c r="KCC72" s="2936"/>
      <c r="KCD72" s="2936"/>
      <c r="KCE72" s="2936"/>
      <c r="KCF72" s="2936"/>
      <c r="KCG72" s="2936"/>
      <c r="KCH72" s="2936"/>
      <c r="KCI72" s="2936"/>
      <c r="KCJ72" s="2936"/>
      <c r="KCK72" s="2936"/>
      <c r="KCL72" s="2936"/>
      <c r="KCM72" s="2936"/>
      <c r="KCN72" s="2936"/>
      <c r="KCO72" s="2936"/>
      <c r="KCP72" s="2936"/>
      <c r="KCQ72" s="2936"/>
      <c r="KCR72" s="2936"/>
      <c r="KCS72" s="2936"/>
      <c r="KCT72" s="2936"/>
      <c r="KCU72" s="2936"/>
      <c r="KCV72" s="2936"/>
      <c r="KCW72" s="2936"/>
      <c r="KCX72" s="2936"/>
      <c r="KCY72" s="2936"/>
      <c r="KCZ72" s="2936"/>
      <c r="KDA72" s="2936"/>
      <c r="KDB72" s="2936"/>
      <c r="KDC72" s="2936"/>
      <c r="KDD72" s="2936"/>
      <c r="KDE72" s="2936"/>
      <c r="KDF72" s="2936"/>
      <c r="KDG72" s="2936"/>
      <c r="KDH72" s="2936"/>
      <c r="KDI72" s="2936"/>
      <c r="KDJ72" s="2936"/>
      <c r="KDK72" s="2936"/>
      <c r="KDL72" s="2936"/>
      <c r="KDM72" s="2936"/>
      <c r="KDN72" s="2936"/>
      <c r="KDO72" s="2936"/>
      <c r="KDP72" s="2936"/>
      <c r="KDQ72" s="2936"/>
      <c r="KDR72" s="2936"/>
      <c r="KDS72" s="2936"/>
      <c r="KDT72" s="2936"/>
      <c r="KDU72" s="2936"/>
      <c r="KDV72" s="2936"/>
      <c r="KDW72" s="2936"/>
      <c r="KDX72" s="2936"/>
      <c r="KDY72" s="2936"/>
      <c r="KDZ72" s="2936"/>
      <c r="KEA72" s="2936"/>
      <c r="KEB72" s="2936"/>
      <c r="KEC72" s="2936"/>
      <c r="KED72" s="2936"/>
      <c r="KEE72" s="2936"/>
      <c r="KEF72" s="2936"/>
      <c r="KEG72" s="2936"/>
      <c r="KEH72" s="2936"/>
      <c r="KEI72" s="2936"/>
      <c r="KEJ72" s="2936"/>
      <c r="KEK72" s="2936"/>
      <c r="KEL72" s="2936"/>
      <c r="KEM72" s="2936"/>
      <c r="KEN72" s="2936"/>
      <c r="KEO72" s="2936"/>
      <c r="KEP72" s="2936"/>
      <c r="KEQ72" s="2936"/>
      <c r="KER72" s="2936"/>
      <c r="KES72" s="2936"/>
      <c r="KET72" s="2936"/>
      <c r="KEU72" s="2936"/>
      <c r="KEV72" s="2936"/>
      <c r="KEW72" s="2936"/>
      <c r="KEX72" s="2936"/>
      <c r="KEY72" s="2936"/>
      <c r="KEZ72" s="2936"/>
      <c r="KFA72" s="2936"/>
      <c r="KFB72" s="2936"/>
      <c r="KFC72" s="2936"/>
      <c r="KFD72" s="2936"/>
      <c r="KFE72" s="2936"/>
      <c r="KFF72" s="2936"/>
      <c r="KFG72" s="2936"/>
      <c r="KFH72" s="2936"/>
      <c r="KFI72" s="2936"/>
      <c r="KFJ72" s="2936"/>
      <c r="KFK72" s="2936"/>
      <c r="KFL72" s="2936"/>
      <c r="KFM72" s="2936"/>
      <c r="KFN72" s="2936"/>
      <c r="KFO72" s="2936"/>
      <c r="KFP72" s="2936"/>
      <c r="KFQ72" s="2936"/>
      <c r="KFR72" s="2936"/>
      <c r="KFS72" s="2936"/>
      <c r="KFT72" s="2936"/>
      <c r="KFU72" s="2936"/>
      <c r="KFV72" s="2936"/>
      <c r="KFW72" s="2936"/>
      <c r="KFX72" s="2936"/>
      <c r="KFY72" s="2936"/>
      <c r="KFZ72" s="2936"/>
      <c r="KGA72" s="2936"/>
      <c r="KGB72" s="2936"/>
      <c r="KGC72" s="2936"/>
      <c r="KGD72" s="2936"/>
      <c r="KGE72" s="2936"/>
      <c r="KGF72" s="2936"/>
      <c r="KGG72" s="2936"/>
      <c r="KGH72" s="2936"/>
      <c r="KGI72" s="2936"/>
      <c r="KGJ72" s="2936"/>
      <c r="KGK72" s="2936"/>
      <c r="KGL72" s="2936"/>
      <c r="KGM72" s="2936"/>
      <c r="KGN72" s="2936"/>
      <c r="KGO72" s="2936"/>
      <c r="KGP72" s="2936"/>
      <c r="KGQ72" s="2936"/>
      <c r="KGR72" s="2936"/>
      <c r="KGS72" s="2936"/>
      <c r="KGT72" s="2936"/>
      <c r="KGU72" s="2936"/>
      <c r="KGV72" s="2936"/>
      <c r="KGW72" s="2936"/>
      <c r="KGX72" s="2936"/>
      <c r="KGY72" s="2936"/>
      <c r="KGZ72" s="2936"/>
      <c r="KHA72" s="2936"/>
      <c r="KHB72" s="2936"/>
      <c r="KHC72" s="2936"/>
      <c r="KHD72" s="2936"/>
      <c r="KHE72" s="2936"/>
      <c r="KHF72" s="2936"/>
      <c r="KHG72" s="2936"/>
      <c r="KHH72" s="2936"/>
      <c r="KHI72" s="2936"/>
      <c r="KHJ72" s="2936"/>
      <c r="KHK72" s="2936"/>
      <c r="KHL72" s="2936"/>
      <c r="KHM72" s="2936"/>
      <c r="KHN72" s="2936"/>
      <c r="KHO72" s="2936"/>
      <c r="KHP72" s="2936"/>
      <c r="KHQ72" s="2936"/>
      <c r="KHR72" s="2936"/>
      <c r="KHS72" s="2936"/>
      <c r="KHT72" s="2936"/>
      <c r="KHU72" s="2936"/>
      <c r="KHV72" s="2936"/>
      <c r="KHW72" s="2936"/>
      <c r="KHX72" s="2936"/>
      <c r="KHY72" s="2936"/>
      <c r="KHZ72" s="2936"/>
      <c r="KIA72" s="2936"/>
      <c r="KIB72" s="2936"/>
      <c r="KIC72" s="2936"/>
      <c r="KID72" s="2936"/>
      <c r="KIE72" s="2936"/>
      <c r="KIF72" s="2936"/>
      <c r="KIG72" s="2936"/>
      <c r="KIH72" s="2936"/>
      <c r="KII72" s="2936"/>
      <c r="KIJ72" s="2936"/>
      <c r="KIK72" s="2936"/>
      <c r="KIL72" s="2936"/>
      <c r="KIM72" s="2936"/>
      <c r="KIN72" s="2936"/>
      <c r="KIO72" s="2936"/>
      <c r="KIP72" s="2936"/>
      <c r="KIQ72" s="2936"/>
      <c r="KIR72" s="2936"/>
      <c r="KIS72" s="2936"/>
      <c r="KIT72" s="2936"/>
      <c r="KIU72" s="2936"/>
      <c r="KIV72" s="2936"/>
      <c r="KIW72" s="2936"/>
      <c r="KIX72" s="2936"/>
      <c r="KIY72" s="2936"/>
      <c r="KIZ72" s="2936"/>
      <c r="KJA72" s="2936"/>
      <c r="KJB72" s="2936"/>
      <c r="KJC72" s="2936"/>
      <c r="KJD72" s="2936"/>
      <c r="KJE72" s="2936"/>
      <c r="KJF72" s="2936"/>
      <c r="KJG72" s="2936"/>
      <c r="KJH72" s="2936"/>
      <c r="KJI72" s="2936"/>
      <c r="KJJ72" s="2936"/>
      <c r="KJK72" s="2936"/>
      <c r="KJL72" s="2936"/>
      <c r="KJM72" s="2936"/>
      <c r="KJN72" s="2936"/>
      <c r="KJO72" s="2936"/>
      <c r="KJP72" s="2936"/>
      <c r="KJQ72" s="2936"/>
      <c r="KJR72" s="2936"/>
      <c r="KJS72" s="2936"/>
      <c r="KJT72" s="2936"/>
      <c r="KJU72" s="2936"/>
      <c r="KJV72" s="2936"/>
      <c r="KJW72" s="2936"/>
      <c r="KJX72" s="2936"/>
      <c r="KJY72" s="2936"/>
      <c r="KJZ72" s="2936"/>
      <c r="KKA72" s="2936"/>
      <c r="KKB72" s="2936"/>
      <c r="KKC72" s="2936"/>
      <c r="KKD72" s="2936"/>
      <c r="KKE72" s="2936"/>
      <c r="KKF72" s="2936"/>
      <c r="KKG72" s="2936"/>
      <c r="KKH72" s="2936"/>
      <c r="KKI72" s="2936"/>
      <c r="KKJ72" s="2936"/>
      <c r="KKK72" s="2936"/>
      <c r="KKL72" s="2936"/>
      <c r="KKM72" s="2936"/>
      <c r="KKN72" s="2936"/>
      <c r="KKO72" s="2936"/>
      <c r="KKP72" s="2936"/>
      <c r="KKQ72" s="2936"/>
      <c r="KKR72" s="2936"/>
      <c r="KKS72" s="2936"/>
      <c r="KKT72" s="2936"/>
      <c r="KKU72" s="2936"/>
      <c r="KKV72" s="2936"/>
      <c r="KKW72" s="2936"/>
      <c r="KKX72" s="2936"/>
      <c r="KKY72" s="2936"/>
      <c r="KKZ72" s="2936"/>
      <c r="KLA72" s="2936"/>
      <c r="KLB72" s="2936"/>
      <c r="KLC72" s="2936"/>
      <c r="KLD72" s="2936"/>
      <c r="KLE72" s="2936"/>
      <c r="KLF72" s="2936"/>
      <c r="KLG72" s="2936"/>
      <c r="KLH72" s="2936"/>
      <c r="KLI72" s="2936"/>
      <c r="KLJ72" s="2936"/>
      <c r="KLK72" s="2936"/>
      <c r="KLL72" s="2936"/>
      <c r="KLM72" s="2936"/>
      <c r="KLN72" s="2936"/>
      <c r="KLO72" s="2936"/>
      <c r="KLP72" s="2936"/>
      <c r="KLQ72" s="2936"/>
      <c r="KLR72" s="2936"/>
      <c r="KLS72" s="2936"/>
      <c r="KLT72" s="2936"/>
      <c r="KLU72" s="2936"/>
      <c r="KLV72" s="2936"/>
      <c r="KLW72" s="2936"/>
      <c r="KLX72" s="2936"/>
      <c r="KLY72" s="2936"/>
      <c r="KLZ72" s="2936"/>
      <c r="KMA72" s="2936"/>
      <c r="KMB72" s="2936"/>
      <c r="KMC72" s="2936"/>
      <c r="KMD72" s="2936"/>
      <c r="KME72" s="2936"/>
      <c r="KMF72" s="2936"/>
      <c r="KMG72" s="2936"/>
      <c r="KMH72" s="2936"/>
      <c r="KMI72" s="2936"/>
      <c r="KMJ72" s="2936"/>
      <c r="KMK72" s="2936"/>
      <c r="KML72" s="2936"/>
      <c r="KMM72" s="2936"/>
      <c r="KMN72" s="2936"/>
      <c r="KMO72" s="2936"/>
      <c r="KMP72" s="2936"/>
      <c r="KMQ72" s="2936"/>
      <c r="KMR72" s="2936"/>
      <c r="KMS72" s="2936"/>
      <c r="KMT72" s="2936"/>
      <c r="KMU72" s="2936"/>
      <c r="KMV72" s="2936"/>
      <c r="KMW72" s="2936"/>
      <c r="KMX72" s="2936"/>
      <c r="KMY72" s="2936"/>
      <c r="KMZ72" s="2936"/>
      <c r="KNA72" s="2936"/>
      <c r="KNB72" s="2936"/>
      <c r="KNC72" s="2936"/>
      <c r="KND72" s="2936"/>
      <c r="KNE72" s="2936"/>
      <c r="KNF72" s="2936"/>
      <c r="KNG72" s="2936"/>
      <c r="KNH72" s="2936"/>
      <c r="KNI72" s="2936"/>
      <c r="KNJ72" s="2936"/>
      <c r="KNK72" s="2936"/>
      <c r="KNL72" s="2936"/>
      <c r="KNM72" s="2936"/>
      <c r="KNN72" s="2936"/>
      <c r="KNO72" s="2936"/>
      <c r="KNP72" s="2936"/>
      <c r="KNQ72" s="2936"/>
      <c r="KNR72" s="2936"/>
      <c r="KNS72" s="2936"/>
      <c r="KNT72" s="2936"/>
      <c r="KNU72" s="2936"/>
      <c r="KNV72" s="2936"/>
      <c r="KNW72" s="2936"/>
      <c r="KNX72" s="2936"/>
      <c r="KNY72" s="2936"/>
      <c r="KNZ72" s="2936"/>
      <c r="KOA72" s="2936"/>
      <c r="KOB72" s="2936"/>
      <c r="KOC72" s="2936"/>
      <c r="KOD72" s="2936"/>
      <c r="KOE72" s="2936"/>
      <c r="KOF72" s="2936"/>
      <c r="KOG72" s="2936"/>
      <c r="KOH72" s="2936"/>
      <c r="KOI72" s="2936"/>
      <c r="KOJ72" s="2936"/>
      <c r="KOK72" s="2936"/>
      <c r="KOL72" s="2936"/>
      <c r="KOM72" s="2936"/>
      <c r="KON72" s="2936"/>
      <c r="KOO72" s="2936"/>
      <c r="KOP72" s="2936"/>
      <c r="KOQ72" s="2936"/>
      <c r="KOR72" s="2936"/>
      <c r="KOS72" s="2936"/>
      <c r="KOT72" s="2936"/>
      <c r="KOU72" s="2936"/>
      <c r="KOV72" s="2936"/>
      <c r="KOW72" s="2936"/>
      <c r="KOX72" s="2936"/>
      <c r="KOY72" s="2936"/>
      <c r="KOZ72" s="2936"/>
      <c r="KPA72" s="2936"/>
      <c r="KPB72" s="2936"/>
      <c r="KPC72" s="2936"/>
      <c r="KPD72" s="2936"/>
      <c r="KPE72" s="2936"/>
      <c r="KPF72" s="2936"/>
      <c r="KPG72" s="2936"/>
      <c r="KPH72" s="2936"/>
      <c r="KPI72" s="2936"/>
      <c r="KPJ72" s="2936"/>
      <c r="KPK72" s="2936"/>
      <c r="KPL72" s="2936"/>
      <c r="KPM72" s="2936"/>
      <c r="KPN72" s="2936"/>
      <c r="KPO72" s="2936"/>
      <c r="KPP72" s="2936"/>
      <c r="KPQ72" s="2936"/>
      <c r="KPR72" s="2936"/>
      <c r="KPS72" s="2936"/>
      <c r="KPT72" s="2936"/>
      <c r="KPU72" s="2936"/>
      <c r="KPV72" s="2936"/>
      <c r="KPW72" s="2936"/>
      <c r="KPX72" s="2936"/>
      <c r="KPY72" s="2936"/>
      <c r="KPZ72" s="2936"/>
      <c r="KQA72" s="2936"/>
      <c r="KQB72" s="2936"/>
      <c r="KQC72" s="2936"/>
      <c r="KQD72" s="2936"/>
      <c r="KQE72" s="2936"/>
      <c r="KQF72" s="2936"/>
      <c r="KQG72" s="2936"/>
      <c r="KQH72" s="2936"/>
      <c r="KQI72" s="2936"/>
      <c r="KQJ72" s="2936"/>
      <c r="KQK72" s="2936"/>
      <c r="KQL72" s="2936"/>
      <c r="KQM72" s="2936"/>
      <c r="KQN72" s="2936"/>
      <c r="KQO72" s="2936"/>
      <c r="KQP72" s="2936"/>
      <c r="KQQ72" s="2936"/>
      <c r="KQR72" s="2936"/>
      <c r="KQS72" s="2936"/>
      <c r="KQT72" s="2936"/>
      <c r="KQU72" s="2936"/>
      <c r="KQV72" s="2936"/>
      <c r="KQW72" s="2936"/>
      <c r="KQX72" s="2936"/>
      <c r="KQY72" s="2936"/>
      <c r="KQZ72" s="2936"/>
      <c r="KRA72" s="2936"/>
      <c r="KRB72" s="2936"/>
      <c r="KRC72" s="2936"/>
      <c r="KRD72" s="2936"/>
      <c r="KRE72" s="2936"/>
      <c r="KRF72" s="2936"/>
      <c r="KRG72" s="2936"/>
      <c r="KRH72" s="2936"/>
      <c r="KRI72" s="2936"/>
      <c r="KRJ72" s="2936"/>
      <c r="KRK72" s="2936"/>
      <c r="KRL72" s="2936"/>
      <c r="KRM72" s="2936"/>
      <c r="KRN72" s="2936"/>
      <c r="KRO72" s="2936"/>
      <c r="KRP72" s="2936"/>
      <c r="KRQ72" s="2936"/>
      <c r="KRR72" s="2936"/>
      <c r="KRS72" s="2936"/>
      <c r="KRT72" s="2936"/>
      <c r="KRU72" s="2936"/>
      <c r="KRV72" s="2936"/>
      <c r="KRW72" s="2936"/>
      <c r="KRX72" s="2936"/>
      <c r="KRY72" s="2936"/>
      <c r="KRZ72" s="2936"/>
      <c r="KSA72" s="2936"/>
      <c r="KSB72" s="2936"/>
      <c r="KSC72" s="2936"/>
      <c r="KSD72" s="2936"/>
      <c r="KSE72" s="2936"/>
      <c r="KSF72" s="2936"/>
      <c r="KSG72" s="2936"/>
      <c r="KSH72" s="2936"/>
      <c r="KSI72" s="2936"/>
      <c r="KSJ72" s="2936"/>
      <c r="KSK72" s="2936"/>
      <c r="KSL72" s="2936"/>
      <c r="KSM72" s="2936"/>
      <c r="KSN72" s="2936"/>
      <c r="KSO72" s="2936"/>
      <c r="KSP72" s="2936"/>
      <c r="KSQ72" s="2936"/>
      <c r="KSR72" s="2936"/>
      <c r="KSS72" s="2936"/>
      <c r="KST72" s="2936"/>
      <c r="KSU72" s="2936"/>
      <c r="KSV72" s="2936"/>
      <c r="KSW72" s="2936"/>
      <c r="KSX72" s="2936"/>
      <c r="KSY72" s="2936"/>
      <c r="KSZ72" s="2936"/>
      <c r="KTA72" s="2936"/>
      <c r="KTB72" s="2936"/>
      <c r="KTC72" s="2936"/>
      <c r="KTD72" s="2936"/>
      <c r="KTE72" s="2936"/>
      <c r="KTF72" s="2936"/>
      <c r="KTG72" s="2936"/>
      <c r="KTH72" s="2936"/>
      <c r="KTI72" s="2936"/>
      <c r="KTJ72" s="2936"/>
      <c r="KTK72" s="2936"/>
      <c r="KTL72" s="2936"/>
      <c r="KTM72" s="2936"/>
      <c r="KTN72" s="2936"/>
      <c r="KTO72" s="2936"/>
      <c r="KTP72" s="2936"/>
      <c r="KTQ72" s="2936"/>
      <c r="KTR72" s="2936"/>
      <c r="KTS72" s="2936"/>
      <c r="KTT72" s="2936"/>
      <c r="KTU72" s="2936"/>
      <c r="KTV72" s="2936"/>
      <c r="KTW72" s="2936"/>
      <c r="KTX72" s="2936"/>
      <c r="KTY72" s="2936"/>
      <c r="KTZ72" s="2936"/>
      <c r="KUA72" s="2936"/>
      <c r="KUB72" s="2936"/>
      <c r="KUC72" s="2936"/>
      <c r="KUD72" s="2936"/>
      <c r="KUE72" s="2936"/>
      <c r="KUF72" s="2936"/>
      <c r="KUG72" s="2936"/>
      <c r="KUH72" s="2936"/>
      <c r="KUI72" s="2936"/>
      <c r="KUJ72" s="2936"/>
      <c r="KUK72" s="2936"/>
      <c r="KUL72" s="2936"/>
      <c r="KUM72" s="2936"/>
      <c r="KUN72" s="2936"/>
      <c r="KUO72" s="2936"/>
      <c r="KUP72" s="2936"/>
      <c r="KUQ72" s="2936"/>
      <c r="KUR72" s="2936"/>
      <c r="KUS72" s="2936"/>
      <c r="KUT72" s="2936"/>
      <c r="KUU72" s="2936"/>
      <c r="KUV72" s="2936"/>
      <c r="KUW72" s="2936"/>
      <c r="KUX72" s="2936"/>
      <c r="KUY72" s="2936"/>
      <c r="KUZ72" s="2936"/>
      <c r="KVA72" s="2936"/>
      <c r="KVB72" s="2936"/>
      <c r="KVC72" s="2936"/>
      <c r="KVD72" s="2936"/>
      <c r="KVE72" s="2936"/>
      <c r="KVF72" s="2936"/>
      <c r="KVG72" s="2936"/>
      <c r="KVH72" s="2936"/>
      <c r="KVI72" s="2936"/>
      <c r="KVJ72" s="2936"/>
      <c r="KVK72" s="2936"/>
      <c r="KVL72" s="2936"/>
      <c r="KVM72" s="2936"/>
      <c r="KVN72" s="2936"/>
      <c r="KVO72" s="2936"/>
      <c r="KVP72" s="2936"/>
      <c r="KVQ72" s="2936"/>
      <c r="KVR72" s="2936"/>
      <c r="KVS72" s="2936"/>
      <c r="KVT72" s="2936"/>
      <c r="KVU72" s="2936"/>
      <c r="KVV72" s="2936"/>
      <c r="KVW72" s="2936"/>
      <c r="KVX72" s="2936"/>
      <c r="KVY72" s="2936"/>
      <c r="KVZ72" s="2936"/>
      <c r="KWA72" s="2936"/>
      <c r="KWB72" s="2936"/>
      <c r="KWC72" s="2936"/>
      <c r="KWD72" s="2936"/>
      <c r="KWE72" s="2936"/>
      <c r="KWF72" s="2936"/>
      <c r="KWG72" s="2936"/>
      <c r="KWH72" s="2936"/>
      <c r="KWI72" s="2936"/>
      <c r="KWJ72" s="2936"/>
      <c r="KWK72" s="2936"/>
      <c r="KWL72" s="2936"/>
      <c r="KWM72" s="2936"/>
      <c r="KWN72" s="2936"/>
      <c r="KWO72" s="2936"/>
      <c r="KWP72" s="2936"/>
      <c r="KWQ72" s="2936"/>
      <c r="KWR72" s="2936"/>
      <c r="KWS72" s="2936"/>
      <c r="KWT72" s="2936"/>
      <c r="KWU72" s="2936"/>
      <c r="KWV72" s="2936"/>
      <c r="KWW72" s="2936"/>
      <c r="KWX72" s="2936"/>
      <c r="KWY72" s="2936"/>
      <c r="KWZ72" s="2936"/>
      <c r="KXA72" s="2936"/>
      <c r="KXB72" s="2936"/>
      <c r="KXC72" s="2936"/>
      <c r="KXD72" s="2936"/>
      <c r="KXE72" s="2936"/>
      <c r="KXF72" s="2936"/>
      <c r="KXG72" s="2936"/>
      <c r="KXH72" s="2936"/>
      <c r="KXI72" s="2936"/>
      <c r="KXJ72" s="2936"/>
      <c r="KXK72" s="2936"/>
      <c r="KXL72" s="2936"/>
      <c r="KXM72" s="2936"/>
      <c r="KXN72" s="2936"/>
      <c r="KXO72" s="2936"/>
      <c r="KXP72" s="2936"/>
      <c r="KXQ72" s="2936"/>
      <c r="KXR72" s="2936"/>
      <c r="KXS72" s="2936"/>
      <c r="KXT72" s="2936"/>
      <c r="KXU72" s="2936"/>
      <c r="KXV72" s="2936"/>
      <c r="KXW72" s="2936"/>
      <c r="KXX72" s="2936"/>
      <c r="KXY72" s="2936"/>
      <c r="KXZ72" s="2936"/>
      <c r="KYA72" s="2936"/>
      <c r="KYB72" s="2936"/>
      <c r="KYC72" s="2936"/>
      <c r="KYD72" s="2936"/>
      <c r="KYE72" s="2936"/>
      <c r="KYF72" s="2936"/>
      <c r="KYG72" s="2936"/>
      <c r="KYH72" s="2936"/>
      <c r="KYI72" s="2936"/>
      <c r="KYJ72" s="2936"/>
      <c r="KYK72" s="2936"/>
      <c r="KYL72" s="2936"/>
      <c r="KYM72" s="2936"/>
      <c r="KYN72" s="2936"/>
      <c r="KYO72" s="2936"/>
      <c r="KYP72" s="2936"/>
      <c r="KYQ72" s="2936"/>
      <c r="KYR72" s="2936"/>
      <c r="KYS72" s="2936"/>
      <c r="KYT72" s="2936"/>
      <c r="KYU72" s="2936"/>
      <c r="KYV72" s="2936"/>
      <c r="KYW72" s="2936"/>
      <c r="KYX72" s="2936"/>
      <c r="KYY72" s="2936"/>
      <c r="KYZ72" s="2936"/>
      <c r="KZA72" s="2936"/>
      <c r="KZB72" s="2936"/>
      <c r="KZC72" s="2936"/>
      <c r="KZD72" s="2936"/>
      <c r="KZE72" s="2936"/>
      <c r="KZF72" s="2936"/>
      <c r="KZG72" s="2936"/>
      <c r="KZH72" s="2936"/>
      <c r="KZI72" s="2936"/>
      <c r="KZJ72" s="2936"/>
      <c r="KZK72" s="2936"/>
      <c r="KZL72" s="2936"/>
      <c r="KZM72" s="2936"/>
      <c r="KZN72" s="2936"/>
      <c r="KZO72" s="2936"/>
      <c r="KZP72" s="2936"/>
      <c r="KZQ72" s="2936"/>
      <c r="KZR72" s="2936"/>
      <c r="KZS72" s="2936"/>
      <c r="KZT72" s="2936"/>
      <c r="KZU72" s="2936"/>
      <c r="KZV72" s="2936"/>
      <c r="KZW72" s="2936"/>
      <c r="KZX72" s="2936"/>
      <c r="KZY72" s="2936"/>
      <c r="KZZ72" s="2936"/>
      <c r="LAA72" s="2936"/>
      <c r="LAB72" s="2936"/>
      <c r="LAC72" s="2936"/>
      <c r="LAD72" s="2936"/>
      <c r="LAE72" s="2936"/>
      <c r="LAF72" s="2936"/>
      <c r="LAG72" s="2936"/>
      <c r="LAH72" s="2936"/>
      <c r="LAI72" s="2936"/>
      <c r="LAJ72" s="2936"/>
      <c r="LAK72" s="2936"/>
      <c r="LAL72" s="2936"/>
      <c r="LAM72" s="2936"/>
      <c r="LAN72" s="2936"/>
      <c r="LAO72" s="2936"/>
      <c r="LAP72" s="2936"/>
      <c r="LAQ72" s="2936"/>
      <c r="LAR72" s="2936"/>
      <c r="LAS72" s="2936"/>
      <c r="LAT72" s="2936"/>
      <c r="LAU72" s="2936"/>
      <c r="LAV72" s="2936"/>
      <c r="LAW72" s="2936"/>
      <c r="LAX72" s="2936"/>
      <c r="LAY72" s="2936"/>
      <c r="LAZ72" s="2936"/>
      <c r="LBA72" s="2936"/>
      <c r="LBB72" s="2936"/>
      <c r="LBC72" s="2936"/>
      <c r="LBD72" s="2936"/>
      <c r="LBE72" s="2936"/>
      <c r="LBF72" s="2936"/>
      <c r="LBG72" s="2936"/>
      <c r="LBH72" s="2936"/>
      <c r="LBI72" s="2936"/>
      <c r="LBJ72" s="2936"/>
      <c r="LBK72" s="2936"/>
      <c r="LBL72" s="2936"/>
      <c r="LBM72" s="2936"/>
      <c r="LBN72" s="2936"/>
      <c r="LBO72" s="2936"/>
      <c r="LBP72" s="2936"/>
      <c r="LBQ72" s="2936"/>
      <c r="LBR72" s="2936"/>
      <c r="LBS72" s="2936"/>
      <c r="LBT72" s="2936"/>
      <c r="LBU72" s="2936"/>
      <c r="LBV72" s="2936"/>
      <c r="LBW72" s="2936"/>
      <c r="LBX72" s="2936"/>
      <c r="LBY72" s="2936"/>
      <c r="LBZ72" s="2936"/>
      <c r="LCA72" s="2936"/>
      <c r="LCB72" s="2936"/>
      <c r="LCC72" s="2936"/>
      <c r="LCD72" s="2936"/>
      <c r="LCE72" s="2936"/>
      <c r="LCF72" s="2936"/>
      <c r="LCG72" s="2936"/>
      <c r="LCH72" s="2936"/>
      <c r="LCI72" s="2936"/>
      <c r="LCJ72" s="2936"/>
      <c r="LCK72" s="2936"/>
      <c r="LCL72" s="2936"/>
      <c r="LCM72" s="2936"/>
      <c r="LCN72" s="2936"/>
      <c r="LCO72" s="2936"/>
      <c r="LCP72" s="2936"/>
      <c r="LCQ72" s="2936"/>
      <c r="LCR72" s="2936"/>
      <c r="LCS72" s="2936"/>
      <c r="LCT72" s="2936"/>
      <c r="LCU72" s="2936"/>
      <c r="LCV72" s="2936"/>
      <c r="LCW72" s="2936"/>
      <c r="LCX72" s="2936"/>
      <c r="LCY72" s="2936"/>
      <c r="LCZ72" s="2936"/>
      <c r="LDA72" s="2936"/>
      <c r="LDB72" s="2936"/>
      <c r="LDC72" s="2936"/>
      <c r="LDD72" s="2936"/>
      <c r="LDE72" s="2936"/>
      <c r="LDF72" s="2936"/>
      <c r="LDG72" s="2936"/>
      <c r="LDH72" s="2936"/>
      <c r="LDI72" s="2936"/>
      <c r="LDJ72" s="2936"/>
      <c r="LDK72" s="2936"/>
      <c r="LDL72" s="2936"/>
      <c r="LDM72" s="2936"/>
      <c r="LDN72" s="2936"/>
      <c r="LDO72" s="2936"/>
      <c r="LDP72" s="2936"/>
      <c r="LDQ72" s="2936"/>
      <c r="LDR72" s="2936"/>
      <c r="LDS72" s="2936"/>
      <c r="LDT72" s="2936"/>
      <c r="LDU72" s="2936"/>
      <c r="LDV72" s="2936"/>
      <c r="LDW72" s="2936"/>
      <c r="LDX72" s="2936"/>
      <c r="LDY72" s="2936"/>
      <c r="LDZ72" s="2936"/>
      <c r="LEA72" s="2936"/>
      <c r="LEB72" s="2936"/>
      <c r="LEC72" s="2936"/>
      <c r="LED72" s="2936"/>
      <c r="LEE72" s="2936"/>
      <c r="LEF72" s="2936"/>
      <c r="LEG72" s="2936"/>
      <c r="LEH72" s="2936"/>
      <c r="LEI72" s="2936"/>
      <c r="LEJ72" s="2936"/>
      <c r="LEK72" s="2936"/>
      <c r="LEL72" s="2936"/>
      <c r="LEM72" s="2936"/>
      <c r="LEN72" s="2936"/>
      <c r="LEO72" s="2936"/>
      <c r="LEP72" s="2936"/>
      <c r="LEQ72" s="2936"/>
      <c r="LER72" s="2936"/>
      <c r="LES72" s="2936"/>
      <c r="LET72" s="2936"/>
      <c r="LEU72" s="2936"/>
      <c r="LEV72" s="2936"/>
      <c r="LEW72" s="2936"/>
      <c r="LEX72" s="2936"/>
      <c r="LEY72" s="2936"/>
      <c r="LEZ72" s="2936"/>
      <c r="LFA72" s="2936"/>
      <c r="LFB72" s="2936"/>
      <c r="LFC72" s="2936"/>
      <c r="LFD72" s="2936"/>
      <c r="LFE72" s="2936"/>
      <c r="LFF72" s="2936"/>
      <c r="LFG72" s="2936"/>
      <c r="LFH72" s="2936"/>
      <c r="LFI72" s="2936"/>
      <c r="LFJ72" s="2936"/>
      <c r="LFK72" s="2936"/>
      <c r="LFL72" s="2936"/>
      <c r="LFM72" s="2936"/>
      <c r="LFN72" s="2936"/>
      <c r="LFO72" s="2936"/>
      <c r="LFP72" s="2936"/>
      <c r="LFQ72" s="2936"/>
      <c r="LFR72" s="2936"/>
      <c r="LFS72" s="2936"/>
      <c r="LFT72" s="2936"/>
      <c r="LFU72" s="2936"/>
      <c r="LFV72" s="2936"/>
      <c r="LFW72" s="2936"/>
      <c r="LFX72" s="2936"/>
      <c r="LFY72" s="2936"/>
      <c r="LFZ72" s="2936"/>
      <c r="LGA72" s="2936"/>
      <c r="LGB72" s="2936"/>
      <c r="LGC72" s="2936"/>
      <c r="LGD72" s="2936"/>
      <c r="LGE72" s="2936"/>
      <c r="LGF72" s="2936"/>
      <c r="LGG72" s="2936"/>
      <c r="LGH72" s="2936"/>
      <c r="LGI72" s="2936"/>
      <c r="LGJ72" s="2936"/>
      <c r="LGK72" s="2936"/>
      <c r="LGL72" s="2936"/>
      <c r="LGM72" s="2936"/>
      <c r="LGN72" s="2936"/>
      <c r="LGO72" s="2936"/>
      <c r="LGP72" s="2936"/>
      <c r="LGQ72" s="2936"/>
      <c r="LGR72" s="2936"/>
      <c r="LGS72" s="2936"/>
      <c r="LGT72" s="2936"/>
      <c r="LGU72" s="2936"/>
      <c r="LGV72" s="2936"/>
      <c r="LGW72" s="2936"/>
      <c r="LGX72" s="2936"/>
      <c r="LGY72" s="2936"/>
      <c r="LGZ72" s="2936"/>
      <c r="LHA72" s="2936"/>
      <c r="LHB72" s="2936"/>
      <c r="LHC72" s="2936"/>
      <c r="LHD72" s="2936"/>
      <c r="LHE72" s="2936"/>
      <c r="LHF72" s="2936"/>
      <c r="LHG72" s="2936"/>
      <c r="LHH72" s="2936"/>
      <c r="LHI72" s="2936"/>
      <c r="LHJ72" s="2936"/>
      <c r="LHK72" s="2936"/>
      <c r="LHL72" s="2936"/>
      <c r="LHM72" s="2936"/>
      <c r="LHN72" s="2936"/>
      <c r="LHO72" s="2936"/>
      <c r="LHP72" s="2936"/>
      <c r="LHQ72" s="2936"/>
      <c r="LHR72" s="2936"/>
      <c r="LHS72" s="2936"/>
      <c r="LHT72" s="2936"/>
      <c r="LHU72" s="2936"/>
      <c r="LHV72" s="2936"/>
      <c r="LHW72" s="2936"/>
      <c r="LHX72" s="2936"/>
      <c r="LHY72" s="2936"/>
      <c r="LHZ72" s="2936"/>
      <c r="LIA72" s="2936"/>
      <c r="LIB72" s="2936"/>
      <c r="LIC72" s="2936"/>
      <c r="LID72" s="2936"/>
      <c r="LIE72" s="2936"/>
      <c r="LIF72" s="2936"/>
      <c r="LIG72" s="2936"/>
      <c r="LIH72" s="2936"/>
      <c r="LII72" s="2936"/>
      <c r="LIJ72" s="2936"/>
      <c r="LIK72" s="2936"/>
      <c r="LIL72" s="2936"/>
      <c r="LIM72" s="2936"/>
      <c r="LIN72" s="2936"/>
      <c r="LIO72" s="2936"/>
      <c r="LIP72" s="2936"/>
      <c r="LIQ72" s="2936"/>
      <c r="LIR72" s="2936"/>
      <c r="LIS72" s="2936"/>
      <c r="LIT72" s="2936"/>
      <c r="LIU72" s="2936"/>
      <c r="LIV72" s="2936"/>
      <c r="LIW72" s="2936"/>
      <c r="LIX72" s="2936"/>
      <c r="LIY72" s="2936"/>
      <c r="LIZ72" s="2936"/>
      <c r="LJA72" s="2936"/>
      <c r="LJB72" s="2936"/>
      <c r="LJC72" s="2936"/>
      <c r="LJD72" s="2936"/>
      <c r="LJE72" s="2936"/>
      <c r="LJF72" s="2936"/>
      <c r="LJG72" s="2936"/>
      <c r="LJH72" s="2936"/>
      <c r="LJI72" s="2936"/>
      <c r="LJJ72" s="2936"/>
      <c r="LJK72" s="2936"/>
      <c r="LJL72" s="2936"/>
      <c r="LJM72" s="2936"/>
      <c r="LJN72" s="2936"/>
      <c r="LJO72" s="2936"/>
      <c r="LJP72" s="2936"/>
      <c r="LJQ72" s="2936"/>
      <c r="LJR72" s="2936"/>
      <c r="LJS72" s="2936"/>
      <c r="LJT72" s="2936"/>
      <c r="LJU72" s="2936"/>
      <c r="LJV72" s="2936"/>
      <c r="LJW72" s="2936"/>
      <c r="LJX72" s="2936"/>
      <c r="LJY72" s="2936"/>
      <c r="LJZ72" s="2936"/>
      <c r="LKA72" s="2936"/>
      <c r="LKB72" s="2936"/>
      <c r="LKC72" s="2936"/>
      <c r="LKD72" s="2936"/>
      <c r="LKE72" s="2936"/>
      <c r="LKF72" s="2936"/>
      <c r="LKG72" s="2936"/>
      <c r="LKH72" s="2936"/>
      <c r="LKI72" s="2936"/>
      <c r="LKJ72" s="2936"/>
      <c r="LKK72" s="2936"/>
      <c r="LKL72" s="2936"/>
      <c r="LKM72" s="2936"/>
      <c r="LKN72" s="2936"/>
      <c r="LKO72" s="2936"/>
      <c r="LKP72" s="2936"/>
      <c r="LKQ72" s="2936"/>
      <c r="LKR72" s="2936"/>
      <c r="LKS72" s="2936"/>
      <c r="LKT72" s="2936"/>
      <c r="LKU72" s="2936"/>
      <c r="LKV72" s="2936"/>
      <c r="LKW72" s="2936"/>
      <c r="LKX72" s="2936"/>
      <c r="LKY72" s="2936"/>
      <c r="LKZ72" s="2936"/>
      <c r="LLA72" s="2936"/>
      <c r="LLB72" s="2936"/>
      <c r="LLC72" s="2936"/>
      <c r="LLD72" s="2936"/>
      <c r="LLE72" s="2936"/>
      <c r="LLF72" s="2936"/>
      <c r="LLG72" s="2936"/>
      <c r="LLH72" s="2936"/>
      <c r="LLI72" s="2936"/>
      <c r="LLJ72" s="2936"/>
      <c r="LLK72" s="2936"/>
      <c r="LLL72" s="2936"/>
      <c r="LLM72" s="2936"/>
      <c r="LLN72" s="2936"/>
      <c r="LLO72" s="2936"/>
      <c r="LLP72" s="2936"/>
      <c r="LLQ72" s="2936"/>
      <c r="LLR72" s="2936"/>
      <c r="LLS72" s="2936"/>
      <c r="LLT72" s="2936"/>
      <c r="LLU72" s="2936"/>
      <c r="LLV72" s="2936"/>
      <c r="LLW72" s="2936"/>
      <c r="LLX72" s="2936"/>
      <c r="LLY72" s="2936"/>
      <c r="LLZ72" s="2936"/>
      <c r="LMA72" s="2936"/>
      <c r="LMB72" s="2936"/>
      <c r="LMC72" s="2936"/>
      <c r="LMD72" s="2936"/>
      <c r="LME72" s="2936"/>
      <c r="LMF72" s="2936"/>
      <c r="LMG72" s="2936"/>
      <c r="LMH72" s="2936"/>
      <c r="LMI72" s="2936"/>
      <c r="LMJ72" s="2936"/>
      <c r="LMK72" s="2936"/>
      <c r="LML72" s="2936"/>
      <c r="LMM72" s="2936"/>
      <c r="LMN72" s="2936"/>
      <c r="LMO72" s="2936"/>
      <c r="LMP72" s="2936"/>
      <c r="LMQ72" s="2936"/>
      <c r="LMR72" s="2936"/>
      <c r="LMS72" s="2936"/>
      <c r="LMT72" s="2936"/>
      <c r="LMU72" s="2936"/>
      <c r="LMV72" s="2936"/>
      <c r="LMW72" s="2936"/>
      <c r="LMX72" s="2936"/>
      <c r="LMY72" s="2936"/>
      <c r="LMZ72" s="2936"/>
      <c r="LNA72" s="2936"/>
      <c r="LNB72" s="2936"/>
      <c r="LNC72" s="2936"/>
      <c r="LND72" s="2936"/>
      <c r="LNE72" s="2936"/>
      <c r="LNF72" s="2936"/>
      <c r="LNG72" s="2936"/>
      <c r="LNH72" s="2936"/>
      <c r="LNI72" s="2936"/>
      <c r="LNJ72" s="2936"/>
      <c r="LNK72" s="2936"/>
      <c r="LNL72" s="2936"/>
      <c r="LNM72" s="2936"/>
      <c r="LNN72" s="2936"/>
      <c r="LNO72" s="2936"/>
      <c r="LNP72" s="2936"/>
      <c r="LNQ72" s="2936"/>
      <c r="LNR72" s="2936"/>
      <c r="LNS72" s="2936"/>
      <c r="LNT72" s="2936"/>
      <c r="LNU72" s="2936"/>
      <c r="LNV72" s="2936"/>
      <c r="LNW72" s="2936"/>
      <c r="LNX72" s="2936"/>
      <c r="LNY72" s="2936"/>
      <c r="LNZ72" s="2936"/>
      <c r="LOA72" s="2936"/>
      <c r="LOB72" s="2936"/>
      <c r="LOC72" s="2936"/>
      <c r="LOD72" s="2936"/>
      <c r="LOE72" s="2936"/>
      <c r="LOF72" s="2936"/>
      <c r="LOG72" s="2936"/>
      <c r="LOH72" s="2936"/>
      <c r="LOI72" s="2936"/>
      <c r="LOJ72" s="2936"/>
      <c r="LOK72" s="2936"/>
      <c r="LOL72" s="2936"/>
      <c r="LOM72" s="2936"/>
      <c r="LON72" s="2936"/>
      <c r="LOO72" s="2936"/>
      <c r="LOP72" s="2936"/>
      <c r="LOQ72" s="2936"/>
      <c r="LOR72" s="2936"/>
      <c r="LOS72" s="2936"/>
      <c r="LOT72" s="2936"/>
      <c r="LOU72" s="2936"/>
      <c r="LOV72" s="2936"/>
      <c r="LOW72" s="2936"/>
      <c r="LOX72" s="2936"/>
      <c r="LOY72" s="2936"/>
      <c r="LOZ72" s="2936"/>
      <c r="LPA72" s="2936"/>
      <c r="LPB72" s="2936"/>
      <c r="LPC72" s="2936"/>
      <c r="LPD72" s="2936"/>
      <c r="LPE72" s="2936"/>
      <c r="LPF72" s="2936"/>
      <c r="LPG72" s="2936"/>
      <c r="LPH72" s="2936"/>
      <c r="LPI72" s="2936"/>
      <c r="LPJ72" s="2936"/>
      <c r="LPK72" s="2936"/>
      <c r="LPL72" s="2936"/>
      <c r="LPM72" s="2936"/>
      <c r="LPN72" s="2936"/>
      <c r="LPO72" s="2936"/>
      <c r="LPP72" s="2936"/>
      <c r="LPQ72" s="2936"/>
      <c r="LPR72" s="2936"/>
      <c r="LPS72" s="2936"/>
      <c r="LPT72" s="2936"/>
      <c r="LPU72" s="2936"/>
      <c r="LPV72" s="2936"/>
      <c r="LPW72" s="2936"/>
      <c r="LPX72" s="2936"/>
      <c r="LPY72" s="2936"/>
      <c r="LPZ72" s="2936"/>
      <c r="LQA72" s="2936"/>
      <c r="LQB72" s="2936"/>
      <c r="LQC72" s="2936"/>
      <c r="LQD72" s="2936"/>
      <c r="LQE72" s="2936"/>
      <c r="LQF72" s="2936"/>
      <c r="LQG72" s="2936"/>
      <c r="LQH72" s="2936"/>
      <c r="LQI72" s="2936"/>
      <c r="LQJ72" s="2936"/>
      <c r="LQK72" s="2936"/>
      <c r="LQL72" s="2936"/>
      <c r="LQM72" s="2936"/>
      <c r="LQN72" s="2936"/>
      <c r="LQO72" s="2936"/>
      <c r="LQP72" s="2936"/>
      <c r="LQQ72" s="2936"/>
      <c r="LQR72" s="2936"/>
      <c r="LQS72" s="2936"/>
      <c r="LQT72" s="2936"/>
      <c r="LQU72" s="2936"/>
      <c r="LQV72" s="2936"/>
      <c r="LQW72" s="2936"/>
      <c r="LQX72" s="2936"/>
      <c r="LQY72" s="2936"/>
      <c r="LQZ72" s="2936"/>
      <c r="LRA72" s="2936"/>
      <c r="LRB72" s="2936"/>
      <c r="LRC72" s="2936"/>
      <c r="LRD72" s="2936"/>
      <c r="LRE72" s="2936"/>
      <c r="LRF72" s="2936"/>
      <c r="LRG72" s="2936"/>
      <c r="LRH72" s="2936"/>
      <c r="LRI72" s="2936"/>
      <c r="LRJ72" s="2936"/>
      <c r="LRK72" s="2936"/>
      <c r="LRL72" s="2936"/>
      <c r="LRM72" s="2936"/>
      <c r="LRN72" s="2936"/>
      <c r="LRO72" s="2936"/>
      <c r="LRP72" s="2936"/>
      <c r="LRQ72" s="2936"/>
      <c r="LRR72" s="2936"/>
      <c r="LRS72" s="2936"/>
      <c r="LRT72" s="2936"/>
      <c r="LRU72" s="2936"/>
      <c r="LRV72" s="2936"/>
      <c r="LRW72" s="2936"/>
      <c r="LRX72" s="2936"/>
      <c r="LRY72" s="2936"/>
      <c r="LRZ72" s="2936"/>
      <c r="LSA72" s="2936"/>
      <c r="LSB72" s="2936"/>
      <c r="LSC72" s="2936"/>
      <c r="LSD72" s="2936"/>
      <c r="LSE72" s="2936"/>
      <c r="LSF72" s="2936"/>
      <c r="LSG72" s="2936"/>
      <c r="LSH72" s="2936"/>
      <c r="LSI72" s="2936"/>
      <c r="LSJ72" s="2936"/>
      <c r="LSK72" s="2936"/>
      <c r="LSL72" s="2936"/>
      <c r="LSM72" s="2936"/>
      <c r="LSN72" s="2936"/>
      <c r="LSO72" s="2936"/>
      <c r="LSP72" s="2936"/>
      <c r="LSQ72" s="2936"/>
      <c r="LSR72" s="2936"/>
      <c r="LSS72" s="2936"/>
      <c r="LST72" s="2936"/>
      <c r="LSU72" s="2936"/>
      <c r="LSV72" s="2936"/>
      <c r="LSW72" s="2936"/>
      <c r="LSX72" s="2936"/>
      <c r="LSY72" s="2936"/>
      <c r="LSZ72" s="2936"/>
      <c r="LTA72" s="2936"/>
      <c r="LTB72" s="2936"/>
      <c r="LTC72" s="2936"/>
      <c r="LTD72" s="2936"/>
      <c r="LTE72" s="2936"/>
      <c r="LTF72" s="2936"/>
      <c r="LTG72" s="2936"/>
      <c r="LTH72" s="2936"/>
      <c r="LTI72" s="2936"/>
      <c r="LTJ72" s="2936"/>
      <c r="LTK72" s="2936"/>
      <c r="LTL72" s="2936"/>
      <c r="LTM72" s="2936"/>
      <c r="LTN72" s="2936"/>
      <c r="LTO72" s="2936"/>
      <c r="LTP72" s="2936"/>
      <c r="LTQ72" s="2936"/>
      <c r="LTR72" s="2936"/>
      <c r="LTS72" s="2936"/>
      <c r="LTT72" s="2936"/>
      <c r="LTU72" s="2936"/>
      <c r="LTV72" s="2936"/>
      <c r="LTW72" s="2936"/>
      <c r="LTX72" s="2936"/>
      <c r="LTY72" s="2936"/>
      <c r="LTZ72" s="2936"/>
      <c r="LUA72" s="2936"/>
      <c r="LUB72" s="2936"/>
      <c r="LUC72" s="2936"/>
      <c r="LUD72" s="2936"/>
      <c r="LUE72" s="2936"/>
      <c r="LUF72" s="2936"/>
      <c r="LUG72" s="2936"/>
      <c r="LUH72" s="2936"/>
      <c r="LUI72" s="2936"/>
      <c r="LUJ72" s="2936"/>
      <c r="LUK72" s="2936"/>
      <c r="LUL72" s="2936"/>
      <c r="LUM72" s="2936"/>
      <c r="LUN72" s="2936"/>
      <c r="LUO72" s="2936"/>
      <c r="LUP72" s="2936"/>
      <c r="LUQ72" s="2936"/>
      <c r="LUR72" s="2936"/>
      <c r="LUS72" s="2936"/>
      <c r="LUT72" s="2936"/>
      <c r="LUU72" s="2936"/>
      <c r="LUV72" s="2936"/>
      <c r="LUW72" s="2936"/>
      <c r="LUX72" s="2936"/>
      <c r="LUY72" s="2936"/>
      <c r="LUZ72" s="2936"/>
      <c r="LVA72" s="2936"/>
      <c r="LVB72" s="2936"/>
      <c r="LVC72" s="2936"/>
      <c r="LVD72" s="2936"/>
      <c r="LVE72" s="2936"/>
      <c r="LVF72" s="2936"/>
      <c r="LVG72" s="2936"/>
      <c r="LVH72" s="2936"/>
      <c r="LVI72" s="2936"/>
      <c r="LVJ72" s="2936"/>
      <c r="LVK72" s="2936"/>
      <c r="LVL72" s="2936"/>
      <c r="LVM72" s="2936"/>
      <c r="LVN72" s="2936"/>
      <c r="LVO72" s="2936"/>
      <c r="LVP72" s="2936"/>
      <c r="LVQ72" s="2936"/>
      <c r="LVR72" s="2936"/>
      <c r="LVS72" s="2936"/>
      <c r="LVT72" s="2936"/>
      <c r="LVU72" s="2936"/>
      <c r="LVV72" s="2936"/>
      <c r="LVW72" s="2936"/>
      <c r="LVX72" s="2936"/>
      <c r="LVY72" s="2936"/>
      <c r="LVZ72" s="2936"/>
      <c r="LWA72" s="2936"/>
      <c r="LWB72" s="2936"/>
      <c r="LWC72" s="2936"/>
      <c r="LWD72" s="2936"/>
      <c r="LWE72" s="2936"/>
      <c r="LWF72" s="2936"/>
      <c r="LWG72" s="2936"/>
      <c r="LWH72" s="2936"/>
      <c r="LWI72" s="2936"/>
      <c r="LWJ72" s="2936"/>
      <c r="LWK72" s="2936"/>
      <c r="LWL72" s="2936"/>
      <c r="LWM72" s="2936"/>
      <c r="LWN72" s="2936"/>
      <c r="LWO72" s="2936"/>
      <c r="LWP72" s="2936"/>
      <c r="LWQ72" s="2936"/>
      <c r="LWR72" s="2936"/>
      <c r="LWS72" s="2936"/>
      <c r="LWT72" s="2936"/>
      <c r="LWU72" s="2936"/>
      <c r="LWV72" s="2936"/>
      <c r="LWW72" s="2936"/>
      <c r="LWX72" s="2936"/>
      <c r="LWY72" s="2936"/>
      <c r="LWZ72" s="2936"/>
      <c r="LXA72" s="2936"/>
      <c r="LXB72" s="2936"/>
      <c r="LXC72" s="2936"/>
      <c r="LXD72" s="2936"/>
      <c r="LXE72" s="2936"/>
      <c r="LXF72" s="2936"/>
      <c r="LXG72" s="2936"/>
      <c r="LXH72" s="2936"/>
      <c r="LXI72" s="2936"/>
      <c r="LXJ72" s="2936"/>
      <c r="LXK72" s="2936"/>
      <c r="LXL72" s="2936"/>
      <c r="LXM72" s="2936"/>
      <c r="LXN72" s="2936"/>
      <c r="LXO72" s="2936"/>
      <c r="LXP72" s="2936"/>
      <c r="LXQ72" s="2936"/>
      <c r="LXR72" s="2936"/>
      <c r="LXS72" s="2936"/>
      <c r="LXT72" s="2936"/>
      <c r="LXU72" s="2936"/>
      <c r="LXV72" s="2936"/>
      <c r="LXW72" s="2936"/>
      <c r="LXX72" s="2936"/>
      <c r="LXY72" s="2936"/>
      <c r="LXZ72" s="2936"/>
      <c r="LYA72" s="2936"/>
      <c r="LYB72" s="2936"/>
      <c r="LYC72" s="2936"/>
      <c r="LYD72" s="2936"/>
      <c r="LYE72" s="2936"/>
      <c r="LYF72" s="2936"/>
      <c r="LYG72" s="2936"/>
      <c r="LYH72" s="2936"/>
      <c r="LYI72" s="2936"/>
      <c r="LYJ72" s="2936"/>
      <c r="LYK72" s="2936"/>
      <c r="LYL72" s="2936"/>
      <c r="LYM72" s="2936"/>
      <c r="LYN72" s="2936"/>
      <c r="LYO72" s="2936"/>
      <c r="LYP72" s="2936"/>
      <c r="LYQ72" s="2936"/>
      <c r="LYR72" s="2936"/>
      <c r="LYS72" s="2936"/>
      <c r="LYT72" s="2936"/>
      <c r="LYU72" s="2936"/>
      <c r="LYV72" s="2936"/>
      <c r="LYW72" s="2936"/>
      <c r="LYX72" s="2936"/>
      <c r="LYY72" s="2936"/>
      <c r="LYZ72" s="2936"/>
      <c r="LZA72" s="2936"/>
      <c r="LZB72" s="2936"/>
      <c r="LZC72" s="2936"/>
      <c r="LZD72" s="2936"/>
      <c r="LZE72" s="2936"/>
      <c r="LZF72" s="2936"/>
      <c r="LZG72" s="2936"/>
      <c r="LZH72" s="2936"/>
      <c r="LZI72" s="2936"/>
      <c r="LZJ72" s="2936"/>
      <c r="LZK72" s="2936"/>
      <c r="LZL72" s="2936"/>
      <c r="LZM72" s="2936"/>
      <c r="LZN72" s="2936"/>
      <c r="LZO72" s="2936"/>
      <c r="LZP72" s="2936"/>
      <c r="LZQ72" s="2936"/>
      <c r="LZR72" s="2936"/>
      <c r="LZS72" s="2936"/>
      <c r="LZT72" s="2936"/>
      <c r="LZU72" s="2936"/>
      <c r="LZV72" s="2936"/>
      <c r="LZW72" s="2936"/>
      <c r="LZX72" s="2936"/>
      <c r="LZY72" s="2936"/>
      <c r="LZZ72" s="2936"/>
      <c r="MAA72" s="2936"/>
      <c r="MAB72" s="2936"/>
      <c r="MAC72" s="2936"/>
      <c r="MAD72" s="2936"/>
      <c r="MAE72" s="2936"/>
      <c r="MAF72" s="2936"/>
      <c r="MAG72" s="2936"/>
      <c r="MAH72" s="2936"/>
      <c r="MAI72" s="2936"/>
      <c r="MAJ72" s="2936"/>
      <c r="MAK72" s="2936"/>
      <c r="MAL72" s="2936"/>
      <c r="MAM72" s="2936"/>
      <c r="MAN72" s="2936"/>
      <c r="MAO72" s="2936"/>
      <c r="MAP72" s="2936"/>
      <c r="MAQ72" s="2936"/>
      <c r="MAR72" s="2936"/>
      <c r="MAS72" s="2936"/>
      <c r="MAT72" s="2936"/>
      <c r="MAU72" s="2936"/>
      <c r="MAV72" s="2936"/>
      <c r="MAW72" s="2936"/>
      <c r="MAX72" s="2936"/>
      <c r="MAY72" s="2936"/>
      <c r="MAZ72" s="2936"/>
      <c r="MBA72" s="2936"/>
      <c r="MBB72" s="2936"/>
      <c r="MBC72" s="2936"/>
      <c r="MBD72" s="2936"/>
      <c r="MBE72" s="2936"/>
      <c r="MBF72" s="2936"/>
      <c r="MBG72" s="2936"/>
      <c r="MBH72" s="2936"/>
      <c r="MBI72" s="2936"/>
      <c r="MBJ72" s="2936"/>
      <c r="MBK72" s="2936"/>
      <c r="MBL72" s="2936"/>
      <c r="MBM72" s="2936"/>
      <c r="MBN72" s="2936"/>
      <c r="MBO72" s="2936"/>
      <c r="MBP72" s="2936"/>
      <c r="MBQ72" s="2936"/>
      <c r="MBR72" s="2936"/>
      <c r="MBS72" s="2936"/>
      <c r="MBT72" s="2936"/>
      <c r="MBU72" s="2936"/>
      <c r="MBV72" s="2936"/>
      <c r="MBW72" s="2936"/>
      <c r="MBX72" s="2936"/>
      <c r="MBY72" s="2936"/>
      <c r="MBZ72" s="2936"/>
      <c r="MCA72" s="2936"/>
      <c r="MCB72" s="2936"/>
      <c r="MCC72" s="2936"/>
      <c r="MCD72" s="2936"/>
      <c r="MCE72" s="2936"/>
      <c r="MCF72" s="2936"/>
      <c r="MCG72" s="2936"/>
      <c r="MCH72" s="2936"/>
      <c r="MCI72" s="2936"/>
      <c r="MCJ72" s="2936"/>
      <c r="MCK72" s="2936"/>
      <c r="MCL72" s="2936"/>
      <c r="MCM72" s="2936"/>
      <c r="MCN72" s="2936"/>
      <c r="MCO72" s="2936"/>
      <c r="MCP72" s="2936"/>
      <c r="MCQ72" s="2936"/>
      <c r="MCR72" s="2936"/>
      <c r="MCS72" s="2936"/>
      <c r="MCT72" s="2936"/>
      <c r="MCU72" s="2936"/>
      <c r="MCV72" s="2936"/>
      <c r="MCW72" s="2936"/>
      <c r="MCX72" s="2936"/>
      <c r="MCY72" s="2936"/>
      <c r="MCZ72" s="2936"/>
      <c r="MDA72" s="2936"/>
      <c r="MDB72" s="2936"/>
      <c r="MDC72" s="2936"/>
      <c r="MDD72" s="2936"/>
      <c r="MDE72" s="2936"/>
      <c r="MDF72" s="2936"/>
      <c r="MDG72" s="2936"/>
      <c r="MDH72" s="2936"/>
      <c r="MDI72" s="2936"/>
      <c r="MDJ72" s="2936"/>
      <c r="MDK72" s="2936"/>
      <c r="MDL72" s="2936"/>
      <c r="MDM72" s="2936"/>
      <c r="MDN72" s="2936"/>
      <c r="MDO72" s="2936"/>
      <c r="MDP72" s="2936"/>
      <c r="MDQ72" s="2936"/>
      <c r="MDR72" s="2936"/>
      <c r="MDS72" s="2936"/>
      <c r="MDT72" s="2936"/>
      <c r="MDU72" s="2936"/>
      <c r="MDV72" s="2936"/>
      <c r="MDW72" s="2936"/>
      <c r="MDX72" s="2936"/>
      <c r="MDY72" s="2936"/>
      <c r="MDZ72" s="2936"/>
      <c r="MEA72" s="2936"/>
      <c r="MEB72" s="2936"/>
      <c r="MEC72" s="2936"/>
      <c r="MED72" s="2936"/>
      <c r="MEE72" s="2936"/>
      <c r="MEF72" s="2936"/>
      <c r="MEG72" s="2936"/>
      <c r="MEH72" s="2936"/>
      <c r="MEI72" s="2936"/>
      <c r="MEJ72" s="2936"/>
      <c r="MEK72" s="2936"/>
      <c r="MEL72" s="2936"/>
      <c r="MEM72" s="2936"/>
      <c r="MEN72" s="2936"/>
      <c r="MEO72" s="2936"/>
      <c r="MEP72" s="2936"/>
      <c r="MEQ72" s="2936"/>
      <c r="MER72" s="2936"/>
      <c r="MES72" s="2936"/>
      <c r="MET72" s="2936"/>
      <c r="MEU72" s="2936"/>
      <c r="MEV72" s="2936"/>
      <c r="MEW72" s="2936"/>
      <c r="MEX72" s="2936"/>
      <c r="MEY72" s="2936"/>
      <c r="MEZ72" s="2936"/>
      <c r="MFA72" s="2936"/>
      <c r="MFB72" s="2936"/>
      <c r="MFC72" s="2936"/>
      <c r="MFD72" s="2936"/>
      <c r="MFE72" s="2936"/>
      <c r="MFF72" s="2936"/>
      <c r="MFG72" s="2936"/>
      <c r="MFH72" s="2936"/>
      <c r="MFI72" s="2936"/>
      <c r="MFJ72" s="2936"/>
      <c r="MFK72" s="2936"/>
      <c r="MFL72" s="2936"/>
      <c r="MFM72" s="2936"/>
      <c r="MFN72" s="2936"/>
      <c r="MFO72" s="2936"/>
      <c r="MFP72" s="2936"/>
      <c r="MFQ72" s="2936"/>
      <c r="MFR72" s="2936"/>
      <c r="MFS72" s="2936"/>
      <c r="MFT72" s="2936"/>
      <c r="MFU72" s="2936"/>
      <c r="MFV72" s="2936"/>
      <c r="MFW72" s="2936"/>
      <c r="MFX72" s="2936"/>
      <c r="MFY72" s="2936"/>
      <c r="MFZ72" s="2936"/>
      <c r="MGA72" s="2936"/>
      <c r="MGB72" s="2936"/>
      <c r="MGC72" s="2936"/>
      <c r="MGD72" s="2936"/>
      <c r="MGE72" s="2936"/>
      <c r="MGF72" s="2936"/>
      <c r="MGG72" s="2936"/>
      <c r="MGH72" s="2936"/>
      <c r="MGI72" s="2936"/>
      <c r="MGJ72" s="2936"/>
      <c r="MGK72" s="2936"/>
      <c r="MGL72" s="2936"/>
      <c r="MGM72" s="2936"/>
      <c r="MGN72" s="2936"/>
      <c r="MGO72" s="2936"/>
      <c r="MGP72" s="2936"/>
      <c r="MGQ72" s="2936"/>
      <c r="MGR72" s="2936"/>
      <c r="MGS72" s="2936"/>
      <c r="MGT72" s="2936"/>
      <c r="MGU72" s="2936"/>
      <c r="MGV72" s="2936"/>
      <c r="MGW72" s="2936"/>
      <c r="MGX72" s="2936"/>
      <c r="MGY72" s="2936"/>
      <c r="MGZ72" s="2936"/>
      <c r="MHA72" s="2936"/>
      <c r="MHB72" s="2936"/>
      <c r="MHC72" s="2936"/>
      <c r="MHD72" s="2936"/>
      <c r="MHE72" s="2936"/>
      <c r="MHF72" s="2936"/>
      <c r="MHG72" s="2936"/>
      <c r="MHH72" s="2936"/>
      <c r="MHI72" s="2936"/>
      <c r="MHJ72" s="2936"/>
      <c r="MHK72" s="2936"/>
      <c r="MHL72" s="2936"/>
      <c r="MHM72" s="2936"/>
      <c r="MHN72" s="2936"/>
      <c r="MHO72" s="2936"/>
      <c r="MHP72" s="2936"/>
      <c r="MHQ72" s="2936"/>
      <c r="MHR72" s="2936"/>
      <c r="MHS72" s="2936"/>
      <c r="MHT72" s="2936"/>
      <c r="MHU72" s="2936"/>
      <c r="MHV72" s="2936"/>
      <c r="MHW72" s="2936"/>
      <c r="MHX72" s="2936"/>
      <c r="MHY72" s="2936"/>
      <c r="MHZ72" s="2936"/>
      <c r="MIA72" s="2936"/>
      <c r="MIB72" s="2936"/>
      <c r="MIC72" s="2936"/>
      <c r="MID72" s="2936"/>
      <c r="MIE72" s="2936"/>
      <c r="MIF72" s="2936"/>
      <c r="MIG72" s="2936"/>
      <c r="MIH72" s="2936"/>
      <c r="MII72" s="2936"/>
      <c r="MIJ72" s="2936"/>
      <c r="MIK72" s="2936"/>
      <c r="MIL72" s="2936"/>
      <c r="MIM72" s="2936"/>
      <c r="MIN72" s="2936"/>
      <c r="MIO72" s="2936"/>
      <c r="MIP72" s="2936"/>
      <c r="MIQ72" s="2936"/>
      <c r="MIR72" s="2936"/>
      <c r="MIS72" s="2936"/>
      <c r="MIT72" s="2936"/>
      <c r="MIU72" s="2936"/>
      <c r="MIV72" s="2936"/>
      <c r="MIW72" s="2936"/>
      <c r="MIX72" s="2936"/>
      <c r="MIY72" s="2936"/>
      <c r="MIZ72" s="2936"/>
      <c r="MJA72" s="2936"/>
      <c r="MJB72" s="2936"/>
      <c r="MJC72" s="2936"/>
      <c r="MJD72" s="2936"/>
      <c r="MJE72" s="2936"/>
      <c r="MJF72" s="2936"/>
      <c r="MJG72" s="2936"/>
      <c r="MJH72" s="2936"/>
      <c r="MJI72" s="2936"/>
      <c r="MJJ72" s="2936"/>
      <c r="MJK72" s="2936"/>
      <c r="MJL72" s="2936"/>
      <c r="MJM72" s="2936"/>
      <c r="MJN72" s="2936"/>
      <c r="MJO72" s="2936"/>
      <c r="MJP72" s="2936"/>
      <c r="MJQ72" s="2936"/>
      <c r="MJR72" s="2936"/>
      <c r="MJS72" s="2936"/>
      <c r="MJT72" s="2936"/>
      <c r="MJU72" s="2936"/>
      <c r="MJV72" s="2936"/>
      <c r="MJW72" s="2936"/>
      <c r="MJX72" s="2936"/>
      <c r="MJY72" s="2936"/>
      <c r="MJZ72" s="2936"/>
      <c r="MKA72" s="2936"/>
      <c r="MKB72" s="2936"/>
      <c r="MKC72" s="2936"/>
      <c r="MKD72" s="2936"/>
      <c r="MKE72" s="2936"/>
      <c r="MKF72" s="2936"/>
      <c r="MKG72" s="2936"/>
      <c r="MKH72" s="2936"/>
      <c r="MKI72" s="2936"/>
      <c r="MKJ72" s="2936"/>
      <c r="MKK72" s="2936"/>
      <c r="MKL72" s="2936"/>
      <c r="MKM72" s="2936"/>
      <c r="MKN72" s="2936"/>
      <c r="MKO72" s="2936"/>
      <c r="MKP72" s="2936"/>
      <c r="MKQ72" s="2936"/>
      <c r="MKR72" s="2936"/>
      <c r="MKS72" s="2936"/>
      <c r="MKT72" s="2936"/>
      <c r="MKU72" s="2936"/>
      <c r="MKV72" s="2936"/>
      <c r="MKW72" s="2936"/>
      <c r="MKX72" s="2936"/>
      <c r="MKY72" s="2936"/>
      <c r="MKZ72" s="2936"/>
      <c r="MLA72" s="2936"/>
      <c r="MLB72" s="2936"/>
      <c r="MLC72" s="2936"/>
      <c r="MLD72" s="2936"/>
      <c r="MLE72" s="2936"/>
      <c r="MLF72" s="2936"/>
      <c r="MLG72" s="2936"/>
      <c r="MLH72" s="2936"/>
      <c r="MLI72" s="2936"/>
      <c r="MLJ72" s="2936"/>
      <c r="MLK72" s="2936"/>
      <c r="MLL72" s="2936"/>
      <c r="MLM72" s="2936"/>
      <c r="MLN72" s="2936"/>
      <c r="MLO72" s="2936"/>
      <c r="MLP72" s="2936"/>
      <c r="MLQ72" s="2936"/>
      <c r="MLR72" s="2936"/>
      <c r="MLS72" s="2936"/>
      <c r="MLT72" s="2936"/>
      <c r="MLU72" s="2936"/>
      <c r="MLV72" s="2936"/>
      <c r="MLW72" s="2936"/>
      <c r="MLX72" s="2936"/>
      <c r="MLY72" s="2936"/>
      <c r="MLZ72" s="2936"/>
      <c r="MMA72" s="2936"/>
      <c r="MMB72" s="2936"/>
      <c r="MMC72" s="2936"/>
      <c r="MMD72" s="2936"/>
      <c r="MME72" s="2936"/>
      <c r="MMF72" s="2936"/>
      <c r="MMG72" s="2936"/>
      <c r="MMH72" s="2936"/>
      <c r="MMI72" s="2936"/>
      <c r="MMJ72" s="2936"/>
      <c r="MMK72" s="2936"/>
      <c r="MML72" s="2936"/>
      <c r="MMM72" s="2936"/>
      <c r="MMN72" s="2936"/>
      <c r="MMO72" s="2936"/>
      <c r="MMP72" s="2936"/>
      <c r="MMQ72" s="2936"/>
      <c r="MMR72" s="2936"/>
      <c r="MMS72" s="2936"/>
      <c r="MMT72" s="2936"/>
      <c r="MMU72" s="2936"/>
      <c r="MMV72" s="2936"/>
      <c r="MMW72" s="2936"/>
      <c r="MMX72" s="2936"/>
      <c r="MMY72" s="2936"/>
      <c r="MMZ72" s="2936"/>
      <c r="MNA72" s="2936"/>
      <c r="MNB72" s="2936"/>
      <c r="MNC72" s="2936"/>
      <c r="MND72" s="2936"/>
      <c r="MNE72" s="2936"/>
      <c r="MNF72" s="2936"/>
      <c r="MNG72" s="2936"/>
      <c r="MNH72" s="2936"/>
      <c r="MNI72" s="2936"/>
      <c r="MNJ72" s="2936"/>
      <c r="MNK72" s="2936"/>
      <c r="MNL72" s="2936"/>
      <c r="MNM72" s="2936"/>
      <c r="MNN72" s="2936"/>
      <c r="MNO72" s="2936"/>
      <c r="MNP72" s="2936"/>
      <c r="MNQ72" s="2936"/>
      <c r="MNR72" s="2936"/>
      <c r="MNS72" s="2936"/>
      <c r="MNT72" s="2936"/>
      <c r="MNU72" s="2936"/>
      <c r="MNV72" s="2936"/>
      <c r="MNW72" s="2936"/>
      <c r="MNX72" s="2936"/>
      <c r="MNY72" s="2936"/>
      <c r="MNZ72" s="2936"/>
      <c r="MOA72" s="2936"/>
      <c r="MOB72" s="2936"/>
      <c r="MOC72" s="2936"/>
      <c r="MOD72" s="2936"/>
      <c r="MOE72" s="2936"/>
      <c r="MOF72" s="2936"/>
      <c r="MOG72" s="2936"/>
      <c r="MOH72" s="2936"/>
      <c r="MOI72" s="2936"/>
      <c r="MOJ72" s="2936"/>
      <c r="MOK72" s="2936"/>
      <c r="MOL72" s="2936"/>
      <c r="MOM72" s="2936"/>
      <c r="MON72" s="2936"/>
      <c r="MOO72" s="2936"/>
      <c r="MOP72" s="2936"/>
      <c r="MOQ72" s="2936"/>
      <c r="MOR72" s="2936"/>
      <c r="MOS72" s="2936"/>
      <c r="MOT72" s="2936"/>
      <c r="MOU72" s="2936"/>
      <c r="MOV72" s="2936"/>
      <c r="MOW72" s="2936"/>
      <c r="MOX72" s="2936"/>
      <c r="MOY72" s="2936"/>
      <c r="MOZ72" s="2936"/>
      <c r="MPA72" s="2936"/>
      <c r="MPB72" s="2936"/>
      <c r="MPC72" s="2936"/>
      <c r="MPD72" s="2936"/>
      <c r="MPE72" s="2936"/>
      <c r="MPF72" s="2936"/>
      <c r="MPG72" s="2936"/>
      <c r="MPH72" s="2936"/>
      <c r="MPI72" s="2936"/>
      <c r="MPJ72" s="2936"/>
      <c r="MPK72" s="2936"/>
      <c r="MPL72" s="2936"/>
      <c r="MPM72" s="2936"/>
      <c r="MPN72" s="2936"/>
      <c r="MPO72" s="2936"/>
      <c r="MPP72" s="2936"/>
      <c r="MPQ72" s="2936"/>
      <c r="MPR72" s="2936"/>
      <c r="MPS72" s="2936"/>
      <c r="MPT72" s="2936"/>
      <c r="MPU72" s="2936"/>
      <c r="MPV72" s="2936"/>
      <c r="MPW72" s="2936"/>
      <c r="MPX72" s="2936"/>
      <c r="MPY72" s="2936"/>
      <c r="MPZ72" s="2936"/>
      <c r="MQA72" s="2936"/>
      <c r="MQB72" s="2936"/>
      <c r="MQC72" s="2936"/>
      <c r="MQD72" s="2936"/>
      <c r="MQE72" s="2936"/>
      <c r="MQF72" s="2936"/>
      <c r="MQG72" s="2936"/>
      <c r="MQH72" s="2936"/>
      <c r="MQI72" s="2936"/>
      <c r="MQJ72" s="2936"/>
      <c r="MQK72" s="2936"/>
      <c r="MQL72" s="2936"/>
      <c r="MQM72" s="2936"/>
      <c r="MQN72" s="2936"/>
      <c r="MQO72" s="2936"/>
      <c r="MQP72" s="2936"/>
      <c r="MQQ72" s="2936"/>
      <c r="MQR72" s="2936"/>
      <c r="MQS72" s="2936"/>
      <c r="MQT72" s="2936"/>
      <c r="MQU72" s="2936"/>
      <c r="MQV72" s="2936"/>
      <c r="MQW72" s="2936"/>
      <c r="MQX72" s="2936"/>
      <c r="MQY72" s="2936"/>
      <c r="MQZ72" s="2936"/>
      <c r="MRA72" s="2936"/>
      <c r="MRB72" s="2936"/>
      <c r="MRC72" s="2936"/>
      <c r="MRD72" s="2936"/>
      <c r="MRE72" s="2936"/>
      <c r="MRF72" s="2936"/>
      <c r="MRG72" s="2936"/>
      <c r="MRH72" s="2936"/>
      <c r="MRI72" s="2936"/>
      <c r="MRJ72" s="2936"/>
      <c r="MRK72" s="2936"/>
      <c r="MRL72" s="2936"/>
      <c r="MRM72" s="2936"/>
      <c r="MRN72" s="2936"/>
      <c r="MRO72" s="2936"/>
      <c r="MRP72" s="2936"/>
      <c r="MRQ72" s="2936"/>
      <c r="MRR72" s="2936"/>
      <c r="MRS72" s="2936"/>
      <c r="MRT72" s="2936"/>
      <c r="MRU72" s="2936"/>
      <c r="MRV72" s="2936"/>
      <c r="MRW72" s="2936"/>
      <c r="MRX72" s="2936"/>
      <c r="MRY72" s="2936"/>
      <c r="MRZ72" s="2936"/>
      <c r="MSA72" s="2936"/>
      <c r="MSB72" s="2936"/>
      <c r="MSC72" s="2936"/>
      <c r="MSD72" s="2936"/>
      <c r="MSE72" s="2936"/>
      <c r="MSF72" s="2936"/>
      <c r="MSG72" s="2936"/>
      <c r="MSH72" s="2936"/>
      <c r="MSI72" s="2936"/>
      <c r="MSJ72" s="2936"/>
      <c r="MSK72" s="2936"/>
      <c r="MSL72" s="2936"/>
      <c r="MSM72" s="2936"/>
      <c r="MSN72" s="2936"/>
      <c r="MSO72" s="2936"/>
      <c r="MSP72" s="2936"/>
      <c r="MSQ72" s="2936"/>
      <c r="MSR72" s="2936"/>
      <c r="MSS72" s="2936"/>
      <c r="MST72" s="2936"/>
      <c r="MSU72" s="2936"/>
      <c r="MSV72" s="2936"/>
      <c r="MSW72" s="2936"/>
      <c r="MSX72" s="2936"/>
      <c r="MSY72" s="2936"/>
      <c r="MSZ72" s="2936"/>
      <c r="MTA72" s="2936"/>
      <c r="MTB72" s="2936"/>
      <c r="MTC72" s="2936"/>
      <c r="MTD72" s="2936"/>
      <c r="MTE72" s="2936"/>
      <c r="MTF72" s="2936"/>
      <c r="MTG72" s="2936"/>
      <c r="MTH72" s="2936"/>
      <c r="MTI72" s="2936"/>
      <c r="MTJ72" s="2936"/>
      <c r="MTK72" s="2936"/>
      <c r="MTL72" s="2936"/>
      <c r="MTM72" s="2936"/>
      <c r="MTN72" s="2936"/>
      <c r="MTO72" s="2936"/>
      <c r="MTP72" s="2936"/>
      <c r="MTQ72" s="2936"/>
      <c r="MTR72" s="2936"/>
      <c r="MTS72" s="2936"/>
      <c r="MTT72" s="2936"/>
      <c r="MTU72" s="2936"/>
      <c r="MTV72" s="2936"/>
      <c r="MTW72" s="2936"/>
      <c r="MTX72" s="2936"/>
      <c r="MTY72" s="2936"/>
      <c r="MTZ72" s="2936"/>
      <c r="MUA72" s="2936"/>
      <c r="MUB72" s="2936"/>
      <c r="MUC72" s="2936"/>
      <c r="MUD72" s="2936"/>
      <c r="MUE72" s="2936"/>
      <c r="MUF72" s="2936"/>
      <c r="MUG72" s="2936"/>
      <c r="MUH72" s="2936"/>
      <c r="MUI72" s="2936"/>
      <c r="MUJ72" s="2936"/>
      <c r="MUK72" s="2936"/>
      <c r="MUL72" s="2936"/>
      <c r="MUM72" s="2936"/>
      <c r="MUN72" s="2936"/>
      <c r="MUO72" s="2936"/>
      <c r="MUP72" s="2936"/>
      <c r="MUQ72" s="2936"/>
      <c r="MUR72" s="2936"/>
      <c r="MUS72" s="2936"/>
      <c r="MUT72" s="2936"/>
      <c r="MUU72" s="2936"/>
      <c r="MUV72" s="2936"/>
      <c r="MUW72" s="2936"/>
      <c r="MUX72" s="2936"/>
      <c r="MUY72" s="2936"/>
      <c r="MUZ72" s="2936"/>
      <c r="MVA72" s="2936"/>
      <c r="MVB72" s="2936"/>
      <c r="MVC72" s="2936"/>
      <c r="MVD72" s="2936"/>
      <c r="MVE72" s="2936"/>
      <c r="MVF72" s="2936"/>
      <c r="MVG72" s="2936"/>
      <c r="MVH72" s="2936"/>
      <c r="MVI72" s="2936"/>
      <c r="MVJ72" s="2936"/>
      <c r="MVK72" s="2936"/>
      <c r="MVL72" s="2936"/>
      <c r="MVM72" s="2936"/>
      <c r="MVN72" s="2936"/>
      <c r="MVO72" s="2936"/>
      <c r="MVP72" s="2936"/>
      <c r="MVQ72" s="2936"/>
      <c r="MVR72" s="2936"/>
      <c r="MVS72" s="2936"/>
      <c r="MVT72" s="2936"/>
      <c r="MVU72" s="2936"/>
      <c r="MVV72" s="2936"/>
      <c r="MVW72" s="2936"/>
      <c r="MVX72" s="2936"/>
      <c r="MVY72" s="2936"/>
      <c r="MVZ72" s="2936"/>
      <c r="MWA72" s="2936"/>
      <c r="MWB72" s="2936"/>
      <c r="MWC72" s="2936"/>
      <c r="MWD72" s="2936"/>
      <c r="MWE72" s="2936"/>
      <c r="MWF72" s="2936"/>
      <c r="MWG72" s="2936"/>
      <c r="MWH72" s="2936"/>
      <c r="MWI72" s="2936"/>
      <c r="MWJ72" s="2936"/>
      <c r="MWK72" s="2936"/>
      <c r="MWL72" s="2936"/>
      <c r="MWM72" s="2936"/>
      <c r="MWN72" s="2936"/>
      <c r="MWO72" s="2936"/>
      <c r="MWP72" s="2936"/>
      <c r="MWQ72" s="2936"/>
      <c r="MWR72" s="2936"/>
      <c r="MWS72" s="2936"/>
      <c r="MWT72" s="2936"/>
      <c r="MWU72" s="2936"/>
      <c r="MWV72" s="2936"/>
      <c r="MWW72" s="2936"/>
      <c r="MWX72" s="2936"/>
      <c r="MWY72" s="2936"/>
      <c r="MWZ72" s="2936"/>
      <c r="MXA72" s="2936"/>
      <c r="MXB72" s="2936"/>
      <c r="MXC72" s="2936"/>
      <c r="MXD72" s="2936"/>
      <c r="MXE72" s="2936"/>
      <c r="MXF72" s="2936"/>
      <c r="MXG72" s="2936"/>
      <c r="MXH72" s="2936"/>
      <c r="MXI72" s="2936"/>
      <c r="MXJ72" s="2936"/>
      <c r="MXK72" s="2936"/>
      <c r="MXL72" s="2936"/>
      <c r="MXM72" s="2936"/>
      <c r="MXN72" s="2936"/>
      <c r="MXO72" s="2936"/>
      <c r="MXP72" s="2936"/>
      <c r="MXQ72" s="2936"/>
      <c r="MXR72" s="2936"/>
      <c r="MXS72" s="2936"/>
      <c r="MXT72" s="2936"/>
      <c r="MXU72" s="2936"/>
      <c r="MXV72" s="2936"/>
      <c r="MXW72" s="2936"/>
      <c r="MXX72" s="2936"/>
      <c r="MXY72" s="2936"/>
      <c r="MXZ72" s="2936"/>
      <c r="MYA72" s="2936"/>
      <c r="MYB72" s="2936"/>
      <c r="MYC72" s="2936"/>
      <c r="MYD72" s="2936"/>
      <c r="MYE72" s="2936"/>
      <c r="MYF72" s="2936"/>
      <c r="MYG72" s="2936"/>
      <c r="MYH72" s="2936"/>
      <c r="MYI72" s="2936"/>
      <c r="MYJ72" s="2936"/>
      <c r="MYK72" s="2936"/>
      <c r="MYL72" s="2936"/>
      <c r="MYM72" s="2936"/>
      <c r="MYN72" s="2936"/>
      <c r="MYO72" s="2936"/>
      <c r="MYP72" s="2936"/>
      <c r="MYQ72" s="2936"/>
      <c r="MYR72" s="2936"/>
      <c r="MYS72" s="2936"/>
      <c r="MYT72" s="2936"/>
      <c r="MYU72" s="2936"/>
      <c r="MYV72" s="2936"/>
      <c r="MYW72" s="2936"/>
      <c r="MYX72" s="2936"/>
      <c r="MYY72" s="2936"/>
      <c r="MYZ72" s="2936"/>
      <c r="MZA72" s="2936"/>
      <c r="MZB72" s="2936"/>
      <c r="MZC72" s="2936"/>
      <c r="MZD72" s="2936"/>
      <c r="MZE72" s="2936"/>
      <c r="MZF72" s="2936"/>
      <c r="MZG72" s="2936"/>
      <c r="MZH72" s="2936"/>
      <c r="MZI72" s="2936"/>
      <c r="MZJ72" s="2936"/>
      <c r="MZK72" s="2936"/>
      <c r="MZL72" s="2936"/>
      <c r="MZM72" s="2936"/>
      <c r="MZN72" s="2936"/>
      <c r="MZO72" s="2936"/>
      <c r="MZP72" s="2936"/>
      <c r="MZQ72" s="2936"/>
      <c r="MZR72" s="2936"/>
      <c r="MZS72" s="2936"/>
      <c r="MZT72" s="2936"/>
      <c r="MZU72" s="2936"/>
      <c r="MZV72" s="2936"/>
      <c r="MZW72" s="2936"/>
      <c r="MZX72" s="2936"/>
      <c r="MZY72" s="2936"/>
      <c r="MZZ72" s="2936"/>
      <c r="NAA72" s="2936"/>
      <c r="NAB72" s="2936"/>
      <c r="NAC72" s="2936"/>
      <c r="NAD72" s="2936"/>
      <c r="NAE72" s="2936"/>
      <c r="NAF72" s="2936"/>
      <c r="NAG72" s="2936"/>
      <c r="NAH72" s="2936"/>
      <c r="NAI72" s="2936"/>
      <c r="NAJ72" s="2936"/>
      <c r="NAK72" s="2936"/>
      <c r="NAL72" s="2936"/>
      <c r="NAM72" s="2936"/>
      <c r="NAN72" s="2936"/>
      <c r="NAO72" s="2936"/>
      <c r="NAP72" s="2936"/>
      <c r="NAQ72" s="2936"/>
      <c r="NAR72" s="2936"/>
      <c r="NAS72" s="2936"/>
      <c r="NAT72" s="2936"/>
      <c r="NAU72" s="2936"/>
      <c r="NAV72" s="2936"/>
      <c r="NAW72" s="2936"/>
      <c r="NAX72" s="2936"/>
      <c r="NAY72" s="2936"/>
      <c r="NAZ72" s="2936"/>
      <c r="NBA72" s="2936"/>
      <c r="NBB72" s="2936"/>
      <c r="NBC72" s="2936"/>
      <c r="NBD72" s="2936"/>
      <c r="NBE72" s="2936"/>
      <c r="NBF72" s="2936"/>
      <c r="NBG72" s="2936"/>
      <c r="NBH72" s="2936"/>
      <c r="NBI72" s="2936"/>
      <c r="NBJ72" s="2936"/>
      <c r="NBK72" s="2936"/>
      <c r="NBL72" s="2936"/>
      <c r="NBM72" s="2936"/>
      <c r="NBN72" s="2936"/>
      <c r="NBO72" s="2936"/>
      <c r="NBP72" s="2936"/>
      <c r="NBQ72" s="2936"/>
      <c r="NBR72" s="2936"/>
      <c r="NBS72" s="2936"/>
      <c r="NBT72" s="2936"/>
      <c r="NBU72" s="2936"/>
      <c r="NBV72" s="2936"/>
      <c r="NBW72" s="2936"/>
      <c r="NBX72" s="2936"/>
      <c r="NBY72" s="2936"/>
      <c r="NBZ72" s="2936"/>
      <c r="NCA72" s="2936"/>
      <c r="NCB72" s="2936"/>
      <c r="NCC72" s="2936"/>
      <c r="NCD72" s="2936"/>
      <c r="NCE72" s="2936"/>
      <c r="NCF72" s="2936"/>
      <c r="NCG72" s="2936"/>
      <c r="NCH72" s="2936"/>
      <c r="NCI72" s="2936"/>
      <c r="NCJ72" s="2936"/>
      <c r="NCK72" s="2936"/>
      <c r="NCL72" s="2936"/>
      <c r="NCM72" s="2936"/>
      <c r="NCN72" s="2936"/>
      <c r="NCO72" s="2936"/>
      <c r="NCP72" s="2936"/>
      <c r="NCQ72" s="2936"/>
      <c r="NCR72" s="2936"/>
      <c r="NCS72" s="2936"/>
      <c r="NCT72" s="2936"/>
      <c r="NCU72" s="2936"/>
      <c r="NCV72" s="2936"/>
      <c r="NCW72" s="2936"/>
      <c r="NCX72" s="2936"/>
      <c r="NCY72" s="2936"/>
      <c r="NCZ72" s="2936"/>
      <c r="NDA72" s="2936"/>
      <c r="NDB72" s="2936"/>
      <c r="NDC72" s="2936"/>
      <c r="NDD72" s="2936"/>
      <c r="NDE72" s="2936"/>
      <c r="NDF72" s="2936"/>
      <c r="NDG72" s="2936"/>
      <c r="NDH72" s="2936"/>
      <c r="NDI72" s="2936"/>
      <c r="NDJ72" s="2936"/>
      <c r="NDK72" s="2936"/>
      <c r="NDL72" s="2936"/>
      <c r="NDM72" s="2936"/>
      <c r="NDN72" s="2936"/>
      <c r="NDO72" s="2936"/>
      <c r="NDP72" s="2936"/>
      <c r="NDQ72" s="2936"/>
      <c r="NDR72" s="2936"/>
      <c r="NDS72" s="2936"/>
      <c r="NDT72" s="2936"/>
      <c r="NDU72" s="2936"/>
      <c r="NDV72" s="2936"/>
      <c r="NDW72" s="2936"/>
      <c r="NDX72" s="2936"/>
      <c r="NDY72" s="2936"/>
      <c r="NDZ72" s="2936"/>
      <c r="NEA72" s="2936"/>
      <c r="NEB72" s="2936"/>
      <c r="NEC72" s="2936"/>
      <c r="NED72" s="2936"/>
      <c r="NEE72" s="2936"/>
      <c r="NEF72" s="2936"/>
      <c r="NEG72" s="2936"/>
      <c r="NEH72" s="2936"/>
      <c r="NEI72" s="2936"/>
      <c r="NEJ72" s="2936"/>
      <c r="NEK72" s="2936"/>
      <c r="NEL72" s="2936"/>
      <c r="NEM72" s="2936"/>
      <c r="NEN72" s="2936"/>
      <c r="NEO72" s="2936"/>
      <c r="NEP72" s="2936"/>
      <c r="NEQ72" s="2936"/>
      <c r="NER72" s="2936"/>
      <c r="NES72" s="2936"/>
      <c r="NET72" s="2936"/>
      <c r="NEU72" s="2936"/>
      <c r="NEV72" s="2936"/>
      <c r="NEW72" s="2936"/>
      <c r="NEX72" s="2936"/>
      <c r="NEY72" s="2936"/>
      <c r="NEZ72" s="2936"/>
      <c r="NFA72" s="2936"/>
      <c r="NFB72" s="2936"/>
      <c r="NFC72" s="2936"/>
      <c r="NFD72" s="2936"/>
      <c r="NFE72" s="2936"/>
      <c r="NFF72" s="2936"/>
      <c r="NFG72" s="2936"/>
      <c r="NFH72" s="2936"/>
      <c r="NFI72" s="2936"/>
      <c r="NFJ72" s="2936"/>
      <c r="NFK72" s="2936"/>
      <c r="NFL72" s="2936"/>
      <c r="NFM72" s="2936"/>
      <c r="NFN72" s="2936"/>
      <c r="NFO72" s="2936"/>
      <c r="NFP72" s="2936"/>
      <c r="NFQ72" s="2936"/>
      <c r="NFR72" s="2936"/>
      <c r="NFS72" s="2936"/>
      <c r="NFT72" s="2936"/>
      <c r="NFU72" s="2936"/>
      <c r="NFV72" s="2936"/>
      <c r="NFW72" s="2936"/>
      <c r="NFX72" s="2936"/>
      <c r="NFY72" s="2936"/>
      <c r="NFZ72" s="2936"/>
      <c r="NGA72" s="2936"/>
      <c r="NGB72" s="2936"/>
      <c r="NGC72" s="2936"/>
      <c r="NGD72" s="2936"/>
      <c r="NGE72" s="2936"/>
      <c r="NGF72" s="2936"/>
      <c r="NGG72" s="2936"/>
      <c r="NGH72" s="2936"/>
      <c r="NGI72" s="2936"/>
      <c r="NGJ72" s="2936"/>
      <c r="NGK72" s="2936"/>
      <c r="NGL72" s="2936"/>
      <c r="NGM72" s="2936"/>
      <c r="NGN72" s="2936"/>
      <c r="NGO72" s="2936"/>
      <c r="NGP72" s="2936"/>
      <c r="NGQ72" s="2936"/>
      <c r="NGR72" s="2936"/>
      <c r="NGS72" s="2936"/>
      <c r="NGT72" s="2936"/>
      <c r="NGU72" s="2936"/>
      <c r="NGV72" s="2936"/>
      <c r="NGW72" s="2936"/>
      <c r="NGX72" s="2936"/>
      <c r="NGY72" s="2936"/>
      <c r="NGZ72" s="2936"/>
      <c r="NHA72" s="2936"/>
      <c r="NHB72" s="2936"/>
      <c r="NHC72" s="2936"/>
      <c r="NHD72" s="2936"/>
      <c r="NHE72" s="2936"/>
      <c r="NHF72" s="2936"/>
      <c r="NHG72" s="2936"/>
      <c r="NHH72" s="2936"/>
      <c r="NHI72" s="2936"/>
      <c r="NHJ72" s="2936"/>
      <c r="NHK72" s="2936"/>
      <c r="NHL72" s="2936"/>
      <c r="NHM72" s="2936"/>
      <c r="NHN72" s="2936"/>
      <c r="NHO72" s="2936"/>
      <c r="NHP72" s="2936"/>
      <c r="NHQ72" s="2936"/>
      <c r="NHR72" s="2936"/>
      <c r="NHS72" s="2936"/>
      <c r="NHT72" s="2936"/>
      <c r="NHU72" s="2936"/>
      <c r="NHV72" s="2936"/>
      <c r="NHW72" s="2936"/>
      <c r="NHX72" s="2936"/>
      <c r="NHY72" s="2936"/>
      <c r="NHZ72" s="2936"/>
      <c r="NIA72" s="2936"/>
      <c r="NIB72" s="2936"/>
      <c r="NIC72" s="2936"/>
      <c r="NID72" s="2936"/>
      <c r="NIE72" s="2936"/>
      <c r="NIF72" s="2936"/>
      <c r="NIG72" s="2936"/>
      <c r="NIH72" s="2936"/>
      <c r="NII72" s="2936"/>
      <c r="NIJ72" s="2936"/>
      <c r="NIK72" s="2936"/>
      <c r="NIL72" s="2936"/>
      <c r="NIM72" s="2936"/>
      <c r="NIN72" s="2936"/>
      <c r="NIO72" s="2936"/>
      <c r="NIP72" s="2936"/>
      <c r="NIQ72" s="2936"/>
      <c r="NIR72" s="2936"/>
      <c r="NIS72" s="2936"/>
      <c r="NIT72" s="2936"/>
      <c r="NIU72" s="2936"/>
      <c r="NIV72" s="2936"/>
      <c r="NIW72" s="2936"/>
      <c r="NIX72" s="2936"/>
      <c r="NIY72" s="2936"/>
      <c r="NIZ72" s="2936"/>
      <c r="NJA72" s="2936"/>
      <c r="NJB72" s="2936"/>
      <c r="NJC72" s="2936"/>
      <c r="NJD72" s="2936"/>
      <c r="NJE72" s="2936"/>
      <c r="NJF72" s="2936"/>
      <c r="NJG72" s="2936"/>
      <c r="NJH72" s="2936"/>
      <c r="NJI72" s="2936"/>
      <c r="NJJ72" s="2936"/>
      <c r="NJK72" s="2936"/>
      <c r="NJL72" s="2936"/>
      <c r="NJM72" s="2936"/>
      <c r="NJN72" s="2936"/>
      <c r="NJO72" s="2936"/>
      <c r="NJP72" s="2936"/>
      <c r="NJQ72" s="2936"/>
      <c r="NJR72" s="2936"/>
      <c r="NJS72" s="2936"/>
      <c r="NJT72" s="2936"/>
      <c r="NJU72" s="2936"/>
      <c r="NJV72" s="2936"/>
      <c r="NJW72" s="2936"/>
      <c r="NJX72" s="2936"/>
      <c r="NJY72" s="2936"/>
      <c r="NJZ72" s="2936"/>
      <c r="NKA72" s="2936"/>
      <c r="NKB72" s="2936"/>
      <c r="NKC72" s="2936"/>
      <c r="NKD72" s="2936"/>
      <c r="NKE72" s="2936"/>
      <c r="NKF72" s="2936"/>
      <c r="NKG72" s="2936"/>
      <c r="NKH72" s="2936"/>
      <c r="NKI72" s="2936"/>
      <c r="NKJ72" s="2936"/>
      <c r="NKK72" s="2936"/>
      <c r="NKL72" s="2936"/>
      <c r="NKM72" s="2936"/>
      <c r="NKN72" s="2936"/>
      <c r="NKO72" s="2936"/>
      <c r="NKP72" s="2936"/>
      <c r="NKQ72" s="2936"/>
      <c r="NKR72" s="2936"/>
      <c r="NKS72" s="2936"/>
      <c r="NKT72" s="2936"/>
      <c r="NKU72" s="2936"/>
      <c r="NKV72" s="2936"/>
      <c r="NKW72" s="2936"/>
      <c r="NKX72" s="2936"/>
      <c r="NKY72" s="2936"/>
      <c r="NKZ72" s="2936"/>
      <c r="NLA72" s="2936"/>
      <c r="NLB72" s="2936"/>
      <c r="NLC72" s="2936"/>
      <c r="NLD72" s="2936"/>
      <c r="NLE72" s="2936"/>
      <c r="NLF72" s="2936"/>
      <c r="NLG72" s="2936"/>
      <c r="NLH72" s="2936"/>
      <c r="NLI72" s="2936"/>
      <c r="NLJ72" s="2936"/>
      <c r="NLK72" s="2936"/>
      <c r="NLL72" s="2936"/>
      <c r="NLM72" s="2936"/>
      <c r="NLN72" s="2936"/>
      <c r="NLO72" s="2936"/>
      <c r="NLP72" s="2936"/>
      <c r="NLQ72" s="2936"/>
      <c r="NLR72" s="2936"/>
      <c r="NLS72" s="2936"/>
      <c r="NLT72" s="2936"/>
      <c r="NLU72" s="2936"/>
      <c r="NLV72" s="2936"/>
      <c r="NLW72" s="2936"/>
      <c r="NLX72" s="2936"/>
      <c r="NLY72" s="2936"/>
      <c r="NLZ72" s="2936"/>
      <c r="NMA72" s="2936"/>
      <c r="NMB72" s="2936"/>
      <c r="NMC72" s="2936"/>
      <c r="NMD72" s="2936"/>
      <c r="NME72" s="2936"/>
      <c r="NMF72" s="2936"/>
      <c r="NMG72" s="2936"/>
      <c r="NMH72" s="2936"/>
      <c r="NMI72" s="2936"/>
      <c r="NMJ72" s="2936"/>
      <c r="NMK72" s="2936"/>
      <c r="NML72" s="2936"/>
      <c r="NMM72" s="2936"/>
      <c r="NMN72" s="2936"/>
      <c r="NMO72" s="2936"/>
      <c r="NMP72" s="2936"/>
      <c r="NMQ72" s="2936"/>
      <c r="NMR72" s="2936"/>
      <c r="NMS72" s="2936"/>
      <c r="NMT72" s="2936"/>
      <c r="NMU72" s="2936"/>
      <c r="NMV72" s="2936"/>
      <c r="NMW72" s="2936"/>
      <c r="NMX72" s="2936"/>
      <c r="NMY72" s="2936"/>
      <c r="NMZ72" s="2936"/>
      <c r="NNA72" s="2936"/>
      <c r="NNB72" s="2936"/>
      <c r="NNC72" s="2936"/>
      <c r="NND72" s="2936"/>
      <c r="NNE72" s="2936"/>
      <c r="NNF72" s="2936"/>
      <c r="NNG72" s="2936"/>
      <c r="NNH72" s="2936"/>
      <c r="NNI72" s="2936"/>
      <c r="NNJ72" s="2936"/>
      <c r="NNK72" s="2936"/>
      <c r="NNL72" s="2936"/>
      <c r="NNM72" s="2936"/>
      <c r="NNN72" s="2936"/>
      <c r="NNO72" s="2936"/>
      <c r="NNP72" s="2936"/>
      <c r="NNQ72" s="2936"/>
      <c r="NNR72" s="2936"/>
      <c r="NNS72" s="2936"/>
      <c r="NNT72" s="2936"/>
      <c r="NNU72" s="2936"/>
      <c r="NNV72" s="2936"/>
      <c r="NNW72" s="2936"/>
      <c r="NNX72" s="2936"/>
      <c r="NNY72" s="2936"/>
      <c r="NNZ72" s="2936"/>
      <c r="NOA72" s="2936"/>
      <c r="NOB72" s="2936"/>
      <c r="NOC72" s="2936"/>
      <c r="NOD72" s="2936"/>
      <c r="NOE72" s="2936"/>
      <c r="NOF72" s="2936"/>
      <c r="NOG72" s="2936"/>
      <c r="NOH72" s="2936"/>
      <c r="NOI72" s="2936"/>
      <c r="NOJ72" s="2936"/>
      <c r="NOK72" s="2936"/>
      <c r="NOL72" s="2936"/>
      <c r="NOM72" s="2936"/>
      <c r="NON72" s="2936"/>
      <c r="NOO72" s="2936"/>
      <c r="NOP72" s="2936"/>
      <c r="NOQ72" s="2936"/>
      <c r="NOR72" s="2936"/>
      <c r="NOS72" s="2936"/>
      <c r="NOT72" s="2936"/>
      <c r="NOU72" s="2936"/>
      <c r="NOV72" s="2936"/>
      <c r="NOW72" s="2936"/>
      <c r="NOX72" s="2936"/>
      <c r="NOY72" s="2936"/>
      <c r="NOZ72" s="2936"/>
      <c r="NPA72" s="2936"/>
      <c r="NPB72" s="2936"/>
      <c r="NPC72" s="2936"/>
      <c r="NPD72" s="2936"/>
      <c r="NPE72" s="2936"/>
      <c r="NPF72" s="2936"/>
      <c r="NPG72" s="2936"/>
      <c r="NPH72" s="2936"/>
      <c r="NPI72" s="2936"/>
      <c r="NPJ72" s="2936"/>
      <c r="NPK72" s="2936"/>
      <c r="NPL72" s="2936"/>
      <c r="NPM72" s="2936"/>
      <c r="NPN72" s="2936"/>
      <c r="NPO72" s="2936"/>
      <c r="NPP72" s="2936"/>
      <c r="NPQ72" s="2936"/>
      <c r="NPR72" s="2936"/>
      <c r="NPS72" s="2936"/>
      <c r="NPT72" s="2936"/>
      <c r="NPU72" s="2936"/>
      <c r="NPV72" s="2936"/>
      <c r="NPW72" s="2936"/>
      <c r="NPX72" s="2936"/>
      <c r="NPY72" s="2936"/>
      <c r="NPZ72" s="2936"/>
      <c r="NQA72" s="2936"/>
      <c r="NQB72" s="2936"/>
      <c r="NQC72" s="2936"/>
      <c r="NQD72" s="2936"/>
      <c r="NQE72" s="2936"/>
      <c r="NQF72" s="2936"/>
      <c r="NQG72" s="2936"/>
      <c r="NQH72" s="2936"/>
      <c r="NQI72" s="2936"/>
      <c r="NQJ72" s="2936"/>
      <c r="NQK72" s="2936"/>
      <c r="NQL72" s="2936"/>
      <c r="NQM72" s="2936"/>
      <c r="NQN72" s="2936"/>
      <c r="NQO72" s="2936"/>
      <c r="NQP72" s="2936"/>
      <c r="NQQ72" s="2936"/>
      <c r="NQR72" s="2936"/>
      <c r="NQS72" s="2936"/>
      <c r="NQT72" s="2936"/>
      <c r="NQU72" s="2936"/>
      <c r="NQV72" s="2936"/>
      <c r="NQW72" s="2936"/>
      <c r="NQX72" s="2936"/>
      <c r="NQY72" s="2936"/>
      <c r="NQZ72" s="2936"/>
      <c r="NRA72" s="2936"/>
      <c r="NRB72" s="2936"/>
      <c r="NRC72" s="2936"/>
      <c r="NRD72" s="2936"/>
      <c r="NRE72" s="2936"/>
      <c r="NRF72" s="2936"/>
      <c r="NRG72" s="2936"/>
      <c r="NRH72" s="2936"/>
      <c r="NRI72" s="2936"/>
      <c r="NRJ72" s="2936"/>
      <c r="NRK72" s="2936"/>
      <c r="NRL72" s="2936"/>
      <c r="NRM72" s="2936"/>
      <c r="NRN72" s="2936"/>
      <c r="NRO72" s="2936"/>
      <c r="NRP72" s="2936"/>
      <c r="NRQ72" s="2936"/>
      <c r="NRR72" s="2936"/>
      <c r="NRS72" s="2936"/>
      <c r="NRT72" s="2936"/>
      <c r="NRU72" s="2936"/>
      <c r="NRV72" s="2936"/>
      <c r="NRW72" s="2936"/>
      <c r="NRX72" s="2936"/>
      <c r="NRY72" s="2936"/>
      <c r="NRZ72" s="2936"/>
      <c r="NSA72" s="2936"/>
      <c r="NSB72" s="2936"/>
      <c r="NSC72" s="2936"/>
      <c r="NSD72" s="2936"/>
      <c r="NSE72" s="2936"/>
      <c r="NSF72" s="2936"/>
      <c r="NSG72" s="2936"/>
      <c r="NSH72" s="2936"/>
      <c r="NSI72" s="2936"/>
      <c r="NSJ72" s="2936"/>
      <c r="NSK72" s="2936"/>
      <c r="NSL72" s="2936"/>
      <c r="NSM72" s="2936"/>
      <c r="NSN72" s="2936"/>
      <c r="NSO72" s="2936"/>
      <c r="NSP72" s="2936"/>
      <c r="NSQ72" s="2936"/>
      <c r="NSR72" s="2936"/>
      <c r="NSS72" s="2936"/>
      <c r="NST72" s="2936"/>
      <c r="NSU72" s="2936"/>
      <c r="NSV72" s="2936"/>
      <c r="NSW72" s="2936"/>
      <c r="NSX72" s="2936"/>
      <c r="NSY72" s="2936"/>
      <c r="NSZ72" s="2936"/>
      <c r="NTA72" s="2936"/>
      <c r="NTB72" s="2936"/>
      <c r="NTC72" s="2936"/>
      <c r="NTD72" s="2936"/>
      <c r="NTE72" s="2936"/>
      <c r="NTF72" s="2936"/>
      <c r="NTG72" s="2936"/>
      <c r="NTH72" s="2936"/>
      <c r="NTI72" s="2936"/>
      <c r="NTJ72" s="2936"/>
      <c r="NTK72" s="2936"/>
      <c r="NTL72" s="2936"/>
      <c r="NTM72" s="2936"/>
      <c r="NTN72" s="2936"/>
      <c r="NTO72" s="2936"/>
      <c r="NTP72" s="2936"/>
      <c r="NTQ72" s="2936"/>
      <c r="NTR72" s="2936"/>
      <c r="NTS72" s="2936"/>
      <c r="NTT72" s="2936"/>
      <c r="NTU72" s="2936"/>
      <c r="NTV72" s="2936"/>
      <c r="NTW72" s="2936"/>
      <c r="NTX72" s="2936"/>
      <c r="NTY72" s="2936"/>
      <c r="NTZ72" s="2936"/>
      <c r="NUA72" s="2936"/>
      <c r="NUB72" s="2936"/>
      <c r="NUC72" s="2936"/>
      <c r="NUD72" s="2936"/>
      <c r="NUE72" s="2936"/>
      <c r="NUF72" s="2936"/>
      <c r="NUG72" s="2936"/>
      <c r="NUH72" s="2936"/>
      <c r="NUI72" s="2936"/>
      <c r="NUJ72" s="2936"/>
      <c r="NUK72" s="2936"/>
      <c r="NUL72" s="2936"/>
      <c r="NUM72" s="2936"/>
      <c r="NUN72" s="2936"/>
      <c r="NUO72" s="2936"/>
      <c r="NUP72" s="2936"/>
      <c r="NUQ72" s="2936"/>
      <c r="NUR72" s="2936"/>
      <c r="NUS72" s="2936"/>
      <c r="NUT72" s="2936"/>
      <c r="NUU72" s="2936"/>
      <c r="NUV72" s="2936"/>
      <c r="NUW72" s="2936"/>
      <c r="NUX72" s="2936"/>
      <c r="NUY72" s="2936"/>
      <c r="NUZ72" s="2936"/>
      <c r="NVA72" s="2936"/>
      <c r="NVB72" s="2936"/>
      <c r="NVC72" s="2936"/>
      <c r="NVD72" s="2936"/>
      <c r="NVE72" s="2936"/>
      <c r="NVF72" s="2936"/>
      <c r="NVG72" s="2936"/>
      <c r="NVH72" s="2936"/>
      <c r="NVI72" s="2936"/>
      <c r="NVJ72" s="2936"/>
      <c r="NVK72" s="2936"/>
      <c r="NVL72" s="2936"/>
      <c r="NVM72" s="2936"/>
      <c r="NVN72" s="2936"/>
      <c r="NVO72" s="2936"/>
      <c r="NVP72" s="2936"/>
      <c r="NVQ72" s="2936"/>
      <c r="NVR72" s="2936"/>
      <c r="NVS72" s="2936"/>
      <c r="NVT72" s="2936"/>
      <c r="NVU72" s="2936"/>
      <c r="NVV72" s="2936"/>
      <c r="NVW72" s="2936"/>
      <c r="NVX72" s="2936"/>
      <c r="NVY72" s="2936"/>
      <c r="NVZ72" s="2936"/>
      <c r="NWA72" s="2936"/>
      <c r="NWB72" s="2936"/>
      <c r="NWC72" s="2936"/>
      <c r="NWD72" s="2936"/>
      <c r="NWE72" s="2936"/>
      <c r="NWF72" s="2936"/>
      <c r="NWG72" s="2936"/>
      <c r="NWH72" s="2936"/>
      <c r="NWI72" s="2936"/>
      <c r="NWJ72" s="2936"/>
      <c r="NWK72" s="2936"/>
      <c r="NWL72" s="2936"/>
      <c r="NWM72" s="2936"/>
      <c r="NWN72" s="2936"/>
      <c r="NWO72" s="2936"/>
      <c r="NWP72" s="2936"/>
      <c r="NWQ72" s="2936"/>
      <c r="NWR72" s="2936"/>
      <c r="NWS72" s="2936"/>
      <c r="NWT72" s="2936"/>
      <c r="NWU72" s="2936"/>
      <c r="NWV72" s="2936"/>
      <c r="NWW72" s="2936"/>
      <c r="NWX72" s="2936"/>
      <c r="NWY72" s="2936"/>
      <c r="NWZ72" s="2936"/>
      <c r="NXA72" s="2936"/>
      <c r="NXB72" s="2936"/>
      <c r="NXC72" s="2936"/>
      <c r="NXD72" s="2936"/>
      <c r="NXE72" s="2936"/>
      <c r="NXF72" s="2936"/>
      <c r="NXG72" s="2936"/>
      <c r="NXH72" s="2936"/>
      <c r="NXI72" s="2936"/>
      <c r="NXJ72" s="2936"/>
      <c r="NXK72" s="2936"/>
      <c r="NXL72" s="2936"/>
      <c r="NXM72" s="2936"/>
      <c r="NXN72" s="2936"/>
      <c r="NXO72" s="2936"/>
      <c r="NXP72" s="2936"/>
      <c r="NXQ72" s="2936"/>
      <c r="NXR72" s="2936"/>
      <c r="NXS72" s="2936"/>
      <c r="NXT72" s="2936"/>
      <c r="NXU72" s="2936"/>
      <c r="NXV72" s="2936"/>
      <c r="NXW72" s="2936"/>
      <c r="NXX72" s="2936"/>
      <c r="NXY72" s="2936"/>
      <c r="NXZ72" s="2936"/>
      <c r="NYA72" s="2936"/>
      <c r="NYB72" s="2936"/>
      <c r="NYC72" s="2936"/>
      <c r="NYD72" s="2936"/>
      <c r="NYE72" s="2936"/>
      <c r="NYF72" s="2936"/>
      <c r="NYG72" s="2936"/>
      <c r="NYH72" s="2936"/>
      <c r="NYI72" s="2936"/>
      <c r="NYJ72" s="2936"/>
      <c r="NYK72" s="2936"/>
      <c r="NYL72" s="2936"/>
      <c r="NYM72" s="2936"/>
      <c r="NYN72" s="2936"/>
      <c r="NYO72" s="2936"/>
      <c r="NYP72" s="2936"/>
      <c r="NYQ72" s="2936"/>
      <c r="NYR72" s="2936"/>
      <c r="NYS72" s="2936"/>
      <c r="NYT72" s="2936"/>
      <c r="NYU72" s="2936"/>
      <c r="NYV72" s="2936"/>
      <c r="NYW72" s="2936"/>
      <c r="NYX72" s="2936"/>
      <c r="NYY72" s="2936"/>
      <c r="NYZ72" s="2936"/>
      <c r="NZA72" s="2936"/>
      <c r="NZB72" s="2936"/>
      <c r="NZC72" s="2936"/>
      <c r="NZD72" s="2936"/>
      <c r="NZE72" s="2936"/>
      <c r="NZF72" s="2936"/>
      <c r="NZG72" s="2936"/>
      <c r="NZH72" s="2936"/>
      <c r="NZI72" s="2936"/>
      <c r="NZJ72" s="2936"/>
      <c r="NZK72" s="2936"/>
      <c r="NZL72" s="2936"/>
      <c r="NZM72" s="2936"/>
      <c r="NZN72" s="2936"/>
      <c r="NZO72" s="2936"/>
      <c r="NZP72" s="2936"/>
      <c r="NZQ72" s="2936"/>
      <c r="NZR72" s="2936"/>
      <c r="NZS72" s="2936"/>
      <c r="NZT72" s="2936"/>
      <c r="NZU72" s="2936"/>
      <c r="NZV72" s="2936"/>
      <c r="NZW72" s="2936"/>
      <c r="NZX72" s="2936"/>
      <c r="NZY72" s="2936"/>
      <c r="NZZ72" s="2936"/>
      <c r="OAA72" s="2936"/>
      <c r="OAB72" s="2936"/>
      <c r="OAC72" s="2936"/>
      <c r="OAD72" s="2936"/>
      <c r="OAE72" s="2936"/>
      <c r="OAF72" s="2936"/>
      <c r="OAG72" s="2936"/>
      <c r="OAH72" s="2936"/>
      <c r="OAI72" s="2936"/>
      <c r="OAJ72" s="2936"/>
      <c r="OAK72" s="2936"/>
      <c r="OAL72" s="2936"/>
      <c r="OAM72" s="2936"/>
      <c r="OAN72" s="2936"/>
      <c r="OAO72" s="2936"/>
      <c r="OAP72" s="2936"/>
      <c r="OAQ72" s="2936"/>
      <c r="OAR72" s="2936"/>
      <c r="OAS72" s="2936"/>
      <c r="OAT72" s="2936"/>
      <c r="OAU72" s="2936"/>
      <c r="OAV72" s="2936"/>
      <c r="OAW72" s="2936"/>
      <c r="OAX72" s="2936"/>
      <c r="OAY72" s="2936"/>
      <c r="OAZ72" s="2936"/>
      <c r="OBA72" s="2936"/>
      <c r="OBB72" s="2936"/>
      <c r="OBC72" s="2936"/>
      <c r="OBD72" s="2936"/>
      <c r="OBE72" s="2936"/>
      <c r="OBF72" s="2936"/>
      <c r="OBG72" s="2936"/>
      <c r="OBH72" s="2936"/>
      <c r="OBI72" s="2936"/>
      <c r="OBJ72" s="2936"/>
      <c r="OBK72" s="2936"/>
      <c r="OBL72" s="2936"/>
      <c r="OBM72" s="2936"/>
      <c r="OBN72" s="2936"/>
      <c r="OBO72" s="2936"/>
      <c r="OBP72" s="2936"/>
      <c r="OBQ72" s="2936"/>
      <c r="OBR72" s="2936"/>
      <c r="OBS72" s="2936"/>
      <c r="OBT72" s="2936"/>
      <c r="OBU72" s="2936"/>
      <c r="OBV72" s="2936"/>
      <c r="OBW72" s="2936"/>
      <c r="OBX72" s="2936"/>
      <c r="OBY72" s="2936"/>
      <c r="OBZ72" s="2936"/>
      <c r="OCA72" s="2936"/>
      <c r="OCB72" s="2936"/>
      <c r="OCC72" s="2936"/>
      <c r="OCD72" s="2936"/>
      <c r="OCE72" s="2936"/>
      <c r="OCF72" s="2936"/>
      <c r="OCG72" s="2936"/>
      <c r="OCH72" s="2936"/>
      <c r="OCI72" s="2936"/>
      <c r="OCJ72" s="2936"/>
      <c r="OCK72" s="2936"/>
      <c r="OCL72" s="2936"/>
      <c r="OCM72" s="2936"/>
      <c r="OCN72" s="2936"/>
      <c r="OCO72" s="2936"/>
      <c r="OCP72" s="2936"/>
      <c r="OCQ72" s="2936"/>
      <c r="OCR72" s="2936"/>
      <c r="OCS72" s="2936"/>
      <c r="OCT72" s="2936"/>
      <c r="OCU72" s="2936"/>
      <c r="OCV72" s="2936"/>
      <c r="OCW72" s="2936"/>
      <c r="OCX72" s="2936"/>
      <c r="OCY72" s="2936"/>
      <c r="OCZ72" s="2936"/>
      <c r="ODA72" s="2936"/>
      <c r="ODB72" s="2936"/>
      <c r="ODC72" s="2936"/>
      <c r="ODD72" s="2936"/>
      <c r="ODE72" s="2936"/>
      <c r="ODF72" s="2936"/>
      <c r="ODG72" s="2936"/>
      <c r="ODH72" s="2936"/>
      <c r="ODI72" s="2936"/>
      <c r="ODJ72" s="2936"/>
      <c r="ODK72" s="2936"/>
      <c r="ODL72" s="2936"/>
      <c r="ODM72" s="2936"/>
      <c r="ODN72" s="2936"/>
      <c r="ODO72" s="2936"/>
      <c r="ODP72" s="2936"/>
      <c r="ODQ72" s="2936"/>
      <c r="ODR72" s="2936"/>
      <c r="ODS72" s="2936"/>
      <c r="ODT72" s="2936"/>
      <c r="ODU72" s="2936"/>
      <c r="ODV72" s="2936"/>
      <c r="ODW72" s="2936"/>
      <c r="ODX72" s="2936"/>
      <c r="ODY72" s="2936"/>
      <c r="ODZ72" s="2936"/>
      <c r="OEA72" s="2936"/>
      <c r="OEB72" s="2936"/>
      <c r="OEC72" s="2936"/>
      <c r="OED72" s="2936"/>
      <c r="OEE72" s="2936"/>
      <c r="OEF72" s="2936"/>
      <c r="OEG72" s="2936"/>
      <c r="OEH72" s="2936"/>
      <c r="OEI72" s="2936"/>
      <c r="OEJ72" s="2936"/>
      <c r="OEK72" s="2936"/>
      <c r="OEL72" s="2936"/>
      <c r="OEM72" s="2936"/>
      <c r="OEN72" s="2936"/>
      <c r="OEO72" s="2936"/>
      <c r="OEP72" s="2936"/>
      <c r="OEQ72" s="2936"/>
      <c r="OER72" s="2936"/>
      <c r="OES72" s="2936"/>
      <c r="OET72" s="2936"/>
      <c r="OEU72" s="2936"/>
      <c r="OEV72" s="2936"/>
      <c r="OEW72" s="2936"/>
      <c r="OEX72" s="2936"/>
      <c r="OEY72" s="2936"/>
      <c r="OEZ72" s="2936"/>
      <c r="OFA72" s="2936"/>
      <c r="OFB72" s="2936"/>
      <c r="OFC72" s="2936"/>
      <c r="OFD72" s="2936"/>
      <c r="OFE72" s="2936"/>
      <c r="OFF72" s="2936"/>
      <c r="OFG72" s="2936"/>
      <c r="OFH72" s="2936"/>
      <c r="OFI72" s="2936"/>
      <c r="OFJ72" s="2936"/>
      <c r="OFK72" s="2936"/>
      <c r="OFL72" s="2936"/>
      <c r="OFM72" s="2936"/>
      <c r="OFN72" s="2936"/>
      <c r="OFO72" s="2936"/>
      <c r="OFP72" s="2936"/>
      <c r="OFQ72" s="2936"/>
      <c r="OFR72" s="2936"/>
      <c r="OFS72" s="2936"/>
      <c r="OFT72" s="2936"/>
      <c r="OFU72" s="2936"/>
      <c r="OFV72" s="2936"/>
      <c r="OFW72" s="2936"/>
      <c r="OFX72" s="2936"/>
      <c r="OFY72" s="2936"/>
      <c r="OFZ72" s="2936"/>
      <c r="OGA72" s="2936"/>
      <c r="OGB72" s="2936"/>
      <c r="OGC72" s="2936"/>
      <c r="OGD72" s="2936"/>
      <c r="OGE72" s="2936"/>
      <c r="OGF72" s="2936"/>
      <c r="OGG72" s="2936"/>
      <c r="OGH72" s="2936"/>
      <c r="OGI72" s="2936"/>
      <c r="OGJ72" s="2936"/>
      <c r="OGK72" s="2936"/>
      <c r="OGL72" s="2936"/>
      <c r="OGM72" s="2936"/>
      <c r="OGN72" s="2936"/>
      <c r="OGO72" s="2936"/>
      <c r="OGP72" s="2936"/>
      <c r="OGQ72" s="2936"/>
      <c r="OGR72" s="2936"/>
      <c r="OGS72" s="2936"/>
      <c r="OGT72" s="2936"/>
      <c r="OGU72" s="2936"/>
      <c r="OGV72" s="2936"/>
      <c r="OGW72" s="2936"/>
      <c r="OGX72" s="2936"/>
      <c r="OGY72" s="2936"/>
      <c r="OGZ72" s="2936"/>
      <c r="OHA72" s="2936"/>
      <c r="OHB72" s="2936"/>
      <c r="OHC72" s="2936"/>
      <c r="OHD72" s="2936"/>
      <c r="OHE72" s="2936"/>
      <c r="OHF72" s="2936"/>
      <c r="OHG72" s="2936"/>
      <c r="OHH72" s="2936"/>
      <c r="OHI72" s="2936"/>
      <c r="OHJ72" s="2936"/>
      <c r="OHK72" s="2936"/>
      <c r="OHL72" s="2936"/>
      <c r="OHM72" s="2936"/>
      <c r="OHN72" s="2936"/>
      <c r="OHO72" s="2936"/>
      <c r="OHP72" s="2936"/>
      <c r="OHQ72" s="2936"/>
      <c r="OHR72" s="2936"/>
      <c r="OHS72" s="2936"/>
      <c r="OHT72" s="2936"/>
      <c r="OHU72" s="2936"/>
      <c r="OHV72" s="2936"/>
      <c r="OHW72" s="2936"/>
      <c r="OHX72" s="2936"/>
      <c r="OHY72" s="2936"/>
      <c r="OHZ72" s="2936"/>
      <c r="OIA72" s="2936"/>
      <c r="OIB72" s="2936"/>
      <c r="OIC72" s="2936"/>
      <c r="OID72" s="2936"/>
      <c r="OIE72" s="2936"/>
      <c r="OIF72" s="2936"/>
      <c r="OIG72" s="2936"/>
      <c r="OIH72" s="2936"/>
      <c r="OII72" s="2936"/>
      <c r="OIJ72" s="2936"/>
      <c r="OIK72" s="2936"/>
      <c r="OIL72" s="2936"/>
      <c r="OIM72" s="2936"/>
      <c r="OIN72" s="2936"/>
      <c r="OIO72" s="2936"/>
      <c r="OIP72" s="2936"/>
      <c r="OIQ72" s="2936"/>
      <c r="OIR72" s="2936"/>
      <c r="OIS72" s="2936"/>
      <c r="OIT72" s="2936"/>
      <c r="OIU72" s="2936"/>
      <c r="OIV72" s="2936"/>
      <c r="OIW72" s="2936"/>
      <c r="OIX72" s="2936"/>
      <c r="OIY72" s="2936"/>
      <c r="OIZ72" s="2936"/>
      <c r="OJA72" s="2936"/>
      <c r="OJB72" s="2936"/>
      <c r="OJC72" s="2936"/>
      <c r="OJD72" s="2936"/>
      <c r="OJE72" s="2936"/>
      <c r="OJF72" s="2936"/>
      <c r="OJG72" s="2936"/>
      <c r="OJH72" s="2936"/>
      <c r="OJI72" s="2936"/>
      <c r="OJJ72" s="2936"/>
      <c r="OJK72" s="2936"/>
      <c r="OJL72" s="2936"/>
      <c r="OJM72" s="2936"/>
      <c r="OJN72" s="2936"/>
      <c r="OJO72" s="2936"/>
      <c r="OJP72" s="2936"/>
      <c r="OJQ72" s="2936"/>
      <c r="OJR72" s="2936"/>
      <c r="OJS72" s="2936"/>
      <c r="OJT72" s="2936"/>
      <c r="OJU72" s="2936"/>
      <c r="OJV72" s="2936"/>
      <c r="OJW72" s="2936"/>
      <c r="OJX72" s="2936"/>
      <c r="OJY72" s="2936"/>
      <c r="OJZ72" s="2936"/>
      <c r="OKA72" s="2936"/>
      <c r="OKB72" s="2936"/>
      <c r="OKC72" s="2936"/>
      <c r="OKD72" s="2936"/>
      <c r="OKE72" s="2936"/>
      <c r="OKF72" s="2936"/>
      <c r="OKG72" s="2936"/>
      <c r="OKH72" s="2936"/>
      <c r="OKI72" s="2936"/>
      <c r="OKJ72" s="2936"/>
      <c r="OKK72" s="2936"/>
      <c r="OKL72" s="2936"/>
      <c r="OKM72" s="2936"/>
      <c r="OKN72" s="2936"/>
      <c r="OKO72" s="2936"/>
      <c r="OKP72" s="2936"/>
      <c r="OKQ72" s="2936"/>
      <c r="OKR72" s="2936"/>
      <c r="OKS72" s="2936"/>
      <c r="OKT72" s="2936"/>
      <c r="OKU72" s="2936"/>
      <c r="OKV72" s="2936"/>
      <c r="OKW72" s="2936"/>
      <c r="OKX72" s="2936"/>
      <c r="OKY72" s="2936"/>
      <c r="OKZ72" s="2936"/>
      <c r="OLA72" s="2936"/>
      <c r="OLB72" s="2936"/>
      <c r="OLC72" s="2936"/>
      <c r="OLD72" s="2936"/>
      <c r="OLE72" s="2936"/>
      <c r="OLF72" s="2936"/>
      <c r="OLG72" s="2936"/>
      <c r="OLH72" s="2936"/>
      <c r="OLI72" s="2936"/>
      <c r="OLJ72" s="2936"/>
      <c r="OLK72" s="2936"/>
      <c r="OLL72" s="2936"/>
      <c r="OLM72" s="2936"/>
      <c r="OLN72" s="2936"/>
      <c r="OLO72" s="2936"/>
      <c r="OLP72" s="2936"/>
      <c r="OLQ72" s="2936"/>
      <c r="OLR72" s="2936"/>
      <c r="OLS72" s="2936"/>
      <c r="OLT72" s="2936"/>
      <c r="OLU72" s="2936"/>
      <c r="OLV72" s="2936"/>
      <c r="OLW72" s="2936"/>
      <c r="OLX72" s="2936"/>
      <c r="OLY72" s="2936"/>
      <c r="OLZ72" s="2936"/>
      <c r="OMA72" s="2936"/>
      <c r="OMB72" s="2936"/>
      <c r="OMC72" s="2936"/>
      <c r="OMD72" s="2936"/>
      <c r="OME72" s="2936"/>
      <c r="OMF72" s="2936"/>
      <c r="OMG72" s="2936"/>
      <c r="OMH72" s="2936"/>
      <c r="OMI72" s="2936"/>
      <c r="OMJ72" s="2936"/>
      <c r="OMK72" s="2936"/>
      <c r="OML72" s="2936"/>
      <c r="OMM72" s="2936"/>
      <c r="OMN72" s="2936"/>
      <c r="OMO72" s="2936"/>
      <c r="OMP72" s="2936"/>
      <c r="OMQ72" s="2936"/>
      <c r="OMR72" s="2936"/>
      <c r="OMS72" s="2936"/>
      <c r="OMT72" s="2936"/>
      <c r="OMU72" s="2936"/>
      <c r="OMV72" s="2936"/>
      <c r="OMW72" s="2936"/>
      <c r="OMX72" s="2936"/>
      <c r="OMY72" s="2936"/>
      <c r="OMZ72" s="2936"/>
      <c r="ONA72" s="2936"/>
      <c r="ONB72" s="2936"/>
      <c r="ONC72" s="2936"/>
      <c r="OND72" s="2936"/>
      <c r="ONE72" s="2936"/>
      <c r="ONF72" s="2936"/>
      <c r="ONG72" s="2936"/>
      <c r="ONH72" s="2936"/>
      <c r="ONI72" s="2936"/>
      <c r="ONJ72" s="2936"/>
      <c r="ONK72" s="2936"/>
      <c r="ONL72" s="2936"/>
      <c r="ONM72" s="2936"/>
      <c r="ONN72" s="2936"/>
      <c r="ONO72" s="2936"/>
      <c r="ONP72" s="2936"/>
      <c r="ONQ72" s="2936"/>
      <c r="ONR72" s="2936"/>
      <c r="ONS72" s="2936"/>
      <c r="ONT72" s="2936"/>
      <c r="ONU72" s="2936"/>
      <c r="ONV72" s="2936"/>
      <c r="ONW72" s="2936"/>
      <c r="ONX72" s="2936"/>
      <c r="ONY72" s="2936"/>
      <c r="ONZ72" s="2936"/>
      <c r="OOA72" s="2936"/>
      <c r="OOB72" s="2936"/>
      <c r="OOC72" s="2936"/>
      <c r="OOD72" s="2936"/>
      <c r="OOE72" s="2936"/>
      <c r="OOF72" s="2936"/>
      <c r="OOG72" s="2936"/>
      <c r="OOH72" s="2936"/>
      <c r="OOI72" s="2936"/>
      <c r="OOJ72" s="2936"/>
      <c r="OOK72" s="2936"/>
      <c r="OOL72" s="2936"/>
      <c r="OOM72" s="2936"/>
      <c r="OON72" s="2936"/>
      <c r="OOO72" s="2936"/>
      <c r="OOP72" s="2936"/>
      <c r="OOQ72" s="2936"/>
      <c r="OOR72" s="2936"/>
      <c r="OOS72" s="2936"/>
      <c r="OOT72" s="2936"/>
      <c r="OOU72" s="2936"/>
      <c r="OOV72" s="2936"/>
      <c r="OOW72" s="2936"/>
      <c r="OOX72" s="2936"/>
      <c r="OOY72" s="2936"/>
      <c r="OOZ72" s="2936"/>
      <c r="OPA72" s="2936"/>
      <c r="OPB72" s="2936"/>
      <c r="OPC72" s="2936"/>
      <c r="OPD72" s="2936"/>
      <c r="OPE72" s="2936"/>
      <c r="OPF72" s="2936"/>
      <c r="OPG72" s="2936"/>
      <c r="OPH72" s="2936"/>
      <c r="OPI72" s="2936"/>
      <c r="OPJ72" s="2936"/>
      <c r="OPK72" s="2936"/>
      <c r="OPL72" s="2936"/>
      <c r="OPM72" s="2936"/>
      <c r="OPN72" s="2936"/>
      <c r="OPO72" s="2936"/>
      <c r="OPP72" s="2936"/>
      <c r="OPQ72" s="2936"/>
      <c r="OPR72" s="2936"/>
      <c r="OPS72" s="2936"/>
      <c r="OPT72" s="2936"/>
      <c r="OPU72" s="2936"/>
      <c r="OPV72" s="2936"/>
      <c r="OPW72" s="2936"/>
      <c r="OPX72" s="2936"/>
      <c r="OPY72" s="2936"/>
      <c r="OPZ72" s="2936"/>
      <c r="OQA72" s="2936"/>
      <c r="OQB72" s="2936"/>
      <c r="OQC72" s="2936"/>
      <c r="OQD72" s="2936"/>
      <c r="OQE72" s="2936"/>
      <c r="OQF72" s="2936"/>
      <c r="OQG72" s="2936"/>
      <c r="OQH72" s="2936"/>
      <c r="OQI72" s="2936"/>
      <c r="OQJ72" s="2936"/>
      <c r="OQK72" s="2936"/>
      <c r="OQL72" s="2936"/>
      <c r="OQM72" s="2936"/>
      <c r="OQN72" s="2936"/>
      <c r="OQO72" s="2936"/>
      <c r="OQP72" s="2936"/>
      <c r="OQQ72" s="2936"/>
      <c r="OQR72" s="2936"/>
      <c r="OQS72" s="2936"/>
      <c r="OQT72" s="2936"/>
      <c r="OQU72" s="2936"/>
      <c r="OQV72" s="2936"/>
      <c r="OQW72" s="2936"/>
      <c r="OQX72" s="2936"/>
      <c r="OQY72" s="2936"/>
      <c r="OQZ72" s="2936"/>
      <c r="ORA72" s="2936"/>
      <c r="ORB72" s="2936"/>
      <c r="ORC72" s="2936"/>
      <c r="ORD72" s="2936"/>
      <c r="ORE72" s="2936"/>
      <c r="ORF72" s="2936"/>
      <c r="ORG72" s="2936"/>
      <c r="ORH72" s="2936"/>
      <c r="ORI72" s="2936"/>
      <c r="ORJ72" s="2936"/>
      <c r="ORK72" s="2936"/>
      <c r="ORL72" s="2936"/>
      <c r="ORM72" s="2936"/>
      <c r="ORN72" s="2936"/>
      <c r="ORO72" s="2936"/>
      <c r="ORP72" s="2936"/>
      <c r="ORQ72" s="2936"/>
      <c r="ORR72" s="2936"/>
      <c r="ORS72" s="2936"/>
      <c r="ORT72" s="2936"/>
      <c r="ORU72" s="2936"/>
      <c r="ORV72" s="2936"/>
      <c r="ORW72" s="2936"/>
      <c r="ORX72" s="2936"/>
      <c r="ORY72" s="2936"/>
      <c r="ORZ72" s="2936"/>
      <c r="OSA72" s="2936"/>
      <c r="OSB72" s="2936"/>
      <c r="OSC72" s="2936"/>
      <c r="OSD72" s="2936"/>
      <c r="OSE72" s="2936"/>
      <c r="OSF72" s="2936"/>
      <c r="OSG72" s="2936"/>
      <c r="OSH72" s="2936"/>
      <c r="OSI72" s="2936"/>
      <c r="OSJ72" s="2936"/>
      <c r="OSK72" s="2936"/>
      <c r="OSL72" s="2936"/>
      <c r="OSM72" s="2936"/>
      <c r="OSN72" s="2936"/>
      <c r="OSO72" s="2936"/>
      <c r="OSP72" s="2936"/>
      <c r="OSQ72" s="2936"/>
      <c r="OSR72" s="2936"/>
      <c r="OSS72" s="2936"/>
      <c r="OST72" s="2936"/>
      <c r="OSU72" s="2936"/>
      <c r="OSV72" s="2936"/>
      <c r="OSW72" s="2936"/>
      <c r="OSX72" s="2936"/>
      <c r="OSY72" s="2936"/>
      <c r="OSZ72" s="2936"/>
      <c r="OTA72" s="2936"/>
      <c r="OTB72" s="2936"/>
      <c r="OTC72" s="2936"/>
      <c r="OTD72" s="2936"/>
      <c r="OTE72" s="2936"/>
      <c r="OTF72" s="2936"/>
      <c r="OTG72" s="2936"/>
      <c r="OTH72" s="2936"/>
      <c r="OTI72" s="2936"/>
      <c r="OTJ72" s="2936"/>
      <c r="OTK72" s="2936"/>
      <c r="OTL72" s="2936"/>
      <c r="OTM72" s="2936"/>
      <c r="OTN72" s="2936"/>
      <c r="OTO72" s="2936"/>
      <c r="OTP72" s="2936"/>
      <c r="OTQ72" s="2936"/>
      <c r="OTR72" s="2936"/>
      <c r="OTS72" s="2936"/>
      <c r="OTT72" s="2936"/>
      <c r="OTU72" s="2936"/>
      <c r="OTV72" s="2936"/>
      <c r="OTW72" s="2936"/>
      <c r="OTX72" s="2936"/>
      <c r="OTY72" s="2936"/>
      <c r="OTZ72" s="2936"/>
      <c r="OUA72" s="2936"/>
      <c r="OUB72" s="2936"/>
      <c r="OUC72" s="2936"/>
      <c r="OUD72" s="2936"/>
      <c r="OUE72" s="2936"/>
      <c r="OUF72" s="2936"/>
      <c r="OUG72" s="2936"/>
      <c r="OUH72" s="2936"/>
      <c r="OUI72" s="2936"/>
      <c r="OUJ72" s="2936"/>
      <c r="OUK72" s="2936"/>
      <c r="OUL72" s="2936"/>
      <c r="OUM72" s="2936"/>
      <c r="OUN72" s="2936"/>
      <c r="OUO72" s="2936"/>
      <c r="OUP72" s="2936"/>
      <c r="OUQ72" s="2936"/>
      <c r="OUR72" s="2936"/>
      <c r="OUS72" s="2936"/>
      <c r="OUT72" s="2936"/>
      <c r="OUU72" s="2936"/>
      <c r="OUV72" s="2936"/>
      <c r="OUW72" s="2936"/>
      <c r="OUX72" s="2936"/>
      <c r="OUY72" s="2936"/>
      <c r="OUZ72" s="2936"/>
      <c r="OVA72" s="2936"/>
      <c r="OVB72" s="2936"/>
      <c r="OVC72" s="2936"/>
      <c r="OVD72" s="2936"/>
      <c r="OVE72" s="2936"/>
      <c r="OVF72" s="2936"/>
      <c r="OVG72" s="2936"/>
      <c r="OVH72" s="2936"/>
      <c r="OVI72" s="2936"/>
      <c r="OVJ72" s="2936"/>
      <c r="OVK72" s="2936"/>
      <c r="OVL72" s="2936"/>
      <c r="OVM72" s="2936"/>
      <c r="OVN72" s="2936"/>
      <c r="OVO72" s="2936"/>
      <c r="OVP72" s="2936"/>
      <c r="OVQ72" s="2936"/>
      <c r="OVR72" s="2936"/>
      <c r="OVS72" s="2936"/>
      <c r="OVT72" s="2936"/>
      <c r="OVU72" s="2936"/>
      <c r="OVV72" s="2936"/>
      <c r="OVW72" s="2936"/>
      <c r="OVX72" s="2936"/>
      <c r="OVY72" s="2936"/>
      <c r="OVZ72" s="2936"/>
      <c r="OWA72" s="2936"/>
      <c r="OWB72" s="2936"/>
      <c r="OWC72" s="2936"/>
      <c r="OWD72" s="2936"/>
      <c r="OWE72" s="2936"/>
      <c r="OWF72" s="2936"/>
      <c r="OWG72" s="2936"/>
      <c r="OWH72" s="2936"/>
      <c r="OWI72" s="2936"/>
      <c r="OWJ72" s="2936"/>
      <c r="OWK72" s="2936"/>
      <c r="OWL72" s="2936"/>
      <c r="OWM72" s="2936"/>
      <c r="OWN72" s="2936"/>
      <c r="OWO72" s="2936"/>
      <c r="OWP72" s="2936"/>
      <c r="OWQ72" s="2936"/>
      <c r="OWR72" s="2936"/>
      <c r="OWS72" s="2936"/>
      <c r="OWT72" s="2936"/>
      <c r="OWU72" s="2936"/>
      <c r="OWV72" s="2936"/>
      <c r="OWW72" s="2936"/>
      <c r="OWX72" s="2936"/>
      <c r="OWY72" s="2936"/>
      <c r="OWZ72" s="2936"/>
      <c r="OXA72" s="2936"/>
      <c r="OXB72" s="2936"/>
      <c r="OXC72" s="2936"/>
      <c r="OXD72" s="2936"/>
      <c r="OXE72" s="2936"/>
      <c r="OXF72" s="2936"/>
      <c r="OXG72" s="2936"/>
      <c r="OXH72" s="2936"/>
      <c r="OXI72" s="2936"/>
      <c r="OXJ72" s="2936"/>
      <c r="OXK72" s="2936"/>
      <c r="OXL72" s="2936"/>
      <c r="OXM72" s="2936"/>
      <c r="OXN72" s="2936"/>
      <c r="OXO72" s="2936"/>
      <c r="OXP72" s="2936"/>
      <c r="OXQ72" s="2936"/>
      <c r="OXR72" s="2936"/>
      <c r="OXS72" s="2936"/>
      <c r="OXT72" s="2936"/>
      <c r="OXU72" s="2936"/>
      <c r="OXV72" s="2936"/>
      <c r="OXW72" s="2936"/>
      <c r="OXX72" s="2936"/>
      <c r="OXY72" s="2936"/>
      <c r="OXZ72" s="2936"/>
      <c r="OYA72" s="2936"/>
      <c r="OYB72" s="2936"/>
      <c r="OYC72" s="2936"/>
      <c r="OYD72" s="2936"/>
      <c r="OYE72" s="2936"/>
      <c r="OYF72" s="2936"/>
      <c r="OYG72" s="2936"/>
      <c r="OYH72" s="2936"/>
      <c r="OYI72" s="2936"/>
      <c r="OYJ72" s="2936"/>
      <c r="OYK72" s="2936"/>
      <c r="OYL72" s="2936"/>
      <c r="OYM72" s="2936"/>
      <c r="OYN72" s="2936"/>
      <c r="OYO72" s="2936"/>
      <c r="OYP72" s="2936"/>
      <c r="OYQ72" s="2936"/>
      <c r="OYR72" s="2936"/>
      <c r="OYS72" s="2936"/>
      <c r="OYT72" s="2936"/>
      <c r="OYU72" s="2936"/>
      <c r="OYV72" s="2936"/>
      <c r="OYW72" s="2936"/>
      <c r="OYX72" s="2936"/>
      <c r="OYY72" s="2936"/>
      <c r="OYZ72" s="2936"/>
      <c r="OZA72" s="2936"/>
      <c r="OZB72" s="2936"/>
      <c r="OZC72" s="2936"/>
      <c r="OZD72" s="2936"/>
      <c r="OZE72" s="2936"/>
      <c r="OZF72" s="2936"/>
      <c r="OZG72" s="2936"/>
      <c r="OZH72" s="2936"/>
      <c r="OZI72" s="2936"/>
      <c r="OZJ72" s="2936"/>
      <c r="OZK72" s="2936"/>
      <c r="OZL72" s="2936"/>
      <c r="OZM72" s="2936"/>
      <c r="OZN72" s="2936"/>
      <c r="OZO72" s="2936"/>
      <c r="OZP72" s="2936"/>
      <c r="OZQ72" s="2936"/>
      <c r="OZR72" s="2936"/>
      <c r="OZS72" s="2936"/>
      <c r="OZT72" s="2936"/>
      <c r="OZU72" s="2936"/>
      <c r="OZV72" s="2936"/>
      <c r="OZW72" s="2936"/>
      <c r="OZX72" s="2936"/>
      <c r="OZY72" s="2936"/>
      <c r="OZZ72" s="2936"/>
      <c r="PAA72" s="2936"/>
      <c r="PAB72" s="2936"/>
      <c r="PAC72" s="2936"/>
      <c r="PAD72" s="2936"/>
      <c r="PAE72" s="2936"/>
      <c r="PAF72" s="2936"/>
      <c r="PAG72" s="2936"/>
      <c r="PAH72" s="2936"/>
      <c r="PAI72" s="2936"/>
      <c r="PAJ72" s="2936"/>
      <c r="PAK72" s="2936"/>
      <c r="PAL72" s="2936"/>
      <c r="PAM72" s="2936"/>
      <c r="PAN72" s="2936"/>
      <c r="PAO72" s="2936"/>
      <c r="PAP72" s="2936"/>
      <c r="PAQ72" s="2936"/>
      <c r="PAR72" s="2936"/>
      <c r="PAS72" s="2936"/>
      <c r="PAT72" s="2936"/>
      <c r="PAU72" s="2936"/>
      <c r="PAV72" s="2936"/>
      <c r="PAW72" s="2936"/>
      <c r="PAX72" s="2936"/>
      <c r="PAY72" s="2936"/>
      <c r="PAZ72" s="2936"/>
      <c r="PBA72" s="2936"/>
      <c r="PBB72" s="2936"/>
      <c r="PBC72" s="2936"/>
      <c r="PBD72" s="2936"/>
      <c r="PBE72" s="2936"/>
      <c r="PBF72" s="2936"/>
      <c r="PBG72" s="2936"/>
      <c r="PBH72" s="2936"/>
      <c r="PBI72" s="2936"/>
      <c r="PBJ72" s="2936"/>
      <c r="PBK72" s="2936"/>
      <c r="PBL72" s="2936"/>
      <c r="PBM72" s="2936"/>
      <c r="PBN72" s="2936"/>
      <c r="PBO72" s="2936"/>
      <c r="PBP72" s="2936"/>
      <c r="PBQ72" s="2936"/>
      <c r="PBR72" s="2936"/>
      <c r="PBS72" s="2936"/>
      <c r="PBT72" s="2936"/>
      <c r="PBU72" s="2936"/>
      <c r="PBV72" s="2936"/>
      <c r="PBW72" s="2936"/>
      <c r="PBX72" s="2936"/>
      <c r="PBY72" s="2936"/>
      <c r="PBZ72" s="2936"/>
      <c r="PCA72" s="2936"/>
      <c r="PCB72" s="2936"/>
      <c r="PCC72" s="2936"/>
      <c r="PCD72" s="2936"/>
      <c r="PCE72" s="2936"/>
      <c r="PCF72" s="2936"/>
      <c r="PCG72" s="2936"/>
      <c r="PCH72" s="2936"/>
      <c r="PCI72" s="2936"/>
      <c r="PCJ72" s="2936"/>
      <c r="PCK72" s="2936"/>
      <c r="PCL72" s="2936"/>
      <c r="PCM72" s="2936"/>
      <c r="PCN72" s="2936"/>
      <c r="PCO72" s="2936"/>
      <c r="PCP72" s="2936"/>
      <c r="PCQ72" s="2936"/>
      <c r="PCR72" s="2936"/>
      <c r="PCS72" s="2936"/>
      <c r="PCT72" s="2936"/>
      <c r="PCU72" s="2936"/>
      <c r="PCV72" s="2936"/>
      <c r="PCW72" s="2936"/>
      <c r="PCX72" s="2936"/>
      <c r="PCY72" s="2936"/>
      <c r="PCZ72" s="2936"/>
      <c r="PDA72" s="2936"/>
      <c r="PDB72" s="2936"/>
      <c r="PDC72" s="2936"/>
      <c r="PDD72" s="2936"/>
      <c r="PDE72" s="2936"/>
      <c r="PDF72" s="2936"/>
      <c r="PDG72" s="2936"/>
      <c r="PDH72" s="2936"/>
      <c r="PDI72" s="2936"/>
      <c r="PDJ72" s="2936"/>
      <c r="PDK72" s="2936"/>
      <c r="PDL72" s="2936"/>
      <c r="PDM72" s="2936"/>
      <c r="PDN72" s="2936"/>
      <c r="PDO72" s="2936"/>
      <c r="PDP72" s="2936"/>
      <c r="PDQ72" s="2936"/>
      <c r="PDR72" s="2936"/>
      <c r="PDS72" s="2936"/>
      <c r="PDT72" s="2936"/>
      <c r="PDU72" s="2936"/>
      <c r="PDV72" s="2936"/>
      <c r="PDW72" s="2936"/>
      <c r="PDX72" s="2936"/>
      <c r="PDY72" s="2936"/>
      <c r="PDZ72" s="2936"/>
      <c r="PEA72" s="2936"/>
      <c r="PEB72" s="2936"/>
      <c r="PEC72" s="2936"/>
      <c r="PED72" s="2936"/>
      <c r="PEE72" s="2936"/>
      <c r="PEF72" s="2936"/>
      <c r="PEG72" s="2936"/>
      <c r="PEH72" s="2936"/>
      <c r="PEI72" s="2936"/>
      <c r="PEJ72" s="2936"/>
      <c r="PEK72" s="2936"/>
      <c r="PEL72" s="2936"/>
      <c r="PEM72" s="2936"/>
      <c r="PEN72" s="2936"/>
      <c r="PEO72" s="2936"/>
      <c r="PEP72" s="2936"/>
      <c r="PEQ72" s="2936"/>
      <c r="PER72" s="2936"/>
      <c r="PES72" s="2936"/>
      <c r="PET72" s="2936"/>
      <c r="PEU72" s="2936"/>
      <c r="PEV72" s="2936"/>
      <c r="PEW72" s="2936"/>
      <c r="PEX72" s="2936"/>
      <c r="PEY72" s="2936"/>
      <c r="PEZ72" s="2936"/>
      <c r="PFA72" s="2936"/>
      <c r="PFB72" s="2936"/>
      <c r="PFC72" s="2936"/>
      <c r="PFD72" s="2936"/>
      <c r="PFE72" s="2936"/>
      <c r="PFF72" s="2936"/>
      <c r="PFG72" s="2936"/>
      <c r="PFH72" s="2936"/>
      <c r="PFI72" s="2936"/>
      <c r="PFJ72" s="2936"/>
      <c r="PFK72" s="2936"/>
      <c r="PFL72" s="2936"/>
      <c r="PFM72" s="2936"/>
      <c r="PFN72" s="2936"/>
      <c r="PFO72" s="2936"/>
      <c r="PFP72" s="2936"/>
      <c r="PFQ72" s="2936"/>
      <c r="PFR72" s="2936"/>
      <c r="PFS72" s="2936"/>
      <c r="PFT72" s="2936"/>
      <c r="PFU72" s="2936"/>
      <c r="PFV72" s="2936"/>
      <c r="PFW72" s="2936"/>
      <c r="PFX72" s="2936"/>
      <c r="PFY72" s="2936"/>
      <c r="PFZ72" s="2936"/>
      <c r="PGA72" s="2936"/>
      <c r="PGB72" s="2936"/>
      <c r="PGC72" s="2936"/>
      <c r="PGD72" s="2936"/>
      <c r="PGE72" s="2936"/>
      <c r="PGF72" s="2936"/>
      <c r="PGG72" s="2936"/>
      <c r="PGH72" s="2936"/>
      <c r="PGI72" s="2936"/>
      <c r="PGJ72" s="2936"/>
      <c r="PGK72" s="2936"/>
      <c r="PGL72" s="2936"/>
      <c r="PGM72" s="2936"/>
      <c r="PGN72" s="2936"/>
      <c r="PGO72" s="2936"/>
      <c r="PGP72" s="2936"/>
      <c r="PGQ72" s="2936"/>
      <c r="PGR72" s="2936"/>
      <c r="PGS72" s="2936"/>
      <c r="PGT72" s="2936"/>
      <c r="PGU72" s="2936"/>
      <c r="PGV72" s="2936"/>
      <c r="PGW72" s="2936"/>
      <c r="PGX72" s="2936"/>
      <c r="PGY72" s="2936"/>
      <c r="PGZ72" s="2936"/>
      <c r="PHA72" s="2936"/>
      <c r="PHB72" s="2936"/>
      <c r="PHC72" s="2936"/>
      <c r="PHD72" s="2936"/>
      <c r="PHE72" s="2936"/>
      <c r="PHF72" s="2936"/>
      <c r="PHG72" s="2936"/>
      <c r="PHH72" s="2936"/>
      <c r="PHI72" s="2936"/>
      <c r="PHJ72" s="2936"/>
      <c r="PHK72" s="2936"/>
      <c r="PHL72" s="2936"/>
      <c r="PHM72" s="2936"/>
      <c r="PHN72" s="2936"/>
      <c r="PHO72" s="2936"/>
      <c r="PHP72" s="2936"/>
      <c r="PHQ72" s="2936"/>
      <c r="PHR72" s="2936"/>
      <c r="PHS72" s="2936"/>
      <c r="PHT72" s="2936"/>
      <c r="PHU72" s="2936"/>
      <c r="PHV72" s="2936"/>
      <c r="PHW72" s="2936"/>
      <c r="PHX72" s="2936"/>
      <c r="PHY72" s="2936"/>
      <c r="PHZ72" s="2936"/>
      <c r="PIA72" s="2936"/>
      <c r="PIB72" s="2936"/>
      <c r="PIC72" s="2936"/>
      <c r="PID72" s="2936"/>
      <c r="PIE72" s="2936"/>
      <c r="PIF72" s="2936"/>
      <c r="PIG72" s="2936"/>
      <c r="PIH72" s="2936"/>
      <c r="PII72" s="2936"/>
      <c r="PIJ72" s="2936"/>
      <c r="PIK72" s="2936"/>
      <c r="PIL72" s="2936"/>
      <c r="PIM72" s="2936"/>
      <c r="PIN72" s="2936"/>
      <c r="PIO72" s="2936"/>
      <c r="PIP72" s="2936"/>
      <c r="PIQ72" s="2936"/>
      <c r="PIR72" s="2936"/>
      <c r="PIS72" s="2936"/>
      <c r="PIT72" s="2936"/>
      <c r="PIU72" s="2936"/>
      <c r="PIV72" s="2936"/>
      <c r="PIW72" s="2936"/>
      <c r="PIX72" s="2936"/>
      <c r="PIY72" s="2936"/>
      <c r="PIZ72" s="2936"/>
      <c r="PJA72" s="2936"/>
      <c r="PJB72" s="2936"/>
      <c r="PJC72" s="2936"/>
      <c r="PJD72" s="2936"/>
      <c r="PJE72" s="2936"/>
      <c r="PJF72" s="2936"/>
      <c r="PJG72" s="2936"/>
      <c r="PJH72" s="2936"/>
      <c r="PJI72" s="2936"/>
      <c r="PJJ72" s="2936"/>
      <c r="PJK72" s="2936"/>
      <c r="PJL72" s="2936"/>
      <c r="PJM72" s="2936"/>
      <c r="PJN72" s="2936"/>
      <c r="PJO72" s="2936"/>
      <c r="PJP72" s="2936"/>
      <c r="PJQ72" s="2936"/>
      <c r="PJR72" s="2936"/>
      <c r="PJS72" s="2936"/>
      <c r="PJT72" s="2936"/>
      <c r="PJU72" s="2936"/>
      <c r="PJV72" s="2936"/>
      <c r="PJW72" s="2936"/>
      <c r="PJX72" s="2936"/>
      <c r="PJY72" s="2936"/>
      <c r="PJZ72" s="2936"/>
      <c r="PKA72" s="2936"/>
      <c r="PKB72" s="2936"/>
      <c r="PKC72" s="2936"/>
      <c r="PKD72" s="2936"/>
      <c r="PKE72" s="2936"/>
      <c r="PKF72" s="2936"/>
      <c r="PKG72" s="2936"/>
      <c r="PKH72" s="2936"/>
      <c r="PKI72" s="2936"/>
      <c r="PKJ72" s="2936"/>
      <c r="PKK72" s="2936"/>
      <c r="PKL72" s="2936"/>
      <c r="PKM72" s="2936"/>
      <c r="PKN72" s="2936"/>
      <c r="PKO72" s="2936"/>
      <c r="PKP72" s="2936"/>
      <c r="PKQ72" s="2936"/>
      <c r="PKR72" s="2936"/>
      <c r="PKS72" s="2936"/>
      <c r="PKT72" s="2936"/>
      <c r="PKU72" s="2936"/>
      <c r="PKV72" s="2936"/>
      <c r="PKW72" s="2936"/>
      <c r="PKX72" s="2936"/>
      <c r="PKY72" s="2936"/>
      <c r="PKZ72" s="2936"/>
      <c r="PLA72" s="2936"/>
      <c r="PLB72" s="2936"/>
      <c r="PLC72" s="2936"/>
      <c r="PLD72" s="2936"/>
      <c r="PLE72" s="2936"/>
      <c r="PLF72" s="2936"/>
      <c r="PLG72" s="2936"/>
      <c r="PLH72" s="2936"/>
      <c r="PLI72" s="2936"/>
      <c r="PLJ72" s="2936"/>
      <c r="PLK72" s="2936"/>
      <c r="PLL72" s="2936"/>
      <c r="PLM72" s="2936"/>
      <c r="PLN72" s="2936"/>
      <c r="PLO72" s="2936"/>
      <c r="PLP72" s="2936"/>
      <c r="PLQ72" s="2936"/>
      <c r="PLR72" s="2936"/>
      <c r="PLS72" s="2936"/>
      <c r="PLT72" s="2936"/>
      <c r="PLU72" s="2936"/>
      <c r="PLV72" s="2936"/>
      <c r="PLW72" s="2936"/>
      <c r="PLX72" s="2936"/>
      <c r="PLY72" s="2936"/>
      <c r="PLZ72" s="2936"/>
      <c r="PMA72" s="2936"/>
      <c r="PMB72" s="2936"/>
      <c r="PMC72" s="2936"/>
      <c r="PMD72" s="2936"/>
      <c r="PME72" s="2936"/>
      <c r="PMF72" s="2936"/>
      <c r="PMG72" s="2936"/>
      <c r="PMH72" s="2936"/>
      <c r="PMI72" s="2936"/>
      <c r="PMJ72" s="2936"/>
      <c r="PMK72" s="2936"/>
      <c r="PML72" s="2936"/>
      <c r="PMM72" s="2936"/>
      <c r="PMN72" s="2936"/>
      <c r="PMO72" s="2936"/>
      <c r="PMP72" s="2936"/>
      <c r="PMQ72" s="2936"/>
      <c r="PMR72" s="2936"/>
      <c r="PMS72" s="2936"/>
      <c r="PMT72" s="2936"/>
      <c r="PMU72" s="2936"/>
      <c r="PMV72" s="2936"/>
      <c r="PMW72" s="2936"/>
      <c r="PMX72" s="2936"/>
      <c r="PMY72" s="2936"/>
      <c r="PMZ72" s="2936"/>
      <c r="PNA72" s="2936"/>
      <c r="PNB72" s="2936"/>
      <c r="PNC72" s="2936"/>
      <c r="PND72" s="2936"/>
      <c r="PNE72" s="2936"/>
      <c r="PNF72" s="2936"/>
      <c r="PNG72" s="2936"/>
      <c r="PNH72" s="2936"/>
      <c r="PNI72" s="2936"/>
      <c r="PNJ72" s="2936"/>
      <c r="PNK72" s="2936"/>
      <c r="PNL72" s="2936"/>
      <c r="PNM72" s="2936"/>
      <c r="PNN72" s="2936"/>
      <c r="PNO72" s="2936"/>
      <c r="PNP72" s="2936"/>
      <c r="PNQ72" s="2936"/>
      <c r="PNR72" s="2936"/>
      <c r="PNS72" s="2936"/>
      <c r="PNT72" s="2936"/>
      <c r="PNU72" s="2936"/>
      <c r="PNV72" s="2936"/>
      <c r="PNW72" s="2936"/>
      <c r="PNX72" s="2936"/>
      <c r="PNY72" s="2936"/>
      <c r="PNZ72" s="2936"/>
      <c r="POA72" s="2936"/>
      <c r="POB72" s="2936"/>
      <c r="POC72" s="2936"/>
      <c r="POD72" s="2936"/>
      <c r="POE72" s="2936"/>
      <c r="POF72" s="2936"/>
      <c r="POG72" s="2936"/>
      <c r="POH72" s="2936"/>
      <c r="POI72" s="2936"/>
      <c r="POJ72" s="2936"/>
      <c r="POK72" s="2936"/>
      <c r="POL72" s="2936"/>
      <c r="POM72" s="2936"/>
      <c r="PON72" s="2936"/>
      <c r="POO72" s="2936"/>
      <c r="POP72" s="2936"/>
      <c r="POQ72" s="2936"/>
      <c r="POR72" s="2936"/>
      <c r="POS72" s="2936"/>
      <c r="POT72" s="2936"/>
      <c r="POU72" s="2936"/>
      <c r="POV72" s="2936"/>
      <c r="POW72" s="2936"/>
      <c r="POX72" s="2936"/>
      <c r="POY72" s="2936"/>
      <c r="POZ72" s="2936"/>
      <c r="PPA72" s="2936"/>
      <c r="PPB72" s="2936"/>
      <c r="PPC72" s="2936"/>
      <c r="PPD72" s="2936"/>
      <c r="PPE72" s="2936"/>
      <c r="PPF72" s="2936"/>
      <c r="PPG72" s="2936"/>
      <c r="PPH72" s="2936"/>
      <c r="PPI72" s="2936"/>
      <c r="PPJ72" s="2936"/>
      <c r="PPK72" s="2936"/>
      <c r="PPL72" s="2936"/>
      <c r="PPM72" s="2936"/>
      <c r="PPN72" s="2936"/>
      <c r="PPO72" s="2936"/>
      <c r="PPP72" s="2936"/>
      <c r="PPQ72" s="2936"/>
      <c r="PPR72" s="2936"/>
      <c r="PPS72" s="2936"/>
      <c r="PPT72" s="2936"/>
      <c r="PPU72" s="2936"/>
      <c r="PPV72" s="2936"/>
      <c r="PPW72" s="2936"/>
      <c r="PPX72" s="2936"/>
      <c r="PPY72" s="2936"/>
      <c r="PPZ72" s="2936"/>
      <c r="PQA72" s="2936"/>
      <c r="PQB72" s="2936"/>
      <c r="PQC72" s="2936"/>
      <c r="PQD72" s="2936"/>
      <c r="PQE72" s="2936"/>
      <c r="PQF72" s="2936"/>
      <c r="PQG72" s="2936"/>
      <c r="PQH72" s="2936"/>
      <c r="PQI72" s="2936"/>
      <c r="PQJ72" s="2936"/>
      <c r="PQK72" s="2936"/>
      <c r="PQL72" s="2936"/>
      <c r="PQM72" s="2936"/>
      <c r="PQN72" s="2936"/>
      <c r="PQO72" s="2936"/>
      <c r="PQP72" s="2936"/>
      <c r="PQQ72" s="2936"/>
      <c r="PQR72" s="2936"/>
      <c r="PQS72" s="2936"/>
      <c r="PQT72" s="2936"/>
      <c r="PQU72" s="2936"/>
      <c r="PQV72" s="2936"/>
      <c r="PQW72" s="2936"/>
      <c r="PQX72" s="2936"/>
      <c r="PQY72" s="2936"/>
      <c r="PQZ72" s="2936"/>
      <c r="PRA72" s="2936"/>
      <c r="PRB72" s="2936"/>
      <c r="PRC72" s="2936"/>
      <c r="PRD72" s="2936"/>
      <c r="PRE72" s="2936"/>
      <c r="PRF72" s="2936"/>
      <c r="PRG72" s="2936"/>
      <c r="PRH72" s="2936"/>
      <c r="PRI72" s="2936"/>
      <c r="PRJ72" s="2936"/>
      <c r="PRK72" s="2936"/>
      <c r="PRL72" s="2936"/>
      <c r="PRM72" s="2936"/>
      <c r="PRN72" s="2936"/>
      <c r="PRO72" s="2936"/>
      <c r="PRP72" s="2936"/>
      <c r="PRQ72" s="2936"/>
      <c r="PRR72" s="2936"/>
      <c r="PRS72" s="2936"/>
      <c r="PRT72" s="2936"/>
      <c r="PRU72" s="2936"/>
      <c r="PRV72" s="2936"/>
      <c r="PRW72" s="2936"/>
      <c r="PRX72" s="2936"/>
      <c r="PRY72" s="2936"/>
      <c r="PRZ72" s="2936"/>
      <c r="PSA72" s="2936"/>
      <c r="PSB72" s="2936"/>
      <c r="PSC72" s="2936"/>
      <c r="PSD72" s="2936"/>
      <c r="PSE72" s="2936"/>
      <c r="PSF72" s="2936"/>
      <c r="PSG72" s="2936"/>
      <c r="PSH72" s="2936"/>
      <c r="PSI72" s="2936"/>
      <c r="PSJ72" s="2936"/>
      <c r="PSK72" s="2936"/>
      <c r="PSL72" s="2936"/>
      <c r="PSM72" s="2936"/>
      <c r="PSN72" s="2936"/>
      <c r="PSO72" s="2936"/>
      <c r="PSP72" s="2936"/>
      <c r="PSQ72" s="2936"/>
      <c r="PSR72" s="2936"/>
      <c r="PSS72" s="2936"/>
      <c r="PST72" s="2936"/>
      <c r="PSU72" s="2936"/>
      <c r="PSV72" s="2936"/>
      <c r="PSW72" s="2936"/>
      <c r="PSX72" s="2936"/>
      <c r="PSY72" s="2936"/>
      <c r="PSZ72" s="2936"/>
      <c r="PTA72" s="2936"/>
      <c r="PTB72" s="2936"/>
      <c r="PTC72" s="2936"/>
      <c r="PTD72" s="2936"/>
      <c r="PTE72" s="2936"/>
      <c r="PTF72" s="2936"/>
      <c r="PTG72" s="2936"/>
      <c r="PTH72" s="2936"/>
      <c r="PTI72" s="2936"/>
      <c r="PTJ72" s="2936"/>
      <c r="PTK72" s="2936"/>
      <c r="PTL72" s="2936"/>
      <c r="PTM72" s="2936"/>
      <c r="PTN72" s="2936"/>
      <c r="PTO72" s="2936"/>
      <c r="PTP72" s="2936"/>
      <c r="PTQ72" s="2936"/>
      <c r="PTR72" s="2936"/>
      <c r="PTS72" s="2936"/>
      <c r="PTT72" s="2936"/>
      <c r="PTU72" s="2936"/>
      <c r="PTV72" s="2936"/>
      <c r="PTW72" s="2936"/>
      <c r="PTX72" s="2936"/>
      <c r="PTY72" s="2936"/>
      <c r="PTZ72" s="2936"/>
      <c r="PUA72" s="2936"/>
      <c r="PUB72" s="2936"/>
      <c r="PUC72" s="2936"/>
      <c r="PUD72" s="2936"/>
      <c r="PUE72" s="2936"/>
      <c r="PUF72" s="2936"/>
      <c r="PUG72" s="2936"/>
      <c r="PUH72" s="2936"/>
      <c r="PUI72" s="2936"/>
      <c r="PUJ72" s="2936"/>
      <c r="PUK72" s="2936"/>
      <c r="PUL72" s="2936"/>
      <c r="PUM72" s="2936"/>
      <c r="PUN72" s="2936"/>
      <c r="PUO72" s="2936"/>
      <c r="PUP72" s="2936"/>
      <c r="PUQ72" s="2936"/>
      <c r="PUR72" s="2936"/>
      <c r="PUS72" s="2936"/>
      <c r="PUT72" s="2936"/>
      <c r="PUU72" s="2936"/>
      <c r="PUV72" s="2936"/>
      <c r="PUW72" s="2936"/>
      <c r="PUX72" s="2936"/>
      <c r="PUY72" s="2936"/>
      <c r="PUZ72" s="2936"/>
      <c r="PVA72" s="2936"/>
      <c r="PVB72" s="2936"/>
      <c r="PVC72" s="2936"/>
      <c r="PVD72" s="2936"/>
      <c r="PVE72" s="2936"/>
      <c r="PVF72" s="2936"/>
      <c r="PVG72" s="2936"/>
      <c r="PVH72" s="2936"/>
      <c r="PVI72" s="2936"/>
      <c r="PVJ72" s="2936"/>
      <c r="PVK72" s="2936"/>
      <c r="PVL72" s="2936"/>
      <c r="PVM72" s="2936"/>
      <c r="PVN72" s="2936"/>
      <c r="PVO72" s="2936"/>
      <c r="PVP72" s="2936"/>
      <c r="PVQ72" s="2936"/>
      <c r="PVR72" s="2936"/>
      <c r="PVS72" s="2936"/>
      <c r="PVT72" s="2936"/>
      <c r="PVU72" s="2936"/>
      <c r="PVV72" s="2936"/>
      <c r="PVW72" s="2936"/>
      <c r="PVX72" s="2936"/>
      <c r="PVY72" s="2936"/>
      <c r="PVZ72" s="2936"/>
      <c r="PWA72" s="2936"/>
      <c r="PWB72" s="2936"/>
      <c r="PWC72" s="2936"/>
      <c r="PWD72" s="2936"/>
      <c r="PWE72" s="2936"/>
      <c r="PWF72" s="2936"/>
      <c r="PWG72" s="2936"/>
      <c r="PWH72" s="2936"/>
      <c r="PWI72" s="2936"/>
      <c r="PWJ72" s="2936"/>
      <c r="PWK72" s="2936"/>
      <c r="PWL72" s="2936"/>
      <c r="PWM72" s="2936"/>
      <c r="PWN72" s="2936"/>
      <c r="PWO72" s="2936"/>
      <c r="PWP72" s="2936"/>
      <c r="PWQ72" s="2936"/>
      <c r="PWR72" s="2936"/>
      <c r="PWS72" s="2936"/>
      <c r="PWT72" s="2936"/>
      <c r="PWU72" s="2936"/>
      <c r="PWV72" s="2936"/>
      <c r="PWW72" s="2936"/>
      <c r="PWX72" s="2936"/>
      <c r="PWY72" s="2936"/>
      <c r="PWZ72" s="2936"/>
      <c r="PXA72" s="2936"/>
      <c r="PXB72" s="2936"/>
      <c r="PXC72" s="2936"/>
      <c r="PXD72" s="2936"/>
      <c r="PXE72" s="2936"/>
      <c r="PXF72" s="2936"/>
      <c r="PXG72" s="2936"/>
      <c r="PXH72" s="2936"/>
      <c r="PXI72" s="2936"/>
      <c r="PXJ72" s="2936"/>
      <c r="PXK72" s="2936"/>
      <c r="PXL72" s="2936"/>
      <c r="PXM72" s="2936"/>
      <c r="PXN72" s="2936"/>
      <c r="PXO72" s="2936"/>
      <c r="PXP72" s="2936"/>
      <c r="PXQ72" s="2936"/>
      <c r="PXR72" s="2936"/>
      <c r="PXS72" s="2936"/>
      <c r="PXT72" s="2936"/>
      <c r="PXU72" s="2936"/>
      <c r="PXV72" s="2936"/>
      <c r="PXW72" s="2936"/>
      <c r="PXX72" s="2936"/>
      <c r="PXY72" s="2936"/>
      <c r="PXZ72" s="2936"/>
      <c r="PYA72" s="2936"/>
      <c r="PYB72" s="2936"/>
      <c r="PYC72" s="2936"/>
      <c r="PYD72" s="2936"/>
      <c r="PYE72" s="2936"/>
      <c r="PYF72" s="2936"/>
      <c r="PYG72" s="2936"/>
      <c r="PYH72" s="2936"/>
      <c r="PYI72" s="2936"/>
      <c r="PYJ72" s="2936"/>
      <c r="PYK72" s="2936"/>
      <c r="PYL72" s="2936"/>
      <c r="PYM72" s="2936"/>
      <c r="PYN72" s="2936"/>
      <c r="PYO72" s="2936"/>
      <c r="PYP72" s="2936"/>
      <c r="PYQ72" s="2936"/>
      <c r="PYR72" s="2936"/>
      <c r="PYS72" s="2936"/>
      <c r="PYT72" s="2936"/>
      <c r="PYU72" s="2936"/>
      <c r="PYV72" s="2936"/>
      <c r="PYW72" s="2936"/>
      <c r="PYX72" s="2936"/>
      <c r="PYY72" s="2936"/>
      <c r="PYZ72" s="2936"/>
      <c r="PZA72" s="2936"/>
      <c r="PZB72" s="2936"/>
      <c r="PZC72" s="2936"/>
      <c r="PZD72" s="2936"/>
      <c r="PZE72" s="2936"/>
      <c r="PZF72" s="2936"/>
      <c r="PZG72" s="2936"/>
      <c r="PZH72" s="2936"/>
      <c r="PZI72" s="2936"/>
      <c r="PZJ72" s="2936"/>
      <c r="PZK72" s="2936"/>
      <c r="PZL72" s="2936"/>
      <c r="PZM72" s="2936"/>
      <c r="PZN72" s="2936"/>
      <c r="PZO72" s="2936"/>
      <c r="PZP72" s="2936"/>
      <c r="PZQ72" s="2936"/>
      <c r="PZR72" s="2936"/>
      <c r="PZS72" s="2936"/>
      <c r="PZT72" s="2936"/>
      <c r="PZU72" s="2936"/>
      <c r="PZV72" s="2936"/>
      <c r="PZW72" s="2936"/>
      <c r="PZX72" s="2936"/>
      <c r="PZY72" s="2936"/>
      <c r="PZZ72" s="2936"/>
      <c r="QAA72" s="2936"/>
      <c r="QAB72" s="2936"/>
      <c r="QAC72" s="2936"/>
      <c r="QAD72" s="2936"/>
      <c r="QAE72" s="2936"/>
      <c r="QAF72" s="2936"/>
      <c r="QAG72" s="2936"/>
      <c r="QAH72" s="2936"/>
      <c r="QAI72" s="2936"/>
      <c r="QAJ72" s="2936"/>
      <c r="QAK72" s="2936"/>
      <c r="QAL72" s="2936"/>
      <c r="QAM72" s="2936"/>
      <c r="QAN72" s="2936"/>
      <c r="QAO72" s="2936"/>
      <c r="QAP72" s="2936"/>
      <c r="QAQ72" s="2936"/>
      <c r="QAR72" s="2936"/>
      <c r="QAS72" s="2936"/>
      <c r="QAT72" s="2936"/>
      <c r="QAU72" s="2936"/>
      <c r="QAV72" s="2936"/>
      <c r="QAW72" s="2936"/>
      <c r="QAX72" s="2936"/>
      <c r="QAY72" s="2936"/>
      <c r="QAZ72" s="2936"/>
      <c r="QBA72" s="2936"/>
      <c r="QBB72" s="2936"/>
      <c r="QBC72" s="2936"/>
      <c r="QBD72" s="2936"/>
      <c r="QBE72" s="2936"/>
      <c r="QBF72" s="2936"/>
      <c r="QBG72" s="2936"/>
      <c r="QBH72" s="2936"/>
      <c r="QBI72" s="2936"/>
      <c r="QBJ72" s="2936"/>
      <c r="QBK72" s="2936"/>
      <c r="QBL72" s="2936"/>
      <c r="QBM72" s="2936"/>
      <c r="QBN72" s="2936"/>
      <c r="QBO72" s="2936"/>
      <c r="QBP72" s="2936"/>
      <c r="QBQ72" s="2936"/>
      <c r="QBR72" s="2936"/>
      <c r="QBS72" s="2936"/>
      <c r="QBT72" s="2936"/>
      <c r="QBU72" s="2936"/>
      <c r="QBV72" s="2936"/>
      <c r="QBW72" s="2936"/>
      <c r="QBX72" s="2936"/>
      <c r="QBY72" s="2936"/>
      <c r="QBZ72" s="2936"/>
      <c r="QCA72" s="2936"/>
      <c r="QCB72" s="2936"/>
      <c r="QCC72" s="2936"/>
      <c r="QCD72" s="2936"/>
      <c r="QCE72" s="2936"/>
      <c r="QCF72" s="2936"/>
      <c r="QCG72" s="2936"/>
      <c r="QCH72" s="2936"/>
      <c r="QCI72" s="2936"/>
      <c r="QCJ72" s="2936"/>
      <c r="QCK72" s="2936"/>
      <c r="QCL72" s="2936"/>
      <c r="QCM72" s="2936"/>
      <c r="QCN72" s="2936"/>
      <c r="QCO72" s="2936"/>
      <c r="QCP72" s="2936"/>
      <c r="QCQ72" s="2936"/>
      <c r="QCR72" s="2936"/>
      <c r="QCS72" s="2936"/>
      <c r="QCT72" s="2936"/>
      <c r="QCU72" s="2936"/>
      <c r="QCV72" s="2936"/>
      <c r="QCW72" s="2936"/>
      <c r="QCX72" s="2936"/>
      <c r="QCY72" s="2936"/>
      <c r="QCZ72" s="2936"/>
      <c r="QDA72" s="2936"/>
      <c r="QDB72" s="2936"/>
      <c r="QDC72" s="2936"/>
      <c r="QDD72" s="2936"/>
      <c r="QDE72" s="2936"/>
      <c r="QDF72" s="2936"/>
      <c r="QDG72" s="2936"/>
      <c r="QDH72" s="2936"/>
      <c r="QDI72" s="2936"/>
      <c r="QDJ72" s="2936"/>
      <c r="QDK72" s="2936"/>
      <c r="QDL72" s="2936"/>
      <c r="QDM72" s="2936"/>
      <c r="QDN72" s="2936"/>
      <c r="QDO72" s="2936"/>
      <c r="QDP72" s="2936"/>
      <c r="QDQ72" s="2936"/>
      <c r="QDR72" s="2936"/>
      <c r="QDS72" s="2936"/>
      <c r="QDT72" s="2936"/>
      <c r="QDU72" s="2936"/>
      <c r="QDV72" s="2936"/>
      <c r="QDW72" s="2936"/>
      <c r="QDX72" s="2936"/>
      <c r="QDY72" s="2936"/>
      <c r="QDZ72" s="2936"/>
      <c r="QEA72" s="2936"/>
      <c r="QEB72" s="2936"/>
      <c r="QEC72" s="2936"/>
      <c r="QED72" s="2936"/>
      <c r="QEE72" s="2936"/>
      <c r="QEF72" s="2936"/>
      <c r="QEG72" s="2936"/>
      <c r="QEH72" s="2936"/>
      <c r="QEI72" s="2936"/>
      <c r="QEJ72" s="2936"/>
      <c r="QEK72" s="2936"/>
      <c r="QEL72" s="2936"/>
      <c r="QEM72" s="2936"/>
      <c r="QEN72" s="2936"/>
      <c r="QEO72" s="2936"/>
      <c r="QEP72" s="2936"/>
      <c r="QEQ72" s="2936"/>
      <c r="QER72" s="2936"/>
      <c r="QES72" s="2936"/>
      <c r="QET72" s="2936"/>
      <c r="QEU72" s="2936"/>
      <c r="QEV72" s="2936"/>
      <c r="QEW72" s="2936"/>
      <c r="QEX72" s="2936"/>
      <c r="QEY72" s="2936"/>
      <c r="QEZ72" s="2936"/>
      <c r="QFA72" s="2936"/>
      <c r="QFB72" s="2936"/>
      <c r="QFC72" s="2936"/>
      <c r="QFD72" s="2936"/>
      <c r="QFE72" s="2936"/>
      <c r="QFF72" s="2936"/>
      <c r="QFG72" s="2936"/>
      <c r="QFH72" s="2936"/>
      <c r="QFI72" s="2936"/>
      <c r="QFJ72" s="2936"/>
      <c r="QFK72" s="2936"/>
      <c r="QFL72" s="2936"/>
      <c r="QFM72" s="2936"/>
      <c r="QFN72" s="2936"/>
      <c r="QFO72" s="2936"/>
      <c r="QFP72" s="2936"/>
      <c r="QFQ72" s="2936"/>
      <c r="QFR72" s="2936"/>
      <c r="QFS72" s="2936"/>
      <c r="QFT72" s="2936"/>
      <c r="QFU72" s="2936"/>
      <c r="QFV72" s="2936"/>
      <c r="QFW72" s="2936"/>
      <c r="QFX72" s="2936"/>
      <c r="QFY72" s="2936"/>
      <c r="QFZ72" s="2936"/>
      <c r="QGA72" s="2936"/>
      <c r="QGB72" s="2936"/>
      <c r="QGC72" s="2936"/>
      <c r="QGD72" s="2936"/>
      <c r="QGE72" s="2936"/>
      <c r="QGF72" s="2936"/>
      <c r="QGG72" s="2936"/>
      <c r="QGH72" s="2936"/>
      <c r="QGI72" s="2936"/>
      <c r="QGJ72" s="2936"/>
      <c r="QGK72" s="2936"/>
      <c r="QGL72" s="2936"/>
      <c r="QGM72" s="2936"/>
      <c r="QGN72" s="2936"/>
      <c r="QGO72" s="2936"/>
      <c r="QGP72" s="2936"/>
      <c r="QGQ72" s="2936"/>
      <c r="QGR72" s="2936"/>
      <c r="QGS72" s="2936"/>
      <c r="QGT72" s="2936"/>
      <c r="QGU72" s="2936"/>
      <c r="QGV72" s="2936"/>
      <c r="QGW72" s="2936"/>
      <c r="QGX72" s="2936"/>
      <c r="QGY72" s="2936"/>
      <c r="QGZ72" s="2936"/>
      <c r="QHA72" s="2936"/>
      <c r="QHB72" s="2936"/>
      <c r="QHC72" s="2936"/>
      <c r="QHD72" s="2936"/>
      <c r="QHE72" s="2936"/>
      <c r="QHF72" s="2936"/>
      <c r="QHG72" s="2936"/>
      <c r="QHH72" s="2936"/>
      <c r="QHI72" s="2936"/>
      <c r="QHJ72" s="2936"/>
      <c r="QHK72" s="2936"/>
      <c r="QHL72" s="2936"/>
      <c r="QHM72" s="2936"/>
      <c r="QHN72" s="2936"/>
      <c r="QHO72" s="2936"/>
      <c r="QHP72" s="2936"/>
      <c r="QHQ72" s="2936"/>
      <c r="QHR72" s="2936"/>
      <c r="QHS72" s="2936"/>
      <c r="QHT72" s="2936"/>
      <c r="QHU72" s="2936"/>
      <c r="QHV72" s="2936"/>
      <c r="QHW72" s="2936"/>
      <c r="QHX72" s="2936"/>
      <c r="QHY72" s="2936"/>
      <c r="QHZ72" s="2936"/>
      <c r="QIA72" s="2936"/>
      <c r="QIB72" s="2936"/>
      <c r="QIC72" s="2936"/>
      <c r="QID72" s="2936"/>
      <c r="QIE72" s="2936"/>
      <c r="QIF72" s="2936"/>
      <c r="QIG72" s="2936"/>
      <c r="QIH72" s="2936"/>
      <c r="QII72" s="2936"/>
      <c r="QIJ72" s="2936"/>
      <c r="QIK72" s="2936"/>
      <c r="QIL72" s="2936"/>
      <c r="QIM72" s="2936"/>
      <c r="QIN72" s="2936"/>
      <c r="QIO72" s="2936"/>
      <c r="QIP72" s="2936"/>
      <c r="QIQ72" s="2936"/>
      <c r="QIR72" s="2936"/>
      <c r="QIS72" s="2936"/>
      <c r="QIT72" s="2936"/>
      <c r="QIU72" s="2936"/>
      <c r="QIV72" s="2936"/>
      <c r="QIW72" s="2936"/>
      <c r="QIX72" s="2936"/>
      <c r="QIY72" s="2936"/>
      <c r="QIZ72" s="2936"/>
      <c r="QJA72" s="2936"/>
      <c r="QJB72" s="2936"/>
      <c r="QJC72" s="2936"/>
      <c r="QJD72" s="2936"/>
      <c r="QJE72" s="2936"/>
      <c r="QJF72" s="2936"/>
      <c r="QJG72" s="2936"/>
      <c r="QJH72" s="2936"/>
      <c r="QJI72" s="2936"/>
      <c r="QJJ72" s="2936"/>
      <c r="QJK72" s="2936"/>
      <c r="QJL72" s="2936"/>
      <c r="QJM72" s="2936"/>
      <c r="QJN72" s="2936"/>
      <c r="QJO72" s="2936"/>
      <c r="QJP72" s="2936"/>
      <c r="QJQ72" s="2936"/>
      <c r="QJR72" s="2936"/>
      <c r="QJS72" s="2936"/>
      <c r="QJT72" s="2936"/>
      <c r="QJU72" s="2936"/>
      <c r="QJV72" s="2936"/>
      <c r="QJW72" s="2936"/>
      <c r="QJX72" s="2936"/>
      <c r="QJY72" s="2936"/>
      <c r="QJZ72" s="2936"/>
      <c r="QKA72" s="2936"/>
      <c r="QKB72" s="2936"/>
      <c r="QKC72" s="2936"/>
      <c r="QKD72" s="2936"/>
      <c r="QKE72" s="2936"/>
      <c r="QKF72" s="2936"/>
      <c r="QKG72" s="2936"/>
      <c r="QKH72" s="2936"/>
      <c r="QKI72" s="2936"/>
      <c r="QKJ72" s="2936"/>
      <c r="QKK72" s="2936"/>
      <c r="QKL72" s="2936"/>
      <c r="QKM72" s="2936"/>
      <c r="QKN72" s="2936"/>
      <c r="QKO72" s="2936"/>
      <c r="QKP72" s="2936"/>
      <c r="QKQ72" s="2936"/>
      <c r="QKR72" s="2936"/>
      <c r="QKS72" s="2936"/>
      <c r="QKT72" s="2936"/>
      <c r="QKU72" s="2936"/>
      <c r="QKV72" s="2936"/>
      <c r="QKW72" s="2936"/>
      <c r="QKX72" s="2936"/>
      <c r="QKY72" s="2936"/>
      <c r="QKZ72" s="2936"/>
      <c r="QLA72" s="2936"/>
      <c r="QLB72" s="2936"/>
      <c r="QLC72" s="2936"/>
      <c r="QLD72" s="2936"/>
      <c r="QLE72" s="2936"/>
      <c r="QLF72" s="2936"/>
      <c r="QLG72" s="2936"/>
      <c r="QLH72" s="2936"/>
      <c r="QLI72" s="2936"/>
      <c r="QLJ72" s="2936"/>
      <c r="QLK72" s="2936"/>
      <c r="QLL72" s="2936"/>
      <c r="QLM72" s="2936"/>
      <c r="QLN72" s="2936"/>
      <c r="QLO72" s="2936"/>
      <c r="QLP72" s="2936"/>
      <c r="QLQ72" s="2936"/>
      <c r="QLR72" s="2936"/>
      <c r="QLS72" s="2936"/>
      <c r="QLT72" s="2936"/>
      <c r="QLU72" s="2936"/>
      <c r="QLV72" s="2936"/>
      <c r="QLW72" s="2936"/>
      <c r="QLX72" s="2936"/>
      <c r="QLY72" s="2936"/>
      <c r="QLZ72" s="2936"/>
      <c r="QMA72" s="2936"/>
      <c r="QMB72" s="2936"/>
      <c r="QMC72" s="2936"/>
      <c r="QMD72" s="2936"/>
      <c r="QME72" s="2936"/>
      <c r="QMF72" s="2936"/>
      <c r="QMG72" s="2936"/>
      <c r="QMH72" s="2936"/>
      <c r="QMI72" s="2936"/>
      <c r="QMJ72" s="2936"/>
      <c r="QMK72" s="2936"/>
      <c r="QML72" s="2936"/>
      <c r="QMM72" s="2936"/>
      <c r="QMN72" s="2936"/>
      <c r="QMO72" s="2936"/>
      <c r="QMP72" s="2936"/>
      <c r="QMQ72" s="2936"/>
      <c r="QMR72" s="2936"/>
      <c r="QMS72" s="2936"/>
      <c r="QMT72" s="2936"/>
      <c r="QMU72" s="2936"/>
      <c r="QMV72" s="2936"/>
      <c r="QMW72" s="2936"/>
      <c r="QMX72" s="2936"/>
      <c r="QMY72" s="2936"/>
      <c r="QMZ72" s="2936"/>
      <c r="QNA72" s="2936"/>
      <c r="QNB72" s="2936"/>
      <c r="QNC72" s="2936"/>
      <c r="QND72" s="2936"/>
      <c r="QNE72" s="2936"/>
      <c r="QNF72" s="2936"/>
      <c r="QNG72" s="2936"/>
      <c r="QNH72" s="2936"/>
      <c r="QNI72" s="2936"/>
      <c r="QNJ72" s="2936"/>
      <c r="QNK72" s="2936"/>
      <c r="QNL72" s="2936"/>
      <c r="QNM72" s="2936"/>
      <c r="QNN72" s="2936"/>
      <c r="QNO72" s="2936"/>
      <c r="QNP72" s="2936"/>
      <c r="QNQ72" s="2936"/>
      <c r="QNR72" s="2936"/>
      <c r="QNS72" s="2936"/>
      <c r="QNT72" s="2936"/>
      <c r="QNU72" s="2936"/>
      <c r="QNV72" s="2936"/>
      <c r="QNW72" s="2936"/>
      <c r="QNX72" s="2936"/>
      <c r="QNY72" s="2936"/>
      <c r="QNZ72" s="2936"/>
      <c r="QOA72" s="2936"/>
      <c r="QOB72" s="2936"/>
      <c r="QOC72" s="2936"/>
      <c r="QOD72" s="2936"/>
      <c r="QOE72" s="2936"/>
      <c r="QOF72" s="2936"/>
      <c r="QOG72" s="2936"/>
      <c r="QOH72" s="2936"/>
      <c r="QOI72" s="2936"/>
      <c r="QOJ72" s="2936"/>
      <c r="QOK72" s="2936"/>
      <c r="QOL72" s="2936"/>
      <c r="QOM72" s="2936"/>
      <c r="QON72" s="2936"/>
      <c r="QOO72" s="2936"/>
      <c r="QOP72" s="2936"/>
      <c r="QOQ72" s="2936"/>
      <c r="QOR72" s="2936"/>
      <c r="QOS72" s="2936"/>
      <c r="QOT72" s="2936"/>
      <c r="QOU72" s="2936"/>
      <c r="QOV72" s="2936"/>
      <c r="QOW72" s="2936"/>
      <c r="QOX72" s="2936"/>
      <c r="QOY72" s="2936"/>
      <c r="QOZ72" s="2936"/>
      <c r="QPA72" s="2936"/>
      <c r="QPB72" s="2936"/>
      <c r="QPC72" s="2936"/>
      <c r="QPD72" s="2936"/>
      <c r="QPE72" s="2936"/>
      <c r="QPF72" s="2936"/>
      <c r="QPG72" s="2936"/>
      <c r="QPH72" s="2936"/>
      <c r="QPI72" s="2936"/>
      <c r="QPJ72" s="2936"/>
      <c r="QPK72" s="2936"/>
      <c r="QPL72" s="2936"/>
      <c r="QPM72" s="2936"/>
      <c r="QPN72" s="2936"/>
      <c r="QPO72" s="2936"/>
      <c r="QPP72" s="2936"/>
      <c r="QPQ72" s="2936"/>
      <c r="QPR72" s="2936"/>
      <c r="QPS72" s="2936"/>
      <c r="QPT72" s="2936"/>
      <c r="QPU72" s="2936"/>
      <c r="QPV72" s="2936"/>
      <c r="QPW72" s="2936"/>
      <c r="QPX72" s="2936"/>
      <c r="QPY72" s="2936"/>
      <c r="QPZ72" s="2936"/>
      <c r="QQA72" s="2936"/>
      <c r="QQB72" s="2936"/>
      <c r="QQC72" s="2936"/>
      <c r="QQD72" s="2936"/>
      <c r="QQE72" s="2936"/>
      <c r="QQF72" s="2936"/>
      <c r="QQG72" s="2936"/>
      <c r="QQH72" s="2936"/>
      <c r="QQI72" s="2936"/>
      <c r="QQJ72" s="2936"/>
      <c r="QQK72" s="2936"/>
      <c r="QQL72" s="2936"/>
      <c r="QQM72" s="2936"/>
      <c r="QQN72" s="2936"/>
      <c r="QQO72" s="2936"/>
      <c r="QQP72" s="2936"/>
      <c r="QQQ72" s="2936"/>
      <c r="QQR72" s="2936"/>
      <c r="QQS72" s="2936"/>
      <c r="QQT72" s="2936"/>
      <c r="QQU72" s="2936"/>
      <c r="QQV72" s="2936"/>
      <c r="QQW72" s="2936"/>
      <c r="QQX72" s="2936"/>
      <c r="QQY72" s="2936"/>
      <c r="QQZ72" s="2936"/>
      <c r="QRA72" s="2936"/>
      <c r="QRB72" s="2936"/>
      <c r="QRC72" s="2936"/>
      <c r="QRD72" s="2936"/>
      <c r="QRE72" s="2936"/>
      <c r="QRF72" s="2936"/>
      <c r="QRG72" s="2936"/>
      <c r="QRH72" s="2936"/>
      <c r="QRI72" s="2936"/>
      <c r="QRJ72" s="2936"/>
      <c r="QRK72" s="2936"/>
      <c r="QRL72" s="2936"/>
      <c r="QRM72" s="2936"/>
      <c r="QRN72" s="2936"/>
      <c r="QRO72" s="2936"/>
      <c r="QRP72" s="2936"/>
      <c r="QRQ72" s="2936"/>
      <c r="QRR72" s="2936"/>
      <c r="QRS72" s="2936"/>
      <c r="QRT72" s="2936"/>
      <c r="QRU72" s="2936"/>
      <c r="QRV72" s="2936"/>
      <c r="QRW72" s="2936"/>
      <c r="QRX72" s="2936"/>
      <c r="QRY72" s="2936"/>
      <c r="QRZ72" s="2936"/>
      <c r="QSA72" s="2936"/>
      <c r="QSB72" s="2936"/>
      <c r="QSC72" s="2936"/>
      <c r="QSD72" s="2936"/>
      <c r="QSE72" s="2936"/>
      <c r="QSF72" s="2936"/>
      <c r="QSG72" s="2936"/>
      <c r="QSH72" s="2936"/>
      <c r="QSI72" s="2936"/>
      <c r="QSJ72" s="2936"/>
      <c r="QSK72" s="2936"/>
      <c r="QSL72" s="2936"/>
      <c r="QSM72" s="2936"/>
      <c r="QSN72" s="2936"/>
      <c r="QSO72" s="2936"/>
      <c r="QSP72" s="2936"/>
      <c r="QSQ72" s="2936"/>
      <c r="QSR72" s="2936"/>
      <c r="QSS72" s="2936"/>
      <c r="QST72" s="2936"/>
      <c r="QSU72" s="2936"/>
      <c r="QSV72" s="2936"/>
      <c r="QSW72" s="2936"/>
      <c r="QSX72" s="2936"/>
      <c r="QSY72" s="2936"/>
      <c r="QSZ72" s="2936"/>
      <c r="QTA72" s="2936"/>
      <c r="QTB72" s="2936"/>
      <c r="QTC72" s="2936"/>
      <c r="QTD72" s="2936"/>
      <c r="QTE72" s="2936"/>
      <c r="QTF72" s="2936"/>
      <c r="QTG72" s="2936"/>
      <c r="QTH72" s="2936"/>
      <c r="QTI72" s="2936"/>
      <c r="QTJ72" s="2936"/>
      <c r="QTK72" s="2936"/>
      <c r="QTL72" s="2936"/>
      <c r="QTM72" s="2936"/>
      <c r="QTN72" s="2936"/>
      <c r="QTO72" s="2936"/>
      <c r="QTP72" s="2936"/>
      <c r="QTQ72" s="2936"/>
      <c r="QTR72" s="2936"/>
      <c r="QTS72" s="2936"/>
      <c r="QTT72" s="2936"/>
      <c r="QTU72" s="2936"/>
      <c r="QTV72" s="2936"/>
      <c r="QTW72" s="2936"/>
      <c r="QTX72" s="2936"/>
      <c r="QTY72" s="2936"/>
      <c r="QTZ72" s="2936"/>
      <c r="QUA72" s="2936"/>
      <c r="QUB72" s="2936"/>
      <c r="QUC72" s="2936"/>
      <c r="QUD72" s="2936"/>
      <c r="QUE72" s="2936"/>
      <c r="QUF72" s="2936"/>
      <c r="QUG72" s="2936"/>
      <c r="QUH72" s="2936"/>
      <c r="QUI72" s="2936"/>
      <c r="QUJ72" s="2936"/>
      <c r="QUK72" s="2936"/>
      <c r="QUL72" s="2936"/>
      <c r="QUM72" s="2936"/>
      <c r="QUN72" s="2936"/>
      <c r="QUO72" s="2936"/>
      <c r="QUP72" s="2936"/>
      <c r="QUQ72" s="2936"/>
      <c r="QUR72" s="2936"/>
      <c r="QUS72" s="2936"/>
      <c r="QUT72" s="2936"/>
      <c r="QUU72" s="2936"/>
      <c r="QUV72" s="2936"/>
      <c r="QUW72" s="2936"/>
      <c r="QUX72" s="2936"/>
      <c r="QUY72" s="2936"/>
      <c r="QUZ72" s="2936"/>
      <c r="QVA72" s="2936"/>
      <c r="QVB72" s="2936"/>
      <c r="QVC72" s="2936"/>
      <c r="QVD72" s="2936"/>
      <c r="QVE72" s="2936"/>
      <c r="QVF72" s="2936"/>
      <c r="QVG72" s="2936"/>
      <c r="QVH72" s="2936"/>
      <c r="QVI72" s="2936"/>
      <c r="QVJ72" s="2936"/>
      <c r="QVK72" s="2936"/>
      <c r="QVL72" s="2936"/>
      <c r="QVM72" s="2936"/>
      <c r="QVN72" s="2936"/>
      <c r="QVO72" s="2936"/>
      <c r="QVP72" s="2936"/>
      <c r="QVQ72" s="2936"/>
      <c r="QVR72" s="2936"/>
      <c r="QVS72" s="2936"/>
      <c r="QVT72" s="2936"/>
      <c r="QVU72" s="2936"/>
      <c r="QVV72" s="2936"/>
      <c r="QVW72" s="2936"/>
      <c r="QVX72" s="2936"/>
      <c r="QVY72" s="2936"/>
      <c r="QVZ72" s="2936"/>
      <c r="QWA72" s="2936"/>
      <c r="QWB72" s="2936"/>
      <c r="QWC72" s="2936"/>
      <c r="QWD72" s="2936"/>
      <c r="QWE72" s="2936"/>
      <c r="QWF72" s="2936"/>
      <c r="QWG72" s="2936"/>
      <c r="QWH72" s="2936"/>
      <c r="QWI72" s="2936"/>
      <c r="QWJ72" s="2936"/>
      <c r="QWK72" s="2936"/>
      <c r="QWL72" s="2936"/>
      <c r="QWM72" s="2936"/>
      <c r="QWN72" s="2936"/>
      <c r="QWO72" s="2936"/>
      <c r="QWP72" s="2936"/>
      <c r="QWQ72" s="2936"/>
      <c r="QWR72" s="2936"/>
      <c r="QWS72" s="2936"/>
      <c r="QWT72" s="2936"/>
      <c r="QWU72" s="2936"/>
      <c r="QWV72" s="2936"/>
      <c r="QWW72" s="2936"/>
      <c r="QWX72" s="2936"/>
      <c r="QWY72" s="2936"/>
      <c r="QWZ72" s="2936"/>
      <c r="QXA72" s="2936"/>
      <c r="QXB72" s="2936"/>
      <c r="QXC72" s="2936"/>
      <c r="QXD72" s="2936"/>
      <c r="QXE72" s="2936"/>
      <c r="QXF72" s="2936"/>
      <c r="QXG72" s="2936"/>
      <c r="QXH72" s="2936"/>
      <c r="QXI72" s="2936"/>
      <c r="QXJ72" s="2936"/>
      <c r="QXK72" s="2936"/>
      <c r="QXL72" s="2936"/>
      <c r="QXM72" s="2936"/>
      <c r="QXN72" s="2936"/>
      <c r="QXO72" s="2936"/>
      <c r="QXP72" s="2936"/>
      <c r="QXQ72" s="2936"/>
      <c r="QXR72" s="2936"/>
      <c r="QXS72" s="2936"/>
      <c r="QXT72" s="2936"/>
      <c r="QXU72" s="2936"/>
      <c r="QXV72" s="2936"/>
      <c r="QXW72" s="2936"/>
      <c r="QXX72" s="2936"/>
      <c r="QXY72" s="2936"/>
      <c r="QXZ72" s="2936"/>
      <c r="QYA72" s="2936"/>
      <c r="QYB72" s="2936"/>
      <c r="QYC72" s="2936"/>
      <c r="QYD72" s="2936"/>
      <c r="QYE72" s="2936"/>
      <c r="QYF72" s="2936"/>
      <c r="QYG72" s="2936"/>
      <c r="QYH72" s="2936"/>
      <c r="QYI72" s="2936"/>
      <c r="QYJ72" s="2936"/>
      <c r="QYK72" s="2936"/>
      <c r="QYL72" s="2936"/>
      <c r="QYM72" s="2936"/>
      <c r="QYN72" s="2936"/>
      <c r="QYO72" s="2936"/>
      <c r="QYP72" s="2936"/>
      <c r="QYQ72" s="2936"/>
      <c r="QYR72" s="2936"/>
      <c r="QYS72" s="2936"/>
      <c r="QYT72" s="2936"/>
      <c r="QYU72" s="2936"/>
      <c r="QYV72" s="2936"/>
      <c r="QYW72" s="2936"/>
      <c r="QYX72" s="2936"/>
      <c r="QYY72" s="2936"/>
      <c r="QYZ72" s="2936"/>
      <c r="QZA72" s="2936"/>
      <c r="QZB72" s="2936"/>
      <c r="QZC72" s="2936"/>
      <c r="QZD72" s="2936"/>
      <c r="QZE72" s="2936"/>
      <c r="QZF72" s="2936"/>
      <c r="QZG72" s="2936"/>
      <c r="QZH72" s="2936"/>
      <c r="QZI72" s="2936"/>
      <c r="QZJ72" s="2936"/>
      <c r="QZK72" s="2936"/>
      <c r="QZL72" s="2936"/>
      <c r="QZM72" s="2936"/>
      <c r="QZN72" s="2936"/>
      <c r="QZO72" s="2936"/>
      <c r="QZP72" s="2936"/>
      <c r="QZQ72" s="2936"/>
      <c r="QZR72" s="2936"/>
      <c r="QZS72" s="2936"/>
      <c r="QZT72" s="2936"/>
      <c r="QZU72" s="2936"/>
      <c r="QZV72" s="2936"/>
      <c r="QZW72" s="2936"/>
      <c r="QZX72" s="2936"/>
      <c r="QZY72" s="2936"/>
      <c r="QZZ72" s="2936"/>
      <c r="RAA72" s="2936"/>
      <c r="RAB72" s="2936"/>
      <c r="RAC72" s="2936"/>
      <c r="RAD72" s="2936"/>
      <c r="RAE72" s="2936"/>
      <c r="RAF72" s="2936"/>
      <c r="RAG72" s="2936"/>
      <c r="RAH72" s="2936"/>
      <c r="RAI72" s="2936"/>
      <c r="RAJ72" s="2936"/>
      <c r="RAK72" s="2936"/>
      <c r="RAL72" s="2936"/>
      <c r="RAM72" s="2936"/>
      <c r="RAN72" s="2936"/>
      <c r="RAO72" s="2936"/>
      <c r="RAP72" s="2936"/>
      <c r="RAQ72" s="2936"/>
      <c r="RAR72" s="2936"/>
      <c r="RAS72" s="2936"/>
      <c r="RAT72" s="2936"/>
      <c r="RAU72" s="2936"/>
      <c r="RAV72" s="2936"/>
      <c r="RAW72" s="2936"/>
      <c r="RAX72" s="2936"/>
      <c r="RAY72" s="2936"/>
      <c r="RAZ72" s="2936"/>
      <c r="RBA72" s="2936"/>
      <c r="RBB72" s="2936"/>
      <c r="RBC72" s="2936"/>
      <c r="RBD72" s="2936"/>
      <c r="RBE72" s="2936"/>
      <c r="RBF72" s="2936"/>
      <c r="RBG72" s="2936"/>
      <c r="RBH72" s="2936"/>
      <c r="RBI72" s="2936"/>
      <c r="RBJ72" s="2936"/>
      <c r="RBK72" s="2936"/>
      <c r="RBL72" s="2936"/>
      <c r="RBM72" s="2936"/>
      <c r="RBN72" s="2936"/>
      <c r="RBO72" s="2936"/>
      <c r="RBP72" s="2936"/>
      <c r="RBQ72" s="2936"/>
      <c r="RBR72" s="2936"/>
      <c r="RBS72" s="2936"/>
      <c r="RBT72" s="2936"/>
      <c r="RBU72" s="2936"/>
      <c r="RBV72" s="2936"/>
      <c r="RBW72" s="2936"/>
      <c r="RBX72" s="2936"/>
      <c r="RBY72" s="2936"/>
      <c r="RBZ72" s="2936"/>
      <c r="RCA72" s="2936"/>
      <c r="RCB72" s="2936"/>
      <c r="RCC72" s="2936"/>
      <c r="RCD72" s="2936"/>
      <c r="RCE72" s="2936"/>
      <c r="RCF72" s="2936"/>
      <c r="RCG72" s="2936"/>
      <c r="RCH72" s="2936"/>
      <c r="RCI72" s="2936"/>
      <c r="RCJ72" s="2936"/>
      <c r="RCK72" s="2936"/>
      <c r="RCL72" s="2936"/>
      <c r="RCM72" s="2936"/>
      <c r="RCN72" s="2936"/>
      <c r="RCO72" s="2936"/>
      <c r="RCP72" s="2936"/>
      <c r="RCQ72" s="2936"/>
      <c r="RCR72" s="2936"/>
      <c r="RCS72" s="2936"/>
      <c r="RCT72" s="2936"/>
      <c r="RCU72" s="2936"/>
      <c r="RCV72" s="2936"/>
      <c r="RCW72" s="2936"/>
      <c r="RCX72" s="2936"/>
      <c r="RCY72" s="2936"/>
      <c r="RCZ72" s="2936"/>
      <c r="RDA72" s="2936"/>
      <c r="RDB72" s="2936"/>
      <c r="RDC72" s="2936"/>
      <c r="RDD72" s="2936"/>
      <c r="RDE72" s="2936"/>
      <c r="RDF72" s="2936"/>
      <c r="RDG72" s="2936"/>
      <c r="RDH72" s="2936"/>
      <c r="RDI72" s="2936"/>
      <c r="RDJ72" s="2936"/>
      <c r="RDK72" s="2936"/>
      <c r="RDL72" s="2936"/>
      <c r="RDM72" s="2936"/>
      <c r="RDN72" s="2936"/>
      <c r="RDO72" s="2936"/>
      <c r="RDP72" s="2936"/>
      <c r="RDQ72" s="2936"/>
      <c r="RDR72" s="2936"/>
      <c r="RDS72" s="2936"/>
      <c r="RDT72" s="2936"/>
      <c r="RDU72" s="2936"/>
      <c r="RDV72" s="2936"/>
      <c r="RDW72" s="2936"/>
      <c r="RDX72" s="2936"/>
      <c r="RDY72" s="2936"/>
      <c r="RDZ72" s="2936"/>
      <c r="REA72" s="2936"/>
      <c r="REB72" s="2936"/>
      <c r="REC72" s="2936"/>
      <c r="RED72" s="2936"/>
      <c r="REE72" s="2936"/>
      <c r="REF72" s="2936"/>
      <c r="REG72" s="2936"/>
      <c r="REH72" s="2936"/>
      <c r="REI72" s="2936"/>
      <c r="REJ72" s="2936"/>
      <c r="REK72" s="2936"/>
      <c r="REL72" s="2936"/>
      <c r="REM72" s="2936"/>
      <c r="REN72" s="2936"/>
      <c r="REO72" s="2936"/>
      <c r="REP72" s="2936"/>
      <c r="REQ72" s="2936"/>
      <c r="RER72" s="2936"/>
      <c r="RES72" s="2936"/>
      <c r="RET72" s="2936"/>
      <c r="REU72" s="2936"/>
      <c r="REV72" s="2936"/>
      <c r="REW72" s="2936"/>
      <c r="REX72" s="2936"/>
      <c r="REY72" s="2936"/>
      <c r="REZ72" s="2936"/>
      <c r="RFA72" s="2936"/>
      <c r="RFB72" s="2936"/>
      <c r="RFC72" s="2936"/>
      <c r="RFD72" s="2936"/>
      <c r="RFE72" s="2936"/>
      <c r="RFF72" s="2936"/>
      <c r="RFG72" s="2936"/>
      <c r="RFH72" s="2936"/>
      <c r="RFI72" s="2936"/>
      <c r="RFJ72" s="2936"/>
      <c r="RFK72" s="2936"/>
      <c r="RFL72" s="2936"/>
      <c r="RFM72" s="2936"/>
      <c r="RFN72" s="2936"/>
      <c r="RFO72" s="2936"/>
      <c r="RFP72" s="2936"/>
      <c r="RFQ72" s="2936"/>
      <c r="RFR72" s="2936"/>
      <c r="RFS72" s="2936"/>
      <c r="RFT72" s="2936"/>
      <c r="RFU72" s="2936"/>
      <c r="RFV72" s="2936"/>
      <c r="RFW72" s="2936"/>
      <c r="RFX72" s="2936"/>
      <c r="RFY72" s="2936"/>
      <c r="RFZ72" s="2936"/>
      <c r="RGA72" s="2936"/>
      <c r="RGB72" s="2936"/>
      <c r="RGC72" s="2936"/>
      <c r="RGD72" s="2936"/>
      <c r="RGE72" s="2936"/>
      <c r="RGF72" s="2936"/>
      <c r="RGG72" s="2936"/>
      <c r="RGH72" s="2936"/>
      <c r="RGI72" s="2936"/>
      <c r="RGJ72" s="2936"/>
      <c r="RGK72" s="2936"/>
      <c r="RGL72" s="2936"/>
      <c r="RGM72" s="2936"/>
      <c r="RGN72" s="2936"/>
      <c r="RGO72" s="2936"/>
      <c r="RGP72" s="2936"/>
      <c r="RGQ72" s="2936"/>
      <c r="RGR72" s="2936"/>
      <c r="RGS72" s="2936"/>
      <c r="RGT72" s="2936"/>
      <c r="RGU72" s="2936"/>
      <c r="RGV72" s="2936"/>
      <c r="RGW72" s="2936"/>
      <c r="RGX72" s="2936"/>
      <c r="RGY72" s="2936"/>
      <c r="RGZ72" s="2936"/>
      <c r="RHA72" s="2936"/>
      <c r="RHB72" s="2936"/>
      <c r="RHC72" s="2936"/>
      <c r="RHD72" s="2936"/>
      <c r="RHE72" s="2936"/>
      <c r="RHF72" s="2936"/>
      <c r="RHG72" s="2936"/>
      <c r="RHH72" s="2936"/>
      <c r="RHI72" s="2936"/>
      <c r="RHJ72" s="2936"/>
      <c r="RHK72" s="2936"/>
      <c r="RHL72" s="2936"/>
      <c r="RHM72" s="2936"/>
      <c r="RHN72" s="2936"/>
      <c r="RHO72" s="2936"/>
      <c r="RHP72" s="2936"/>
      <c r="RHQ72" s="2936"/>
      <c r="RHR72" s="2936"/>
      <c r="RHS72" s="2936"/>
      <c r="RHT72" s="2936"/>
      <c r="RHU72" s="2936"/>
      <c r="RHV72" s="2936"/>
      <c r="RHW72" s="2936"/>
      <c r="RHX72" s="2936"/>
      <c r="RHY72" s="2936"/>
      <c r="RHZ72" s="2936"/>
      <c r="RIA72" s="2936"/>
      <c r="RIB72" s="2936"/>
      <c r="RIC72" s="2936"/>
      <c r="RID72" s="2936"/>
      <c r="RIE72" s="2936"/>
      <c r="RIF72" s="2936"/>
      <c r="RIG72" s="2936"/>
      <c r="RIH72" s="2936"/>
      <c r="RII72" s="2936"/>
      <c r="RIJ72" s="2936"/>
      <c r="RIK72" s="2936"/>
      <c r="RIL72" s="2936"/>
      <c r="RIM72" s="2936"/>
      <c r="RIN72" s="2936"/>
      <c r="RIO72" s="2936"/>
      <c r="RIP72" s="2936"/>
      <c r="RIQ72" s="2936"/>
      <c r="RIR72" s="2936"/>
      <c r="RIS72" s="2936"/>
      <c r="RIT72" s="2936"/>
      <c r="RIU72" s="2936"/>
      <c r="RIV72" s="2936"/>
      <c r="RIW72" s="2936"/>
      <c r="RIX72" s="2936"/>
      <c r="RIY72" s="2936"/>
      <c r="RIZ72" s="2936"/>
      <c r="RJA72" s="2936"/>
      <c r="RJB72" s="2936"/>
      <c r="RJC72" s="2936"/>
      <c r="RJD72" s="2936"/>
      <c r="RJE72" s="2936"/>
      <c r="RJF72" s="2936"/>
      <c r="RJG72" s="2936"/>
      <c r="RJH72" s="2936"/>
      <c r="RJI72" s="2936"/>
      <c r="RJJ72" s="2936"/>
      <c r="RJK72" s="2936"/>
      <c r="RJL72" s="2936"/>
      <c r="RJM72" s="2936"/>
      <c r="RJN72" s="2936"/>
      <c r="RJO72" s="2936"/>
      <c r="RJP72" s="2936"/>
      <c r="RJQ72" s="2936"/>
      <c r="RJR72" s="2936"/>
      <c r="RJS72" s="2936"/>
      <c r="RJT72" s="2936"/>
      <c r="RJU72" s="2936"/>
      <c r="RJV72" s="2936"/>
      <c r="RJW72" s="2936"/>
      <c r="RJX72" s="2936"/>
      <c r="RJY72" s="2936"/>
      <c r="RJZ72" s="2936"/>
      <c r="RKA72" s="2936"/>
      <c r="RKB72" s="2936"/>
      <c r="RKC72" s="2936"/>
      <c r="RKD72" s="2936"/>
      <c r="RKE72" s="2936"/>
      <c r="RKF72" s="2936"/>
      <c r="RKG72" s="2936"/>
      <c r="RKH72" s="2936"/>
      <c r="RKI72" s="2936"/>
      <c r="RKJ72" s="2936"/>
      <c r="RKK72" s="2936"/>
      <c r="RKL72" s="2936"/>
      <c r="RKM72" s="2936"/>
      <c r="RKN72" s="2936"/>
      <c r="RKO72" s="2936"/>
      <c r="RKP72" s="2936"/>
      <c r="RKQ72" s="2936"/>
      <c r="RKR72" s="2936"/>
      <c r="RKS72" s="2936"/>
      <c r="RKT72" s="2936"/>
      <c r="RKU72" s="2936"/>
      <c r="RKV72" s="2936"/>
      <c r="RKW72" s="2936"/>
      <c r="RKX72" s="2936"/>
      <c r="RKY72" s="2936"/>
      <c r="RKZ72" s="2936"/>
      <c r="RLA72" s="2936"/>
      <c r="RLB72" s="2936"/>
      <c r="RLC72" s="2936"/>
      <c r="RLD72" s="2936"/>
      <c r="RLE72" s="2936"/>
      <c r="RLF72" s="2936"/>
      <c r="RLG72" s="2936"/>
      <c r="RLH72" s="2936"/>
      <c r="RLI72" s="2936"/>
      <c r="RLJ72" s="2936"/>
      <c r="RLK72" s="2936"/>
      <c r="RLL72" s="2936"/>
      <c r="RLM72" s="2936"/>
      <c r="RLN72" s="2936"/>
      <c r="RLO72" s="2936"/>
      <c r="RLP72" s="2936"/>
      <c r="RLQ72" s="2936"/>
      <c r="RLR72" s="2936"/>
      <c r="RLS72" s="2936"/>
      <c r="RLT72" s="2936"/>
      <c r="RLU72" s="2936"/>
      <c r="RLV72" s="2936"/>
      <c r="RLW72" s="2936"/>
      <c r="RLX72" s="2936"/>
      <c r="RLY72" s="2936"/>
      <c r="RLZ72" s="2936"/>
      <c r="RMA72" s="2936"/>
      <c r="RMB72" s="2936"/>
      <c r="RMC72" s="2936"/>
      <c r="RMD72" s="2936"/>
      <c r="RME72" s="2936"/>
      <c r="RMF72" s="2936"/>
      <c r="RMG72" s="2936"/>
      <c r="RMH72" s="2936"/>
      <c r="RMI72" s="2936"/>
      <c r="RMJ72" s="2936"/>
      <c r="RMK72" s="2936"/>
      <c r="RML72" s="2936"/>
      <c r="RMM72" s="2936"/>
      <c r="RMN72" s="2936"/>
      <c r="RMO72" s="2936"/>
      <c r="RMP72" s="2936"/>
      <c r="RMQ72" s="2936"/>
      <c r="RMR72" s="2936"/>
      <c r="RMS72" s="2936"/>
      <c r="RMT72" s="2936"/>
      <c r="RMU72" s="2936"/>
      <c r="RMV72" s="2936"/>
      <c r="RMW72" s="2936"/>
      <c r="RMX72" s="2936"/>
      <c r="RMY72" s="2936"/>
      <c r="RMZ72" s="2936"/>
      <c r="RNA72" s="2936"/>
      <c r="RNB72" s="2936"/>
      <c r="RNC72" s="2936"/>
      <c r="RND72" s="2936"/>
      <c r="RNE72" s="2936"/>
      <c r="RNF72" s="2936"/>
      <c r="RNG72" s="2936"/>
      <c r="RNH72" s="2936"/>
      <c r="RNI72" s="2936"/>
      <c r="RNJ72" s="2936"/>
      <c r="RNK72" s="2936"/>
      <c r="RNL72" s="2936"/>
      <c r="RNM72" s="2936"/>
      <c r="RNN72" s="2936"/>
      <c r="RNO72" s="2936"/>
      <c r="RNP72" s="2936"/>
      <c r="RNQ72" s="2936"/>
      <c r="RNR72" s="2936"/>
      <c r="RNS72" s="2936"/>
      <c r="RNT72" s="2936"/>
      <c r="RNU72" s="2936"/>
      <c r="RNV72" s="2936"/>
      <c r="RNW72" s="2936"/>
      <c r="RNX72" s="2936"/>
      <c r="RNY72" s="2936"/>
      <c r="RNZ72" s="2936"/>
      <c r="ROA72" s="2936"/>
      <c r="ROB72" s="2936"/>
      <c r="ROC72" s="2936"/>
      <c r="ROD72" s="2936"/>
      <c r="ROE72" s="2936"/>
      <c r="ROF72" s="2936"/>
      <c r="ROG72" s="2936"/>
      <c r="ROH72" s="2936"/>
      <c r="ROI72" s="2936"/>
      <c r="ROJ72" s="2936"/>
      <c r="ROK72" s="2936"/>
      <c r="ROL72" s="2936"/>
      <c r="ROM72" s="2936"/>
      <c r="RON72" s="2936"/>
      <c r="ROO72" s="2936"/>
      <c r="ROP72" s="2936"/>
      <c r="ROQ72" s="2936"/>
      <c r="ROR72" s="2936"/>
      <c r="ROS72" s="2936"/>
      <c r="ROT72" s="2936"/>
      <c r="ROU72" s="2936"/>
      <c r="ROV72" s="2936"/>
      <c r="ROW72" s="2936"/>
      <c r="ROX72" s="2936"/>
      <c r="ROY72" s="2936"/>
      <c r="ROZ72" s="2936"/>
      <c r="RPA72" s="2936"/>
      <c r="RPB72" s="2936"/>
      <c r="RPC72" s="2936"/>
      <c r="RPD72" s="2936"/>
      <c r="RPE72" s="2936"/>
      <c r="RPF72" s="2936"/>
      <c r="RPG72" s="2936"/>
      <c r="RPH72" s="2936"/>
      <c r="RPI72" s="2936"/>
      <c r="RPJ72" s="2936"/>
      <c r="RPK72" s="2936"/>
      <c r="RPL72" s="2936"/>
      <c r="RPM72" s="2936"/>
      <c r="RPN72" s="2936"/>
      <c r="RPO72" s="2936"/>
      <c r="RPP72" s="2936"/>
      <c r="RPQ72" s="2936"/>
      <c r="RPR72" s="2936"/>
      <c r="RPS72" s="2936"/>
      <c r="RPT72" s="2936"/>
      <c r="RPU72" s="2936"/>
      <c r="RPV72" s="2936"/>
      <c r="RPW72" s="2936"/>
      <c r="RPX72" s="2936"/>
      <c r="RPY72" s="2936"/>
      <c r="RPZ72" s="2936"/>
      <c r="RQA72" s="2936"/>
      <c r="RQB72" s="2936"/>
      <c r="RQC72" s="2936"/>
      <c r="RQD72" s="2936"/>
      <c r="RQE72" s="2936"/>
      <c r="RQF72" s="2936"/>
      <c r="RQG72" s="2936"/>
      <c r="RQH72" s="2936"/>
      <c r="RQI72" s="2936"/>
      <c r="RQJ72" s="2936"/>
      <c r="RQK72" s="2936"/>
      <c r="RQL72" s="2936"/>
      <c r="RQM72" s="2936"/>
      <c r="RQN72" s="2936"/>
      <c r="RQO72" s="2936"/>
      <c r="RQP72" s="2936"/>
      <c r="RQQ72" s="2936"/>
      <c r="RQR72" s="2936"/>
      <c r="RQS72" s="2936"/>
      <c r="RQT72" s="2936"/>
      <c r="RQU72" s="2936"/>
      <c r="RQV72" s="2936"/>
      <c r="RQW72" s="2936"/>
      <c r="RQX72" s="2936"/>
      <c r="RQY72" s="2936"/>
      <c r="RQZ72" s="2936"/>
      <c r="RRA72" s="2936"/>
      <c r="RRB72" s="2936"/>
      <c r="RRC72" s="2936"/>
      <c r="RRD72" s="2936"/>
      <c r="RRE72" s="2936"/>
      <c r="RRF72" s="2936"/>
      <c r="RRG72" s="2936"/>
      <c r="RRH72" s="2936"/>
      <c r="RRI72" s="2936"/>
      <c r="RRJ72" s="2936"/>
      <c r="RRK72" s="2936"/>
      <c r="RRL72" s="2936"/>
      <c r="RRM72" s="2936"/>
      <c r="RRN72" s="2936"/>
      <c r="RRO72" s="2936"/>
      <c r="RRP72" s="2936"/>
      <c r="RRQ72" s="2936"/>
      <c r="RRR72" s="2936"/>
      <c r="RRS72" s="2936"/>
      <c r="RRT72" s="2936"/>
      <c r="RRU72" s="2936"/>
      <c r="RRV72" s="2936"/>
      <c r="RRW72" s="2936"/>
      <c r="RRX72" s="2936"/>
      <c r="RRY72" s="2936"/>
      <c r="RRZ72" s="2936"/>
      <c r="RSA72" s="2936"/>
      <c r="RSB72" s="2936"/>
      <c r="RSC72" s="2936"/>
      <c r="RSD72" s="2936"/>
      <c r="RSE72" s="2936"/>
      <c r="RSF72" s="2936"/>
      <c r="RSG72" s="2936"/>
      <c r="RSH72" s="2936"/>
      <c r="RSI72" s="2936"/>
      <c r="RSJ72" s="2936"/>
      <c r="RSK72" s="2936"/>
      <c r="RSL72" s="2936"/>
      <c r="RSM72" s="2936"/>
      <c r="RSN72" s="2936"/>
      <c r="RSO72" s="2936"/>
      <c r="RSP72" s="2936"/>
      <c r="RSQ72" s="2936"/>
      <c r="RSR72" s="2936"/>
      <c r="RSS72" s="2936"/>
      <c r="RST72" s="2936"/>
      <c r="RSU72" s="2936"/>
      <c r="RSV72" s="2936"/>
      <c r="RSW72" s="2936"/>
      <c r="RSX72" s="2936"/>
      <c r="RSY72" s="2936"/>
      <c r="RSZ72" s="2936"/>
      <c r="RTA72" s="2936"/>
      <c r="RTB72" s="2936"/>
      <c r="RTC72" s="2936"/>
      <c r="RTD72" s="2936"/>
      <c r="RTE72" s="2936"/>
      <c r="RTF72" s="2936"/>
      <c r="RTG72" s="2936"/>
      <c r="RTH72" s="2936"/>
      <c r="RTI72" s="2936"/>
      <c r="RTJ72" s="2936"/>
      <c r="RTK72" s="2936"/>
      <c r="RTL72" s="2936"/>
      <c r="RTM72" s="2936"/>
      <c r="RTN72" s="2936"/>
      <c r="RTO72" s="2936"/>
      <c r="RTP72" s="2936"/>
      <c r="RTQ72" s="2936"/>
      <c r="RTR72" s="2936"/>
      <c r="RTS72" s="2936"/>
      <c r="RTT72" s="2936"/>
      <c r="RTU72" s="2936"/>
      <c r="RTV72" s="2936"/>
      <c r="RTW72" s="2936"/>
      <c r="RTX72" s="2936"/>
      <c r="RTY72" s="2936"/>
      <c r="RTZ72" s="2936"/>
      <c r="RUA72" s="2936"/>
      <c r="RUB72" s="2936"/>
      <c r="RUC72" s="2936"/>
      <c r="RUD72" s="2936"/>
      <c r="RUE72" s="2936"/>
      <c r="RUF72" s="2936"/>
      <c r="RUG72" s="2936"/>
      <c r="RUH72" s="2936"/>
      <c r="RUI72" s="2936"/>
      <c r="RUJ72" s="2936"/>
      <c r="RUK72" s="2936"/>
      <c r="RUL72" s="2936"/>
      <c r="RUM72" s="2936"/>
      <c r="RUN72" s="2936"/>
      <c r="RUO72" s="2936"/>
      <c r="RUP72" s="2936"/>
      <c r="RUQ72" s="2936"/>
      <c r="RUR72" s="2936"/>
      <c r="RUS72" s="2936"/>
      <c r="RUT72" s="2936"/>
      <c r="RUU72" s="2936"/>
      <c r="RUV72" s="2936"/>
      <c r="RUW72" s="2936"/>
      <c r="RUX72" s="2936"/>
      <c r="RUY72" s="2936"/>
      <c r="RUZ72" s="2936"/>
      <c r="RVA72" s="2936"/>
      <c r="RVB72" s="2936"/>
      <c r="RVC72" s="2936"/>
      <c r="RVD72" s="2936"/>
      <c r="RVE72" s="2936"/>
      <c r="RVF72" s="2936"/>
      <c r="RVG72" s="2936"/>
      <c r="RVH72" s="2936"/>
      <c r="RVI72" s="2936"/>
      <c r="RVJ72" s="2936"/>
      <c r="RVK72" s="2936"/>
      <c r="RVL72" s="2936"/>
      <c r="RVM72" s="2936"/>
      <c r="RVN72" s="2936"/>
      <c r="RVO72" s="2936"/>
      <c r="RVP72" s="2936"/>
      <c r="RVQ72" s="2936"/>
      <c r="RVR72" s="2936"/>
      <c r="RVS72" s="2936"/>
      <c r="RVT72" s="2936"/>
      <c r="RVU72" s="2936"/>
      <c r="RVV72" s="2936"/>
      <c r="RVW72" s="2936"/>
      <c r="RVX72" s="2936"/>
      <c r="RVY72" s="2936"/>
      <c r="RVZ72" s="2936"/>
      <c r="RWA72" s="2936"/>
      <c r="RWB72" s="2936"/>
      <c r="RWC72" s="2936"/>
      <c r="RWD72" s="2936"/>
      <c r="RWE72" s="2936"/>
      <c r="RWF72" s="2936"/>
      <c r="RWG72" s="2936"/>
      <c r="RWH72" s="2936"/>
      <c r="RWI72" s="2936"/>
      <c r="RWJ72" s="2936"/>
      <c r="RWK72" s="2936"/>
      <c r="RWL72" s="2936"/>
      <c r="RWM72" s="2936"/>
      <c r="RWN72" s="2936"/>
      <c r="RWO72" s="2936"/>
      <c r="RWP72" s="2936"/>
      <c r="RWQ72" s="2936"/>
      <c r="RWR72" s="2936"/>
      <c r="RWS72" s="2936"/>
      <c r="RWT72" s="2936"/>
      <c r="RWU72" s="2936"/>
      <c r="RWV72" s="2936"/>
      <c r="RWW72" s="2936"/>
      <c r="RWX72" s="2936"/>
      <c r="RWY72" s="2936"/>
      <c r="RWZ72" s="2936"/>
      <c r="RXA72" s="2936"/>
      <c r="RXB72" s="2936"/>
      <c r="RXC72" s="2936"/>
      <c r="RXD72" s="2936"/>
      <c r="RXE72" s="2936"/>
      <c r="RXF72" s="2936"/>
      <c r="RXG72" s="2936"/>
      <c r="RXH72" s="2936"/>
      <c r="RXI72" s="2936"/>
      <c r="RXJ72" s="2936"/>
      <c r="RXK72" s="2936"/>
      <c r="RXL72" s="2936"/>
      <c r="RXM72" s="2936"/>
      <c r="RXN72" s="2936"/>
      <c r="RXO72" s="2936"/>
      <c r="RXP72" s="2936"/>
      <c r="RXQ72" s="2936"/>
      <c r="RXR72" s="2936"/>
      <c r="RXS72" s="2936"/>
      <c r="RXT72" s="2936"/>
      <c r="RXU72" s="2936"/>
      <c r="RXV72" s="2936"/>
      <c r="RXW72" s="2936"/>
      <c r="RXX72" s="2936"/>
      <c r="RXY72" s="2936"/>
      <c r="RXZ72" s="2936"/>
      <c r="RYA72" s="2936"/>
      <c r="RYB72" s="2936"/>
      <c r="RYC72" s="2936"/>
      <c r="RYD72" s="2936"/>
      <c r="RYE72" s="2936"/>
      <c r="RYF72" s="2936"/>
      <c r="RYG72" s="2936"/>
      <c r="RYH72" s="2936"/>
      <c r="RYI72" s="2936"/>
      <c r="RYJ72" s="2936"/>
      <c r="RYK72" s="2936"/>
      <c r="RYL72" s="2936"/>
      <c r="RYM72" s="2936"/>
      <c r="RYN72" s="2936"/>
      <c r="RYO72" s="2936"/>
      <c r="RYP72" s="2936"/>
      <c r="RYQ72" s="2936"/>
      <c r="RYR72" s="2936"/>
      <c r="RYS72" s="2936"/>
      <c r="RYT72" s="2936"/>
      <c r="RYU72" s="2936"/>
      <c r="RYV72" s="2936"/>
      <c r="RYW72" s="2936"/>
      <c r="RYX72" s="2936"/>
      <c r="RYY72" s="2936"/>
      <c r="RYZ72" s="2936"/>
      <c r="RZA72" s="2936"/>
      <c r="RZB72" s="2936"/>
      <c r="RZC72" s="2936"/>
      <c r="RZD72" s="2936"/>
      <c r="RZE72" s="2936"/>
      <c r="RZF72" s="2936"/>
      <c r="RZG72" s="2936"/>
      <c r="RZH72" s="2936"/>
      <c r="RZI72" s="2936"/>
      <c r="RZJ72" s="2936"/>
      <c r="RZK72" s="2936"/>
      <c r="RZL72" s="2936"/>
      <c r="RZM72" s="2936"/>
      <c r="RZN72" s="2936"/>
      <c r="RZO72" s="2936"/>
      <c r="RZP72" s="2936"/>
      <c r="RZQ72" s="2936"/>
      <c r="RZR72" s="2936"/>
      <c r="RZS72" s="2936"/>
      <c r="RZT72" s="2936"/>
      <c r="RZU72" s="2936"/>
      <c r="RZV72" s="2936"/>
      <c r="RZW72" s="2936"/>
      <c r="RZX72" s="2936"/>
      <c r="RZY72" s="2936"/>
      <c r="RZZ72" s="2936"/>
      <c r="SAA72" s="2936"/>
      <c r="SAB72" s="2936"/>
      <c r="SAC72" s="2936"/>
      <c r="SAD72" s="2936"/>
      <c r="SAE72" s="2936"/>
      <c r="SAF72" s="2936"/>
      <c r="SAG72" s="2936"/>
      <c r="SAH72" s="2936"/>
      <c r="SAI72" s="2936"/>
      <c r="SAJ72" s="2936"/>
      <c r="SAK72" s="2936"/>
      <c r="SAL72" s="2936"/>
      <c r="SAM72" s="2936"/>
      <c r="SAN72" s="2936"/>
      <c r="SAO72" s="2936"/>
      <c r="SAP72" s="2936"/>
      <c r="SAQ72" s="2936"/>
      <c r="SAR72" s="2936"/>
      <c r="SAS72" s="2936"/>
      <c r="SAT72" s="2936"/>
      <c r="SAU72" s="2936"/>
      <c r="SAV72" s="2936"/>
      <c r="SAW72" s="2936"/>
      <c r="SAX72" s="2936"/>
      <c r="SAY72" s="2936"/>
      <c r="SAZ72" s="2936"/>
      <c r="SBA72" s="2936"/>
      <c r="SBB72" s="2936"/>
      <c r="SBC72" s="2936"/>
      <c r="SBD72" s="2936"/>
      <c r="SBE72" s="2936"/>
      <c r="SBF72" s="2936"/>
      <c r="SBG72" s="2936"/>
      <c r="SBH72" s="2936"/>
      <c r="SBI72" s="2936"/>
      <c r="SBJ72" s="2936"/>
      <c r="SBK72" s="2936"/>
      <c r="SBL72" s="2936"/>
      <c r="SBM72" s="2936"/>
      <c r="SBN72" s="2936"/>
      <c r="SBO72" s="2936"/>
      <c r="SBP72" s="2936"/>
      <c r="SBQ72" s="2936"/>
      <c r="SBR72" s="2936"/>
      <c r="SBS72" s="2936"/>
      <c r="SBT72" s="2936"/>
      <c r="SBU72" s="2936"/>
      <c r="SBV72" s="2936"/>
      <c r="SBW72" s="2936"/>
      <c r="SBX72" s="2936"/>
      <c r="SBY72" s="2936"/>
      <c r="SBZ72" s="2936"/>
      <c r="SCA72" s="2936"/>
      <c r="SCB72" s="2936"/>
      <c r="SCC72" s="2936"/>
      <c r="SCD72" s="2936"/>
      <c r="SCE72" s="2936"/>
      <c r="SCF72" s="2936"/>
      <c r="SCG72" s="2936"/>
      <c r="SCH72" s="2936"/>
      <c r="SCI72" s="2936"/>
      <c r="SCJ72" s="2936"/>
      <c r="SCK72" s="2936"/>
      <c r="SCL72" s="2936"/>
      <c r="SCM72" s="2936"/>
      <c r="SCN72" s="2936"/>
      <c r="SCO72" s="2936"/>
      <c r="SCP72" s="2936"/>
      <c r="SCQ72" s="2936"/>
      <c r="SCR72" s="2936"/>
      <c r="SCS72" s="2936"/>
      <c r="SCT72" s="2936"/>
      <c r="SCU72" s="2936"/>
      <c r="SCV72" s="2936"/>
      <c r="SCW72" s="2936"/>
      <c r="SCX72" s="2936"/>
      <c r="SCY72" s="2936"/>
      <c r="SCZ72" s="2936"/>
      <c r="SDA72" s="2936"/>
      <c r="SDB72" s="2936"/>
      <c r="SDC72" s="2936"/>
      <c r="SDD72" s="2936"/>
      <c r="SDE72" s="2936"/>
      <c r="SDF72" s="2936"/>
      <c r="SDG72" s="2936"/>
      <c r="SDH72" s="2936"/>
      <c r="SDI72" s="2936"/>
      <c r="SDJ72" s="2936"/>
      <c r="SDK72" s="2936"/>
      <c r="SDL72" s="2936"/>
      <c r="SDM72" s="2936"/>
      <c r="SDN72" s="2936"/>
      <c r="SDO72" s="2936"/>
      <c r="SDP72" s="2936"/>
      <c r="SDQ72" s="2936"/>
      <c r="SDR72" s="2936"/>
      <c r="SDS72" s="2936"/>
      <c r="SDT72" s="2936"/>
      <c r="SDU72" s="2936"/>
      <c r="SDV72" s="2936"/>
      <c r="SDW72" s="2936"/>
      <c r="SDX72" s="2936"/>
      <c r="SDY72" s="2936"/>
      <c r="SDZ72" s="2936"/>
      <c r="SEA72" s="2936"/>
      <c r="SEB72" s="2936"/>
      <c r="SEC72" s="2936"/>
      <c r="SED72" s="2936"/>
      <c r="SEE72" s="2936"/>
      <c r="SEF72" s="2936"/>
      <c r="SEG72" s="2936"/>
      <c r="SEH72" s="2936"/>
      <c r="SEI72" s="2936"/>
      <c r="SEJ72" s="2936"/>
      <c r="SEK72" s="2936"/>
      <c r="SEL72" s="2936"/>
      <c r="SEM72" s="2936"/>
      <c r="SEN72" s="2936"/>
      <c r="SEO72" s="2936"/>
      <c r="SEP72" s="2936"/>
      <c r="SEQ72" s="2936"/>
      <c r="SER72" s="2936"/>
      <c r="SES72" s="2936"/>
      <c r="SET72" s="2936"/>
      <c r="SEU72" s="2936"/>
      <c r="SEV72" s="2936"/>
      <c r="SEW72" s="2936"/>
      <c r="SEX72" s="2936"/>
      <c r="SEY72" s="2936"/>
      <c r="SEZ72" s="2936"/>
      <c r="SFA72" s="2936"/>
      <c r="SFB72" s="2936"/>
      <c r="SFC72" s="2936"/>
      <c r="SFD72" s="2936"/>
      <c r="SFE72" s="2936"/>
      <c r="SFF72" s="2936"/>
      <c r="SFG72" s="2936"/>
      <c r="SFH72" s="2936"/>
      <c r="SFI72" s="2936"/>
      <c r="SFJ72" s="2936"/>
      <c r="SFK72" s="2936"/>
      <c r="SFL72" s="2936"/>
      <c r="SFM72" s="2936"/>
      <c r="SFN72" s="2936"/>
      <c r="SFO72" s="2936"/>
      <c r="SFP72" s="2936"/>
      <c r="SFQ72" s="2936"/>
      <c r="SFR72" s="2936"/>
      <c r="SFS72" s="2936"/>
      <c r="SFT72" s="2936"/>
      <c r="SFU72" s="2936"/>
      <c r="SFV72" s="2936"/>
      <c r="SFW72" s="2936"/>
      <c r="SFX72" s="2936"/>
      <c r="SFY72" s="2936"/>
      <c r="SFZ72" s="2936"/>
      <c r="SGA72" s="2936"/>
      <c r="SGB72" s="2936"/>
      <c r="SGC72" s="2936"/>
      <c r="SGD72" s="2936"/>
      <c r="SGE72" s="2936"/>
      <c r="SGF72" s="2936"/>
      <c r="SGG72" s="2936"/>
      <c r="SGH72" s="2936"/>
      <c r="SGI72" s="2936"/>
      <c r="SGJ72" s="2936"/>
      <c r="SGK72" s="2936"/>
      <c r="SGL72" s="2936"/>
      <c r="SGM72" s="2936"/>
      <c r="SGN72" s="2936"/>
      <c r="SGO72" s="2936"/>
      <c r="SGP72" s="2936"/>
      <c r="SGQ72" s="2936"/>
      <c r="SGR72" s="2936"/>
      <c r="SGS72" s="2936"/>
      <c r="SGT72" s="2936"/>
      <c r="SGU72" s="2936"/>
      <c r="SGV72" s="2936"/>
      <c r="SGW72" s="2936"/>
      <c r="SGX72" s="2936"/>
      <c r="SGY72" s="2936"/>
      <c r="SGZ72" s="2936"/>
      <c r="SHA72" s="2936"/>
      <c r="SHB72" s="2936"/>
      <c r="SHC72" s="2936"/>
      <c r="SHD72" s="2936"/>
      <c r="SHE72" s="2936"/>
      <c r="SHF72" s="2936"/>
      <c r="SHG72" s="2936"/>
      <c r="SHH72" s="2936"/>
      <c r="SHI72" s="2936"/>
      <c r="SHJ72" s="2936"/>
      <c r="SHK72" s="2936"/>
      <c r="SHL72" s="2936"/>
      <c r="SHM72" s="2936"/>
      <c r="SHN72" s="2936"/>
      <c r="SHO72" s="2936"/>
      <c r="SHP72" s="2936"/>
      <c r="SHQ72" s="2936"/>
      <c r="SHR72" s="2936"/>
      <c r="SHS72" s="2936"/>
      <c r="SHT72" s="2936"/>
      <c r="SHU72" s="2936"/>
      <c r="SHV72" s="2936"/>
      <c r="SHW72" s="2936"/>
      <c r="SHX72" s="2936"/>
      <c r="SHY72" s="2936"/>
      <c r="SHZ72" s="2936"/>
      <c r="SIA72" s="2936"/>
      <c r="SIB72" s="2936"/>
      <c r="SIC72" s="2936"/>
      <c r="SID72" s="2936"/>
      <c r="SIE72" s="2936"/>
      <c r="SIF72" s="2936"/>
      <c r="SIG72" s="2936"/>
      <c r="SIH72" s="2936"/>
      <c r="SII72" s="2936"/>
      <c r="SIJ72" s="2936"/>
      <c r="SIK72" s="2936"/>
      <c r="SIL72" s="2936"/>
      <c r="SIM72" s="2936"/>
      <c r="SIN72" s="2936"/>
      <c r="SIO72" s="2936"/>
      <c r="SIP72" s="2936"/>
      <c r="SIQ72" s="2936"/>
      <c r="SIR72" s="2936"/>
      <c r="SIS72" s="2936"/>
      <c r="SIT72" s="2936"/>
      <c r="SIU72" s="2936"/>
      <c r="SIV72" s="2936"/>
      <c r="SIW72" s="2936"/>
      <c r="SIX72" s="2936"/>
      <c r="SIY72" s="2936"/>
      <c r="SIZ72" s="2936"/>
      <c r="SJA72" s="2936"/>
      <c r="SJB72" s="2936"/>
      <c r="SJC72" s="2936"/>
      <c r="SJD72" s="2936"/>
      <c r="SJE72" s="2936"/>
      <c r="SJF72" s="2936"/>
      <c r="SJG72" s="2936"/>
      <c r="SJH72" s="2936"/>
      <c r="SJI72" s="2936"/>
      <c r="SJJ72" s="2936"/>
      <c r="SJK72" s="2936"/>
      <c r="SJL72" s="2936"/>
      <c r="SJM72" s="2936"/>
      <c r="SJN72" s="2936"/>
      <c r="SJO72" s="2936"/>
      <c r="SJP72" s="2936"/>
      <c r="SJQ72" s="2936"/>
      <c r="SJR72" s="2936"/>
      <c r="SJS72" s="2936"/>
      <c r="SJT72" s="2936"/>
      <c r="SJU72" s="2936"/>
      <c r="SJV72" s="2936"/>
      <c r="SJW72" s="2936"/>
      <c r="SJX72" s="2936"/>
      <c r="SJY72" s="2936"/>
      <c r="SJZ72" s="2936"/>
      <c r="SKA72" s="2936"/>
      <c r="SKB72" s="2936"/>
      <c r="SKC72" s="2936"/>
      <c r="SKD72" s="2936"/>
      <c r="SKE72" s="2936"/>
      <c r="SKF72" s="2936"/>
      <c r="SKG72" s="2936"/>
      <c r="SKH72" s="2936"/>
      <c r="SKI72" s="2936"/>
      <c r="SKJ72" s="2936"/>
      <c r="SKK72" s="2936"/>
      <c r="SKL72" s="2936"/>
      <c r="SKM72" s="2936"/>
      <c r="SKN72" s="2936"/>
      <c r="SKO72" s="2936"/>
      <c r="SKP72" s="2936"/>
      <c r="SKQ72" s="2936"/>
      <c r="SKR72" s="2936"/>
      <c r="SKS72" s="2936"/>
      <c r="SKT72" s="2936"/>
      <c r="SKU72" s="2936"/>
      <c r="SKV72" s="2936"/>
      <c r="SKW72" s="2936"/>
      <c r="SKX72" s="2936"/>
      <c r="SKY72" s="2936"/>
      <c r="SKZ72" s="2936"/>
      <c r="SLA72" s="2936"/>
      <c r="SLB72" s="2936"/>
      <c r="SLC72" s="2936"/>
      <c r="SLD72" s="2936"/>
      <c r="SLE72" s="2936"/>
      <c r="SLF72" s="2936"/>
      <c r="SLG72" s="2936"/>
      <c r="SLH72" s="2936"/>
      <c r="SLI72" s="2936"/>
      <c r="SLJ72" s="2936"/>
      <c r="SLK72" s="2936"/>
      <c r="SLL72" s="2936"/>
      <c r="SLM72" s="2936"/>
      <c r="SLN72" s="2936"/>
      <c r="SLO72" s="2936"/>
      <c r="SLP72" s="2936"/>
      <c r="SLQ72" s="2936"/>
      <c r="SLR72" s="2936"/>
      <c r="SLS72" s="2936"/>
      <c r="SLT72" s="2936"/>
      <c r="SLU72" s="2936"/>
      <c r="SLV72" s="2936"/>
      <c r="SLW72" s="2936"/>
      <c r="SLX72" s="2936"/>
      <c r="SLY72" s="2936"/>
      <c r="SLZ72" s="2936"/>
      <c r="SMA72" s="2936"/>
      <c r="SMB72" s="2936"/>
      <c r="SMC72" s="2936"/>
      <c r="SMD72" s="2936"/>
      <c r="SME72" s="2936"/>
      <c r="SMF72" s="2936"/>
      <c r="SMG72" s="2936"/>
      <c r="SMH72" s="2936"/>
      <c r="SMI72" s="2936"/>
      <c r="SMJ72" s="2936"/>
      <c r="SMK72" s="2936"/>
      <c r="SML72" s="2936"/>
      <c r="SMM72" s="2936"/>
      <c r="SMN72" s="2936"/>
      <c r="SMO72" s="2936"/>
      <c r="SMP72" s="2936"/>
      <c r="SMQ72" s="2936"/>
      <c r="SMR72" s="2936"/>
      <c r="SMS72" s="2936"/>
      <c r="SMT72" s="2936"/>
      <c r="SMU72" s="2936"/>
      <c r="SMV72" s="2936"/>
      <c r="SMW72" s="2936"/>
      <c r="SMX72" s="2936"/>
      <c r="SMY72" s="2936"/>
      <c r="SMZ72" s="2936"/>
      <c r="SNA72" s="2936"/>
      <c r="SNB72" s="2936"/>
      <c r="SNC72" s="2936"/>
      <c r="SND72" s="2936"/>
      <c r="SNE72" s="2936"/>
      <c r="SNF72" s="2936"/>
      <c r="SNG72" s="2936"/>
      <c r="SNH72" s="2936"/>
      <c r="SNI72" s="2936"/>
      <c r="SNJ72" s="2936"/>
      <c r="SNK72" s="2936"/>
      <c r="SNL72" s="2936"/>
      <c r="SNM72" s="2936"/>
      <c r="SNN72" s="2936"/>
      <c r="SNO72" s="2936"/>
      <c r="SNP72" s="2936"/>
      <c r="SNQ72" s="2936"/>
      <c r="SNR72" s="2936"/>
      <c r="SNS72" s="2936"/>
      <c r="SNT72" s="2936"/>
      <c r="SNU72" s="2936"/>
      <c r="SNV72" s="2936"/>
      <c r="SNW72" s="2936"/>
      <c r="SNX72" s="2936"/>
      <c r="SNY72" s="2936"/>
      <c r="SNZ72" s="2936"/>
      <c r="SOA72" s="2936"/>
      <c r="SOB72" s="2936"/>
      <c r="SOC72" s="2936"/>
      <c r="SOD72" s="2936"/>
      <c r="SOE72" s="2936"/>
      <c r="SOF72" s="2936"/>
      <c r="SOG72" s="2936"/>
      <c r="SOH72" s="2936"/>
      <c r="SOI72" s="2936"/>
      <c r="SOJ72" s="2936"/>
      <c r="SOK72" s="2936"/>
      <c r="SOL72" s="2936"/>
      <c r="SOM72" s="2936"/>
      <c r="SON72" s="2936"/>
      <c r="SOO72" s="2936"/>
      <c r="SOP72" s="2936"/>
      <c r="SOQ72" s="2936"/>
      <c r="SOR72" s="2936"/>
      <c r="SOS72" s="2936"/>
      <c r="SOT72" s="2936"/>
      <c r="SOU72" s="2936"/>
      <c r="SOV72" s="2936"/>
      <c r="SOW72" s="2936"/>
      <c r="SOX72" s="2936"/>
      <c r="SOY72" s="2936"/>
      <c r="SOZ72" s="2936"/>
      <c r="SPA72" s="2936"/>
      <c r="SPB72" s="2936"/>
      <c r="SPC72" s="2936"/>
      <c r="SPD72" s="2936"/>
      <c r="SPE72" s="2936"/>
      <c r="SPF72" s="2936"/>
      <c r="SPG72" s="2936"/>
      <c r="SPH72" s="2936"/>
      <c r="SPI72" s="2936"/>
      <c r="SPJ72" s="2936"/>
      <c r="SPK72" s="2936"/>
      <c r="SPL72" s="2936"/>
      <c r="SPM72" s="2936"/>
      <c r="SPN72" s="2936"/>
      <c r="SPO72" s="2936"/>
      <c r="SPP72" s="2936"/>
      <c r="SPQ72" s="2936"/>
      <c r="SPR72" s="2936"/>
      <c r="SPS72" s="2936"/>
      <c r="SPT72" s="2936"/>
      <c r="SPU72" s="2936"/>
      <c r="SPV72" s="2936"/>
      <c r="SPW72" s="2936"/>
      <c r="SPX72" s="2936"/>
      <c r="SPY72" s="2936"/>
      <c r="SPZ72" s="2936"/>
      <c r="SQA72" s="2936"/>
      <c r="SQB72" s="2936"/>
      <c r="SQC72" s="2936"/>
      <c r="SQD72" s="2936"/>
      <c r="SQE72" s="2936"/>
      <c r="SQF72" s="2936"/>
      <c r="SQG72" s="2936"/>
      <c r="SQH72" s="2936"/>
      <c r="SQI72" s="2936"/>
      <c r="SQJ72" s="2936"/>
      <c r="SQK72" s="2936"/>
      <c r="SQL72" s="2936"/>
      <c r="SQM72" s="2936"/>
      <c r="SQN72" s="2936"/>
      <c r="SQO72" s="2936"/>
      <c r="SQP72" s="2936"/>
      <c r="SQQ72" s="2936"/>
      <c r="SQR72" s="2936"/>
      <c r="SQS72" s="2936"/>
      <c r="SQT72" s="2936"/>
      <c r="SQU72" s="2936"/>
      <c r="SQV72" s="2936"/>
      <c r="SQW72" s="2936"/>
      <c r="SQX72" s="2936"/>
      <c r="SQY72" s="2936"/>
      <c r="SQZ72" s="2936"/>
      <c r="SRA72" s="2936"/>
      <c r="SRB72" s="2936"/>
      <c r="SRC72" s="2936"/>
      <c r="SRD72" s="2936"/>
      <c r="SRE72" s="2936"/>
      <c r="SRF72" s="2936"/>
      <c r="SRG72" s="2936"/>
      <c r="SRH72" s="2936"/>
      <c r="SRI72" s="2936"/>
      <c r="SRJ72" s="2936"/>
      <c r="SRK72" s="2936"/>
      <c r="SRL72" s="2936"/>
      <c r="SRM72" s="2936"/>
      <c r="SRN72" s="2936"/>
      <c r="SRO72" s="2936"/>
      <c r="SRP72" s="2936"/>
      <c r="SRQ72" s="2936"/>
      <c r="SRR72" s="2936"/>
      <c r="SRS72" s="2936"/>
      <c r="SRT72" s="2936"/>
      <c r="SRU72" s="2936"/>
      <c r="SRV72" s="2936"/>
      <c r="SRW72" s="2936"/>
      <c r="SRX72" s="2936"/>
      <c r="SRY72" s="2936"/>
      <c r="SRZ72" s="2936"/>
      <c r="SSA72" s="2936"/>
      <c r="SSB72" s="2936"/>
      <c r="SSC72" s="2936"/>
      <c r="SSD72" s="2936"/>
      <c r="SSE72" s="2936"/>
      <c r="SSF72" s="2936"/>
      <c r="SSG72" s="2936"/>
      <c r="SSH72" s="2936"/>
      <c r="SSI72" s="2936"/>
      <c r="SSJ72" s="2936"/>
      <c r="SSK72" s="2936"/>
      <c r="SSL72" s="2936"/>
      <c r="SSM72" s="2936"/>
      <c r="SSN72" s="2936"/>
      <c r="SSO72" s="2936"/>
      <c r="SSP72" s="2936"/>
      <c r="SSQ72" s="2936"/>
      <c r="SSR72" s="2936"/>
      <c r="SSS72" s="2936"/>
      <c r="SST72" s="2936"/>
      <c r="SSU72" s="2936"/>
      <c r="SSV72" s="2936"/>
      <c r="SSW72" s="2936"/>
      <c r="SSX72" s="2936"/>
      <c r="SSY72" s="2936"/>
      <c r="SSZ72" s="2936"/>
      <c r="STA72" s="2936"/>
      <c r="STB72" s="2936"/>
      <c r="STC72" s="2936"/>
      <c r="STD72" s="2936"/>
      <c r="STE72" s="2936"/>
      <c r="STF72" s="2936"/>
      <c r="STG72" s="2936"/>
      <c r="STH72" s="2936"/>
      <c r="STI72" s="2936"/>
      <c r="STJ72" s="2936"/>
      <c r="STK72" s="2936"/>
      <c r="STL72" s="2936"/>
      <c r="STM72" s="2936"/>
      <c r="STN72" s="2936"/>
      <c r="STO72" s="2936"/>
      <c r="STP72" s="2936"/>
      <c r="STQ72" s="2936"/>
      <c r="STR72" s="2936"/>
      <c r="STS72" s="2936"/>
      <c r="STT72" s="2936"/>
      <c r="STU72" s="2936"/>
      <c r="STV72" s="2936"/>
      <c r="STW72" s="2936"/>
      <c r="STX72" s="2936"/>
      <c r="STY72" s="2936"/>
      <c r="STZ72" s="2936"/>
      <c r="SUA72" s="2936"/>
      <c r="SUB72" s="2936"/>
      <c r="SUC72" s="2936"/>
      <c r="SUD72" s="2936"/>
      <c r="SUE72" s="2936"/>
      <c r="SUF72" s="2936"/>
      <c r="SUG72" s="2936"/>
      <c r="SUH72" s="2936"/>
      <c r="SUI72" s="2936"/>
      <c r="SUJ72" s="2936"/>
      <c r="SUK72" s="2936"/>
      <c r="SUL72" s="2936"/>
      <c r="SUM72" s="2936"/>
      <c r="SUN72" s="2936"/>
      <c r="SUO72" s="2936"/>
      <c r="SUP72" s="2936"/>
      <c r="SUQ72" s="2936"/>
      <c r="SUR72" s="2936"/>
      <c r="SUS72" s="2936"/>
      <c r="SUT72" s="2936"/>
      <c r="SUU72" s="2936"/>
      <c r="SUV72" s="2936"/>
      <c r="SUW72" s="2936"/>
      <c r="SUX72" s="2936"/>
      <c r="SUY72" s="2936"/>
      <c r="SUZ72" s="2936"/>
      <c r="SVA72" s="2936"/>
      <c r="SVB72" s="2936"/>
      <c r="SVC72" s="2936"/>
      <c r="SVD72" s="2936"/>
      <c r="SVE72" s="2936"/>
      <c r="SVF72" s="2936"/>
      <c r="SVG72" s="2936"/>
      <c r="SVH72" s="2936"/>
      <c r="SVI72" s="2936"/>
      <c r="SVJ72" s="2936"/>
      <c r="SVK72" s="2936"/>
      <c r="SVL72" s="2936"/>
      <c r="SVM72" s="2936"/>
      <c r="SVN72" s="2936"/>
      <c r="SVO72" s="2936"/>
      <c r="SVP72" s="2936"/>
      <c r="SVQ72" s="2936"/>
      <c r="SVR72" s="2936"/>
      <c r="SVS72" s="2936"/>
      <c r="SVT72" s="2936"/>
      <c r="SVU72" s="2936"/>
      <c r="SVV72" s="2936"/>
      <c r="SVW72" s="2936"/>
      <c r="SVX72" s="2936"/>
      <c r="SVY72" s="2936"/>
      <c r="SVZ72" s="2936"/>
      <c r="SWA72" s="2936"/>
      <c r="SWB72" s="2936"/>
      <c r="SWC72" s="2936"/>
      <c r="SWD72" s="2936"/>
      <c r="SWE72" s="2936"/>
      <c r="SWF72" s="2936"/>
      <c r="SWG72" s="2936"/>
      <c r="SWH72" s="2936"/>
      <c r="SWI72" s="2936"/>
      <c r="SWJ72" s="2936"/>
      <c r="SWK72" s="2936"/>
      <c r="SWL72" s="2936"/>
      <c r="SWM72" s="2936"/>
      <c r="SWN72" s="2936"/>
      <c r="SWO72" s="2936"/>
      <c r="SWP72" s="2936"/>
      <c r="SWQ72" s="2936"/>
      <c r="SWR72" s="2936"/>
      <c r="SWS72" s="2936"/>
      <c r="SWT72" s="2936"/>
      <c r="SWU72" s="2936"/>
      <c r="SWV72" s="2936"/>
      <c r="SWW72" s="2936"/>
      <c r="SWX72" s="2936"/>
      <c r="SWY72" s="2936"/>
      <c r="SWZ72" s="2936"/>
      <c r="SXA72" s="2936"/>
      <c r="SXB72" s="2936"/>
      <c r="SXC72" s="2936"/>
      <c r="SXD72" s="2936"/>
      <c r="SXE72" s="2936"/>
      <c r="SXF72" s="2936"/>
      <c r="SXG72" s="2936"/>
      <c r="SXH72" s="2936"/>
      <c r="SXI72" s="2936"/>
      <c r="SXJ72" s="2936"/>
      <c r="SXK72" s="2936"/>
      <c r="SXL72" s="2936"/>
      <c r="SXM72" s="2936"/>
      <c r="SXN72" s="2936"/>
      <c r="SXO72" s="2936"/>
      <c r="SXP72" s="2936"/>
      <c r="SXQ72" s="2936"/>
      <c r="SXR72" s="2936"/>
      <c r="SXS72" s="2936"/>
      <c r="SXT72" s="2936"/>
      <c r="SXU72" s="2936"/>
      <c r="SXV72" s="2936"/>
      <c r="SXW72" s="2936"/>
      <c r="SXX72" s="2936"/>
      <c r="SXY72" s="2936"/>
      <c r="SXZ72" s="2936"/>
      <c r="SYA72" s="2936"/>
      <c r="SYB72" s="2936"/>
      <c r="SYC72" s="2936"/>
      <c r="SYD72" s="2936"/>
      <c r="SYE72" s="2936"/>
      <c r="SYF72" s="2936"/>
      <c r="SYG72" s="2936"/>
      <c r="SYH72" s="2936"/>
      <c r="SYI72" s="2936"/>
      <c r="SYJ72" s="2936"/>
      <c r="SYK72" s="2936"/>
      <c r="SYL72" s="2936"/>
      <c r="SYM72" s="2936"/>
      <c r="SYN72" s="2936"/>
      <c r="SYO72" s="2936"/>
      <c r="SYP72" s="2936"/>
      <c r="SYQ72" s="2936"/>
      <c r="SYR72" s="2936"/>
      <c r="SYS72" s="2936"/>
      <c r="SYT72" s="2936"/>
      <c r="SYU72" s="2936"/>
      <c r="SYV72" s="2936"/>
      <c r="SYW72" s="2936"/>
      <c r="SYX72" s="2936"/>
      <c r="SYY72" s="2936"/>
      <c r="SYZ72" s="2936"/>
      <c r="SZA72" s="2936"/>
      <c r="SZB72" s="2936"/>
      <c r="SZC72" s="2936"/>
      <c r="SZD72" s="2936"/>
      <c r="SZE72" s="2936"/>
      <c r="SZF72" s="2936"/>
      <c r="SZG72" s="2936"/>
      <c r="SZH72" s="2936"/>
      <c r="SZI72" s="2936"/>
      <c r="SZJ72" s="2936"/>
      <c r="SZK72" s="2936"/>
      <c r="SZL72" s="2936"/>
      <c r="SZM72" s="2936"/>
      <c r="SZN72" s="2936"/>
      <c r="SZO72" s="2936"/>
      <c r="SZP72" s="2936"/>
      <c r="SZQ72" s="2936"/>
      <c r="SZR72" s="2936"/>
      <c r="SZS72" s="2936"/>
      <c r="SZT72" s="2936"/>
      <c r="SZU72" s="2936"/>
      <c r="SZV72" s="2936"/>
      <c r="SZW72" s="2936"/>
      <c r="SZX72" s="2936"/>
      <c r="SZY72" s="2936"/>
      <c r="SZZ72" s="2936"/>
      <c r="TAA72" s="2936"/>
      <c r="TAB72" s="2936"/>
      <c r="TAC72" s="2936"/>
      <c r="TAD72" s="2936"/>
      <c r="TAE72" s="2936"/>
      <c r="TAF72" s="2936"/>
      <c r="TAG72" s="2936"/>
      <c r="TAH72" s="2936"/>
      <c r="TAI72" s="2936"/>
      <c r="TAJ72" s="2936"/>
      <c r="TAK72" s="2936"/>
      <c r="TAL72" s="2936"/>
      <c r="TAM72" s="2936"/>
      <c r="TAN72" s="2936"/>
      <c r="TAO72" s="2936"/>
      <c r="TAP72" s="2936"/>
      <c r="TAQ72" s="2936"/>
      <c r="TAR72" s="2936"/>
      <c r="TAS72" s="2936"/>
      <c r="TAT72" s="2936"/>
      <c r="TAU72" s="2936"/>
      <c r="TAV72" s="2936"/>
      <c r="TAW72" s="2936"/>
      <c r="TAX72" s="2936"/>
      <c r="TAY72" s="2936"/>
      <c r="TAZ72" s="2936"/>
      <c r="TBA72" s="2936"/>
      <c r="TBB72" s="2936"/>
      <c r="TBC72" s="2936"/>
      <c r="TBD72" s="2936"/>
      <c r="TBE72" s="2936"/>
      <c r="TBF72" s="2936"/>
      <c r="TBG72" s="2936"/>
      <c r="TBH72" s="2936"/>
      <c r="TBI72" s="2936"/>
      <c r="TBJ72" s="2936"/>
      <c r="TBK72" s="2936"/>
      <c r="TBL72" s="2936"/>
      <c r="TBM72" s="2936"/>
      <c r="TBN72" s="2936"/>
      <c r="TBO72" s="2936"/>
      <c r="TBP72" s="2936"/>
      <c r="TBQ72" s="2936"/>
      <c r="TBR72" s="2936"/>
      <c r="TBS72" s="2936"/>
      <c r="TBT72" s="2936"/>
      <c r="TBU72" s="2936"/>
      <c r="TBV72" s="2936"/>
      <c r="TBW72" s="2936"/>
      <c r="TBX72" s="2936"/>
      <c r="TBY72" s="2936"/>
      <c r="TBZ72" s="2936"/>
      <c r="TCA72" s="2936"/>
      <c r="TCB72" s="2936"/>
      <c r="TCC72" s="2936"/>
      <c r="TCD72" s="2936"/>
      <c r="TCE72" s="2936"/>
      <c r="TCF72" s="2936"/>
      <c r="TCG72" s="2936"/>
      <c r="TCH72" s="2936"/>
      <c r="TCI72" s="2936"/>
      <c r="TCJ72" s="2936"/>
      <c r="TCK72" s="2936"/>
      <c r="TCL72" s="2936"/>
      <c r="TCM72" s="2936"/>
      <c r="TCN72" s="2936"/>
      <c r="TCO72" s="2936"/>
      <c r="TCP72" s="2936"/>
      <c r="TCQ72" s="2936"/>
      <c r="TCR72" s="2936"/>
      <c r="TCS72" s="2936"/>
      <c r="TCT72" s="2936"/>
      <c r="TCU72" s="2936"/>
      <c r="TCV72" s="2936"/>
      <c r="TCW72" s="2936"/>
      <c r="TCX72" s="2936"/>
      <c r="TCY72" s="2936"/>
      <c r="TCZ72" s="2936"/>
      <c r="TDA72" s="2936"/>
      <c r="TDB72" s="2936"/>
      <c r="TDC72" s="2936"/>
      <c r="TDD72" s="2936"/>
      <c r="TDE72" s="2936"/>
      <c r="TDF72" s="2936"/>
      <c r="TDG72" s="2936"/>
      <c r="TDH72" s="2936"/>
      <c r="TDI72" s="2936"/>
      <c r="TDJ72" s="2936"/>
      <c r="TDK72" s="2936"/>
      <c r="TDL72" s="2936"/>
      <c r="TDM72" s="2936"/>
      <c r="TDN72" s="2936"/>
      <c r="TDO72" s="2936"/>
      <c r="TDP72" s="2936"/>
      <c r="TDQ72" s="2936"/>
      <c r="TDR72" s="2936"/>
      <c r="TDS72" s="2936"/>
      <c r="TDT72" s="2936"/>
      <c r="TDU72" s="2936"/>
      <c r="TDV72" s="2936"/>
      <c r="TDW72" s="2936"/>
      <c r="TDX72" s="2936"/>
      <c r="TDY72" s="2936"/>
      <c r="TDZ72" s="2936"/>
      <c r="TEA72" s="2936"/>
      <c r="TEB72" s="2936"/>
      <c r="TEC72" s="2936"/>
      <c r="TED72" s="2936"/>
      <c r="TEE72" s="2936"/>
      <c r="TEF72" s="2936"/>
      <c r="TEG72" s="2936"/>
      <c r="TEH72" s="2936"/>
      <c r="TEI72" s="2936"/>
      <c r="TEJ72" s="2936"/>
      <c r="TEK72" s="2936"/>
      <c r="TEL72" s="2936"/>
      <c r="TEM72" s="2936"/>
      <c r="TEN72" s="2936"/>
      <c r="TEO72" s="2936"/>
      <c r="TEP72" s="2936"/>
      <c r="TEQ72" s="2936"/>
      <c r="TER72" s="2936"/>
      <c r="TES72" s="2936"/>
      <c r="TET72" s="2936"/>
      <c r="TEU72" s="2936"/>
      <c r="TEV72" s="2936"/>
      <c r="TEW72" s="2936"/>
      <c r="TEX72" s="2936"/>
      <c r="TEY72" s="2936"/>
      <c r="TEZ72" s="2936"/>
      <c r="TFA72" s="2936"/>
      <c r="TFB72" s="2936"/>
      <c r="TFC72" s="2936"/>
      <c r="TFD72" s="2936"/>
      <c r="TFE72" s="2936"/>
      <c r="TFF72" s="2936"/>
      <c r="TFG72" s="2936"/>
      <c r="TFH72" s="2936"/>
      <c r="TFI72" s="2936"/>
      <c r="TFJ72" s="2936"/>
      <c r="TFK72" s="2936"/>
      <c r="TFL72" s="2936"/>
      <c r="TFM72" s="2936"/>
      <c r="TFN72" s="2936"/>
      <c r="TFO72" s="2936"/>
      <c r="TFP72" s="2936"/>
      <c r="TFQ72" s="2936"/>
      <c r="TFR72" s="2936"/>
      <c r="TFS72" s="2936"/>
      <c r="TFT72" s="2936"/>
      <c r="TFU72" s="2936"/>
      <c r="TFV72" s="2936"/>
      <c r="TFW72" s="2936"/>
      <c r="TFX72" s="2936"/>
      <c r="TFY72" s="2936"/>
      <c r="TFZ72" s="2936"/>
      <c r="TGA72" s="2936"/>
      <c r="TGB72" s="2936"/>
      <c r="TGC72" s="2936"/>
      <c r="TGD72" s="2936"/>
      <c r="TGE72" s="2936"/>
      <c r="TGF72" s="2936"/>
      <c r="TGG72" s="2936"/>
      <c r="TGH72" s="2936"/>
      <c r="TGI72" s="2936"/>
      <c r="TGJ72" s="2936"/>
      <c r="TGK72" s="2936"/>
      <c r="TGL72" s="2936"/>
      <c r="TGM72" s="2936"/>
      <c r="TGN72" s="2936"/>
      <c r="TGO72" s="2936"/>
      <c r="TGP72" s="2936"/>
      <c r="TGQ72" s="2936"/>
      <c r="TGR72" s="2936"/>
      <c r="TGS72" s="2936"/>
      <c r="TGT72" s="2936"/>
      <c r="TGU72" s="2936"/>
      <c r="TGV72" s="2936"/>
      <c r="TGW72" s="2936"/>
      <c r="TGX72" s="2936"/>
      <c r="TGY72" s="2936"/>
      <c r="TGZ72" s="2936"/>
      <c r="THA72" s="2936"/>
      <c r="THB72" s="2936"/>
      <c r="THC72" s="2936"/>
      <c r="THD72" s="2936"/>
      <c r="THE72" s="2936"/>
      <c r="THF72" s="2936"/>
      <c r="THG72" s="2936"/>
      <c r="THH72" s="2936"/>
      <c r="THI72" s="2936"/>
      <c r="THJ72" s="2936"/>
      <c r="THK72" s="2936"/>
      <c r="THL72" s="2936"/>
      <c r="THM72" s="2936"/>
      <c r="THN72" s="2936"/>
      <c r="THO72" s="2936"/>
      <c r="THP72" s="2936"/>
      <c r="THQ72" s="2936"/>
      <c r="THR72" s="2936"/>
      <c r="THS72" s="2936"/>
      <c r="THT72" s="2936"/>
      <c r="THU72" s="2936"/>
      <c r="THV72" s="2936"/>
      <c r="THW72" s="2936"/>
      <c r="THX72" s="2936"/>
      <c r="THY72" s="2936"/>
      <c r="THZ72" s="2936"/>
      <c r="TIA72" s="2936"/>
      <c r="TIB72" s="2936"/>
      <c r="TIC72" s="2936"/>
      <c r="TID72" s="2936"/>
      <c r="TIE72" s="2936"/>
      <c r="TIF72" s="2936"/>
      <c r="TIG72" s="2936"/>
      <c r="TIH72" s="2936"/>
      <c r="TII72" s="2936"/>
      <c r="TIJ72" s="2936"/>
      <c r="TIK72" s="2936"/>
      <c r="TIL72" s="2936"/>
      <c r="TIM72" s="2936"/>
      <c r="TIN72" s="2936"/>
      <c r="TIO72" s="2936"/>
      <c r="TIP72" s="2936"/>
      <c r="TIQ72" s="2936"/>
      <c r="TIR72" s="2936"/>
      <c r="TIS72" s="2936"/>
      <c r="TIT72" s="2936"/>
      <c r="TIU72" s="2936"/>
      <c r="TIV72" s="2936"/>
      <c r="TIW72" s="2936"/>
      <c r="TIX72" s="2936"/>
      <c r="TIY72" s="2936"/>
      <c r="TIZ72" s="2936"/>
      <c r="TJA72" s="2936"/>
      <c r="TJB72" s="2936"/>
      <c r="TJC72" s="2936"/>
      <c r="TJD72" s="2936"/>
      <c r="TJE72" s="2936"/>
      <c r="TJF72" s="2936"/>
      <c r="TJG72" s="2936"/>
      <c r="TJH72" s="2936"/>
      <c r="TJI72" s="2936"/>
      <c r="TJJ72" s="2936"/>
      <c r="TJK72" s="2936"/>
      <c r="TJL72" s="2936"/>
      <c r="TJM72" s="2936"/>
      <c r="TJN72" s="2936"/>
      <c r="TJO72" s="2936"/>
      <c r="TJP72" s="2936"/>
      <c r="TJQ72" s="2936"/>
      <c r="TJR72" s="2936"/>
      <c r="TJS72" s="2936"/>
      <c r="TJT72" s="2936"/>
      <c r="TJU72" s="2936"/>
      <c r="TJV72" s="2936"/>
      <c r="TJW72" s="2936"/>
      <c r="TJX72" s="2936"/>
      <c r="TJY72" s="2936"/>
      <c r="TJZ72" s="2936"/>
      <c r="TKA72" s="2936"/>
      <c r="TKB72" s="2936"/>
      <c r="TKC72" s="2936"/>
      <c r="TKD72" s="2936"/>
      <c r="TKE72" s="2936"/>
      <c r="TKF72" s="2936"/>
      <c r="TKG72" s="2936"/>
      <c r="TKH72" s="2936"/>
      <c r="TKI72" s="2936"/>
      <c r="TKJ72" s="2936"/>
      <c r="TKK72" s="2936"/>
      <c r="TKL72" s="2936"/>
      <c r="TKM72" s="2936"/>
      <c r="TKN72" s="2936"/>
      <c r="TKO72" s="2936"/>
      <c r="TKP72" s="2936"/>
      <c r="TKQ72" s="2936"/>
      <c r="TKR72" s="2936"/>
      <c r="TKS72" s="2936"/>
      <c r="TKT72" s="2936"/>
      <c r="TKU72" s="2936"/>
      <c r="TKV72" s="2936"/>
      <c r="TKW72" s="2936"/>
      <c r="TKX72" s="2936"/>
      <c r="TKY72" s="2936"/>
      <c r="TKZ72" s="2936"/>
      <c r="TLA72" s="2936"/>
      <c r="TLB72" s="2936"/>
      <c r="TLC72" s="2936"/>
      <c r="TLD72" s="2936"/>
      <c r="TLE72" s="2936"/>
      <c r="TLF72" s="2936"/>
      <c r="TLG72" s="2936"/>
      <c r="TLH72" s="2936"/>
      <c r="TLI72" s="2936"/>
      <c r="TLJ72" s="2936"/>
      <c r="TLK72" s="2936"/>
      <c r="TLL72" s="2936"/>
      <c r="TLM72" s="2936"/>
      <c r="TLN72" s="2936"/>
      <c r="TLO72" s="2936"/>
      <c r="TLP72" s="2936"/>
      <c r="TLQ72" s="2936"/>
      <c r="TLR72" s="2936"/>
      <c r="TLS72" s="2936"/>
      <c r="TLT72" s="2936"/>
      <c r="TLU72" s="2936"/>
      <c r="TLV72" s="2936"/>
      <c r="TLW72" s="2936"/>
      <c r="TLX72" s="2936"/>
      <c r="TLY72" s="2936"/>
      <c r="TLZ72" s="2936"/>
      <c r="TMA72" s="2936"/>
      <c r="TMB72" s="2936"/>
      <c r="TMC72" s="2936"/>
      <c r="TMD72" s="2936"/>
      <c r="TME72" s="2936"/>
      <c r="TMF72" s="2936"/>
      <c r="TMG72" s="2936"/>
      <c r="TMH72" s="2936"/>
      <c r="TMI72" s="2936"/>
      <c r="TMJ72" s="2936"/>
      <c r="TMK72" s="2936"/>
      <c r="TML72" s="2936"/>
      <c r="TMM72" s="2936"/>
      <c r="TMN72" s="2936"/>
      <c r="TMO72" s="2936"/>
      <c r="TMP72" s="2936"/>
      <c r="TMQ72" s="2936"/>
      <c r="TMR72" s="2936"/>
      <c r="TMS72" s="2936"/>
      <c r="TMT72" s="2936"/>
      <c r="TMU72" s="2936"/>
      <c r="TMV72" s="2936"/>
      <c r="TMW72" s="2936"/>
      <c r="TMX72" s="2936"/>
      <c r="TMY72" s="2936"/>
      <c r="TMZ72" s="2936"/>
      <c r="TNA72" s="2936"/>
      <c r="TNB72" s="2936"/>
      <c r="TNC72" s="2936"/>
      <c r="TND72" s="2936"/>
      <c r="TNE72" s="2936"/>
      <c r="TNF72" s="2936"/>
      <c r="TNG72" s="2936"/>
      <c r="TNH72" s="2936"/>
      <c r="TNI72" s="2936"/>
      <c r="TNJ72" s="2936"/>
      <c r="TNK72" s="2936"/>
      <c r="TNL72" s="2936"/>
      <c r="TNM72" s="2936"/>
      <c r="TNN72" s="2936"/>
      <c r="TNO72" s="2936"/>
      <c r="TNP72" s="2936"/>
      <c r="TNQ72" s="2936"/>
      <c r="TNR72" s="2936"/>
      <c r="TNS72" s="2936"/>
      <c r="TNT72" s="2936"/>
      <c r="TNU72" s="2936"/>
      <c r="TNV72" s="2936"/>
      <c r="TNW72" s="2936"/>
      <c r="TNX72" s="2936"/>
      <c r="TNY72" s="2936"/>
      <c r="TNZ72" s="2936"/>
      <c r="TOA72" s="2936"/>
      <c r="TOB72" s="2936"/>
      <c r="TOC72" s="2936"/>
      <c r="TOD72" s="2936"/>
      <c r="TOE72" s="2936"/>
      <c r="TOF72" s="2936"/>
      <c r="TOG72" s="2936"/>
      <c r="TOH72" s="2936"/>
      <c r="TOI72" s="2936"/>
      <c r="TOJ72" s="2936"/>
      <c r="TOK72" s="2936"/>
      <c r="TOL72" s="2936"/>
      <c r="TOM72" s="2936"/>
      <c r="TON72" s="2936"/>
      <c r="TOO72" s="2936"/>
      <c r="TOP72" s="2936"/>
      <c r="TOQ72" s="2936"/>
      <c r="TOR72" s="2936"/>
      <c r="TOS72" s="2936"/>
      <c r="TOT72" s="2936"/>
      <c r="TOU72" s="2936"/>
      <c r="TOV72" s="2936"/>
      <c r="TOW72" s="2936"/>
      <c r="TOX72" s="2936"/>
      <c r="TOY72" s="2936"/>
      <c r="TOZ72" s="2936"/>
      <c r="TPA72" s="2936"/>
      <c r="TPB72" s="2936"/>
      <c r="TPC72" s="2936"/>
      <c r="TPD72" s="2936"/>
      <c r="TPE72" s="2936"/>
      <c r="TPF72" s="2936"/>
      <c r="TPG72" s="2936"/>
      <c r="TPH72" s="2936"/>
      <c r="TPI72" s="2936"/>
      <c r="TPJ72" s="2936"/>
      <c r="TPK72" s="2936"/>
      <c r="TPL72" s="2936"/>
      <c r="TPM72" s="2936"/>
      <c r="TPN72" s="2936"/>
      <c r="TPO72" s="2936"/>
      <c r="TPP72" s="2936"/>
      <c r="TPQ72" s="2936"/>
      <c r="TPR72" s="2936"/>
      <c r="TPS72" s="2936"/>
      <c r="TPT72" s="2936"/>
      <c r="TPU72" s="2936"/>
      <c r="TPV72" s="2936"/>
      <c r="TPW72" s="2936"/>
      <c r="TPX72" s="2936"/>
      <c r="TPY72" s="2936"/>
      <c r="TPZ72" s="2936"/>
      <c r="TQA72" s="2936"/>
      <c r="TQB72" s="2936"/>
      <c r="TQC72" s="2936"/>
      <c r="TQD72" s="2936"/>
      <c r="TQE72" s="2936"/>
      <c r="TQF72" s="2936"/>
      <c r="TQG72" s="2936"/>
      <c r="TQH72" s="2936"/>
      <c r="TQI72" s="2936"/>
      <c r="TQJ72" s="2936"/>
      <c r="TQK72" s="2936"/>
      <c r="TQL72" s="2936"/>
      <c r="TQM72" s="2936"/>
      <c r="TQN72" s="2936"/>
      <c r="TQO72" s="2936"/>
      <c r="TQP72" s="2936"/>
      <c r="TQQ72" s="2936"/>
      <c r="TQR72" s="2936"/>
      <c r="TQS72" s="2936"/>
      <c r="TQT72" s="2936"/>
      <c r="TQU72" s="2936"/>
      <c r="TQV72" s="2936"/>
      <c r="TQW72" s="2936"/>
      <c r="TQX72" s="2936"/>
      <c r="TQY72" s="2936"/>
      <c r="TQZ72" s="2936"/>
      <c r="TRA72" s="2936"/>
      <c r="TRB72" s="2936"/>
      <c r="TRC72" s="2936"/>
      <c r="TRD72" s="2936"/>
      <c r="TRE72" s="2936"/>
      <c r="TRF72" s="2936"/>
      <c r="TRG72" s="2936"/>
      <c r="TRH72" s="2936"/>
      <c r="TRI72" s="2936"/>
      <c r="TRJ72" s="2936"/>
      <c r="TRK72" s="2936"/>
      <c r="TRL72" s="2936"/>
      <c r="TRM72" s="2936"/>
      <c r="TRN72" s="2936"/>
      <c r="TRO72" s="2936"/>
      <c r="TRP72" s="2936"/>
      <c r="TRQ72" s="2936"/>
      <c r="TRR72" s="2936"/>
      <c r="TRS72" s="2936"/>
      <c r="TRT72" s="2936"/>
      <c r="TRU72" s="2936"/>
      <c r="TRV72" s="2936"/>
      <c r="TRW72" s="2936"/>
      <c r="TRX72" s="2936"/>
      <c r="TRY72" s="2936"/>
      <c r="TRZ72" s="2936"/>
      <c r="TSA72" s="2936"/>
      <c r="TSB72" s="2936"/>
      <c r="TSC72" s="2936"/>
      <c r="TSD72" s="2936"/>
      <c r="TSE72" s="2936"/>
      <c r="TSF72" s="2936"/>
      <c r="TSG72" s="2936"/>
      <c r="TSH72" s="2936"/>
      <c r="TSI72" s="2936"/>
      <c r="TSJ72" s="2936"/>
      <c r="TSK72" s="2936"/>
      <c r="TSL72" s="2936"/>
      <c r="TSM72" s="2936"/>
      <c r="TSN72" s="2936"/>
      <c r="TSO72" s="2936"/>
      <c r="TSP72" s="2936"/>
      <c r="TSQ72" s="2936"/>
      <c r="TSR72" s="2936"/>
      <c r="TSS72" s="2936"/>
      <c r="TST72" s="2936"/>
      <c r="TSU72" s="2936"/>
      <c r="TSV72" s="2936"/>
      <c r="TSW72" s="2936"/>
      <c r="TSX72" s="2936"/>
      <c r="TSY72" s="2936"/>
      <c r="TSZ72" s="2936"/>
      <c r="TTA72" s="2936"/>
      <c r="TTB72" s="2936"/>
      <c r="TTC72" s="2936"/>
      <c r="TTD72" s="2936"/>
      <c r="TTE72" s="2936"/>
      <c r="TTF72" s="2936"/>
      <c r="TTG72" s="2936"/>
      <c r="TTH72" s="2936"/>
      <c r="TTI72" s="2936"/>
      <c r="TTJ72" s="2936"/>
      <c r="TTK72" s="2936"/>
      <c r="TTL72" s="2936"/>
      <c r="TTM72" s="2936"/>
      <c r="TTN72" s="2936"/>
      <c r="TTO72" s="2936"/>
      <c r="TTP72" s="2936"/>
      <c r="TTQ72" s="2936"/>
      <c r="TTR72" s="2936"/>
      <c r="TTS72" s="2936"/>
      <c r="TTT72" s="2936"/>
      <c r="TTU72" s="2936"/>
      <c r="TTV72" s="2936"/>
      <c r="TTW72" s="2936"/>
      <c r="TTX72" s="2936"/>
      <c r="TTY72" s="2936"/>
      <c r="TTZ72" s="2936"/>
      <c r="TUA72" s="2936"/>
      <c r="TUB72" s="2936"/>
      <c r="TUC72" s="2936"/>
      <c r="TUD72" s="2936"/>
      <c r="TUE72" s="2936"/>
      <c r="TUF72" s="2936"/>
      <c r="TUG72" s="2936"/>
      <c r="TUH72" s="2936"/>
      <c r="TUI72" s="2936"/>
      <c r="TUJ72" s="2936"/>
      <c r="TUK72" s="2936"/>
      <c r="TUL72" s="2936"/>
      <c r="TUM72" s="2936"/>
      <c r="TUN72" s="2936"/>
      <c r="TUO72" s="2936"/>
      <c r="TUP72" s="2936"/>
      <c r="TUQ72" s="2936"/>
      <c r="TUR72" s="2936"/>
      <c r="TUS72" s="2936"/>
      <c r="TUT72" s="2936"/>
      <c r="TUU72" s="2936"/>
      <c r="TUV72" s="2936"/>
      <c r="TUW72" s="2936"/>
      <c r="TUX72" s="2936"/>
      <c r="TUY72" s="2936"/>
      <c r="TUZ72" s="2936"/>
      <c r="TVA72" s="2936"/>
      <c r="TVB72" s="2936"/>
      <c r="TVC72" s="2936"/>
      <c r="TVD72" s="2936"/>
      <c r="TVE72" s="2936"/>
      <c r="TVF72" s="2936"/>
      <c r="TVG72" s="2936"/>
      <c r="TVH72" s="2936"/>
      <c r="TVI72" s="2936"/>
      <c r="TVJ72" s="2936"/>
      <c r="TVK72" s="2936"/>
      <c r="TVL72" s="2936"/>
      <c r="TVM72" s="2936"/>
      <c r="TVN72" s="2936"/>
      <c r="TVO72" s="2936"/>
      <c r="TVP72" s="2936"/>
      <c r="TVQ72" s="2936"/>
      <c r="TVR72" s="2936"/>
      <c r="TVS72" s="2936"/>
      <c r="TVT72" s="2936"/>
      <c r="TVU72" s="2936"/>
      <c r="TVV72" s="2936"/>
      <c r="TVW72" s="2936"/>
      <c r="TVX72" s="2936"/>
      <c r="TVY72" s="2936"/>
      <c r="TVZ72" s="2936"/>
      <c r="TWA72" s="2936"/>
      <c r="TWB72" s="2936"/>
      <c r="TWC72" s="2936"/>
      <c r="TWD72" s="2936"/>
      <c r="TWE72" s="2936"/>
      <c r="TWF72" s="2936"/>
      <c r="TWG72" s="2936"/>
      <c r="TWH72" s="2936"/>
      <c r="TWI72" s="2936"/>
      <c r="TWJ72" s="2936"/>
      <c r="TWK72" s="2936"/>
      <c r="TWL72" s="2936"/>
      <c r="TWM72" s="2936"/>
      <c r="TWN72" s="2936"/>
      <c r="TWO72" s="2936"/>
      <c r="TWP72" s="2936"/>
      <c r="TWQ72" s="2936"/>
      <c r="TWR72" s="2936"/>
      <c r="TWS72" s="2936"/>
      <c r="TWT72" s="2936"/>
      <c r="TWU72" s="2936"/>
      <c r="TWV72" s="2936"/>
      <c r="TWW72" s="2936"/>
      <c r="TWX72" s="2936"/>
      <c r="TWY72" s="2936"/>
      <c r="TWZ72" s="2936"/>
      <c r="TXA72" s="2936"/>
      <c r="TXB72" s="2936"/>
      <c r="TXC72" s="2936"/>
      <c r="TXD72" s="2936"/>
      <c r="TXE72" s="2936"/>
      <c r="TXF72" s="2936"/>
      <c r="TXG72" s="2936"/>
      <c r="TXH72" s="2936"/>
      <c r="TXI72" s="2936"/>
      <c r="TXJ72" s="2936"/>
      <c r="TXK72" s="2936"/>
      <c r="TXL72" s="2936"/>
      <c r="TXM72" s="2936"/>
      <c r="TXN72" s="2936"/>
      <c r="TXO72" s="2936"/>
      <c r="TXP72" s="2936"/>
      <c r="TXQ72" s="2936"/>
      <c r="TXR72" s="2936"/>
      <c r="TXS72" s="2936"/>
      <c r="TXT72" s="2936"/>
      <c r="TXU72" s="2936"/>
      <c r="TXV72" s="2936"/>
      <c r="TXW72" s="2936"/>
      <c r="TXX72" s="2936"/>
      <c r="TXY72" s="2936"/>
      <c r="TXZ72" s="2936"/>
      <c r="TYA72" s="2936"/>
      <c r="TYB72" s="2936"/>
      <c r="TYC72" s="2936"/>
      <c r="TYD72" s="2936"/>
      <c r="TYE72" s="2936"/>
      <c r="TYF72" s="2936"/>
      <c r="TYG72" s="2936"/>
      <c r="TYH72" s="2936"/>
      <c r="TYI72" s="2936"/>
      <c r="TYJ72" s="2936"/>
      <c r="TYK72" s="2936"/>
      <c r="TYL72" s="2936"/>
      <c r="TYM72" s="2936"/>
      <c r="TYN72" s="2936"/>
      <c r="TYO72" s="2936"/>
      <c r="TYP72" s="2936"/>
      <c r="TYQ72" s="2936"/>
      <c r="TYR72" s="2936"/>
      <c r="TYS72" s="2936"/>
      <c r="TYT72" s="2936"/>
      <c r="TYU72" s="2936"/>
      <c r="TYV72" s="2936"/>
      <c r="TYW72" s="2936"/>
      <c r="TYX72" s="2936"/>
      <c r="TYY72" s="2936"/>
      <c r="TYZ72" s="2936"/>
      <c r="TZA72" s="2936"/>
      <c r="TZB72" s="2936"/>
      <c r="TZC72" s="2936"/>
      <c r="TZD72" s="2936"/>
      <c r="TZE72" s="2936"/>
      <c r="TZF72" s="2936"/>
      <c r="TZG72" s="2936"/>
      <c r="TZH72" s="2936"/>
      <c r="TZI72" s="2936"/>
      <c r="TZJ72" s="2936"/>
      <c r="TZK72" s="2936"/>
      <c r="TZL72" s="2936"/>
      <c r="TZM72" s="2936"/>
      <c r="TZN72" s="2936"/>
      <c r="TZO72" s="2936"/>
      <c r="TZP72" s="2936"/>
      <c r="TZQ72" s="2936"/>
      <c r="TZR72" s="2936"/>
      <c r="TZS72" s="2936"/>
      <c r="TZT72" s="2936"/>
      <c r="TZU72" s="2936"/>
      <c r="TZV72" s="2936"/>
      <c r="TZW72" s="2936"/>
      <c r="TZX72" s="2936"/>
      <c r="TZY72" s="2936"/>
      <c r="TZZ72" s="2936"/>
      <c r="UAA72" s="2936"/>
      <c r="UAB72" s="2936"/>
      <c r="UAC72" s="2936"/>
      <c r="UAD72" s="2936"/>
      <c r="UAE72" s="2936"/>
      <c r="UAF72" s="2936"/>
      <c r="UAG72" s="2936"/>
      <c r="UAH72" s="2936"/>
      <c r="UAI72" s="2936"/>
      <c r="UAJ72" s="2936"/>
      <c r="UAK72" s="2936"/>
      <c r="UAL72" s="2936"/>
      <c r="UAM72" s="2936"/>
      <c r="UAN72" s="2936"/>
      <c r="UAO72" s="2936"/>
      <c r="UAP72" s="2936"/>
      <c r="UAQ72" s="2936"/>
      <c r="UAR72" s="2936"/>
      <c r="UAS72" s="2936"/>
      <c r="UAT72" s="2936"/>
      <c r="UAU72" s="2936"/>
      <c r="UAV72" s="2936"/>
      <c r="UAW72" s="2936"/>
      <c r="UAX72" s="2936"/>
      <c r="UAY72" s="2936"/>
      <c r="UAZ72" s="2936"/>
      <c r="UBA72" s="2936"/>
      <c r="UBB72" s="2936"/>
      <c r="UBC72" s="2936"/>
      <c r="UBD72" s="2936"/>
      <c r="UBE72" s="2936"/>
      <c r="UBF72" s="2936"/>
      <c r="UBG72" s="2936"/>
      <c r="UBH72" s="2936"/>
      <c r="UBI72" s="2936"/>
      <c r="UBJ72" s="2936"/>
      <c r="UBK72" s="2936"/>
      <c r="UBL72" s="2936"/>
      <c r="UBM72" s="2936"/>
      <c r="UBN72" s="2936"/>
      <c r="UBO72" s="2936"/>
      <c r="UBP72" s="2936"/>
      <c r="UBQ72" s="2936"/>
      <c r="UBR72" s="2936"/>
      <c r="UBS72" s="2936"/>
      <c r="UBT72" s="2936"/>
      <c r="UBU72" s="2936"/>
      <c r="UBV72" s="2936"/>
      <c r="UBW72" s="2936"/>
      <c r="UBX72" s="2936"/>
      <c r="UBY72" s="2936"/>
      <c r="UBZ72" s="2936"/>
      <c r="UCA72" s="2936"/>
      <c r="UCB72" s="2936"/>
      <c r="UCC72" s="2936"/>
      <c r="UCD72" s="2936"/>
      <c r="UCE72" s="2936"/>
      <c r="UCF72" s="2936"/>
      <c r="UCG72" s="2936"/>
      <c r="UCH72" s="2936"/>
      <c r="UCI72" s="2936"/>
      <c r="UCJ72" s="2936"/>
      <c r="UCK72" s="2936"/>
      <c r="UCL72" s="2936"/>
      <c r="UCM72" s="2936"/>
      <c r="UCN72" s="2936"/>
      <c r="UCO72" s="2936"/>
      <c r="UCP72" s="2936"/>
      <c r="UCQ72" s="2936"/>
      <c r="UCR72" s="2936"/>
      <c r="UCS72" s="2936"/>
      <c r="UCT72" s="2936"/>
      <c r="UCU72" s="2936"/>
      <c r="UCV72" s="2936"/>
      <c r="UCW72" s="2936"/>
      <c r="UCX72" s="2936"/>
      <c r="UCY72" s="2936"/>
      <c r="UCZ72" s="2936"/>
      <c r="UDA72" s="2936"/>
      <c r="UDB72" s="2936"/>
      <c r="UDC72" s="2936"/>
      <c r="UDD72" s="2936"/>
      <c r="UDE72" s="2936"/>
      <c r="UDF72" s="2936"/>
      <c r="UDG72" s="2936"/>
      <c r="UDH72" s="2936"/>
      <c r="UDI72" s="2936"/>
      <c r="UDJ72" s="2936"/>
      <c r="UDK72" s="2936"/>
      <c r="UDL72" s="2936"/>
      <c r="UDM72" s="2936"/>
      <c r="UDN72" s="2936"/>
      <c r="UDO72" s="2936"/>
      <c r="UDP72" s="2936"/>
      <c r="UDQ72" s="2936"/>
      <c r="UDR72" s="2936"/>
      <c r="UDS72" s="2936"/>
      <c r="UDT72" s="2936"/>
      <c r="UDU72" s="2936"/>
      <c r="UDV72" s="2936"/>
      <c r="UDW72" s="2936"/>
      <c r="UDX72" s="2936"/>
      <c r="UDY72" s="2936"/>
      <c r="UDZ72" s="2936"/>
      <c r="UEA72" s="2936"/>
      <c r="UEB72" s="2936"/>
      <c r="UEC72" s="2936"/>
      <c r="UED72" s="2936"/>
      <c r="UEE72" s="2936"/>
      <c r="UEF72" s="2936"/>
      <c r="UEG72" s="2936"/>
      <c r="UEH72" s="2936"/>
      <c r="UEI72" s="2936"/>
      <c r="UEJ72" s="2936"/>
      <c r="UEK72" s="2936"/>
      <c r="UEL72" s="2936"/>
      <c r="UEM72" s="2936"/>
      <c r="UEN72" s="2936"/>
      <c r="UEO72" s="2936"/>
      <c r="UEP72" s="2936"/>
      <c r="UEQ72" s="2936"/>
      <c r="UER72" s="2936"/>
      <c r="UES72" s="2936"/>
      <c r="UET72" s="2936"/>
      <c r="UEU72" s="2936"/>
      <c r="UEV72" s="2936"/>
      <c r="UEW72" s="2936"/>
      <c r="UEX72" s="2936"/>
      <c r="UEY72" s="2936"/>
      <c r="UEZ72" s="2936"/>
      <c r="UFA72" s="2936"/>
      <c r="UFB72" s="2936"/>
      <c r="UFC72" s="2936"/>
      <c r="UFD72" s="2936"/>
      <c r="UFE72" s="2936"/>
      <c r="UFF72" s="2936"/>
      <c r="UFG72" s="2936"/>
      <c r="UFH72" s="2936"/>
      <c r="UFI72" s="2936"/>
      <c r="UFJ72" s="2936"/>
      <c r="UFK72" s="2936"/>
      <c r="UFL72" s="2936"/>
      <c r="UFM72" s="2936"/>
      <c r="UFN72" s="2936"/>
      <c r="UFO72" s="2936"/>
      <c r="UFP72" s="2936"/>
      <c r="UFQ72" s="2936"/>
      <c r="UFR72" s="2936"/>
      <c r="UFS72" s="2936"/>
      <c r="UFT72" s="2936"/>
      <c r="UFU72" s="2936"/>
      <c r="UFV72" s="2936"/>
      <c r="UFW72" s="2936"/>
      <c r="UFX72" s="2936"/>
      <c r="UFY72" s="2936"/>
      <c r="UFZ72" s="2936"/>
      <c r="UGA72" s="2936"/>
      <c r="UGB72" s="2936"/>
      <c r="UGC72" s="2936"/>
      <c r="UGD72" s="2936"/>
      <c r="UGE72" s="2936"/>
      <c r="UGF72" s="2936"/>
      <c r="UGG72" s="2936"/>
      <c r="UGH72" s="2936"/>
      <c r="UGI72" s="2936"/>
      <c r="UGJ72" s="2936"/>
      <c r="UGK72" s="2936"/>
      <c r="UGL72" s="2936"/>
      <c r="UGM72" s="2936"/>
      <c r="UGN72" s="2936"/>
      <c r="UGO72" s="2936"/>
      <c r="UGP72" s="2936"/>
      <c r="UGQ72" s="2936"/>
      <c r="UGR72" s="2936"/>
      <c r="UGS72" s="2936"/>
      <c r="UGT72" s="2936"/>
      <c r="UGU72" s="2936"/>
      <c r="UGV72" s="2936"/>
      <c r="UGW72" s="2936"/>
      <c r="UGX72" s="2936"/>
      <c r="UGY72" s="2936"/>
      <c r="UGZ72" s="2936"/>
      <c r="UHA72" s="2936"/>
      <c r="UHB72" s="2936"/>
      <c r="UHC72" s="2936"/>
      <c r="UHD72" s="2936"/>
      <c r="UHE72" s="2936"/>
      <c r="UHF72" s="2936"/>
      <c r="UHG72" s="2936"/>
      <c r="UHH72" s="2936"/>
      <c r="UHI72" s="2936"/>
      <c r="UHJ72" s="2936"/>
      <c r="UHK72" s="2936"/>
      <c r="UHL72" s="2936"/>
      <c r="UHM72" s="2936"/>
      <c r="UHN72" s="2936"/>
      <c r="UHO72" s="2936"/>
      <c r="UHP72" s="2936"/>
      <c r="UHQ72" s="2936"/>
      <c r="UHR72" s="2936"/>
      <c r="UHS72" s="2936"/>
      <c r="UHT72" s="2936"/>
      <c r="UHU72" s="2936"/>
      <c r="UHV72" s="2936"/>
      <c r="UHW72" s="2936"/>
      <c r="UHX72" s="2936"/>
      <c r="UHY72" s="2936"/>
      <c r="UHZ72" s="2936"/>
      <c r="UIA72" s="2936"/>
      <c r="UIB72" s="2936"/>
      <c r="UIC72" s="2936"/>
      <c r="UID72" s="2936"/>
      <c r="UIE72" s="2936"/>
      <c r="UIF72" s="2936"/>
      <c r="UIG72" s="2936"/>
      <c r="UIH72" s="2936"/>
      <c r="UII72" s="2936"/>
      <c r="UIJ72" s="2936"/>
      <c r="UIK72" s="2936"/>
      <c r="UIL72" s="2936"/>
      <c r="UIM72" s="2936"/>
      <c r="UIN72" s="2936"/>
      <c r="UIO72" s="2936"/>
      <c r="UIP72" s="2936"/>
      <c r="UIQ72" s="2936"/>
      <c r="UIR72" s="2936"/>
      <c r="UIS72" s="2936"/>
      <c r="UIT72" s="2936"/>
      <c r="UIU72" s="2936"/>
      <c r="UIV72" s="2936"/>
      <c r="UIW72" s="2936"/>
      <c r="UIX72" s="2936"/>
      <c r="UIY72" s="2936"/>
      <c r="UIZ72" s="2936"/>
      <c r="UJA72" s="2936"/>
      <c r="UJB72" s="2936"/>
      <c r="UJC72" s="2936"/>
      <c r="UJD72" s="2936"/>
      <c r="UJE72" s="2936"/>
      <c r="UJF72" s="2936"/>
      <c r="UJG72" s="2936"/>
      <c r="UJH72" s="2936"/>
      <c r="UJI72" s="2936"/>
      <c r="UJJ72" s="2936"/>
      <c r="UJK72" s="2936"/>
      <c r="UJL72" s="2936"/>
      <c r="UJM72" s="2936"/>
      <c r="UJN72" s="2936"/>
      <c r="UJO72" s="2936"/>
      <c r="UJP72" s="2936"/>
      <c r="UJQ72" s="2936"/>
      <c r="UJR72" s="2936"/>
      <c r="UJS72" s="2936"/>
      <c r="UJT72" s="2936"/>
      <c r="UJU72" s="2936"/>
      <c r="UJV72" s="2936"/>
      <c r="UJW72" s="2936"/>
      <c r="UJX72" s="2936"/>
      <c r="UJY72" s="2936"/>
      <c r="UJZ72" s="2936"/>
      <c r="UKA72" s="2936"/>
      <c r="UKB72" s="2936"/>
      <c r="UKC72" s="2936"/>
      <c r="UKD72" s="2936"/>
      <c r="UKE72" s="2936"/>
      <c r="UKF72" s="2936"/>
      <c r="UKG72" s="2936"/>
      <c r="UKH72" s="2936"/>
      <c r="UKI72" s="2936"/>
      <c r="UKJ72" s="2936"/>
      <c r="UKK72" s="2936"/>
      <c r="UKL72" s="2936"/>
      <c r="UKM72" s="2936"/>
      <c r="UKN72" s="2936"/>
      <c r="UKO72" s="2936"/>
      <c r="UKP72" s="2936"/>
      <c r="UKQ72" s="2936"/>
      <c r="UKR72" s="2936"/>
      <c r="UKS72" s="2936"/>
      <c r="UKT72" s="2936"/>
      <c r="UKU72" s="2936"/>
      <c r="UKV72" s="2936"/>
      <c r="UKW72" s="2936"/>
      <c r="UKX72" s="2936"/>
      <c r="UKY72" s="2936"/>
      <c r="UKZ72" s="2936"/>
      <c r="ULA72" s="2936"/>
      <c r="ULB72" s="2936"/>
      <c r="ULC72" s="2936"/>
      <c r="ULD72" s="2936"/>
      <c r="ULE72" s="2936"/>
      <c r="ULF72" s="2936"/>
      <c r="ULG72" s="2936"/>
      <c r="ULH72" s="2936"/>
      <c r="ULI72" s="2936"/>
      <c r="ULJ72" s="2936"/>
      <c r="ULK72" s="2936"/>
      <c r="ULL72" s="2936"/>
      <c r="ULM72" s="2936"/>
      <c r="ULN72" s="2936"/>
      <c r="ULO72" s="2936"/>
      <c r="ULP72" s="2936"/>
      <c r="ULQ72" s="2936"/>
      <c r="ULR72" s="2936"/>
      <c r="ULS72" s="2936"/>
      <c r="ULT72" s="2936"/>
      <c r="ULU72" s="2936"/>
      <c r="ULV72" s="2936"/>
      <c r="ULW72" s="2936"/>
      <c r="ULX72" s="2936"/>
      <c r="ULY72" s="2936"/>
      <c r="ULZ72" s="2936"/>
      <c r="UMA72" s="2936"/>
      <c r="UMB72" s="2936"/>
      <c r="UMC72" s="2936"/>
      <c r="UMD72" s="2936"/>
      <c r="UME72" s="2936"/>
      <c r="UMF72" s="2936"/>
      <c r="UMG72" s="2936"/>
      <c r="UMH72" s="2936"/>
      <c r="UMI72" s="2936"/>
      <c r="UMJ72" s="2936"/>
      <c r="UMK72" s="2936"/>
      <c r="UML72" s="2936"/>
      <c r="UMM72" s="2936"/>
      <c r="UMN72" s="2936"/>
      <c r="UMO72" s="2936"/>
      <c r="UMP72" s="2936"/>
      <c r="UMQ72" s="2936"/>
      <c r="UMR72" s="2936"/>
      <c r="UMS72" s="2936"/>
      <c r="UMT72" s="2936"/>
      <c r="UMU72" s="2936"/>
      <c r="UMV72" s="2936"/>
      <c r="UMW72" s="2936"/>
      <c r="UMX72" s="2936"/>
      <c r="UMY72" s="2936"/>
      <c r="UMZ72" s="2936"/>
      <c r="UNA72" s="2936"/>
      <c r="UNB72" s="2936"/>
      <c r="UNC72" s="2936"/>
      <c r="UND72" s="2936"/>
      <c r="UNE72" s="2936"/>
      <c r="UNF72" s="2936"/>
      <c r="UNG72" s="2936"/>
      <c r="UNH72" s="2936"/>
      <c r="UNI72" s="2936"/>
      <c r="UNJ72" s="2936"/>
      <c r="UNK72" s="2936"/>
      <c r="UNL72" s="2936"/>
      <c r="UNM72" s="2936"/>
      <c r="UNN72" s="2936"/>
      <c r="UNO72" s="2936"/>
      <c r="UNP72" s="2936"/>
      <c r="UNQ72" s="2936"/>
      <c r="UNR72" s="2936"/>
      <c r="UNS72" s="2936"/>
      <c r="UNT72" s="2936"/>
      <c r="UNU72" s="2936"/>
      <c r="UNV72" s="2936"/>
      <c r="UNW72" s="2936"/>
      <c r="UNX72" s="2936"/>
      <c r="UNY72" s="2936"/>
      <c r="UNZ72" s="2936"/>
      <c r="UOA72" s="2936"/>
      <c r="UOB72" s="2936"/>
      <c r="UOC72" s="2936"/>
      <c r="UOD72" s="2936"/>
      <c r="UOE72" s="2936"/>
      <c r="UOF72" s="2936"/>
      <c r="UOG72" s="2936"/>
      <c r="UOH72" s="2936"/>
      <c r="UOI72" s="2936"/>
      <c r="UOJ72" s="2936"/>
      <c r="UOK72" s="2936"/>
      <c r="UOL72" s="2936"/>
      <c r="UOM72" s="2936"/>
      <c r="UON72" s="2936"/>
      <c r="UOO72" s="2936"/>
      <c r="UOP72" s="2936"/>
      <c r="UOQ72" s="2936"/>
      <c r="UOR72" s="2936"/>
      <c r="UOS72" s="2936"/>
      <c r="UOT72" s="2936"/>
      <c r="UOU72" s="2936"/>
      <c r="UOV72" s="2936"/>
      <c r="UOW72" s="2936"/>
      <c r="UOX72" s="2936"/>
      <c r="UOY72" s="2936"/>
      <c r="UOZ72" s="2936"/>
      <c r="UPA72" s="2936"/>
      <c r="UPB72" s="2936"/>
      <c r="UPC72" s="2936"/>
      <c r="UPD72" s="2936"/>
      <c r="UPE72" s="2936"/>
      <c r="UPF72" s="2936"/>
      <c r="UPG72" s="2936"/>
      <c r="UPH72" s="2936"/>
      <c r="UPI72" s="2936"/>
      <c r="UPJ72" s="2936"/>
      <c r="UPK72" s="2936"/>
      <c r="UPL72" s="2936"/>
      <c r="UPM72" s="2936"/>
      <c r="UPN72" s="2936"/>
      <c r="UPO72" s="2936"/>
      <c r="UPP72" s="2936"/>
      <c r="UPQ72" s="2936"/>
      <c r="UPR72" s="2936"/>
      <c r="UPS72" s="2936"/>
      <c r="UPT72" s="2936"/>
      <c r="UPU72" s="2936"/>
      <c r="UPV72" s="2936"/>
      <c r="UPW72" s="2936"/>
      <c r="UPX72" s="2936"/>
      <c r="UPY72" s="2936"/>
      <c r="UPZ72" s="2936"/>
      <c r="UQA72" s="2936"/>
      <c r="UQB72" s="2936"/>
      <c r="UQC72" s="2936"/>
      <c r="UQD72" s="2936"/>
      <c r="UQE72" s="2936"/>
      <c r="UQF72" s="2936"/>
      <c r="UQG72" s="2936"/>
      <c r="UQH72" s="2936"/>
      <c r="UQI72" s="2936"/>
      <c r="UQJ72" s="2936"/>
      <c r="UQK72" s="2936"/>
      <c r="UQL72" s="2936"/>
      <c r="UQM72" s="2936"/>
      <c r="UQN72" s="2936"/>
      <c r="UQO72" s="2936"/>
      <c r="UQP72" s="2936"/>
      <c r="UQQ72" s="2936"/>
      <c r="UQR72" s="2936"/>
      <c r="UQS72" s="2936"/>
      <c r="UQT72" s="2936"/>
      <c r="UQU72" s="2936"/>
      <c r="UQV72" s="2936"/>
      <c r="UQW72" s="2936"/>
      <c r="UQX72" s="2936"/>
      <c r="UQY72" s="2936"/>
      <c r="UQZ72" s="2936"/>
      <c r="URA72" s="2936"/>
      <c r="URB72" s="2936"/>
      <c r="URC72" s="2936"/>
      <c r="URD72" s="2936"/>
      <c r="URE72" s="2936"/>
      <c r="URF72" s="2936"/>
      <c r="URG72" s="2936"/>
      <c r="URH72" s="2936"/>
      <c r="URI72" s="2936"/>
      <c r="URJ72" s="2936"/>
      <c r="URK72" s="2936"/>
      <c r="URL72" s="2936"/>
      <c r="URM72" s="2936"/>
      <c r="URN72" s="2936"/>
      <c r="URO72" s="2936"/>
      <c r="URP72" s="2936"/>
      <c r="URQ72" s="2936"/>
      <c r="URR72" s="2936"/>
      <c r="URS72" s="2936"/>
      <c r="URT72" s="2936"/>
      <c r="URU72" s="2936"/>
      <c r="URV72" s="2936"/>
      <c r="URW72" s="2936"/>
      <c r="URX72" s="2936"/>
      <c r="URY72" s="2936"/>
      <c r="URZ72" s="2936"/>
      <c r="USA72" s="2936"/>
      <c r="USB72" s="2936"/>
      <c r="USC72" s="2936"/>
      <c r="USD72" s="2936"/>
      <c r="USE72" s="2936"/>
      <c r="USF72" s="2936"/>
      <c r="USG72" s="2936"/>
      <c r="USH72" s="2936"/>
      <c r="USI72" s="2936"/>
      <c r="USJ72" s="2936"/>
      <c r="USK72" s="2936"/>
      <c r="USL72" s="2936"/>
      <c r="USM72" s="2936"/>
      <c r="USN72" s="2936"/>
      <c r="USO72" s="2936"/>
      <c r="USP72" s="2936"/>
      <c r="USQ72" s="2936"/>
      <c r="USR72" s="2936"/>
      <c r="USS72" s="2936"/>
      <c r="UST72" s="2936"/>
      <c r="USU72" s="2936"/>
      <c r="USV72" s="2936"/>
      <c r="USW72" s="2936"/>
      <c r="USX72" s="2936"/>
      <c r="USY72" s="2936"/>
      <c r="USZ72" s="2936"/>
      <c r="UTA72" s="2936"/>
      <c r="UTB72" s="2936"/>
      <c r="UTC72" s="2936"/>
      <c r="UTD72" s="2936"/>
      <c r="UTE72" s="2936"/>
      <c r="UTF72" s="2936"/>
      <c r="UTG72" s="2936"/>
      <c r="UTH72" s="2936"/>
      <c r="UTI72" s="2936"/>
      <c r="UTJ72" s="2936"/>
      <c r="UTK72" s="2936"/>
      <c r="UTL72" s="2936"/>
      <c r="UTM72" s="2936"/>
      <c r="UTN72" s="2936"/>
      <c r="UTO72" s="2936"/>
      <c r="UTP72" s="2936"/>
      <c r="UTQ72" s="2936"/>
      <c r="UTR72" s="2936"/>
      <c r="UTS72" s="2936"/>
      <c r="UTT72" s="2936"/>
      <c r="UTU72" s="2936"/>
      <c r="UTV72" s="2936"/>
      <c r="UTW72" s="2936"/>
      <c r="UTX72" s="2936"/>
      <c r="UTY72" s="2936"/>
      <c r="UTZ72" s="2936"/>
      <c r="UUA72" s="2936"/>
      <c r="UUB72" s="2936"/>
      <c r="UUC72" s="2936"/>
      <c r="UUD72" s="2936"/>
      <c r="UUE72" s="2936"/>
      <c r="UUF72" s="2936"/>
      <c r="UUG72" s="2936"/>
      <c r="UUH72" s="2936"/>
      <c r="UUI72" s="2936"/>
      <c r="UUJ72" s="2936"/>
      <c r="UUK72" s="2936"/>
      <c r="UUL72" s="2936"/>
      <c r="UUM72" s="2936"/>
      <c r="UUN72" s="2936"/>
      <c r="UUO72" s="2936"/>
      <c r="UUP72" s="2936"/>
      <c r="UUQ72" s="2936"/>
      <c r="UUR72" s="2936"/>
      <c r="UUS72" s="2936"/>
      <c r="UUT72" s="2936"/>
      <c r="UUU72" s="2936"/>
      <c r="UUV72" s="2936"/>
      <c r="UUW72" s="2936"/>
      <c r="UUX72" s="2936"/>
      <c r="UUY72" s="2936"/>
      <c r="UUZ72" s="2936"/>
      <c r="UVA72" s="2936"/>
      <c r="UVB72" s="2936"/>
      <c r="UVC72" s="2936"/>
      <c r="UVD72" s="2936"/>
      <c r="UVE72" s="2936"/>
      <c r="UVF72" s="2936"/>
      <c r="UVG72" s="2936"/>
      <c r="UVH72" s="2936"/>
      <c r="UVI72" s="2936"/>
      <c r="UVJ72" s="2936"/>
      <c r="UVK72" s="2936"/>
      <c r="UVL72" s="2936"/>
      <c r="UVM72" s="2936"/>
      <c r="UVN72" s="2936"/>
      <c r="UVO72" s="2936"/>
      <c r="UVP72" s="2936"/>
      <c r="UVQ72" s="2936"/>
      <c r="UVR72" s="2936"/>
      <c r="UVS72" s="2936"/>
      <c r="UVT72" s="2936"/>
      <c r="UVU72" s="2936"/>
      <c r="UVV72" s="2936"/>
      <c r="UVW72" s="2936"/>
      <c r="UVX72" s="2936"/>
      <c r="UVY72" s="2936"/>
      <c r="UVZ72" s="2936"/>
      <c r="UWA72" s="2936"/>
      <c r="UWB72" s="2936"/>
      <c r="UWC72" s="2936"/>
      <c r="UWD72" s="2936"/>
      <c r="UWE72" s="2936"/>
      <c r="UWF72" s="2936"/>
      <c r="UWG72" s="2936"/>
      <c r="UWH72" s="2936"/>
      <c r="UWI72" s="2936"/>
      <c r="UWJ72" s="2936"/>
      <c r="UWK72" s="2936"/>
      <c r="UWL72" s="2936"/>
      <c r="UWM72" s="2936"/>
      <c r="UWN72" s="2936"/>
      <c r="UWO72" s="2936"/>
      <c r="UWP72" s="2936"/>
      <c r="UWQ72" s="2936"/>
      <c r="UWR72" s="2936"/>
      <c r="UWS72" s="2936"/>
      <c r="UWT72" s="2936"/>
      <c r="UWU72" s="2936"/>
      <c r="UWV72" s="2936"/>
      <c r="UWW72" s="2936"/>
      <c r="UWX72" s="2936"/>
      <c r="UWY72" s="2936"/>
      <c r="UWZ72" s="2936"/>
      <c r="UXA72" s="2936"/>
      <c r="UXB72" s="2936"/>
      <c r="UXC72" s="2936"/>
      <c r="UXD72" s="2936"/>
      <c r="UXE72" s="2936"/>
      <c r="UXF72" s="2936"/>
      <c r="UXG72" s="2936"/>
      <c r="UXH72" s="2936"/>
      <c r="UXI72" s="2936"/>
      <c r="UXJ72" s="2936"/>
      <c r="UXK72" s="2936"/>
      <c r="UXL72" s="2936"/>
      <c r="UXM72" s="2936"/>
      <c r="UXN72" s="2936"/>
      <c r="UXO72" s="2936"/>
      <c r="UXP72" s="2936"/>
      <c r="UXQ72" s="2936"/>
      <c r="UXR72" s="2936"/>
      <c r="UXS72" s="2936"/>
      <c r="UXT72" s="2936"/>
      <c r="UXU72" s="2936"/>
      <c r="UXV72" s="2936"/>
      <c r="UXW72" s="2936"/>
      <c r="UXX72" s="2936"/>
      <c r="UXY72" s="2936"/>
      <c r="UXZ72" s="2936"/>
      <c r="UYA72" s="2936"/>
      <c r="UYB72" s="2936"/>
      <c r="UYC72" s="2936"/>
      <c r="UYD72" s="2936"/>
      <c r="UYE72" s="2936"/>
      <c r="UYF72" s="2936"/>
      <c r="UYG72" s="2936"/>
      <c r="UYH72" s="2936"/>
      <c r="UYI72" s="2936"/>
      <c r="UYJ72" s="2936"/>
      <c r="UYK72" s="2936"/>
      <c r="UYL72" s="2936"/>
      <c r="UYM72" s="2936"/>
      <c r="UYN72" s="2936"/>
      <c r="UYO72" s="2936"/>
      <c r="UYP72" s="2936"/>
      <c r="UYQ72" s="2936"/>
      <c r="UYR72" s="2936"/>
      <c r="UYS72" s="2936"/>
      <c r="UYT72" s="2936"/>
      <c r="UYU72" s="2936"/>
      <c r="UYV72" s="2936"/>
      <c r="UYW72" s="2936"/>
      <c r="UYX72" s="2936"/>
      <c r="UYY72" s="2936"/>
      <c r="UYZ72" s="2936"/>
      <c r="UZA72" s="2936"/>
      <c r="UZB72" s="2936"/>
      <c r="UZC72" s="2936"/>
      <c r="UZD72" s="2936"/>
      <c r="UZE72" s="2936"/>
      <c r="UZF72" s="2936"/>
      <c r="UZG72" s="2936"/>
      <c r="UZH72" s="2936"/>
      <c r="UZI72" s="2936"/>
      <c r="UZJ72" s="2936"/>
      <c r="UZK72" s="2936"/>
      <c r="UZL72" s="2936"/>
      <c r="UZM72" s="2936"/>
      <c r="UZN72" s="2936"/>
      <c r="UZO72" s="2936"/>
      <c r="UZP72" s="2936"/>
      <c r="UZQ72" s="2936"/>
      <c r="UZR72" s="2936"/>
      <c r="UZS72" s="2936"/>
      <c r="UZT72" s="2936"/>
      <c r="UZU72" s="2936"/>
      <c r="UZV72" s="2936"/>
      <c r="UZW72" s="2936"/>
      <c r="UZX72" s="2936"/>
      <c r="UZY72" s="2936"/>
      <c r="UZZ72" s="2936"/>
      <c r="VAA72" s="2936"/>
      <c r="VAB72" s="2936"/>
      <c r="VAC72" s="2936"/>
      <c r="VAD72" s="2936"/>
      <c r="VAE72" s="2936"/>
      <c r="VAF72" s="2936"/>
      <c r="VAG72" s="2936"/>
      <c r="VAH72" s="2936"/>
      <c r="VAI72" s="2936"/>
      <c r="VAJ72" s="2936"/>
      <c r="VAK72" s="2936"/>
      <c r="VAL72" s="2936"/>
      <c r="VAM72" s="2936"/>
      <c r="VAN72" s="2936"/>
      <c r="VAO72" s="2936"/>
      <c r="VAP72" s="2936"/>
      <c r="VAQ72" s="2936"/>
      <c r="VAR72" s="2936"/>
      <c r="VAS72" s="2936"/>
      <c r="VAT72" s="2936"/>
      <c r="VAU72" s="2936"/>
      <c r="VAV72" s="2936"/>
      <c r="VAW72" s="2936"/>
      <c r="VAX72" s="2936"/>
      <c r="VAY72" s="2936"/>
      <c r="VAZ72" s="2936"/>
      <c r="VBA72" s="2936"/>
      <c r="VBB72" s="2936"/>
      <c r="VBC72" s="2936"/>
      <c r="VBD72" s="2936"/>
      <c r="VBE72" s="2936"/>
      <c r="VBF72" s="2936"/>
      <c r="VBG72" s="2936"/>
      <c r="VBH72" s="2936"/>
      <c r="VBI72" s="2936"/>
      <c r="VBJ72" s="2936"/>
      <c r="VBK72" s="2936"/>
      <c r="VBL72" s="2936"/>
      <c r="VBM72" s="2936"/>
      <c r="VBN72" s="2936"/>
      <c r="VBO72" s="2936"/>
      <c r="VBP72" s="2936"/>
      <c r="VBQ72" s="2936"/>
      <c r="VBR72" s="2936"/>
      <c r="VBS72" s="2936"/>
      <c r="VBT72" s="2936"/>
      <c r="VBU72" s="2936"/>
      <c r="VBV72" s="2936"/>
      <c r="VBW72" s="2936"/>
      <c r="VBX72" s="2936"/>
      <c r="VBY72" s="2936"/>
      <c r="VBZ72" s="2936"/>
      <c r="VCA72" s="2936"/>
      <c r="VCB72" s="2936"/>
      <c r="VCC72" s="2936"/>
      <c r="VCD72" s="2936"/>
      <c r="VCE72" s="2936"/>
      <c r="VCF72" s="2936"/>
      <c r="VCG72" s="2936"/>
      <c r="VCH72" s="2936"/>
      <c r="VCI72" s="2936"/>
      <c r="VCJ72" s="2936"/>
      <c r="VCK72" s="2936"/>
      <c r="VCL72" s="2936"/>
      <c r="VCM72" s="2936"/>
      <c r="VCN72" s="2936"/>
      <c r="VCO72" s="2936"/>
      <c r="VCP72" s="2936"/>
      <c r="VCQ72" s="2936"/>
      <c r="VCR72" s="2936"/>
      <c r="VCS72" s="2936"/>
      <c r="VCT72" s="2936"/>
      <c r="VCU72" s="2936"/>
      <c r="VCV72" s="2936"/>
      <c r="VCW72" s="2936"/>
      <c r="VCX72" s="2936"/>
      <c r="VCY72" s="2936"/>
      <c r="VCZ72" s="2936"/>
      <c r="VDA72" s="2936"/>
      <c r="VDB72" s="2936"/>
      <c r="VDC72" s="2936"/>
      <c r="VDD72" s="2936"/>
      <c r="VDE72" s="2936"/>
      <c r="VDF72" s="2936"/>
      <c r="VDG72" s="2936"/>
      <c r="VDH72" s="2936"/>
      <c r="VDI72" s="2936"/>
      <c r="VDJ72" s="2936"/>
      <c r="VDK72" s="2936"/>
      <c r="VDL72" s="2936"/>
      <c r="VDM72" s="2936"/>
      <c r="VDN72" s="2936"/>
      <c r="VDO72" s="2936"/>
      <c r="VDP72" s="2936"/>
      <c r="VDQ72" s="2936"/>
      <c r="VDR72" s="2936"/>
      <c r="VDS72" s="2936"/>
      <c r="VDT72" s="2936"/>
      <c r="VDU72" s="2936"/>
      <c r="VDV72" s="2936"/>
      <c r="VDW72" s="2936"/>
      <c r="VDX72" s="2936"/>
      <c r="VDY72" s="2936"/>
      <c r="VDZ72" s="2936"/>
      <c r="VEA72" s="2936"/>
      <c r="VEB72" s="2936"/>
      <c r="VEC72" s="2936"/>
      <c r="VED72" s="2936"/>
      <c r="VEE72" s="2936"/>
      <c r="VEF72" s="2936"/>
      <c r="VEG72" s="2936"/>
      <c r="VEH72" s="2936"/>
      <c r="VEI72" s="2936"/>
      <c r="VEJ72" s="2936"/>
      <c r="VEK72" s="2936"/>
      <c r="VEL72" s="2936"/>
      <c r="VEM72" s="2936"/>
      <c r="VEN72" s="2936"/>
      <c r="VEO72" s="2936"/>
      <c r="VEP72" s="2936"/>
      <c r="VEQ72" s="2936"/>
      <c r="VER72" s="2936"/>
      <c r="VES72" s="2936"/>
      <c r="VET72" s="2936"/>
      <c r="VEU72" s="2936"/>
      <c r="VEV72" s="2936"/>
      <c r="VEW72" s="2936"/>
      <c r="VEX72" s="2936"/>
      <c r="VEY72" s="2936"/>
      <c r="VEZ72" s="2936"/>
      <c r="VFA72" s="2936"/>
      <c r="VFB72" s="2936"/>
      <c r="VFC72" s="2936"/>
      <c r="VFD72" s="2936"/>
      <c r="VFE72" s="2936"/>
      <c r="VFF72" s="2936"/>
      <c r="VFG72" s="2936"/>
      <c r="VFH72" s="2936"/>
      <c r="VFI72" s="2936"/>
      <c r="VFJ72" s="2936"/>
      <c r="VFK72" s="2936"/>
      <c r="VFL72" s="2936"/>
      <c r="VFM72" s="2936"/>
      <c r="VFN72" s="2936"/>
      <c r="VFO72" s="2936"/>
      <c r="VFP72" s="2936"/>
      <c r="VFQ72" s="2936"/>
      <c r="VFR72" s="2936"/>
      <c r="VFS72" s="2936"/>
      <c r="VFT72" s="2936"/>
      <c r="VFU72" s="2936"/>
      <c r="VFV72" s="2936"/>
      <c r="VFW72" s="2936"/>
      <c r="VFX72" s="2936"/>
      <c r="VFY72" s="2936"/>
      <c r="VFZ72" s="2936"/>
      <c r="VGA72" s="2936"/>
      <c r="VGB72" s="2936"/>
      <c r="VGC72" s="2936"/>
      <c r="VGD72" s="2936"/>
      <c r="VGE72" s="2936"/>
      <c r="VGF72" s="2936"/>
      <c r="VGG72" s="2936"/>
      <c r="VGH72" s="2936"/>
      <c r="VGI72" s="2936"/>
      <c r="VGJ72" s="2936"/>
      <c r="VGK72" s="2936"/>
      <c r="VGL72" s="2936"/>
      <c r="VGM72" s="2936"/>
      <c r="VGN72" s="2936"/>
      <c r="VGO72" s="2936"/>
      <c r="VGP72" s="2936"/>
      <c r="VGQ72" s="2936"/>
      <c r="VGR72" s="2936"/>
      <c r="VGS72" s="2936"/>
      <c r="VGT72" s="2936"/>
      <c r="VGU72" s="2936"/>
      <c r="VGV72" s="2936"/>
      <c r="VGW72" s="2936"/>
      <c r="VGX72" s="2936"/>
      <c r="VGY72" s="2936"/>
      <c r="VGZ72" s="2936"/>
      <c r="VHA72" s="2936"/>
      <c r="VHB72" s="2936"/>
      <c r="VHC72" s="2936"/>
      <c r="VHD72" s="2936"/>
      <c r="VHE72" s="2936"/>
      <c r="VHF72" s="2936"/>
      <c r="VHG72" s="2936"/>
      <c r="VHH72" s="2936"/>
      <c r="VHI72" s="2936"/>
      <c r="VHJ72" s="2936"/>
      <c r="VHK72" s="2936"/>
      <c r="VHL72" s="2936"/>
      <c r="VHM72" s="2936"/>
      <c r="VHN72" s="2936"/>
      <c r="VHO72" s="2936"/>
      <c r="VHP72" s="2936"/>
      <c r="VHQ72" s="2936"/>
      <c r="VHR72" s="2936"/>
      <c r="VHS72" s="2936"/>
      <c r="VHT72" s="2936"/>
      <c r="VHU72" s="2936"/>
      <c r="VHV72" s="2936"/>
      <c r="VHW72" s="2936"/>
      <c r="VHX72" s="2936"/>
      <c r="VHY72" s="2936"/>
      <c r="VHZ72" s="2936"/>
      <c r="VIA72" s="2936"/>
      <c r="VIB72" s="2936"/>
      <c r="VIC72" s="2936"/>
      <c r="VID72" s="2936"/>
      <c r="VIE72" s="2936"/>
      <c r="VIF72" s="2936"/>
      <c r="VIG72" s="2936"/>
      <c r="VIH72" s="2936"/>
      <c r="VII72" s="2936"/>
      <c r="VIJ72" s="2936"/>
      <c r="VIK72" s="2936"/>
      <c r="VIL72" s="2936"/>
      <c r="VIM72" s="2936"/>
      <c r="VIN72" s="2936"/>
      <c r="VIO72" s="2936"/>
      <c r="VIP72" s="2936"/>
      <c r="VIQ72" s="2936"/>
      <c r="VIR72" s="2936"/>
      <c r="VIS72" s="2936"/>
      <c r="VIT72" s="2936"/>
      <c r="VIU72" s="2936"/>
      <c r="VIV72" s="2936"/>
      <c r="VIW72" s="2936"/>
      <c r="VIX72" s="2936"/>
      <c r="VIY72" s="2936"/>
      <c r="VIZ72" s="2936"/>
      <c r="VJA72" s="2936"/>
      <c r="VJB72" s="2936"/>
      <c r="VJC72" s="2936"/>
      <c r="VJD72" s="2936"/>
      <c r="VJE72" s="2936"/>
      <c r="VJF72" s="2936"/>
      <c r="VJG72" s="2936"/>
      <c r="VJH72" s="2936"/>
      <c r="VJI72" s="2936"/>
      <c r="VJJ72" s="2936"/>
      <c r="VJK72" s="2936"/>
      <c r="VJL72" s="2936"/>
      <c r="VJM72" s="2936"/>
      <c r="VJN72" s="2936"/>
      <c r="VJO72" s="2936"/>
      <c r="VJP72" s="2936"/>
      <c r="VJQ72" s="2936"/>
      <c r="VJR72" s="2936"/>
      <c r="VJS72" s="2936"/>
      <c r="VJT72" s="2936"/>
      <c r="VJU72" s="2936"/>
      <c r="VJV72" s="2936"/>
      <c r="VJW72" s="2936"/>
      <c r="VJX72" s="2936"/>
      <c r="VJY72" s="2936"/>
      <c r="VJZ72" s="2936"/>
      <c r="VKA72" s="2936"/>
      <c r="VKB72" s="2936"/>
      <c r="VKC72" s="2936"/>
      <c r="VKD72" s="2936"/>
      <c r="VKE72" s="2936"/>
      <c r="VKF72" s="2936"/>
      <c r="VKG72" s="2936"/>
      <c r="VKH72" s="2936"/>
      <c r="VKI72" s="2936"/>
      <c r="VKJ72" s="2936"/>
      <c r="VKK72" s="2936"/>
      <c r="VKL72" s="2936"/>
      <c r="VKM72" s="2936"/>
      <c r="VKN72" s="2936"/>
      <c r="VKO72" s="2936"/>
      <c r="VKP72" s="2936"/>
      <c r="VKQ72" s="2936"/>
      <c r="VKR72" s="2936"/>
      <c r="VKS72" s="2936"/>
      <c r="VKT72" s="2936"/>
      <c r="VKU72" s="2936"/>
      <c r="VKV72" s="2936"/>
      <c r="VKW72" s="2936"/>
      <c r="VKX72" s="2936"/>
      <c r="VKY72" s="2936"/>
      <c r="VKZ72" s="2936"/>
      <c r="VLA72" s="2936"/>
      <c r="VLB72" s="2936"/>
      <c r="VLC72" s="2936"/>
      <c r="VLD72" s="2936"/>
      <c r="VLE72" s="2936"/>
      <c r="VLF72" s="2936"/>
      <c r="VLG72" s="2936"/>
      <c r="VLH72" s="2936"/>
      <c r="VLI72" s="2936"/>
      <c r="VLJ72" s="2936"/>
      <c r="VLK72" s="2936"/>
      <c r="VLL72" s="2936"/>
      <c r="VLM72" s="2936"/>
      <c r="VLN72" s="2936"/>
      <c r="VLO72" s="2936"/>
      <c r="VLP72" s="2936"/>
      <c r="VLQ72" s="2936"/>
      <c r="VLR72" s="2936"/>
      <c r="VLS72" s="2936"/>
      <c r="VLT72" s="2936"/>
      <c r="VLU72" s="2936"/>
      <c r="VLV72" s="2936"/>
      <c r="VLW72" s="2936"/>
      <c r="VLX72" s="2936"/>
      <c r="VLY72" s="2936"/>
      <c r="VLZ72" s="2936"/>
      <c r="VMA72" s="2936"/>
      <c r="VMB72" s="2936"/>
      <c r="VMC72" s="2936"/>
      <c r="VMD72" s="2936"/>
      <c r="VME72" s="2936"/>
      <c r="VMF72" s="2936"/>
      <c r="VMG72" s="2936"/>
      <c r="VMH72" s="2936"/>
      <c r="VMI72" s="2936"/>
      <c r="VMJ72" s="2936"/>
      <c r="VMK72" s="2936"/>
      <c r="VML72" s="2936"/>
      <c r="VMM72" s="2936"/>
      <c r="VMN72" s="2936"/>
      <c r="VMO72" s="2936"/>
      <c r="VMP72" s="2936"/>
      <c r="VMQ72" s="2936"/>
      <c r="VMR72" s="2936"/>
      <c r="VMS72" s="2936"/>
      <c r="VMT72" s="2936"/>
      <c r="VMU72" s="2936"/>
      <c r="VMV72" s="2936"/>
      <c r="VMW72" s="2936"/>
      <c r="VMX72" s="2936"/>
      <c r="VMY72" s="2936"/>
      <c r="VMZ72" s="2936"/>
      <c r="VNA72" s="2936"/>
      <c r="VNB72" s="2936"/>
      <c r="VNC72" s="2936"/>
      <c r="VND72" s="2936"/>
      <c r="VNE72" s="2936"/>
      <c r="VNF72" s="2936"/>
      <c r="VNG72" s="2936"/>
      <c r="VNH72" s="2936"/>
      <c r="VNI72" s="2936"/>
      <c r="VNJ72" s="2936"/>
      <c r="VNK72" s="2936"/>
      <c r="VNL72" s="2936"/>
      <c r="VNM72" s="2936"/>
      <c r="VNN72" s="2936"/>
      <c r="VNO72" s="2936"/>
      <c r="VNP72" s="2936"/>
      <c r="VNQ72" s="2936"/>
      <c r="VNR72" s="2936"/>
      <c r="VNS72" s="2936"/>
      <c r="VNT72" s="2936"/>
      <c r="VNU72" s="2936"/>
      <c r="VNV72" s="2936"/>
      <c r="VNW72" s="2936"/>
      <c r="VNX72" s="2936"/>
      <c r="VNY72" s="2936"/>
      <c r="VNZ72" s="2936"/>
      <c r="VOA72" s="2936"/>
      <c r="VOB72" s="2936"/>
      <c r="VOC72" s="2936"/>
      <c r="VOD72" s="2936"/>
      <c r="VOE72" s="2936"/>
      <c r="VOF72" s="2936"/>
      <c r="VOG72" s="2936"/>
      <c r="VOH72" s="2936"/>
      <c r="VOI72" s="2936"/>
      <c r="VOJ72" s="2936"/>
      <c r="VOK72" s="2936"/>
      <c r="VOL72" s="2936"/>
      <c r="VOM72" s="2936"/>
      <c r="VON72" s="2936"/>
      <c r="VOO72" s="2936"/>
      <c r="VOP72" s="2936"/>
      <c r="VOQ72" s="2936"/>
      <c r="VOR72" s="2936"/>
      <c r="VOS72" s="2936"/>
      <c r="VOT72" s="2936"/>
      <c r="VOU72" s="2936"/>
      <c r="VOV72" s="2936"/>
      <c r="VOW72" s="2936"/>
      <c r="VOX72" s="2936"/>
      <c r="VOY72" s="2936"/>
      <c r="VOZ72" s="2936"/>
      <c r="VPA72" s="2936"/>
      <c r="VPB72" s="2936"/>
      <c r="VPC72" s="2936"/>
      <c r="VPD72" s="2936"/>
      <c r="VPE72" s="2936"/>
      <c r="VPF72" s="2936"/>
      <c r="VPG72" s="2936"/>
      <c r="VPH72" s="2936"/>
      <c r="VPI72" s="2936"/>
      <c r="VPJ72" s="2936"/>
      <c r="VPK72" s="2936"/>
      <c r="VPL72" s="2936"/>
      <c r="VPM72" s="2936"/>
      <c r="VPN72" s="2936"/>
      <c r="VPO72" s="2936"/>
      <c r="VPP72" s="2936"/>
      <c r="VPQ72" s="2936"/>
      <c r="VPR72" s="2936"/>
      <c r="VPS72" s="2936"/>
      <c r="VPT72" s="2936"/>
      <c r="VPU72" s="2936"/>
      <c r="VPV72" s="2936"/>
      <c r="VPW72" s="2936"/>
      <c r="VPX72" s="2936"/>
      <c r="VPY72" s="2936"/>
      <c r="VPZ72" s="2936"/>
      <c r="VQA72" s="2936"/>
      <c r="VQB72" s="2936"/>
      <c r="VQC72" s="2936"/>
      <c r="VQD72" s="2936"/>
      <c r="VQE72" s="2936"/>
      <c r="VQF72" s="2936"/>
      <c r="VQG72" s="2936"/>
      <c r="VQH72" s="2936"/>
      <c r="VQI72" s="2936"/>
      <c r="VQJ72" s="2936"/>
      <c r="VQK72" s="2936"/>
      <c r="VQL72" s="2936"/>
      <c r="VQM72" s="2936"/>
      <c r="VQN72" s="2936"/>
      <c r="VQO72" s="2936"/>
      <c r="VQP72" s="2936"/>
      <c r="VQQ72" s="2936"/>
      <c r="VQR72" s="2936"/>
      <c r="VQS72" s="2936"/>
      <c r="VQT72" s="2936"/>
      <c r="VQU72" s="2936"/>
      <c r="VQV72" s="2936"/>
      <c r="VQW72" s="2936"/>
      <c r="VQX72" s="2936"/>
      <c r="VQY72" s="2936"/>
      <c r="VQZ72" s="2936"/>
      <c r="VRA72" s="2936"/>
      <c r="VRB72" s="2936"/>
      <c r="VRC72" s="2936"/>
      <c r="VRD72" s="2936"/>
      <c r="VRE72" s="2936"/>
      <c r="VRF72" s="2936"/>
      <c r="VRG72" s="2936"/>
      <c r="VRH72" s="2936"/>
      <c r="VRI72" s="2936"/>
      <c r="VRJ72" s="2936"/>
      <c r="VRK72" s="2936"/>
      <c r="VRL72" s="2936"/>
      <c r="VRM72" s="2936"/>
      <c r="VRN72" s="2936"/>
      <c r="VRO72" s="2936"/>
      <c r="VRP72" s="2936"/>
      <c r="VRQ72" s="2936"/>
      <c r="VRR72" s="2936"/>
      <c r="VRS72" s="2936"/>
      <c r="VRT72" s="2936"/>
      <c r="VRU72" s="2936"/>
      <c r="VRV72" s="2936"/>
      <c r="VRW72" s="2936"/>
      <c r="VRX72" s="2936"/>
      <c r="VRY72" s="2936"/>
      <c r="VRZ72" s="2936"/>
      <c r="VSA72" s="2936"/>
      <c r="VSB72" s="2936"/>
      <c r="VSC72" s="2936"/>
      <c r="VSD72" s="2936"/>
      <c r="VSE72" s="2936"/>
      <c r="VSF72" s="2936"/>
      <c r="VSG72" s="2936"/>
      <c r="VSH72" s="2936"/>
      <c r="VSI72" s="2936"/>
      <c r="VSJ72" s="2936"/>
      <c r="VSK72" s="2936"/>
      <c r="VSL72" s="2936"/>
      <c r="VSM72" s="2936"/>
      <c r="VSN72" s="2936"/>
      <c r="VSO72" s="2936"/>
      <c r="VSP72" s="2936"/>
      <c r="VSQ72" s="2936"/>
      <c r="VSR72" s="2936"/>
      <c r="VSS72" s="2936"/>
      <c r="VST72" s="2936"/>
      <c r="VSU72" s="2936"/>
      <c r="VSV72" s="2936"/>
      <c r="VSW72" s="2936"/>
      <c r="VSX72" s="2936"/>
      <c r="VSY72" s="2936"/>
      <c r="VSZ72" s="2936"/>
      <c r="VTA72" s="2936"/>
      <c r="VTB72" s="2936"/>
      <c r="VTC72" s="2936"/>
      <c r="VTD72" s="2936"/>
      <c r="VTE72" s="2936"/>
      <c r="VTF72" s="2936"/>
      <c r="VTG72" s="2936"/>
      <c r="VTH72" s="2936"/>
      <c r="VTI72" s="2936"/>
      <c r="VTJ72" s="2936"/>
      <c r="VTK72" s="2936"/>
      <c r="VTL72" s="2936"/>
      <c r="VTM72" s="2936"/>
      <c r="VTN72" s="2936"/>
      <c r="VTO72" s="2936"/>
      <c r="VTP72" s="2936"/>
      <c r="VTQ72" s="2936"/>
      <c r="VTR72" s="2936"/>
      <c r="VTS72" s="2936"/>
      <c r="VTT72" s="2936"/>
      <c r="VTU72" s="2936"/>
      <c r="VTV72" s="2936"/>
      <c r="VTW72" s="2936"/>
      <c r="VTX72" s="2936"/>
      <c r="VTY72" s="2936"/>
      <c r="VTZ72" s="2936"/>
      <c r="VUA72" s="2936"/>
      <c r="VUB72" s="2936"/>
      <c r="VUC72" s="2936"/>
      <c r="VUD72" s="2936"/>
      <c r="VUE72" s="2936"/>
      <c r="VUF72" s="2936"/>
      <c r="VUG72" s="2936"/>
      <c r="VUH72" s="2936"/>
      <c r="VUI72" s="2936"/>
      <c r="VUJ72" s="2936"/>
      <c r="VUK72" s="2936"/>
      <c r="VUL72" s="2936"/>
      <c r="VUM72" s="2936"/>
      <c r="VUN72" s="2936"/>
      <c r="VUO72" s="2936"/>
      <c r="VUP72" s="2936"/>
      <c r="VUQ72" s="2936"/>
      <c r="VUR72" s="2936"/>
      <c r="VUS72" s="2936"/>
      <c r="VUT72" s="2936"/>
      <c r="VUU72" s="2936"/>
      <c r="VUV72" s="2936"/>
      <c r="VUW72" s="2936"/>
      <c r="VUX72" s="2936"/>
      <c r="VUY72" s="2936"/>
      <c r="VUZ72" s="2936"/>
      <c r="VVA72" s="2936"/>
      <c r="VVB72" s="2936"/>
      <c r="VVC72" s="2936"/>
      <c r="VVD72" s="2936"/>
      <c r="VVE72" s="2936"/>
      <c r="VVF72" s="2936"/>
      <c r="VVG72" s="2936"/>
      <c r="VVH72" s="2936"/>
      <c r="VVI72" s="2936"/>
      <c r="VVJ72" s="2936"/>
      <c r="VVK72" s="2936"/>
      <c r="VVL72" s="2936"/>
      <c r="VVM72" s="2936"/>
      <c r="VVN72" s="2936"/>
      <c r="VVO72" s="2936"/>
      <c r="VVP72" s="2936"/>
      <c r="VVQ72" s="2936"/>
      <c r="VVR72" s="2936"/>
      <c r="VVS72" s="2936"/>
      <c r="VVT72" s="2936"/>
      <c r="VVU72" s="2936"/>
      <c r="VVV72" s="2936"/>
      <c r="VVW72" s="2936"/>
      <c r="VVX72" s="2936"/>
      <c r="VVY72" s="2936"/>
      <c r="VVZ72" s="2936"/>
      <c r="VWA72" s="2936"/>
      <c r="VWB72" s="2936"/>
      <c r="VWC72" s="2936"/>
      <c r="VWD72" s="2936"/>
      <c r="VWE72" s="2936"/>
      <c r="VWF72" s="2936"/>
      <c r="VWG72" s="2936"/>
      <c r="VWH72" s="2936"/>
      <c r="VWI72" s="2936"/>
      <c r="VWJ72" s="2936"/>
      <c r="VWK72" s="2936"/>
      <c r="VWL72" s="2936"/>
      <c r="VWM72" s="2936"/>
      <c r="VWN72" s="2936"/>
      <c r="VWO72" s="2936"/>
      <c r="VWP72" s="2936"/>
      <c r="VWQ72" s="2936"/>
      <c r="VWR72" s="2936"/>
      <c r="VWS72" s="2936"/>
      <c r="VWT72" s="2936"/>
      <c r="VWU72" s="2936"/>
      <c r="VWV72" s="2936"/>
      <c r="VWW72" s="2936"/>
      <c r="VWX72" s="2936"/>
      <c r="VWY72" s="2936"/>
      <c r="VWZ72" s="2936"/>
      <c r="VXA72" s="2936"/>
      <c r="VXB72" s="2936"/>
      <c r="VXC72" s="2936"/>
      <c r="VXD72" s="2936"/>
      <c r="VXE72" s="2936"/>
      <c r="VXF72" s="2936"/>
      <c r="VXG72" s="2936"/>
      <c r="VXH72" s="2936"/>
      <c r="VXI72" s="2936"/>
      <c r="VXJ72" s="2936"/>
      <c r="VXK72" s="2936"/>
      <c r="VXL72" s="2936"/>
      <c r="VXM72" s="2936"/>
      <c r="VXN72" s="2936"/>
      <c r="VXO72" s="2936"/>
      <c r="VXP72" s="2936"/>
      <c r="VXQ72" s="2936"/>
      <c r="VXR72" s="2936"/>
      <c r="VXS72" s="2936"/>
      <c r="VXT72" s="2936"/>
      <c r="VXU72" s="2936"/>
      <c r="VXV72" s="2936"/>
      <c r="VXW72" s="2936"/>
      <c r="VXX72" s="2936"/>
      <c r="VXY72" s="2936"/>
      <c r="VXZ72" s="2936"/>
      <c r="VYA72" s="2936"/>
      <c r="VYB72" s="2936"/>
      <c r="VYC72" s="2936"/>
      <c r="VYD72" s="2936"/>
      <c r="VYE72" s="2936"/>
      <c r="VYF72" s="2936"/>
      <c r="VYG72" s="2936"/>
      <c r="VYH72" s="2936"/>
      <c r="VYI72" s="2936"/>
      <c r="VYJ72" s="2936"/>
      <c r="VYK72" s="2936"/>
      <c r="VYL72" s="2936"/>
      <c r="VYM72" s="2936"/>
      <c r="VYN72" s="2936"/>
      <c r="VYO72" s="2936"/>
      <c r="VYP72" s="2936"/>
      <c r="VYQ72" s="2936"/>
      <c r="VYR72" s="2936"/>
      <c r="VYS72" s="2936"/>
      <c r="VYT72" s="2936"/>
      <c r="VYU72" s="2936"/>
      <c r="VYV72" s="2936"/>
      <c r="VYW72" s="2936"/>
      <c r="VYX72" s="2936"/>
      <c r="VYY72" s="2936"/>
      <c r="VYZ72" s="2936"/>
      <c r="VZA72" s="2936"/>
      <c r="VZB72" s="2936"/>
      <c r="VZC72" s="2936"/>
      <c r="VZD72" s="2936"/>
      <c r="VZE72" s="2936"/>
      <c r="VZF72" s="2936"/>
      <c r="VZG72" s="2936"/>
      <c r="VZH72" s="2936"/>
      <c r="VZI72" s="2936"/>
      <c r="VZJ72" s="2936"/>
      <c r="VZK72" s="2936"/>
      <c r="VZL72" s="2936"/>
      <c r="VZM72" s="2936"/>
      <c r="VZN72" s="2936"/>
      <c r="VZO72" s="2936"/>
      <c r="VZP72" s="2936"/>
      <c r="VZQ72" s="2936"/>
      <c r="VZR72" s="2936"/>
      <c r="VZS72" s="2936"/>
      <c r="VZT72" s="2936"/>
      <c r="VZU72" s="2936"/>
      <c r="VZV72" s="2936"/>
      <c r="VZW72" s="2936"/>
      <c r="VZX72" s="2936"/>
      <c r="VZY72" s="2936"/>
      <c r="VZZ72" s="2936"/>
      <c r="WAA72" s="2936"/>
      <c r="WAB72" s="2936"/>
      <c r="WAC72" s="2936"/>
      <c r="WAD72" s="2936"/>
      <c r="WAE72" s="2936"/>
      <c r="WAF72" s="2936"/>
      <c r="WAG72" s="2936"/>
      <c r="WAH72" s="2936"/>
      <c r="WAI72" s="2936"/>
      <c r="WAJ72" s="2936"/>
      <c r="WAK72" s="2936"/>
      <c r="WAL72" s="2936"/>
      <c r="WAM72" s="2936"/>
      <c r="WAN72" s="2936"/>
      <c r="WAO72" s="2936"/>
      <c r="WAP72" s="2936"/>
      <c r="WAQ72" s="2936"/>
      <c r="WAR72" s="2936"/>
      <c r="WAS72" s="2936"/>
      <c r="WAT72" s="2936"/>
      <c r="WAU72" s="2936"/>
      <c r="WAV72" s="2936"/>
      <c r="WAW72" s="2936"/>
      <c r="WAX72" s="2936"/>
      <c r="WAY72" s="2936"/>
      <c r="WAZ72" s="2936"/>
      <c r="WBA72" s="2936"/>
      <c r="WBB72" s="2936"/>
      <c r="WBC72" s="2936"/>
      <c r="WBD72" s="2936"/>
      <c r="WBE72" s="2936"/>
      <c r="WBF72" s="2936"/>
      <c r="WBG72" s="2936"/>
      <c r="WBH72" s="2936"/>
      <c r="WBI72" s="2936"/>
      <c r="WBJ72" s="2936"/>
      <c r="WBK72" s="2936"/>
      <c r="WBL72" s="2936"/>
      <c r="WBM72" s="2936"/>
      <c r="WBN72" s="2936"/>
      <c r="WBO72" s="2936"/>
      <c r="WBP72" s="2936"/>
      <c r="WBQ72" s="2936"/>
      <c r="WBR72" s="2936"/>
      <c r="WBS72" s="2936"/>
      <c r="WBT72" s="2936"/>
      <c r="WBU72" s="2936"/>
      <c r="WBV72" s="2936"/>
      <c r="WBW72" s="2936"/>
      <c r="WBX72" s="2936"/>
      <c r="WBY72" s="2936"/>
      <c r="WBZ72" s="2936"/>
      <c r="WCA72" s="2936"/>
      <c r="WCB72" s="2936"/>
      <c r="WCC72" s="2936"/>
      <c r="WCD72" s="2936"/>
      <c r="WCE72" s="2936"/>
      <c r="WCF72" s="2936"/>
      <c r="WCG72" s="2936"/>
      <c r="WCH72" s="2936"/>
      <c r="WCI72" s="2936"/>
      <c r="WCJ72" s="2936"/>
      <c r="WCK72" s="2936"/>
      <c r="WCL72" s="2936"/>
      <c r="WCM72" s="2936"/>
      <c r="WCN72" s="2936"/>
      <c r="WCO72" s="2936"/>
      <c r="WCP72" s="2936"/>
      <c r="WCQ72" s="2936"/>
      <c r="WCR72" s="2936"/>
      <c r="WCS72" s="2936"/>
      <c r="WCT72" s="2936"/>
      <c r="WCU72" s="2936"/>
      <c r="WCV72" s="2936"/>
      <c r="WCW72" s="2936"/>
      <c r="WCX72" s="2936"/>
      <c r="WCY72" s="2936"/>
      <c r="WCZ72" s="2936"/>
      <c r="WDA72" s="2936"/>
      <c r="WDB72" s="2936"/>
      <c r="WDC72" s="2936"/>
      <c r="WDD72" s="2936"/>
      <c r="WDE72" s="2936"/>
      <c r="WDF72" s="2936"/>
      <c r="WDG72" s="2936"/>
      <c r="WDH72" s="2936"/>
      <c r="WDI72" s="2936"/>
      <c r="WDJ72" s="2936"/>
      <c r="WDK72" s="2936"/>
      <c r="WDL72" s="2936"/>
      <c r="WDM72" s="2936"/>
      <c r="WDN72" s="2936"/>
      <c r="WDO72" s="2936"/>
      <c r="WDP72" s="2936"/>
      <c r="WDQ72" s="2936"/>
      <c r="WDR72" s="2936"/>
      <c r="WDS72" s="2936"/>
      <c r="WDT72" s="2936"/>
      <c r="WDU72" s="2936"/>
      <c r="WDV72" s="2936"/>
      <c r="WDW72" s="2936"/>
      <c r="WDX72" s="2936"/>
      <c r="WDY72" s="2936"/>
      <c r="WDZ72" s="2936"/>
      <c r="WEA72" s="2936"/>
      <c r="WEB72" s="2936"/>
      <c r="WEC72" s="2936"/>
      <c r="WED72" s="2936"/>
      <c r="WEE72" s="2936"/>
      <c r="WEF72" s="2936"/>
      <c r="WEG72" s="2936"/>
      <c r="WEH72" s="2936"/>
      <c r="WEI72" s="2936"/>
      <c r="WEJ72" s="2936"/>
      <c r="WEK72" s="2936"/>
      <c r="WEL72" s="2936"/>
      <c r="WEM72" s="2936"/>
      <c r="WEN72" s="2936"/>
      <c r="WEO72" s="2936"/>
      <c r="WEP72" s="2936"/>
      <c r="WEQ72" s="2936"/>
      <c r="WER72" s="2936"/>
      <c r="WES72" s="2936"/>
      <c r="WET72" s="2936"/>
      <c r="WEU72" s="2936"/>
      <c r="WEV72" s="2936"/>
      <c r="WEW72" s="2936"/>
      <c r="WEX72" s="2936"/>
      <c r="WEY72" s="2936"/>
      <c r="WEZ72" s="2936"/>
      <c r="WFA72" s="2936"/>
      <c r="WFB72" s="2936"/>
      <c r="WFC72" s="2936"/>
      <c r="WFD72" s="2936"/>
      <c r="WFE72" s="2936"/>
      <c r="WFF72" s="2936"/>
      <c r="WFG72" s="2936"/>
      <c r="WFH72" s="2936"/>
      <c r="WFI72" s="2936"/>
      <c r="WFJ72" s="2936"/>
      <c r="WFK72" s="2936"/>
      <c r="WFL72" s="2936"/>
      <c r="WFM72" s="2936"/>
      <c r="WFN72" s="2936"/>
      <c r="WFO72" s="2936"/>
      <c r="WFP72" s="2936"/>
      <c r="WFQ72" s="2936"/>
      <c r="WFR72" s="2936"/>
      <c r="WFS72" s="2936"/>
      <c r="WFT72" s="2936"/>
      <c r="WFU72" s="2936"/>
      <c r="WFV72" s="2936"/>
      <c r="WFW72" s="2936"/>
      <c r="WFX72" s="2936"/>
      <c r="WFY72" s="2936"/>
      <c r="WFZ72" s="2936"/>
      <c r="WGA72" s="2936"/>
      <c r="WGB72" s="2936"/>
      <c r="WGC72" s="2936"/>
      <c r="WGD72" s="2936"/>
      <c r="WGE72" s="2936"/>
      <c r="WGF72" s="2936"/>
      <c r="WGG72" s="2936"/>
      <c r="WGH72" s="2936"/>
      <c r="WGI72" s="2936"/>
      <c r="WGJ72" s="2936"/>
      <c r="WGK72" s="2936"/>
      <c r="WGL72" s="2936"/>
      <c r="WGM72" s="2936"/>
      <c r="WGN72" s="2936"/>
      <c r="WGO72" s="2936"/>
      <c r="WGP72" s="2936"/>
      <c r="WGQ72" s="2936"/>
      <c r="WGR72" s="2936"/>
      <c r="WGS72" s="2936"/>
      <c r="WGT72" s="2936"/>
      <c r="WGU72" s="2936"/>
      <c r="WGV72" s="2936"/>
      <c r="WGW72" s="2936"/>
      <c r="WGX72" s="2936"/>
      <c r="WGY72" s="2936"/>
      <c r="WGZ72" s="2936"/>
      <c r="WHA72" s="2936"/>
      <c r="WHB72" s="2936"/>
      <c r="WHC72" s="2936"/>
      <c r="WHD72" s="2936"/>
      <c r="WHE72" s="2936"/>
      <c r="WHF72" s="2936"/>
      <c r="WHG72" s="2936"/>
      <c r="WHH72" s="2936"/>
      <c r="WHI72" s="2936"/>
      <c r="WHJ72" s="2936"/>
      <c r="WHK72" s="2936"/>
      <c r="WHL72" s="2936"/>
      <c r="WHM72" s="2936"/>
      <c r="WHN72" s="2936"/>
      <c r="WHO72" s="2936"/>
      <c r="WHP72" s="2936"/>
      <c r="WHQ72" s="2936"/>
      <c r="WHR72" s="2936"/>
      <c r="WHS72" s="2936"/>
      <c r="WHT72" s="2936"/>
      <c r="WHU72" s="2936"/>
      <c r="WHV72" s="2936"/>
      <c r="WHW72" s="2936"/>
      <c r="WHX72" s="2936"/>
      <c r="WHY72" s="2936"/>
      <c r="WHZ72" s="2936"/>
      <c r="WIA72" s="2936"/>
      <c r="WIB72" s="2936"/>
      <c r="WIC72" s="2936"/>
      <c r="WID72" s="2936"/>
      <c r="WIE72" s="2936"/>
      <c r="WIF72" s="2936"/>
      <c r="WIG72" s="2936"/>
      <c r="WIH72" s="2936"/>
      <c r="WII72" s="2936"/>
      <c r="WIJ72" s="2936"/>
      <c r="WIK72" s="2936"/>
      <c r="WIL72" s="2936"/>
      <c r="WIM72" s="2936"/>
      <c r="WIN72" s="2936"/>
      <c r="WIO72" s="2936"/>
      <c r="WIP72" s="2936"/>
      <c r="WIQ72" s="2936"/>
      <c r="WIR72" s="2936"/>
      <c r="WIS72" s="2936"/>
      <c r="WIT72" s="2936"/>
      <c r="WIU72" s="2936"/>
      <c r="WIV72" s="2936"/>
      <c r="WIW72" s="2936"/>
      <c r="WIX72" s="2936"/>
      <c r="WIY72" s="2936"/>
      <c r="WIZ72" s="2936"/>
      <c r="WJA72" s="2936"/>
      <c r="WJB72" s="2936"/>
      <c r="WJC72" s="2936"/>
      <c r="WJD72" s="2936"/>
      <c r="WJE72" s="2936"/>
      <c r="WJF72" s="2936"/>
      <c r="WJG72" s="2936"/>
      <c r="WJH72" s="2936"/>
      <c r="WJI72" s="2936"/>
      <c r="WJJ72" s="2936"/>
      <c r="WJK72" s="2936"/>
      <c r="WJL72" s="2936"/>
      <c r="WJM72" s="2936"/>
      <c r="WJN72" s="2936"/>
      <c r="WJO72" s="2936"/>
      <c r="WJP72" s="2936"/>
      <c r="WJQ72" s="2936"/>
      <c r="WJR72" s="2936"/>
      <c r="WJS72" s="2936"/>
      <c r="WJT72" s="2936"/>
      <c r="WJU72" s="2936"/>
      <c r="WJV72" s="2936"/>
      <c r="WJW72" s="2936"/>
      <c r="WJX72" s="2936"/>
      <c r="WJY72" s="2936"/>
      <c r="WJZ72" s="2936"/>
      <c r="WKA72" s="2936"/>
      <c r="WKB72" s="2936"/>
      <c r="WKC72" s="2936"/>
      <c r="WKD72" s="2936"/>
      <c r="WKE72" s="2936"/>
      <c r="WKF72" s="2936"/>
      <c r="WKG72" s="2936"/>
      <c r="WKH72" s="2936"/>
      <c r="WKI72" s="2936"/>
      <c r="WKJ72" s="2936"/>
      <c r="WKK72" s="2936"/>
      <c r="WKL72" s="2936"/>
      <c r="WKM72" s="2936"/>
      <c r="WKN72" s="2936"/>
      <c r="WKO72" s="2936"/>
      <c r="WKP72" s="2936"/>
      <c r="WKQ72" s="2936"/>
      <c r="WKR72" s="2936"/>
      <c r="WKS72" s="2936"/>
      <c r="WKT72" s="2936"/>
      <c r="WKU72" s="2936"/>
      <c r="WKV72" s="2936"/>
      <c r="WKW72" s="2936"/>
      <c r="WKX72" s="2936"/>
      <c r="WKY72" s="2936"/>
      <c r="WKZ72" s="2936"/>
      <c r="WLA72" s="2936"/>
      <c r="WLB72" s="2936"/>
      <c r="WLC72" s="2936"/>
      <c r="WLD72" s="2936"/>
      <c r="WLE72" s="2936"/>
      <c r="WLF72" s="2936"/>
      <c r="WLG72" s="2936"/>
      <c r="WLH72" s="2936"/>
      <c r="WLI72" s="2936"/>
      <c r="WLJ72" s="2936"/>
      <c r="WLK72" s="2936"/>
      <c r="WLL72" s="2936"/>
      <c r="WLM72" s="2936"/>
      <c r="WLN72" s="2936"/>
      <c r="WLO72" s="2936"/>
      <c r="WLP72" s="2936"/>
      <c r="WLQ72" s="2936"/>
      <c r="WLR72" s="2936"/>
      <c r="WLS72" s="2936"/>
      <c r="WLT72" s="2936"/>
      <c r="WLU72" s="2936"/>
      <c r="WLV72" s="2936"/>
      <c r="WLW72" s="2936"/>
      <c r="WLX72" s="2936"/>
      <c r="WLY72" s="2936"/>
      <c r="WLZ72" s="2936"/>
      <c r="WMA72" s="2936"/>
      <c r="WMB72" s="2936"/>
      <c r="WMC72" s="2936"/>
      <c r="WMD72" s="2936"/>
      <c r="WME72" s="2936"/>
      <c r="WMF72" s="2936"/>
      <c r="WMG72" s="2936"/>
      <c r="WMH72" s="2936"/>
      <c r="WMI72" s="2936"/>
      <c r="WMJ72" s="2936"/>
      <c r="WMK72" s="2936"/>
      <c r="WML72" s="2936"/>
      <c r="WMM72" s="2936"/>
      <c r="WMN72" s="2936"/>
      <c r="WMO72" s="2936"/>
      <c r="WMP72" s="2936"/>
      <c r="WMQ72" s="2936"/>
      <c r="WMR72" s="2936"/>
      <c r="WMS72" s="2936"/>
      <c r="WMT72" s="2936"/>
      <c r="WMU72" s="2936"/>
      <c r="WMV72" s="2936"/>
      <c r="WMW72" s="2936"/>
      <c r="WMX72" s="2936"/>
      <c r="WMY72" s="2936"/>
      <c r="WMZ72" s="2936"/>
      <c r="WNA72" s="2936"/>
      <c r="WNB72" s="2936"/>
      <c r="WNC72" s="2936"/>
      <c r="WND72" s="2936"/>
      <c r="WNE72" s="2936"/>
      <c r="WNF72" s="2936"/>
      <c r="WNG72" s="2936"/>
      <c r="WNH72" s="2936"/>
      <c r="WNI72" s="2936"/>
      <c r="WNJ72" s="2936"/>
      <c r="WNK72" s="2936"/>
      <c r="WNL72" s="2936"/>
      <c r="WNM72" s="2936"/>
      <c r="WNN72" s="2936"/>
      <c r="WNO72" s="2936"/>
      <c r="WNP72" s="2936"/>
      <c r="WNQ72" s="2936"/>
      <c r="WNR72" s="2936"/>
      <c r="WNS72" s="2936"/>
      <c r="WNT72" s="2936"/>
      <c r="WNU72" s="2936"/>
      <c r="WNV72" s="2936"/>
      <c r="WNW72" s="2936"/>
      <c r="WNX72" s="2936"/>
      <c r="WNY72" s="2936"/>
      <c r="WNZ72" s="2936"/>
      <c r="WOA72" s="2936"/>
      <c r="WOB72" s="2936"/>
      <c r="WOC72" s="2936"/>
      <c r="WOD72" s="2936"/>
      <c r="WOE72" s="2936"/>
      <c r="WOF72" s="2936"/>
      <c r="WOG72" s="2936"/>
      <c r="WOH72" s="2936"/>
      <c r="WOI72" s="2936"/>
      <c r="WOJ72" s="2936"/>
      <c r="WOK72" s="2936"/>
      <c r="WOL72" s="2936"/>
      <c r="WOM72" s="2936"/>
      <c r="WON72" s="2936"/>
      <c r="WOO72" s="2936"/>
      <c r="WOP72" s="2936"/>
      <c r="WOQ72" s="2936"/>
      <c r="WOR72" s="2936"/>
      <c r="WOS72" s="2936"/>
      <c r="WOT72" s="2936"/>
      <c r="WOU72" s="2936"/>
      <c r="WOV72" s="2936"/>
      <c r="WOW72" s="2936"/>
      <c r="WOX72" s="2936"/>
      <c r="WOY72" s="2936"/>
      <c r="WOZ72" s="2936"/>
      <c r="WPA72" s="2936"/>
      <c r="WPB72" s="2936"/>
      <c r="WPC72" s="2936"/>
      <c r="WPD72" s="2936"/>
      <c r="WPE72" s="2936"/>
      <c r="WPF72" s="2936"/>
      <c r="WPG72" s="2936"/>
      <c r="WPH72" s="2936"/>
      <c r="WPI72" s="2936"/>
      <c r="WPJ72" s="2936"/>
      <c r="WPK72" s="2936"/>
      <c r="WPL72" s="2936"/>
      <c r="WPM72" s="2936"/>
      <c r="WPN72" s="2936"/>
      <c r="WPO72" s="2936"/>
      <c r="WPP72" s="2936"/>
      <c r="WPQ72" s="2936"/>
      <c r="WPR72" s="2936"/>
      <c r="WPS72" s="2936"/>
      <c r="WPT72" s="2936"/>
      <c r="WPU72" s="2936"/>
      <c r="WPV72" s="2936"/>
      <c r="WPW72" s="2936"/>
      <c r="WPX72" s="2936"/>
      <c r="WPY72" s="2936"/>
      <c r="WPZ72" s="2936"/>
      <c r="WQA72" s="2936"/>
      <c r="WQB72" s="2936"/>
      <c r="WQC72" s="2936"/>
      <c r="WQD72" s="2936"/>
      <c r="WQE72" s="2936"/>
      <c r="WQF72" s="2936"/>
      <c r="WQG72" s="2936"/>
      <c r="WQH72" s="2936"/>
      <c r="WQI72" s="2936"/>
      <c r="WQJ72" s="2936"/>
      <c r="WQK72" s="2936"/>
      <c r="WQL72" s="2936"/>
      <c r="WQM72" s="2936"/>
      <c r="WQN72" s="2936"/>
      <c r="WQO72" s="2936"/>
      <c r="WQP72" s="2936"/>
      <c r="WQQ72" s="2936"/>
      <c r="WQR72" s="2936"/>
      <c r="WQS72" s="2936"/>
      <c r="WQT72" s="2936"/>
      <c r="WQU72" s="2936"/>
      <c r="WQV72" s="2936"/>
      <c r="WQW72" s="2936"/>
      <c r="WQX72" s="2936"/>
      <c r="WQY72" s="2936"/>
      <c r="WQZ72" s="2936"/>
      <c r="WRA72" s="2936"/>
      <c r="WRB72" s="2936"/>
      <c r="WRC72" s="2936"/>
      <c r="WRD72" s="2936"/>
      <c r="WRE72" s="2936"/>
      <c r="WRF72" s="2936"/>
      <c r="WRG72" s="2936"/>
      <c r="WRH72" s="2936"/>
      <c r="WRI72" s="2936"/>
      <c r="WRJ72" s="2936"/>
      <c r="WRK72" s="2936"/>
      <c r="WRL72" s="2936"/>
      <c r="WRM72" s="2936"/>
      <c r="WRN72" s="2936"/>
      <c r="WRO72" s="2936"/>
      <c r="WRP72" s="2936"/>
      <c r="WRQ72" s="2936"/>
      <c r="WRR72" s="2936"/>
      <c r="WRS72" s="2936"/>
      <c r="WRT72" s="2936"/>
      <c r="WRU72" s="2936"/>
      <c r="WRV72" s="2936"/>
      <c r="WRW72" s="2936"/>
      <c r="WRX72" s="2936"/>
      <c r="WRY72" s="2936"/>
      <c r="WRZ72" s="2936"/>
      <c r="WSA72" s="2936"/>
      <c r="WSB72" s="2936"/>
      <c r="WSC72" s="2936"/>
      <c r="WSD72" s="2936"/>
      <c r="WSE72" s="2936"/>
      <c r="WSF72" s="2936"/>
      <c r="WSG72" s="2936"/>
      <c r="WSH72" s="2936"/>
      <c r="WSI72" s="2936"/>
      <c r="WSJ72" s="2936"/>
      <c r="WSK72" s="2936"/>
      <c r="WSL72" s="2936"/>
      <c r="WSM72" s="2936"/>
      <c r="WSN72" s="2936"/>
      <c r="WSO72" s="2936"/>
      <c r="WSP72" s="2936"/>
      <c r="WSQ72" s="2936"/>
      <c r="WSR72" s="2936"/>
      <c r="WSS72" s="2936"/>
      <c r="WST72" s="2936"/>
      <c r="WSU72" s="2936"/>
      <c r="WSV72" s="2936"/>
      <c r="WSW72" s="2936"/>
      <c r="WSX72" s="2936"/>
      <c r="WSY72" s="2936"/>
      <c r="WSZ72" s="2936"/>
      <c r="WTA72" s="2936"/>
      <c r="WTB72" s="2936"/>
      <c r="WTC72" s="2936"/>
      <c r="WTD72" s="2936"/>
      <c r="WTE72" s="2936"/>
      <c r="WTF72" s="2936"/>
      <c r="WTG72" s="2936"/>
      <c r="WTH72" s="2936"/>
      <c r="WTI72" s="2936"/>
      <c r="WTJ72" s="2936"/>
      <c r="WTK72" s="2936"/>
      <c r="WTL72" s="2936"/>
      <c r="WTM72" s="2936"/>
      <c r="WTN72" s="2936"/>
      <c r="WTO72" s="2936"/>
      <c r="WTP72" s="2936"/>
      <c r="WTQ72" s="2936"/>
      <c r="WTR72" s="2936"/>
      <c r="WTS72" s="2936"/>
      <c r="WTT72" s="2936"/>
      <c r="WTU72" s="2936"/>
      <c r="WTV72" s="2936"/>
      <c r="WTW72" s="2936"/>
      <c r="WTX72" s="2936"/>
      <c r="WTY72" s="2936"/>
      <c r="WTZ72" s="2936"/>
      <c r="WUA72" s="2936"/>
      <c r="WUB72" s="2936"/>
      <c r="WUC72" s="2936"/>
      <c r="WUD72" s="2936"/>
      <c r="WUE72" s="2936"/>
      <c r="WUF72" s="2936"/>
      <c r="WUG72" s="2936"/>
      <c r="WUH72" s="2936"/>
      <c r="WUI72" s="2936"/>
      <c r="WUJ72" s="2936"/>
      <c r="WUK72" s="2936"/>
      <c r="WUL72" s="2936"/>
      <c r="WUM72" s="2936"/>
      <c r="WUN72" s="2936"/>
      <c r="WUO72" s="2936"/>
      <c r="WUP72" s="2936"/>
      <c r="WUQ72" s="2936"/>
      <c r="WUR72" s="2936"/>
      <c r="WUS72" s="2936"/>
      <c r="WUT72" s="2936"/>
      <c r="WUU72" s="2936"/>
      <c r="WUV72" s="2936"/>
      <c r="WUW72" s="2936"/>
      <c r="WUX72" s="2936"/>
      <c r="WUY72" s="2936"/>
      <c r="WUZ72" s="2936"/>
      <c r="WVA72" s="2936"/>
      <c r="WVB72" s="2936"/>
      <c r="WVC72" s="2936"/>
      <c r="WVD72" s="2936"/>
      <c r="WVE72" s="2936"/>
      <c r="WVF72" s="2936"/>
      <c r="WVG72" s="2936"/>
      <c r="WVH72" s="2936"/>
      <c r="WVI72" s="2936"/>
      <c r="WVJ72" s="2936"/>
      <c r="WVK72" s="2936"/>
      <c r="WVL72" s="2936"/>
      <c r="WVM72" s="2936"/>
      <c r="WVN72" s="2936"/>
      <c r="WVO72" s="2936"/>
      <c r="WVP72" s="2936"/>
      <c r="WVQ72" s="2936"/>
      <c r="WVR72" s="2936"/>
      <c r="WVS72" s="2936"/>
      <c r="WVT72" s="2936"/>
      <c r="WVU72" s="2936"/>
      <c r="WVV72" s="2936"/>
      <c r="WVW72" s="2936"/>
      <c r="WVX72" s="2936"/>
      <c r="WVY72" s="2936"/>
      <c r="WVZ72" s="2936"/>
      <c r="WWA72" s="2936"/>
      <c r="WWB72" s="2936"/>
      <c r="WWC72" s="2936"/>
      <c r="WWD72" s="2936"/>
      <c r="WWE72" s="2936"/>
      <c r="WWF72" s="2936"/>
      <c r="WWG72" s="2936"/>
      <c r="WWH72" s="2936"/>
      <c r="WWI72" s="2936"/>
      <c r="WWJ72" s="2936"/>
      <c r="WWK72" s="2936"/>
      <c r="WWL72" s="2936"/>
      <c r="WWM72" s="2936"/>
      <c r="WWN72" s="2936"/>
      <c r="WWO72" s="2936"/>
      <c r="WWP72" s="2936"/>
      <c r="WWQ72" s="2936"/>
      <c r="WWR72" s="2936"/>
      <c r="WWS72" s="2936"/>
      <c r="WWT72" s="2936"/>
      <c r="WWU72" s="2936"/>
      <c r="WWV72" s="2936"/>
      <c r="WWW72" s="2936"/>
      <c r="WWX72" s="2936"/>
      <c r="WWY72" s="2936"/>
      <c r="WWZ72" s="2936"/>
      <c r="WXA72" s="2936"/>
      <c r="WXB72" s="2936"/>
      <c r="WXC72" s="2936"/>
      <c r="WXD72" s="2936"/>
      <c r="WXE72" s="2936"/>
      <c r="WXF72" s="2936"/>
      <c r="WXG72" s="2936"/>
      <c r="WXH72" s="2936"/>
      <c r="WXI72" s="2936"/>
      <c r="WXJ72" s="2936"/>
      <c r="WXK72" s="2936"/>
      <c r="WXL72" s="2936"/>
      <c r="WXM72" s="2936"/>
      <c r="WXN72" s="2936"/>
      <c r="WXO72" s="2936"/>
      <c r="WXP72" s="2936"/>
      <c r="WXQ72" s="2936"/>
      <c r="WXR72" s="2936"/>
      <c r="WXS72" s="2936"/>
      <c r="WXT72" s="2936"/>
      <c r="WXU72" s="2936"/>
      <c r="WXV72" s="2936"/>
      <c r="WXW72" s="2936"/>
      <c r="WXX72" s="2936"/>
      <c r="WXY72" s="2936"/>
      <c r="WXZ72" s="2936"/>
      <c r="WYA72" s="2936"/>
      <c r="WYB72" s="2936"/>
      <c r="WYC72" s="2936"/>
      <c r="WYD72" s="2936"/>
      <c r="WYE72" s="2936"/>
      <c r="WYF72" s="2936"/>
      <c r="WYG72" s="2936"/>
      <c r="WYH72" s="2936"/>
      <c r="WYI72" s="2936"/>
      <c r="WYJ72" s="2936"/>
      <c r="WYK72" s="2936"/>
      <c r="WYL72" s="2936"/>
      <c r="WYM72" s="2936"/>
      <c r="WYN72" s="2936"/>
      <c r="WYO72" s="2936"/>
      <c r="WYP72" s="2936"/>
      <c r="WYQ72" s="2936"/>
      <c r="WYR72" s="2936"/>
      <c r="WYS72" s="2936"/>
      <c r="WYT72" s="2936"/>
      <c r="WYU72" s="2936"/>
      <c r="WYV72" s="2936"/>
      <c r="WYW72" s="2936"/>
      <c r="WYX72" s="2936"/>
      <c r="WYY72" s="2936"/>
      <c r="WYZ72" s="2936"/>
      <c r="WZA72" s="2936"/>
      <c r="WZB72" s="2936"/>
      <c r="WZC72" s="2936"/>
      <c r="WZD72" s="2936"/>
      <c r="WZE72" s="2936"/>
      <c r="WZF72" s="2936"/>
      <c r="WZG72" s="2936"/>
      <c r="WZH72" s="2936"/>
      <c r="WZI72" s="2936"/>
      <c r="WZJ72" s="2936"/>
      <c r="WZK72" s="2936"/>
      <c r="WZL72" s="2936"/>
      <c r="WZM72" s="2936"/>
      <c r="WZN72" s="2936"/>
      <c r="WZO72" s="2936"/>
      <c r="WZP72" s="2936"/>
      <c r="WZQ72" s="2936"/>
      <c r="WZR72" s="2936"/>
      <c r="WZS72" s="2936"/>
      <c r="WZT72" s="2936"/>
      <c r="WZU72" s="2936"/>
      <c r="WZV72" s="2936"/>
      <c r="WZW72" s="2936"/>
      <c r="WZX72" s="2936"/>
      <c r="WZY72" s="2936"/>
      <c r="WZZ72" s="2936"/>
      <c r="XAA72" s="2936"/>
      <c r="XAB72" s="2936"/>
      <c r="XAC72" s="2936"/>
      <c r="XAD72" s="2936"/>
      <c r="XAE72" s="2936"/>
      <c r="XAF72" s="2936"/>
      <c r="XAG72" s="2936"/>
      <c r="XAH72" s="2936"/>
      <c r="XAI72" s="2936"/>
      <c r="XAJ72" s="2936"/>
      <c r="XAK72" s="2936"/>
      <c r="XAL72" s="2936"/>
      <c r="XAM72" s="2936"/>
      <c r="XAN72" s="2936"/>
      <c r="XAO72" s="2936"/>
      <c r="XAP72" s="2936"/>
      <c r="XAQ72" s="2936"/>
      <c r="XAR72" s="2936"/>
      <c r="XAS72" s="2936"/>
      <c r="XAT72" s="2936"/>
      <c r="XAU72" s="2936"/>
      <c r="XAV72" s="2936"/>
      <c r="XAW72" s="2936"/>
      <c r="XAX72" s="2936"/>
      <c r="XAY72" s="2936"/>
      <c r="XAZ72" s="2936"/>
      <c r="XBA72" s="2936"/>
      <c r="XBB72" s="2936"/>
      <c r="XBC72" s="2936"/>
      <c r="XBD72" s="2936"/>
      <c r="XBE72" s="2936"/>
      <c r="XBF72" s="2936"/>
      <c r="XBG72" s="2936"/>
      <c r="XBH72" s="2936"/>
      <c r="XBI72" s="2936"/>
      <c r="XBJ72" s="2936"/>
      <c r="XBK72" s="2936"/>
      <c r="XBL72" s="2936"/>
      <c r="XBM72" s="2936"/>
      <c r="XBN72" s="2936"/>
      <c r="XBO72" s="2936"/>
      <c r="XBP72" s="2936"/>
      <c r="XBQ72" s="2936"/>
      <c r="XBR72" s="2936"/>
      <c r="XBS72" s="2936"/>
      <c r="XBT72" s="2936"/>
      <c r="XBU72" s="2936"/>
      <c r="XBV72" s="2936"/>
      <c r="XBW72" s="2936"/>
      <c r="XBX72" s="2936"/>
      <c r="XBY72" s="2936"/>
      <c r="XBZ72" s="2936"/>
      <c r="XCA72" s="2936"/>
      <c r="XCB72" s="2936"/>
      <c r="XCC72" s="2936"/>
      <c r="XCD72" s="2936"/>
      <c r="XCE72" s="2936"/>
      <c r="XCF72" s="2936"/>
      <c r="XCG72" s="2936"/>
      <c r="XCH72" s="2936"/>
      <c r="XCI72" s="2936"/>
      <c r="XCJ72" s="2936"/>
      <c r="XCK72" s="2936"/>
      <c r="XCL72" s="2936"/>
      <c r="XCM72" s="2936"/>
      <c r="XCN72" s="2936"/>
      <c r="XCO72" s="2936"/>
      <c r="XCP72" s="2936"/>
      <c r="XCQ72" s="2936"/>
      <c r="XCR72" s="2936"/>
      <c r="XCS72" s="2936"/>
      <c r="XCT72" s="2936"/>
      <c r="XCU72" s="2936"/>
      <c r="XCV72" s="2936"/>
      <c r="XCW72" s="2936"/>
      <c r="XCX72" s="2936"/>
      <c r="XCY72" s="2936"/>
      <c r="XCZ72" s="2936"/>
      <c r="XDA72" s="2936"/>
      <c r="XDB72" s="2936"/>
      <c r="XDC72" s="2936"/>
      <c r="XDD72" s="2936"/>
      <c r="XDE72" s="2936"/>
      <c r="XDF72" s="2936"/>
      <c r="XDG72" s="2936"/>
      <c r="XDH72" s="2936"/>
      <c r="XDI72" s="2936"/>
      <c r="XDJ72" s="2936"/>
      <c r="XDK72" s="2936"/>
      <c r="XDL72" s="2936"/>
      <c r="XDM72" s="2936"/>
      <c r="XDN72" s="2936"/>
      <c r="XDO72" s="2936"/>
      <c r="XDP72" s="2936"/>
      <c r="XDQ72" s="2936"/>
      <c r="XDR72" s="2936"/>
      <c r="XDS72" s="2936"/>
      <c r="XDT72" s="2936"/>
      <c r="XDU72" s="2936"/>
      <c r="XDV72" s="2936"/>
      <c r="XDW72" s="2936"/>
      <c r="XDX72" s="2936"/>
      <c r="XDY72" s="2936"/>
      <c r="XDZ72" s="2936"/>
      <c r="XEA72" s="2936"/>
      <c r="XEB72" s="2936"/>
      <c r="XEC72" s="2936"/>
      <c r="XED72" s="2936"/>
      <c r="XEE72" s="2936"/>
      <c r="XEF72" s="2936"/>
      <c r="XEG72" s="2936"/>
      <c r="XEH72" s="2936"/>
      <c r="XEI72" s="2936"/>
      <c r="XEJ72" s="2936"/>
      <c r="XEK72" s="2936"/>
      <c r="XEL72" s="2936"/>
      <c r="XEM72" s="2936"/>
      <c r="XEN72" s="2936"/>
      <c r="XEO72" s="2936"/>
      <c r="XEP72" s="2936"/>
      <c r="XEQ72" s="2936"/>
      <c r="XER72" s="2936"/>
      <c r="XES72" s="2936"/>
      <c r="XET72" s="2936"/>
      <c r="XEU72" s="2936"/>
      <c r="XEV72" s="2936"/>
      <c r="XEW72" s="2936"/>
      <c r="XEX72" s="2936"/>
      <c r="XEY72" s="2936"/>
      <c r="XEZ72" s="2936"/>
      <c r="XFA72" s="2936"/>
      <c r="XFB72" s="2936"/>
      <c r="XFC72" s="2936"/>
    </row>
    <row r="73" spans="1:16383" x14ac:dyDescent="0.25">
      <c r="A73" s="5" t="s">
        <v>1295</v>
      </c>
      <c r="B73" s="2936"/>
      <c r="C73" s="2936"/>
      <c r="D73" s="2936"/>
      <c r="F73" s="2936"/>
      <c r="G73" s="2936"/>
      <c r="H73" s="2936"/>
      <c r="I73" s="2936"/>
      <c r="J73" s="2936"/>
      <c r="K73" s="2936"/>
      <c r="L73" s="2936"/>
      <c r="M73" s="2936"/>
      <c r="N73" s="2936"/>
      <c r="O73" s="2936"/>
      <c r="P73" s="2936"/>
      <c r="Q73" s="2936"/>
      <c r="R73" s="2936"/>
      <c r="S73" s="2936"/>
      <c r="T73" s="2936"/>
      <c r="U73" s="2936"/>
      <c r="V73" s="2936"/>
      <c r="W73" s="2936"/>
      <c r="X73" s="2936"/>
      <c r="Y73" s="2936"/>
      <c r="Z73" s="2936"/>
      <c r="AA73" s="2936"/>
      <c r="AB73" s="2936"/>
      <c r="AC73" s="2936"/>
      <c r="AD73" s="2936"/>
      <c r="AE73" s="2936"/>
      <c r="AF73" s="2936"/>
      <c r="AG73" s="2936"/>
      <c r="AH73" s="2936"/>
      <c r="AI73" s="2936"/>
      <c r="AJ73" s="2936"/>
      <c r="AK73" s="2936"/>
      <c r="AL73" s="2936"/>
      <c r="AM73" s="2936"/>
      <c r="AN73" s="2936"/>
      <c r="AO73" s="2936"/>
      <c r="AP73" s="2936"/>
      <c r="AQ73" s="2936"/>
      <c r="AR73" s="2936"/>
      <c r="AS73" s="2936"/>
      <c r="AT73" s="2936"/>
      <c r="AU73" s="2936"/>
      <c r="AV73" s="2936"/>
      <c r="AW73" s="2936"/>
      <c r="AX73" s="2936"/>
      <c r="AY73" s="2936"/>
      <c r="AZ73" s="2936"/>
      <c r="BA73" s="2936"/>
      <c r="BB73" s="2936"/>
      <c r="BC73" s="2936"/>
      <c r="BD73" s="2936"/>
      <c r="BE73" s="2936"/>
      <c r="BF73" s="2936"/>
      <c r="BG73" s="2936"/>
      <c r="BH73" s="2936"/>
      <c r="BI73" s="2936"/>
      <c r="BJ73" s="2936"/>
      <c r="BK73" s="2936"/>
      <c r="BL73" s="2936"/>
      <c r="BM73" s="2936"/>
      <c r="BN73" s="2936"/>
      <c r="BO73" s="2936"/>
      <c r="BP73" s="2936"/>
      <c r="BQ73" s="2936"/>
      <c r="BR73" s="2936"/>
      <c r="BS73" s="2936"/>
      <c r="BT73" s="2936"/>
      <c r="BU73" s="2936"/>
      <c r="BV73" s="2936"/>
      <c r="BW73" s="2936"/>
      <c r="BX73" s="2936"/>
      <c r="BY73" s="2936"/>
      <c r="BZ73" s="2936"/>
      <c r="CA73" s="2936"/>
      <c r="CB73" s="2936"/>
      <c r="CC73" s="2936"/>
      <c r="CD73" s="2936"/>
      <c r="CE73" s="2936"/>
      <c r="CF73" s="2936"/>
      <c r="CG73" s="2936"/>
      <c r="CH73" s="2936"/>
      <c r="CI73" s="2936"/>
      <c r="CJ73" s="2936"/>
      <c r="CK73" s="2936"/>
      <c r="CL73" s="2936"/>
      <c r="CM73" s="2936"/>
      <c r="CN73" s="2936"/>
      <c r="CO73" s="2936"/>
      <c r="CP73" s="2936"/>
      <c r="CQ73" s="2936"/>
      <c r="CR73" s="2936"/>
      <c r="CS73" s="2936"/>
      <c r="CT73" s="2936"/>
      <c r="CU73" s="2936"/>
      <c r="CV73" s="2936"/>
      <c r="CW73" s="2936"/>
      <c r="CX73" s="2936"/>
      <c r="CY73" s="2936"/>
      <c r="CZ73" s="2936"/>
      <c r="DA73" s="2936"/>
      <c r="DB73" s="2936"/>
      <c r="DC73" s="2936"/>
      <c r="DD73" s="2936"/>
      <c r="DE73" s="2936"/>
      <c r="DF73" s="2936"/>
      <c r="DG73" s="2936"/>
      <c r="DH73" s="2936"/>
      <c r="DI73" s="2936"/>
      <c r="DJ73" s="2936"/>
      <c r="DK73" s="2936"/>
      <c r="DL73" s="2936"/>
      <c r="DM73" s="2936"/>
      <c r="DN73" s="2936"/>
      <c r="DO73" s="2936"/>
      <c r="DP73" s="2936"/>
      <c r="DQ73" s="2936"/>
      <c r="DR73" s="2936"/>
      <c r="DS73" s="2936"/>
      <c r="DT73" s="2936"/>
      <c r="DU73" s="2936"/>
      <c r="DV73" s="2936"/>
      <c r="DW73" s="2936"/>
      <c r="DX73" s="2936"/>
      <c r="DY73" s="2936"/>
      <c r="DZ73" s="2936"/>
      <c r="EA73" s="2936"/>
      <c r="EB73" s="2936"/>
      <c r="EC73" s="2936"/>
      <c r="ED73" s="2936"/>
      <c r="EE73" s="2936"/>
      <c r="EF73" s="2936"/>
      <c r="EG73" s="2936"/>
      <c r="EH73" s="2936"/>
      <c r="EI73" s="2936"/>
      <c r="EJ73" s="2936"/>
      <c r="EK73" s="2936"/>
      <c r="EL73" s="2936"/>
      <c r="EM73" s="2936"/>
      <c r="EN73" s="2936"/>
      <c r="EO73" s="2936"/>
      <c r="EP73" s="2936"/>
      <c r="EQ73" s="2936"/>
      <c r="ER73" s="2936"/>
      <c r="ES73" s="2936"/>
      <c r="ET73" s="2936"/>
      <c r="EU73" s="2936"/>
      <c r="EV73" s="2936"/>
      <c r="EW73" s="2936"/>
      <c r="EX73" s="2936"/>
      <c r="EY73" s="2936"/>
      <c r="EZ73" s="2936"/>
      <c r="FA73" s="2936"/>
      <c r="FB73" s="2936"/>
      <c r="FC73" s="2936"/>
      <c r="FD73" s="2936"/>
      <c r="FE73" s="2936"/>
      <c r="FF73" s="2936"/>
      <c r="FG73" s="2936"/>
      <c r="FH73" s="2936"/>
      <c r="FI73" s="2936"/>
      <c r="FJ73" s="2936"/>
      <c r="FK73" s="2936"/>
      <c r="FL73" s="2936"/>
      <c r="FM73" s="2936"/>
      <c r="FN73" s="2936"/>
      <c r="FO73" s="2936"/>
      <c r="FP73" s="2936"/>
      <c r="FQ73" s="2936"/>
      <c r="FR73" s="2936"/>
      <c r="FS73" s="2936"/>
      <c r="FT73" s="2936"/>
      <c r="FU73" s="2936"/>
      <c r="FV73" s="2936"/>
      <c r="FW73" s="2936"/>
      <c r="FX73" s="2936"/>
      <c r="FY73" s="2936"/>
      <c r="FZ73" s="2936"/>
      <c r="GA73" s="2936"/>
      <c r="GB73" s="2936"/>
      <c r="GC73" s="2936"/>
      <c r="GD73" s="2936"/>
      <c r="GE73" s="2936"/>
      <c r="GF73" s="2936"/>
      <c r="GG73" s="2936"/>
      <c r="GH73" s="2936"/>
      <c r="GI73" s="2936"/>
      <c r="GJ73" s="2936"/>
      <c r="GK73" s="2936"/>
      <c r="GL73" s="2936"/>
      <c r="GM73" s="2936"/>
      <c r="GN73" s="2936"/>
      <c r="GO73" s="2936"/>
      <c r="GP73" s="2936"/>
      <c r="GQ73" s="2936"/>
      <c r="GR73" s="2936"/>
      <c r="GS73" s="2936"/>
      <c r="GT73" s="2936"/>
      <c r="GU73" s="2936"/>
      <c r="GV73" s="2936"/>
      <c r="GW73" s="2936"/>
      <c r="GX73" s="2936"/>
      <c r="GY73" s="2936"/>
      <c r="GZ73" s="2936"/>
      <c r="HA73" s="2936"/>
      <c r="HB73" s="2936"/>
      <c r="HC73" s="2936"/>
      <c r="HD73" s="2936"/>
      <c r="HE73" s="2936"/>
      <c r="HF73" s="2936"/>
      <c r="HG73" s="2936"/>
      <c r="HH73" s="2936"/>
      <c r="HI73" s="2936"/>
      <c r="HJ73" s="2936"/>
      <c r="HK73" s="2936"/>
      <c r="HL73" s="2936"/>
      <c r="HM73" s="2936"/>
      <c r="HN73" s="2936"/>
      <c r="HO73" s="2936"/>
      <c r="HP73" s="2936"/>
      <c r="HQ73" s="2936"/>
      <c r="HR73" s="2936"/>
      <c r="HS73" s="2936"/>
      <c r="HT73" s="2936"/>
      <c r="HU73" s="2936"/>
      <c r="HV73" s="2936"/>
      <c r="HW73" s="2936"/>
      <c r="HX73" s="2936"/>
      <c r="HY73" s="2936"/>
      <c r="HZ73" s="2936"/>
      <c r="IA73" s="2936"/>
      <c r="IB73" s="2936"/>
      <c r="IC73" s="2936"/>
      <c r="ID73" s="2936"/>
      <c r="IE73" s="2936"/>
      <c r="IF73" s="2936"/>
      <c r="IG73" s="2936"/>
      <c r="IH73" s="2936"/>
      <c r="II73" s="2936"/>
      <c r="IJ73" s="2936"/>
      <c r="IK73" s="2936"/>
      <c r="IL73" s="2936"/>
      <c r="IM73" s="2936"/>
      <c r="IN73" s="2936"/>
      <c r="IO73" s="2936"/>
      <c r="IP73" s="2936"/>
      <c r="IQ73" s="2936"/>
      <c r="IR73" s="2936"/>
      <c r="IS73" s="2936"/>
      <c r="IT73" s="2936"/>
      <c r="IU73" s="2936"/>
      <c r="IV73" s="2936"/>
      <c r="IW73" s="2936"/>
      <c r="IX73" s="2936"/>
      <c r="IY73" s="2936"/>
      <c r="IZ73" s="2936"/>
      <c r="JA73" s="2936"/>
      <c r="JB73" s="2936"/>
      <c r="JC73" s="2936"/>
      <c r="JD73" s="2936"/>
      <c r="JE73" s="2936"/>
      <c r="JF73" s="2936"/>
      <c r="JG73" s="2936"/>
      <c r="JH73" s="2936"/>
      <c r="JI73" s="2936"/>
      <c r="JJ73" s="2936"/>
      <c r="JK73" s="2936"/>
      <c r="JL73" s="2936"/>
      <c r="JM73" s="2936"/>
      <c r="JN73" s="2936"/>
      <c r="JO73" s="2936"/>
      <c r="JP73" s="2936"/>
      <c r="JQ73" s="2936"/>
      <c r="JR73" s="2936"/>
      <c r="JS73" s="2936"/>
      <c r="JT73" s="2936"/>
      <c r="JU73" s="2936"/>
      <c r="JV73" s="2936"/>
      <c r="JW73" s="2936"/>
      <c r="JX73" s="2936"/>
      <c r="JY73" s="2936"/>
      <c r="JZ73" s="2936"/>
      <c r="KA73" s="2936"/>
      <c r="KB73" s="2936"/>
      <c r="KC73" s="2936"/>
      <c r="KD73" s="2936"/>
      <c r="KE73" s="2936"/>
      <c r="KF73" s="2936"/>
      <c r="KG73" s="2936"/>
      <c r="KH73" s="2936"/>
      <c r="KI73" s="2936"/>
      <c r="KJ73" s="2936"/>
      <c r="KK73" s="2936"/>
      <c r="KL73" s="2936"/>
      <c r="KM73" s="2936"/>
      <c r="KN73" s="2936"/>
      <c r="KO73" s="2936"/>
      <c r="KP73" s="2936"/>
      <c r="KQ73" s="2936"/>
      <c r="KR73" s="2936"/>
      <c r="KS73" s="2936"/>
      <c r="KT73" s="2936"/>
      <c r="KU73" s="2936"/>
      <c r="KV73" s="2936"/>
      <c r="KW73" s="2936"/>
      <c r="KX73" s="2936"/>
      <c r="KY73" s="2936"/>
      <c r="KZ73" s="2936"/>
      <c r="LA73" s="2936"/>
      <c r="LB73" s="2936"/>
      <c r="LC73" s="2936"/>
      <c r="LD73" s="2936"/>
      <c r="LE73" s="2936"/>
      <c r="LF73" s="2936"/>
      <c r="LG73" s="2936"/>
      <c r="LH73" s="2936"/>
      <c r="LI73" s="2936"/>
      <c r="LJ73" s="2936"/>
      <c r="LK73" s="2936"/>
      <c r="LL73" s="2936"/>
      <c r="LM73" s="2936"/>
      <c r="LN73" s="2936"/>
      <c r="LO73" s="2936"/>
      <c r="LP73" s="2936"/>
      <c r="LQ73" s="2936"/>
      <c r="LR73" s="2936"/>
      <c r="LS73" s="2936"/>
      <c r="LT73" s="2936"/>
      <c r="LU73" s="2936"/>
      <c r="LV73" s="2936"/>
      <c r="LW73" s="2936"/>
      <c r="LX73" s="2936"/>
      <c r="LY73" s="2936"/>
      <c r="LZ73" s="2936"/>
      <c r="MA73" s="2936"/>
      <c r="MB73" s="2936"/>
      <c r="MC73" s="2936"/>
      <c r="MD73" s="2936"/>
      <c r="ME73" s="2936"/>
      <c r="MF73" s="2936"/>
      <c r="MG73" s="2936"/>
      <c r="MH73" s="2936"/>
      <c r="MI73" s="2936"/>
      <c r="MJ73" s="2936"/>
      <c r="MK73" s="2936"/>
      <c r="ML73" s="2936"/>
      <c r="MM73" s="2936"/>
      <c r="MN73" s="2936"/>
      <c r="MO73" s="2936"/>
      <c r="MP73" s="2936"/>
      <c r="MQ73" s="2936"/>
      <c r="MR73" s="2936"/>
      <c r="MS73" s="2936"/>
      <c r="MT73" s="2936"/>
      <c r="MU73" s="2936"/>
      <c r="MV73" s="2936"/>
      <c r="MW73" s="2936"/>
      <c r="MX73" s="2936"/>
      <c r="MY73" s="2936"/>
      <c r="MZ73" s="2936"/>
      <c r="NA73" s="2936"/>
      <c r="NB73" s="2936"/>
      <c r="NC73" s="2936"/>
      <c r="ND73" s="2936"/>
      <c r="NE73" s="2936"/>
      <c r="NF73" s="2936"/>
      <c r="NG73" s="2936"/>
      <c r="NH73" s="2936"/>
      <c r="NI73" s="2936"/>
      <c r="NJ73" s="2936"/>
      <c r="NK73" s="2936"/>
      <c r="NL73" s="2936"/>
      <c r="NM73" s="2936"/>
      <c r="NN73" s="2936"/>
      <c r="NO73" s="2936"/>
      <c r="NP73" s="2936"/>
      <c r="NQ73" s="2936"/>
      <c r="NR73" s="2936"/>
      <c r="NS73" s="2936"/>
      <c r="NT73" s="2936"/>
      <c r="NU73" s="2936"/>
      <c r="NV73" s="2936"/>
      <c r="NW73" s="2936"/>
      <c r="NX73" s="2936"/>
      <c r="NY73" s="2936"/>
      <c r="NZ73" s="2936"/>
      <c r="OA73" s="2936"/>
      <c r="OB73" s="2936"/>
      <c r="OC73" s="2936"/>
      <c r="OD73" s="2936"/>
      <c r="OE73" s="2936"/>
      <c r="OF73" s="2936"/>
      <c r="OG73" s="2936"/>
      <c r="OH73" s="2936"/>
      <c r="OI73" s="2936"/>
      <c r="OJ73" s="2936"/>
      <c r="OK73" s="2936"/>
      <c r="OL73" s="2936"/>
      <c r="OM73" s="2936"/>
      <c r="ON73" s="2936"/>
      <c r="OO73" s="2936"/>
      <c r="OP73" s="2936"/>
      <c r="OQ73" s="2936"/>
      <c r="OR73" s="2936"/>
      <c r="OS73" s="2936"/>
      <c r="OT73" s="2936"/>
      <c r="OU73" s="2936"/>
      <c r="OV73" s="2936"/>
      <c r="OW73" s="2936"/>
      <c r="OX73" s="2936"/>
      <c r="OY73" s="2936"/>
      <c r="OZ73" s="2936"/>
      <c r="PA73" s="2936"/>
      <c r="PB73" s="2936"/>
      <c r="PC73" s="2936"/>
      <c r="PD73" s="2936"/>
      <c r="PE73" s="2936"/>
      <c r="PF73" s="2936"/>
      <c r="PG73" s="2936"/>
      <c r="PH73" s="2936"/>
      <c r="PI73" s="2936"/>
      <c r="PJ73" s="2936"/>
      <c r="PK73" s="2936"/>
      <c r="PL73" s="2936"/>
      <c r="PM73" s="2936"/>
      <c r="PN73" s="2936"/>
      <c r="PO73" s="2936"/>
      <c r="PP73" s="2936"/>
      <c r="PQ73" s="2936"/>
      <c r="PR73" s="2936"/>
      <c r="PS73" s="2936"/>
      <c r="PT73" s="2936"/>
      <c r="PU73" s="2936"/>
      <c r="PV73" s="2936"/>
      <c r="PW73" s="2936"/>
      <c r="PX73" s="2936"/>
      <c r="PY73" s="2936"/>
      <c r="PZ73" s="2936"/>
      <c r="QA73" s="2936"/>
      <c r="QB73" s="2936"/>
      <c r="QC73" s="2936"/>
      <c r="QD73" s="2936"/>
      <c r="QE73" s="2936"/>
      <c r="QF73" s="2936"/>
      <c r="QG73" s="2936"/>
      <c r="QH73" s="2936"/>
      <c r="QI73" s="2936"/>
      <c r="QJ73" s="2936"/>
      <c r="QK73" s="2936"/>
      <c r="QL73" s="2936"/>
      <c r="QM73" s="2936"/>
      <c r="QN73" s="2936"/>
      <c r="QO73" s="2936"/>
      <c r="QP73" s="2936"/>
      <c r="QQ73" s="2936"/>
      <c r="QR73" s="2936"/>
      <c r="QS73" s="2936"/>
      <c r="QT73" s="2936"/>
      <c r="QU73" s="2936"/>
      <c r="QV73" s="2936"/>
      <c r="QW73" s="2936"/>
      <c r="QX73" s="2936"/>
      <c r="QY73" s="2936"/>
      <c r="QZ73" s="2936"/>
      <c r="RA73" s="2936"/>
      <c r="RB73" s="2936"/>
      <c r="RC73" s="2936"/>
      <c r="RD73" s="2936"/>
      <c r="RE73" s="2936"/>
      <c r="RF73" s="2936"/>
      <c r="RG73" s="2936"/>
      <c r="RH73" s="2936"/>
      <c r="RI73" s="2936"/>
      <c r="RJ73" s="2936"/>
      <c r="RK73" s="2936"/>
      <c r="RL73" s="2936"/>
      <c r="RM73" s="2936"/>
      <c r="RN73" s="2936"/>
      <c r="RO73" s="2936"/>
      <c r="RP73" s="2936"/>
      <c r="RQ73" s="2936"/>
      <c r="RR73" s="2936"/>
      <c r="RS73" s="2936"/>
      <c r="RT73" s="2936"/>
      <c r="RU73" s="2936"/>
      <c r="RV73" s="2936"/>
      <c r="RW73" s="2936"/>
      <c r="RX73" s="2936"/>
      <c r="RY73" s="2936"/>
      <c r="RZ73" s="2936"/>
      <c r="SA73" s="2936"/>
      <c r="SB73" s="2936"/>
      <c r="SC73" s="2936"/>
      <c r="SD73" s="2936"/>
      <c r="SE73" s="2936"/>
      <c r="SF73" s="2936"/>
      <c r="SG73" s="2936"/>
      <c r="SH73" s="2936"/>
      <c r="SI73" s="2936"/>
      <c r="SJ73" s="2936"/>
      <c r="SK73" s="2936"/>
      <c r="SL73" s="2936"/>
      <c r="SM73" s="2936"/>
      <c r="SN73" s="2936"/>
      <c r="SO73" s="2936"/>
      <c r="SP73" s="2936"/>
      <c r="SQ73" s="2936"/>
      <c r="SR73" s="2936"/>
      <c r="SS73" s="2936"/>
      <c r="ST73" s="2936"/>
      <c r="SU73" s="2936"/>
      <c r="SV73" s="2936"/>
      <c r="SW73" s="2936"/>
      <c r="SX73" s="2936"/>
      <c r="SY73" s="2936"/>
      <c r="SZ73" s="2936"/>
      <c r="TA73" s="2936"/>
      <c r="TB73" s="2936"/>
      <c r="TC73" s="2936"/>
      <c r="TD73" s="2936"/>
      <c r="TE73" s="2936"/>
      <c r="TF73" s="2936"/>
      <c r="TG73" s="2936"/>
      <c r="TH73" s="2936"/>
      <c r="TI73" s="2936"/>
      <c r="TJ73" s="2936"/>
      <c r="TK73" s="2936"/>
      <c r="TL73" s="2936"/>
      <c r="TM73" s="2936"/>
      <c r="TN73" s="2936"/>
      <c r="TO73" s="2936"/>
      <c r="TP73" s="2936"/>
      <c r="TQ73" s="2936"/>
      <c r="TR73" s="2936"/>
      <c r="TS73" s="2936"/>
      <c r="TT73" s="2936"/>
      <c r="TU73" s="2936"/>
      <c r="TV73" s="2936"/>
      <c r="TW73" s="2936"/>
      <c r="TX73" s="2936"/>
      <c r="TY73" s="2936"/>
      <c r="TZ73" s="2936"/>
      <c r="UA73" s="2936"/>
      <c r="UB73" s="2936"/>
      <c r="UC73" s="2936"/>
      <c r="UD73" s="2936"/>
      <c r="UE73" s="2936"/>
      <c r="UF73" s="2936"/>
      <c r="UG73" s="2936"/>
      <c r="UH73" s="2936"/>
      <c r="UI73" s="2936"/>
      <c r="UJ73" s="2936"/>
      <c r="UK73" s="2936"/>
      <c r="UL73" s="2936"/>
      <c r="UM73" s="2936"/>
      <c r="UN73" s="2936"/>
      <c r="UO73" s="2936"/>
      <c r="UP73" s="2936"/>
      <c r="UQ73" s="2936"/>
      <c r="UR73" s="2936"/>
      <c r="US73" s="2936"/>
      <c r="UT73" s="2936"/>
      <c r="UU73" s="2936"/>
      <c r="UV73" s="2936"/>
      <c r="UW73" s="2936"/>
      <c r="UX73" s="2936"/>
      <c r="UY73" s="2936"/>
      <c r="UZ73" s="2936"/>
      <c r="VA73" s="2936"/>
      <c r="VB73" s="2936"/>
      <c r="VC73" s="2936"/>
      <c r="VD73" s="2936"/>
      <c r="VE73" s="2936"/>
      <c r="VF73" s="2936"/>
      <c r="VG73" s="2936"/>
      <c r="VH73" s="2936"/>
      <c r="VI73" s="2936"/>
      <c r="VJ73" s="2936"/>
      <c r="VK73" s="2936"/>
      <c r="VL73" s="2936"/>
      <c r="VM73" s="2936"/>
      <c r="VN73" s="2936"/>
      <c r="VO73" s="2936"/>
      <c r="VP73" s="2936"/>
      <c r="VQ73" s="2936"/>
      <c r="VR73" s="2936"/>
      <c r="VS73" s="2936"/>
      <c r="VT73" s="2936"/>
      <c r="VU73" s="2936"/>
      <c r="VV73" s="2936"/>
      <c r="VW73" s="2936"/>
      <c r="VX73" s="2936"/>
      <c r="VY73" s="2936"/>
      <c r="VZ73" s="2936"/>
      <c r="WA73" s="2936"/>
      <c r="WB73" s="2936"/>
      <c r="WC73" s="2936"/>
      <c r="WD73" s="2936"/>
      <c r="WE73" s="2936"/>
      <c r="WF73" s="2936"/>
      <c r="WG73" s="2936"/>
      <c r="WH73" s="2936"/>
      <c r="WI73" s="2936"/>
      <c r="WJ73" s="2936"/>
      <c r="WK73" s="2936"/>
      <c r="WL73" s="2936"/>
      <c r="WM73" s="2936"/>
      <c r="WN73" s="2936"/>
      <c r="WO73" s="2936"/>
      <c r="WP73" s="2936"/>
      <c r="WQ73" s="2936"/>
      <c r="WR73" s="2936"/>
      <c r="WS73" s="2936"/>
      <c r="WT73" s="2936"/>
      <c r="WU73" s="2936"/>
      <c r="WV73" s="2936"/>
      <c r="WW73" s="2936"/>
      <c r="WX73" s="2936"/>
      <c r="WY73" s="2936"/>
      <c r="WZ73" s="2936"/>
      <c r="XA73" s="2936"/>
      <c r="XB73" s="2936"/>
      <c r="XC73" s="2936"/>
      <c r="XD73" s="2936"/>
      <c r="XE73" s="2936"/>
      <c r="XF73" s="2936"/>
      <c r="XG73" s="2936"/>
      <c r="XH73" s="2936"/>
      <c r="XI73" s="2936"/>
      <c r="XJ73" s="2936"/>
      <c r="XK73" s="2936"/>
      <c r="XL73" s="2936"/>
      <c r="XM73" s="2936"/>
      <c r="XN73" s="2936"/>
      <c r="XO73" s="2936"/>
      <c r="XP73" s="2936"/>
      <c r="XQ73" s="2936"/>
      <c r="XR73" s="2936"/>
      <c r="XS73" s="2936"/>
      <c r="XT73" s="2936"/>
      <c r="XU73" s="2936"/>
      <c r="XV73" s="2936"/>
      <c r="XW73" s="2936"/>
      <c r="XX73" s="2936"/>
      <c r="XY73" s="2936"/>
      <c r="XZ73" s="2936"/>
      <c r="YA73" s="2936"/>
      <c r="YB73" s="2936"/>
      <c r="YC73" s="2936"/>
      <c r="YD73" s="2936"/>
      <c r="YE73" s="2936"/>
      <c r="YF73" s="2936"/>
      <c r="YG73" s="2936"/>
      <c r="YH73" s="2936"/>
      <c r="YI73" s="2936"/>
      <c r="YJ73" s="2936"/>
      <c r="YK73" s="2936"/>
      <c r="YL73" s="2936"/>
      <c r="YM73" s="2936"/>
      <c r="YN73" s="2936"/>
      <c r="YO73" s="2936"/>
      <c r="YP73" s="2936"/>
      <c r="YQ73" s="2936"/>
      <c r="YR73" s="2936"/>
      <c r="YS73" s="2936"/>
      <c r="YT73" s="2936"/>
      <c r="YU73" s="2936"/>
      <c r="YV73" s="2936"/>
      <c r="YW73" s="2936"/>
      <c r="YX73" s="2936"/>
      <c r="YY73" s="2936"/>
      <c r="YZ73" s="2936"/>
      <c r="ZA73" s="2936"/>
      <c r="ZB73" s="2936"/>
      <c r="ZC73" s="2936"/>
      <c r="ZD73" s="2936"/>
      <c r="ZE73" s="2936"/>
      <c r="ZF73" s="2936"/>
      <c r="ZG73" s="2936"/>
      <c r="ZH73" s="2936"/>
      <c r="ZI73" s="2936"/>
      <c r="ZJ73" s="2936"/>
      <c r="ZK73" s="2936"/>
      <c r="ZL73" s="2936"/>
      <c r="ZM73" s="2936"/>
      <c r="ZN73" s="2936"/>
      <c r="ZO73" s="2936"/>
      <c r="ZP73" s="2936"/>
      <c r="ZQ73" s="2936"/>
      <c r="ZR73" s="2936"/>
      <c r="ZS73" s="2936"/>
      <c r="ZT73" s="2936"/>
      <c r="ZU73" s="2936"/>
      <c r="ZV73" s="2936"/>
      <c r="ZW73" s="2936"/>
      <c r="ZX73" s="2936"/>
      <c r="ZY73" s="2936"/>
      <c r="ZZ73" s="2936"/>
      <c r="AAA73" s="2936"/>
      <c r="AAB73" s="2936"/>
      <c r="AAC73" s="2936"/>
      <c r="AAD73" s="2936"/>
      <c r="AAE73" s="2936"/>
      <c r="AAF73" s="2936"/>
      <c r="AAG73" s="2936"/>
      <c r="AAH73" s="2936"/>
      <c r="AAI73" s="2936"/>
      <c r="AAJ73" s="2936"/>
      <c r="AAK73" s="2936"/>
      <c r="AAL73" s="2936"/>
      <c r="AAM73" s="2936"/>
      <c r="AAN73" s="2936"/>
      <c r="AAO73" s="2936"/>
      <c r="AAP73" s="2936"/>
      <c r="AAQ73" s="2936"/>
      <c r="AAR73" s="2936"/>
      <c r="AAS73" s="2936"/>
      <c r="AAT73" s="2936"/>
      <c r="AAU73" s="2936"/>
      <c r="AAV73" s="2936"/>
      <c r="AAW73" s="2936"/>
      <c r="AAX73" s="2936"/>
      <c r="AAY73" s="2936"/>
      <c r="AAZ73" s="2936"/>
      <c r="ABA73" s="2936"/>
      <c r="ABB73" s="2936"/>
      <c r="ABC73" s="2936"/>
      <c r="ABD73" s="2936"/>
      <c r="ABE73" s="2936"/>
      <c r="ABF73" s="2936"/>
      <c r="ABG73" s="2936"/>
      <c r="ABH73" s="2936"/>
      <c r="ABI73" s="2936"/>
      <c r="ABJ73" s="2936"/>
      <c r="ABK73" s="2936"/>
      <c r="ABL73" s="2936"/>
      <c r="ABM73" s="2936"/>
      <c r="ABN73" s="2936"/>
      <c r="ABO73" s="2936"/>
      <c r="ABP73" s="2936"/>
      <c r="ABQ73" s="2936"/>
      <c r="ABR73" s="2936"/>
      <c r="ABS73" s="2936"/>
      <c r="ABT73" s="2936"/>
      <c r="ABU73" s="2936"/>
      <c r="ABV73" s="2936"/>
      <c r="ABW73" s="2936"/>
      <c r="ABX73" s="2936"/>
      <c r="ABY73" s="2936"/>
      <c r="ABZ73" s="2936"/>
      <c r="ACA73" s="2936"/>
      <c r="ACB73" s="2936"/>
      <c r="ACC73" s="2936"/>
      <c r="ACD73" s="2936"/>
      <c r="ACE73" s="2936"/>
      <c r="ACF73" s="2936"/>
      <c r="ACG73" s="2936"/>
      <c r="ACH73" s="2936"/>
      <c r="ACI73" s="2936"/>
      <c r="ACJ73" s="2936"/>
      <c r="ACK73" s="2936"/>
      <c r="ACL73" s="2936"/>
      <c r="ACM73" s="2936"/>
      <c r="ACN73" s="2936"/>
      <c r="ACO73" s="2936"/>
      <c r="ACP73" s="2936"/>
      <c r="ACQ73" s="2936"/>
      <c r="ACR73" s="2936"/>
      <c r="ACS73" s="2936"/>
      <c r="ACT73" s="2936"/>
      <c r="ACU73" s="2936"/>
      <c r="ACV73" s="2936"/>
      <c r="ACW73" s="2936"/>
      <c r="ACX73" s="2936"/>
      <c r="ACY73" s="2936"/>
      <c r="ACZ73" s="2936"/>
      <c r="ADA73" s="2936"/>
      <c r="ADB73" s="2936"/>
      <c r="ADC73" s="2936"/>
      <c r="ADD73" s="2936"/>
      <c r="ADE73" s="2936"/>
      <c r="ADF73" s="2936"/>
      <c r="ADG73" s="2936"/>
      <c r="ADH73" s="2936"/>
      <c r="ADI73" s="2936"/>
      <c r="ADJ73" s="2936"/>
      <c r="ADK73" s="2936"/>
      <c r="ADL73" s="2936"/>
      <c r="ADM73" s="2936"/>
      <c r="ADN73" s="2936"/>
      <c r="ADO73" s="2936"/>
      <c r="ADP73" s="2936"/>
      <c r="ADQ73" s="2936"/>
      <c r="ADR73" s="2936"/>
      <c r="ADS73" s="2936"/>
      <c r="ADT73" s="2936"/>
      <c r="ADU73" s="2936"/>
      <c r="ADV73" s="2936"/>
      <c r="ADW73" s="2936"/>
      <c r="ADX73" s="2936"/>
      <c r="ADY73" s="2936"/>
      <c r="ADZ73" s="2936"/>
      <c r="AEA73" s="2936"/>
      <c r="AEB73" s="2936"/>
      <c r="AEC73" s="2936"/>
      <c r="AED73" s="2936"/>
      <c r="AEE73" s="2936"/>
      <c r="AEF73" s="2936"/>
      <c r="AEG73" s="2936"/>
      <c r="AEH73" s="2936"/>
      <c r="AEI73" s="2936"/>
      <c r="AEJ73" s="2936"/>
      <c r="AEK73" s="2936"/>
      <c r="AEL73" s="2936"/>
      <c r="AEM73" s="2936"/>
      <c r="AEN73" s="2936"/>
      <c r="AEO73" s="2936"/>
      <c r="AEP73" s="2936"/>
      <c r="AEQ73" s="2936"/>
      <c r="AER73" s="2936"/>
      <c r="AES73" s="2936"/>
      <c r="AET73" s="2936"/>
      <c r="AEU73" s="2936"/>
      <c r="AEV73" s="2936"/>
      <c r="AEW73" s="2936"/>
      <c r="AEX73" s="2936"/>
      <c r="AEY73" s="2936"/>
      <c r="AEZ73" s="2936"/>
      <c r="AFA73" s="2936"/>
      <c r="AFB73" s="2936"/>
      <c r="AFC73" s="2936"/>
      <c r="AFD73" s="2936"/>
      <c r="AFE73" s="2936"/>
      <c r="AFF73" s="2936"/>
      <c r="AFG73" s="2936"/>
      <c r="AFH73" s="2936"/>
      <c r="AFI73" s="2936"/>
      <c r="AFJ73" s="2936"/>
      <c r="AFK73" s="2936"/>
      <c r="AFL73" s="2936"/>
      <c r="AFM73" s="2936"/>
      <c r="AFN73" s="2936"/>
      <c r="AFO73" s="2936"/>
      <c r="AFP73" s="2936"/>
      <c r="AFQ73" s="2936"/>
      <c r="AFR73" s="2936"/>
      <c r="AFS73" s="2936"/>
      <c r="AFT73" s="2936"/>
      <c r="AFU73" s="2936"/>
      <c r="AFV73" s="2936"/>
      <c r="AFW73" s="2936"/>
      <c r="AFX73" s="2936"/>
      <c r="AFY73" s="2936"/>
      <c r="AFZ73" s="2936"/>
      <c r="AGA73" s="2936"/>
      <c r="AGB73" s="2936"/>
      <c r="AGC73" s="2936"/>
      <c r="AGD73" s="2936"/>
      <c r="AGE73" s="2936"/>
      <c r="AGF73" s="2936"/>
      <c r="AGG73" s="2936"/>
      <c r="AGH73" s="2936"/>
      <c r="AGI73" s="2936"/>
      <c r="AGJ73" s="2936"/>
      <c r="AGK73" s="2936"/>
      <c r="AGL73" s="2936"/>
      <c r="AGM73" s="2936"/>
      <c r="AGN73" s="2936"/>
      <c r="AGO73" s="2936"/>
      <c r="AGP73" s="2936"/>
      <c r="AGQ73" s="2936"/>
      <c r="AGR73" s="2936"/>
      <c r="AGS73" s="2936"/>
      <c r="AGT73" s="2936"/>
      <c r="AGU73" s="2936"/>
      <c r="AGV73" s="2936"/>
      <c r="AGW73" s="2936"/>
      <c r="AGX73" s="2936"/>
      <c r="AGY73" s="2936"/>
      <c r="AGZ73" s="2936"/>
      <c r="AHA73" s="2936"/>
      <c r="AHB73" s="2936"/>
      <c r="AHC73" s="2936"/>
      <c r="AHD73" s="2936"/>
      <c r="AHE73" s="2936"/>
      <c r="AHF73" s="2936"/>
      <c r="AHG73" s="2936"/>
      <c r="AHH73" s="2936"/>
      <c r="AHI73" s="2936"/>
      <c r="AHJ73" s="2936"/>
      <c r="AHK73" s="2936"/>
      <c r="AHL73" s="2936"/>
      <c r="AHM73" s="2936"/>
      <c r="AHN73" s="2936"/>
      <c r="AHO73" s="2936"/>
      <c r="AHP73" s="2936"/>
      <c r="AHQ73" s="2936"/>
      <c r="AHR73" s="2936"/>
      <c r="AHS73" s="2936"/>
      <c r="AHT73" s="2936"/>
      <c r="AHU73" s="2936"/>
      <c r="AHV73" s="2936"/>
      <c r="AHW73" s="2936"/>
      <c r="AHX73" s="2936"/>
      <c r="AHY73" s="2936"/>
      <c r="AHZ73" s="2936"/>
      <c r="AIA73" s="2936"/>
      <c r="AIB73" s="2936"/>
      <c r="AIC73" s="2936"/>
      <c r="AID73" s="2936"/>
      <c r="AIE73" s="2936"/>
      <c r="AIF73" s="2936"/>
      <c r="AIG73" s="2936"/>
      <c r="AIH73" s="2936"/>
      <c r="AII73" s="2936"/>
      <c r="AIJ73" s="2936"/>
      <c r="AIK73" s="2936"/>
      <c r="AIL73" s="2936"/>
      <c r="AIM73" s="2936"/>
      <c r="AIN73" s="2936"/>
      <c r="AIO73" s="2936"/>
      <c r="AIP73" s="2936"/>
      <c r="AIQ73" s="2936"/>
      <c r="AIR73" s="2936"/>
      <c r="AIS73" s="2936"/>
      <c r="AIT73" s="2936"/>
      <c r="AIU73" s="2936"/>
      <c r="AIV73" s="2936"/>
      <c r="AIW73" s="2936"/>
      <c r="AIX73" s="2936"/>
      <c r="AIY73" s="2936"/>
      <c r="AIZ73" s="2936"/>
      <c r="AJA73" s="2936"/>
      <c r="AJB73" s="2936"/>
      <c r="AJC73" s="2936"/>
      <c r="AJD73" s="2936"/>
      <c r="AJE73" s="2936"/>
      <c r="AJF73" s="2936"/>
      <c r="AJG73" s="2936"/>
      <c r="AJH73" s="2936"/>
      <c r="AJI73" s="2936"/>
      <c r="AJJ73" s="2936"/>
      <c r="AJK73" s="2936"/>
      <c r="AJL73" s="2936"/>
      <c r="AJM73" s="2936"/>
      <c r="AJN73" s="2936"/>
      <c r="AJO73" s="2936"/>
      <c r="AJP73" s="2936"/>
      <c r="AJQ73" s="2936"/>
      <c r="AJR73" s="2936"/>
      <c r="AJS73" s="2936"/>
      <c r="AJT73" s="2936"/>
      <c r="AJU73" s="2936"/>
      <c r="AJV73" s="2936"/>
      <c r="AJW73" s="2936"/>
      <c r="AJX73" s="2936"/>
      <c r="AJY73" s="2936"/>
      <c r="AJZ73" s="2936"/>
      <c r="AKA73" s="2936"/>
      <c r="AKB73" s="2936"/>
      <c r="AKC73" s="2936"/>
      <c r="AKD73" s="2936"/>
      <c r="AKE73" s="2936"/>
      <c r="AKF73" s="2936"/>
      <c r="AKG73" s="2936"/>
      <c r="AKH73" s="2936"/>
      <c r="AKI73" s="2936"/>
      <c r="AKJ73" s="2936"/>
      <c r="AKK73" s="2936"/>
      <c r="AKL73" s="2936"/>
      <c r="AKM73" s="2936"/>
      <c r="AKN73" s="2936"/>
      <c r="AKO73" s="2936"/>
      <c r="AKP73" s="2936"/>
      <c r="AKQ73" s="2936"/>
      <c r="AKR73" s="2936"/>
      <c r="AKS73" s="2936"/>
      <c r="AKT73" s="2936"/>
      <c r="AKU73" s="2936"/>
      <c r="AKV73" s="2936"/>
      <c r="AKW73" s="2936"/>
      <c r="AKX73" s="2936"/>
      <c r="AKY73" s="2936"/>
      <c r="AKZ73" s="2936"/>
      <c r="ALA73" s="2936"/>
      <c r="ALB73" s="2936"/>
      <c r="ALC73" s="2936"/>
      <c r="ALD73" s="2936"/>
      <c r="ALE73" s="2936"/>
      <c r="ALF73" s="2936"/>
      <c r="ALG73" s="2936"/>
      <c r="ALH73" s="2936"/>
      <c r="ALI73" s="2936"/>
      <c r="ALJ73" s="2936"/>
      <c r="ALK73" s="2936"/>
      <c r="ALL73" s="2936"/>
      <c r="ALM73" s="2936"/>
      <c r="ALN73" s="2936"/>
      <c r="ALO73" s="2936"/>
      <c r="ALP73" s="2936"/>
      <c r="ALQ73" s="2936"/>
      <c r="ALR73" s="2936"/>
      <c r="ALS73" s="2936"/>
      <c r="ALT73" s="2936"/>
      <c r="ALU73" s="2936"/>
      <c r="ALV73" s="2936"/>
      <c r="ALW73" s="2936"/>
      <c r="ALX73" s="2936"/>
      <c r="ALY73" s="2936"/>
      <c r="ALZ73" s="2936"/>
      <c r="AMA73" s="2936"/>
      <c r="AMB73" s="2936"/>
      <c r="AMC73" s="2936"/>
      <c r="AMD73" s="2936"/>
      <c r="AME73" s="2936"/>
      <c r="AMF73" s="2936"/>
      <c r="AMG73" s="2936"/>
      <c r="AMH73" s="2936"/>
      <c r="AMI73" s="2936"/>
      <c r="AMJ73" s="2936"/>
      <c r="AMK73" s="2936"/>
      <c r="AML73" s="2936"/>
      <c r="AMM73" s="2936"/>
      <c r="AMN73" s="2936"/>
      <c r="AMO73" s="2936"/>
      <c r="AMP73" s="2936"/>
      <c r="AMQ73" s="2936"/>
      <c r="AMR73" s="2936"/>
      <c r="AMS73" s="2936"/>
      <c r="AMT73" s="2936"/>
      <c r="AMU73" s="2936"/>
      <c r="AMV73" s="2936"/>
      <c r="AMW73" s="2936"/>
      <c r="AMX73" s="2936"/>
      <c r="AMY73" s="2936"/>
      <c r="AMZ73" s="2936"/>
      <c r="ANA73" s="2936"/>
      <c r="ANB73" s="2936"/>
      <c r="ANC73" s="2936"/>
      <c r="AND73" s="2936"/>
      <c r="ANE73" s="2936"/>
      <c r="ANF73" s="2936"/>
      <c r="ANG73" s="2936"/>
      <c r="ANH73" s="2936"/>
      <c r="ANI73" s="2936"/>
      <c r="ANJ73" s="2936"/>
      <c r="ANK73" s="2936"/>
      <c r="ANL73" s="2936"/>
      <c r="ANM73" s="2936"/>
      <c r="ANN73" s="2936"/>
      <c r="ANO73" s="2936"/>
      <c r="ANP73" s="2936"/>
      <c r="ANQ73" s="2936"/>
      <c r="ANR73" s="2936"/>
      <c r="ANS73" s="2936"/>
      <c r="ANT73" s="2936"/>
      <c r="ANU73" s="2936"/>
      <c r="ANV73" s="2936"/>
      <c r="ANW73" s="2936"/>
      <c r="ANX73" s="2936"/>
      <c r="ANY73" s="2936"/>
      <c r="ANZ73" s="2936"/>
      <c r="AOA73" s="2936"/>
      <c r="AOB73" s="2936"/>
      <c r="AOC73" s="2936"/>
      <c r="AOD73" s="2936"/>
      <c r="AOE73" s="2936"/>
      <c r="AOF73" s="2936"/>
      <c r="AOG73" s="2936"/>
      <c r="AOH73" s="2936"/>
      <c r="AOI73" s="2936"/>
      <c r="AOJ73" s="2936"/>
      <c r="AOK73" s="2936"/>
      <c r="AOL73" s="2936"/>
      <c r="AOM73" s="2936"/>
      <c r="AON73" s="2936"/>
      <c r="AOO73" s="2936"/>
      <c r="AOP73" s="2936"/>
      <c r="AOQ73" s="2936"/>
      <c r="AOR73" s="2936"/>
      <c r="AOS73" s="2936"/>
      <c r="AOT73" s="2936"/>
      <c r="AOU73" s="2936"/>
      <c r="AOV73" s="2936"/>
      <c r="AOW73" s="2936"/>
      <c r="AOX73" s="2936"/>
      <c r="AOY73" s="2936"/>
      <c r="AOZ73" s="2936"/>
      <c r="APA73" s="2936"/>
      <c r="APB73" s="2936"/>
      <c r="APC73" s="2936"/>
      <c r="APD73" s="2936"/>
      <c r="APE73" s="2936"/>
      <c r="APF73" s="2936"/>
      <c r="APG73" s="2936"/>
      <c r="APH73" s="2936"/>
      <c r="API73" s="2936"/>
      <c r="APJ73" s="2936"/>
      <c r="APK73" s="2936"/>
      <c r="APL73" s="2936"/>
      <c r="APM73" s="2936"/>
      <c r="APN73" s="2936"/>
      <c r="APO73" s="2936"/>
      <c r="APP73" s="2936"/>
      <c r="APQ73" s="2936"/>
      <c r="APR73" s="2936"/>
      <c r="APS73" s="2936"/>
      <c r="APT73" s="2936"/>
      <c r="APU73" s="2936"/>
      <c r="APV73" s="2936"/>
      <c r="APW73" s="2936"/>
      <c r="APX73" s="2936"/>
      <c r="APY73" s="2936"/>
      <c r="APZ73" s="2936"/>
      <c r="AQA73" s="2936"/>
      <c r="AQB73" s="2936"/>
      <c r="AQC73" s="2936"/>
      <c r="AQD73" s="2936"/>
      <c r="AQE73" s="2936"/>
      <c r="AQF73" s="2936"/>
      <c r="AQG73" s="2936"/>
      <c r="AQH73" s="2936"/>
      <c r="AQI73" s="2936"/>
      <c r="AQJ73" s="2936"/>
      <c r="AQK73" s="2936"/>
      <c r="AQL73" s="2936"/>
      <c r="AQM73" s="2936"/>
      <c r="AQN73" s="2936"/>
      <c r="AQO73" s="2936"/>
      <c r="AQP73" s="2936"/>
      <c r="AQQ73" s="2936"/>
      <c r="AQR73" s="2936"/>
      <c r="AQS73" s="2936"/>
      <c r="AQT73" s="2936"/>
      <c r="AQU73" s="2936"/>
      <c r="AQV73" s="2936"/>
      <c r="AQW73" s="2936"/>
      <c r="AQX73" s="2936"/>
      <c r="AQY73" s="2936"/>
      <c r="AQZ73" s="2936"/>
      <c r="ARA73" s="2936"/>
      <c r="ARB73" s="2936"/>
      <c r="ARC73" s="2936"/>
      <c r="ARD73" s="2936"/>
      <c r="ARE73" s="2936"/>
      <c r="ARF73" s="2936"/>
      <c r="ARG73" s="2936"/>
      <c r="ARH73" s="2936"/>
      <c r="ARI73" s="2936"/>
      <c r="ARJ73" s="2936"/>
      <c r="ARK73" s="2936"/>
      <c r="ARL73" s="2936"/>
      <c r="ARM73" s="2936"/>
      <c r="ARN73" s="2936"/>
      <c r="ARO73" s="2936"/>
      <c r="ARP73" s="2936"/>
      <c r="ARQ73" s="2936"/>
      <c r="ARR73" s="2936"/>
      <c r="ARS73" s="2936"/>
      <c r="ART73" s="2936"/>
      <c r="ARU73" s="2936"/>
      <c r="ARV73" s="2936"/>
      <c r="ARW73" s="2936"/>
      <c r="ARX73" s="2936"/>
      <c r="ARY73" s="2936"/>
      <c r="ARZ73" s="2936"/>
      <c r="ASA73" s="2936"/>
      <c r="ASB73" s="2936"/>
      <c r="ASC73" s="2936"/>
      <c r="ASD73" s="2936"/>
      <c r="ASE73" s="2936"/>
      <c r="ASF73" s="2936"/>
      <c r="ASG73" s="2936"/>
      <c r="ASH73" s="2936"/>
      <c r="ASI73" s="2936"/>
      <c r="ASJ73" s="2936"/>
      <c r="ASK73" s="2936"/>
      <c r="ASL73" s="2936"/>
      <c r="ASM73" s="2936"/>
      <c r="ASN73" s="2936"/>
      <c r="ASO73" s="2936"/>
      <c r="ASP73" s="2936"/>
      <c r="ASQ73" s="2936"/>
      <c r="ASR73" s="2936"/>
      <c r="ASS73" s="2936"/>
      <c r="AST73" s="2936"/>
      <c r="ASU73" s="2936"/>
      <c r="ASV73" s="2936"/>
      <c r="ASW73" s="2936"/>
      <c r="ASX73" s="2936"/>
      <c r="ASY73" s="2936"/>
      <c r="ASZ73" s="2936"/>
      <c r="ATA73" s="2936"/>
      <c r="ATB73" s="2936"/>
      <c r="ATC73" s="2936"/>
      <c r="ATD73" s="2936"/>
      <c r="ATE73" s="2936"/>
      <c r="ATF73" s="2936"/>
      <c r="ATG73" s="2936"/>
      <c r="ATH73" s="2936"/>
      <c r="ATI73" s="2936"/>
      <c r="ATJ73" s="2936"/>
      <c r="ATK73" s="2936"/>
      <c r="ATL73" s="2936"/>
      <c r="ATM73" s="2936"/>
      <c r="ATN73" s="2936"/>
      <c r="ATO73" s="2936"/>
      <c r="ATP73" s="2936"/>
      <c r="ATQ73" s="2936"/>
      <c r="ATR73" s="2936"/>
      <c r="ATS73" s="2936"/>
      <c r="ATT73" s="2936"/>
      <c r="ATU73" s="2936"/>
      <c r="ATV73" s="2936"/>
      <c r="ATW73" s="2936"/>
      <c r="ATX73" s="2936"/>
      <c r="ATY73" s="2936"/>
      <c r="ATZ73" s="2936"/>
      <c r="AUA73" s="2936"/>
      <c r="AUB73" s="2936"/>
      <c r="AUC73" s="2936"/>
      <c r="AUD73" s="2936"/>
      <c r="AUE73" s="2936"/>
      <c r="AUF73" s="2936"/>
      <c r="AUG73" s="2936"/>
      <c r="AUH73" s="2936"/>
      <c r="AUI73" s="2936"/>
      <c r="AUJ73" s="2936"/>
      <c r="AUK73" s="2936"/>
      <c r="AUL73" s="2936"/>
      <c r="AUM73" s="2936"/>
      <c r="AUN73" s="2936"/>
      <c r="AUO73" s="2936"/>
      <c r="AUP73" s="2936"/>
      <c r="AUQ73" s="2936"/>
      <c r="AUR73" s="2936"/>
      <c r="AUS73" s="2936"/>
      <c r="AUT73" s="2936"/>
      <c r="AUU73" s="2936"/>
      <c r="AUV73" s="2936"/>
      <c r="AUW73" s="2936"/>
      <c r="AUX73" s="2936"/>
      <c r="AUY73" s="2936"/>
      <c r="AUZ73" s="2936"/>
      <c r="AVA73" s="2936"/>
      <c r="AVB73" s="2936"/>
      <c r="AVC73" s="2936"/>
      <c r="AVD73" s="2936"/>
      <c r="AVE73" s="2936"/>
      <c r="AVF73" s="2936"/>
      <c r="AVG73" s="2936"/>
      <c r="AVH73" s="2936"/>
      <c r="AVI73" s="2936"/>
      <c r="AVJ73" s="2936"/>
      <c r="AVK73" s="2936"/>
      <c r="AVL73" s="2936"/>
      <c r="AVM73" s="2936"/>
      <c r="AVN73" s="2936"/>
      <c r="AVO73" s="2936"/>
      <c r="AVP73" s="2936"/>
      <c r="AVQ73" s="2936"/>
      <c r="AVR73" s="2936"/>
      <c r="AVS73" s="2936"/>
      <c r="AVT73" s="2936"/>
      <c r="AVU73" s="2936"/>
      <c r="AVV73" s="2936"/>
      <c r="AVW73" s="2936"/>
      <c r="AVX73" s="2936"/>
      <c r="AVY73" s="2936"/>
      <c r="AVZ73" s="2936"/>
      <c r="AWA73" s="2936"/>
      <c r="AWB73" s="2936"/>
      <c r="AWC73" s="2936"/>
      <c r="AWD73" s="2936"/>
      <c r="AWE73" s="2936"/>
      <c r="AWF73" s="2936"/>
      <c r="AWG73" s="2936"/>
      <c r="AWH73" s="2936"/>
      <c r="AWI73" s="2936"/>
      <c r="AWJ73" s="2936"/>
      <c r="AWK73" s="2936"/>
      <c r="AWL73" s="2936"/>
      <c r="AWM73" s="2936"/>
      <c r="AWN73" s="2936"/>
      <c r="AWO73" s="2936"/>
      <c r="AWP73" s="2936"/>
      <c r="AWQ73" s="2936"/>
      <c r="AWR73" s="2936"/>
      <c r="AWS73" s="2936"/>
      <c r="AWT73" s="2936"/>
      <c r="AWU73" s="2936"/>
      <c r="AWV73" s="2936"/>
      <c r="AWW73" s="2936"/>
      <c r="AWX73" s="2936"/>
      <c r="AWY73" s="2936"/>
      <c r="AWZ73" s="2936"/>
      <c r="AXA73" s="2936"/>
      <c r="AXB73" s="2936"/>
      <c r="AXC73" s="2936"/>
      <c r="AXD73" s="2936"/>
      <c r="AXE73" s="2936"/>
      <c r="AXF73" s="2936"/>
      <c r="AXG73" s="2936"/>
      <c r="AXH73" s="2936"/>
      <c r="AXI73" s="2936"/>
      <c r="AXJ73" s="2936"/>
      <c r="AXK73" s="2936"/>
      <c r="AXL73" s="2936"/>
      <c r="AXM73" s="2936"/>
      <c r="AXN73" s="2936"/>
      <c r="AXO73" s="2936"/>
      <c r="AXP73" s="2936"/>
      <c r="AXQ73" s="2936"/>
      <c r="AXR73" s="2936"/>
      <c r="AXS73" s="2936"/>
      <c r="AXT73" s="2936"/>
      <c r="AXU73" s="2936"/>
      <c r="AXV73" s="2936"/>
      <c r="AXW73" s="2936"/>
      <c r="AXX73" s="2936"/>
      <c r="AXY73" s="2936"/>
      <c r="AXZ73" s="2936"/>
      <c r="AYA73" s="2936"/>
      <c r="AYB73" s="2936"/>
      <c r="AYC73" s="2936"/>
      <c r="AYD73" s="2936"/>
      <c r="AYE73" s="2936"/>
      <c r="AYF73" s="2936"/>
      <c r="AYG73" s="2936"/>
      <c r="AYH73" s="2936"/>
      <c r="AYI73" s="2936"/>
      <c r="AYJ73" s="2936"/>
      <c r="AYK73" s="2936"/>
      <c r="AYL73" s="2936"/>
      <c r="AYM73" s="2936"/>
      <c r="AYN73" s="2936"/>
      <c r="AYO73" s="2936"/>
      <c r="AYP73" s="2936"/>
      <c r="AYQ73" s="2936"/>
      <c r="AYR73" s="2936"/>
      <c r="AYS73" s="2936"/>
      <c r="AYT73" s="2936"/>
      <c r="AYU73" s="2936"/>
      <c r="AYV73" s="2936"/>
      <c r="AYW73" s="2936"/>
      <c r="AYX73" s="2936"/>
      <c r="AYY73" s="2936"/>
      <c r="AYZ73" s="2936"/>
      <c r="AZA73" s="2936"/>
      <c r="AZB73" s="2936"/>
      <c r="AZC73" s="2936"/>
      <c r="AZD73" s="2936"/>
      <c r="AZE73" s="2936"/>
      <c r="AZF73" s="2936"/>
      <c r="AZG73" s="2936"/>
      <c r="AZH73" s="2936"/>
      <c r="AZI73" s="2936"/>
      <c r="AZJ73" s="2936"/>
      <c r="AZK73" s="2936"/>
      <c r="AZL73" s="2936"/>
      <c r="AZM73" s="2936"/>
      <c r="AZN73" s="2936"/>
      <c r="AZO73" s="2936"/>
      <c r="AZP73" s="2936"/>
      <c r="AZQ73" s="2936"/>
      <c r="AZR73" s="2936"/>
      <c r="AZS73" s="2936"/>
      <c r="AZT73" s="2936"/>
      <c r="AZU73" s="2936"/>
      <c r="AZV73" s="2936"/>
      <c r="AZW73" s="2936"/>
      <c r="AZX73" s="2936"/>
      <c r="AZY73" s="2936"/>
      <c r="AZZ73" s="2936"/>
      <c r="BAA73" s="2936"/>
      <c r="BAB73" s="2936"/>
      <c r="BAC73" s="2936"/>
      <c r="BAD73" s="2936"/>
      <c r="BAE73" s="2936"/>
      <c r="BAF73" s="2936"/>
      <c r="BAG73" s="2936"/>
      <c r="BAH73" s="2936"/>
      <c r="BAI73" s="2936"/>
      <c r="BAJ73" s="2936"/>
      <c r="BAK73" s="2936"/>
      <c r="BAL73" s="2936"/>
      <c r="BAM73" s="2936"/>
      <c r="BAN73" s="2936"/>
      <c r="BAO73" s="2936"/>
      <c r="BAP73" s="2936"/>
      <c r="BAQ73" s="2936"/>
      <c r="BAR73" s="2936"/>
      <c r="BAS73" s="2936"/>
      <c r="BAT73" s="2936"/>
      <c r="BAU73" s="2936"/>
      <c r="BAV73" s="2936"/>
      <c r="BAW73" s="2936"/>
      <c r="BAX73" s="2936"/>
      <c r="BAY73" s="2936"/>
      <c r="BAZ73" s="2936"/>
      <c r="BBA73" s="2936"/>
      <c r="BBB73" s="2936"/>
      <c r="BBC73" s="2936"/>
      <c r="BBD73" s="2936"/>
      <c r="BBE73" s="2936"/>
      <c r="BBF73" s="2936"/>
      <c r="BBG73" s="2936"/>
      <c r="BBH73" s="2936"/>
      <c r="BBI73" s="2936"/>
      <c r="BBJ73" s="2936"/>
      <c r="BBK73" s="2936"/>
      <c r="BBL73" s="2936"/>
      <c r="BBM73" s="2936"/>
      <c r="BBN73" s="2936"/>
      <c r="BBO73" s="2936"/>
      <c r="BBP73" s="2936"/>
      <c r="BBQ73" s="2936"/>
      <c r="BBR73" s="2936"/>
      <c r="BBS73" s="2936"/>
      <c r="BBT73" s="2936"/>
      <c r="BBU73" s="2936"/>
      <c r="BBV73" s="2936"/>
      <c r="BBW73" s="2936"/>
      <c r="BBX73" s="2936"/>
      <c r="BBY73" s="2936"/>
      <c r="BBZ73" s="2936"/>
      <c r="BCA73" s="2936"/>
      <c r="BCB73" s="2936"/>
      <c r="BCC73" s="2936"/>
      <c r="BCD73" s="2936"/>
      <c r="BCE73" s="2936"/>
      <c r="BCF73" s="2936"/>
      <c r="BCG73" s="2936"/>
      <c r="BCH73" s="2936"/>
      <c r="BCI73" s="2936"/>
      <c r="BCJ73" s="2936"/>
      <c r="BCK73" s="2936"/>
      <c r="BCL73" s="2936"/>
      <c r="BCM73" s="2936"/>
      <c r="BCN73" s="2936"/>
      <c r="BCO73" s="2936"/>
      <c r="BCP73" s="2936"/>
      <c r="BCQ73" s="2936"/>
      <c r="BCR73" s="2936"/>
      <c r="BCS73" s="2936"/>
      <c r="BCT73" s="2936"/>
      <c r="BCU73" s="2936"/>
      <c r="BCV73" s="2936"/>
      <c r="BCW73" s="2936"/>
      <c r="BCX73" s="2936"/>
      <c r="BCY73" s="2936"/>
      <c r="BCZ73" s="2936"/>
      <c r="BDA73" s="2936"/>
      <c r="BDB73" s="2936"/>
      <c r="BDC73" s="2936"/>
      <c r="BDD73" s="2936"/>
      <c r="BDE73" s="2936"/>
      <c r="BDF73" s="2936"/>
      <c r="BDG73" s="2936"/>
      <c r="BDH73" s="2936"/>
      <c r="BDI73" s="2936"/>
      <c r="BDJ73" s="2936"/>
      <c r="BDK73" s="2936"/>
      <c r="BDL73" s="2936"/>
      <c r="BDM73" s="2936"/>
      <c r="BDN73" s="2936"/>
      <c r="BDO73" s="2936"/>
      <c r="BDP73" s="2936"/>
      <c r="BDQ73" s="2936"/>
      <c r="BDR73" s="2936"/>
      <c r="BDS73" s="2936"/>
      <c r="BDT73" s="2936"/>
      <c r="BDU73" s="2936"/>
      <c r="BDV73" s="2936"/>
      <c r="BDW73" s="2936"/>
      <c r="BDX73" s="2936"/>
      <c r="BDY73" s="2936"/>
      <c r="BDZ73" s="2936"/>
      <c r="BEA73" s="2936"/>
      <c r="BEB73" s="2936"/>
      <c r="BEC73" s="2936"/>
      <c r="BED73" s="2936"/>
      <c r="BEE73" s="2936"/>
      <c r="BEF73" s="2936"/>
      <c r="BEG73" s="2936"/>
      <c r="BEH73" s="2936"/>
      <c r="BEI73" s="2936"/>
      <c r="BEJ73" s="2936"/>
      <c r="BEK73" s="2936"/>
      <c r="BEL73" s="2936"/>
      <c r="BEM73" s="2936"/>
      <c r="BEN73" s="2936"/>
      <c r="BEO73" s="2936"/>
      <c r="BEP73" s="2936"/>
      <c r="BEQ73" s="2936"/>
      <c r="BER73" s="2936"/>
      <c r="BES73" s="2936"/>
      <c r="BET73" s="2936"/>
      <c r="BEU73" s="2936"/>
      <c r="BEV73" s="2936"/>
      <c r="BEW73" s="2936"/>
      <c r="BEX73" s="2936"/>
      <c r="BEY73" s="2936"/>
      <c r="BEZ73" s="2936"/>
      <c r="BFA73" s="2936"/>
      <c r="BFB73" s="2936"/>
      <c r="BFC73" s="2936"/>
      <c r="BFD73" s="2936"/>
      <c r="BFE73" s="2936"/>
      <c r="BFF73" s="2936"/>
      <c r="BFG73" s="2936"/>
      <c r="BFH73" s="2936"/>
      <c r="BFI73" s="2936"/>
      <c r="BFJ73" s="2936"/>
      <c r="BFK73" s="2936"/>
      <c r="BFL73" s="2936"/>
      <c r="BFM73" s="2936"/>
      <c r="BFN73" s="2936"/>
      <c r="BFO73" s="2936"/>
      <c r="BFP73" s="2936"/>
      <c r="BFQ73" s="2936"/>
      <c r="BFR73" s="2936"/>
      <c r="BFS73" s="2936"/>
      <c r="BFT73" s="2936"/>
      <c r="BFU73" s="2936"/>
      <c r="BFV73" s="2936"/>
      <c r="BFW73" s="2936"/>
      <c r="BFX73" s="2936"/>
      <c r="BFY73" s="2936"/>
      <c r="BFZ73" s="2936"/>
      <c r="BGA73" s="2936"/>
      <c r="BGB73" s="2936"/>
      <c r="BGC73" s="2936"/>
      <c r="BGD73" s="2936"/>
      <c r="BGE73" s="2936"/>
      <c r="BGF73" s="2936"/>
      <c r="BGG73" s="2936"/>
      <c r="BGH73" s="2936"/>
      <c r="BGI73" s="2936"/>
      <c r="BGJ73" s="2936"/>
      <c r="BGK73" s="2936"/>
      <c r="BGL73" s="2936"/>
      <c r="BGM73" s="2936"/>
      <c r="BGN73" s="2936"/>
      <c r="BGO73" s="2936"/>
      <c r="BGP73" s="2936"/>
      <c r="BGQ73" s="2936"/>
      <c r="BGR73" s="2936"/>
      <c r="BGS73" s="2936"/>
      <c r="BGT73" s="2936"/>
      <c r="BGU73" s="2936"/>
      <c r="BGV73" s="2936"/>
      <c r="BGW73" s="2936"/>
      <c r="BGX73" s="2936"/>
      <c r="BGY73" s="2936"/>
      <c r="BGZ73" s="2936"/>
      <c r="BHA73" s="2936"/>
      <c r="BHB73" s="2936"/>
      <c r="BHC73" s="2936"/>
      <c r="BHD73" s="2936"/>
      <c r="BHE73" s="2936"/>
      <c r="BHF73" s="2936"/>
      <c r="BHG73" s="2936"/>
      <c r="BHH73" s="2936"/>
      <c r="BHI73" s="2936"/>
      <c r="BHJ73" s="2936"/>
      <c r="BHK73" s="2936"/>
      <c r="BHL73" s="2936"/>
      <c r="BHM73" s="2936"/>
      <c r="BHN73" s="2936"/>
      <c r="BHO73" s="2936"/>
      <c r="BHP73" s="2936"/>
      <c r="BHQ73" s="2936"/>
      <c r="BHR73" s="2936"/>
      <c r="BHS73" s="2936"/>
      <c r="BHT73" s="2936"/>
      <c r="BHU73" s="2936"/>
      <c r="BHV73" s="2936"/>
      <c r="BHW73" s="2936"/>
      <c r="BHX73" s="2936"/>
      <c r="BHY73" s="2936"/>
      <c r="BHZ73" s="2936"/>
      <c r="BIA73" s="2936"/>
      <c r="BIB73" s="2936"/>
      <c r="BIC73" s="2936"/>
      <c r="BID73" s="2936"/>
      <c r="BIE73" s="2936"/>
      <c r="BIF73" s="2936"/>
      <c r="BIG73" s="2936"/>
      <c r="BIH73" s="2936"/>
      <c r="BII73" s="2936"/>
      <c r="BIJ73" s="2936"/>
      <c r="BIK73" s="2936"/>
      <c r="BIL73" s="2936"/>
      <c r="BIM73" s="2936"/>
      <c r="BIN73" s="2936"/>
      <c r="BIO73" s="2936"/>
      <c r="BIP73" s="2936"/>
      <c r="BIQ73" s="2936"/>
      <c r="BIR73" s="2936"/>
      <c r="BIS73" s="2936"/>
      <c r="BIT73" s="2936"/>
      <c r="BIU73" s="2936"/>
      <c r="BIV73" s="2936"/>
      <c r="BIW73" s="2936"/>
      <c r="BIX73" s="2936"/>
      <c r="BIY73" s="2936"/>
      <c r="BIZ73" s="2936"/>
      <c r="BJA73" s="2936"/>
      <c r="BJB73" s="2936"/>
      <c r="BJC73" s="2936"/>
      <c r="BJD73" s="2936"/>
      <c r="BJE73" s="2936"/>
      <c r="BJF73" s="2936"/>
      <c r="BJG73" s="2936"/>
      <c r="BJH73" s="2936"/>
      <c r="BJI73" s="2936"/>
      <c r="BJJ73" s="2936"/>
      <c r="BJK73" s="2936"/>
      <c r="BJL73" s="2936"/>
      <c r="BJM73" s="2936"/>
      <c r="BJN73" s="2936"/>
      <c r="BJO73" s="2936"/>
      <c r="BJP73" s="2936"/>
      <c r="BJQ73" s="2936"/>
      <c r="BJR73" s="2936"/>
      <c r="BJS73" s="2936"/>
      <c r="BJT73" s="2936"/>
      <c r="BJU73" s="2936"/>
      <c r="BJV73" s="2936"/>
      <c r="BJW73" s="2936"/>
      <c r="BJX73" s="2936"/>
      <c r="BJY73" s="2936"/>
      <c r="BJZ73" s="2936"/>
      <c r="BKA73" s="2936"/>
      <c r="BKB73" s="2936"/>
      <c r="BKC73" s="2936"/>
      <c r="BKD73" s="2936"/>
      <c r="BKE73" s="2936"/>
      <c r="BKF73" s="2936"/>
      <c r="BKG73" s="2936"/>
      <c r="BKH73" s="2936"/>
      <c r="BKI73" s="2936"/>
      <c r="BKJ73" s="2936"/>
      <c r="BKK73" s="2936"/>
      <c r="BKL73" s="2936"/>
      <c r="BKM73" s="2936"/>
      <c r="BKN73" s="2936"/>
      <c r="BKO73" s="2936"/>
      <c r="BKP73" s="2936"/>
      <c r="BKQ73" s="2936"/>
      <c r="BKR73" s="2936"/>
      <c r="BKS73" s="2936"/>
      <c r="BKT73" s="2936"/>
      <c r="BKU73" s="2936"/>
      <c r="BKV73" s="2936"/>
      <c r="BKW73" s="2936"/>
      <c r="BKX73" s="2936"/>
      <c r="BKY73" s="2936"/>
      <c r="BKZ73" s="2936"/>
      <c r="BLA73" s="2936"/>
      <c r="BLB73" s="2936"/>
      <c r="BLC73" s="2936"/>
      <c r="BLD73" s="2936"/>
      <c r="BLE73" s="2936"/>
      <c r="BLF73" s="2936"/>
      <c r="BLG73" s="2936"/>
      <c r="BLH73" s="2936"/>
      <c r="BLI73" s="2936"/>
      <c r="BLJ73" s="2936"/>
      <c r="BLK73" s="2936"/>
      <c r="BLL73" s="2936"/>
      <c r="BLM73" s="2936"/>
      <c r="BLN73" s="2936"/>
      <c r="BLO73" s="2936"/>
      <c r="BLP73" s="2936"/>
      <c r="BLQ73" s="2936"/>
      <c r="BLR73" s="2936"/>
      <c r="BLS73" s="2936"/>
      <c r="BLT73" s="2936"/>
      <c r="BLU73" s="2936"/>
      <c r="BLV73" s="2936"/>
      <c r="BLW73" s="2936"/>
      <c r="BLX73" s="2936"/>
      <c r="BLY73" s="2936"/>
      <c r="BLZ73" s="2936"/>
      <c r="BMA73" s="2936"/>
      <c r="BMB73" s="2936"/>
      <c r="BMC73" s="2936"/>
      <c r="BMD73" s="2936"/>
      <c r="BME73" s="2936"/>
      <c r="BMF73" s="2936"/>
      <c r="BMG73" s="2936"/>
      <c r="BMH73" s="2936"/>
      <c r="BMI73" s="2936"/>
      <c r="BMJ73" s="2936"/>
      <c r="BMK73" s="2936"/>
      <c r="BML73" s="2936"/>
      <c r="BMM73" s="2936"/>
      <c r="BMN73" s="2936"/>
      <c r="BMO73" s="2936"/>
      <c r="BMP73" s="2936"/>
      <c r="BMQ73" s="2936"/>
      <c r="BMR73" s="2936"/>
      <c r="BMS73" s="2936"/>
      <c r="BMT73" s="2936"/>
      <c r="BMU73" s="2936"/>
      <c r="BMV73" s="2936"/>
      <c r="BMW73" s="2936"/>
      <c r="BMX73" s="2936"/>
      <c r="BMY73" s="2936"/>
      <c r="BMZ73" s="2936"/>
      <c r="BNA73" s="2936"/>
      <c r="BNB73" s="2936"/>
      <c r="BNC73" s="2936"/>
      <c r="BND73" s="2936"/>
      <c r="BNE73" s="2936"/>
      <c r="BNF73" s="2936"/>
      <c r="BNG73" s="2936"/>
      <c r="BNH73" s="2936"/>
      <c r="BNI73" s="2936"/>
      <c r="BNJ73" s="2936"/>
      <c r="BNK73" s="2936"/>
      <c r="BNL73" s="2936"/>
      <c r="BNM73" s="2936"/>
      <c r="BNN73" s="2936"/>
      <c r="BNO73" s="2936"/>
      <c r="BNP73" s="2936"/>
      <c r="BNQ73" s="2936"/>
      <c r="BNR73" s="2936"/>
      <c r="BNS73" s="2936"/>
      <c r="BNT73" s="2936"/>
      <c r="BNU73" s="2936"/>
      <c r="BNV73" s="2936"/>
      <c r="BNW73" s="2936"/>
      <c r="BNX73" s="2936"/>
      <c r="BNY73" s="2936"/>
      <c r="BNZ73" s="2936"/>
      <c r="BOA73" s="2936"/>
      <c r="BOB73" s="2936"/>
      <c r="BOC73" s="2936"/>
      <c r="BOD73" s="2936"/>
      <c r="BOE73" s="2936"/>
      <c r="BOF73" s="2936"/>
      <c r="BOG73" s="2936"/>
      <c r="BOH73" s="2936"/>
      <c r="BOI73" s="2936"/>
      <c r="BOJ73" s="2936"/>
      <c r="BOK73" s="2936"/>
      <c r="BOL73" s="2936"/>
      <c r="BOM73" s="2936"/>
      <c r="BON73" s="2936"/>
      <c r="BOO73" s="2936"/>
      <c r="BOP73" s="2936"/>
      <c r="BOQ73" s="2936"/>
      <c r="BOR73" s="2936"/>
      <c r="BOS73" s="2936"/>
      <c r="BOT73" s="2936"/>
      <c r="BOU73" s="2936"/>
      <c r="BOV73" s="2936"/>
      <c r="BOW73" s="2936"/>
      <c r="BOX73" s="2936"/>
      <c r="BOY73" s="2936"/>
      <c r="BOZ73" s="2936"/>
      <c r="BPA73" s="2936"/>
      <c r="BPB73" s="2936"/>
      <c r="BPC73" s="2936"/>
      <c r="BPD73" s="2936"/>
      <c r="BPE73" s="2936"/>
      <c r="BPF73" s="2936"/>
      <c r="BPG73" s="2936"/>
      <c r="BPH73" s="2936"/>
      <c r="BPI73" s="2936"/>
      <c r="BPJ73" s="2936"/>
      <c r="BPK73" s="2936"/>
      <c r="BPL73" s="2936"/>
      <c r="BPM73" s="2936"/>
      <c r="BPN73" s="2936"/>
      <c r="BPO73" s="2936"/>
      <c r="BPP73" s="2936"/>
      <c r="BPQ73" s="2936"/>
      <c r="BPR73" s="2936"/>
      <c r="BPS73" s="2936"/>
      <c r="BPT73" s="2936"/>
      <c r="BPU73" s="2936"/>
      <c r="BPV73" s="2936"/>
      <c r="BPW73" s="2936"/>
      <c r="BPX73" s="2936"/>
      <c r="BPY73" s="2936"/>
      <c r="BPZ73" s="2936"/>
      <c r="BQA73" s="2936"/>
      <c r="BQB73" s="2936"/>
      <c r="BQC73" s="2936"/>
      <c r="BQD73" s="2936"/>
      <c r="BQE73" s="2936"/>
      <c r="BQF73" s="2936"/>
      <c r="BQG73" s="2936"/>
      <c r="BQH73" s="2936"/>
      <c r="BQI73" s="2936"/>
      <c r="BQJ73" s="2936"/>
      <c r="BQK73" s="2936"/>
      <c r="BQL73" s="2936"/>
      <c r="BQM73" s="2936"/>
      <c r="BQN73" s="2936"/>
      <c r="BQO73" s="2936"/>
      <c r="BQP73" s="2936"/>
      <c r="BQQ73" s="2936"/>
      <c r="BQR73" s="2936"/>
      <c r="BQS73" s="2936"/>
      <c r="BQT73" s="2936"/>
      <c r="BQU73" s="2936"/>
      <c r="BQV73" s="2936"/>
      <c r="BQW73" s="2936"/>
      <c r="BQX73" s="2936"/>
      <c r="BQY73" s="2936"/>
      <c r="BQZ73" s="2936"/>
      <c r="BRA73" s="2936"/>
      <c r="BRB73" s="2936"/>
      <c r="BRC73" s="2936"/>
      <c r="BRD73" s="2936"/>
      <c r="BRE73" s="2936"/>
      <c r="BRF73" s="2936"/>
      <c r="BRG73" s="2936"/>
      <c r="BRH73" s="2936"/>
      <c r="BRI73" s="2936"/>
      <c r="BRJ73" s="2936"/>
      <c r="BRK73" s="2936"/>
      <c r="BRL73" s="2936"/>
      <c r="BRM73" s="2936"/>
      <c r="BRN73" s="2936"/>
      <c r="BRO73" s="2936"/>
      <c r="BRP73" s="2936"/>
      <c r="BRQ73" s="2936"/>
      <c r="BRR73" s="2936"/>
      <c r="BRS73" s="2936"/>
      <c r="BRT73" s="2936"/>
      <c r="BRU73" s="2936"/>
      <c r="BRV73" s="2936"/>
      <c r="BRW73" s="2936"/>
      <c r="BRX73" s="2936"/>
      <c r="BRY73" s="2936"/>
      <c r="BRZ73" s="2936"/>
      <c r="BSA73" s="2936"/>
      <c r="BSB73" s="2936"/>
      <c r="BSC73" s="2936"/>
      <c r="BSD73" s="2936"/>
      <c r="BSE73" s="2936"/>
      <c r="BSF73" s="2936"/>
      <c r="BSG73" s="2936"/>
      <c r="BSH73" s="2936"/>
      <c r="BSI73" s="2936"/>
      <c r="BSJ73" s="2936"/>
      <c r="BSK73" s="2936"/>
      <c r="BSL73" s="2936"/>
      <c r="BSM73" s="2936"/>
      <c r="BSN73" s="2936"/>
      <c r="BSO73" s="2936"/>
      <c r="BSP73" s="2936"/>
      <c r="BSQ73" s="2936"/>
      <c r="BSR73" s="2936"/>
      <c r="BSS73" s="2936"/>
      <c r="BST73" s="2936"/>
      <c r="BSU73" s="2936"/>
      <c r="BSV73" s="2936"/>
      <c r="BSW73" s="2936"/>
      <c r="BSX73" s="2936"/>
      <c r="BSY73" s="2936"/>
      <c r="BSZ73" s="2936"/>
      <c r="BTA73" s="2936"/>
      <c r="BTB73" s="2936"/>
      <c r="BTC73" s="2936"/>
      <c r="BTD73" s="2936"/>
      <c r="BTE73" s="2936"/>
      <c r="BTF73" s="2936"/>
      <c r="BTG73" s="2936"/>
      <c r="BTH73" s="2936"/>
      <c r="BTI73" s="2936"/>
      <c r="BTJ73" s="2936"/>
      <c r="BTK73" s="2936"/>
      <c r="BTL73" s="2936"/>
      <c r="BTM73" s="2936"/>
      <c r="BTN73" s="2936"/>
      <c r="BTO73" s="2936"/>
      <c r="BTP73" s="2936"/>
      <c r="BTQ73" s="2936"/>
      <c r="BTR73" s="2936"/>
      <c r="BTS73" s="2936"/>
      <c r="BTT73" s="2936"/>
      <c r="BTU73" s="2936"/>
      <c r="BTV73" s="2936"/>
      <c r="BTW73" s="2936"/>
      <c r="BTX73" s="2936"/>
      <c r="BTY73" s="2936"/>
      <c r="BTZ73" s="2936"/>
      <c r="BUA73" s="2936"/>
      <c r="BUB73" s="2936"/>
      <c r="BUC73" s="2936"/>
      <c r="BUD73" s="2936"/>
      <c r="BUE73" s="2936"/>
      <c r="BUF73" s="2936"/>
      <c r="BUG73" s="2936"/>
      <c r="BUH73" s="2936"/>
      <c r="BUI73" s="2936"/>
      <c r="BUJ73" s="2936"/>
      <c r="BUK73" s="2936"/>
      <c r="BUL73" s="2936"/>
      <c r="BUM73" s="2936"/>
      <c r="BUN73" s="2936"/>
      <c r="BUO73" s="2936"/>
      <c r="BUP73" s="2936"/>
      <c r="BUQ73" s="2936"/>
      <c r="BUR73" s="2936"/>
      <c r="BUS73" s="2936"/>
      <c r="BUT73" s="2936"/>
      <c r="BUU73" s="2936"/>
      <c r="BUV73" s="2936"/>
      <c r="BUW73" s="2936"/>
      <c r="BUX73" s="2936"/>
      <c r="BUY73" s="2936"/>
      <c r="BUZ73" s="2936"/>
      <c r="BVA73" s="2936"/>
      <c r="BVB73" s="2936"/>
      <c r="BVC73" s="2936"/>
      <c r="BVD73" s="2936"/>
      <c r="BVE73" s="2936"/>
      <c r="BVF73" s="2936"/>
      <c r="BVG73" s="2936"/>
      <c r="BVH73" s="2936"/>
      <c r="BVI73" s="2936"/>
      <c r="BVJ73" s="2936"/>
      <c r="BVK73" s="2936"/>
      <c r="BVL73" s="2936"/>
      <c r="BVM73" s="2936"/>
      <c r="BVN73" s="2936"/>
      <c r="BVO73" s="2936"/>
      <c r="BVP73" s="2936"/>
      <c r="BVQ73" s="2936"/>
      <c r="BVR73" s="2936"/>
      <c r="BVS73" s="2936"/>
      <c r="BVT73" s="2936"/>
      <c r="BVU73" s="2936"/>
      <c r="BVV73" s="2936"/>
      <c r="BVW73" s="2936"/>
      <c r="BVX73" s="2936"/>
      <c r="BVY73" s="2936"/>
      <c r="BVZ73" s="2936"/>
      <c r="BWA73" s="2936"/>
      <c r="BWB73" s="2936"/>
      <c r="BWC73" s="2936"/>
      <c r="BWD73" s="2936"/>
      <c r="BWE73" s="2936"/>
      <c r="BWF73" s="2936"/>
      <c r="BWG73" s="2936"/>
      <c r="BWH73" s="2936"/>
      <c r="BWI73" s="2936"/>
      <c r="BWJ73" s="2936"/>
      <c r="BWK73" s="2936"/>
      <c r="BWL73" s="2936"/>
      <c r="BWM73" s="2936"/>
      <c r="BWN73" s="2936"/>
      <c r="BWO73" s="2936"/>
      <c r="BWP73" s="2936"/>
      <c r="BWQ73" s="2936"/>
      <c r="BWR73" s="2936"/>
      <c r="BWS73" s="2936"/>
      <c r="BWT73" s="2936"/>
      <c r="BWU73" s="2936"/>
      <c r="BWV73" s="2936"/>
      <c r="BWW73" s="2936"/>
      <c r="BWX73" s="2936"/>
      <c r="BWY73" s="2936"/>
      <c r="BWZ73" s="2936"/>
      <c r="BXA73" s="2936"/>
      <c r="BXB73" s="2936"/>
      <c r="BXC73" s="2936"/>
      <c r="BXD73" s="2936"/>
      <c r="BXE73" s="2936"/>
      <c r="BXF73" s="2936"/>
      <c r="BXG73" s="2936"/>
      <c r="BXH73" s="2936"/>
      <c r="BXI73" s="2936"/>
      <c r="BXJ73" s="2936"/>
      <c r="BXK73" s="2936"/>
      <c r="BXL73" s="2936"/>
      <c r="BXM73" s="2936"/>
      <c r="BXN73" s="2936"/>
      <c r="BXO73" s="2936"/>
      <c r="BXP73" s="2936"/>
      <c r="BXQ73" s="2936"/>
      <c r="BXR73" s="2936"/>
      <c r="BXS73" s="2936"/>
      <c r="BXT73" s="2936"/>
      <c r="BXU73" s="2936"/>
      <c r="BXV73" s="2936"/>
      <c r="BXW73" s="2936"/>
      <c r="BXX73" s="2936"/>
      <c r="BXY73" s="2936"/>
      <c r="BXZ73" s="2936"/>
      <c r="BYA73" s="2936"/>
      <c r="BYB73" s="2936"/>
      <c r="BYC73" s="2936"/>
      <c r="BYD73" s="2936"/>
      <c r="BYE73" s="2936"/>
      <c r="BYF73" s="2936"/>
      <c r="BYG73" s="2936"/>
      <c r="BYH73" s="2936"/>
      <c r="BYI73" s="2936"/>
      <c r="BYJ73" s="2936"/>
      <c r="BYK73" s="2936"/>
      <c r="BYL73" s="2936"/>
      <c r="BYM73" s="2936"/>
      <c r="BYN73" s="2936"/>
      <c r="BYO73" s="2936"/>
      <c r="BYP73" s="2936"/>
      <c r="BYQ73" s="2936"/>
      <c r="BYR73" s="2936"/>
      <c r="BYS73" s="2936"/>
      <c r="BYT73" s="2936"/>
      <c r="BYU73" s="2936"/>
      <c r="BYV73" s="2936"/>
      <c r="BYW73" s="2936"/>
      <c r="BYX73" s="2936"/>
      <c r="BYY73" s="2936"/>
      <c r="BYZ73" s="2936"/>
      <c r="BZA73" s="2936"/>
      <c r="BZB73" s="2936"/>
      <c r="BZC73" s="2936"/>
      <c r="BZD73" s="2936"/>
      <c r="BZE73" s="2936"/>
      <c r="BZF73" s="2936"/>
      <c r="BZG73" s="2936"/>
      <c r="BZH73" s="2936"/>
      <c r="BZI73" s="2936"/>
      <c r="BZJ73" s="2936"/>
      <c r="BZK73" s="2936"/>
      <c r="BZL73" s="2936"/>
      <c r="BZM73" s="2936"/>
      <c r="BZN73" s="2936"/>
      <c r="BZO73" s="2936"/>
      <c r="BZP73" s="2936"/>
      <c r="BZQ73" s="2936"/>
      <c r="BZR73" s="2936"/>
      <c r="BZS73" s="2936"/>
      <c r="BZT73" s="2936"/>
      <c r="BZU73" s="2936"/>
      <c r="BZV73" s="2936"/>
      <c r="BZW73" s="2936"/>
      <c r="BZX73" s="2936"/>
      <c r="BZY73" s="2936"/>
      <c r="BZZ73" s="2936"/>
      <c r="CAA73" s="2936"/>
      <c r="CAB73" s="2936"/>
      <c r="CAC73" s="2936"/>
      <c r="CAD73" s="2936"/>
      <c r="CAE73" s="2936"/>
      <c r="CAF73" s="2936"/>
      <c r="CAG73" s="2936"/>
      <c r="CAH73" s="2936"/>
      <c r="CAI73" s="2936"/>
      <c r="CAJ73" s="2936"/>
      <c r="CAK73" s="2936"/>
      <c r="CAL73" s="2936"/>
      <c r="CAM73" s="2936"/>
      <c r="CAN73" s="2936"/>
      <c r="CAO73" s="2936"/>
      <c r="CAP73" s="2936"/>
      <c r="CAQ73" s="2936"/>
      <c r="CAR73" s="2936"/>
      <c r="CAS73" s="2936"/>
      <c r="CAT73" s="2936"/>
      <c r="CAU73" s="2936"/>
      <c r="CAV73" s="2936"/>
      <c r="CAW73" s="2936"/>
      <c r="CAX73" s="2936"/>
      <c r="CAY73" s="2936"/>
      <c r="CAZ73" s="2936"/>
      <c r="CBA73" s="2936"/>
      <c r="CBB73" s="2936"/>
      <c r="CBC73" s="2936"/>
      <c r="CBD73" s="2936"/>
      <c r="CBE73" s="2936"/>
      <c r="CBF73" s="2936"/>
      <c r="CBG73" s="2936"/>
      <c r="CBH73" s="2936"/>
      <c r="CBI73" s="2936"/>
      <c r="CBJ73" s="2936"/>
      <c r="CBK73" s="2936"/>
      <c r="CBL73" s="2936"/>
      <c r="CBM73" s="2936"/>
      <c r="CBN73" s="2936"/>
      <c r="CBO73" s="2936"/>
      <c r="CBP73" s="2936"/>
      <c r="CBQ73" s="2936"/>
      <c r="CBR73" s="2936"/>
      <c r="CBS73" s="2936"/>
      <c r="CBT73" s="2936"/>
      <c r="CBU73" s="2936"/>
      <c r="CBV73" s="2936"/>
      <c r="CBW73" s="2936"/>
      <c r="CBX73" s="2936"/>
      <c r="CBY73" s="2936"/>
      <c r="CBZ73" s="2936"/>
      <c r="CCA73" s="2936"/>
      <c r="CCB73" s="2936"/>
      <c r="CCC73" s="2936"/>
      <c r="CCD73" s="2936"/>
      <c r="CCE73" s="2936"/>
      <c r="CCF73" s="2936"/>
      <c r="CCG73" s="2936"/>
      <c r="CCH73" s="2936"/>
      <c r="CCI73" s="2936"/>
      <c r="CCJ73" s="2936"/>
      <c r="CCK73" s="2936"/>
      <c r="CCL73" s="2936"/>
      <c r="CCM73" s="2936"/>
      <c r="CCN73" s="2936"/>
      <c r="CCO73" s="2936"/>
      <c r="CCP73" s="2936"/>
      <c r="CCQ73" s="2936"/>
      <c r="CCR73" s="2936"/>
      <c r="CCS73" s="2936"/>
      <c r="CCT73" s="2936"/>
      <c r="CCU73" s="2936"/>
      <c r="CCV73" s="2936"/>
      <c r="CCW73" s="2936"/>
      <c r="CCX73" s="2936"/>
      <c r="CCY73" s="2936"/>
      <c r="CCZ73" s="2936"/>
      <c r="CDA73" s="2936"/>
      <c r="CDB73" s="2936"/>
      <c r="CDC73" s="2936"/>
      <c r="CDD73" s="2936"/>
      <c r="CDE73" s="2936"/>
      <c r="CDF73" s="2936"/>
      <c r="CDG73" s="2936"/>
      <c r="CDH73" s="2936"/>
      <c r="CDI73" s="2936"/>
      <c r="CDJ73" s="2936"/>
      <c r="CDK73" s="2936"/>
      <c r="CDL73" s="2936"/>
      <c r="CDM73" s="2936"/>
      <c r="CDN73" s="2936"/>
      <c r="CDO73" s="2936"/>
      <c r="CDP73" s="2936"/>
      <c r="CDQ73" s="2936"/>
      <c r="CDR73" s="2936"/>
      <c r="CDS73" s="2936"/>
      <c r="CDT73" s="2936"/>
      <c r="CDU73" s="2936"/>
      <c r="CDV73" s="2936"/>
      <c r="CDW73" s="2936"/>
      <c r="CDX73" s="2936"/>
      <c r="CDY73" s="2936"/>
      <c r="CDZ73" s="2936"/>
      <c r="CEA73" s="2936"/>
      <c r="CEB73" s="2936"/>
      <c r="CEC73" s="2936"/>
      <c r="CED73" s="2936"/>
      <c r="CEE73" s="2936"/>
      <c r="CEF73" s="2936"/>
      <c r="CEG73" s="2936"/>
      <c r="CEH73" s="2936"/>
      <c r="CEI73" s="2936"/>
      <c r="CEJ73" s="2936"/>
      <c r="CEK73" s="2936"/>
      <c r="CEL73" s="2936"/>
      <c r="CEM73" s="2936"/>
      <c r="CEN73" s="2936"/>
      <c r="CEO73" s="2936"/>
      <c r="CEP73" s="2936"/>
      <c r="CEQ73" s="2936"/>
      <c r="CER73" s="2936"/>
      <c r="CES73" s="2936"/>
      <c r="CET73" s="2936"/>
      <c r="CEU73" s="2936"/>
      <c r="CEV73" s="2936"/>
      <c r="CEW73" s="2936"/>
      <c r="CEX73" s="2936"/>
      <c r="CEY73" s="2936"/>
      <c r="CEZ73" s="2936"/>
      <c r="CFA73" s="2936"/>
      <c r="CFB73" s="2936"/>
      <c r="CFC73" s="2936"/>
      <c r="CFD73" s="2936"/>
      <c r="CFE73" s="2936"/>
      <c r="CFF73" s="2936"/>
      <c r="CFG73" s="2936"/>
      <c r="CFH73" s="2936"/>
      <c r="CFI73" s="2936"/>
      <c r="CFJ73" s="2936"/>
      <c r="CFK73" s="2936"/>
      <c r="CFL73" s="2936"/>
      <c r="CFM73" s="2936"/>
      <c r="CFN73" s="2936"/>
      <c r="CFO73" s="2936"/>
      <c r="CFP73" s="2936"/>
      <c r="CFQ73" s="2936"/>
      <c r="CFR73" s="2936"/>
      <c r="CFS73" s="2936"/>
      <c r="CFT73" s="2936"/>
      <c r="CFU73" s="2936"/>
      <c r="CFV73" s="2936"/>
      <c r="CFW73" s="2936"/>
      <c r="CFX73" s="2936"/>
      <c r="CFY73" s="2936"/>
      <c r="CFZ73" s="2936"/>
      <c r="CGA73" s="2936"/>
      <c r="CGB73" s="2936"/>
      <c r="CGC73" s="2936"/>
      <c r="CGD73" s="2936"/>
      <c r="CGE73" s="2936"/>
      <c r="CGF73" s="2936"/>
      <c r="CGG73" s="2936"/>
      <c r="CGH73" s="2936"/>
      <c r="CGI73" s="2936"/>
      <c r="CGJ73" s="2936"/>
      <c r="CGK73" s="2936"/>
      <c r="CGL73" s="2936"/>
      <c r="CGM73" s="2936"/>
      <c r="CGN73" s="2936"/>
      <c r="CGO73" s="2936"/>
      <c r="CGP73" s="2936"/>
      <c r="CGQ73" s="2936"/>
      <c r="CGR73" s="2936"/>
      <c r="CGS73" s="2936"/>
      <c r="CGT73" s="2936"/>
      <c r="CGU73" s="2936"/>
      <c r="CGV73" s="2936"/>
      <c r="CGW73" s="2936"/>
      <c r="CGX73" s="2936"/>
      <c r="CGY73" s="2936"/>
      <c r="CGZ73" s="2936"/>
      <c r="CHA73" s="2936"/>
      <c r="CHB73" s="2936"/>
      <c r="CHC73" s="2936"/>
      <c r="CHD73" s="2936"/>
      <c r="CHE73" s="2936"/>
      <c r="CHF73" s="2936"/>
      <c r="CHG73" s="2936"/>
      <c r="CHH73" s="2936"/>
      <c r="CHI73" s="2936"/>
      <c r="CHJ73" s="2936"/>
      <c r="CHK73" s="2936"/>
      <c r="CHL73" s="2936"/>
      <c r="CHM73" s="2936"/>
      <c r="CHN73" s="2936"/>
      <c r="CHO73" s="2936"/>
      <c r="CHP73" s="2936"/>
      <c r="CHQ73" s="2936"/>
      <c r="CHR73" s="2936"/>
      <c r="CHS73" s="2936"/>
      <c r="CHT73" s="2936"/>
      <c r="CHU73" s="2936"/>
      <c r="CHV73" s="2936"/>
      <c r="CHW73" s="2936"/>
      <c r="CHX73" s="2936"/>
      <c r="CHY73" s="2936"/>
      <c r="CHZ73" s="2936"/>
      <c r="CIA73" s="2936"/>
      <c r="CIB73" s="2936"/>
      <c r="CIC73" s="2936"/>
      <c r="CID73" s="2936"/>
      <c r="CIE73" s="2936"/>
      <c r="CIF73" s="2936"/>
      <c r="CIG73" s="2936"/>
      <c r="CIH73" s="2936"/>
      <c r="CII73" s="2936"/>
      <c r="CIJ73" s="2936"/>
      <c r="CIK73" s="2936"/>
      <c r="CIL73" s="2936"/>
      <c r="CIM73" s="2936"/>
      <c r="CIN73" s="2936"/>
      <c r="CIO73" s="2936"/>
      <c r="CIP73" s="2936"/>
      <c r="CIQ73" s="2936"/>
      <c r="CIR73" s="2936"/>
      <c r="CIS73" s="2936"/>
      <c r="CIT73" s="2936"/>
      <c r="CIU73" s="2936"/>
      <c r="CIV73" s="2936"/>
      <c r="CIW73" s="2936"/>
      <c r="CIX73" s="2936"/>
      <c r="CIY73" s="2936"/>
      <c r="CIZ73" s="2936"/>
      <c r="CJA73" s="2936"/>
      <c r="CJB73" s="2936"/>
      <c r="CJC73" s="2936"/>
      <c r="CJD73" s="2936"/>
      <c r="CJE73" s="2936"/>
      <c r="CJF73" s="2936"/>
      <c r="CJG73" s="2936"/>
      <c r="CJH73" s="2936"/>
      <c r="CJI73" s="2936"/>
      <c r="CJJ73" s="2936"/>
      <c r="CJK73" s="2936"/>
      <c r="CJL73" s="2936"/>
      <c r="CJM73" s="2936"/>
      <c r="CJN73" s="2936"/>
      <c r="CJO73" s="2936"/>
      <c r="CJP73" s="2936"/>
      <c r="CJQ73" s="2936"/>
      <c r="CJR73" s="2936"/>
      <c r="CJS73" s="2936"/>
      <c r="CJT73" s="2936"/>
      <c r="CJU73" s="2936"/>
      <c r="CJV73" s="2936"/>
      <c r="CJW73" s="2936"/>
      <c r="CJX73" s="2936"/>
      <c r="CJY73" s="2936"/>
      <c r="CJZ73" s="2936"/>
      <c r="CKA73" s="2936"/>
      <c r="CKB73" s="2936"/>
      <c r="CKC73" s="2936"/>
      <c r="CKD73" s="2936"/>
      <c r="CKE73" s="2936"/>
      <c r="CKF73" s="2936"/>
      <c r="CKG73" s="2936"/>
      <c r="CKH73" s="2936"/>
      <c r="CKI73" s="2936"/>
      <c r="CKJ73" s="2936"/>
      <c r="CKK73" s="2936"/>
      <c r="CKL73" s="2936"/>
      <c r="CKM73" s="2936"/>
      <c r="CKN73" s="2936"/>
      <c r="CKO73" s="2936"/>
      <c r="CKP73" s="2936"/>
      <c r="CKQ73" s="2936"/>
      <c r="CKR73" s="2936"/>
      <c r="CKS73" s="2936"/>
      <c r="CKT73" s="2936"/>
      <c r="CKU73" s="2936"/>
      <c r="CKV73" s="2936"/>
      <c r="CKW73" s="2936"/>
      <c r="CKX73" s="2936"/>
      <c r="CKY73" s="2936"/>
      <c r="CKZ73" s="2936"/>
      <c r="CLA73" s="2936"/>
      <c r="CLB73" s="2936"/>
      <c r="CLC73" s="2936"/>
      <c r="CLD73" s="2936"/>
      <c r="CLE73" s="2936"/>
      <c r="CLF73" s="2936"/>
      <c r="CLG73" s="2936"/>
      <c r="CLH73" s="2936"/>
      <c r="CLI73" s="2936"/>
      <c r="CLJ73" s="2936"/>
      <c r="CLK73" s="2936"/>
      <c r="CLL73" s="2936"/>
      <c r="CLM73" s="2936"/>
      <c r="CLN73" s="2936"/>
      <c r="CLO73" s="2936"/>
      <c r="CLP73" s="2936"/>
      <c r="CLQ73" s="2936"/>
      <c r="CLR73" s="2936"/>
      <c r="CLS73" s="2936"/>
      <c r="CLT73" s="2936"/>
      <c r="CLU73" s="2936"/>
      <c r="CLV73" s="2936"/>
      <c r="CLW73" s="2936"/>
      <c r="CLX73" s="2936"/>
      <c r="CLY73" s="2936"/>
      <c r="CLZ73" s="2936"/>
      <c r="CMA73" s="2936"/>
      <c r="CMB73" s="2936"/>
      <c r="CMC73" s="2936"/>
      <c r="CMD73" s="2936"/>
      <c r="CME73" s="2936"/>
      <c r="CMF73" s="2936"/>
      <c r="CMG73" s="2936"/>
      <c r="CMH73" s="2936"/>
      <c r="CMI73" s="2936"/>
      <c r="CMJ73" s="2936"/>
      <c r="CMK73" s="2936"/>
      <c r="CML73" s="2936"/>
      <c r="CMM73" s="2936"/>
      <c r="CMN73" s="2936"/>
      <c r="CMO73" s="2936"/>
      <c r="CMP73" s="2936"/>
      <c r="CMQ73" s="2936"/>
      <c r="CMR73" s="2936"/>
      <c r="CMS73" s="2936"/>
      <c r="CMT73" s="2936"/>
      <c r="CMU73" s="2936"/>
      <c r="CMV73" s="2936"/>
      <c r="CMW73" s="2936"/>
      <c r="CMX73" s="2936"/>
      <c r="CMY73" s="2936"/>
      <c r="CMZ73" s="2936"/>
      <c r="CNA73" s="2936"/>
      <c r="CNB73" s="2936"/>
      <c r="CNC73" s="2936"/>
      <c r="CND73" s="2936"/>
      <c r="CNE73" s="2936"/>
      <c r="CNF73" s="2936"/>
      <c r="CNG73" s="2936"/>
      <c r="CNH73" s="2936"/>
      <c r="CNI73" s="2936"/>
      <c r="CNJ73" s="2936"/>
      <c r="CNK73" s="2936"/>
      <c r="CNL73" s="2936"/>
      <c r="CNM73" s="2936"/>
      <c r="CNN73" s="2936"/>
      <c r="CNO73" s="2936"/>
      <c r="CNP73" s="2936"/>
      <c r="CNQ73" s="2936"/>
      <c r="CNR73" s="2936"/>
      <c r="CNS73" s="2936"/>
      <c r="CNT73" s="2936"/>
      <c r="CNU73" s="2936"/>
      <c r="CNV73" s="2936"/>
      <c r="CNW73" s="2936"/>
      <c r="CNX73" s="2936"/>
      <c r="CNY73" s="2936"/>
      <c r="CNZ73" s="2936"/>
      <c r="COA73" s="2936"/>
      <c r="COB73" s="2936"/>
      <c r="COC73" s="2936"/>
      <c r="COD73" s="2936"/>
      <c r="COE73" s="2936"/>
      <c r="COF73" s="2936"/>
      <c r="COG73" s="2936"/>
      <c r="COH73" s="2936"/>
      <c r="COI73" s="2936"/>
      <c r="COJ73" s="2936"/>
      <c r="COK73" s="2936"/>
      <c r="COL73" s="2936"/>
      <c r="COM73" s="2936"/>
      <c r="CON73" s="2936"/>
      <c r="COO73" s="2936"/>
      <c r="COP73" s="2936"/>
      <c r="COQ73" s="2936"/>
      <c r="COR73" s="2936"/>
      <c r="COS73" s="2936"/>
      <c r="COT73" s="2936"/>
      <c r="COU73" s="2936"/>
      <c r="COV73" s="2936"/>
      <c r="COW73" s="2936"/>
      <c r="COX73" s="2936"/>
      <c r="COY73" s="2936"/>
      <c r="COZ73" s="2936"/>
      <c r="CPA73" s="2936"/>
      <c r="CPB73" s="2936"/>
      <c r="CPC73" s="2936"/>
      <c r="CPD73" s="2936"/>
      <c r="CPE73" s="2936"/>
      <c r="CPF73" s="2936"/>
      <c r="CPG73" s="2936"/>
      <c r="CPH73" s="2936"/>
      <c r="CPI73" s="2936"/>
      <c r="CPJ73" s="2936"/>
      <c r="CPK73" s="2936"/>
      <c r="CPL73" s="2936"/>
      <c r="CPM73" s="2936"/>
      <c r="CPN73" s="2936"/>
      <c r="CPO73" s="2936"/>
      <c r="CPP73" s="2936"/>
      <c r="CPQ73" s="2936"/>
      <c r="CPR73" s="2936"/>
      <c r="CPS73" s="2936"/>
      <c r="CPT73" s="2936"/>
      <c r="CPU73" s="2936"/>
      <c r="CPV73" s="2936"/>
      <c r="CPW73" s="2936"/>
      <c r="CPX73" s="2936"/>
      <c r="CPY73" s="2936"/>
      <c r="CPZ73" s="2936"/>
      <c r="CQA73" s="2936"/>
      <c r="CQB73" s="2936"/>
      <c r="CQC73" s="2936"/>
      <c r="CQD73" s="2936"/>
      <c r="CQE73" s="2936"/>
      <c r="CQF73" s="2936"/>
      <c r="CQG73" s="2936"/>
      <c r="CQH73" s="2936"/>
      <c r="CQI73" s="2936"/>
      <c r="CQJ73" s="2936"/>
      <c r="CQK73" s="2936"/>
      <c r="CQL73" s="2936"/>
      <c r="CQM73" s="2936"/>
      <c r="CQN73" s="2936"/>
      <c r="CQO73" s="2936"/>
      <c r="CQP73" s="2936"/>
      <c r="CQQ73" s="2936"/>
      <c r="CQR73" s="2936"/>
      <c r="CQS73" s="2936"/>
      <c r="CQT73" s="2936"/>
      <c r="CQU73" s="2936"/>
      <c r="CQV73" s="2936"/>
      <c r="CQW73" s="2936"/>
      <c r="CQX73" s="2936"/>
      <c r="CQY73" s="2936"/>
      <c r="CQZ73" s="2936"/>
      <c r="CRA73" s="2936"/>
      <c r="CRB73" s="2936"/>
      <c r="CRC73" s="2936"/>
      <c r="CRD73" s="2936"/>
      <c r="CRE73" s="2936"/>
      <c r="CRF73" s="2936"/>
      <c r="CRG73" s="2936"/>
      <c r="CRH73" s="2936"/>
      <c r="CRI73" s="2936"/>
      <c r="CRJ73" s="2936"/>
      <c r="CRK73" s="2936"/>
      <c r="CRL73" s="2936"/>
      <c r="CRM73" s="2936"/>
      <c r="CRN73" s="2936"/>
      <c r="CRO73" s="2936"/>
      <c r="CRP73" s="2936"/>
      <c r="CRQ73" s="2936"/>
      <c r="CRR73" s="2936"/>
      <c r="CRS73" s="2936"/>
      <c r="CRT73" s="2936"/>
      <c r="CRU73" s="2936"/>
      <c r="CRV73" s="2936"/>
      <c r="CRW73" s="2936"/>
      <c r="CRX73" s="2936"/>
      <c r="CRY73" s="2936"/>
      <c r="CRZ73" s="2936"/>
      <c r="CSA73" s="2936"/>
      <c r="CSB73" s="2936"/>
      <c r="CSC73" s="2936"/>
      <c r="CSD73" s="2936"/>
      <c r="CSE73" s="2936"/>
      <c r="CSF73" s="2936"/>
      <c r="CSG73" s="2936"/>
      <c r="CSH73" s="2936"/>
      <c r="CSI73" s="2936"/>
      <c r="CSJ73" s="2936"/>
      <c r="CSK73" s="2936"/>
      <c r="CSL73" s="2936"/>
      <c r="CSM73" s="2936"/>
      <c r="CSN73" s="2936"/>
      <c r="CSO73" s="2936"/>
      <c r="CSP73" s="2936"/>
      <c r="CSQ73" s="2936"/>
      <c r="CSR73" s="2936"/>
      <c r="CSS73" s="2936"/>
      <c r="CST73" s="2936"/>
      <c r="CSU73" s="2936"/>
      <c r="CSV73" s="2936"/>
      <c r="CSW73" s="2936"/>
      <c r="CSX73" s="2936"/>
      <c r="CSY73" s="2936"/>
      <c r="CSZ73" s="2936"/>
      <c r="CTA73" s="2936"/>
      <c r="CTB73" s="2936"/>
      <c r="CTC73" s="2936"/>
      <c r="CTD73" s="2936"/>
      <c r="CTE73" s="2936"/>
      <c r="CTF73" s="2936"/>
      <c r="CTG73" s="2936"/>
      <c r="CTH73" s="2936"/>
      <c r="CTI73" s="2936"/>
      <c r="CTJ73" s="2936"/>
      <c r="CTK73" s="2936"/>
      <c r="CTL73" s="2936"/>
      <c r="CTM73" s="2936"/>
      <c r="CTN73" s="2936"/>
      <c r="CTO73" s="2936"/>
      <c r="CTP73" s="2936"/>
      <c r="CTQ73" s="2936"/>
      <c r="CTR73" s="2936"/>
      <c r="CTS73" s="2936"/>
      <c r="CTT73" s="2936"/>
      <c r="CTU73" s="2936"/>
      <c r="CTV73" s="2936"/>
      <c r="CTW73" s="2936"/>
      <c r="CTX73" s="2936"/>
      <c r="CTY73" s="2936"/>
      <c r="CTZ73" s="2936"/>
      <c r="CUA73" s="2936"/>
      <c r="CUB73" s="2936"/>
      <c r="CUC73" s="2936"/>
      <c r="CUD73" s="2936"/>
      <c r="CUE73" s="2936"/>
      <c r="CUF73" s="2936"/>
      <c r="CUG73" s="2936"/>
      <c r="CUH73" s="2936"/>
      <c r="CUI73" s="2936"/>
      <c r="CUJ73" s="2936"/>
      <c r="CUK73" s="2936"/>
      <c r="CUL73" s="2936"/>
      <c r="CUM73" s="2936"/>
      <c r="CUN73" s="2936"/>
      <c r="CUO73" s="2936"/>
      <c r="CUP73" s="2936"/>
      <c r="CUQ73" s="2936"/>
      <c r="CUR73" s="2936"/>
      <c r="CUS73" s="2936"/>
      <c r="CUT73" s="2936"/>
      <c r="CUU73" s="2936"/>
      <c r="CUV73" s="2936"/>
      <c r="CUW73" s="2936"/>
      <c r="CUX73" s="2936"/>
      <c r="CUY73" s="2936"/>
      <c r="CUZ73" s="2936"/>
      <c r="CVA73" s="2936"/>
      <c r="CVB73" s="2936"/>
      <c r="CVC73" s="2936"/>
      <c r="CVD73" s="2936"/>
      <c r="CVE73" s="2936"/>
      <c r="CVF73" s="2936"/>
      <c r="CVG73" s="2936"/>
      <c r="CVH73" s="2936"/>
      <c r="CVI73" s="2936"/>
      <c r="CVJ73" s="2936"/>
      <c r="CVK73" s="2936"/>
      <c r="CVL73" s="2936"/>
      <c r="CVM73" s="2936"/>
      <c r="CVN73" s="2936"/>
      <c r="CVO73" s="2936"/>
      <c r="CVP73" s="2936"/>
      <c r="CVQ73" s="2936"/>
      <c r="CVR73" s="2936"/>
      <c r="CVS73" s="2936"/>
      <c r="CVT73" s="2936"/>
      <c r="CVU73" s="2936"/>
      <c r="CVV73" s="2936"/>
      <c r="CVW73" s="2936"/>
      <c r="CVX73" s="2936"/>
      <c r="CVY73" s="2936"/>
      <c r="CVZ73" s="2936"/>
      <c r="CWA73" s="2936"/>
      <c r="CWB73" s="2936"/>
      <c r="CWC73" s="2936"/>
      <c r="CWD73" s="2936"/>
      <c r="CWE73" s="2936"/>
      <c r="CWF73" s="2936"/>
      <c r="CWG73" s="2936"/>
      <c r="CWH73" s="2936"/>
      <c r="CWI73" s="2936"/>
      <c r="CWJ73" s="2936"/>
      <c r="CWK73" s="2936"/>
      <c r="CWL73" s="2936"/>
      <c r="CWM73" s="2936"/>
      <c r="CWN73" s="2936"/>
      <c r="CWO73" s="2936"/>
      <c r="CWP73" s="2936"/>
      <c r="CWQ73" s="2936"/>
      <c r="CWR73" s="2936"/>
      <c r="CWS73" s="2936"/>
      <c r="CWT73" s="2936"/>
      <c r="CWU73" s="2936"/>
      <c r="CWV73" s="2936"/>
      <c r="CWW73" s="2936"/>
      <c r="CWX73" s="2936"/>
      <c r="CWY73" s="2936"/>
      <c r="CWZ73" s="2936"/>
      <c r="CXA73" s="2936"/>
      <c r="CXB73" s="2936"/>
      <c r="CXC73" s="2936"/>
      <c r="CXD73" s="2936"/>
      <c r="CXE73" s="2936"/>
      <c r="CXF73" s="2936"/>
      <c r="CXG73" s="2936"/>
      <c r="CXH73" s="2936"/>
      <c r="CXI73" s="2936"/>
      <c r="CXJ73" s="2936"/>
      <c r="CXK73" s="2936"/>
      <c r="CXL73" s="2936"/>
      <c r="CXM73" s="2936"/>
      <c r="CXN73" s="2936"/>
      <c r="CXO73" s="2936"/>
      <c r="CXP73" s="2936"/>
      <c r="CXQ73" s="2936"/>
      <c r="CXR73" s="2936"/>
      <c r="CXS73" s="2936"/>
      <c r="CXT73" s="2936"/>
      <c r="CXU73" s="2936"/>
      <c r="CXV73" s="2936"/>
      <c r="CXW73" s="2936"/>
      <c r="CXX73" s="2936"/>
      <c r="CXY73" s="2936"/>
      <c r="CXZ73" s="2936"/>
      <c r="CYA73" s="2936"/>
      <c r="CYB73" s="2936"/>
      <c r="CYC73" s="2936"/>
      <c r="CYD73" s="2936"/>
      <c r="CYE73" s="2936"/>
      <c r="CYF73" s="2936"/>
      <c r="CYG73" s="2936"/>
      <c r="CYH73" s="2936"/>
      <c r="CYI73" s="2936"/>
      <c r="CYJ73" s="2936"/>
      <c r="CYK73" s="2936"/>
      <c r="CYL73" s="2936"/>
      <c r="CYM73" s="2936"/>
      <c r="CYN73" s="2936"/>
      <c r="CYO73" s="2936"/>
      <c r="CYP73" s="2936"/>
      <c r="CYQ73" s="2936"/>
      <c r="CYR73" s="2936"/>
      <c r="CYS73" s="2936"/>
      <c r="CYT73" s="2936"/>
      <c r="CYU73" s="2936"/>
      <c r="CYV73" s="2936"/>
      <c r="CYW73" s="2936"/>
      <c r="CYX73" s="2936"/>
      <c r="CYY73" s="2936"/>
      <c r="CYZ73" s="2936"/>
      <c r="CZA73" s="2936"/>
      <c r="CZB73" s="2936"/>
      <c r="CZC73" s="2936"/>
      <c r="CZD73" s="2936"/>
      <c r="CZE73" s="2936"/>
      <c r="CZF73" s="2936"/>
      <c r="CZG73" s="2936"/>
      <c r="CZH73" s="2936"/>
      <c r="CZI73" s="2936"/>
      <c r="CZJ73" s="2936"/>
      <c r="CZK73" s="2936"/>
      <c r="CZL73" s="2936"/>
      <c r="CZM73" s="2936"/>
      <c r="CZN73" s="2936"/>
      <c r="CZO73" s="2936"/>
      <c r="CZP73" s="2936"/>
      <c r="CZQ73" s="2936"/>
      <c r="CZR73" s="2936"/>
      <c r="CZS73" s="2936"/>
      <c r="CZT73" s="2936"/>
      <c r="CZU73" s="2936"/>
      <c r="CZV73" s="2936"/>
      <c r="CZW73" s="2936"/>
      <c r="CZX73" s="2936"/>
      <c r="CZY73" s="2936"/>
      <c r="CZZ73" s="2936"/>
      <c r="DAA73" s="2936"/>
      <c r="DAB73" s="2936"/>
      <c r="DAC73" s="2936"/>
      <c r="DAD73" s="2936"/>
      <c r="DAE73" s="2936"/>
      <c r="DAF73" s="2936"/>
      <c r="DAG73" s="2936"/>
      <c r="DAH73" s="2936"/>
      <c r="DAI73" s="2936"/>
      <c r="DAJ73" s="2936"/>
      <c r="DAK73" s="2936"/>
      <c r="DAL73" s="2936"/>
      <c r="DAM73" s="2936"/>
      <c r="DAN73" s="2936"/>
      <c r="DAO73" s="2936"/>
      <c r="DAP73" s="2936"/>
      <c r="DAQ73" s="2936"/>
      <c r="DAR73" s="2936"/>
      <c r="DAS73" s="2936"/>
      <c r="DAT73" s="2936"/>
      <c r="DAU73" s="2936"/>
      <c r="DAV73" s="2936"/>
      <c r="DAW73" s="2936"/>
      <c r="DAX73" s="2936"/>
      <c r="DAY73" s="2936"/>
      <c r="DAZ73" s="2936"/>
      <c r="DBA73" s="2936"/>
      <c r="DBB73" s="2936"/>
      <c r="DBC73" s="2936"/>
      <c r="DBD73" s="2936"/>
      <c r="DBE73" s="2936"/>
      <c r="DBF73" s="2936"/>
      <c r="DBG73" s="2936"/>
      <c r="DBH73" s="2936"/>
      <c r="DBI73" s="2936"/>
      <c r="DBJ73" s="2936"/>
      <c r="DBK73" s="2936"/>
      <c r="DBL73" s="2936"/>
      <c r="DBM73" s="2936"/>
      <c r="DBN73" s="2936"/>
      <c r="DBO73" s="2936"/>
      <c r="DBP73" s="2936"/>
      <c r="DBQ73" s="2936"/>
      <c r="DBR73" s="2936"/>
      <c r="DBS73" s="2936"/>
      <c r="DBT73" s="2936"/>
      <c r="DBU73" s="2936"/>
      <c r="DBV73" s="2936"/>
      <c r="DBW73" s="2936"/>
      <c r="DBX73" s="2936"/>
      <c r="DBY73" s="2936"/>
      <c r="DBZ73" s="2936"/>
      <c r="DCA73" s="2936"/>
      <c r="DCB73" s="2936"/>
      <c r="DCC73" s="2936"/>
      <c r="DCD73" s="2936"/>
      <c r="DCE73" s="2936"/>
      <c r="DCF73" s="2936"/>
      <c r="DCG73" s="2936"/>
      <c r="DCH73" s="2936"/>
      <c r="DCI73" s="2936"/>
      <c r="DCJ73" s="2936"/>
      <c r="DCK73" s="2936"/>
      <c r="DCL73" s="2936"/>
      <c r="DCM73" s="2936"/>
      <c r="DCN73" s="2936"/>
      <c r="DCO73" s="2936"/>
      <c r="DCP73" s="2936"/>
      <c r="DCQ73" s="2936"/>
      <c r="DCR73" s="2936"/>
      <c r="DCS73" s="2936"/>
      <c r="DCT73" s="2936"/>
      <c r="DCU73" s="2936"/>
      <c r="DCV73" s="2936"/>
      <c r="DCW73" s="2936"/>
      <c r="DCX73" s="2936"/>
      <c r="DCY73" s="2936"/>
      <c r="DCZ73" s="2936"/>
      <c r="DDA73" s="2936"/>
      <c r="DDB73" s="2936"/>
      <c r="DDC73" s="2936"/>
      <c r="DDD73" s="2936"/>
      <c r="DDE73" s="2936"/>
      <c r="DDF73" s="2936"/>
      <c r="DDG73" s="2936"/>
      <c r="DDH73" s="2936"/>
      <c r="DDI73" s="2936"/>
      <c r="DDJ73" s="2936"/>
      <c r="DDK73" s="2936"/>
      <c r="DDL73" s="2936"/>
      <c r="DDM73" s="2936"/>
      <c r="DDN73" s="2936"/>
      <c r="DDO73" s="2936"/>
      <c r="DDP73" s="2936"/>
      <c r="DDQ73" s="2936"/>
      <c r="DDR73" s="2936"/>
      <c r="DDS73" s="2936"/>
      <c r="DDT73" s="2936"/>
      <c r="DDU73" s="2936"/>
      <c r="DDV73" s="2936"/>
      <c r="DDW73" s="2936"/>
      <c r="DDX73" s="2936"/>
      <c r="DDY73" s="2936"/>
      <c r="DDZ73" s="2936"/>
      <c r="DEA73" s="2936"/>
      <c r="DEB73" s="2936"/>
      <c r="DEC73" s="2936"/>
      <c r="DED73" s="2936"/>
      <c r="DEE73" s="2936"/>
      <c r="DEF73" s="2936"/>
      <c r="DEG73" s="2936"/>
      <c r="DEH73" s="2936"/>
      <c r="DEI73" s="2936"/>
      <c r="DEJ73" s="2936"/>
      <c r="DEK73" s="2936"/>
      <c r="DEL73" s="2936"/>
      <c r="DEM73" s="2936"/>
      <c r="DEN73" s="2936"/>
      <c r="DEO73" s="2936"/>
      <c r="DEP73" s="2936"/>
      <c r="DEQ73" s="2936"/>
      <c r="DER73" s="2936"/>
      <c r="DES73" s="2936"/>
      <c r="DET73" s="2936"/>
      <c r="DEU73" s="2936"/>
      <c r="DEV73" s="2936"/>
      <c r="DEW73" s="2936"/>
      <c r="DEX73" s="2936"/>
      <c r="DEY73" s="2936"/>
      <c r="DEZ73" s="2936"/>
      <c r="DFA73" s="2936"/>
      <c r="DFB73" s="2936"/>
      <c r="DFC73" s="2936"/>
      <c r="DFD73" s="2936"/>
      <c r="DFE73" s="2936"/>
      <c r="DFF73" s="2936"/>
      <c r="DFG73" s="2936"/>
      <c r="DFH73" s="2936"/>
      <c r="DFI73" s="2936"/>
      <c r="DFJ73" s="2936"/>
      <c r="DFK73" s="2936"/>
      <c r="DFL73" s="2936"/>
      <c r="DFM73" s="2936"/>
      <c r="DFN73" s="2936"/>
      <c r="DFO73" s="2936"/>
      <c r="DFP73" s="2936"/>
      <c r="DFQ73" s="2936"/>
      <c r="DFR73" s="2936"/>
      <c r="DFS73" s="2936"/>
      <c r="DFT73" s="2936"/>
      <c r="DFU73" s="2936"/>
      <c r="DFV73" s="2936"/>
      <c r="DFW73" s="2936"/>
      <c r="DFX73" s="2936"/>
      <c r="DFY73" s="2936"/>
      <c r="DFZ73" s="2936"/>
      <c r="DGA73" s="2936"/>
      <c r="DGB73" s="2936"/>
      <c r="DGC73" s="2936"/>
      <c r="DGD73" s="2936"/>
      <c r="DGE73" s="2936"/>
      <c r="DGF73" s="2936"/>
      <c r="DGG73" s="2936"/>
      <c r="DGH73" s="2936"/>
      <c r="DGI73" s="2936"/>
      <c r="DGJ73" s="2936"/>
      <c r="DGK73" s="2936"/>
      <c r="DGL73" s="2936"/>
      <c r="DGM73" s="2936"/>
      <c r="DGN73" s="2936"/>
      <c r="DGO73" s="2936"/>
      <c r="DGP73" s="2936"/>
      <c r="DGQ73" s="2936"/>
      <c r="DGR73" s="2936"/>
      <c r="DGS73" s="2936"/>
      <c r="DGT73" s="2936"/>
      <c r="DGU73" s="2936"/>
      <c r="DGV73" s="2936"/>
      <c r="DGW73" s="2936"/>
      <c r="DGX73" s="2936"/>
      <c r="DGY73" s="2936"/>
      <c r="DGZ73" s="2936"/>
      <c r="DHA73" s="2936"/>
      <c r="DHB73" s="2936"/>
      <c r="DHC73" s="2936"/>
      <c r="DHD73" s="2936"/>
      <c r="DHE73" s="2936"/>
      <c r="DHF73" s="2936"/>
      <c r="DHG73" s="2936"/>
      <c r="DHH73" s="2936"/>
      <c r="DHI73" s="2936"/>
      <c r="DHJ73" s="2936"/>
      <c r="DHK73" s="2936"/>
      <c r="DHL73" s="2936"/>
      <c r="DHM73" s="2936"/>
      <c r="DHN73" s="2936"/>
      <c r="DHO73" s="2936"/>
      <c r="DHP73" s="2936"/>
      <c r="DHQ73" s="2936"/>
      <c r="DHR73" s="2936"/>
      <c r="DHS73" s="2936"/>
      <c r="DHT73" s="2936"/>
      <c r="DHU73" s="2936"/>
      <c r="DHV73" s="2936"/>
      <c r="DHW73" s="2936"/>
      <c r="DHX73" s="2936"/>
      <c r="DHY73" s="2936"/>
      <c r="DHZ73" s="2936"/>
      <c r="DIA73" s="2936"/>
      <c r="DIB73" s="2936"/>
      <c r="DIC73" s="2936"/>
      <c r="DID73" s="2936"/>
      <c r="DIE73" s="2936"/>
      <c r="DIF73" s="2936"/>
      <c r="DIG73" s="2936"/>
      <c r="DIH73" s="2936"/>
      <c r="DII73" s="2936"/>
      <c r="DIJ73" s="2936"/>
      <c r="DIK73" s="2936"/>
      <c r="DIL73" s="2936"/>
      <c r="DIM73" s="2936"/>
      <c r="DIN73" s="2936"/>
      <c r="DIO73" s="2936"/>
      <c r="DIP73" s="2936"/>
      <c r="DIQ73" s="2936"/>
      <c r="DIR73" s="2936"/>
      <c r="DIS73" s="2936"/>
      <c r="DIT73" s="2936"/>
      <c r="DIU73" s="2936"/>
      <c r="DIV73" s="2936"/>
      <c r="DIW73" s="2936"/>
      <c r="DIX73" s="2936"/>
      <c r="DIY73" s="2936"/>
      <c r="DIZ73" s="2936"/>
      <c r="DJA73" s="2936"/>
      <c r="DJB73" s="2936"/>
      <c r="DJC73" s="2936"/>
      <c r="DJD73" s="2936"/>
      <c r="DJE73" s="2936"/>
      <c r="DJF73" s="2936"/>
      <c r="DJG73" s="2936"/>
      <c r="DJH73" s="2936"/>
      <c r="DJI73" s="2936"/>
      <c r="DJJ73" s="2936"/>
      <c r="DJK73" s="2936"/>
      <c r="DJL73" s="2936"/>
      <c r="DJM73" s="2936"/>
      <c r="DJN73" s="2936"/>
      <c r="DJO73" s="2936"/>
      <c r="DJP73" s="2936"/>
      <c r="DJQ73" s="2936"/>
      <c r="DJR73" s="2936"/>
      <c r="DJS73" s="2936"/>
      <c r="DJT73" s="2936"/>
      <c r="DJU73" s="2936"/>
      <c r="DJV73" s="2936"/>
      <c r="DJW73" s="2936"/>
      <c r="DJX73" s="2936"/>
      <c r="DJY73" s="2936"/>
      <c r="DJZ73" s="2936"/>
      <c r="DKA73" s="2936"/>
      <c r="DKB73" s="2936"/>
      <c r="DKC73" s="2936"/>
      <c r="DKD73" s="2936"/>
      <c r="DKE73" s="2936"/>
      <c r="DKF73" s="2936"/>
      <c r="DKG73" s="2936"/>
      <c r="DKH73" s="2936"/>
      <c r="DKI73" s="2936"/>
      <c r="DKJ73" s="2936"/>
      <c r="DKK73" s="2936"/>
      <c r="DKL73" s="2936"/>
      <c r="DKM73" s="2936"/>
      <c r="DKN73" s="2936"/>
      <c r="DKO73" s="2936"/>
      <c r="DKP73" s="2936"/>
      <c r="DKQ73" s="2936"/>
      <c r="DKR73" s="2936"/>
      <c r="DKS73" s="2936"/>
      <c r="DKT73" s="2936"/>
      <c r="DKU73" s="2936"/>
      <c r="DKV73" s="2936"/>
      <c r="DKW73" s="2936"/>
      <c r="DKX73" s="2936"/>
      <c r="DKY73" s="2936"/>
      <c r="DKZ73" s="2936"/>
      <c r="DLA73" s="2936"/>
      <c r="DLB73" s="2936"/>
      <c r="DLC73" s="2936"/>
      <c r="DLD73" s="2936"/>
      <c r="DLE73" s="2936"/>
      <c r="DLF73" s="2936"/>
      <c r="DLG73" s="2936"/>
      <c r="DLH73" s="2936"/>
      <c r="DLI73" s="2936"/>
      <c r="DLJ73" s="2936"/>
      <c r="DLK73" s="2936"/>
      <c r="DLL73" s="2936"/>
      <c r="DLM73" s="2936"/>
      <c r="DLN73" s="2936"/>
      <c r="DLO73" s="2936"/>
      <c r="DLP73" s="2936"/>
      <c r="DLQ73" s="2936"/>
      <c r="DLR73" s="2936"/>
      <c r="DLS73" s="2936"/>
      <c r="DLT73" s="2936"/>
      <c r="DLU73" s="2936"/>
      <c r="DLV73" s="2936"/>
      <c r="DLW73" s="2936"/>
      <c r="DLX73" s="2936"/>
      <c r="DLY73" s="2936"/>
      <c r="DLZ73" s="2936"/>
      <c r="DMA73" s="2936"/>
      <c r="DMB73" s="2936"/>
      <c r="DMC73" s="2936"/>
      <c r="DMD73" s="2936"/>
      <c r="DME73" s="2936"/>
      <c r="DMF73" s="2936"/>
      <c r="DMG73" s="2936"/>
      <c r="DMH73" s="2936"/>
      <c r="DMI73" s="2936"/>
      <c r="DMJ73" s="2936"/>
      <c r="DMK73" s="2936"/>
      <c r="DML73" s="2936"/>
      <c r="DMM73" s="2936"/>
      <c r="DMN73" s="2936"/>
      <c r="DMO73" s="2936"/>
      <c r="DMP73" s="2936"/>
      <c r="DMQ73" s="2936"/>
      <c r="DMR73" s="2936"/>
      <c r="DMS73" s="2936"/>
      <c r="DMT73" s="2936"/>
      <c r="DMU73" s="2936"/>
      <c r="DMV73" s="2936"/>
      <c r="DMW73" s="2936"/>
      <c r="DMX73" s="2936"/>
      <c r="DMY73" s="2936"/>
      <c r="DMZ73" s="2936"/>
      <c r="DNA73" s="2936"/>
      <c r="DNB73" s="2936"/>
      <c r="DNC73" s="2936"/>
      <c r="DND73" s="2936"/>
      <c r="DNE73" s="2936"/>
      <c r="DNF73" s="2936"/>
      <c r="DNG73" s="2936"/>
      <c r="DNH73" s="2936"/>
      <c r="DNI73" s="2936"/>
      <c r="DNJ73" s="2936"/>
      <c r="DNK73" s="2936"/>
      <c r="DNL73" s="2936"/>
      <c r="DNM73" s="2936"/>
      <c r="DNN73" s="2936"/>
      <c r="DNO73" s="2936"/>
      <c r="DNP73" s="2936"/>
      <c r="DNQ73" s="2936"/>
      <c r="DNR73" s="2936"/>
      <c r="DNS73" s="2936"/>
      <c r="DNT73" s="2936"/>
      <c r="DNU73" s="2936"/>
      <c r="DNV73" s="2936"/>
      <c r="DNW73" s="2936"/>
      <c r="DNX73" s="2936"/>
      <c r="DNY73" s="2936"/>
      <c r="DNZ73" s="2936"/>
      <c r="DOA73" s="2936"/>
      <c r="DOB73" s="2936"/>
      <c r="DOC73" s="2936"/>
      <c r="DOD73" s="2936"/>
      <c r="DOE73" s="2936"/>
      <c r="DOF73" s="2936"/>
      <c r="DOG73" s="2936"/>
      <c r="DOH73" s="2936"/>
      <c r="DOI73" s="2936"/>
      <c r="DOJ73" s="2936"/>
      <c r="DOK73" s="2936"/>
      <c r="DOL73" s="2936"/>
      <c r="DOM73" s="2936"/>
      <c r="DON73" s="2936"/>
      <c r="DOO73" s="2936"/>
      <c r="DOP73" s="2936"/>
      <c r="DOQ73" s="2936"/>
      <c r="DOR73" s="2936"/>
      <c r="DOS73" s="2936"/>
      <c r="DOT73" s="2936"/>
      <c r="DOU73" s="2936"/>
      <c r="DOV73" s="2936"/>
      <c r="DOW73" s="2936"/>
      <c r="DOX73" s="2936"/>
      <c r="DOY73" s="2936"/>
      <c r="DOZ73" s="2936"/>
      <c r="DPA73" s="2936"/>
      <c r="DPB73" s="2936"/>
      <c r="DPC73" s="2936"/>
      <c r="DPD73" s="2936"/>
      <c r="DPE73" s="2936"/>
      <c r="DPF73" s="2936"/>
      <c r="DPG73" s="2936"/>
      <c r="DPH73" s="2936"/>
      <c r="DPI73" s="2936"/>
      <c r="DPJ73" s="2936"/>
      <c r="DPK73" s="2936"/>
      <c r="DPL73" s="2936"/>
      <c r="DPM73" s="2936"/>
      <c r="DPN73" s="2936"/>
      <c r="DPO73" s="2936"/>
      <c r="DPP73" s="2936"/>
      <c r="DPQ73" s="2936"/>
      <c r="DPR73" s="2936"/>
      <c r="DPS73" s="2936"/>
      <c r="DPT73" s="2936"/>
      <c r="DPU73" s="2936"/>
      <c r="DPV73" s="2936"/>
      <c r="DPW73" s="2936"/>
      <c r="DPX73" s="2936"/>
      <c r="DPY73" s="2936"/>
      <c r="DPZ73" s="2936"/>
      <c r="DQA73" s="2936"/>
      <c r="DQB73" s="2936"/>
      <c r="DQC73" s="2936"/>
      <c r="DQD73" s="2936"/>
      <c r="DQE73" s="2936"/>
      <c r="DQF73" s="2936"/>
      <c r="DQG73" s="2936"/>
      <c r="DQH73" s="2936"/>
      <c r="DQI73" s="2936"/>
      <c r="DQJ73" s="2936"/>
      <c r="DQK73" s="2936"/>
      <c r="DQL73" s="2936"/>
      <c r="DQM73" s="2936"/>
      <c r="DQN73" s="2936"/>
      <c r="DQO73" s="2936"/>
      <c r="DQP73" s="2936"/>
      <c r="DQQ73" s="2936"/>
      <c r="DQR73" s="2936"/>
      <c r="DQS73" s="2936"/>
      <c r="DQT73" s="2936"/>
      <c r="DQU73" s="2936"/>
      <c r="DQV73" s="2936"/>
      <c r="DQW73" s="2936"/>
      <c r="DQX73" s="2936"/>
      <c r="DQY73" s="2936"/>
      <c r="DQZ73" s="2936"/>
      <c r="DRA73" s="2936"/>
      <c r="DRB73" s="2936"/>
      <c r="DRC73" s="2936"/>
      <c r="DRD73" s="2936"/>
      <c r="DRE73" s="2936"/>
      <c r="DRF73" s="2936"/>
      <c r="DRG73" s="2936"/>
      <c r="DRH73" s="2936"/>
      <c r="DRI73" s="2936"/>
      <c r="DRJ73" s="2936"/>
      <c r="DRK73" s="2936"/>
      <c r="DRL73" s="2936"/>
      <c r="DRM73" s="2936"/>
      <c r="DRN73" s="2936"/>
      <c r="DRO73" s="2936"/>
      <c r="DRP73" s="2936"/>
      <c r="DRQ73" s="2936"/>
      <c r="DRR73" s="2936"/>
      <c r="DRS73" s="2936"/>
      <c r="DRT73" s="2936"/>
      <c r="DRU73" s="2936"/>
      <c r="DRV73" s="2936"/>
      <c r="DRW73" s="2936"/>
      <c r="DRX73" s="2936"/>
      <c r="DRY73" s="2936"/>
      <c r="DRZ73" s="2936"/>
      <c r="DSA73" s="2936"/>
      <c r="DSB73" s="2936"/>
      <c r="DSC73" s="2936"/>
      <c r="DSD73" s="2936"/>
      <c r="DSE73" s="2936"/>
      <c r="DSF73" s="2936"/>
      <c r="DSG73" s="2936"/>
      <c r="DSH73" s="2936"/>
      <c r="DSI73" s="2936"/>
      <c r="DSJ73" s="2936"/>
      <c r="DSK73" s="2936"/>
      <c r="DSL73" s="2936"/>
      <c r="DSM73" s="2936"/>
      <c r="DSN73" s="2936"/>
      <c r="DSO73" s="2936"/>
      <c r="DSP73" s="2936"/>
      <c r="DSQ73" s="2936"/>
      <c r="DSR73" s="2936"/>
      <c r="DSS73" s="2936"/>
      <c r="DST73" s="2936"/>
      <c r="DSU73" s="2936"/>
      <c r="DSV73" s="2936"/>
      <c r="DSW73" s="2936"/>
      <c r="DSX73" s="2936"/>
      <c r="DSY73" s="2936"/>
      <c r="DSZ73" s="2936"/>
      <c r="DTA73" s="2936"/>
      <c r="DTB73" s="2936"/>
      <c r="DTC73" s="2936"/>
      <c r="DTD73" s="2936"/>
      <c r="DTE73" s="2936"/>
      <c r="DTF73" s="2936"/>
      <c r="DTG73" s="2936"/>
      <c r="DTH73" s="2936"/>
      <c r="DTI73" s="2936"/>
      <c r="DTJ73" s="2936"/>
      <c r="DTK73" s="2936"/>
      <c r="DTL73" s="2936"/>
      <c r="DTM73" s="2936"/>
      <c r="DTN73" s="2936"/>
      <c r="DTO73" s="2936"/>
      <c r="DTP73" s="2936"/>
      <c r="DTQ73" s="2936"/>
      <c r="DTR73" s="2936"/>
      <c r="DTS73" s="2936"/>
      <c r="DTT73" s="2936"/>
      <c r="DTU73" s="2936"/>
      <c r="DTV73" s="2936"/>
      <c r="DTW73" s="2936"/>
      <c r="DTX73" s="2936"/>
      <c r="DTY73" s="2936"/>
      <c r="DTZ73" s="2936"/>
      <c r="DUA73" s="2936"/>
      <c r="DUB73" s="2936"/>
      <c r="DUC73" s="2936"/>
      <c r="DUD73" s="2936"/>
      <c r="DUE73" s="2936"/>
      <c r="DUF73" s="2936"/>
      <c r="DUG73" s="2936"/>
      <c r="DUH73" s="2936"/>
      <c r="DUI73" s="2936"/>
      <c r="DUJ73" s="2936"/>
      <c r="DUK73" s="2936"/>
      <c r="DUL73" s="2936"/>
      <c r="DUM73" s="2936"/>
      <c r="DUN73" s="2936"/>
      <c r="DUO73" s="2936"/>
      <c r="DUP73" s="2936"/>
      <c r="DUQ73" s="2936"/>
      <c r="DUR73" s="2936"/>
      <c r="DUS73" s="2936"/>
      <c r="DUT73" s="2936"/>
      <c r="DUU73" s="2936"/>
      <c r="DUV73" s="2936"/>
      <c r="DUW73" s="2936"/>
      <c r="DUX73" s="2936"/>
      <c r="DUY73" s="2936"/>
      <c r="DUZ73" s="2936"/>
      <c r="DVA73" s="2936"/>
      <c r="DVB73" s="2936"/>
      <c r="DVC73" s="2936"/>
      <c r="DVD73" s="2936"/>
      <c r="DVE73" s="2936"/>
      <c r="DVF73" s="2936"/>
      <c r="DVG73" s="2936"/>
      <c r="DVH73" s="2936"/>
      <c r="DVI73" s="2936"/>
      <c r="DVJ73" s="2936"/>
      <c r="DVK73" s="2936"/>
      <c r="DVL73" s="2936"/>
      <c r="DVM73" s="2936"/>
      <c r="DVN73" s="2936"/>
      <c r="DVO73" s="2936"/>
      <c r="DVP73" s="2936"/>
      <c r="DVQ73" s="2936"/>
      <c r="DVR73" s="2936"/>
      <c r="DVS73" s="2936"/>
      <c r="DVT73" s="2936"/>
      <c r="DVU73" s="2936"/>
      <c r="DVV73" s="2936"/>
      <c r="DVW73" s="2936"/>
      <c r="DVX73" s="2936"/>
      <c r="DVY73" s="2936"/>
      <c r="DVZ73" s="2936"/>
      <c r="DWA73" s="2936"/>
      <c r="DWB73" s="2936"/>
      <c r="DWC73" s="2936"/>
      <c r="DWD73" s="2936"/>
      <c r="DWE73" s="2936"/>
      <c r="DWF73" s="2936"/>
      <c r="DWG73" s="2936"/>
      <c r="DWH73" s="2936"/>
      <c r="DWI73" s="2936"/>
      <c r="DWJ73" s="2936"/>
      <c r="DWK73" s="2936"/>
      <c r="DWL73" s="2936"/>
      <c r="DWM73" s="2936"/>
      <c r="DWN73" s="2936"/>
      <c r="DWO73" s="2936"/>
      <c r="DWP73" s="2936"/>
      <c r="DWQ73" s="2936"/>
      <c r="DWR73" s="2936"/>
      <c r="DWS73" s="2936"/>
      <c r="DWT73" s="2936"/>
      <c r="DWU73" s="2936"/>
      <c r="DWV73" s="2936"/>
      <c r="DWW73" s="2936"/>
      <c r="DWX73" s="2936"/>
      <c r="DWY73" s="2936"/>
      <c r="DWZ73" s="2936"/>
      <c r="DXA73" s="2936"/>
      <c r="DXB73" s="2936"/>
      <c r="DXC73" s="2936"/>
      <c r="DXD73" s="2936"/>
      <c r="DXE73" s="2936"/>
      <c r="DXF73" s="2936"/>
      <c r="DXG73" s="2936"/>
      <c r="DXH73" s="2936"/>
      <c r="DXI73" s="2936"/>
      <c r="DXJ73" s="2936"/>
      <c r="DXK73" s="2936"/>
      <c r="DXL73" s="2936"/>
      <c r="DXM73" s="2936"/>
      <c r="DXN73" s="2936"/>
      <c r="DXO73" s="2936"/>
      <c r="DXP73" s="2936"/>
      <c r="DXQ73" s="2936"/>
      <c r="DXR73" s="2936"/>
      <c r="DXS73" s="2936"/>
      <c r="DXT73" s="2936"/>
      <c r="DXU73" s="2936"/>
      <c r="DXV73" s="2936"/>
      <c r="DXW73" s="2936"/>
      <c r="DXX73" s="2936"/>
      <c r="DXY73" s="2936"/>
      <c r="DXZ73" s="2936"/>
      <c r="DYA73" s="2936"/>
      <c r="DYB73" s="2936"/>
      <c r="DYC73" s="2936"/>
      <c r="DYD73" s="2936"/>
      <c r="DYE73" s="2936"/>
      <c r="DYF73" s="2936"/>
      <c r="DYG73" s="2936"/>
      <c r="DYH73" s="2936"/>
      <c r="DYI73" s="2936"/>
      <c r="DYJ73" s="2936"/>
      <c r="DYK73" s="2936"/>
      <c r="DYL73" s="2936"/>
      <c r="DYM73" s="2936"/>
      <c r="DYN73" s="2936"/>
      <c r="DYO73" s="2936"/>
      <c r="DYP73" s="2936"/>
      <c r="DYQ73" s="2936"/>
      <c r="DYR73" s="2936"/>
      <c r="DYS73" s="2936"/>
      <c r="DYT73" s="2936"/>
      <c r="DYU73" s="2936"/>
      <c r="DYV73" s="2936"/>
      <c r="DYW73" s="2936"/>
      <c r="DYX73" s="2936"/>
      <c r="DYY73" s="2936"/>
      <c r="DYZ73" s="2936"/>
      <c r="DZA73" s="2936"/>
      <c r="DZB73" s="2936"/>
      <c r="DZC73" s="2936"/>
      <c r="DZD73" s="2936"/>
      <c r="DZE73" s="2936"/>
      <c r="DZF73" s="2936"/>
      <c r="DZG73" s="2936"/>
      <c r="DZH73" s="2936"/>
      <c r="DZI73" s="2936"/>
      <c r="DZJ73" s="2936"/>
      <c r="DZK73" s="2936"/>
      <c r="DZL73" s="2936"/>
      <c r="DZM73" s="2936"/>
      <c r="DZN73" s="2936"/>
      <c r="DZO73" s="2936"/>
      <c r="DZP73" s="2936"/>
      <c r="DZQ73" s="2936"/>
      <c r="DZR73" s="2936"/>
      <c r="DZS73" s="2936"/>
      <c r="DZT73" s="2936"/>
      <c r="DZU73" s="2936"/>
      <c r="DZV73" s="2936"/>
      <c r="DZW73" s="2936"/>
      <c r="DZX73" s="2936"/>
      <c r="DZY73" s="2936"/>
      <c r="DZZ73" s="2936"/>
      <c r="EAA73" s="2936"/>
      <c r="EAB73" s="2936"/>
      <c r="EAC73" s="2936"/>
      <c r="EAD73" s="2936"/>
      <c r="EAE73" s="2936"/>
      <c r="EAF73" s="2936"/>
      <c r="EAG73" s="2936"/>
      <c r="EAH73" s="2936"/>
      <c r="EAI73" s="2936"/>
      <c r="EAJ73" s="2936"/>
      <c r="EAK73" s="2936"/>
      <c r="EAL73" s="2936"/>
      <c r="EAM73" s="2936"/>
      <c r="EAN73" s="2936"/>
      <c r="EAO73" s="2936"/>
      <c r="EAP73" s="2936"/>
      <c r="EAQ73" s="2936"/>
      <c r="EAR73" s="2936"/>
      <c r="EAS73" s="2936"/>
      <c r="EAT73" s="2936"/>
      <c r="EAU73" s="2936"/>
      <c r="EAV73" s="2936"/>
      <c r="EAW73" s="2936"/>
      <c r="EAX73" s="2936"/>
      <c r="EAY73" s="2936"/>
      <c r="EAZ73" s="2936"/>
      <c r="EBA73" s="2936"/>
      <c r="EBB73" s="2936"/>
      <c r="EBC73" s="2936"/>
      <c r="EBD73" s="2936"/>
      <c r="EBE73" s="2936"/>
      <c r="EBF73" s="2936"/>
      <c r="EBG73" s="2936"/>
      <c r="EBH73" s="2936"/>
      <c r="EBI73" s="2936"/>
      <c r="EBJ73" s="2936"/>
      <c r="EBK73" s="2936"/>
      <c r="EBL73" s="2936"/>
      <c r="EBM73" s="2936"/>
      <c r="EBN73" s="2936"/>
      <c r="EBO73" s="2936"/>
      <c r="EBP73" s="2936"/>
      <c r="EBQ73" s="2936"/>
      <c r="EBR73" s="2936"/>
      <c r="EBS73" s="2936"/>
      <c r="EBT73" s="2936"/>
      <c r="EBU73" s="2936"/>
      <c r="EBV73" s="2936"/>
      <c r="EBW73" s="2936"/>
      <c r="EBX73" s="2936"/>
      <c r="EBY73" s="2936"/>
      <c r="EBZ73" s="2936"/>
      <c r="ECA73" s="2936"/>
      <c r="ECB73" s="2936"/>
      <c r="ECC73" s="2936"/>
      <c r="ECD73" s="2936"/>
      <c r="ECE73" s="2936"/>
      <c r="ECF73" s="2936"/>
      <c r="ECG73" s="2936"/>
      <c r="ECH73" s="2936"/>
      <c r="ECI73" s="2936"/>
      <c r="ECJ73" s="2936"/>
      <c r="ECK73" s="2936"/>
      <c r="ECL73" s="2936"/>
      <c r="ECM73" s="2936"/>
      <c r="ECN73" s="2936"/>
      <c r="ECO73" s="2936"/>
      <c r="ECP73" s="2936"/>
      <c r="ECQ73" s="2936"/>
      <c r="ECR73" s="2936"/>
      <c r="ECS73" s="2936"/>
      <c r="ECT73" s="2936"/>
      <c r="ECU73" s="2936"/>
      <c r="ECV73" s="2936"/>
      <c r="ECW73" s="2936"/>
      <c r="ECX73" s="2936"/>
      <c r="ECY73" s="2936"/>
      <c r="ECZ73" s="2936"/>
      <c r="EDA73" s="2936"/>
      <c r="EDB73" s="2936"/>
      <c r="EDC73" s="2936"/>
      <c r="EDD73" s="2936"/>
      <c r="EDE73" s="2936"/>
      <c r="EDF73" s="2936"/>
      <c r="EDG73" s="2936"/>
      <c r="EDH73" s="2936"/>
      <c r="EDI73" s="2936"/>
      <c r="EDJ73" s="2936"/>
      <c r="EDK73" s="2936"/>
      <c r="EDL73" s="2936"/>
      <c r="EDM73" s="2936"/>
      <c r="EDN73" s="2936"/>
      <c r="EDO73" s="2936"/>
      <c r="EDP73" s="2936"/>
      <c r="EDQ73" s="2936"/>
      <c r="EDR73" s="2936"/>
      <c r="EDS73" s="2936"/>
      <c r="EDT73" s="2936"/>
      <c r="EDU73" s="2936"/>
      <c r="EDV73" s="2936"/>
      <c r="EDW73" s="2936"/>
      <c r="EDX73" s="2936"/>
      <c r="EDY73" s="2936"/>
      <c r="EDZ73" s="2936"/>
      <c r="EEA73" s="2936"/>
      <c r="EEB73" s="2936"/>
      <c r="EEC73" s="2936"/>
      <c r="EED73" s="2936"/>
      <c r="EEE73" s="2936"/>
      <c r="EEF73" s="2936"/>
      <c r="EEG73" s="2936"/>
      <c r="EEH73" s="2936"/>
      <c r="EEI73" s="2936"/>
      <c r="EEJ73" s="2936"/>
      <c r="EEK73" s="2936"/>
      <c r="EEL73" s="2936"/>
      <c r="EEM73" s="2936"/>
      <c r="EEN73" s="2936"/>
      <c r="EEO73" s="2936"/>
      <c r="EEP73" s="2936"/>
      <c r="EEQ73" s="2936"/>
      <c r="EER73" s="2936"/>
      <c r="EES73" s="2936"/>
      <c r="EET73" s="2936"/>
      <c r="EEU73" s="2936"/>
      <c r="EEV73" s="2936"/>
      <c r="EEW73" s="2936"/>
      <c r="EEX73" s="2936"/>
      <c r="EEY73" s="2936"/>
      <c r="EEZ73" s="2936"/>
      <c r="EFA73" s="2936"/>
      <c r="EFB73" s="2936"/>
      <c r="EFC73" s="2936"/>
      <c r="EFD73" s="2936"/>
      <c r="EFE73" s="2936"/>
      <c r="EFF73" s="2936"/>
      <c r="EFG73" s="2936"/>
      <c r="EFH73" s="2936"/>
      <c r="EFI73" s="2936"/>
      <c r="EFJ73" s="2936"/>
      <c r="EFK73" s="2936"/>
      <c r="EFL73" s="2936"/>
      <c r="EFM73" s="2936"/>
      <c r="EFN73" s="2936"/>
      <c r="EFO73" s="2936"/>
      <c r="EFP73" s="2936"/>
      <c r="EFQ73" s="2936"/>
      <c r="EFR73" s="2936"/>
      <c r="EFS73" s="2936"/>
      <c r="EFT73" s="2936"/>
      <c r="EFU73" s="2936"/>
      <c r="EFV73" s="2936"/>
      <c r="EFW73" s="2936"/>
      <c r="EFX73" s="2936"/>
      <c r="EFY73" s="2936"/>
      <c r="EFZ73" s="2936"/>
      <c r="EGA73" s="2936"/>
      <c r="EGB73" s="2936"/>
      <c r="EGC73" s="2936"/>
      <c r="EGD73" s="2936"/>
      <c r="EGE73" s="2936"/>
      <c r="EGF73" s="2936"/>
      <c r="EGG73" s="2936"/>
      <c r="EGH73" s="2936"/>
      <c r="EGI73" s="2936"/>
      <c r="EGJ73" s="2936"/>
      <c r="EGK73" s="2936"/>
      <c r="EGL73" s="2936"/>
      <c r="EGM73" s="2936"/>
      <c r="EGN73" s="2936"/>
      <c r="EGO73" s="2936"/>
      <c r="EGP73" s="2936"/>
      <c r="EGQ73" s="2936"/>
      <c r="EGR73" s="2936"/>
      <c r="EGS73" s="2936"/>
      <c r="EGT73" s="2936"/>
      <c r="EGU73" s="2936"/>
      <c r="EGV73" s="2936"/>
      <c r="EGW73" s="2936"/>
      <c r="EGX73" s="2936"/>
      <c r="EGY73" s="2936"/>
      <c r="EGZ73" s="2936"/>
      <c r="EHA73" s="2936"/>
      <c r="EHB73" s="2936"/>
      <c r="EHC73" s="2936"/>
      <c r="EHD73" s="2936"/>
      <c r="EHE73" s="2936"/>
      <c r="EHF73" s="2936"/>
      <c r="EHG73" s="2936"/>
      <c r="EHH73" s="2936"/>
      <c r="EHI73" s="2936"/>
      <c r="EHJ73" s="2936"/>
      <c r="EHK73" s="2936"/>
      <c r="EHL73" s="2936"/>
      <c r="EHM73" s="2936"/>
      <c r="EHN73" s="2936"/>
      <c r="EHO73" s="2936"/>
      <c r="EHP73" s="2936"/>
      <c r="EHQ73" s="2936"/>
      <c r="EHR73" s="2936"/>
      <c r="EHS73" s="2936"/>
      <c r="EHT73" s="2936"/>
      <c r="EHU73" s="2936"/>
      <c r="EHV73" s="2936"/>
      <c r="EHW73" s="2936"/>
      <c r="EHX73" s="2936"/>
      <c r="EHY73" s="2936"/>
      <c r="EHZ73" s="2936"/>
      <c r="EIA73" s="2936"/>
      <c r="EIB73" s="2936"/>
      <c r="EIC73" s="2936"/>
      <c r="EID73" s="2936"/>
      <c r="EIE73" s="2936"/>
      <c r="EIF73" s="2936"/>
      <c r="EIG73" s="2936"/>
      <c r="EIH73" s="2936"/>
      <c r="EII73" s="2936"/>
      <c r="EIJ73" s="2936"/>
      <c r="EIK73" s="2936"/>
      <c r="EIL73" s="2936"/>
      <c r="EIM73" s="2936"/>
      <c r="EIN73" s="2936"/>
      <c r="EIO73" s="2936"/>
      <c r="EIP73" s="2936"/>
      <c r="EIQ73" s="2936"/>
      <c r="EIR73" s="2936"/>
      <c r="EIS73" s="2936"/>
      <c r="EIT73" s="2936"/>
      <c r="EIU73" s="2936"/>
      <c r="EIV73" s="2936"/>
      <c r="EIW73" s="2936"/>
      <c r="EIX73" s="2936"/>
      <c r="EIY73" s="2936"/>
      <c r="EIZ73" s="2936"/>
      <c r="EJA73" s="2936"/>
      <c r="EJB73" s="2936"/>
      <c r="EJC73" s="2936"/>
      <c r="EJD73" s="2936"/>
      <c r="EJE73" s="2936"/>
      <c r="EJF73" s="2936"/>
      <c r="EJG73" s="2936"/>
      <c r="EJH73" s="2936"/>
      <c r="EJI73" s="2936"/>
      <c r="EJJ73" s="2936"/>
      <c r="EJK73" s="2936"/>
      <c r="EJL73" s="2936"/>
      <c r="EJM73" s="2936"/>
      <c r="EJN73" s="2936"/>
      <c r="EJO73" s="2936"/>
      <c r="EJP73" s="2936"/>
      <c r="EJQ73" s="2936"/>
      <c r="EJR73" s="2936"/>
      <c r="EJS73" s="2936"/>
      <c r="EJT73" s="2936"/>
      <c r="EJU73" s="2936"/>
      <c r="EJV73" s="2936"/>
      <c r="EJW73" s="2936"/>
      <c r="EJX73" s="2936"/>
      <c r="EJY73" s="2936"/>
      <c r="EJZ73" s="2936"/>
      <c r="EKA73" s="2936"/>
      <c r="EKB73" s="2936"/>
      <c r="EKC73" s="2936"/>
      <c r="EKD73" s="2936"/>
      <c r="EKE73" s="2936"/>
      <c r="EKF73" s="2936"/>
      <c r="EKG73" s="2936"/>
      <c r="EKH73" s="2936"/>
      <c r="EKI73" s="2936"/>
      <c r="EKJ73" s="2936"/>
      <c r="EKK73" s="2936"/>
      <c r="EKL73" s="2936"/>
      <c r="EKM73" s="2936"/>
      <c r="EKN73" s="2936"/>
      <c r="EKO73" s="2936"/>
      <c r="EKP73" s="2936"/>
      <c r="EKQ73" s="2936"/>
      <c r="EKR73" s="2936"/>
      <c r="EKS73" s="2936"/>
      <c r="EKT73" s="2936"/>
      <c r="EKU73" s="2936"/>
      <c r="EKV73" s="2936"/>
      <c r="EKW73" s="2936"/>
      <c r="EKX73" s="2936"/>
      <c r="EKY73" s="2936"/>
      <c r="EKZ73" s="2936"/>
      <c r="ELA73" s="2936"/>
      <c r="ELB73" s="2936"/>
      <c r="ELC73" s="2936"/>
      <c r="ELD73" s="2936"/>
      <c r="ELE73" s="2936"/>
      <c r="ELF73" s="2936"/>
      <c r="ELG73" s="2936"/>
      <c r="ELH73" s="2936"/>
      <c r="ELI73" s="2936"/>
      <c r="ELJ73" s="2936"/>
      <c r="ELK73" s="2936"/>
      <c r="ELL73" s="2936"/>
      <c r="ELM73" s="2936"/>
      <c r="ELN73" s="2936"/>
      <c r="ELO73" s="2936"/>
      <c r="ELP73" s="2936"/>
      <c r="ELQ73" s="2936"/>
      <c r="ELR73" s="2936"/>
      <c r="ELS73" s="2936"/>
      <c r="ELT73" s="2936"/>
      <c r="ELU73" s="2936"/>
      <c r="ELV73" s="2936"/>
      <c r="ELW73" s="2936"/>
      <c r="ELX73" s="2936"/>
      <c r="ELY73" s="2936"/>
      <c r="ELZ73" s="2936"/>
      <c r="EMA73" s="2936"/>
      <c r="EMB73" s="2936"/>
      <c r="EMC73" s="2936"/>
      <c r="EMD73" s="2936"/>
      <c r="EME73" s="2936"/>
      <c r="EMF73" s="2936"/>
      <c r="EMG73" s="2936"/>
      <c r="EMH73" s="2936"/>
      <c r="EMI73" s="2936"/>
      <c r="EMJ73" s="2936"/>
      <c r="EMK73" s="2936"/>
      <c r="EML73" s="2936"/>
      <c r="EMM73" s="2936"/>
      <c r="EMN73" s="2936"/>
      <c r="EMO73" s="2936"/>
      <c r="EMP73" s="2936"/>
      <c r="EMQ73" s="2936"/>
      <c r="EMR73" s="2936"/>
      <c r="EMS73" s="2936"/>
      <c r="EMT73" s="2936"/>
      <c r="EMU73" s="2936"/>
      <c r="EMV73" s="2936"/>
      <c r="EMW73" s="2936"/>
      <c r="EMX73" s="2936"/>
      <c r="EMY73" s="2936"/>
      <c r="EMZ73" s="2936"/>
      <c r="ENA73" s="2936"/>
      <c r="ENB73" s="2936"/>
      <c r="ENC73" s="2936"/>
      <c r="END73" s="2936"/>
      <c r="ENE73" s="2936"/>
      <c r="ENF73" s="2936"/>
      <c r="ENG73" s="2936"/>
      <c r="ENH73" s="2936"/>
      <c r="ENI73" s="2936"/>
      <c r="ENJ73" s="2936"/>
      <c r="ENK73" s="2936"/>
      <c r="ENL73" s="2936"/>
      <c r="ENM73" s="2936"/>
      <c r="ENN73" s="2936"/>
      <c r="ENO73" s="2936"/>
      <c r="ENP73" s="2936"/>
      <c r="ENQ73" s="2936"/>
      <c r="ENR73" s="2936"/>
      <c r="ENS73" s="2936"/>
      <c r="ENT73" s="2936"/>
      <c r="ENU73" s="2936"/>
      <c r="ENV73" s="2936"/>
      <c r="ENW73" s="2936"/>
      <c r="ENX73" s="2936"/>
      <c r="ENY73" s="2936"/>
      <c r="ENZ73" s="2936"/>
      <c r="EOA73" s="2936"/>
      <c r="EOB73" s="2936"/>
      <c r="EOC73" s="2936"/>
      <c r="EOD73" s="2936"/>
      <c r="EOE73" s="2936"/>
      <c r="EOF73" s="2936"/>
      <c r="EOG73" s="2936"/>
      <c r="EOH73" s="2936"/>
      <c r="EOI73" s="2936"/>
      <c r="EOJ73" s="2936"/>
      <c r="EOK73" s="2936"/>
      <c r="EOL73" s="2936"/>
      <c r="EOM73" s="2936"/>
      <c r="EON73" s="2936"/>
      <c r="EOO73" s="2936"/>
      <c r="EOP73" s="2936"/>
      <c r="EOQ73" s="2936"/>
      <c r="EOR73" s="2936"/>
      <c r="EOS73" s="2936"/>
      <c r="EOT73" s="2936"/>
      <c r="EOU73" s="2936"/>
      <c r="EOV73" s="2936"/>
      <c r="EOW73" s="2936"/>
      <c r="EOX73" s="2936"/>
      <c r="EOY73" s="2936"/>
      <c r="EOZ73" s="2936"/>
      <c r="EPA73" s="2936"/>
      <c r="EPB73" s="2936"/>
      <c r="EPC73" s="2936"/>
      <c r="EPD73" s="2936"/>
      <c r="EPE73" s="2936"/>
      <c r="EPF73" s="2936"/>
      <c r="EPG73" s="2936"/>
      <c r="EPH73" s="2936"/>
      <c r="EPI73" s="2936"/>
      <c r="EPJ73" s="2936"/>
      <c r="EPK73" s="2936"/>
      <c r="EPL73" s="2936"/>
      <c r="EPM73" s="2936"/>
      <c r="EPN73" s="2936"/>
      <c r="EPO73" s="2936"/>
      <c r="EPP73" s="2936"/>
      <c r="EPQ73" s="2936"/>
      <c r="EPR73" s="2936"/>
      <c r="EPS73" s="2936"/>
      <c r="EPT73" s="2936"/>
      <c r="EPU73" s="2936"/>
      <c r="EPV73" s="2936"/>
      <c r="EPW73" s="2936"/>
      <c r="EPX73" s="2936"/>
      <c r="EPY73" s="2936"/>
      <c r="EPZ73" s="2936"/>
      <c r="EQA73" s="2936"/>
      <c r="EQB73" s="2936"/>
      <c r="EQC73" s="2936"/>
      <c r="EQD73" s="2936"/>
      <c r="EQE73" s="2936"/>
      <c r="EQF73" s="2936"/>
      <c r="EQG73" s="2936"/>
      <c r="EQH73" s="2936"/>
      <c r="EQI73" s="2936"/>
      <c r="EQJ73" s="2936"/>
      <c r="EQK73" s="2936"/>
      <c r="EQL73" s="2936"/>
      <c r="EQM73" s="2936"/>
      <c r="EQN73" s="2936"/>
      <c r="EQO73" s="2936"/>
      <c r="EQP73" s="2936"/>
      <c r="EQQ73" s="2936"/>
      <c r="EQR73" s="2936"/>
      <c r="EQS73" s="2936"/>
      <c r="EQT73" s="2936"/>
      <c r="EQU73" s="2936"/>
      <c r="EQV73" s="2936"/>
      <c r="EQW73" s="2936"/>
      <c r="EQX73" s="2936"/>
      <c r="EQY73" s="2936"/>
      <c r="EQZ73" s="2936"/>
      <c r="ERA73" s="2936"/>
      <c r="ERB73" s="2936"/>
      <c r="ERC73" s="2936"/>
      <c r="ERD73" s="2936"/>
      <c r="ERE73" s="2936"/>
      <c r="ERF73" s="2936"/>
      <c r="ERG73" s="2936"/>
      <c r="ERH73" s="2936"/>
      <c r="ERI73" s="2936"/>
      <c r="ERJ73" s="2936"/>
      <c r="ERK73" s="2936"/>
      <c r="ERL73" s="2936"/>
      <c r="ERM73" s="2936"/>
      <c r="ERN73" s="2936"/>
      <c r="ERO73" s="2936"/>
      <c r="ERP73" s="2936"/>
      <c r="ERQ73" s="2936"/>
      <c r="ERR73" s="2936"/>
      <c r="ERS73" s="2936"/>
      <c r="ERT73" s="2936"/>
      <c r="ERU73" s="2936"/>
      <c r="ERV73" s="2936"/>
      <c r="ERW73" s="2936"/>
      <c r="ERX73" s="2936"/>
      <c r="ERY73" s="2936"/>
      <c r="ERZ73" s="2936"/>
      <c r="ESA73" s="2936"/>
      <c r="ESB73" s="2936"/>
      <c r="ESC73" s="2936"/>
      <c r="ESD73" s="2936"/>
      <c r="ESE73" s="2936"/>
      <c r="ESF73" s="2936"/>
      <c r="ESG73" s="2936"/>
      <c r="ESH73" s="2936"/>
      <c r="ESI73" s="2936"/>
      <c r="ESJ73" s="2936"/>
      <c r="ESK73" s="2936"/>
      <c r="ESL73" s="2936"/>
      <c r="ESM73" s="2936"/>
      <c r="ESN73" s="2936"/>
      <c r="ESO73" s="2936"/>
      <c r="ESP73" s="2936"/>
      <c r="ESQ73" s="2936"/>
      <c r="ESR73" s="2936"/>
      <c r="ESS73" s="2936"/>
      <c r="EST73" s="2936"/>
      <c r="ESU73" s="2936"/>
      <c r="ESV73" s="2936"/>
      <c r="ESW73" s="2936"/>
      <c r="ESX73" s="2936"/>
      <c r="ESY73" s="2936"/>
      <c r="ESZ73" s="2936"/>
      <c r="ETA73" s="2936"/>
      <c r="ETB73" s="2936"/>
      <c r="ETC73" s="2936"/>
      <c r="ETD73" s="2936"/>
      <c r="ETE73" s="2936"/>
      <c r="ETF73" s="2936"/>
      <c r="ETG73" s="2936"/>
      <c r="ETH73" s="2936"/>
      <c r="ETI73" s="2936"/>
      <c r="ETJ73" s="2936"/>
      <c r="ETK73" s="2936"/>
      <c r="ETL73" s="2936"/>
      <c r="ETM73" s="2936"/>
      <c r="ETN73" s="2936"/>
      <c r="ETO73" s="2936"/>
      <c r="ETP73" s="2936"/>
      <c r="ETQ73" s="2936"/>
      <c r="ETR73" s="2936"/>
      <c r="ETS73" s="2936"/>
      <c r="ETT73" s="2936"/>
      <c r="ETU73" s="2936"/>
      <c r="ETV73" s="2936"/>
      <c r="ETW73" s="2936"/>
      <c r="ETX73" s="2936"/>
      <c r="ETY73" s="2936"/>
      <c r="ETZ73" s="2936"/>
      <c r="EUA73" s="2936"/>
      <c r="EUB73" s="2936"/>
      <c r="EUC73" s="2936"/>
      <c r="EUD73" s="2936"/>
      <c r="EUE73" s="2936"/>
      <c r="EUF73" s="2936"/>
      <c r="EUG73" s="2936"/>
      <c r="EUH73" s="2936"/>
      <c r="EUI73" s="2936"/>
      <c r="EUJ73" s="2936"/>
      <c r="EUK73" s="2936"/>
      <c r="EUL73" s="2936"/>
      <c r="EUM73" s="2936"/>
      <c r="EUN73" s="2936"/>
      <c r="EUO73" s="2936"/>
      <c r="EUP73" s="2936"/>
      <c r="EUQ73" s="2936"/>
      <c r="EUR73" s="2936"/>
      <c r="EUS73" s="2936"/>
      <c r="EUT73" s="2936"/>
      <c r="EUU73" s="2936"/>
      <c r="EUV73" s="2936"/>
      <c r="EUW73" s="2936"/>
      <c r="EUX73" s="2936"/>
      <c r="EUY73" s="2936"/>
      <c r="EUZ73" s="2936"/>
      <c r="EVA73" s="2936"/>
      <c r="EVB73" s="2936"/>
      <c r="EVC73" s="2936"/>
      <c r="EVD73" s="2936"/>
      <c r="EVE73" s="2936"/>
      <c r="EVF73" s="2936"/>
      <c r="EVG73" s="2936"/>
      <c r="EVH73" s="2936"/>
      <c r="EVI73" s="2936"/>
      <c r="EVJ73" s="2936"/>
      <c r="EVK73" s="2936"/>
      <c r="EVL73" s="2936"/>
      <c r="EVM73" s="2936"/>
      <c r="EVN73" s="2936"/>
      <c r="EVO73" s="2936"/>
      <c r="EVP73" s="2936"/>
      <c r="EVQ73" s="2936"/>
      <c r="EVR73" s="2936"/>
      <c r="EVS73" s="2936"/>
      <c r="EVT73" s="2936"/>
      <c r="EVU73" s="2936"/>
      <c r="EVV73" s="2936"/>
      <c r="EVW73" s="2936"/>
      <c r="EVX73" s="2936"/>
      <c r="EVY73" s="2936"/>
      <c r="EVZ73" s="2936"/>
      <c r="EWA73" s="2936"/>
      <c r="EWB73" s="2936"/>
      <c r="EWC73" s="2936"/>
      <c r="EWD73" s="2936"/>
      <c r="EWE73" s="2936"/>
      <c r="EWF73" s="2936"/>
      <c r="EWG73" s="2936"/>
      <c r="EWH73" s="2936"/>
      <c r="EWI73" s="2936"/>
      <c r="EWJ73" s="2936"/>
      <c r="EWK73" s="2936"/>
      <c r="EWL73" s="2936"/>
      <c r="EWM73" s="2936"/>
      <c r="EWN73" s="2936"/>
      <c r="EWO73" s="2936"/>
      <c r="EWP73" s="2936"/>
      <c r="EWQ73" s="2936"/>
      <c r="EWR73" s="2936"/>
      <c r="EWS73" s="2936"/>
      <c r="EWT73" s="2936"/>
      <c r="EWU73" s="2936"/>
      <c r="EWV73" s="2936"/>
      <c r="EWW73" s="2936"/>
      <c r="EWX73" s="2936"/>
      <c r="EWY73" s="2936"/>
      <c r="EWZ73" s="2936"/>
      <c r="EXA73" s="2936"/>
      <c r="EXB73" s="2936"/>
      <c r="EXC73" s="2936"/>
      <c r="EXD73" s="2936"/>
      <c r="EXE73" s="2936"/>
      <c r="EXF73" s="2936"/>
      <c r="EXG73" s="2936"/>
      <c r="EXH73" s="2936"/>
      <c r="EXI73" s="2936"/>
      <c r="EXJ73" s="2936"/>
      <c r="EXK73" s="2936"/>
      <c r="EXL73" s="2936"/>
      <c r="EXM73" s="2936"/>
      <c r="EXN73" s="2936"/>
      <c r="EXO73" s="2936"/>
      <c r="EXP73" s="2936"/>
      <c r="EXQ73" s="2936"/>
      <c r="EXR73" s="2936"/>
      <c r="EXS73" s="2936"/>
      <c r="EXT73" s="2936"/>
      <c r="EXU73" s="2936"/>
      <c r="EXV73" s="2936"/>
      <c r="EXW73" s="2936"/>
      <c r="EXX73" s="2936"/>
      <c r="EXY73" s="2936"/>
      <c r="EXZ73" s="2936"/>
      <c r="EYA73" s="2936"/>
      <c r="EYB73" s="2936"/>
      <c r="EYC73" s="2936"/>
      <c r="EYD73" s="2936"/>
      <c r="EYE73" s="2936"/>
      <c r="EYF73" s="2936"/>
      <c r="EYG73" s="2936"/>
      <c r="EYH73" s="2936"/>
      <c r="EYI73" s="2936"/>
      <c r="EYJ73" s="2936"/>
      <c r="EYK73" s="2936"/>
      <c r="EYL73" s="2936"/>
      <c r="EYM73" s="2936"/>
      <c r="EYN73" s="2936"/>
      <c r="EYO73" s="2936"/>
      <c r="EYP73" s="2936"/>
      <c r="EYQ73" s="2936"/>
      <c r="EYR73" s="2936"/>
      <c r="EYS73" s="2936"/>
      <c r="EYT73" s="2936"/>
      <c r="EYU73" s="2936"/>
      <c r="EYV73" s="2936"/>
      <c r="EYW73" s="2936"/>
      <c r="EYX73" s="2936"/>
      <c r="EYY73" s="2936"/>
      <c r="EYZ73" s="2936"/>
      <c r="EZA73" s="2936"/>
      <c r="EZB73" s="2936"/>
      <c r="EZC73" s="2936"/>
      <c r="EZD73" s="2936"/>
      <c r="EZE73" s="2936"/>
      <c r="EZF73" s="2936"/>
      <c r="EZG73" s="2936"/>
      <c r="EZH73" s="2936"/>
      <c r="EZI73" s="2936"/>
      <c r="EZJ73" s="2936"/>
      <c r="EZK73" s="2936"/>
      <c r="EZL73" s="2936"/>
      <c r="EZM73" s="2936"/>
      <c r="EZN73" s="2936"/>
      <c r="EZO73" s="2936"/>
      <c r="EZP73" s="2936"/>
      <c r="EZQ73" s="2936"/>
      <c r="EZR73" s="2936"/>
      <c r="EZS73" s="2936"/>
      <c r="EZT73" s="2936"/>
      <c r="EZU73" s="2936"/>
      <c r="EZV73" s="2936"/>
      <c r="EZW73" s="2936"/>
      <c r="EZX73" s="2936"/>
      <c r="EZY73" s="2936"/>
      <c r="EZZ73" s="2936"/>
      <c r="FAA73" s="2936"/>
      <c r="FAB73" s="2936"/>
      <c r="FAC73" s="2936"/>
      <c r="FAD73" s="2936"/>
      <c r="FAE73" s="2936"/>
      <c r="FAF73" s="2936"/>
      <c r="FAG73" s="2936"/>
      <c r="FAH73" s="2936"/>
      <c r="FAI73" s="2936"/>
      <c r="FAJ73" s="2936"/>
      <c r="FAK73" s="2936"/>
      <c r="FAL73" s="2936"/>
      <c r="FAM73" s="2936"/>
      <c r="FAN73" s="2936"/>
      <c r="FAO73" s="2936"/>
      <c r="FAP73" s="2936"/>
      <c r="FAQ73" s="2936"/>
      <c r="FAR73" s="2936"/>
      <c r="FAS73" s="2936"/>
      <c r="FAT73" s="2936"/>
      <c r="FAU73" s="2936"/>
      <c r="FAV73" s="2936"/>
      <c r="FAW73" s="2936"/>
      <c r="FAX73" s="2936"/>
      <c r="FAY73" s="2936"/>
      <c r="FAZ73" s="2936"/>
      <c r="FBA73" s="2936"/>
      <c r="FBB73" s="2936"/>
      <c r="FBC73" s="2936"/>
      <c r="FBD73" s="2936"/>
      <c r="FBE73" s="2936"/>
      <c r="FBF73" s="2936"/>
      <c r="FBG73" s="2936"/>
      <c r="FBH73" s="2936"/>
      <c r="FBI73" s="2936"/>
      <c r="FBJ73" s="2936"/>
      <c r="FBK73" s="2936"/>
      <c r="FBL73" s="2936"/>
      <c r="FBM73" s="2936"/>
      <c r="FBN73" s="2936"/>
      <c r="FBO73" s="2936"/>
      <c r="FBP73" s="2936"/>
      <c r="FBQ73" s="2936"/>
      <c r="FBR73" s="2936"/>
      <c r="FBS73" s="2936"/>
      <c r="FBT73" s="2936"/>
      <c r="FBU73" s="2936"/>
      <c r="FBV73" s="2936"/>
      <c r="FBW73" s="2936"/>
      <c r="FBX73" s="2936"/>
      <c r="FBY73" s="2936"/>
      <c r="FBZ73" s="2936"/>
      <c r="FCA73" s="2936"/>
      <c r="FCB73" s="2936"/>
      <c r="FCC73" s="2936"/>
      <c r="FCD73" s="2936"/>
      <c r="FCE73" s="2936"/>
      <c r="FCF73" s="2936"/>
      <c r="FCG73" s="2936"/>
      <c r="FCH73" s="2936"/>
      <c r="FCI73" s="2936"/>
      <c r="FCJ73" s="2936"/>
      <c r="FCK73" s="2936"/>
      <c r="FCL73" s="2936"/>
      <c r="FCM73" s="2936"/>
      <c r="FCN73" s="2936"/>
      <c r="FCO73" s="2936"/>
      <c r="FCP73" s="2936"/>
      <c r="FCQ73" s="2936"/>
      <c r="FCR73" s="2936"/>
      <c r="FCS73" s="2936"/>
      <c r="FCT73" s="2936"/>
      <c r="FCU73" s="2936"/>
      <c r="FCV73" s="2936"/>
      <c r="FCW73" s="2936"/>
      <c r="FCX73" s="2936"/>
      <c r="FCY73" s="2936"/>
      <c r="FCZ73" s="2936"/>
      <c r="FDA73" s="2936"/>
      <c r="FDB73" s="2936"/>
      <c r="FDC73" s="2936"/>
      <c r="FDD73" s="2936"/>
      <c r="FDE73" s="2936"/>
      <c r="FDF73" s="2936"/>
      <c r="FDG73" s="2936"/>
      <c r="FDH73" s="2936"/>
      <c r="FDI73" s="2936"/>
      <c r="FDJ73" s="2936"/>
      <c r="FDK73" s="2936"/>
      <c r="FDL73" s="2936"/>
      <c r="FDM73" s="2936"/>
      <c r="FDN73" s="2936"/>
      <c r="FDO73" s="2936"/>
      <c r="FDP73" s="2936"/>
      <c r="FDQ73" s="2936"/>
      <c r="FDR73" s="2936"/>
      <c r="FDS73" s="2936"/>
      <c r="FDT73" s="2936"/>
      <c r="FDU73" s="2936"/>
      <c r="FDV73" s="2936"/>
      <c r="FDW73" s="2936"/>
      <c r="FDX73" s="2936"/>
      <c r="FDY73" s="2936"/>
      <c r="FDZ73" s="2936"/>
      <c r="FEA73" s="2936"/>
      <c r="FEB73" s="2936"/>
      <c r="FEC73" s="2936"/>
      <c r="FED73" s="2936"/>
      <c r="FEE73" s="2936"/>
      <c r="FEF73" s="2936"/>
      <c r="FEG73" s="2936"/>
      <c r="FEH73" s="2936"/>
      <c r="FEI73" s="2936"/>
      <c r="FEJ73" s="2936"/>
      <c r="FEK73" s="2936"/>
      <c r="FEL73" s="2936"/>
      <c r="FEM73" s="2936"/>
      <c r="FEN73" s="2936"/>
      <c r="FEO73" s="2936"/>
      <c r="FEP73" s="2936"/>
      <c r="FEQ73" s="2936"/>
      <c r="FER73" s="2936"/>
      <c r="FES73" s="2936"/>
      <c r="FET73" s="2936"/>
      <c r="FEU73" s="2936"/>
      <c r="FEV73" s="2936"/>
      <c r="FEW73" s="2936"/>
      <c r="FEX73" s="2936"/>
      <c r="FEY73" s="2936"/>
      <c r="FEZ73" s="2936"/>
      <c r="FFA73" s="2936"/>
      <c r="FFB73" s="2936"/>
      <c r="FFC73" s="2936"/>
      <c r="FFD73" s="2936"/>
      <c r="FFE73" s="2936"/>
      <c r="FFF73" s="2936"/>
      <c r="FFG73" s="2936"/>
      <c r="FFH73" s="2936"/>
      <c r="FFI73" s="2936"/>
      <c r="FFJ73" s="2936"/>
      <c r="FFK73" s="2936"/>
      <c r="FFL73" s="2936"/>
      <c r="FFM73" s="2936"/>
      <c r="FFN73" s="2936"/>
      <c r="FFO73" s="2936"/>
      <c r="FFP73" s="2936"/>
      <c r="FFQ73" s="2936"/>
      <c r="FFR73" s="2936"/>
      <c r="FFS73" s="2936"/>
      <c r="FFT73" s="2936"/>
      <c r="FFU73" s="2936"/>
      <c r="FFV73" s="2936"/>
      <c r="FFW73" s="2936"/>
      <c r="FFX73" s="2936"/>
      <c r="FFY73" s="2936"/>
      <c r="FFZ73" s="2936"/>
      <c r="FGA73" s="2936"/>
      <c r="FGB73" s="2936"/>
      <c r="FGC73" s="2936"/>
      <c r="FGD73" s="2936"/>
      <c r="FGE73" s="2936"/>
      <c r="FGF73" s="2936"/>
      <c r="FGG73" s="2936"/>
      <c r="FGH73" s="2936"/>
      <c r="FGI73" s="2936"/>
      <c r="FGJ73" s="2936"/>
      <c r="FGK73" s="2936"/>
      <c r="FGL73" s="2936"/>
      <c r="FGM73" s="2936"/>
      <c r="FGN73" s="2936"/>
      <c r="FGO73" s="2936"/>
      <c r="FGP73" s="2936"/>
      <c r="FGQ73" s="2936"/>
      <c r="FGR73" s="2936"/>
      <c r="FGS73" s="2936"/>
      <c r="FGT73" s="2936"/>
      <c r="FGU73" s="2936"/>
      <c r="FGV73" s="2936"/>
      <c r="FGW73" s="2936"/>
      <c r="FGX73" s="2936"/>
      <c r="FGY73" s="2936"/>
      <c r="FGZ73" s="2936"/>
      <c r="FHA73" s="2936"/>
      <c r="FHB73" s="2936"/>
      <c r="FHC73" s="2936"/>
      <c r="FHD73" s="2936"/>
      <c r="FHE73" s="2936"/>
      <c r="FHF73" s="2936"/>
      <c r="FHG73" s="2936"/>
      <c r="FHH73" s="2936"/>
      <c r="FHI73" s="2936"/>
      <c r="FHJ73" s="2936"/>
      <c r="FHK73" s="2936"/>
      <c r="FHL73" s="2936"/>
      <c r="FHM73" s="2936"/>
      <c r="FHN73" s="2936"/>
      <c r="FHO73" s="2936"/>
      <c r="FHP73" s="2936"/>
      <c r="FHQ73" s="2936"/>
      <c r="FHR73" s="2936"/>
      <c r="FHS73" s="2936"/>
      <c r="FHT73" s="2936"/>
      <c r="FHU73" s="2936"/>
      <c r="FHV73" s="2936"/>
      <c r="FHW73" s="2936"/>
      <c r="FHX73" s="2936"/>
      <c r="FHY73" s="2936"/>
      <c r="FHZ73" s="2936"/>
      <c r="FIA73" s="2936"/>
      <c r="FIB73" s="2936"/>
      <c r="FIC73" s="2936"/>
      <c r="FID73" s="2936"/>
      <c r="FIE73" s="2936"/>
      <c r="FIF73" s="2936"/>
      <c r="FIG73" s="2936"/>
      <c r="FIH73" s="2936"/>
      <c r="FII73" s="2936"/>
      <c r="FIJ73" s="2936"/>
      <c r="FIK73" s="2936"/>
      <c r="FIL73" s="2936"/>
      <c r="FIM73" s="2936"/>
      <c r="FIN73" s="2936"/>
      <c r="FIO73" s="2936"/>
      <c r="FIP73" s="2936"/>
      <c r="FIQ73" s="2936"/>
      <c r="FIR73" s="2936"/>
      <c r="FIS73" s="2936"/>
      <c r="FIT73" s="2936"/>
      <c r="FIU73" s="2936"/>
      <c r="FIV73" s="2936"/>
      <c r="FIW73" s="2936"/>
      <c r="FIX73" s="2936"/>
      <c r="FIY73" s="2936"/>
      <c r="FIZ73" s="2936"/>
      <c r="FJA73" s="2936"/>
      <c r="FJB73" s="2936"/>
      <c r="FJC73" s="2936"/>
      <c r="FJD73" s="2936"/>
      <c r="FJE73" s="2936"/>
      <c r="FJF73" s="2936"/>
      <c r="FJG73" s="2936"/>
      <c r="FJH73" s="2936"/>
      <c r="FJI73" s="2936"/>
      <c r="FJJ73" s="2936"/>
      <c r="FJK73" s="2936"/>
      <c r="FJL73" s="2936"/>
      <c r="FJM73" s="2936"/>
      <c r="FJN73" s="2936"/>
      <c r="FJO73" s="2936"/>
      <c r="FJP73" s="2936"/>
      <c r="FJQ73" s="2936"/>
      <c r="FJR73" s="2936"/>
      <c r="FJS73" s="2936"/>
      <c r="FJT73" s="2936"/>
      <c r="FJU73" s="2936"/>
      <c r="FJV73" s="2936"/>
      <c r="FJW73" s="2936"/>
      <c r="FJX73" s="2936"/>
      <c r="FJY73" s="2936"/>
      <c r="FJZ73" s="2936"/>
      <c r="FKA73" s="2936"/>
      <c r="FKB73" s="2936"/>
      <c r="FKC73" s="2936"/>
      <c r="FKD73" s="2936"/>
      <c r="FKE73" s="2936"/>
      <c r="FKF73" s="2936"/>
      <c r="FKG73" s="2936"/>
      <c r="FKH73" s="2936"/>
      <c r="FKI73" s="2936"/>
      <c r="FKJ73" s="2936"/>
      <c r="FKK73" s="2936"/>
      <c r="FKL73" s="2936"/>
      <c r="FKM73" s="2936"/>
      <c r="FKN73" s="2936"/>
      <c r="FKO73" s="2936"/>
      <c r="FKP73" s="2936"/>
      <c r="FKQ73" s="2936"/>
      <c r="FKR73" s="2936"/>
      <c r="FKS73" s="2936"/>
      <c r="FKT73" s="2936"/>
      <c r="FKU73" s="2936"/>
      <c r="FKV73" s="2936"/>
      <c r="FKW73" s="2936"/>
      <c r="FKX73" s="2936"/>
      <c r="FKY73" s="2936"/>
      <c r="FKZ73" s="2936"/>
      <c r="FLA73" s="2936"/>
      <c r="FLB73" s="2936"/>
      <c r="FLC73" s="2936"/>
      <c r="FLD73" s="2936"/>
      <c r="FLE73" s="2936"/>
      <c r="FLF73" s="2936"/>
      <c r="FLG73" s="2936"/>
      <c r="FLH73" s="2936"/>
      <c r="FLI73" s="2936"/>
      <c r="FLJ73" s="2936"/>
      <c r="FLK73" s="2936"/>
      <c r="FLL73" s="2936"/>
      <c r="FLM73" s="2936"/>
      <c r="FLN73" s="2936"/>
      <c r="FLO73" s="2936"/>
      <c r="FLP73" s="2936"/>
      <c r="FLQ73" s="2936"/>
      <c r="FLR73" s="2936"/>
      <c r="FLS73" s="2936"/>
      <c r="FLT73" s="2936"/>
      <c r="FLU73" s="2936"/>
      <c r="FLV73" s="2936"/>
      <c r="FLW73" s="2936"/>
      <c r="FLX73" s="2936"/>
      <c r="FLY73" s="2936"/>
      <c r="FLZ73" s="2936"/>
      <c r="FMA73" s="2936"/>
      <c r="FMB73" s="2936"/>
      <c r="FMC73" s="2936"/>
      <c r="FMD73" s="2936"/>
      <c r="FME73" s="2936"/>
      <c r="FMF73" s="2936"/>
      <c r="FMG73" s="2936"/>
      <c r="FMH73" s="2936"/>
      <c r="FMI73" s="2936"/>
      <c r="FMJ73" s="2936"/>
      <c r="FMK73" s="2936"/>
      <c r="FML73" s="2936"/>
      <c r="FMM73" s="2936"/>
      <c r="FMN73" s="2936"/>
      <c r="FMO73" s="2936"/>
      <c r="FMP73" s="2936"/>
      <c r="FMQ73" s="2936"/>
      <c r="FMR73" s="2936"/>
      <c r="FMS73" s="2936"/>
      <c r="FMT73" s="2936"/>
      <c r="FMU73" s="2936"/>
      <c r="FMV73" s="2936"/>
      <c r="FMW73" s="2936"/>
      <c r="FMX73" s="2936"/>
      <c r="FMY73" s="2936"/>
      <c r="FMZ73" s="2936"/>
      <c r="FNA73" s="2936"/>
      <c r="FNB73" s="2936"/>
      <c r="FNC73" s="2936"/>
      <c r="FND73" s="2936"/>
      <c r="FNE73" s="2936"/>
      <c r="FNF73" s="2936"/>
      <c r="FNG73" s="2936"/>
      <c r="FNH73" s="2936"/>
      <c r="FNI73" s="2936"/>
      <c r="FNJ73" s="2936"/>
      <c r="FNK73" s="2936"/>
      <c r="FNL73" s="2936"/>
      <c r="FNM73" s="2936"/>
      <c r="FNN73" s="2936"/>
      <c r="FNO73" s="2936"/>
      <c r="FNP73" s="2936"/>
      <c r="FNQ73" s="2936"/>
      <c r="FNR73" s="2936"/>
      <c r="FNS73" s="2936"/>
      <c r="FNT73" s="2936"/>
      <c r="FNU73" s="2936"/>
      <c r="FNV73" s="2936"/>
      <c r="FNW73" s="2936"/>
      <c r="FNX73" s="2936"/>
      <c r="FNY73" s="2936"/>
      <c r="FNZ73" s="2936"/>
      <c r="FOA73" s="2936"/>
      <c r="FOB73" s="2936"/>
      <c r="FOC73" s="2936"/>
      <c r="FOD73" s="2936"/>
      <c r="FOE73" s="2936"/>
      <c r="FOF73" s="2936"/>
      <c r="FOG73" s="2936"/>
      <c r="FOH73" s="2936"/>
      <c r="FOI73" s="2936"/>
      <c r="FOJ73" s="2936"/>
      <c r="FOK73" s="2936"/>
      <c r="FOL73" s="2936"/>
      <c r="FOM73" s="2936"/>
      <c r="FON73" s="2936"/>
      <c r="FOO73" s="2936"/>
      <c r="FOP73" s="2936"/>
      <c r="FOQ73" s="2936"/>
      <c r="FOR73" s="2936"/>
      <c r="FOS73" s="2936"/>
      <c r="FOT73" s="2936"/>
      <c r="FOU73" s="2936"/>
      <c r="FOV73" s="2936"/>
      <c r="FOW73" s="2936"/>
      <c r="FOX73" s="2936"/>
      <c r="FOY73" s="2936"/>
      <c r="FOZ73" s="2936"/>
      <c r="FPA73" s="2936"/>
      <c r="FPB73" s="2936"/>
      <c r="FPC73" s="2936"/>
      <c r="FPD73" s="2936"/>
      <c r="FPE73" s="2936"/>
      <c r="FPF73" s="2936"/>
      <c r="FPG73" s="2936"/>
      <c r="FPH73" s="2936"/>
      <c r="FPI73" s="2936"/>
      <c r="FPJ73" s="2936"/>
      <c r="FPK73" s="2936"/>
      <c r="FPL73" s="2936"/>
      <c r="FPM73" s="2936"/>
      <c r="FPN73" s="2936"/>
      <c r="FPO73" s="2936"/>
      <c r="FPP73" s="2936"/>
      <c r="FPQ73" s="2936"/>
      <c r="FPR73" s="2936"/>
      <c r="FPS73" s="2936"/>
      <c r="FPT73" s="2936"/>
      <c r="FPU73" s="2936"/>
      <c r="FPV73" s="2936"/>
      <c r="FPW73" s="2936"/>
      <c r="FPX73" s="2936"/>
      <c r="FPY73" s="2936"/>
      <c r="FPZ73" s="2936"/>
      <c r="FQA73" s="2936"/>
      <c r="FQB73" s="2936"/>
      <c r="FQC73" s="2936"/>
      <c r="FQD73" s="2936"/>
      <c r="FQE73" s="2936"/>
      <c r="FQF73" s="2936"/>
      <c r="FQG73" s="2936"/>
      <c r="FQH73" s="2936"/>
      <c r="FQI73" s="2936"/>
      <c r="FQJ73" s="2936"/>
      <c r="FQK73" s="2936"/>
      <c r="FQL73" s="2936"/>
      <c r="FQM73" s="2936"/>
      <c r="FQN73" s="2936"/>
      <c r="FQO73" s="2936"/>
      <c r="FQP73" s="2936"/>
      <c r="FQQ73" s="2936"/>
      <c r="FQR73" s="2936"/>
      <c r="FQS73" s="2936"/>
      <c r="FQT73" s="2936"/>
      <c r="FQU73" s="2936"/>
      <c r="FQV73" s="2936"/>
      <c r="FQW73" s="2936"/>
      <c r="FQX73" s="2936"/>
      <c r="FQY73" s="2936"/>
      <c r="FQZ73" s="2936"/>
      <c r="FRA73" s="2936"/>
      <c r="FRB73" s="2936"/>
      <c r="FRC73" s="2936"/>
      <c r="FRD73" s="2936"/>
      <c r="FRE73" s="2936"/>
      <c r="FRF73" s="2936"/>
      <c r="FRG73" s="2936"/>
      <c r="FRH73" s="2936"/>
      <c r="FRI73" s="2936"/>
      <c r="FRJ73" s="2936"/>
      <c r="FRK73" s="2936"/>
      <c r="FRL73" s="2936"/>
      <c r="FRM73" s="2936"/>
      <c r="FRN73" s="2936"/>
      <c r="FRO73" s="2936"/>
      <c r="FRP73" s="2936"/>
      <c r="FRQ73" s="2936"/>
      <c r="FRR73" s="2936"/>
      <c r="FRS73" s="2936"/>
      <c r="FRT73" s="2936"/>
      <c r="FRU73" s="2936"/>
      <c r="FRV73" s="2936"/>
      <c r="FRW73" s="2936"/>
      <c r="FRX73" s="2936"/>
      <c r="FRY73" s="2936"/>
      <c r="FRZ73" s="2936"/>
      <c r="FSA73" s="2936"/>
      <c r="FSB73" s="2936"/>
      <c r="FSC73" s="2936"/>
      <c r="FSD73" s="2936"/>
      <c r="FSE73" s="2936"/>
      <c r="FSF73" s="2936"/>
      <c r="FSG73" s="2936"/>
      <c r="FSH73" s="2936"/>
      <c r="FSI73" s="2936"/>
      <c r="FSJ73" s="2936"/>
      <c r="FSK73" s="2936"/>
      <c r="FSL73" s="2936"/>
      <c r="FSM73" s="2936"/>
      <c r="FSN73" s="2936"/>
      <c r="FSO73" s="2936"/>
      <c r="FSP73" s="2936"/>
      <c r="FSQ73" s="2936"/>
      <c r="FSR73" s="2936"/>
      <c r="FSS73" s="2936"/>
      <c r="FST73" s="2936"/>
      <c r="FSU73" s="2936"/>
      <c r="FSV73" s="2936"/>
      <c r="FSW73" s="2936"/>
      <c r="FSX73" s="2936"/>
      <c r="FSY73" s="2936"/>
      <c r="FSZ73" s="2936"/>
      <c r="FTA73" s="2936"/>
      <c r="FTB73" s="2936"/>
      <c r="FTC73" s="2936"/>
      <c r="FTD73" s="2936"/>
      <c r="FTE73" s="2936"/>
      <c r="FTF73" s="2936"/>
      <c r="FTG73" s="2936"/>
      <c r="FTH73" s="2936"/>
      <c r="FTI73" s="2936"/>
      <c r="FTJ73" s="2936"/>
      <c r="FTK73" s="2936"/>
      <c r="FTL73" s="2936"/>
      <c r="FTM73" s="2936"/>
      <c r="FTN73" s="2936"/>
      <c r="FTO73" s="2936"/>
      <c r="FTP73" s="2936"/>
      <c r="FTQ73" s="2936"/>
      <c r="FTR73" s="2936"/>
      <c r="FTS73" s="2936"/>
      <c r="FTT73" s="2936"/>
      <c r="FTU73" s="2936"/>
      <c r="FTV73" s="2936"/>
      <c r="FTW73" s="2936"/>
      <c r="FTX73" s="2936"/>
      <c r="FTY73" s="2936"/>
      <c r="FTZ73" s="2936"/>
      <c r="FUA73" s="2936"/>
      <c r="FUB73" s="2936"/>
      <c r="FUC73" s="2936"/>
      <c r="FUD73" s="2936"/>
      <c r="FUE73" s="2936"/>
      <c r="FUF73" s="2936"/>
      <c r="FUG73" s="2936"/>
      <c r="FUH73" s="2936"/>
      <c r="FUI73" s="2936"/>
      <c r="FUJ73" s="2936"/>
      <c r="FUK73" s="2936"/>
      <c r="FUL73" s="2936"/>
      <c r="FUM73" s="2936"/>
      <c r="FUN73" s="2936"/>
      <c r="FUO73" s="2936"/>
      <c r="FUP73" s="2936"/>
      <c r="FUQ73" s="2936"/>
      <c r="FUR73" s="2936"/>
      <c r="FUS73" s="2936"/>
      <c r="FUT73" s="2936"/>
      <c r="FUU73" s="2936"/>
      <c r="FUV73" s="2936"/>
      <c r="FUW73" s="2936"/>
      <c r="FUX73" s="2936"/>
      <c r="FUY73" s="2936"/>
      <c r="FUZ73" s="2936"/>
      <c r="FVA73" s="2936"/>
      <c r="FVB73" s="2936"/>
      <c r="FVC73" s="2936"/>
      <c r="FVD73" s="2936"/>
      <c r="FVE73" s="2936"/>
      <c r="FVF73" s="2936"/>
      <c r="FVG73" s="2936"/>
      <c r="FVH73" s="2936"/>
      <c r="FVI73" s="2936"/>
      <c r="FVJ73" s="2936"/>
      <c r="FVK73" s="2936"/>
      <c r="FVL73" s="2936"/>
      <c r="FVM73" s="2936"/>
      <c r="FVN73" s="2936"/>
      <c r="FVO73" s="2936"/>
      <c r="FVP73" s="2936"/>
      <c r="FVQ73" s="2936"/>
      <c r="FVR73" s="2936"/>
      <c r="FVS73" s="2936"/>
      <c r="FVT73" s="2936"/>
      <c r="FVU73" s="2936"/>
      <c r="FVV73" s="2936"/>
      <c r="FVW73" s="2936"/>
      <c r="FVX73" s="2936"/>
      <c r="FVY73" s="2936"/>
      <c r="FVZ73" s="2936"/>
      <c r="FWA73" s="2936"/>
      <c r="FWB73" s="2936"/>
      <c r="FWC73" s="2936"/>
      <c r="FWD73" s="2936"/>
      <c r="FWE73" s="2936"/>
      <c r="FWF73" s="2936"/>
      <c r="FWG73" s="2936"/>
      <c r="FWH73" s="2936"/>
      <c r="FWI73" s="2936"/>
      <c r="FWJ73" s="2936"/>
      <c r="FWK73" s="2936"/>
      <c r="FWL73" s="2936"/>
      <c r="FWM73" s="2936"/>
      <c r="FWN73" s="2936"/>
      <c r="FWO73" s="2936"/>
      <c r="FWP73" s="2936"/>
      <c r="FWQ73" s="2936"/>
      <c r="FWR73" s="2936"/>
      <c r="FWS73" s="2936"/>
      <c r="FWT73" s="2936"/>
      <c r="FWU73" s="2936"/>
      <c r="FWV73" s="2936"/>
      <c r="FWW73" s="2936"/>
      <c r="FWX73" s="2936"/>
      <c r="FWY73" s="2936"/>
      <c r="FWZ73" s="2936"/>
      <c r="FXA73" s="2936"/>
      <c r="FXB73" s="2936"/>
      <c r="FXC73" s="2936"/>
      <c r="FXD73" s="2936"/>
      <c r="FXE73" s="2936"/>
      <c r="FXF73" s="2936"/>
      <c r="FXG73" s="2936"/>
      <c r="FXH73" s="2936"/>
      <c r="FXI73" s="2936"/>
      <c r="FXJ73" s="2936"/>
      <c r="FXK73" s="2936"/>
      <c r="FXL73" s="2936"/>
      <c r="FXM73" s="2936"/>
      <c r="FXN73" s="2936"/>
      <c r="FXO73" s="2936"/>
      <c r="FXP73" s="2936"/>
      <c r="FXQ73" s="2936"/>
      <c r="FXR73" s="2936"/>
      <c r="FXS73" s="2936"/>
      <c r="FXT73" s="2936"/>
      <c r="FXU73" s="2936"/>
      <c r="FXV73" s="2936"/>
      <c r="FXW73" s="2936"/>
      <c r="FXX73" s="2936"/>
      <c r="FXY73" s="2936"/>
      <c r="FXZ73" s="2936"/>
      <c r="FYA73" s="2936"/>
      <c r="FYB73" s="2936"/>
      <c r="FYC73" s="2936"/>
      <c r="FYD73" s="2936"/>
      <c r="FYE73" s="2936"/>
      <c r="FYF73" s="2936"/>
      <c r="FYG73" s="2936"/>
      <c r="FYH73" s="2936"/>
      <c r="FYI73" s="2936"/>
      <c r="FYJ73" s="2936"/>
      <c r="FYK73" s="2936"/>
      <c r="FYL73" s="2936"/>
      <c r="FYM73" s="2936"/>
      <c r="FYN73" s="2936"/>
      <c r="FYO73" s="2936"/>
      <c r="FYP73" s="2936"/>
      <c r="FYQ73" s="2936"/>
      <c r="FYR73" s="2936"/>
      <c r="FYS73" s="2936"/>
      <c r="FYT73" s="2936"/>
      <c r="FYU73" s="2936"/>
      <c r="FYV73" s="2936"/>
      <c r="FYW73" s="2936"/>
      <c r="FYX73" s="2936"/>
      <c r="FYY73" s="2936"/>
      <c r="FYZ73" s="2936"/>
      <c r="FZA73" s="2936"/>
      <c r="FZB73" s="2936"/>
      <c r="FZC73" s="2936"/>
      <c r="FZD73" s="2936"/>
      <c r="FZE73" s="2936"/>
      <c r="FZF73" s="2936"/>
      <c r="FZG73" s="2936"/>
      <c r="FZH73" s="2936"/>
      <c r="FZI73" s="2936"/>
      <c r="FZJ73" s="2936"/>
      <c r="FZK73" s="2936"/>
      <c r="FZL73" s="2936"/>
      <c r="FZM73" s="2936"/>
      <c r="FZN73" s="2936"/>
      <c r="FZO73" s="2936"/>
      <c r="FZP73" s="2936"/>
      <c r="FZQ73" s="2936"/>
      <c r="FZR73" s="2936"/>
      <c r="FZS73" s="2936"/>
      <c r="FZT73" s="2936"/>
      <c r="FZU73" s="2936"/>
      <c r="FZV73" s="2936"/>
      <c r="FZW73" s="2936"/>
      <c r="FZX73" s="2936"/>
      <c r="FZY73" s="2936"/>
      <c r="FZZ73" s="2936"/>
      <c r="GAA73" s="2936"/>
      <c r="GAB73" s="2936"/>
      <c r="GAC73" s="2936"/>
      <c r="GAD73" s="2936"/>
      <c r="GAE73" s="2936"/>
      <c r="GAF73" s="2936"/>
      <c r="GAG73" s="2936"/>
      <c r="GAH73" s="2936"/>
      <c r="GAI73" s="2936"/>
      <c r="GAJ73" s="2936"/>
      <c r="GAK73" s="2936"/>
      <c r="GAL73" s="2936"/>
      <c r="GAM73" s="2936"/>
      <c r="GAN73" s="2936"/>
      <c r="GAO73" s="2936"/>
      <c r="GAP73" s="2936"/>
      <c r="GAQ73" s="2936"/>
      <c r="GAR73" s="2936"/>
      <c r="GAS73" s="2936"/>
      <c r="GAT73" s="2936"/>
      <c r="GAU73" s="2936"/>
      <c r="GAV73" s="2936"/>
      <c r="GAW73" s="2936"/>
      <c r="GAX73" s="2936"/>
      <c r="GAY73" s="2936"/>
      <c r="GAZ73" s="2936"/>
      <c r="GBA73" s="2936"/>
      <c r="GBB73" s="2936"/>
      <c r="GBC73" s="2936"/>
      <c r="GBD73" s="2936"/>
      <c r="GBE73" s="2936"/>
      <c r="GBF73" s="2936"/>
      <c r="GBG73" s="2936"/>
      <c r="GBH73" s="2936"/>
      <c r="GBI73" s="2936"/>
      <c r="GBJ73" s="2936"/>
      <c r="GBK73" s="2936"/>
      <c r="GBL73" s="2936"/>
      <c r="GBM73" s="2936"/>
      <c r="GBN73" s="2936"/>
      <c r="GBO73" s="2936"/>
      <c r="GBP73" s="2936"/>
      <c r="GBQ73" s="2936"/>
      <c r="GBR73" s="2936"/>
      <c r="GBS73" s="2936"/>
      <c r="GBT73" s="2936"/>
      <c r="GBU73" s="2936"/>
      <c r="GBV73" s="2936"/>
      <c r="GBW73" s="2936"/>
      <c r="GBX73" s="2936"/>
      <c r="GBY73" s="2936"/>
      <c r="GBZ73" s="2936"/>
      <c r="GCA73" s="2936"/>
      <c r="GCB73" s="2936"/>
      <c r="GCC73" s="2936"/>
      <c r="GCD73" s="2936"/>
      <c r="GCE73" s="2936"/>
      <c r="GCF73" s="2936"/>
      <c r="GCG73" s="2936"/>
      <c r="GCH73" s="2936"/>
      <c r="GCI73" s="2936"/>
      <c r="GCJ73" s="2936"/>
      <c r="GCK73" s="2936"/>
      <c r="GCL73" s="2936"/>
      <c r="GCM73" s="2936"/>
      <c r="GCN73" s="2936"/>
      <c r="GCO73" s="2936"/>
      <c r="GCP73" s="2936"/>
      <c r="GCQ73" s="2936"/>
      <c r="GCR73" s="2936"/>
      <c r="GCS73" s="2936"/>
      <c r="GCT73" s="2936"/>
      <c r="GCU73" s="2936"/>
      <c r="GCV73" s="2936"/>
      <c r="GCW73" s="2936"/>
      <c r="GCX73" s="2936"/>
      <c r="GCY73" s="2936"/>
      <c r="GCZ73" s="2936"/>
      <c r="GDA73" s="2936"/>
      <c r="GDB73" s="2936"/>
      <c r="GDC73" s="2936"/>
      <c r="GDD73" s="2936"/>
      <c r="GDE73" s="2936"/>
      <c r="GDF73" s="2936"/>
      <c r="GDG73" s="2936"/>
      <c r="GDH73" s="2936"/>
      <c r="GDI73" s="2936"/>
      <c r="GDJ73" s="2936"/>
      <c r="GDK73" s="2936"/>
      <c r="GDL73" s="2936"/>
      <c r="GDM73" s="2936"/>
      <c r="GDN73" s="2936"/>
      <c r="GDO73" s="2936"/>
      <c r="GDP73" s="2936"/>
      <c r="GDQ73" s="2936"/>
      <c r="GDR73" s="2936"/>
      <c r="GDS73" s="2936"/>
      <c r="GDT73" s="2936"/>
      <c r="GDU73" s="2936"/>
      <c r="GDV73" s="2936"/>
      <c r="GDW73" s="2936"/>
      <c r="GDX73" s="2936"/>
      <c r="GDY73" s="2936"/>
      <c r="GDZ73" s="2936"/>
      <c r="GEA73" s="2936"/>
      <c r="GEB73" s="2936"/>
      <c r="GEC73" s="2936"/>
      <c r="GED73" s="2936"/>
      <c r="GEE73" s="2936"/>
      <c r="GEF73" s="2936"/>
      <c r="GEG73" s="2936"/>
      <c r="GEH73" s="2936"/>
      <c r="GEI73" s="2936"/>
      <c r="GEJ73" s="2936"/>
      <c r="GEK73" s="2936"/>
      <c r="GEL73" s="2936"/>
      <c r="GEM73" s="2936"/>
      <c r="GEN73" s="2936"/>
      <c r="GEO73" s="2936"/>
      <c r="GEP73" s="2936"/>
      <c r="GEQ73" s="2936"/>
      <c r="GER73" s="2936"/>
      <c r="GES73" s="2936"/>
      <c r="GET73" s="2936"/>
      <c r="GEU73" s="2936"/>
      <c r="GEV73" s="2936"/>
      <c r="GEW73" s="2936"/>
      <c r="GEX73" s="2936"/>
      <c r="GEY73" s="2936"/>
      <c r="GEZ73" s="2936"/>
      <c r="GFA73" s="2936"/>
      <c r="GFB73" s="2936"/>
      <c r="GFC73" s="2936"/>
      <c r="GFD73" s="2936"/>
      <c r="GFE73" s="2936"/>
      <c r="GFF73" s="2936"/>
      <c r="GFG73" s="2936"/>
      <c r="GFH73" s="2936"/>
      <c r="GFI73" s="2936"/>
      <c r="GFJ73" s="2936"/>
      <c r="GFK73" s="2936"/>
      <c r="GFL73" s="2936"/>
      <c r="GFM73" s="2936"/>
      <c r="GFN73" s="2936"/>
      <c r="GFO73" s="2936"/>
      <c r="GFP73" s="2936"/>
      <c r="GFQ73" s="2936"/>
      <c r="GFR73" s="2936"/>
      <c r="GFS73" s="2936"/>
      <c r="GFT73" s="2936"/>
      <c r="GFU73" s="2936"/>
      <c r="GFV73" s="2936"/>
      <c r="GFW73" s="2936"/>
      <c r="GFX73" s="2936"/>
      <c r="GFY73" s="2936"/>
      <c r="GFZ73" s="2936"/>
      <c r="GGA73" s="2936"/>
      <c r="GGB73" s="2936"/>
      <c r="GGC73" s="2936"/>
      <c r="GGD73" s="2936"/>
      <c r="GGE73" s="2936"/>
      <c r="GGF73" s="2936"/>
      <c r="GGG73" s="2936"/>
      <c r="GGH73" s="2936"/>
      <c r="GGI73" s="2936"/>
      <c r="GGJ73" s="2936"/>
      <c r="GGK73" s="2936"/>
      <c r="GGL73" s="2936"/>
      <c r="GGM73" s="2936"/>
      <c r="GGN73" s="2936"/>
      <c r="GGO73" s="2936"/>
      <c r="GGP73" s="2936"/>
      <c r="GGQ73" s="2936"/>
      <c r="GGR73" s="2936"/>
      <c r="GGS73" s="2936"/>
      <c r="GGT73" s="2936"/>
      <c r="GGU73" s="2936"/>
      <c r="GGV73" s="2936"/>
      <c r="GGW73" s="2936"/>
      <c r="GGX73" s="2936"/>
      <c r="GGY73" s="2936"/>
      <c r="GGZ73" s="2936"/>
      <c r="GHA73" s="2936"/>
      <c r="GHB73" s="2936"/>
      <c r="GHC73" s="2936"/>
      <c r="GHD73" s="2936"/>
      <c r="GHE73" s="2936"/>
      <c r="GHF73" s="2936"/>
      <c r="GHG73" s="2936"/>
      <c r="GHH73" s="2936"/>
      <c r="GHI73" s="2936"/>
      <c r="GHJ73" s="2936"/>
      <c r="GHK73" s="2936"/>
      <c r="GHL73" s="2936"/>
      <c r="GHM73" s="2936"/>
      <c r="GHN73" s="2936"/>
      <c r="GHO73" s="2936"/>
      <c r="GHP73" s="2936"/>
      <c r="GHQ73" s="2936"/>
      <c r="GHR73" s="2936"/>
      <c r="GHS73" s="2936"/>
      <c r="GHT73" s="2936"/>
      <c r="GHU73" s="2936"/>
      <c r="GHV73" s="2936"/>
      <c r="GHW73" s="2936"/>
      <c r="GHX73" s="2936"/>
      <c r="GHY73" s="2936"/>
      <c r="GHZ73" s="2936"/>
      <c r="GIA73" s="2936"/>
      <c r="GIB73" s="2936"/>
      <c r="GIC73" s="2936"/>
      <c r="GID73" s="2936"/>
      <c r="GIE73" s="2936"/>
      <c r="GIF73" s="2936"/>
      <c r="GIG73" s="2936"/>
      <c r="GIH73" s="2936"/>
      <c r="GII73" s="2936"/>
      <c r="GIJ73" s="2936"/>
      <c r="GIK73" s="2936"/>
      <c r="GIL73" s="2936"/>
      <c r="GIM73" s="2936"/>
      <c r="GIN73" s="2936"/>
      <c r="GIO73" s="2936"/>
      <c r="GIP73" s="2936"/>
      <c r="GIQ73" s="2936"/>
      <c r="GIR73" s="2936"/>
      <c r="GIS73" s="2936"/>
      <c r="GIT73" s="2936"/>
      <c r="GIU73" s="2936"/>
      <c r="GIV73" s="2936"/>
      <c r="GIW73" s="2936"/>
      <c r="GIX73" s="2936"/>
      <c r="GIY73" s="2936"/>
      <c r="GIZ73" s="2936"/>
      <c r="GJA73" s="2936"/>
      <c r="GJB73" s="2936"/>
      <c r="GJC73" s="2936"/>
      <c r="GJD73" s="2936"/>
      <c r="GJE73" s="2936"/>
      <c r="GJF73" s="2936"/>
      <c r="GJG73" s="2936"/>
      <c r="GJH73" s="2936"/>
      <c r="GJI73" s="2936"/>
      <c r="GJJ73" s="2936"/>
      <c r="GJK73" s="2936"/>
      <c r="GJL73" s="2936"/>
      <c r="GJM73" s="2936"/>
      <c r="GJN73" s="2936"/>
      <c r="GJO73" s="2936"/>
      <c r="GJP73" s="2936"/>
      <c r="GJQ73" s="2936"/>
      <c r="GJR73" s="2936"/>
      <c r="GJS73" s="2936"/>
      <c r="GJT73" s="2936"/>
      <c r="GJU73" s="2936"/>
      <c r="GJV73" s="2936"/>
      <c r="GJW73" s="2936"/>
      <c r="GJX73" s="2936"/>
      <c r="GJY73" s="2936"/>
      <c r="GJZ73" s="2936"/>
      <c r="GKA73" s="2936"/>
      <c r="GKB73" s="2936"/>
      <c r="GKC73" s="2936"/>
      <c r="GKD73" s="2936"/>
      <c r="GKE73" s="2936"/>
      <c r="GKF73" s="2936"/>
      <c r="GKG73" s="2936"/>
      <c r="GKH73" s="2936"/>
      <c r="GKI73" s="2936"/>
      <c r="GKJ73" s="2936"/>
      <c r="GKK73" s="2936"/>
      <c r="GKL73" s="2936"/>
      <c r="GKM73" s="2936"/>
      <c r="GKN73" s="2936"/>
      <c r="GKO73" s="2936"/>
      <c r="GKP73" s="2936"/>
      <c r="GKQ73" s="2936"/>
      <c r="GKR73" s="2936"/>
      <c r="GKS73" s="2936"/>
      <c r="GKT73" s="2936"/>
      <c r="GKU73" s="2936"/>
      <c r="GKV73" s="2936"/>
      <c r="GKW73" s="2936"/>
      <c r="GKX73" s="2936"/>
      <c r="GKY73" s="2936"/>
      <c r="GKZ73" s="2936"/>
      <c r="GLA73" s="2936"/>
      <c r="GLB73" s="2936"/>
      <c r="GLC73" s="2936"/>
      <c r="GLD73" s="2936"/>
      <c r="GLE73" s="2936"/>
      <c r="GLF73" s="2936"/>
      <c r="GLG73" s="2936"/>
      <c r="GLH73" s="2936"/>
      <c r="GLI73" s="2936"/>
      <c r="GLJ73" s="2936"/>
      <c r="GLK73" s="2936"/>
      <c r="GLL73" s="2936"/>
      <c r="GLM73" s="2936"/>
      <c r="GLN73" s="2936"/>
      <c r="GLO73" s="2936"/>
      <c r="GLP73" s="2936"/>
      <c r="GLQ73" s="2936"/>
      <c r="GLR73" s="2936"/>
      <c r="GLS73" s="2936"/>
      <c r="GLT73" s="2936"/>
      <c r="GLU73" s="2936"/>
      <c r="GLV73" s="2936"/>
      <c r="GLW73" s="2936"/>
      <c r="GLX73" s="2936"/>
      <c r="GLY73" s="2936"/>
      <c r="GLZ73" s="2936"/>
      <c r="GMA73" s="2936"/>
      <c r="GMB73" s="2936"/>
      <c r="GMC73" s="2936"/>
      <c r="GMD73" s="2936"/>
      <c r="GME73" s="2936"/>
      <c r="GMF73" s="2936"/>
      <c r="GMG73" s="2936"/>
      <c r="GMH73" s="2936"/>
      <c r="GMI73" s="2936"/>
      <c r="GMJ73" s="2936"/>
      <c r="GMK73" s="2936"/>
      <c r="GML73" s="2936"/>
      <c r="GMM73" s="2936"/>
      <c r="GMN73" s="2936"/>
      <c r="GMO73" s="2936"/>
      <c r="GMP73" s="2936"/>
      <c r="GMQ73" s="2936"/>
      <c r="GMR73" s="2936"/>
      <c r="GMS73" s="2936"/>
      <c r="GMT73" s="2936"/>
      <c r="GMU73" s="2936"/>
      <c r="GMV73" s="2936"/>
      <c r="GMW73" s="2936"/>
      <c r="GMX73" s="2936"/>
      <c r="GMY73" s="2936"/>
      <c r="GMZ73" s="2936"/>
      <c r="GNA73" s="2936"/>
      <c r="GNB73" s="2936"/>
      <c r="GNC73" s="2936"/>
      <c r="GND73" s="2936"/>
      <c r="GNE73" s="2936"/>
      <c r="GNF73" s="2936"/>
      <c r="GNG73" s="2936"/>
      <c r="GNH73" s="2936"/>
      <c r="GNI73" s="2936"/>
      <c r="GNJ73" s="2936"/>
      <c r="GNK73" s="2936"/>
      <c r="GNL73" s="2936"/>
      <c r="GNM73" s="2936"/>
      <c r="GNN73" s="2936"/>
      <c r="GNO73" s="2936"/>
      <c r="GNP73" s="2936"/>
      <c r="GNQ73" s="2936"/>
      <c r="GNR73" s="2936"/>
      <c r="GNS73" s="2936"/>
      <c r="GNT73" s="2936"/>
      <c r="GNU73" s="2936"/>
      <c r="GNV73" s="2936"/>
      <c r="GNW73" s="2936"/>
      <c r="GNX73" s="2936"/>
      <c r="GNY73" s="2936"/>
      <c r="GNZ73" s="2936"/>
      <c r="GOA73" s="2936"/>
      <c r="GOB73" s="2936"/>
      <c r="GOC73" s="2936"/>
      <c r="GOD73" s="2936"/>
      <c r="GOE73" s="2936"/>
      <c r="GOF73" s="2936"/>
      <c r="GOG73" s="2936"/>
      <c r="GOH73" s="2936"/>
      <c r="GOI73" s="2936"/>
      <c r="GOJ73" s="2936"/>
      <c r="GOK73" s="2936"/>
      <c r="GOL73" s="2936"/>
      <c r="GOM73" s="2936"/>
      <c r="GON73" s="2936"/>
      <c r="GOO73" s="2936"/>
      <c r="GOP73" s="2936"/>
      <c r="GOQ73" s="2936"/>
      <c r="GOR73" s="2936"/>
      <c r="GOS73" s="2936"/>
      <c r="GOT73" s="2936"/>
      <c r="GOU73" s="2936"/>
      <c r="GOV73" s="2936"/>
      <c r="GOW73" s="2936"/>
      <c r="GOX73" s="2936"/>
      <c r="GOY73" s="2936"/>
      <c r="GOZ73" s="2936"/>
      <c r="GPA73" s="2936"/>
      <c r="GPB73" s="2936"/>
      <c r="GPC73" s="2936"/>
      <c r="GPD73" s="2936"/>
      <c r="GPE73" s="2936"/>
      <c r="GPF73" s="2936"/>
      <c r="GPG73" s="2936"/>
      <c r="GPH73" s="2936"/>
      <c r="GPI73" s="2936"/>
      <c r="GPJ73" s="2936"/>
      <c r="GPK73" s="2936"/>
      <c r="GPL73" s="2936"/>
      <c r="GPM73" s="2936"/>
      <c r="GPN73" s="2936"/>
      <c r="GPO73" s="2936"/>
      <c r="GPP73" s="2936"/>
      <c r="GPQ73" s="2936"/>
      <c r="GPR73" s="2936"/>
      <c r="GPS73" s="2936"/>
      <c r="GPT73" s="2936"/>
      <c r="GPU73" s="2936"/>
      <c r="GPV73" s="2936"/>
      <c r="GPW73" s="2936"/>
      <c r="GPX73" s="2936"/>
      <c r="GPY73" s="2936"/>
      <c r="GPZ73" s="2936"/>
      <c r="GQA73" s="2936"/>
      <c r="GQB73" s="2936"/>
      <c r="GQC73" s="2936"/>
      <c r="GQD73" s="2936"/>
      <c r="GQE73" s="2936"/>
      <c r="GQF73" s="2936"/>
      <c r="GQG73" s="2936"/>
      <c r="GQH73" s="2936"/>
      <c r="GQI73" s="2936"/>
      <c r="GQJ73" s="2936"/>
      <c r="GQK73" s="2936"/>
      <c r="GQL73" s="2936"/>
      <c r="GQM73" s="2936"/>
      <c r="GQN73" s="2936"/>
      <c r="GQO73" s="2936"/>
      <c r="GQP73" s="2936"/>
      <c r="GQQ73" s="2936"/>
      <c r="GQR73" s="2936"/>
      <c r="GQS73" s="2936"/>
      <c r="GQT73" s="2936"/>
      <c r="GQU73" s="2936"/>
      <c r="GQV73" s="2936"/>
      <c r="GQW73" s="2936"/>
      <c r="GQX73" s="2936"/>
      <c r="GQY73" s="2936"/>
      <c r="GQZ73" s="2936"/>
      <c r="GRA73" s="2936"/>
      <c r="GRB73" s="2936"/>
      <c r="GRC73" s="2936"/>
      <c r="GRD73" s="2936"/>
      <c r="GRE73" s="2936"/>
      <c r="GRF73" s="2936"/>
      <c r="GRG73" s="2936"/>
      <c r="GRH73" s="2936"/>
      <c r="GRI73" s="2936"/>
      <c r="GRJ73" s="2936"/>
      <c r="GRK73" s="2936"/>
      <c r="GRL73" s="2936"/>
      <c r="GRM73" s="2936"/>
      <c r="GRN73" s="2936"/>
      <c r="GRO73" s="2936"/>
      <c r="GRP73" s="2936"/>
      <c r="GRQ73" s="2936"/>
      <c r="GRR73" s="2936"/>
      <c r="GRS73" s="2936"/>
      <c r="GRT73" s="2936"/>
      <c r="GRU73" s="2936"/>
      <c r="GRV73" s="2936"/>
      <c r="GRW73" s="2936"/>
      <c r="GRX73" s="2936"/>
      <c r="GRY73" s="2936"/>
      <c r="GRZ73" s="2936"/>
      <c r="GSA73" s="2936"/>
      <c r="GSB73" s="2936"/>
      <c r="GSC73" s="2936"/>
      <c r="GSD73" s="2936"/>
      <c r="GSE73" s="2936"/>
      <c r="GSF73" s="2936"/>
      <c r="GSG73" s="2936"/>
      <c r="GSH73" s="2936"/>
      <c r="GSI73" s="2936"/>
      <c r="GSJ73" s="2936"/>
      <c r="GSK73" s="2936"/>
      <c r="GSL73" s="2936"/>
      <c r="GSM73" s="2936"/>
      <c r="GSN73" s="2936"/>
      <c r="GSO73" s="2936"/>
      <c r="GSP73" s="2936"/>
      <c r="GSQ73" s="2936"/>
      <c r="GSR73" s="2936"/>
      <c r="GSS73" s="2936"/>
      <c r="GST73" s="2936"/>
      <c r="GSU73" s="2936"/>
      <c r="GSV73" s="2936"/>
      <c r="GSW73" s="2936"/>
      <c r="GSX73" s="2936"/>
      <c r="GSY73" s="2936"/>
      <c r="GSZ73" s="2936"/>
      <c r="GTA73" s="2936"/>
      <c r="GTB73" s="2936"/>
      <c r="GTC73" s="2936"/>
      <c r="GTD73" s="2936"/>
      <c r="GTE73" s="2936"/>
      <c r="GTF73" s="2936"/>
      <c r="GTG73" s="2936"/>
      <c r="GTH73" s="2936"/>
      <c r="GTI73" s="2936"/>
      <c r="GTJ73" s="2936"/>
      <c r="GTK73" s="2936"/>
      <c r="GTL73" s="2936"/>
      <c r="GTM73" s="2936"/>
      <c r="GTN73" s="2936"/>
      <c r="GTO73" s="2936"/>
      <c r="GTP73" s="2936"/>
      <c r="GTQ73" s="2936"/>
      <c r="GTR73" s="2936"/>
      <c r="GTS73" s="2936"/>
      <c r="GTT73" s="2936"/>
      <c r="GTU73" s="2936"/>
      <c r="GTV73" s="2936"/>
      <c r="GTW73" s="2936"/>
      <c r="GTX73" s="2936"/>
      <c r="GTY73" s="2936"/>
      <c r="GTZ73" s="2936"/>
      <c r="GUA73" s="2936"/>
      <c r="GUB73" s="2936"/>
      <c r="GUC73" s="2936"/>
      <c r="GUD73" s="2936"/>
      <c r="GUE73" s="2936"/>
      <c r="GUF73" s="2936"/>
      <c r="GUG73" s="2936"/>
      <c r="GUH73" s="2936"/>
      <c r="GUI73" s="2936"/>
      <c r="GUJ73" s="2936"/>
      <c r="GUK73" s="2936"/>
      <c r="GUL73" s="2936"/>
      <c r="GUM73" s="2936"/>
      <c r="GUN73" s="2936"/>
      <c r="GUO73" s="2936"/>
      <c r="GUP73" s="2936"/>
      <c r="GUQ73" s="2936"/>
      <c r="GUR73" s="2936"/>
      <c r="GUS73" s="2936"/>
      <c r="GUT73" s="2936"/>
      <c r="GUU73" s="2936"/>
      <c r="GUV73" s="2936"/>
      <c r="GUW73" s="2936"/>
      <c r="GUX73" s="2936"/>
      <c r="GUY73" s="2936"/>
      <c r="GUZ73" s="2936"/>
      <c r="GVA73" s="2936"/>
      <c r="GVB73" s="2936"/>
      <c r="GVC73" s="2936"/>
      <c r="GVD73" s="2936"/>
      <c r="GVE73" s="2936"/>
      <c r="GVF73" s="2936"/>
      <c r="GVG73" s="2936"/>
      <c r="GVH73" s="2936"/>
      <c r="GVI73" s="2936"/>
      <c r="GVJ73" s="2936"/>
      <c r="GVK73" s="2936"/>
      <c r="GVL73" s="2936"/>
      <c r="GVM73" s="2936"/>
      <c r="GVN73" s="2936"/>
      <c r="GVO73" s="2936"/>
      <c r="GVP73" s="2936"/>
      <c r="GVQ73" s="2936"/>
      <c r="GVR73" s="2936"/>
      <c r="GVS73" s="2936"/>
      <c r="GVT73" s="2936"/>
      <c r="GVU73" s="2936"/>
      <c r="GVV73" s="2936"/>
      <c r="GVW73" s="2936"/>
      <c r="GVX73" s="2936"/>
      <c r="GVY73" s="2936"/>
      <c r="GVZ73" s="2936"/>
      <c r="GWA73" s="2936"/>
      <c r="GWB73" s="2936"/>
      <c r="GWC73" s="2936"/>
      <c r="GWD73" s="2936"/>
      <c r="GWE73" s="2936"/>
      <c r="GWF73" s="2936"/>
      <c r="GWG73" s="2936"/>
      <c r="GWH73" s="2936"/>
      <c r="GWI73" s="2936"/>
      <c r="GWJ73" s="2936"/>
      <c r="GWK73" s="2936"/>
      <c r="GWL73" s="2936"/>
      <c r="GWM73" s="2936"/>
      <c r="GWN73" s="2936"/>
      <c r="GWO73" s="2936"/>
      <c r="GWP73" s="2936"/>
      <c r="GWQ73" s="2936"/>
      <c r="GWR73" s="2936"/>
      <c r="GWS73" s="2936"/>
      <c r="GWT73" s="2936"/>
      <c r="GWU73" s="2936"/>
      <c r="GWV73" s="2936"/>
      <c r="GWW73" s="2936"/>
      <c r="GWX73" s="2936"/>
      <c r="GWY73" s="2936"/>
      <c r="GWZ73" s="2936"/>
      <c r="GXA73" s="2936"/>
      <c r="GXB73" s="2936"/>
      <c r="GXC73" s="2936"/>
      <c r="GXD73" s="2936"/>
      <c r="GXE73" s="2936"/>
      <c r="GXF73" s="2936"/>
      <c r="GXG73" s="2936"/>
      <c r="GXH73" s="2936"/>
      <c r="GXI73" s="2936"/>
      <c r="GXJ73" s="2936"/>
      <c r="GXK73" s="2936"/>
      <c r="GXL73" s="2936"/>
      <c r="GXM73" s="2936"/>
      <c r="GXN73" s="2936"/>
      <c r="GXO73" s="2936"/>
      <c r="GXP73" s="2936"/>
      <c r="GXQ73" s="2936"/>
      <c r="GXR73" s="2936"/>
      <c r="GXS73" s="2936"/>
      <c r="GXT73" s="2936"/>
      <c r="GXU73" s="2936"/>
      <c r="GXV73" s="2936"/>
      <c r="GXW73" s="2936"/>
      <c r="GXX73" s="2936"/>
      <c r="GXY73" s="2936"/>
      <c r="GXZ73" s="2936"/>
      <c r="GYA73" s="2936"/>
      <c r="GYB73" s="2936"/>
      <c r="GYC73" s="2936"/>
      <c r="GYD73" s="2936"/>
      <c r="GYE73" s="2936"/>
      <c r="GYF73" s="2936"/>
      <c r="GYG73" s="2936"/>
      <c r="GYH73" s="2936"/>
      <c r="GYI73" s="2936"/>
      <c r="GYJ73" s="2936"/>
      <c r="GYK73" s="2936"/>
      <c r="GYL73" s="2936"/>
      <c r="GYM73" s="2936"/>
      <c r="GYN73" s="2936"/>
      <c r="GYO73" s="2936"/>
      <c r="GYP73" s="2936"/>
      <c r="GYQ73" s="2936"/>
      <c r="GYR73" s="2936"/>
      <c r="GYS73" s="2936"/>
      <c r="GYT73" s="2936"/>
      <c r="GYU73" s="2936"/>
      <c r="GYV73" s="2936"/>
      <c r="GYW73" s="2936"/>
      <c r="GYX73" s="2936"/>
      <c r="GYY73" s="2936"/>
      <c r="GYZ73" s="2936"/>
      <c r="GZA73" s="2936"/>
      <c r="GZB73" s="2936"/>
      <c r="GZC73" s="2936"/>
      <c r="GZD73" s="2936"/>
      <c r="GZE73" s="2936"/>
      <c r="GZF73" s="2936"/>
      <c r="GZG73" s="2936"/>
      <c r="GZH73" s="2936"/>
      <c r="GZI73" s="2936"/>
      <c r="GZJ73" s="2936"/>
      <c r="GZK73" s="2936"/>
      <c r="GZL73" s="2936"/>
      <c r="GZM73" s="2936"/>
      <c r="GZN73" s="2936"/>
      <c r="GZO73" s="2936"/>
      <c r="GZP73" s="2936"/>
      <c r="GZQ73" s="2936"/>
      <c r="GZR73" s="2936"/>
      <c r="GZS73" s="2936"/>
      <c r="GZT73" s="2936"/>
      <c r="GZU73" s="2936"/>
      <c r="GZV73" s="2936"/>
      <c r="GZW73" s="2936"/>
      <c r="GZX73" s="2936"/>
      <c r="GZY73" s="2936"/>
      <c r="GZZ73" s="2936"/>
      <c r="HAA73" s="2936"/>
      <c r="HAB73" s="2936"/>
      <c r="HAC73" s="2936"/>
      <c r="HAD73" s="2936"/>
      <c r="HAE73" s="2936"/>
      <c r="HAF73" s="2936"/>
      <c r="HAG73" s="2936"/>
      <c r="HAH73" s="2936"/>
      <c r="HAI73" s="2936"/>
      <c r="HAJ73" s="2936"/>
      <c r="HAK73" s="2936"/>
      <c r="HAL73" s="2936"/>
      <c r="HAM73" s="2936"/>
      <c r="HAN73" s="2936"/>
      <c r="HAO73" s="2936"/>
      <c r="HAP73" s="2936"/>
      <c r="HAQ73" s="2936"/>
      <c r="HAR73" s="2936"/>
      <c r="HAS73" s="2936"/>
      <c r="HAT73" s="2936"/>
      <c r="HAU73" s="2936"/>
      <c r="HAV73" s="2936"/>
      <c r="HAW73" s="2936"/>
      <c r="HAX73" s="2936"/>
      <c r="HAY73" s="2936"/>
      <c r="HAZ73" s="2936"/>
      <c r="HBA73" s="2936"/>
      <c r="HBB73" s="2936"/>
      <c r="HBC73" s="2936"/>
      <c r="HBD73" s="2936"/>
      <c r="HBE73" s="2936"/>
      <c r="HBF73" s="2936"/>
      <c r="HBG73" s="2936"/>
      <c r="HBH73" s="2936"/>
      <c r="HBI73" s="2936"/>
      <c r="HBJ73" s="2936"/>
      <c r="HBK73" s="2936"/>
      <c r="HBL73" s="2936"/>
      <c r="HBM73" s="2936"/>
      <c r="HBN73" s="2936"/>
      <c r="HBO73" s="2936"/>
      <c r="HBP73" s="2936"/>
      <c r="HBQ73" s="2936"/>
      <c r="HBR73" s="2936"/>
      <c r="HBS73" s="2936"/>
      <c r="HBT73" s="2936"/>
      <c r="HBU73" s="2936"/>
      <c r="HBV73" s="2936"/>
      <c r="HBW73" s="2936"/>
      <c r="HBX73" s="2936"/>
      <c r="HBY73" s="2936"/>
      <c r="HBZ73" s="2936"/>
      <c r="HCA73" s="2936"/>
      <c r="HCB73" s="2936"/>
      <c r="HCC73" s="2936"/>
      <c r="HCD73" s="2936"/>
      <c r="HCE73" s="2936"/>
      <c r="HCF73" s="2936"/>
      <c r="HCG73" s="2936"/>
      <c r="HCH73" s="2936"/>
      <c r="HCI73" s="2936"/>
      <c r="HCJ73" s="2936"/>
      <c r="HCK73" s="2936"/>
      <c r="HCL73" s="2936"/>
      <c r="HCM73" s="2936"/>
      <c r="HCN73" s="2936"/>
      <c r="HCO73" s="2936"/>
      <c r="HCP73" s="2936"/>
      <c r="HCQ73" s="2936"/>
      <c r="HCR73" s="2936"/>
      <c r="HCS73" s="2936"/>
      <c r="HCT73" s="2936"/>
      <c r="HCU73" s="2936"/>
      <c r="HCV73" s="2936"/>
      <c r="HCW73" s="2936"/>
      <c r="HCX73" s="2936"/>
      <c r="HCY73" s="2936"/>
      <c r="HCZ73" s="2936"/>
      <c r="HDA73" s="2936"/>
      <c r="HDB73" s="2936"/>
      <c r="HDC73" s="2936"/>
      <c r="HDD73" s="2936"/>
      <c r="HDE73" s="2936"/>
      <c r="HDF73" s="2936"/>
      <c r="HDG73" s="2936"/>
      <c r="HDH73" s="2936"/>
      <c r="HDI73" s="2936"/>
      <c r="HDJ73" s="2936"/>
      <c r="HDK73" s="2936"/>
      <c r="HDL73" s="2936"/>
      <c r="HDM73" s="2936"/>
      <c r="HDN73" s="2936"/>
      <c r="HDO73" s="2936"/>
      <c r="HDP73" s="2936"/>
      <c r="HDQ73" s="2936"/>
      <c r="HDR73" s="2936"/>
      <c r="HDS73" s="2936"/>
      <c r="HDT73" s="2936"/>
      <c r="HDU73" s="2936"/>
      <c r="HDV73" s="2936"/>
      <c r="HDW73" s="2936"/>
      <c r="HDX73" s="2936"/>
      <c r="HDY73" s="2936"/>
      <c r="HDZ73" s="2936"/>
      <c r="HEA73" s="2936"/>
      <c r="HEB73" s="2936"/>
      <c r="HEC73" s="2936"/>
      <c r="HED73" s="2936"/>
      <c r="HEE73" s="2936"/>
      <c r="HEF73" s="2936"/>
      <c r="HEG73" s="2936"/>
      <c r="HEH73" s="2936"/>
      <c r="HEI73" s="2936"/>
      <c r="HEJ73" s="2936"/>
      <c r="HEK73" s="2936"/>
      <c r="HEL73" s="2936"/>
      <c r="HEM73" s="2936"/>
      <c r="HEN73" s="2936"/>
      <c r="HEO73" s="2936"/>
      <c r="HEP73" s="2936"/>
      <c r="HEQ73" s="2936"/>
      <c r="HER73" s="2936"/>
      <c r="HES73" s="2936"/>
      <c r="HET73" s="2936"/>
      <c r="HEU73" s="2936"/>
      <c r="HEV73" s="2936"/>
      <c r="HEW73" s="2936"/>
      <c r="HEX73" s="2936"/>
      <c r="HEY73" s="2936"/>
      <c r="HEZ73" s="2936"/>
      <c r="HFA73" s="2936"/>
      <c r="HFB73" s="2936"/>
      <c r="HFC73" s="2936"/>
      <c r="HFD73" s="2936"/>
      <c r="HFE73" s="2936"/>
      <c r="HFF73" s="2936"/>
      <c r="HFG73" s="2936"/>
      <c r="HFH73" s="2936"/>
      <c r="HFI73" s="2936"/>
      <c r="HFJ73" s="2936"/>
      <c r="HFK73" s="2936"/>
      <c r="HFL73" s="2936"/>
      <c r="HFM73" s="2936"/>
      <c r="HFN73" s="2936"/>
      <c r="HFO73" s="2936"/>
      <c r="HFP73" s="2936"/>
      <c r="HFQ73" s="2936"/>
      <c r="HFR73" s="2936"/>
      <c r="HFS73" s="2936"/>
      <c r="HFT73" s="2936"/>
      <c r="HFU73" s="2936"/>
      <c r="HFV73" s="2936"/>
      <c r="HFW73" s="2936"/>
      <c r="HFX73" s="2936"/>
      <c r="HFY73" s="2936"/>
      <c r="HFZ73" s="2936"/>
      <c r="HGA73" s="2936"/>
      <c r="HGB73" s="2936"/>
      <c r="HGC73" s="2936"/>
      <c r="HGD73" s="2936"/>
      <c r="HGE73" s="2936"/>
      <c r="HGF73" s="2936"/>
      <c r="HGG73" s="2936"/>
      <c r="HGH73" s="2936"/>
      <c r="HGI73" s="2936"/>
      <c r="HGJ73" s="2936"/>
      <c r="HGK73" s="2936"/>
      <c r="HGL73" s="2936"/>
      <c r="HGM73" s="2936"/>
      <c r="HGN73" s="2936"/>
      <c r="HGO73" s="2936"/>
      <c r="HGP73" s="2936"/>
      <c r="HGQ73" s="2936"/>
      <c r="HGR73" s="2936"/>
      <c r="HGS73" s="2936"/>
      <c r="HGT73" s="2936"/>
      <c r="HGU73" s="2936"/>
      <c r="HGV73" s="2936"/>
      <c r="HGW73" s="2936"/>
      <c r="HGX73" s="2936"/>
      <c r="HGY73" s="2936"/>
      <c r="HGZ73" s="2936"/>
      <c r="HHA73" s="2936"/>
      <c r="HHB73" s="2936"/>
      <c r="HHC73" s="2936"/>
      <c r="HHD73" s="2936"/>
      <c r="HHE73" s="2936"/>
      <c r="HHF73" s="2936"/>
      <c r="HHG73" s="2936"/>
      <c r="HHH73" s="2936"/>
      <c r="HHI73" s="2936"/>
      <c r="HHJ73" s="2936"/>
      <c r="HHK73" s="2936"/>
      <c r="HHL73" s="2936"/>
      <c r="HHM73" s="2936"/>
      <c r="HHN73" s="2936"/>
      <c r="HHO73" s="2936"/>
      <c r="HHP73" s="2936"/>
      <c r="HHQ73" s="2936"/>
      <c r="HHR73" s="2936"/>
      <c r="HHS73" s="2936"/>
      <c r="HHT73" s="2936"/>
      <c r="HHU73" s="2936"/>
      <c r="HHV73" s="2936"/>
      <c r="HHW73" s="2936"/>
      <c r="HHX73" s="2936"/>
      <c r="HHY73" s="2936"/>
      <c r="HHZ73" s="2936"/>
      <c r="HIA73" s="2936"/>
      <c r="HIB73" s="2936"/>
      <c r="HIC73" s="2936"/>
      <c r="HID73" s="2936"/>
      <c r="HIE73" s="2936"/>
      <c r="HIF73" s="2936"/>
      <c r="HIG73" s="2936"/>
      <c r="HIH73" s="2936"/>
      <c r="HII73" s="2936"/>
      <c r="HIJ73" s="2936"/>
      <c r="HIK73" s="2936"/>
      <c r="HIL73" s="2936"/>
      <c r="HIM73" s="2936"/>
      <c r="HIN73" s="2936"/>
      <c r="HIO73" s="2936"/>
      <c r="HIP73" s="2936"/>
      <c r="HIQ73" s="2936"/>
      <c r="HIR73" s="2936"/>
      <c r="HIS73" s="2936"/>
      <c r="HIT73" s="2936"/>
      <c r="HIU73" s="2936"/>
      <c r="HIV73" s="2936"/>
      <c r="HIW73" s="2936"/>
      <c r="HIX73" s="2936"/>
      <c r="HIY73" s="2936"/>
      <c r="HIZ73" s="2936"/>
      <c r="HJA73" s="2936"/>
      <c r="HJB73" s="2936"/>
      <c r="HJC73" s="2936"/>
      <c r="HJD73" s="2936"/>
      <c r="HJE73" s="2936"/>
      <c r="HJF73" s="2936"/>
      <c r="HJG73" s="2936"/>
      <c r="HJH73" s="2936"/>
      <c r="HJI73" s="2936"/>
      <c r="HJJ73" s="2936"/>
      <c r="HJK73" s="2936"/>
      <c r="HJL73" s="2936"/>
      <c r="HJM73" s="2936"/>
      <c r="HJN73" s="2936"/>
      <c r="HJO73" s="2936"/>
      <c r="HJP73" s="2936"/>
      <c r="HJQ73" s="2936"/>
      <c r="HJR73" s="2936"/>
      <c r="HJS73" s="2936"/>
      <c r="HJT73" s="2936"/>
      <c r="HJU73" s="2936"/>
      <c r="HJV73" s="2936"/>
      <c r="HJW73" s="2936"/>
      <c r="HJX73" s="2936"/>
      <c r="HJY73" s="2936"/>
      <c r="HJZ73" s="2936"/>
      <c r="HKA73" s="2936"/>
      <c r="HKB73" s="2936"/>
      <c r="HKC73" s="2936"/>
      <c r="HKD73" s="2936"/>
      <c r="HKE73" s="2936"/>
      <c r="HKF73" s="2936"/>
      <c r="HKG73" s="2936"/>
      <c r="HKH73" s="2936"/>
      <c r="HKI73" s="2936"/>
      <c r="HKJ73" s="2936"/>
      <c r="HKK73" s="2936"/>
      <c r="HKL73" s="2936"/>
      <c r="HKM73" s="2936"/>
      <c r="HKN73" s="2936"/>
      <c r="HKO73" s="2936"/>
      <c r="HKP73" s="2936"/>
      <c r="HKQ73" s="2936"/>
      <c r="HKR73" s="2936"/>
      <c r="HKS73" s="2936"/>
      <c r="HKT73" s="2936"/>
      <c r="HKU73" s="2936"/>
      <c r="HKV73" s="2936"/>
      <c r="HKW73" s="2936"/>
      <c r="HKX73" s="2936"/>
      <c r="HKY73" s="2936"/>
      <c r="HKZ73" s="2936"/>
      <c r="HLA73" s="2936"/>
      <c r="HLB73" s="2936"/>
      <c r="HLC73" s="2936"/>
      <c r="HLD73" s="2936"/>
      <c r="HLE73" s="2936"/>
      <c r="HLF73" s="2936"/>
      <c r="HLG73" s="2936"/>
      <c r="HLH73" s="2936"/>
      <c r="HLI73" s="2936"/>
      <c r="HLJ73" s="2936"/>
      <c r="HLK73" s="2936"/>
      <c r="HLL73" s="2936"/>
      <c r="HLM73" s="2936"/>
      <c r="HLN73" s="2936"/>
      <c r="HLO73" s="2936"/>
      <c r="HLP73" s="2936"/>
      <c r="HLQ73" s="2936"/>
      <c r="HLR73" s="2936"/>
      <c r="HLS73" s="2936"/>
      <c r="HLT73" s="2936"/>
      <c r="HLU73" s="2936"/>
      <c r="HLV73" s="2936"/>
      <c r="HLW73" s="2936"/>
      <c r="HLX73" s="2936"/>
      <c r="HLY73" s="2936"/>
      <c r="HLZ73" s="2936"/>
      <c r="HMA73" s="2936"/>
      <c r="HMB73" s="2936"/>
      <c r="HMC73" s="2936"/>
      <c r="HMD73" s="2936"/>
      <c r="HME73" s="2936"/>
      <c r="HMF73" s="2936"/>
      <c r="HMG73" s="2936"/>
      <c r="HMH73" s="2936"/>
      <c r="HMI73" s="2936"/>
      <c r="HMJ73" s="2936"/>
      <c r="HMK73" s="2936"/>
      <c r="HML73" s="2936"/>
      <c r="HMM73" s="2936"/>
      <c r="HMN73" s="2936"/>
      <c r="HMO73" s="2936"/>
      <c r="HMP73" s="2936"/>
      <c r="HMQ73" s="2936"/>
      <c r="HMR73" s="2936"/>
      <c r="HMS73" s="2936"/>
      <c r="HMT73" s="2936"/>
      <c r="HMU73" s="2936"/>
      <c r="HMV73" s="2936"/>
      <c r="HMW73" s="2936"/>
      <c r="HMX73" s="2936"/>
      <c r="HMY73" s="2936"/>
      <c r="HMZ73" s="2936"/>
      <c r="HNA73" s="2936"/>
      <c r="HNB73" s="2936"/>
      <c r="HNC73" s="2936"/>
      <c r="HND73" s="2936"/>
      <c r="HNE73" s="2936"/>
      <c r="HNF73" s="2936"/>
      <c r="HNG73" s="2936"/>
      <c r="HNH73" s="2936"/>
      <c r="HNI73" s="2936"/>
      <c r="HNJ73" s="2936"/>
      <c r="HNK73" s="2936"/>
      <c r="HNL73" s="2936"/>
      <c r="HNM73" s="2936"/>
      <c r="HNN73" s="2936"/>
      <c r="HNO73" s="2936"/>
      <c r="HNP73" s="2936"/>
      <c r="HNQ73" s="2936"/>
      <c r="HNR73" s="2936"/>
      <c r="HNS73" s="2936"/>
      <c r="HNT73" s="2936"/>
      <c r="HNU73" s="2936"/>
      <c r="HNV73" s="2936"/>
      <c r="HNW73" s="2936"/>
      <c r="HNX73" s="2936"/>
      <c r="HNY73" s="2936"/>
      <c r="HNZ73" s="2936"/>
      <c r="HOA73" s="2936"/>
      <c r="HOB73" s="2936"/>
      <c r="HOC73" s="2936"/>
      <c r="HOD73" s="2936"/>
      <c r="HOE73" s="2936"/>
      <c r="HOF73" s="2936"/>
      <c r="HOG73" s="2936"/>
      <c r="HOH73" s="2936"/>
      <c r="HOI73" s="2936"/>
      <c r="HOJ73" s="2936"/>
      <c r="HOK73" s="2936"/>
      <c r="HOL73" s="2936"/>
      <c r="HOM73" s="2936"/>
      <c r="HON73" s="2936"/>
      <c r="HOO73" s="2936"/>
      <c r="HOP73" s="2936"/>
      <c r="HOQ73" s="2936"/>
      <c r="HOR73" s="2936"/>
      <c r="HOS73" s="2936"/>
      <c r="HOT73" s="2936"/>
      <c r="HOU73" s="2936"/>
      <c r="HOV73" s="2936"/>
      <c r="HOW73" s="2936"/>
      <c r="HOX73" s="2936"/>
      <c r="HOY73" s="2936"/>
      <c r="HOZ73" s="2936"/>
      <c r="HPA73" s="2936"/>
      <c r="HPB73" s="2936"/>
      <c r="HPC73" s="2936"/>
      <c r="HPD73" s="2936"/>
      <c r="HPE73" s="2936"/>
      <c r="HPF73" s="2936"/>
      <c r="HPG73" s="2936"/>
      <c r="HPH73" s="2936"/>
      <c r="HPI73" s="2936"/>
      <c r="HPJ73" s="2936"/>
      <c r="HPK73" s="2936"/>
      <c r="HPL73" s="2936"/>
      <c r="HPM73" s="2936"/>
      <c r="HPN73" s="2936"/>
      <c r="HPO73" s="2936"/>
      <c r="HPP73" s="2936"/>
      <c r="HPQ73" s="2936"/>
      <c r="HPR73" s="2936"/>
      <c r="HPS73" s="2936"/>
      <c r="HPT73" s="2936"/>
      <c r="HPU73" s="2936"/>
      <c r="HPV73" s="2936"/>
      <c r="HPW73" s="2936"/>
      <c r="HPX73" s="2936"/>
      <c r="HPY73" s="2936"/>
      <c r="HPZ73" s="2936"/>
      <c r="HQA73" s="2936"/>
      <c r="HQB73" s="2936"/>
      <c r="HQC73" s="2936"/>
      <c r="HQD73" s="2936"/>
      <c r="HQE73" s="2936"/>
      <c r="HQF73" s="2936"/>
      <c r="HQG73" s="2936"/>
      <c r="HQH73" s="2936"/>
      <c r="HQI73" s="2936"/>
      <c r="HQJ73" s="2936"/>
      <c r="HQK73" s="2936"/>
      <c r="HQL73" s="2936"/>
      <c r="HQM73" s="2936"/>
      <c r="HQN73" s="2936"/>
      <c r="HQO73" s="2936"/>
      <c r="HQP73" s="2936"/>
      <c r="HQQ73" s="2936"/>
      <c r="HQR73" s="2936"/>
      <c r="HQS73" s="2936"/>
      <c r="HQT73" s="2936"/>
      <c r="HQU73" s="2936"/>
      <c r="HQV73" s="2936"/>
      <c r="HQW73" s="2936"/>
      <c r="HQX73" s="2936"/>
      <c r="HQY73" s="2936"/>
      <c r="HQZ73" s="2936"/>
      <c r="HRA73" s="2936"/>
      <c r="HRB73" s="2936"/>
      <c r="HRC73" s="2936"/>
      <c r="HRD73" s="2936"/>
      <c r="HRE73" s="2936"/>
      <c r="HRF73" s="2936"/>
      <c r="HRG73" s="2936"/>
      <c r="HRH73" s="2936"/>
      <c r="HRI73" s="2936"/>
      <c r="HRJ73" s="2936"/>
      <c r="HRK73" s="2936"/>
      <c r="HRL73" s="2936"/>
      <c r="HRM73" s="2936"/>
      <c r="HRN73" s="2936"/>
      <c r="HRO73" s="2936"/>
      <c r="HRP73" s="2936"/>
      <c r="HRQ73" s="2936"/>
      <c r="HRR73" s="2936"/>
      <c r="HRS73" s="2936"/>
      <c r="HRT73" s="2936"/>
      <c r="HRU73" s="2936"/>
      <c r="HRV73" s="2936"/>
      <c r="HRW73" s="2936"/>
      <c r="HRX73" s="2936"/>
      <c r="HRY73" s="2936"/>
      <c r="HRZ73" s="2936"/>
      <c r="HSA73" s="2936"/>
      <c r="HSB73" s="2936"/>
      <c r="HSC73" s="2936"/>
      <c r="HSD73" s="2936"/>
      <c r="HSE73" s="2936"/>
      <c r="HSF73" s="2936"/>
      <c r="HSG73" s="2936"/>
      <c r="HSH73" s="2936"/>
      <c r="HSI73" s="2936"/>
      <c r="HSJ73" s="2936"/>
      <c r="HSK73" s="2936"/>
      <c r="HSL73" s="2936"/>
      <c r="HSM73" s="2936"/>
      <c r="HSN73" s="2936"/>
      <c r="HSO73" s="2936"/>
      <c r="HSP73" s="2936"/>
      <c r="HSQ73" s="2936"/>
      <c r="HSR73" s="2936"/>
      <c r="HSS73" s="2936"/>
      <c r="HST73" s="2936"/>
      <c r="HSU73" s="2936"/>
      <c r="HSV73" s="2936"/>
      <c r="HSW73" s="2936"/>
      <c r="HSX73" s="2936"/>
      <c r="HSY73" s="2936"/>
      <c r="HSZ73" s="2936"/>
      <c r="HTA73" s="2936"/>
      <c r="HTB73" s="2936"/>
      <c r="HTC73" s="2936"/>
      <c r="HTD73" s="2936"/>
      <c r="HTE73" s="2936"/>
      <c r="HTF73" s="2936"/>
      <c r="HTG73" s="2936"/>
      <c r="HTH73" s="2936"/>
      <c r="HTI73" s="2936"/>
      <c r="HTJ73" s="2936"/>
      <c r="HTK73" s="2936"/>
      <c r="HTL73" s="2936"/>
      <c r="HTM73" s="2936"/>
      <c r="HTN73" s="2936"/>
      <c r="HTO73" s="2936"/>
      <c r="HTP73" s="2936"/>
      <c r="HTQ73" s="2936"/>
      <c r="HTR73" s="2936"/>
      <c r="HTS73" s="2936"/>
      <c r="HTT73" s="2936"/>
      <c r="HTU73" s="2936"/>
      <c r="HTV73" s="2936"/>
      <c r="HTW73" s="2936"/>
      <c r="HTX73" s="2936"/>
      <c r="HTY73" s="2936"/>
      <c r="HTZ73" s="2936"/>
      <c r="HUA73" s="2936"/>
      <c r="HUB73" s="2936"/>
      <c r="HUC73" s="2936"/>
      <c r="HUD73" s="2936"/>
      <c r="HUE73" s="2936"/>
      <c r="HUF73" s="2936"/>
      <c r="HUG73" s="2936"/>
      <c r="HUH73" s="2936"/>
      <c r="HUI73" s="2936"/>
      <c r="HUJ73" s="2936"/>
      <c r="HUK73" s="2936"/>
      <c r="HUL73" s="2936"/>
      <c r="HUM73" s="2936"/>
      <c r="HUN73" s="2936"/>
      <c r="HUO73" s="2936"/>
      <c r="HUP73" s="2936"/>
      <c r="HUQ73" s="2936"/>
      <c r="HUR73" s="2936"/>
      <c r="HUS73" s="2936"/>
      <c r="HUT73" s="2936"/>
      <c r="HUU73" s="2936"/>
      <c r="HUV73" s="2936"/>
      <c r="HUW73" s="2936"/>
      <c r="HUX73" s="2936"/>
      <c r="HUY73" s="2936"/>
      <c r="HUZ73" s="2936"/>
      <c r="HVA73" s="2936"/>
      <c r="HVB73" s="2936"/>
      <c r="HVC73" s="2936"/>
      <c r="HVD73" s="2936"/>
      <c r="HVE73" s="2936"/>
      <c r="HVF73" s="2936"/>
      <c r="HVG73" s="2936"/>
      <c r="HVH73" s="2936"/>
      <c r="HVI73" s="2936"/>
      <c r="HVJ73" s="2936"/>
      <c r="HVK73" s="2936"/>
      <c r="HVL73" s="2936"/>
      <c r="HVM73" s="2936"/>
      <c r="HVN73" s="2936"/>
      <c r="HVO73" s="2936"/>
      <c r="HVP73" s="2936"/>
      <c r="HVQ73" s="2936"/>
      <c r="HVR73" s="2936"/>
      <c r="HVS73" s="2936"/>
      <c r="HVT73" s="2936"/>
      <c r="HVU73" s="2936"/>
      <c r="HVV73" s="2936"/>
      <c r="HVW73" s="2936"/>
      <c r="HVX73" s="2936"/>
      <c r="HVY73" s="2936"/>
      <c r="HVZ73" s="2936"/>
      <c r="HWA73" s="2936"/>
      <c r="HWB73" s="2936"/>
      <c r="HWC73" s="2936"/>
      <c r="HWD73" s="2936"/>
      <c r="HWE73" s="2936"/>
      <c r="HWF73" s="2936"/>
      <c r="HWG73" s="2936"/>
      <c r="HWH73" s="2936"/>
      <c r="HWI73" s="2936"/>
      <c r="HWJ73" s="2936"/>
      <c r="HWK73" s="2936"/>
      <c r="HWL73" s="2936"/>
      <c r="HWM73" s="2936"/>
      <c r="HWN73" s="2936"/>
      <c r="HWO73" s="2936"/>
      <c r="HWP73" s="2936"/>
      <c r="HWQ73" s="2936"/>
      <c r="HWR73" s="2936"/>
      <c r="HWS73" s="2936"/>
      <c r="HWT73" s="2936"/>
      <c r="HWU73" s="2936"/>
      <c r="HWV73" s="2936"/>
      <c r="HWW73" s="2936"/>
      <c r="HWX73" s="2936"/>
      <c r="HWY73" s="2936"/>
      <c r="HWZ73" s="2936"/>
      <c r="HXA73" s="2936"/>
      <c r="HXB73" s="2936"/>
      <c r="HXC73" s="2936"/>
      <c r="HXD73" s="2936"/>
      <c r="HXE73" s="2936"/>
      <c r="HXF73" s="2936"/>
      <c r="HXG73" s="2936"/>
      <c r="HXH73" s="2936"/>
      <c r="HXI73" s="2936"/>
      <c r="HXJ73" s="2936"/>
      <c r="HXK73" s="2936"/>
      <c r="HXL73" s="2936"/>
      <c r="HXM73" s="2936"/>
      <c r="HXN73" s="2936"/>
      <c r="HXO73" s="2936"/>
      <c r="HXP73" s="2936"/>
      <c r="HXQ73" s="2936"/>
      <c r="HXR73" s="2936"/>
      <c r="HXS73" s="2936"/>
      <c r="HXT73" s="2936"/>
      <c r="HXU73" s="2936"/>
      <c r="HXV73" s="2936"/>
      <c r="HXW73" s="2936"/>
      <c r="HXX73" s="2936"/>
      <c r="HXY73" s="2936"/>
      <c r="HXZ73" s="2936"/>
      <c r="HYA73" s="2936"/>
      <c r="HYB73" s="2936"/>
      <c r="HYC73" s="2936"/>
      <c r="HYD73" s="2936"/>
      <c r="HYE73" s="2936"/>
      <c r="HYF73" s="2936"/>
      <c r="HYG73" s="2936"/>
      <c r="HYH73" s="2936"/>
      <c r="HYI73" s="2936"/>
      <c r="HYJ73" s="2936"/>
      <c r="HYK73" s="2936"/>
      <c r="HYL73" s="2936"/>
      <c r="HYM73" s="2936"/>
      <c r="HYN73" s="2936"/>
      <c r="HYO73" s="2936"/>
      <c r="HYP73" s="2936"/>
      <c r="HYQ73" s="2936"/>
      <c r="HYR73" s="2936"/>
      <c r="HYS73" s="2936"/>
      <c r="HYT73" s="2936"/>
      <c r="HYU73" s="2936"/>
      <c r="HYV73" s="2936"/>
      <c r="HYW73" s="2936"/>
      <c r="HYX73" s="2936"/>
      <c r="HYY73" s="2936"/>
      <c r="HYZ73" s="2936"/>
      <c r="HZA73" s="2936"/>
      <c r="HZB73" s="2936"/>
      <c r="HZC73" s="2936"/>
      <c r="HZD73" s="2936"/>
      <c r="HZE73" s="2936"/>
      <c r="HZF73" s="2936"/>
      <c r="HZG73" s="2936"/>
      <c r="HZH73" s="2936"/>
      <c r="HZI73" s="2936"/>
      <c r="HZJ73" s="2936"/>
      <c r="HZK73" s="2936"/>
      <c r="HZL73" s="2936"/>
      <c r="HZM73" s="2936"/>
      <c r="HZN73" s="2936"/>
      <c r="HZO73" s="2936"/>
      <c r="HZP73" s="2936"/>
      <c r="HZQ73" s="2936"/>
      <c r="HZR73" s="2936"/>
      <c r="HZS73" s="2936"/>
      <c r="HZT73" s="2936"/>
      <c r="HZU73" s="2936"/>
      <c r="HZV73" s="2936"/>
      <c r="HZW73" s="2936"/>
      <c r="HZX73" s="2936"/>
      <c r="HZY73" s="2936"/>
      <c r="HZZ73" s="2936"/>
      <c r="IAA73" s="2936"/>
      <c r="IAB73" s="2936"/>
      <c r="IAC73" s="2936"/>
      <c r="IAD73" s="2936"/>
      <c r="IAE73" s="2936"/>
      <c r="IAF73" s="2936"/>
      <c r="IAG73" s="2936"/>
      <c r="IAH73" s="2936"/>
      <c r="IAI73" s="2936"/>
      <c r="IAJ73" s="2936"/>
      <c r="IAK73" s="2936"/>
      <c r="IAL73" s="2936"/>
      <c r="IAM73" s="2936"/>
      <c r="IAN73" s="2936"/>
      <c r="IAO73" s="2936"/>
      <c r="IAP73" s="2936"/>
      <c r="IAQ73" s="2936"/>
      <c r="IAR73" s="2936"/>
      <c r="IAS73" s="2936"/>
      <c r="IAT73" s="2936"/>
      <c r="IAU73" s="2936"/>
      <c r="IAV73" s="2936"/>
      <c r="IAW73" s="2936"/>
      <c r="IAX73" s="2936"/>
      <c r="IAY73" s="2936"/>
      <c r="IAZ73" s="2936"/>
      <c r="IBA73" s="2936"/>
      <c r="IBB73" s="2936"/>
      <c r="IBC73" s="2936"/>
      <c r="IBD73" s="2936"/>
      <c r="IBE73" s="2936"/>
      <c r="IBF73" s="2936"/>
      <c r="IBG73" s="2936"/>
      <c r="IBH73" s="2936"/>
      <c r="IBI73" s="2936"/>
      <c r="IBJ73" s="2936"/>
      <c r="IBK73" s="2936"/>
      <c r="IBL73" s="2936"/>
      <c r="IBM73" s="2936"/>
      <c r="IBN73" s="2936"/>
      <c r="IBO73" s="2936"/>
      <c r="IBP73" s="2936"/>
      <c r="IBQ73" s="2936"/>
      <c r="IBR73" s="2936"/>
      <c r="IBS73" s="2936"/>
      <c r="IBT73" s="2936"/>
      <c r="IBU73" s="2936"/>
      <c r="IBV73" s="2936"/>
      <c r="IBW73" s="2936"/>
      <c r="IBX73" s="2936"/>
      <c r="IBY73" s="2936"/>
      <c r="IBZ73" s="2936"/>
      <c r="ICA73" s="2936"/>
      <c r="ICB73" s="2936"/>
      <c r="ICC73" s="2936"/>
      <c r="ICD73" s="2936"/>
      <c r="ICE73" s="2936"/>
      <c r="ICF73" s="2936"/>
      <c r="ICG73" s="2936"/>
      <c r="ICH73" s="2936"/>
      <c r="ICI73" s="2936"/>
      <c r="ICJ73" s="2936"/>
      <c r="ICK73" s="2936"/>
      <c r="ICL73" s="2936"/>
      <c r="ICM73" s="2936"/>
      <c r="ICN73" s="2936"/>
      <c r="ICO73" s="2936"/>
      <c r="ICP73" s="2936"/>
      <c r="ICQ73" s="2936"/>
      <c r="ICR73" s="2936"/>
      <c r="ICS73" s="2936"/>
      <c r="ICT73" s="2936"/>
      <c r="ICU73" s="2936"/>
      <c r="ICV73" s="2936"/>
      <c r="ICW73" s="2936"/>
      <c r="ICX73" s="2936"/>
      <c r="ICY73" s="2936"/>
      <c r="ICZ73" s="2936"/>
      <c r="IDA73" s="2936"/>
      <c r="IDB73" s="2936"/>
      <c r="IDC73" s="2936"/>
      <c r="IDD73" s="2936"/>
      <c r="IDE73" s="2936"/>
      <c r="IDF73" s="2936"/>
      <c r="IDG73" s="2936"/>
      <c r="IDH73" s="2936"/>
      <c r="IDI73" s="2936"/>
      <c r="IDJ73" s="2936"/>
      <c r="IDK73" s="2936"/>
      <c r="IDL73" s="2936"/>
      <c r="IDM73" s="2936"/>
      <c r="IDN73" s="2936"/>
      <c r="IDO73" s="2936"/>
      <c r="IDP73" s="2936"/>
      <c r="IDQ73" s="2936"/>
      <c r="IDR73" s="2936"/>
      <c r="IDS73" s="2936"/>
      <c r="IDT73" s="2936"/>
      <c r="IDU73" s="2936"/>
      <c r="IDV73" s="2936"/>
      <c r="IDW73" s="2936"/>
      <c r="IDX73" s="2936"/>
      <c r="IDY73" s="2936"/>
      <c r="IDZ73" s="2936"/>
      <c r="IEA73" s="2936"/>
      <c r="IEB73" s="2936"/>
      <c r="IEC73" s="2936"/>
      <c r="IED73" s="2936"/>
      <c r="IEE73" s="2936"/>
      <c r="IEF73" s="2936"/>
      <c r="IEG73" s="2936"/>
      <c r="IEH73" s="2936"/>
      <c r="IEI73" s="2936"/>
      <c r="IEJ73" s="2936"/>
      <c r="IEK73" s="2936"/>
      <c r="IEL73" s="2936"/>
      <c r="IEM73" s="2936"/>
      <c r="IEN73" s="2936"/>
      <c r="IEO73" s="2936"/>
      <c r="IEP73" s="2936"/>
      <c r="IEQ73" s="2936"/>
      <c r="IER73" s="2936"/>
      <c r="IES73" s="2936"/>
      <c r="IET73" s="2936"/>
      <c r="IEU73" s="2936"/>
      <c r="IEV73" s="2936"/>
      <c r="IEW73" s="2936"/>
      <c r="IEX73" s="2936"/>
      <c r="IEY73" s="2936"/>
      <c r="IEZ73" s="2936"/>
      <c r="IFA73" s="2936"/>
      <c r="IFB73" s="2936"/>
      <c r="IFC73" s="2936"/>
      <c r="IFD73" s="2936"/>
      <c r="IFE73" s="2936"/>
      <c r="IFF73" s="2936"/>
      <c r="IFG73" s="2936"/>
      <c r="IFH73" s="2936"/>
      <c r="IFI73" s="2936"/>
      <c r="IFJ73" s="2936"/>
      <c r="IFK73" s="2936"/>
      <c r="IFL73" s="2936"/>
      <c r="IFM73" s="2936"/>
      <c r="IFN73" s="2936"/>
      <c r="IFO73" s="2936"/>
      <c r="IFP73" s="2936"/>
      <c r="IFQ73" s="2936"/>
      <c r="IFR73" s="2936"/>
      <c r="IFS73" s="2936"/>
      <c r="IFT73" s="2936"/>
      <c r="IFU73" s="2936"/>
      <c r="IFV73" s="2936"/>
      <c r="IFW73" s="2936"/>
      <c r="IFX73" s="2936"/>
      <c r="IFY73" s="2936"/>
      <c r="IFZ73" s="2936"/>
      <c r="IGA73" s="2936"/>
      <c r="IGB73" s="2936"/>
      <c r="IGC73" s="2936"/>
      <c r="IGD73" s="2936"/>
      <c r="IGE73" s="2936"/>
      <c r="IGF73" s="2936"/>
      <c r="IGG73" s="2936"/>
      <c r="IGH73" s="2936"/>
      <c r="IGI73" s="2936"/>
      <c r="IGJ73" s="2936"/>
      <c r="IGK73" s="2936"/>
      <c r="IGL73" s="2936"/>
      <c r="IGM73" s="2936"/>
      <c r="IGN73" s="2936"/>
      <c r="IGO73" s="2936"/>
      <c r="IGP73" s="2936"/>
      <c r="IGQ73" s="2936"/>
      <c r="IGR73" s="2936"/>
      <c r="IGS73" s="2936"/>
      <c r="IGT73" s="2936"/>
      <c r="IGU73" s="2936"/>
      <c r="IGV73" s="2936"/>
      <c r="IGW73" s="2936"/>
      <c r="IGX73" s="2936"/>
      <c r="IGY73" s="2936"/>
      <c r="IGZ73" s="2936"/>
      <c r="IHA73" s="2936"/>
      <c r="IHB73" s="2936"/>
      <c r="IHC73" s="2936"/>
      <c r="IHD73" s="2936"/>
      <c r="IHE73" s="2936"/>
      <c r="IHF73" s="2936"/>
      <c r="IHG73" s="2936"/>
      <c r="IHH73" s="2936"/>
      <c r="IHI73" s="2936"/>
      <c r="IHJ73" s="2936"/>
      <c r="IHK73" s="2936"/>
      <c r="IHL73" s="2936"/>
      <c r="IHM73" s="2936"/>
      <c r="IHN73" s="2936"/>
      <c r="IHO73" s="2936"/>
      <c r="IHP73" s="2936"/>
      <c r="IHQ73" s="2936"/>
      <c r="IHR73" s="2936"/>
      <c r="IHS73" s="2936"/>
      <c r="IHT73" s="2936"/>
      <c r="IHU73" s="2936"/>
      <c r="IHV73" s="2936"/>
      <c r="IHW73" s="2936"/>
      <c r="IHX73" s="2936"/>
      <c r="IHY73" s="2936"/>
      <c r="IHZ73" s="2936"/>
      <c r="IIA73" s="2936"/>
      <c r="IIB73" s="2936"/>
      <c r="IIC73" s="2936"/>
      <c r="IID73" s="2936"/>
      <c r="IIE73" s="2936"/>
      <c r="IIF73" s="2936"/>
      <c r="IIG73" s="2936"/>
      <c r="IIH73" s="2936"/>
      <c r="III73" s="2936"/>
      <c r="IIJ73" s="2936"/>
      <c r="IIK73" s="2936"/>
      <c r="IIL73" s="2936"/>
      <c r="IIM73" s="2936"/>
      <c r="IIN73" s="2936"/>
      <c r="IIO73" s="2936"/>
      <c r="IIP73" s="2936"/>
      <c r="IIQ73" s="2936"/>
      <c r="IIR73" s="2936"/>
      <c r="IIS73" s="2936"/>
      <c r="IIT73" s="2936"/>
      <c r="IIU73" s="2936"/>
      <c r="IIV73" s="2936"/>
      <c r="IIW73" s="2936"/>
      <c r="IIX73" s="2936"/>
      <c r="IIY73" s="2936"/>
      <c r="IIZ73" s="2936"/>
      <c r="IJA73" s="2936"/>
      <c r="IJB73" s="2936"/>
      <c r="IJC73" s="2936"/>
      <c r="IJD73" s="2936"/>
      <c r="IJE73" s="2936"/>
      <c r="IJF73" s="2936"/>
      <c r="IJG73" s="2936"/>
      <c r="IJH73" s="2936"/>
      <c r="IJI73" s="2936"/>
      <c r="IJJ73" s="2936"/>
      <c r="IJK73" s="2936"/>
      <c r="IJL73" s="2936"/>
      <c r="IJM73" s="2936"/>
      <c r="IJN73" s="2936"/>
      <c r="IJO73" s="2936"/>
      <c r="IJP73" s="2936"/>
      <c r="IJQ73" s="2936"/>
      <c r="IJR73" s="2936"/>
      <c r="IJS73" s="2936"/>
      <c r="IJT73" s="2936"/>
      <c r="IJU73" s="2936"/>
      <c r="IJV73" s="2936"/>
      <c r="IJW73" s="2936"/>
      <c r="IJX73" s="2936"/>
      <c r="IJY73" s="2936"/>
      <c r="IJZ73" s="2936"/>
      <c r="IKA73" s="2936"/>
      <c r="IKB73" s="2936"/>
      <c r="IKC73" s="2936"/>
      <c r="IKD73" s="2936"/>
      <c r="IKE73" s="2936"/>
      <c r="IKF73" s="2936"/>
      <c r="IKG73" s="2936"/>
      <c r="IKH73" s="2936"/>
      <c r="IKI73" s="2936"/>
      <c r="IKJ73" s="2936"/>
      <c r="IKK73" s="2936"/>
      <c r="IKL73" s="2936"/>
      <c r="IKM73" s="2936"/>
      <c r="IKN73" s="2936"/>
      <c r="IKO73" s="2936"/>
      <c r="IKP73" s="2936"/>
      <c r="IKQ73" s="2936"/>
      <c r="IKR73" s="2936"/>
      <c r="IKS73" s="2936"/>
      <c r="IKT73" s="2936"/>
      <c r="IKU73" s="2936"/>
      <c r="IKV73" s="2936"/>
      <c r="IKW73" s="2936"/>
      <c r="IKX73" s="2936"/>
      <c r="IKY73" s="2936"/>
      <c r="IKZ73" s="2936"/>
      <c r="ILA73" s="2936"/>
      <c r="ILB73" s="2936"/>
      <c r="ILC73" s="2936"/>
      <c r="ILD73" s="2936"/>
      <c r="ILE73" s="2936"/>
      <c r="ILF73" s="2936"/>
      <c r="ILG73" s="2936"/>
      <c r="ILH73" s="2936"/>
      <c r="ILI73" s="2936"/>
      <c r="ILJ73" s="2936"/>
      <c r="ILK73" s="2936"/>
      <c r="ILL73" s="2936"/>
      <c r="ILM73" s="2936"/>
      <c r="ILN73" s="2936"/>
      <c r="ILO73" s="2936"/>
      <c r="ILP73" s="2936"/>
      <c r="ILQ73" s="2936"/>
      <c r="ILR73" s="2936"/>
      <c r="ILS73" s="2936"/>
      <c r="ILT73" s="2936"/>
      <c r="ILU73" s="2936"/>
      <c r="ILV73" s="2936"/>
      <c r="ILW73" s="2936"/>
      <c r="ILX73" s="2936"/>
      <c r="ILY73" s="2936"/>
      <c r="ILZ73" s="2936"/>
      <c r="IMA73" s="2936"/>
      <c r="IMB73" s="2936"/>
      <c r="IMC73" s="2936"/>
      <c r="IMD73" s="2936"/>
      <c r="IME73" s="2936"/>
      <c r="IMF73" s="2936"/>
      <c r="IMG73" s="2936"/>
      <c r="IMH73" s="2936"/>
      <c r="IMI73" s="2936"/>
      <c r="IMJ73" s="2936"/>
      <c r="IMK73" s="2936"/>
      <c r="IML73" s="2936"/>
      <c r="IMM73" s="2936"/>
      <c r="IMN73" s="2936"/>
      <c r="IMO73" s="2936"/>
      <c r="IMP73" s="2936"/>
      <c r="IMQ73" s="2936"/>
      <c r="IMR73" s="2936"/>
      <c r="IMS73" s="2936"/>
      <c r="IMT73" s="2936"/>
      <c r="IMU73" s="2936"/>
      <c r="IMV73" s="2936"/>
      <c r="IMW73" s="2936"/>
      <c r="IMX73" s="2936"/>
      <c r="IMY73" s="2936"/>
      <c r="IMZ73" s="2936"/>
      <c r="INA73" s="2936"/>
      <c r="INB73" s="2936"/>
      <c r="INC73" s="2936"/>
      <c r="IND73" s="2936"/>
      <c r="INE73" s="2936"/>
      <c r="INF73" s="2936"/>
      <c r="ING73" s="2936"/>
      <c r="INH73" s="2936"/>
      <c r="INI73" s="2936"/>
      <c r="INJ73" s="2936"/>
      <c r="INK73" s="2936"/>
      <c r="INL73" s="2936"/>
      <c r="INM73" s="2936"/>
      <c r="INN73" s="2936"/>
      <c r="INO73" s="2936"/>
      <c r="INP73" s="2936"/>
      <c r="INQ73" s="2936"/>
      <c r="INR73" s="2936"/>
      <c r="INS73" s="2936"/>
      <c r="INT73" s="2936"/>
      <c r="INU73" s="2936"/>
      <c r="INV73" s="2936"/>
      <c r="INW73" s="2936"/>
      <c r="INX73" s="2936"/>
      <c r="INY73" s="2936"/>
      <c r="INZ73" s="2936"/>
      <c r="IOA73" s="2936"/>
      <c r="IOB73" s="2936"/>
      <c r="IOC73" s="2936"/>
      <c r="IOD73" s="2936"/>
      <c r="IOE73" s="2936"/>
      <c r="IOF73" s="2936"/>
      <c r="IOG73" s="2936"/>
      <c r="IOH73" s="2936"/>
      <c r="IOI73" s="2936"/>
      <c r="IOJ73" s="2936"/>
      <c r="IOK73" s="2936"/>
      <c r="IOL73" s="2936"/>
      <c r="IOM73" s="2936"/>
      <c r="ION73" s="2936"/>
      <c r="IOO73" s="2936"/>
      <c r="IOP73" s="2936"/>
      <c r="IOQ73" s="2936"/>
      <c r="IOR73" s="2936"/>
      <c r="IOS73" s="2936"/>
      <c r="IOT73" s="2936"/>
      <c r="IOU73" s="2936"/>
      <c r="IOV73" s="2936"/>
      <c r="IOW73" s="2936"/>
      <c r="IOX73" s="2936"/>
      <c r="IOY73" s="2936"/>
      <c r="IOZ73" s="2936"/>
      <c r="IPA73" s="2936"/>
      <c r="IPB73" s="2936"/>
      <c r="IPC73" s="2936"/>
      <c r="IPD73" s="2936"/>
      <c r="IPE73" s="2936"/>
      <c r="IPF73" s="2936"/>
      <c r="IPG73" s="2936"/>
      <c r="IPH73" s="2936"/>
      <c r="IPI73" s="2936"/>
      <c r="IPJ73" s="2936"/>
      <c r="IPK73" s="2936"/>
      <c r="IPL73" s="2936"/>
      <c r="IPM73" s="2936"/>
      <c r="IPN73" s="2936"/>
      <c r="IPO73" s="2936"/>
      <c r="IPP73" s="2936"/>
      <c r="IPQ73" s="2936"/>
      <c r="IPR73" s="2936"/>
      <c r="IPS73" s="2936"/>
      <c r="IPT73" s="2936"/>
      <c r="IPU73" s="2936"/>
      <c r="IPV73" s="2936"/>
      <c r="IPW73" s="2936"/>
      <c r="IPX73" s="2936"/>
      <c r="IPY73" s="2936"/>
      <c r="IPZ73" s="2936"/>
      <c r="IQA73" s="2936"/>
      <c r="IQB73" s="2936"/>
      <c r="IQC73" s="2936"/>
      <c r="IQD73" s="2936"/>
      <c r="IQE73" s="2936"/>
      <c r="IQF73" s="2936"/>
      <c r="IQG73" s="2936"/>
      <c r="IQH73" s="2936"/>
      <c r="IQI73" s="2936"/>
      <c r="IQJ73" s="2936"/>
      <c r="IQK73" s="2936"/>
      <c r="IQL73" s="2936"/>
      <c r="IQM73" s="2936"/>
      <c r="IQN73" s="2936"/>
      <c r="IQO73" s="2936"/>
      <c r="IQP73" s="2936"/>
      <c r="IQQ73" s="2936"/>
      <c r="IQR73" s="2936"/>
      <c r="IQS73" s="2936"/>
      <c r="IQT73" s="2936"/>
      <c r="IQU73" s="2936"/>
      <c r="IQV73" s="2936"/>
      <c r="IQW73" s="2936"/>
      <c r="IQX73" s="2936"/>
      <c r="IQY73" s="2936"/>
      <c r="IQZ73" s="2936"/>
      <c r="IRA73" s="2936"/>
      <c r="IRB73" s="2936"/>
      <c r="IRC73" s="2936"/>
      <c r="IRD73" s="2936"/>
      <c r="IRE73" s="2936"/>
      <c r="IRF73" s="2936"/>
      <c r="IRG73" s="2936"/>
      <c r="IRH73" s="2936"/>
      <c r="IRI73" s="2936"/>
      <c r="IRJ73" s="2936"/>
      <c r="IRK73" s="2936"/>
      <c r="IRL73" s="2936"/>
      <c r="IRM73" s="2936"/>
      <c r="IRN73" s="2936"/>
      <c r="IRO73" s="2936"/>
      <c r="IRP73" s="2936"/>
      <c r="IRQ73" s="2936"/>
      <c r="IRR73" s="2936"/>
      <c r="IRS73" s="2936"/>
      <c r="IRT73" s="2936"/>
      <c r="IRU73" s="2936"/>
      <c r="IRV73" s="2936"/>
      <c r="IRW73" s="2936"/>
      <c r="IRX73" s="2936"/>
      <c r="IRY73" s="2936"/>
      <c r="IRZ73" s="2936"/>
      <c r="ISA73" s="2936"/>
      <c r="ISB73" s="2936"/>
      <c r="ISC73" s="2936"/>
      <c r="ISD73" s="2936"/>
      <c r="ISE73" s="2936"/>
      <c r="ISF73" s="2936"/>
      <c r="ISG73" s="2936"/>
      <c r="ISH73" s="2936"/>
      <c r="ISI73" s="2936"/>
      <c r="ISJ73" s="2936"/>
      <c r="ISK73" s="2936"/>
      <c r="ISL73" s="2936"/>
      <c r="ISM73" s="2936"/>
      <c r="ISN73" s="2936"/>
      <c r="ISO73" s="2936"/>
      <c r="ISP73" s="2936"/>
      <c r="ISQ73" s="2936"/>
      <c r="ISR73" s="2936"/>
      <c r="ISS73" s="2936"/>
      <c r="IST73" s="2936"/>
      <c r="ISU73" s="2936"/>
      <c r="ISV73" s="2936"/>
      <c r="ISW73" s="2936"/>
      <c r="ISX73" s="2936"/>
      <c r="ISY73" s="2936"/>
      <c r="ISZ73" s="2936"/>
      <c r="ITA73" s="2936"/>
      <c r="ITB73" s="2936"/>
      <c r="ITC73" s="2936"/>
      <c r="ITD73" s="2936"/>
      <c r="ITE73" s="2936"/>
      <c r="ITF73" s="2936"/>
      <c r="ITG73" s="2936"/>
      <c r="ITH73" s="2936"/>
      <c r="ITI73" s="2936"/>
      <c r="ITJ73" s="2936"/>
      <c r="ITK73" s="2936"/>
      <c r="ITL73" s="2936"/>
      <c r="ITM73" s="2936"/>
      <c r="ITN73" s="2936"/>
      <c r="ITO73" s="2936"/>
      <c r="ITP73" s="2936"/>
      <c r="ITQ73" s="2936"/>
      <c r="ITR73" s="2936"/>
      <c r="ITS73" s="2936"/>
      <c r="ITT73" s="2936"/>
      <c r="ITU73" s="2936"/>
      <c r="ITV73" s="2936"/>
      <c r="ITW73" s="2936"/>
      <c r="ITX73" s="2936"/>
      <c r="ITY73" s="2936"/>
      <c r="ITZ73" s="2936"/>
      <c r="IUA73" s="2936"/>
      <c r="IUB73" s="2936"/>
      <c r="IUC73" s="2936"/>
      <c r="IUD73" s="2936"/>
      <c r="IUE73" s="2936"/>
      <c r="IUF73" s="2936"/>
      <c r="IUG73" s="2936"/>
      <c r="IUH73" s="2936"/>
      <c r="IUI73" s="2936"/>
      <c r="IUJ73" s="2936"/>
      <c r="IUK73" s="2936"/>
      <c r="IUL73" s="2936"/>
      <c r="IUM73" s="2936"/>
      <c r="IUN73" s="2936"/>
      <c r="IUO73" s="2936"/>
      <c r="IUP73" s="2936"/>
      <c r="IUQ73" s="2936"/>
      <c r="IUR73" s="2936"/>
      <c r="IUS73" s="2936"/>
      <c r="IUT73" s="2936"/>
      <c r="IUU73" s="2936"/>
      <c r="IUV73" s="2936"/>
      <c r="IUW73" s="2936"/>
      <c r="IUX73" s="2936"/>
      <c r="IUY73" s="2936"/>
      <c r="IUZ73" s="2936"/>
      <c r="IVA73" s="2936"/>
      <c r="IVB73" s="2936"/>
      <c r="IVC73" s="2936"/>
      <c r="IVD73" s="2936"/>
      <c r="IVE73" s="2936"/>
      <c r="IVF73" s="2936"/>
      <c r="IVG73" s="2936"/>
      <c r="IVH73" s="2936"/>
      <c r="IVI73" s="2936"/>
      <c r="IVJ73" s="2936"/>
      <c r="IVK73" s="2936"/>
      <c r="IVL73" s="2936"/>
      <c r="IVM73" s="2936"/>
      <c r="IVN73" s="2936"/>
      <c r="IVO73" s="2936"/>
      <c r="IVP73" s="2936"/>
      <c r="IVQ73" s="2936"/>
      <c r="IVR73" s="2936"/>
      <c r="IVS73" s="2936"/>
      <c r="IVT73" s="2936"/>
      <c r="IVU73" s="2936"/>
      <c r="IVV73" s="2936"/>
      <c r="IVW73" s="2936"/>
      <c r="IVX73" s="2936"/>
      <c r="IVY73" s="2936"/>
      <c r="IVZ73" s="2936"/>
      <c r="IWA73" s="2936"/>
      <c r="IWB73" s="2936"/>
      <c r="IWC73" s="2936"/>
      <c r="IWD73" s="2936"/>
      <c r="IWE73" s="2936"/>
      <c r="IWF73" s="2936"/>
      <c r="IWG73" s="2936"/>
      <c r="IWH73" s="2936"/>
      <c r="IWI73" s="2936"/>
      <c r="IWJ73" s="2936"/>
      <c r="IWK73" s="2936"/>
      <c r="IWL73" s="2936"/>
      <c r="IWM73" s="2936"/>
      <c r="IWN73" s="2936"/>
      <c r="IWO73" s="2936"/>
      <c r="IWP73" s="2936"/>
      <c r="IWQ73" s="2936"/>
      <c r="IWR73" s="2936"/>
      <c r="IWS73" s="2936"/>
      <c r="IWT73" s="2936"/>
      <c r="IWU73" s="2936"/>
      <c r="IWV73" s="2936"/>
      <c r="IWW73" s="2936"/>
      <c r="IWX73" s="2936"/>
      <c r="IWY73" s="2936"/>
      <c r="IWZ73" s="2936"/>
      <c r="IXA73" s="2936"/>
      <c r="IXB73" s="2936"/>
      <c r="IXC73" s="2936"/>
      <c r="IXD73" s="2936"/>
      <c r="IXE73" s="2936"/>
      <c r="IXF73" s="2936"/>
      <c r="IXG73" s="2936"/>
      <c r="IXH73" s="2936"/>
      <c r="IXI73" s="2936"/>
      <c r="IXJ73" s="2936"/>
      <c r="IXK73" s="2936"/>
      <c r="IXL73" s="2936"/>
      <c r="IXM73" s="2936"/>
      <c r="IXN73" s="2936"/>
      <c r="IXO73" s="2936"/>
      <c r="IXP73" s="2936"/>
      <c r="IXQ73" s="2936"/>
      <c r="IXR73" s="2936"/>
      <c r="IXS73" s="2936"/>
      <c r="IXT73" s="2936"/>
      <c r="IXU73" s="2936"/>
      <c r="IXV73" s="2936"/>
      <c r="IXW73" s="2936"/>
      <c r="IXX73" s="2936"/>
      <c r="IXY73" s="2936"/>
      <c r="IXZ73" s="2936"/>
      <c r="IYA73" s="2936"/>
      <c r="IYB73" s="2936"/>
      <c r="IYC73" s="2936"/>
      <c r="IYD73" s="2936"/>
      <c r="IYE73" s="2936"/>
      <c r="IYF73" s="2936"/>
      <c r="IYG73" s="2936"/>
      <c r="IYH73" s="2936"/>
      <c r="IYI73" s="2936"/>
      <c r="IYJ73" s="2936"/>
      <c r="IYK73" s="2936"/>
      <c r="IYL73" s="2936"/>
      <c r="IYM73" s="2936"/>
      <c r="IYN73" s="2936"/>
      <c r="IYO73" s="2936"/>
      <c r="IYP73" s="2936"/>
      <c r="IYQ73" s="2936"/>
      <c r="IYR73" s="2936"/>
      <c r="IYS73" s="2936"/>
      <c r="IYT73" s="2936"/>
      <c r="IYU73" s="2936"/>
      <c r="IYV73" s="2936"/>
      <c r="IYW73" s="2936"/>
      <c r="IYX73" s="2936"/>
      <c r="IYY73" s="2936"/>
      <c r="IYZ73" s="2936"/>
      <c r="IZA73" s="2936"/>
      <c r="IZB73" s="2936"/>
      <c r="IZC73" s="2936"/>
      <c r="IZD73" s="2936"/>
      <c r="IZE73" s="2936"/>
      <c r="IZF73" s="2936"/>
      <c r="IZG73" s="2936"/>
      <c r="IZH73" s="2936"/>
      <c r="IZI73" s="2936"/>
      <c r="IZJ73" s="2936"/>
      <c r="IZK73" s="2936"/>
      <c r="IZL73" s="2936"/>
      <c r="IZM73" s="2936"/>
      <c r="IZN73" s="2936"/>
      <c r="IZO73" s="2936"/>
      <c r="IZP73" s="2936"/>
      <c r="IZQ73" s="2936"/>
      <c r="IZR73" s="2936"/>
      <c r="IZS73" s="2936"/>
      <c r="IZT73" s="2936"/>
      <c r="IZU73" s="2936"/>
      <c r="IZV73" s="2936"/>
      <c r="IZW73" s="2936"/>
      <c r="IZX73" s="2936"/>
      <c r="IZY73" s="2936"/>
      <c r="IZZ73" s="2936"/>
      <c r="JAA73" s="2936"/>
      <c r="JAB73" s="2936"/>
      <c r="JAC73" s="2936"/>
      <c r="JAD73" s="2936"/>
      <c r="JAE73" s="2936"/>
      <c r="JAF73" s="2936"/>
      <c r="JAG73" s="2936"/>
      <c r="JAH73" s="2936"/>
      <c r="JAI73" s="2936"/>
      <c r="JAJ73" s="2936"/>
      <c r="JAK73" s="2936"/>
      <c r="JAL73" s="2936"/>
      <c r="JAM73" s="2936"/>
      <c r="JAN73" s="2936"/>
      <c r="JAO73" s="2936"/>
      <c r="JAP73" s="2936"/>
      <c r="JAQ73" s="2936"/>
      <c r="JAR73" s="2936"/>
      <c r="JAS73" s="2936"/>
      <c r="JAT73" s="2936"/>
      <c r="JAU73" s="2936"/>
      <c r="JAV73" s="2936"/>
      <c r="JAW73" s="2936"/>
      <c r="JAX73" s="2936"/>
      <c r="JAY73" s="2936"/>
      <c r="JAZ73" s="2936"/>
      <c r="JBA73" s="2936"/>
      <c r="JBB73" s="2936"/>
      <c r="JBC73" s="2936"/>
      <c r="JBD73" s="2936"/>
      <c r="JBE73" s="2936"/>
      <c r="JBF73" s="2936"/>
      <c r="JBG73" s="2936"/>
      <c r="JBH73" s="2936"/>
      <c r="JBI73" s="2936"/>
      <c r="JBJ73" s="2936"/>
      <c r="JBK73" s="2936"/>
      <c r="JBL73" s="2936"/>
      <c r="JBM73" s="2936"/>
      <c r="JBN73" s="2936"/>
      <c r="JBO73" s="2936"/>
      <c r="JBP73" s="2936"/>
      <c r="JBQ73" s="2936"/>
      <c r="JBR73" s="2936"/>
      <c r="JBS73" s="2936"/>
      <c r="JBT73" s="2936"/>
      <c r="JBU73" s="2936"/>
      <c r="JBV73" s="2936"/>
      <c r="JBW73" s="2936"/>
      <c r="JBX73" s="2936"/>
      <c r="JBY73" s="2936"/>
      <c r="JBZ73" s="2936"/>
      <c r="JCA73" s="2936"/>
      <c r="JCB73" s="2936"/>
      <c r="JCC73" s="2936"/>
      <c r="JCD73" s="2936"/>
      <c r="JCE73" s="2936"/>
      <c r="JCF73" s="2936"/>
      <c r="JCG73" s="2936"/>
      <c r="JCH73" s="2936"/>
      <c r="JCI73" s="2936"/>
      <c r="JCJ73" s="2936"/>
      <c r="JCK73" s="2936"/>
      <c r="JCL73" s="2936"/>
      <c r="JCM73" s="2936"/>
      <c r="JCN73" s="2936"/>
      <c r="JCO73" s="2936"/>
      <c r="JCP73" s="2936"/>
      <c r="JCQ73" s="2936"/>
      <c r="JCR73" s="2936"/>
      <c r="JCS73" s="2936"/>
      <c r="JCT73" s="2936"/>
      <c r="JCU73" s="2936"/>
      <c r="JCV73" s="2936"/>
      <c r="JCW73" s="2936"/>
      <c r="JCX73" s="2936"/>
      <c r="JCY73" s="2936"/>
      <c r="JCZ73" s="2936"/>
      <c r="JDA73" s="2936"/>
      <c r="JDB73" s="2936"/>
      <c r="JDC73" s="2936"/>
      <c r="JDD73" s="2936"/>
      <c r="JDE73" s="2936"/>
      <c r="JDF73" s="2936"/>
      <c r="JDG73" s="2936"/>
      <c r="JDH73" s="2936"/>
      <c r="JDI73" s="2936"/>
      <c r="JDJ73" s="2936"/>
      <c r="JDK73" s="2936"/>
      <c r="JDL73" s="2936"/>
      <c r="JDM73" s="2936"/>
      <c r="JDN73" s="2936"/>
      <c r="JDO73" s="2936"/>
      <c r="JDP73" s="2936"/>
      <c r="JDQ73" s="2936"/>
      <c r="JDR73" s="2936"/>
      <c r="JDS73" s="2936"/>
      <c r="JDT73" s="2936"/>
      <c r="JDU73" s="2936"/>
      <c r="JDV73" s="2936"/>
      <c r="JDW73" s="2936"/>
      <c r="JDX73" s="2936"/>
      <c r="JDY73" s="2936"/>
      <c r="JDZ73" s="2936"/>
      <c r="JEA73" s="2936"/>
      <c r="JEB73" s="2936"/>
      <c r="JEC73" s="2936"/>
      <c r="JED73" s="2936"/>
      <c r="JEE73" s="2936"/>
      <c r="JEF73" s="2936"/>
      <c r="JEG73" s="2936"/>
      <c r="JEH73" s="2936"/>
      <c r="JEI73" s="2936"/>
      <c r="JEJ73" s="2936"/>
      <c r="JEK73" s="2936"/>
      <c r="JEL73" s="2936"/>
      <c r="JEM73" s="2936"/>
      <c r="JEN73" s="2936"/>
      <c r="JEO73" s="2936"/>
      <c r="JEP73" s="2936"/>
      <c r="JEQ73" s="2936"/>
      <c r="JER73" s="2936"/>
      <c r="JES73" s="2936"/>
      <c r="JET73" s="2936"/>
      <c r="JEU73" s="2936"/>
      <c r="JEV73" s="2936"/>
      <c r="JEW73" s="2936"/>
      <c r="JEX73" s="2936"/>
      <c r="JEY73" s="2936"/>
      <c r="JEZ73" s="2936"/>
      <c r="JFA73" s="2936"/>
      <c r="JFB73" s="2936"/>
      <c r="JFC73" s="2936"/>
      <c r="JFD73" s="2936"/>
      <c r="JFE73" s="2936"/>
      <c r="JFF73" s="2936"/>
      <c r="JFG73" s="2936"/>
      <c r="JFH73" s="2936"/>
      <c r="JFI73" s="2936"/>
      <c r="JFJ73" s="2936"/>
      <c r="JFK73" s="2936"/>
      <c r="JFL73" s="2936"/>
      <c r="JFM73" s="2936"/>
      <c r="JFN73" s="2936"/>
      <c r="JFO73" s="2936"/>
      <c r="JFP73" s="2936"/>
      <c r="JFQ73" s="2936"/>
      <c r="JFR73" s="2936"/>
      <c r="JFS73" s="2936"/>
      <c r="JFT73" s="2936"/>
      <c r="JFU73" s="2936"/>
      <c r="JFV73" s="2936"/>
      <c r="JFW73" s="2936"/>
      <c r="JFX73" s="2936"/>
      <c r="JFY73" s="2936"/>
      <c r="JFZ73" s="2936"/>
      <c r="JGA73" s="2936"/>
      <c r="JGB73" s="2936"/>
      <c r="JGC73" s="2936"/>
      <c r="JGD73" s="2936"/>
      <c r="JGE73" s="2936"/>
      <c r="JGF73" s="2936"/>
      <c r="JGG73" s="2936"/>
      <c r="JGH73" s="2936"/>
      <c r="JGI73" s="2936"/>
      <c r="JGJ73" s="2936"/>
      <c r="JGK73" s="2936"/>
      <c r="JGL73" s="2936"/>
      <c r="JGM73" s="2936"/>
      <c r="JGN73" s="2936"/>
      <c r="JGO73" s="2936"/>
      <c r="JGP73" s="2936"/>
      <c r="JGQ73" s="2936"/>
      <c r="JGR73" s="2936"/>
      <c r="JGS73" s="2936"/>
      <c r="JGT73" s="2936"/>
      <c r="JGU73" s="2936"/>
      <c r="JGV73" s="2936"/>
      <c r="JGW73" s="2936"/>
      <c r="JGX73" s="2936"/>
      <c r="JGY73" s="2936"/>
      <c r="JGZ73" s="2936"/>
      <c r="JHA73" s="2936"/>
      <c r="JHB73" s="2936"/>
      <c r="JHC73" s="2936"/>
      <c r="JHD73" s="2936"/>
      <c r="JHE73" s="2936"/>
      <c r="JHF73" s="2936"/>
      <c r="JHG73" s="2936"/>
      <c r="JHH73" s="2936"/>
      <c r="JHI73" s="2936"/>
      <c r="JHJ73" s="2936"/>
      <c r="JHK73" s="2936"/>
      <c r="JHL73" s="2936"/>
      <c r="JHM73" s="2936"/>
      <c r="JHN73" s="2936"/>
      <c r="JHO73" s="2936"/>
      <c r="JHP73" s="2936"/>
      <c r="JHQ73" s="2936"/>
      <c r="JHR73" s="2936"/>
      <c r="JHS73" s="2936"/>
      <c r="JHT73" s="2936"/>
      <c r="JHU73" s="2936"/>
      <c r="JHV73" s="2936"/>
      <c r="JHW73" s="2936"/>
      <c r="JHX73" s="2936"/>
      <c r="JHY73" s="2936"/>
      <c r="JHZ73" s="2936"/>
      <c r="JIA73" s="2936"/>
      <c r="JIB73" s="2936"/>
      <c r="JIC73" s="2936"/>
      <c r="JID73" s="2936"/>
      <c r="JIE73" s="2936"/>
      <c r="JIF73" s="2936"/>
      <c r="JIG73" s="2936"/>
      <c r="JIH73" s="2936"/>
      <c r="JII73" s="2936"/>
      <c r="JIJ73" s="2936"/>
      <c r="JIK73" s="2936"/>
      <c r="JIL73" s="2936"/>
      <c r="JIM73" s="2936"/>
      <c r="JIN73" s="2936"/>
      <c r="JIO73" s="2936"/>
      <c r="JIP73" s="2936"/>
      <c r="JIQ73" s="2936"/>
      <c r="JIR73" s="2936"/>
      <c r="JIS73" s="2936"/>
      <c r="JIT73" s="2936"/>
      <c r="JIU73" s="2936"/>
      <c r="JIV73" s="2936"/>
      <c r="JIW73" s="2936"/>
      <c r="JIX73" s="2936"/>
      <c r="JIY73" s="2936"/>
      <c r="JIZ73" s="2936"/>
      <c r="JJA73" s="2936"/>
      <c r="JJB73" s="2936"/>
      <c r="JJC73" s="2936"/>
      <c r="JJD73" s="2936"/>
      <c r="JJE73" s="2936"/>
      <c r="JJF73" s="2936"/>
      <c r="JJG73" s="2936"/>
      <c r="JJH73" s="2936"/>
      <c r="JJI73" s="2936"/>
      <c r="JJJ73" s="2936"/>
      <c r="JJK73" s="2936"/>
      <c r="JJL73" s="2936"/>
      <c r="JJM73" s="2936"/>
      <c r="JJN73" s="2936"/>
      <c r="JJO73" s="2936"/>
      <c r="JJP73" s="2936"/>
      <c r="JJQ73" s="2936"/>
      <c r="JJR73" s="2936"/>
      <c r="JJS73" s="2936"/>
      <c r="JJT73" s="2936"/>
      <c r="JJU73" s="2936"/>
      <c r="JJV73" s="2936"/>
      <c r="JJW73" s="2936"/>
      <c r="JJX73" s="2936"/>
      <c r="JJY73" s="2936"/>
      <c r="JJZ73" s="2936"/>
      <c r="JKA73" s="2936"/>
      <c r="JKB73" s="2936"/>
      <c r="JKC73" s="2936"/>
      <c r="JKD73" s="2936"/>
      <c r="JKE73" s="2936"/>
      <c r="JKF73" s="2936"/>
      <c r="JKG73" s="2936"/>
      <c r="JKH73" s="2936"/>
      <c r="JKI73" s="2936"/>
      <c r="JKJ73" s="2936"/>
      <c r="JKK73" s="2936"/>
      <c r="JKL73" s="2936"/>
      <c r="JKM73" s="2936"/>
      <c r="JKN73" s="2936"/>
      <c r="JKO73" s="2936"/>
      <c r="JKP73" s="2936"/>
      <c r="JKQ73" s="2936"/>
      <c r="JKR73" s="2936"/>
      <c r="JKS73" s="2936"/>
      <c r="JKT73" s="2936"/>
      <c r="JKU73" s="2936"/>
      <c r="JKV73" s="2936"/>
      <c r="JKW73" s="2936"/>
      <c r="JKX73" s="2936"/>
      <c r="JKY73" s="2936"/>
      <c r="JKZ73" s="2936"/>
      <c r="JLA73" s="2936"/>
      <c r="JLB73" s="2936"/>
      <c r="JLC73" s="2936"/>
      <c r="JLD73" s="2936"/>
      <c r="JLE73" s="2936"/>
      <c r="JLF73" s="2936"/>
      <c r="JLG73" s="2936"/>
      <c r="JLH73" s="2936"/>
      <c r="JLI73" s="2936"/>
      <c r="JLJ73" s="2936"/>
      <c r="JLK73" s="2936"/>
      <c r="JLL73" s="2936"/>
      <c r="JLM73" s="2936"/>
      <c r="JLN73" s="2936"/>
      <c r="JLO73" s="2936"/>
      <c r="JLP73" s="2936"/>
      <c r="JLQ73" s="2936"/>
      <c r="JLR73" s="2936"/>
      <c r="JLS73" s="2936"/>
      <c r="JLT73" s="2936"/>
      <c r="JLU73" s="2936"/>
      <c r="JLV73" s="2936"/>
      <c r="JLW73" s="2936"/>
      <c r="JLX73" s="2936"/>
      <c r="JLY73" s="2936"/>
      <c r="JLZ73" s="2936"/>
      <c r="JMA73" s="2936"/>
      <c r="JMB73" s="2936"/>
      <c r="JMC73" s="2936"/>
      <c r="JMD73" s="2936"/>
      <c r="JME73" s="2936"/>
      <c r="JMF73" s="2936"/>
      <c r="JMG73" s="2936"/>
      <c r="JMH73" s="2936"/>
      <c r="JMI73" s="2936"/>
      <c r="JMJ73" s="2936"/>
      <c r="JMK73" s="2936"/>
      <c r="JML73" s="2936"/>
      <c r="JMM73" s="2936"/>
      <c r="JMN73" s="2936"/>
      <c r="JMO73" s="2936"/>
      <c r="JMP73" s="2936"/>
      <c r="JMQ73" s="2936"/>
      <c r="JMR73" s="2936"/>
      <c r="JMS73" s="2936"/>
      <c r="JMT73" s="2936"/>
      <c r="JMU73" s="2936"/>
      <c r="JMV73" s="2936"/>
      <c r="JMW73" s="2936"/>
      <c r="JMX73" s="2936"/>
      <c r="JMY73" s="2936"/>
      <c r="JMZ73" s="2936"/>
      <c r="JNA73" s="2936"/>
      <c r="JNB73" s="2936"/>
      <c r="JNC73" s="2936"/>
      <c r="JND73" s="2936"/>
      <c r="JNE73" s="2936"/>
      <c r="JNF73" s="2936"/>
      <c r="JNG73" s="2936"/>
      <c r="JNH73" s="2936"/>
      <c r="JNI73" s="2936"/>
      <c r="JNJ73" s="2936"/>
      <c r="JNK73" s="2936"/>
      <c r="JNL73" s="2936"/>
      <c r="JNM73" s="2936"/>
      <c r="JNN73" s="2936"/>
      <c r="JNO73" s="2936"/>
      <c r="JNP73" s="2936"/>
      <c r="JNQ73" s="2936"/>
      <c r="JNR73" s="2936"/>
      <c r="JNS73" s="2936"/>
      <c r="JNT73" s="2936"/>
      <c r="JNU73" s="2936"/>
      <c r="JNV73" s="2936"/>
      <c r="JNW73" s="2936"/>
      <c r="JNX73" s="2936"/>
      <c r="JNY73" s="2936"/>
      <c r="JNZ73" s="2936"/>
      <c r="JOA73" s="2936"/>
      <c r="JOB73" s="2936"/>
      <c r="JOC73" s="2936"/>
      <c r="JOD73" s="2936"/>
      <c r="JOE73" s="2936"/>
      <c r="JOF73" s="2936"/>
      <c r="JOG73" s="2936"/>
      <c r="JOH73" s="2936"/>
      <c r="JOI73" s="2936"/>
      <c r="JOJ73" s="2936"/>
      <c r="JOK73" s="2936"/>
      <c r="JOL73" s="2936"/>
      <c r="JOM73" s="2936"/>
      <c r="JON73" s="2936"/>
      <c r="JOO73" s="2936"/>
      <c r="JOP73" s="2936"/>
      <c r="JOQ73" s="2936"/>
      <c r="JOR73" s="2936"/>
      <c r="JOS73" s="2936"/>
      <c r="JOT73" s="2936"/>
      <c r="JOU73" s="2936"/>
      <c r="JOV73" s="2936"/>
      <c r="JOW73" s="2936"/>
      <c r="JOX73" s="2936"/>
      <c r="JOY73" s="2936"/>
      <c r="JOZ73" s="2936"/>
      <c r="JPA73" s="2936"/>
      <c r="JPB73" s="2936"/>
      <c r="JPC73" s="2936"/>
      <c r="JPD73" s="2936"/>
      <c r="JPE73" s="2936"/>
      <c r="JPF73" s="2936"/>
      <c r="JPG73" s="2936"/>
      <c r="JPH73" s="2936"/>
      <c r="JPI73" s="2936"/>
      <c r="JPJ73" s="2936"/>
      <c r="JPK73" s="2936"/>
      <c r="JPL73" s="2936"/>
      <c r="JPM73" s="2936"/>
      <c r="JPN73" s="2936"/>
      <c r="JPO73" s="2936"/>
      <c r="JPP73" s="2936"/>
      <c r="JPQ73" s="2936"/>
      <c r="JPR73" s="2936"/>
      <c r="JPS73" s="2936"/>
      <c r="JPT73" s="2936"/>
      <c r="JPU73" s="2936"/>
      <c r="JPV73" s="2936"/>
      <c r="JPW73" s="2936"/>
      <c r="JPX73" s="2936"/>
      <c r="JPY73" s="2936"/>
      <c r="JPZ73" s="2936"/>
      <c r="JQA73" s="2936"/>
      <c r="JQB73" s="2936"/>
      <c r="JQC73" s="2936"/>
      <c r="JQD73" s="2936"/>
      <c r="JQE73" s="2936"/>
      <c r="JQF73" s="2936"/>
      <c r="JQG73" s="2936"/>
      <c r="JQH73" s="2936"/>
      <c r="JQI73" s="2936"/>
      <c r="JQJ73" s="2936"/>
      <c r="JQK73" s="2936"/>
      <c r="JQL73" s="2936"/>
      <c r="JQM73" s="2936"/>
      <c r="JQN73" s="2936"/>
      <c r="JQO73" s="2936"/>
      <c r="JQP73" s="2936"/>
      <c r="JQQ73" s="2936"/>
      <c r="JQR73" s="2936"/>
      <c r="JQS73" s="2936"/>
      <c r="JQT73" s="2936"/>
      <c r="JQU73" s="2936"/>
      <c r="JQV73" s="2936"/>
      <c r="JQW73" s="2936"/>
      <c r="JQX73" s="2936"/>
      <c r="JQY73" s="2936"/>
      <c r="JQZ73" s="2936"/>
      <c r="JRA73" s="2936"/>
      <c r="JRB73" s="2936"/>
      <c r="JRC73" s="2936"/>
      <c r="JRD73" s="2936"/>
      <c r="JRE73" s="2936"/>
      <c r="JRF73" s="2936"/>
      <c r="JRG73" s="2936"/>
      <c r="JRH73" s="2936"/>
      <c r="JRI73" s="2936"/>
      <c r="JRJ73" s="2936"/>
      <c r="JRK73" s="2936"/>
      <c r="JRL73" s="2936"/>
      <c r="JRM73" s="2936"/>
      <c r="JRN73" s="2936"/>
      <c r="JRO73" s="2936"/>
      <c r="JRP73" s="2936"/>
      <c r="JRQ73" s="2936"/>
      <c r="JRR73" s="2936"/>
      <c r="JRS73" s="2936"/>
      <c r="JRT73" s="2936"/>
      <c r="JRU73" s="2936"/>
      <c r="JRV73" s="2936"/>
      <c r="JRW73" s="2936"/>
      <c r="JRX73" s="2936"/>
      <c r="JRY73" s="2936"/>
      <c r="JRZ73" s="2936"/>
      <c r="JSA73" s="2936"/>
      <c r="JSB73" s="2936"/>
      <c r="JSC73" s="2936"/>
      <c r="JSD73" s="2936"/>
      <c r="JSE73" s="2936"/>
      <c r="JSF73" s="2936"/>
      <c r="JSG73" s="2936"/>
      <c r="JSH73" s="2936"/>
      <c r="JSI73" s="2936"/>
      <c r="JSJ73" s="2936"/>
      <c r="JSK73" s="2936"/>
      <c r="JSL73" s="2936"/>
      <c r="JSM73" s="2936"/>
      <c r="JSN73" s="2936"/>
      <c r="JSO73" s="2936"/>
      <c r="JSP73" s="2936"/>
      <c r="JSQ73" s="2936"/>
      <c r="JSR73" s="2936"/>
      <c r="JSS73" s="2936"/>
      <c r="JST73" s="2936"/>
      <c r="JSU73" s="2936"/>
      <c r="JSV73" s="2936"/>
      <c r="JSW73" s="2936"/>
      <c r="JSX73" s="2936"/>
      <c r="JSY73" s="2936"/>
      <c r="JSZ73" s="2936"/>
      <c r="JTA73" s="2936"/>
      <c r="JTB73" s="2936"/>
      <c r="JTC73" s="2936"/>
      <c r="JTD73" s="2936"/>
      <c r="JTE73" s="2936"/>
      <c r="JTF73" s="2936"/>
      <c r="JTG73" s="2936"/>
      <c r="JTH73" s="2936"/>
      <c r="JTI73" s="2936"/>
      <c r="JTJ73" s="2936"/>
      <c r="JTK73" s="2936"/>
      <c r="JTL73" s="2936"/>
      <c r="JTM73" s="2936"/>
      <c r="JTN73" s="2936"/>
      <c r="JTO73" s="2936"/>
      <c r="JTP73" s="2936"/>
      <c r="JTQ73" s="2936"/>
      <c r="JTR73" s="2936"/>
      <c r="JTS73" s="2936"/>
      <c r="JTT73" s="2936"/>
      <c r="JTU73" s="2936"/>
      <c r="JTV73" s="2936"/>
      <c r="JTW73" s="2936"/>
      <c r="JTX73" s="2936"/>
      <c r="JTY73" s="2936"/>
      <c r="JTZ73" s="2936"/>
      <c r="JUA73" s="2936"/>
      <c r="JUB73" s="2936"/>
      <c r="JUC73" s="2936"/>
      <c r="JUD73" s="2936"/>
      <c r="JUE73" s="2936"/>
      <c r="JUF73" s="2936"/>
      <c r="JUG73" s="2936"/>
      <c r="JUH73" s="2936"/>
      <c r="JUI73" s="2936"/>
      <c r="JUJ73" s="2936"/>
      <c r="JUK73" s="2936"/>
      <c r="JUL73" s="2936"/>
      <c r="JUM73" s="2936"/>
      <c r="JUN73" s="2936"/>
      <c r="JUO73" s="2936"/>
      <c r="JUP73" s="2936"/>
      <c r="JUQ73" s="2936"/>
      <c r="JUR73" s="2936"/>
      <c r="JUS73" s="2936"/>
      <c r="JUT73" s="2936"/>
      <c r="JUU73" s="2936"/>
      <c r="JUV73" s="2936"/>
      <c r="JUW73" s="2936"/>
      <c r="JUX73" s="2936"/>
      <c r="JUY73" s="2936"/>
      <c r="JUZ73" s="2936"/>
      <c r="JVA73" s="2936"/>
      <c r="JVB73" s="2936"/>
      <c r="JVC73" s="2936"/>
      <c r="JVD73" s="2936"/>
      <c r="JVE73" s="2936"/>
      <c r="JVF73" s="2936"/>
      <c r="JVG73" s="2936"/>
      <c r="JVH73" s="2936"/>
      <c r="JVI73" s="2936"/>
      <c r="JVJ73" s="2936"/>
      <c r="JVK73" s="2936"/>
      <c r="JVL73" s="2936"/>
      <c r="JVM73" s="2936"/>
      <c r="JVN73" s="2936"/>
      <c r="JVO73" s="2936"/>
      <c r="JVP73" s="2936"/>
      <c r="JVQ73" s="2936"/>
      <c r="JVR73" s="2936"/>
      <c r="JVS73" s="2936"/>
      <c r="JVT73" s="2936"/>
      <c r="JVU73" s="2936"/>
      <c r="JVV73" s="2936"/>
      <c r="JVW73" s="2936"/>
      <c r="JVX73" s="2936"/>
      <c r="JVY73" s="2936"/>
      <c r="JVZ73" s="2936"/>
      <c r="JWA73" s="2936"/>
      <c r="JWB73" s="2936"/>
      <c r="JWC73" s="2936"/>
      <c r="JWD73" s="2936"/>
      <c r="JWE73" s="2936"/>
      <c r="JWF73" s="2936"/>
      <c r="JWG73" s="2936"/>
      <c r="JWH73" s="2936"/>
      <c r="JWI73" s="2936"/>
      <c r="JWJ73" s="2936"/>
      <c r="JWK73" s="2936"/>
      <c r="JWL73" s="2936"/>
      <c r="JWM73" s="2936"/>
      <c r="JWN73" s="2936"/>
      <c r="JWO73" s="2936"/>
      <c r="JWP73" s="2936"/>
      <c r="JWQ73" s="2936"/>
      <c r="JWR73" s="2936"/>
      <c r="JWS73" s="2936"/>
      <c r="JWT73" s="2936"/>
      <c r="JWU73" s="2936"/>
      <c r="JWV73" s="2936"/>
      <c r="JWW73" s="2936"/>
      <c r="JWX73" s="2936"/>
      <c r="JWY73" s="2936"/>
      <c r="JWZ73" s="2936"/>
      <c r="JXA73" s="2936"/>
      <c r="JXB73" s="2936"/>
      <c r="JXC73" s="2936"/>
      <c r="JXD73" s="2936"/>
      <c r="JXE73" s="2936"/>
      <c r="JXF73" s="2936"/>
      <c r="JXG73" s="2936"/>
      <c r="JXH73" s="2936"/>
      <c r="JXI73" s="2936"/>
      <c r="JXJ73" s="2936"/>
      <c r="JXK73" s="2936"/>
      <c r="JXL73" s="2936"/>
      <c r="JXM73" s="2936"/>
      <c r="JXN73" s="2936"/>
      <c r="JXO73" s="2936"/>
      <c r="JXP73" s="2936"/>
      <c r="JXQ73" s="2936"/>
      <c r="JXR73" s="2936"/>
      <c r="JXS73" s="2936"/>
      <c r="JXT73" s="2936"/>
      <c r="JXU73" s="2936"/>
      <c r="JXV73" s="2936"/>
      <c r="JXW73" s="2936"/>
      <c r="JXX73" s="2936"/>
      <c r="JXY73" s="2936"/>
      <c r="JXZ73" s="2936"/>
      <c r="JYA73" s="2936"/>
      <c r="JYB73" s="2936"/>
      <c r="JYC73" s="2936"/>
      <c r="JYD73" s="2936"/>
      <c r="JYE73" s="2936"/>
      <c r="JYF73" s="2936"/>
      <c r="JYG73" s="2936"/>
      <c r="JYH73" s="2936"/>
      <c r="JYI73" s="2936"/>
      <c r="JYJ73" s="2936"/>
      <c r="JYK73" s="2936"/>
      <c r="JYL73" s="2936"/>
      <c r="JYM73" s="2936"/>
      <c r="JYN73" s="2936"/>
      <c r="JYO73" s="2936"/>
      <c r="JYP73" s="2936"/>
      <c r="JYQ73" s="2936"/>
      <c r="JYR73" s="2936"/>
      <c r="JYS73" s="2936"/>
      <c r="JYT73" s="2936"/>
      <c r="JYU73" s="2936"/>
      <c r="JYV73" s="2936"/>
      <c r="JYW73" s="2936"/>
      <c r="JYX73" s="2936"/>
      <c r="JYY73" s="2936"/>
      <c r="JYZ73" s="2936"/>
      <c r="JZA73" s="2936"/>
      <c r="JZB73" s="2936"/>
      <c r="JZC73" s="2936"/>
      <c r="JZD73" s="2936"/>
      <c r="JZE73" s="2936"/>
      <c r="JZF73" s="2936"/>
      <c r="JZG73" s="2936"/>
      <c r="JZH73" s="2936"/>
      <c r="JZI73" s="2936"/>
      <c r="JZJ73" s="2936"/>
      <c r="JZK73" s="2936"/>
      <c r="JZL73" s="2936"/>
      <c r="JZM73" s="2936"/>
      <c r="JZN73" s="2936"/>
      <c r="JZO73" s="2936"/>
      <c r="JZP73" s="2936"/>
      <c r="JZQ73" s="2936"/>
      <c r="JZR73" s="2936"/>
      <c r="JZS73" s="2936"/>
      <c r="JZT73" s="2936"/>
      <c r="JZU73" s="2936"/>
      <c r="JZV73" s="2936"/>
      <c r="JZW73" s="2936"/>
      <c r="JZX73" s="2936"/>
      <c r="JZY73" s="2936"/>
      <c r="JZZ73" s="2936"/>
      <c r="KAA73" s="2936"/>
      <c r="KAB73" s="2936"/>
      <c r="KAC73" s="2936"/>
      <c r="KAD73" s="2936"/>
      <c r="KAE73" s="2936"/>
      <c r="KAF73" s="2936"/>
      <c r="KAG73" s="2936"/>
      <c r="KAH73" s="2936"/>
      <c r="KAI73" s="2936"/>
      <c r="KAJ73" s="2936"/>
      <c r="KAK73" s="2936"/>
      <c r="KAL73" s="2936"/>
      <c r="KAM73" s="2936"/>
      <c r="KAN73" s="2936"/>
      <c r="KAO73" s="2936"/>
      <c r="KAP73" s="2936"/>
      <c r="KAQ73" s="2936"/>
      <c r="KAR73" s="2936"/>
      <c r="KAS73" s="2936"/>
      <c r="KAT73" s="2936"/>
      <c r="KAU73" s="2936"/>
      <c r="KAV73" s="2936"/>
      <c r="KAW73" s="2936"/>
      <c r="KAX73" s="2936"/>
      <c r="KAY73" s="2936"/>
      <c r="KAZ73" s="2936"/>
      <c r="KBA73" s="2936"/>
      <c r="KBB73" s="2936"/>
      <c r="KBC73" s="2936"/>
      <c r="KBD73" s="2936"/>
      <c r="KBE73" s="2936"/>
      <c r="KBF73" s="2936"/>
      <c r="KBG73" s="2936"/>
      <c r="KBH73" s="2936"/>
      <c r="KBI73" s="2936"/>
      <c r="KBJ73" s="2936"/>
      <c r="KBK73" s="2936"/>
      <c r="KBL73" s="2936"/>
      <c r="KBM73" s="2936"/>
      <c r="KBN73" s="2936"/>
      <c r="KBO73" s="2936"/>
      <c r="KBP73" s="2936"/>
      <c r="KBQ73" s="2936"/>
      <c r="KBR73" s="2936"/>
      <c r="KBS73" s="2936"/>
      <c r="KBT73" s="2936"/>
      <c r="KBU73" s="2936"/>
      <c r="KBV73" s="2936"/>
      <c r="KBW73" s="2936"/>
      <c r="KBX73" s="2936"/>
      <c r="KBY73" s="2936"/>
      <c r="KBZ73" s="2936"/>
      <c r="KCA73" s="2936"/>
      <c r="KCB73" s="2936"/>
      <c r="KCC73" s="2936"/>
      <c r="KCD73" s="2936"/>
      <c r="KCE73" s="2936"/>
      <c r="KCF73" s="2936"/>
      <c r="KCG73" s="2936"/>
      <c r="KCH73" s="2936"/>
      <c r="KCI73" s="2936"/>
      <c r="KCJ73" s="2936"/>
      <c r="KCK73" s="2936"/>
      <c r="KCL73" s="2936"/>
      <c r="KCM73" s="2936"/>
      <c r="KCN73" s="2936"/>
      <c r="KCO73" s="2936"/>
      <c r="KCP73" s="2936"/>
      <c r="KCQ73" s="2936"/>
      <c r="KCR73" s="2936"/>
      <c r="KCS73" s="2936"/>
      <c r="KCT73" s="2936"/>
      <c r="KCU73" s="2936"/>
      <c r="KCV73" s="2936"/>
      <c r="KCW73" s="2936"/>
      <c r="KCX73" s="2936"/>
      <c r="KCY73" s="2936"/>
      <c r="KCZ73" s="2936"/>
      <c r="KDA73" s="2936"/>
      <c r="KDB73" s="2936"/>
      <c r="KDC73" s="2936"/>
      <c r="KDD73" s="2936"/>
      <c r="KDE73" s="2936"/>
      <c r="KDF73" s="2936"/>
      <c r="KDG73" s="2936"/>
      <c r="KDH73" s="2936"/>
      <c r="KDI73" s="2936"/>
      <c r="KDJ73" s="2936"/>
      <c r="KDK73" s="2936"/>
      <c r="KDL73" s="2936"/>
      <c r="KDM73" s="2936"/>
      <c r="KDN73" s="2936"/>
      <c r="KDO73" s="2936"/>
      <c r="KDP73" s="2936"/>
      <c r="KDQ73" s="2936"/>
      <c r="KDR73" s="2936"/>
      <c r="KDS73" s="2936"/>
      <c r="KDT73" s="2936"/>
      <c r="KDU73" s="2936"/>
      <c r="KDV73" s="2936"/>
      <c r="KDW73" s="2936"/>
      <c r="KDX73" s="2936"/>
      <c r="KDY73" s="2936"/>
      <c r="KDZ73" s="2936"/>
      <c r="KEA73" s="2936"/>
      <c r="KEB73" s="2936"/>
      <c r="KEC73" s="2936"/>
      <c r="KED73" s="2936"/>
      <c r="KEE73" s="2936"/>
      <c r="KEF73" s="2936"/>
      <c r="KEG73" s="2936"/>
      <c r="KEH73" s="2936"/>
      <c r="KEI73" s="2936"/>
      <c r="KEJ73" s="2936"/>
      <c r="KEK73" s="2936"/>
      <c r="KEL73" s="2936"/>
      <c r="KEM73" s="2936"/>
      <c r="KEN73" s="2936"/>
      <c r="KEO73" s="2936"/>
      <c r="KEP73" s="2936"/>
      <c r="KEQ73" s="2936"/>
      <c r="KER73" s="2936"/>
      <c r="KES73" s="2936"/>
      <c r="KET73" s="2936"/>
      <c r="KEU73" s="2936"/>
      <c r="KEV73" s="2936"/>
      <c r="KEW73" s="2936"/>
      <c r="KEX73" s="2936"/>
      <c r="KEY73" s="2936"/>
      <c r="KEZ73" s="2936"/>
      <c r="KFA73" s="2936"/>
      <c r="KFB73" s="2936"/>
      <c r="KFC73" s="2936"/>
      <c r="KFD73" s="2936"/>
      <c r="KFE73" s="2936"/>
      <c r="KFF73" s="2936"/>
      <c r="KFG73" s="2936"/>
      <c r="KFH73" s="2936"/>
      <c r="KFI73" s="2936"/>
      <c r="KFJ73" s="2936"/>
      <c r="KFK73" s="2936"/>
      <c r="KFL73" s="2936"/>
      <c r="KFM73" s="2936"/>
      <c r="KFN73" s="2936"/>
      <c r="KFO73" s="2936"/>
      <c r="KFP73" s="2936"/>
      <c r="KFQ73" s="2936"/>
      <c r="KFR73" s="2936"/>
      <c r="KFS73" s="2936"/>
      <c r="KFT73" s="2936"/>
      <c r="KFU73" s="2936"/>
      <c r="KFV73" s="2936"/>
      <c r="KFW73" s="2936"/>
      <c r="KFX73" s="2936"/>
      <c r="KFY73" s="2936"/>
      <c r="KFZ73" s="2936"/>
      <c r="KGA73" s="2936"/>
      <c r="KGB73" s="2936"/>
      <c r="KGC73" s="2936"/>
      <c r="KGD73" s="2936"/>
      <c r="KGE73" s="2936"/>
      <c r="KGF73" s="2936"/>
      <c r="KGG73" s="2936"/>
      <c r="KGH73" s="2936"/>
      <c r="KGI73" s="2936"/>
      <c r="KGJ73" s="2936"/>
      <c r="KGK73" s="2936"/>
      <c r="KGL73" s="2936"/>
      <c r="KGM73" s="2936"/>
      <c r="KGN73" s="2936"/>
      <c r="KGO73" s="2936"/>
      <c r="KGP73" s="2936"/>
      <c r="KGQ73" s="2936"/>
      <c r="KGR73" s="2936"/>
      <c r="KGS73" s="2936"/>
      <c r="KGT73" s="2936"/>
      <c r="KGU73" s="2936"/>
      <c r="KGV73" s="2936"/>
      <c r="KGW73" s="2936"/>
      <c r="KGX73" s="2936"/>
      <c r="KGY73" s="2936"/>
      <c r="KGZ73" s="2936"/>
      <c r="KHA73" s="2936"/>
      <c r="KHB73" s="2936"/>
      <c r="KHC73" s="2936"/>
      <c r="KHD73" s="2936"/>
      <c r="KHE73" s="2936"/>
      <c r="KHF73" s="2936"/>
      <c r="KHG73" s="2936"/>
      <c r="KHH73" s="2936"/>
      <c r="KHI73" s="2936"/>
      <c r="KHJ73" s="2936"/>
      <c r="KHK73" s="2936"/>
      <c r="KHL73" s="2936"/>
      <c r="KHM73" s="2936"/>
      <c r="KHN73" s="2936"/>
      <c r="KHO73" s="2936"/>
      <c r="KHP73" s="2936"/>
      <c r="KHQ73" s="2936"/>
      <c r="KHR73" s="2936"/>
      <c r="KHS73" s="2936"/>
      <c r="KHT73" s="2936"/>
      <c r="KHU73" s="2936"/>
      <c r="KHV73" s="2936"/>
      <c r="KHW73" s="2936"/>
      <c r="KHX73" s="2936"/>
      <c r="KHY73" s="2936"/>
      <c r="KHZ73" s="2936"/>
      <c r="KIA73" s="2936"/>
      <c r="KIB73" s="2936"/>
      <c r="KIC73" s="2936"/>
      <c r="KID73" s="2936"/>
      <c r="KIE73" s="2936"/>
      <c r="KIF73" s="2936"/>
      <c r="KIG73" s="2936"/>
      <c r="KIH73" s="2936"/>
      <c r="KII73" s="2936"/>
      <c r="KIJ73" s="2936"/>
      <c r="KIK73" s="2936"/>
      <c r="KIL73" s="2936"/>
      <c r="KIM73" s="2936"/>
      <c r="KIN73" s="2936"/>
      <c r="KIO73" s="2936"/>
      <c r="KIP73" s="2936"/>
      <c r="KIQ73" s="2936"/>
      <c r="KIR73" s="2936"/>
      <c r="KIS73" s="2936"/>
      <c r="KIT73" s="2936"/>
      <c r="KIU73" s="2936"/>
      <c r="KIV73" s="2936"/>
      <c r="KIW73" s="2936"/>
      <c r="KIX73" s="2936"/>
      <c r="KIY73" s="2936"/>
      <c r="KIZ73" s="2936"/>
      <c r="KJA73" s="2936"/>
      <c r="KJB73" s="2936"/>
      <c r="KJC73" s="2936"/>
      <c r="KJD73" s="2936"/>
      <c r="KJE73" s="2936"/>
      <c r="KJF73" s="2936"/>
      <c r="KJG73" s="2936"/>
      <c r="KJH73" s="2936"/>
      <c r="KJI73" s="2936"/>
      <c r="KJJ73" s="2936"/>
      <c r="KJK73" s="2936"/>
      <c r="KJL73" s="2936"/>
      <c r="KJM73" s="2936"/>
      <c r="KJN73" s="2936"/>
      <c r="KJO73" s="2936"/>
      <c r="KJP73" s="2936"/>
      <c r="KJQ73" s="2936"/>
      <c r="KJR73" s="2936"/>
      <c r="KJS73" s="2936"/>
      <c r="KJT73" s="2936"/>
      <c r="KJU73" s="2936"/>
      <c r="KJV73" s="2936"/>
      <c r="KJW73" s="2936"/>
      <c r="KJX73" s="2936"/>
      <c r="KJY73" s="2936"/>
      <c r="KJZ73" s="2936"/>
      <c r="KKA73" s="2936"/>
      <c r="KKB73" s="2936"/>
      <c r="KKC73" s="2936"/>
      <c r="KKD73" s="2936"/>
      <c r="KKE73" s="2936"/>
      <c r="KKF73" s="2936"/>
      <c r="KKG73" s="2936"/>
      <c r="KKH73" s="2936"/>
      <c r="KKI73" s="2936"/>
      <c r="KKJ73" s="2936"/>
      <c r="KKK73" s="2936"/>
      <c r="KKL73" s="2936"/>
      <c r="KKM73" s="2936"/>
      <c r="KKN73" s="2936"/>
      <c r="KKO73" s="2936"/>
      <c r="KKP73" s="2936"/>
      <c r="KKQ73" s="2936"/>
      <c r="KKR73" s="2936"/>
      <c r="KKS73" s="2936"/>
      <c r="KKT73" s="2936"/>
      <c r="KKU73" s="2936"/>
      <c r="KKV73" s="2936"/>
      <c r="KKW73" s="2936"/>
      <c r="KKX73" s="2936"/>
      <c r="KKY73" s="2936"/>
      <c r="KKZ73" s="2936"/>
      <c r="KLA73" s="2936"/>
      <c r="KLB73" s="2936"/>
      <c r="KLC73" s="2936"/>
      <c r="KLD73" s="2936"/>
      <c r="KLE73" s="2936"/>
      <c r="KLF73" s="2936"/>
      <c r="KLG73" s="2936"/>
      <c r="KLH73" s="2936"/>
      <c r="KLI73" s="2936"/>
      <c r="KLJ73" s="2936"/>
      <c r="KLK73" s="2936"/>
      <c r="KLL73" s="2936"/>
      <c r="KLM73" s="2936"/>
      <c r="KLN73" s="2936"/>
      <c r="KLO73" s="2936"/>
      <c r="KLP73" s="2936"/>
      <c r="KLQ73" s="2936"/>
      <c r="KLR73" s="2936"/>
      <c r="KLS73" s="2936"/>
      <c r="KLT73" s="2936"/>
      <c r="KLU73" s="2936"/>
      <c r="KLV73" s="2936"/>
      <c r="KLW73" s="2936"/>
      <c r="KLX73" s="2936"/>
      <c r="KLY73" s="2936"/>
      <c r="KLZ73" s="2936"/>
      <c r="KMA73" s="2936"/>
      <c r="KMB73" s="2936"/>
      <c r="KMC73" s="2936"/>
      <c r="KMD73" s="2936"/>
      <c r="KME73" s="2936"/>
      <c r="KMF73" s="2936"/>
      <c r="KMG73" s="2936"/>
      <c r="KMH73" s="2936"/>
      <c r="KMI73" s="2936"/>
      <c r="KMJ73" s="2936"/>
      <c r="KMK73" s="2936"/>
      <c r="KML73" s="2936"/>
      <c r="KMM73" s="2936"/>
      <c r="KMN73" s="2936"/>
      <c r="KMO73" s="2936"/>
      <c r="KMP73" s="2936"/>
      <c r="KMQ73" s="2936"/>
      <c r="KMR73" s="2936"/>
      <c r="KMS73" s="2936"/>
      <c r="KMT73" s="2936"/>
      <c r="KMU73" s="2936"/>
      <c r="KMV73" s="2936"/>
      <c r="KMW73" s="2936"/>
      <c r="KMX73" s="2936"/>
      <c r="KMY73" s="2936"/>
      <c r="KMZ73" s="2936"/>
      <c r="KNA73" s="2936"/>
      <c r="KNB73" s="2936"/>
      <c r="KNC73" s="2936"/>
      <c r="KND73" s="2936"/>
      <c r="KNE73" s="2936"/>
      <c r="KNF73" s="2936"/>
      <c r="KNG73" s="2936"/>
      <c r="KNH73" s="2936"/>
      <c r="KNI73" s="2936"/>
      <c r="KNJ73" s="2936"/>
      <c r="KNK73" s="2936"/>
      <c r="KNL73" s="2936"/>
      <c r="KNM73" s="2936"/>
      <c r="KNN73" s="2936"/>
      <c r="KNO73" s="2936"/>
      <c r="KNP73" s="2936"/>
      <c r="KNQ73" s="2936"/>
      <c r="KNR73" s="2936"/>
      <c r="KNS73" s="2936"/>
      <c r="KNT73" s="2936"/>
      <c r="KNU73" s="2936"/>
      <c r="KNV73" s="2936"/>
      <c r="KNW73" s="2936"/>
      <c r="KNX73" s="2936"/>
      <c r="KNY73" s="2936"/>
      <c r="KNZ73" s="2936"/>
      <c r="KOA73" s="2936"/>
      <c r="KOB73" s="2936"/>
      <c r="KOC73" s="2936"/>
      <c r="KOD73" s="2936"/>
      <c r="KOE73" s="2936"/>
      <c r="KOF73" s="2936"/>
      <c r="KOG73" s="2936"/>
      <c r="KOH73" s="2936"/>
      <c r="KOI73" s="2936"/>
      <c r="KOJ73" s="2936"/>
      <c r="KOK73" s="2936"/>
      <c r="KOL73" s="2936"/>
      <c r="KOM73" s="2936"/>
      <c r="KON73" s="2936"/>
      <c r="KOO73" s="2936"/>
      <c r="KOP73" s="2936"/>
      <c r="KOQ73" s="2936"/>
      <c r="KOR73" s="2936"/>
      <c r="KOS73" s="2936"/>
      <c r="KOT73" s="2936"/>
      <c r="KOU73" s="2936"/>
      <c r="KOV73" s="2936"/>
      <c r="KOW73" s="2936"/>
      <c r="KOX73" s="2936"/>
      <c r="KOY73" s="2936"/>
      <c r="KOZ73" s="2936"/>
      <c r="KPA73" s="2936"/>
      <c r="KPB73" s="2936"/>
      <c r="KPC73" s="2936"/>
      <c r="KPD73" s="2936"/>
      <c r="KPE73" s="2936"/>
      <c r="KPF73" s="2936"/>
      <c r="KPG73" s="2936"/>
      <c r="KPH73" s="2936"/>
      <c r="KPI73" s="2936"/>
      <c r="KPJ73" s="2936"/>
      <c r="KPK73" s="2936"/>
      <c r="KPL73" s="2936"/>
      <c r="KPM73" s="2936"/>
      <c r="KPN73" s="2936"/>
      <c r="KPO73" s="2936"/>
      <c r="KPP73" s="2936"/>
      <c r="KPQ73" s="2936"/>
      <c r="KPR73" s="2936"/>
      <c r="KPS73" s="2936"/>
      <c r="KPT73" s="2936"/>
      <c r="KPU73" s="2936"/>
      <c r="KPV73" s="2936"/>
      <c r="KPW73" s="2936"/>
      <c r="KPX73" s="2936"/>
      <c r="KPY73" s="2936"/>
      <c r="KPZ73" s="2936"/>
      <c r="KQA73" s="2936"/>
      <c r="KQB73" s="2936"/>
      <c r="KQC73" s="2936"/>
      <c r="KQD73" s="2936"/>
      <c r="KQE73" s="2936"/>
      <c r="KQF73" s="2936"/>
      <c r="KQG73" s="2936"/>
      <c r="KQH73" s="2936"/>
      <c r="KQI73" s="2936"/>
      <c r="KQJ73" s="2936"/>
      <c r="KQK73" s="2936"/>
      <c r="KQL73" s="2936"/>
      <c r="KQM73" s="2936"/>
      <c r="KQN73" s="2936"/>
      <c r="KQO73" s="2936"/>
      <c r="KQP73" s="2936"/>
      <c r="KQQ73" s="2936"/>
      <c r="KQR73" s="2936"/>
      <c r="KQS73" s="2936"/>
      <c r="KQT73" s="2936"/>
      <c r="KQU73" s="2936"/>
      <c r="KQV73" s="2936"/>
      <c r="KQW73" s="2936"/>
      <c r="KQX73" s="2936"/>
      <c r="KQY73" s="2936"/>
      <c r="KQZ73" s="2936"/>
      <c r="KRA73" s="2936"/>
      <c r="KRB73" s="2936"/>
      <c r="KRC73" s="2936"/>
      <c r="KRD73" s="2936"/>
      <c r="KRE73" s="2936"/>
      <c r="KRF73" s="2936"/>
      <c r="KRG73" s="2936"/>
      <c r="KRH73" s="2936"/>
      <c r="KRI73" s="2936"/>
      <c r="KRJ73" s="2936"/>
      <c r="KRK73" s="2936"/>
      <c r="KRL73" s="2936"/>
      <c r="KRM73" s="2936"/>
      <c r="KRN73" s="2936"/>
      <c r="KRO73" s="2936"/>
      <c r="KRP73" s="2936"/>
      <c r="KRQ73" s="2936"/>
      <c r="KRR73" s="2936"/>
      <c r="KRS73" s="2936"/>
      <c r="KRT73" s="2936"/>
      <c r="KRU73" s="2936"/>
      <c r="KRV73" s="2936"/>
      <c r="KRW73" s="2936"/>
      <c r="KRX73" s="2936"/>
      <c r="KRY73" s="2936"/>
      <c r="KRZ73" s="2936"/>
      <c r="KSA73" s="2936"/>
      <c r="KSB73" s="2936"/>
      <c r="KSC73" s="2936"/>
      <c r="KSD73" s="2936"/>
      <c r="KSE73" s="2936"/>
      <c r="KSF73" s="2936"/>
      <c r="KSG73" s="2936"/>
      <c r="KSH73" s="2936"/>
      <c r="KSI73" s="2936"/>
      <c r="KSJ73" s="2936"/>
      <c r="KSK73" s="2936"/>
      <c r="KSL73" s="2936"/>
      <c r="KSM73" s="2936"/>
      <c r="KSN73" s="2936"/>
      <c r="KSO73" s="2936"/>
      <c r="KSP73" s="2936"/>
      <c r="KSQ73" s="2936"/>
      <c r="KSR73" s="2936"/>
      <c r="KSS73" s="2936"/>
      <c r="KST73" s="2936"/>
      <c r="KSU73" s="2936"/>
      <c r="KSV73" s="2936"/>
      <c r="KSW73" s="2936"/>
      <c r="KSX73" s="2936"/>
      <c r="KSY73" s="2936"/>
      <c r="KSZ73" s="2936"/>
      <c r="KTA73" s="2936"/>
      <c r="KTB73" s="2936"/>
      <c r="KTC73" s="2936"/>
      <c r="KTD73" s="2936"/>
      <c r="KTE73" s="2936"/>
      <c r="KTF73" s="2936"/>
      <c r="KTG73" s="2936"/>
      <c r="KTH73" s="2936"/>
      <c r="KTI73" s="2936"/>
      <c r="KTJ73" s="2936"/>
      <c r="KTK73" s="2936"/>
      <c r="KTL73" s="2936"/>
      <c r="KTM73" s="2936"/>
      <c r="KTN73" s="2936"/>
      <c r="KTO73" s="2936"/>
      <c r="KTP73" s="2936"/>
      <c r="KTQ73" s="2936"/>
      <c r="KTR73" s="2936"/>
      <c r="KTS73" s="2936"/>
      <c r="KTT73" s="2936"/>
      <c r="KTU73" s="2936"/>
      <c r="KTV73" s="2936"/>
      <c r="KTW73" s="2936"/>
      <c r="KTX73" s="2936"/>
      <c r="KTY73" s="2936"/>
      <c r="KTZ73" s="2936"/>
      <c r="KUA73" s="2936"/>
      <c r="KUB73" s="2936"/>
      <c r="KUC73" s="2936"/>
      <c r="KUD73" s="2936"/>
      <c r="KUE73" s="2936"/>
      <c r="KUF73" s="2936"/>
      <c r="KUG73" s="2936"/>
      <c r="KUH73" s="2936"/>
      <c r="KUI73" s="2936"/>
      <c r="KUJ73" s="2936"/>
      <c r="KUK73" s="2936"/>
      <c r="KUL73" s="2936"/>
      <c r="KUM73" s="2936"/>
      <c r="KUN73" s="2936"/>
      <c r="KUO73" s="2936"/>
      <c r="KUP73" s="2936"/>
      <c r="KUQ73" s="2936"/>
      <c r="KUR73" s="2936"/>
      <c r="KUS73" s="2936"/>
      <c r="KUT73" s="2936"/>
      <c r="KUU73" s="2936"/>
      <c r="KUV73" s="2936"/>
      <c r="KUW73" s="2936"/>
      <c r="KUX73" s="2936"/>
      <c r="KUY73" s="2936"/>
      <c r="KUZ73" s="2936"/>
      <c r="KVA73" s="2936"/>
      <c r="KVB73" s="2936"/>
      <c r="KVC73" s="2936"/>
      <c r="KVD73" s="2936"/>
      <c r="KVE73" s="2936"/>
      <c r="KVF73" s="2936"/>
      <c r="KVG73" s="2936"/>
      <c r="KVH73" s="2936"/>
      <c r="KVI73" s="2936"/>
      <c r="KVJ73" s="2936"/>
      <c r="KVK73" s="2936"/>
      <c r="KVL73" s="2936"/>
      <c r="KVM73" s="2936"/>
      <c r="KVN73" s="2936"/>
      <c r="KVO73" s="2936"/>
      <c r="KVP73" s="2936"/>
      <c r="KVQ73" s="2936"/>
      <c r="KVR73" s="2936"/>
      <c r="KVS73" s="2936"/>
      <c r="KVT73" s="2936"/>
      <c r="KVU73" s="2936"/>
      <c r="KVV73" s="2936"/>
      <c r="KVW73" s="2936"/>
      <c r="KVX73" s="2936"/>
      <c r="KVY73" s="2936"/>
      <c r="KVZ73" s="2936"/>
      <c r="KWA73" s="2936"/>
      <c r="KWB73" s="2936"/>
      <c r="KWC73" s="2936"/>
      <c r="KWD73" s="2936"/>
      <c r="KWE73" s="2936"/>
      <c r="KWF73" s="2936"/>
      <c r="KWG73" s="2936"/>
      <c r="KWH73" s="2936"/>
      <c r="KWI73" s="2936"/>
      <c r="KWJ73" s="2936"/>
      <c r="KWK73" s="2936"/>
      <c r="KWL73" s="2936"/>
      <c r="KWM73" s="2936"/>
      <c r="KWN73" s="2936"/>
      <c r="KWO73" s="2936"/>
      <c r="KWP73" s="2936"/>
      <c r="KWQ73" s="2936"/>
      <c r="KWR73" s="2936"/>
      <c r="KWS73" s="2936"/>
      <c r="KWT73" s="2936"/>
      <c r="KWU73" s="2936"/>
      <c r="KWV73" s="2936"/>
      <c r="KWW73" s="2936"/>
      <c r="KWX73" s="2936"/>
      <c r="KWY73" s="2936"/>
      <c r="KWZ73" s="2936"/>
      <c r="KXA73" s="2936"/>
      <c r="KXB73" s="2936"/>
      <c r="KXC73" s="2936"/>
      <c r="KXD73" s="2936"/>
      <c r="KXE73" s="2936"/>
      <c r="KXF73" s="2936"/>
      <c r="KXG73" s="2936"/>
      <c r="KXH73" s="2936"/>
      <c r="KXI73" s="2936"/>
      <c r="KXJ73" s="2936"/>
      <c r="KXK73" s="2936"/>
      <c r="KXL73" s="2936"/>
      <c r="KXM73" s="2936"/>
      <c r="KXN73" s="2936"/>
      <c r="KXO73" s="2936"/>
      <c r="KXP73" s="2936"/>
      <c r="KXQ73" s="2936"/>
      <c r="KXR73" s="2936"/>
      <c r="KXS73" s="2936"/>
      <c r="KXT73" s="2936"/>
      <c r="KXU73" s="2936"/>
      <c r="KXV73" s="2936"/>
      <c r="KXW73" s="2936"/>
      <c r="KXX73" s="2936"/>
      <c r="KXY73" s="2936"/>
      <c r="KXZ73" s="2936"/>
      <c r="KYA73" s="2936"/>
      <c r="KYB73" s="2936"/>
      <c r="KYC73" s="2936"/>
      <c r="KYD73" s="2936"/>
      <c r="KYE73" s="2936"/>
      <c r="KYF73" s="2936"/>
      <c r="KYG73" s="2936"/>
      <c r="KYH73" s="2936"/>
      <c r="KYI73" s="2936"/>
      <c r="KYJ73" s="2936"/>
      <c r="KYK73" s="2936"/>
      <c r="KYL73" s="2936"/>
      <c r="KYM73" s="2936"/>
      <c r="KYN73" s="2936"/>
      <c r="KYO73" s="2936"/>
      <c r="KYP73" s="2936"/>
      <c r="KYQ73" s="2936"/>
      <c r="KYR73" s="2936"/>
      <c r="KYS73" s="2936"/>
      <c r="KYT73" s="2936"/>
      <c r="KYU73" s="2936"/>
      <c r="KYV73" s="2936"/>
      <c r="KYW73" s="2936"/>
      <c r="KYX73" s="2936"/>
      <c r="KYY73" s="2936"/>
      <c r="KYZ73" s="2936"/>
      <c r="KZA73" s="2936"/>
      <c r="KZB73" s="2936"/>
      <c r="KZC73" s="2936"/>
      <c r="KZD73" s="2936"/>
      <c r="KZE73" s="2936"/>
      <c r="KZF73" s="2936"/>
      <c r="KZG73" s="2936"/>
      <c r="KZH73" s="2936"/>
      <c r="KZI73" s="2936"/>
      <c r="KZJ73" s="2936"/>
      <c r="KZK73" s="2936"/>
      <c r="KZL73" s="2936"/>
      <c r="KZM73" s="2936"/>
      <c r="KZN73" s="2936"/>
      <c r="KZO73" s="2936"/>
      <c r="KZP73" s="2936"/>
      <c r="KZQ73" s="2936"/>
      <c r="KZR73" s="2936"/>
      <c r="KZS73" s="2936"/>
      <c r="KZT73" s="2936"/>
      <c r="KZU73" s="2936"/>
      <c r="KZV73" s="2936"/>
      <c r="KZW73" s="2936"/>
      <c r="KZX73" s="2936"/>
      <c r="KZY73" s="2936"/>
      <c r="KZZ73" s="2936"/>
      <c r="LAA73" s="2936"/>
      <c r="LAB73" s="2936"/>
      <c r="LAC73" s="2936"/>
      <c r="LAD73" s="2936"/>
      <c r="LAE73" s="2936"/>
      <c r="LAF73" s="2936"/>
      <c r="LAG73" s="2936"/>
      <c r="LAH73" s="2936"/>
      <c r="LAI73" s="2936"/>
      <c r="LAJ73" s="2936"/>
      <c r="LAK73" s="2936"/>
      <c r="LAL73" s="2936"/>
      <c r="LAM73" s="2936"/>
      <c r="LAN73" s="2936"/>
      <c r="LAO73" s="2936"/>
      <c r="LAP73" s="2936"/>
      <c r="LAQ73" s="2936"/>
      <c r="LAR73" s="2936"/>
      <c r="LAS73" s="2936"/>
      <c r="LAT73" s="2936"/>
      <c r="LAU73" s="2936"/>
      <c r="LAV73" s="2936"/>
      <c r="LAW73" s="2936"/>
      <c r="LAX73" s="2936"/>
      <c r="LAY73" s="2936"/>
      <c r="LAZ73" s="2936"/>
      <c r="LBA73" s="2936"/>
      <c r="LBB73" s="2936"/>
      <c r="LBC73" s="2936"/>
      <c r="LBD73" s="2936"/>
      <c r="LBE73" s="2936"/>
      <c r="LBF73" s="2936"/>
      <c r="LBG73" s="2936"/>
      <c r="LBH73" s="2936"/>
      <c r="LBI73" s="2936"/>
      <c r="LBJ73" s="2936"/>
      <c r="LBK73" s="2936"/>
      <c r="LBL73" s="2936"/>
      <c r="LBM73" s="2936"/>
      <c r="LBN73" s="2936"/>
      <c r="LBO73" s="2936"/>
      <c r="LBP73" s="2936"/>
      <c r="LBQ73" s="2936"/>
      <c r="LBR73" s="2936"/>
      <c r="LBS73" s="2936"/>
      <c r="LBT73" s="2936"/>
      <c r="LBU73" s="2936"/>
      <c r="LBV73" s="2936"/>
      <c r="LBW73" s="2936"/>
      <c r="LBX73" s="2936"/>
      <c r="LBY73" s="2936"/>
      <c r="LBZ73" s="2936"/>
      <c r="LCA73" s="2936"/>
      <c r="LCB73" s="2936"/>
      <c r="LCC73" s="2936"/>
      <c r="LCD73" s="2936"/>
      <c r="LCE73" s="2936"/>
      <c r="LCF73" s="2936"/>
      <c r="LCG73" s="2936"/>
      <c r="LCH73" s="2936"/>
      <c r="LCI73" s="2936"/>
      <c r="LCJ73" s="2936"/>
      <c r="LCK73" s="2936"/>
      <c r="LCL73" s="2936"/>
      <c r="LCM73" s="2936"/>
      <c r="LCN73" s="2936"/>
      <c r="LCO73" s="2936"/>
      <c r="LCP73" s="2936"/>
      <c r="LCQ73" s="2936"/>
      <c r="LCR73" s="2936"/>
      <c r="LCS73" s="2936"/>
      <c r="LCT73" s="2936"/>
      <c r="LCU73" s="2936"/>
      <c r="LCV73" s="2936"/>
      <c r="LCW73" s="2936"/>
      <c r="LCX73" s="2936"/>
      <c r="LCY73" s="2936"/>
      <c r="LCZ73" s="2936"/>
      <c r="LDA73" s="2936"/>
      <c r="LDB73" s="2936"/>
      <c r="LDC73" s="2936"/>
      <c r="LDD73" s="2936"/>
      <c r="LDE73" s="2936"/>
      <c r="LDF73" s="2936"/>
      <c r="LDG73" s="2936"/>
      <c r="LDH73" s="2936"/>
      <c r="LDI73" s="2936"/>
      <c r="LDJ73" s="2936"/>
      <c r="LDK73" s="2936"/>
      <c r="LDL73" s="2936"/>
      <c r="LDM73" s="2936"/>
      <c r="LDN73" s="2936"/>
      <c r="LDO73" s="2936"/>
      <c r="LDP73" s="2936"/>
      <c r="LDQ73" s="2936"/>
      <c r="LDR73" s="2936"/>
      <c r="LDS73" s="2936"/>
      <c r="LDT73" s="2936"/>
      <c r="LDU73" s="2936"/>
      <c r="LDV73" s="2936"/>
      <c r="LDW73" s="2936"/>
      <c r="LDX73" s="2936"/>
      <c r="LDY73" s="2936"/>
      <c r="LDZ73" s="2936"/>
      <c r="LEA73" s="2936"/>
      <c r="LEB73" s="2936"/>
      <c r="LEC73" s="2936"/>
      <c r="LED73" s="2936"/>
      <c r="LEE73" s="2936"/>
      <c r="LEF73" s="2936"/>
      <c r="LEG73" s="2936"/>
      <c r="LEH73" s="2936"/>
      <c r="LEI73" s="2936"/>
      <c r="LEJ73" s="2936"/>
      <c r="LEK73" s="2936"/>
      <c r="LEL73" s="2936"/>
      <c r="LEM73" s="2936"/>
      <c r="LEN73" s="2936"/>
      <c r="LEO73" s="2936"/>
      <c r="LEP73" s="2936"/>
      <c r="LEQ73" s="2936"/>
      <c r="LER73" s="2936"/>
      <c r="LES73" s="2936"/>
      <c r="LET73" s="2936"/>
      <c r="LEU73" s="2936"/>
      <c r="LEV73" s="2936"/>
      <c r="LEW73" s="2936"/>
      <c r="LEX73" s="2936"/>
      <c r="LEY73" s="2936"/>
      <c r="LEZ73" s="2936"/>
      <c r="LFA73" s="2936"/>
      <c r="LFB73" s="2936"/>
      <c r="LFC73" s="2936"/>
      <c r="LFD73" s="2936"/>
      <c r="LFE73" s="2936"/>
      <c r="LFF73" s="2936"/>
      <c r="LFG73" s="2936"/>
      <c r="LFH73" s="2936"/>
      <c r="LFI73" s="2936"/>
      <c r="LFJ73" s="2936"/>
      <c r="LFK73" s="2936"/>
      <c r="LFL73" s="2936"/>
      <c r="LFM73" s="2936"/>
      <c r="LFN73" s="2936"/>
      <c r="LFO73" s="2936"/>
      <c r="LFP73" s="2936"/>
      <c r="LFQ73" s="2936"/>
      <c r="LFR73" s="2936"/>
      <c r="LFS73" s="2936"/>
      <c r="LFT73" s="2936"/>
      <c r="LFU73" s="2936"/>
      <c r="LFV73" s="2936"/>
      <c r="LFW73" s="2936"/>
      <c r="LFX73" s="2936"/>
      <c r="LFY73" s="2936"/>
      <c r="LFZ73" s="2936"/>
      <c r="LGA73" s="2936"/>
      <c r="LGB73" s="2936"/>
      <c r="LGC73" s="2936"/>
      <c r="LGD73" s="2936"/>
      <c r="LGE73" s="2936"/>
      <c r="LGF73" s="2936"/>
      <c r="LGG73" s="2936"/>
      <c r="LGH73" s="2936"/>
      <c r="LGI73" s="2936"/>
      <c r="LGJ73" s="2936"/>
      <c r="LGK73" s="2936"/>
      <c r="LGL73" s="2936"/>
      <c r="LGM73" s="2936"/>
      <c r="LGN73" s="2936"/>
      <c r="LGO73" s="2936"/>
      <c r="LGP73" s="2936"/>
      <c r="LGQ73" s="2936"/>
      <c r="LGR73" s="2936"/>
      <c r="LGS73" s="2936"/>
      <c r="LGT73" s="2936"/>
      <c r="LGU73" s="2936"/>
      <c r="LGV73" s="2936"/>
      <c r="LGW73" s="2936"/>
      <c r="LGX73" s="2936"/>
      <c r="LGY73" s="2936"/>
      <c r="LGZ73" s="2936"/>
      <c r="LHA73" s="2936"/>
      <c r="LHB73" s="2936"/>
      <c r="LHC73" s="2936"/>
      <c r="LHD73" s="2936"/>
      <c r="LHE73" s="2936"/>
      <c r="LHF73" s="2936"/>
      <c r="LHG73" s="2936"/>
      <c r="LHH73" s="2936"/>
      <c r="LHI73" s="2936"/>
      <c r="LHJ73" s="2936"/>
      <c r="LHK73" s="2936"/>
      <c r="LHL73" s="2936"/>
      <c r="LHM73" s="2936"/>
      <c r="LHN73" s="2936"/>
      <c r="LHO73" s="2936"/>
      <c r="LHP73" s="2936"/>
      <c r="LHQ73" s="2936"/>
      <c r="LHR73" s="2936"/>
      <c r="LHS73" s="2936"/>
      <c r="LHT73" s="2936"/>
      <c r="LHU73" s="2936"/>
      <c r="LHV73" s="2936"/>
      <c r="LHW73" s="2936"/>
      <c r="LHX73" s="2936"/>
      <c r="LHY73" s="2936"/>
      <c r="LHZ73" s="2936"/>
      <c r="LIA73" s="2936"/>
      <c r="LIB73" s="2936"/>
      <c r="LIC73" s="2936"/>
      <c r="LID73" s="2936"/>
      <c r="LIE73" s="2936"/>
      <c r="LIF73" s="2936"/>
      <c r="LIG73" s="2936"/>
      <c r="LIH73" s="2936"/>
      <c r="LII73" s="2936"/>
      <c r="LIJ73" s="2936"/>
      <c r="LIK73" s="2936"/>
      <c r="LIL73" s="2936"/>
      <c r="LIM73" s="2936"/>
      <c r="LIN73" s="2936"/>
      <c r="LIO73" s="2936"/>
      <c r="LIP73" s="2936"/>
      <c r="LIQ73" s="2936"/>
      <c r="LIR73" s="2936"/>
      <c r="LIS73" s="2936"/>
      <c r="LIT73" s="2936"/>
      <c r="LIU73" s="2936"/>
      <c r="LIV73" s="2936"/>
      <c r="LIW73" s="2936"/>
      <c r="LIX73" s="2936"/>
      <c r="LIY73" s="2936"/>
      <c r="LIZ73" s="2936"/>
      <c r="LJA73" s="2936"/>
      <c r="LJB73" s="2936"/>
      <c r="LJC73" s="2936"/>
      <c r="LJD73" s="2936"/>
      <c r="LJE73" s="2936"/>
      <c r="LJF73" s="2936"/>
      <c r="LJG73" s="2936"/>
      <c r="LJH73" s="2936"/>
      <c r="LJI73" s="2936"/>
      <c r="LJJ73" s="2936"/>
      <c r="LJK73" s="2936"/>
      <c r="LJL73" s="2936"/>
      <c r="LJM73" s="2936"/>
      <c r="LJN73" s="2936"/>
      <c r="LJO73" s="2936"/>
      <c r="LJP73" s="2936"/>
      <c r="LJQ73" s="2936"/>
      <c r="LJR73" s="2936"/>
      <c r="LJS73" s="2936"/>
      <c r="LJT73" s="2936"/>
      <c r="LJU73" s="2936"/>
      <c r="LJV73" s="2936"/>
      <c r="LJW73" s="2936"/>
      <c r="LJX73" s="2936"/>
      <c r="LJY73" s="2936"/>
      <c r="LJZ73" s="2936"/>
      <c r="LKA73" s="2936"/>
      <c r="LKB73" s="2936"/>
      <c r="LKC73" s="2936"/>
      <c r="LKD73" s="2936"/>
      <c r="LKE73" s="2936"/>
      <c r="LKF73" s="2936"/>
      <c r="LKG73" s="2936"/>
      <c r="LKH73" s="2936"/>
      <c r="LKI73" s="2936"/>
      <c r="LKJ73" s="2936"/>
      <c r="LKK73" s="2936"/>
      <c r="LKL73" s="2936"/>
      <c r="LKM73" s="2936"/>
      <c r="LKN73" s="2936"/>
      <c r="LKO73" s="2936"/>
      <c r="LKP73" s="2936"/>
      <c r="LKQ73" s="2936"/>
      <c r="LKR73" s="2936"/>
      <c r="LKS73" s="2936"/>
      <c r="LKT73" s="2936"/>
      <c r="LKU73" s="2936"/>
      <c r="LKV73" s="2936"/>
      <c r="LKW73" s="2936"/>
      <c r="LKX73" s="2936"/>
      <c r="LKY73" s="2936"/>
      <c r="LKZ73" s="2936"/>
      <c r="LLA73" s="2936"/>
      <c r="LLB73" s="2936"/>
      <c r="LLC73" s="2936"/>
      <c r="LLD73" s="2936"/>
      <c r="LLE73" s="2936"/>
      <c r="LLF73" s="2936"/>
      <c r="LLG73" s="2936"/>
      <c r="LLH73" s="2936"/>
      <c r="LLI73" s="2936"/>
      <c r="LLJ73" s="2936"/>
      <c r="LLK73" s="2936"/>
      <c r="LLL73" s="2936"/>
      <c r="LLM73" s="2936"/>
      <c r="LLN73" s="2936"/>
      <c r="LLO73" s="2936"/>
      <c r="LLP73" s="2936"/>
      <c r="LLQ73" s="2936"/>
      <c r="LLR73" s="2936"/>
      <c r="LLS73" s="2936"/>
      <c r="LLT73" s="2936"/>
      <c r="LLU73" s="2936"/>
      <c r="LLV73" s="2936"/>
      <c r="LLW73" s="2936"/>
      <c r="LLX73" s="2936"/>
      <c r="LLY73" s="2936"/>
      <c r="LLZ73" s="2936"/>
      <c r="LMA73" s="2936"/>
      <c r="LMB73" s="2936"/>
      <c r="LMC73" s="2936"/>
      <c r="LMD73" s="2936"/>
      <c r="LME73" s="2936"/>
      <c r="LMF73" s="2936"/>
      <c r="LMG73" s="2936"/>
      <c r="LMH73" s="2936"/>
      <c r="LMI73" s="2936"/>
      <c r="LMJ73" s="2936"/>
      <c r="LMK73" s="2936"/>
      <c r="LML73" s="2936"/>
      <c r="LMM73" s="2936"/>
      <c r="LMN73" s="2936"/>
      <c r="LMO73" s="2936"/>
      <c r="LMP73" s="2936"/>
      <c r="LMQ73" s="2936"/>
      <c r="LMR73" s="2936"/>
      <c r="LMS73" s="2936"/>
      <c r="LMT73" s="2936"/>
      <c r="LMU73" s="2936"/>
      <c r="LMV73" s="2936"/>
      <c r="LMW73" s="2936"/>
      <c r="LMX73" s="2936"/>
      <c r="LMY73" s="2936"/>
      <c r="LMZ73" s="2936"/>
      <c r="LNA73" s="2936"/>
      <c r="LNB73" s="2936"/>
      <c r="LNC73" s="2936"/>
      <c r="LND73" s="2936"/>
      <c r="LNE73" s="2936"/>
      <c r="LNF73" s="2936"/>
      <c r="LNG73" s="2936"/>
      <c r="LNH73" s="2936"/>
      <c r="LNI73" s="2936"/>
      <c r="LNJ73" s="2936"/>
      <c r="LNK73" s="2936"/>
      <c r="LNL73" s="2936"/>
      <c r="LNM73" s="2936"/>
      <c r="LNN73" s="2936"/>
      <c r="LNO73" s="2936"/>
      <c r="LNP73" s="2936"/>
      <c r="LNQ73" s="2936"/>
      <c r="LNR73" s="2936"/>
      <c r="LNS73" s="2936"/>
      <c r="LNT73" s="2936"/>
      <c r="LNU73" s="2936"/>
      <c r="LNV73" s="2936"/>
      <c r="LNW73" s="2936"/>
      <c r="LNX73" s="2936"/>
      <c r="LNY73" s="2936"/>
      <c r="LNZ73" s="2936"/>
      <c r="LOA73" s="2936"/>
      <c r="LOB73" s="2936"/>
      <c r="LOC73" s="2936"/>
      <c r="LOD73" s="2936"/>
      <c r="LOE73" s="2936"/>
      <c r="LOF73" s="2936"/>
      <c r="LOG73" s="2936"/>
      <c r="LOH73" s="2936"/>
      <c r="LOI73" s="2936"/>
      <c r="LOJ73" s="2936"/>
      <c r="LOK73" s="2936"/>
      <c r="LOL73" s="2936"/>
      <c r="LOM73" s="2936"/>
      <c r="LON73" s="2936"/>
      <c r="LOO73" s="2936"/>
      <c r="LOP73" s="2936"/>
      <c r="LOQ73" s="2936"/>
      <c r="LOR73" s="2936"/>
      <c r="LOS73" s="2936"/>
      <c r="LOT73" s="2936"/>
      <c r="LOU73" s="2936"/>
      <c r="LOV73" s="2936"/>
      <c r="LOW73" s="2936"/>
      <c r="LOX73" s="2936"/>
      <c r="LOY73" s="2936"/>
      <c r="LOZ73" s="2936"/>
      <c r="LPA73" s="2936"/>
      <c r="LPB73" s="2936"/>
      <c r="LPC73" s="2936"/>
      <c r="LPD73" s="2936"/>
      <c r="LPE73" s="2936"/>
      <c r="LPF73" s="2936"/>
      <c r="LPG73" s="2936"/>
      <c r="LPH73" s="2936"/>
      <c r="LPI73" s="2936"/>
      <c r="LPJ73" s="2936"/>
      <c r="LPK73" s="2936"/>
      <c r="LPL73" s="2936"/>
      <c r="LPM73" s="2936"/>
      <c r="LPN73" s="2936"/>
      <c r="LPO73" s="2936"/>
      <c r="LPP73" s="2936"/>
      <c r="LPQ73" s="2936"/>
      <c r="LPR73" s="2936"/>
      <c r="LPS73" s="2936"/>
      <c r="LPT73" s="2936"/>
      <c r="LPU73" s="2936"/>
      <c r="LPV73" s="2936"/>
      <c r="LPW73" s="2936"/>
      <c r="LPX73" s="2936"/>
      <c r="LPY73" s="2936"/>
      <c r="LPZ73" s="2936"/>
      <c r="LQA73" s="2936"/>
      <c r="LQB73" s="2936"/>
      <c r="LQC73" s="2936"/>
      <c r="LQD73" s="2936"/>
      <c r="LQE73" s="2936"/>
      <c r="LQF73" s="2936"/>
      <c r="LQG73" s="2936"/>
      <c r="LQH73" s="2936"/>
      <c r="LQI73" s="2936"/>
      <c r="LQJ73" s="2936"/>
      <c r="LQK73" s="2936"/>
      <c r="LQL73" s="2936"/>
      <c r="LQM73" s="2936"/>
      <c r="LQN73" s="2936"/>
      <c r="LQO73" s="2936"/>
      <c r="LQP73" s="2936"/>
      <c r="LQQ73" s="2936"/>
      <c r="LQR73" s="2936"/>
      <c r="LQS73" s="2936"/>
      <c r="LQT73" s="2936"/>
      <c r="LQU73" s="2936"/>
      <c r="LQV73" s="2936"/>
      <c r="LQW73" s="2936"/>
      <c r="LQX73" s="2936"/>
      <c r="LQY73" s="2936"/>
      <c r="LQZ73" s="2936"/>
      <c r="LRA73" s="2936"/>
      <c r="LRB73" s="2936"/>
      <c r="LRC73" s="2936"/>
      <c r="LRD73" s="2936"/>
      <c r="LRE73" s="2936"/>
      <c r="LRF73" s="2936"/>
      <c r="LRG73" s="2936"/>
      <c r="LRH73" s="2936"/>
      <c r="LRI73" s="2936"/>
      <c r="LRJ73" s="2936"/>
      <c r="LRK73" s="2936"/>
      <c r="LRL73" s="2936"/>
      <c r="LRM73" s="2936"/>
      <c r="LRN73" s="2936"/>
      <c r="LRO73" s="2936"/>
      <c r="LRP73" s="2936"/>
      <c r="LRQ73" s="2936"/>
      <c r="LRR73" s="2936"/>
      <c r="LRS73" s="2936"/>
      <c r="LRT73" s="2936"/>
      <c r="LRU73" s="2936"/>
      <c r="LRV73" s="2936"/>
      <c r="LRW73" s="2936"/>
      <c r="LRX73" s="2936"/>
      <c r="LRY73" s="2936"/>
      <c r="LRZ73" s="2936"/>
      <c r="LSA73" s="2936"/>
      <c r="LSB73" s="2936"/>
      <c r="LSC73" s="2936"/>
      <c r="LSD73" s="2936"/>
      <c r="LSE73" s="2936"/>
      <c r="LSF73" s="2936"/>
      <c r="LSG73" s="2936"/>
      <c r="LSH73" s="2936"/>
      <c r="LSI73" s="2936"/>
      <c r="LSJ73" s="2936"/>
      <c r="LSK73" s="2936"/>
      <c r="LSL73" s="2936"/>
      <c r="LSM73" s="2936"/>
      <c r="LSN73" s="2936"/>
      <c r="LSO73" s="2936"/>
      <c r="LSP73" s="2936"/>
      <c r="LSQ73" s="2936"/>
      <c r="LSR73" s="2936"/>
      <c r="LSS73" s="2936"/>
      <c r="LST73" s="2936"/>
      <c r="LSU73" s="2936"/>
      <c r="LSV73" s="2936"/>
      <c r="LSW73" s="2936"/>
      <c r="LSX73" s="2936"/>
      <c r="LSY73" s="2936"/>
      <c r="LSZ73" s="2936"/>
      <c r="LTA73" s="2936"/>
      <c r="LTB73" s="2936"/>
      <c r="LTC73" s="2936"/>
      <c r="LTD73" s="2936"/>
      <c r="LTE73" s="2936"/>
      <c r="LTF73" s="2936"/>
      <c r="LTG73" s="2936"/>
      <c r="LTH73" s="2936"/>
      <c r="LTI73" s="2936"/>
      <c r="LTJ73" s="2936"/>
      <c r="LTK73" s="2936"/>
      <c r="LTL73" s="2936"/>
      <c r="LTM73" s="2936"/>
      <c r="LTN73" s="2936"/>
      <c r="LTO73" s="2936"/>
      <c r="LTP73" s="2936"/>
      <c r="LTQ73" s="2936"/>
      <c r="LTR73" s="2936"/>
      <c r="LTS73" s="2936"/>
      <c r="LTT73" s="2936"/>
      <c r="LTU73" s="2936"/>
      <c r="LTV73" s="2936"/>
      <c r="LTW73" s="2936"/>
      <c r="LTX73" s="2936"/>
      <c r="LTY73" s="2936"/>
      <c r="LTZ73" s="2936"/>
      <c r="LUA73" s="2936"/>
      <c r="LUB73" s="2936"/>
      <c r="LUC73" s="2936"/>
      <c r="LUD73" s="2936"/>
      <c r="LUE73" s="2936"/>
      <c r="LUF73" s="2936"/>
      <c r="LUG73" s="2936"/>
      <c r="LUH73" s="2936"/>
      <c r="LUI73" s="2936"/>
      <c r="LUJ73" s="2936"/>
      <c r="LUK73" s="2936"/>
      <c r="LUL73" s="2936"/>
      <c r="LUM73" s="2936"/>
      <c r="LUN73" s="2936"/>
      <c r="LUO73" s="2936"/>
      <c r="LUP73" s="2936"/>
      <c r="LUQ73" s="2936"/>
      <c r="LUR73" s="2936"/>
      <c r="LUS73" s="2936"/>
      <c r="LUT73" s="2936"/>
      <c r="LUU73" s="2936"/>
      <c r="LUV73" s="2936"/>
      <c r="LUW73" s="2936"/>
      <c r="LUX73" s="2936"/>
      <c r="LUY73" s="2936"/>
      <c r="LUZ73" s="2936"/>
      <c r="LVA73" s="2936"/>
      <c r="LVB73" s="2936"/>
      <c r="LVC73" s="2936"/>
      <c r="LVD73" s="2936"/>
      <c r="LVE73" s="2936"/>
      <c r="LVF73" s="2936"/>
      <c r="LVG73" s="2936"/>
      <c r="LVH73" s="2936"/>
      <c r="LVI73" s="2936"/>
      <c r="LVJ73" s="2936"/>
      <c r="LVK73" s="2936"/>
      <c r="LVL73" s="2936"/>
      <c r="LVM73" s="2936"/>
      <c r="LVN73" s="2936"/>
      <c r="LVO73" s="2936"/>
      <c r="LVP73" s="2936"/>
      <c r="LVQ73" s="2936"/>
      <c r="LVR73" s="2936"/>
      <c r="LVS73" s="2936"/>
      <c r="LVT73" s="2936"/>
      <c r="LVU73" s="2936"/>
      <c r="LVV73" s="2936"/>
      <c r="LVW73" s="2936"/>
      <c r="LVX73" s="2936"/>
      <c r="LVY73" s="2936"/>
      <c r="LVZ73" s="2936"/>
      <c r="LWA73" s="2936"/>
      <c r="LWB73" s="2936"/>
      <c r="LWC73" s="2936"/>
      <c r="LWD73" s="2936"/>
      <c r="LWE73" s="2936"/>
      <c r="LWF73" s="2936"/>
      <c r="LWG73" s="2936"/>
      <c r="LWH73" s="2936"/>
      <c r="LWI73" s="2936"/>
      <c r="LWJ73" s="2936"/>
      <c r="LWK73" s="2936"/>
      <c r="LWL73" s="2936"/>
      <c r="LWM73" s="2936"/>
      <c r="LWN73" s="2936"/>
      <c r="LWO73" s="2936"/>
      <c r="LWP73" s="2936"/>
      <c r="LWQ73" s="2936"/>
      <c r="LWR73" s="2936"/>
      <c r="LWS73" s="2936"/>
      <c r="LWT73" s="2936"/>
      <c r="LWU73" s="2936"/>
      <c r="LWV73" s="2936"/>
      <c r="LWW73" s="2936"/>
      <c r="LWX73" s="2936"/>
      <c r="LWY73" s="2936"/>
      <c r="LWZ73" s="2936"/>
      <c r="LXA73" s="2936"/>
      <c r="LXB73" s="2936"/>
      <c r="LXC73" s="2936"/>
      <c r="LXD73" s="2936"/>
      <c r="LXE73" s="2936"/>
      <c r="LXF73" s="2936"/>
      <c r="LXG73" s="2936"/>
      <c r="LXH73" s="2936"/>
      <c r="LXI73" s="2936"/>
      <c r="LXJ73" s="2936"/>
      <c r="LXK73" s="2936"/>
      <c r="LXL73" s="2936"/>
      <c r="LXM73" s="2936"/>
      <c r="LXN73" s="2936"/>
      <c r="LXO73" s="2936"/>
      <c r="LXP73" s="2936"/>
      <c r="LXQ73" s="2936"/>
      <c r="LXR73" s="2936"/>
      <c r="LXS73" s="2936"/>
      <c r="LXT73" s="2936"/>
      <c r="LXU73" s="2936"/>
      <c r="LXV73" s="2936"/>
      <c r="LXW73" s="2936"/>
      <c r="LXX73" s="2936"/>
      <c r="LXY73" s="2936"/>
      <c r="LXZ73" s="2936"/>
      <c r="LYA73" s="2936"/>
      <c r="LYB73" s="2936"/>
      <c r="LYC73" s="2936"/>
      <c r="LYD73" s="2936"/>
      <c r="LYE73" s="2936"/>
      <c r="LYF73" s="2936"/>
      <c r="LYG73" s="2936"/>
      <c r="LYH73" s="2936"/>
      <c r="LYI73" s="2936"/>
      <c r="LYJ73" s="2936"/>
      <c r="LYK73" s="2936"/>
      <c r="LYL73" s="2936"/>
      <c r="LYM73" s="2936"/>
      <c r="LYN73" s="2936"/>
      <c r="LYO73" s="2936"/>
      <c r="LYP73" s="2936"/>
      <c r="LYQ73" s="2936"/>
      <c r="LYR73" s="2936"/>
      <c r="LYS73" s="2936"/>
      <c r="LYT73" s="2936"/>
      <c r="LYU73" s="2936"/>
      <c r="LYV73" s="2936"/>
      <c r="LYW73" s="2936"/>
      <c r="LYX73" s="2936"/>
      <c r="LYY73" s="2936"/>
      <c r="LYZ73" s="2936"/>
      <c r="LZA73" s="2936"/>
      <c r="LZB73" s="2936"/>
      <c r="LZC73" s="2936"/>
      <c r="LZD73" s="2936"/>
      <c r="LZE73" s="2936"/>
      <c r="LZF73" s="2936"/>
      <c r="LZG73" s="2936"/>
      <c r="LZH73" s="2936"/>
      <c r="LZI73" s="2936"/>
      <c r="LZJ73" s="2936"/>
      <c r="LZK73" s="2936"/>
      <c r="LZL73" s="2936"/>
      <c r="LZM73" s="2936"/>
      <c r="LZN73" s="2936"/>
      <c r="LZO73" s="2936"/>
      <c r="LZP73" s="2936"/>
      <c r="LZQ73" s="2936"/>
      <c r="LZR73" s="2936"/>
      <c r="LZS73" s="2936"/>
      <c r="LZT73" s="2936"/>
      <c r="LZU73" s="2936"/>
      <c r="LZV73" s="2936"/>
      <c r="LZW73" s="2936"/>
      <c r="LZX73" s="2936"/>
      <c r="LZY73" s="2936"/>
      <c r="LZZ73" s="2936"/>
      <c r="MAA73" s="2936"/>
      <c r="MAB73" s="2936"/>
      <c r="MAC73" s="2936"/>
      <c r="MAD73" s="2936"/>
      <c r="MAE73" s="2936"/>
      <c r="MAF73" s="2936"/>
      <c r="MAG73" s="2936"/>
      <c r="MAH73" s="2936"/>
      <c r="MAI73" s="2936"/>
      <c r="MAJ73" s="2936"/>
      <c r="MAK73" s="2936"/>
      <c r="MAL73" s="2936"/>
      <c r="MAM73" s="2936"/>
      <c r="MAN73" s="2936"/>
      <c r="MAO73" s="2936"/>
      <c r="MAP73" s="2936"/>
      <c r="MAQ73" s="2936"/>
      <c r="MAR73" s="2936"/>
      <c r="MAS73" s="2936"/>
      <c r="MAT73" s="2936"/>
      <c r="MAU73" s="2936"/>
      <c r="MAV73" s="2936"/>
      <c r="MAW73" s="2936"/>
      <c r="MAX73" s="2936"/>
      <c r="MAY73" s="2936"/>
      <c r="MAZ73" s="2936"/>
      <c r="MBA73" s="2936"/>
      <c r="MBB73" s="2936"/>
      <c r="MBC73" s="2936"/>
      <c r="MBD73" s="2936"/>
      <c r="MBE73" s="2936"/>
      <c r="MBF73" s="2936"/>
      <c r="MBG73" s="2936"/>
      <c r="MBH73" s="2936"/>
      <c r="MBI73" s="2936"/>
      <c r="MBJ73" s="2936"/>
      <c r="MBK73" s="2936"/>
      <c r="MBL73" s="2936"/>
      <c r="MBM73" s="2936"/>
      <c r="MBN73" s="2936"/>
      <c r="MBO73" s="2936"/>
      <c r="MBP73" s="2936"/>
      <c r="MBQ73" s="2936"/>
      <c r="MBR73" s="2936"/>
      <c r="MBS73" s="2936"/>
      <c r="MBT73" s="2936"/>
      <c r="MBU73" s="2936"/>
      <c r="MBV73" s="2936"/>
      <c r="MBW73" s="2936"/>
      <c r="MBX73" s="2936"/>
      <c r="MBY73" s="2936"/>
      <c r="MBZ73" s="2936"/>
      <c r="MCA73" s="2936"/>
      <c r="MCB73" s="2936"/>
      <c r="MCC73" s="2936"/>
      <c r="MCD73" s="2936"/>
      <c r="MCE73" s="2936"/>
      <c r="MCF73" s="2936"/>
      <c r="MCG73" s="2936"/>
      <c r="MCH73" s="2936"/>
      <c r="MCI73" s="2936"/>
      <c r="MCJ73" s="2936"/>
      <c r="MCK73" s="2936"/>
      <c r="MCL73" s="2936"/>
      <c r="MCM73" s="2936"/>
      <c r="MCN73" s="2936"/>
      <c r="MCO73" s="2936"/>
      <c r="MCP73" s="2936"/>
      <c r="MCQ73" s="2936"/>
      <c r="MCR73" s="2936"/>
      <c r="MCS73" s="2936"/>
      <c r="MCT73" s="2936"/>
      <c r="MCU73" s="2936"/>
      <c r="MCV73" s="2936"/>
      <c r="MCW73" s="2936"/>
      <c r="MCX73" s="2936"/>
      <c r="MCY73" s="2936"/>
      <c r="MCZ73" s="2936"/>
      <c r="MDA73" s="2936"/>
      <c r="MDB73" s="2936"/>
      <c r="MDC73" s="2936"/>
      <c r="MDD73" s="2936"/>
      <c r="MDE73" s="2936"/>
      <c r="MDF73" s="2936"/>
      <c r="MDG73" s="2936"/>
      <c r="MDH73" s="2936"/>
      <c r="MDI73" s="2936"/>
      <c r="MDJ73" s="2936"/>
      <c r="MDK73" s="2936"/>
      <c r="MDL73" s="2936"/>
      <c r="MDM73" s="2936"/>
      <c r="MDN73" s="2936"/>
      <c r="MDO73" s="2936"/>
      <c r="MDP73" s="2936"/>
      <c r="MDQ73" s="2936"/>
      <c r="MDR73" s="2936"/>
      <c r="MDS73" s="2936"/>
      <c r="MDT73" s="2936"/>
      <c r="MDU73" s="2936"/>
      <c r="MDV73" s="2936"/>
      <c r="MDW73" s="2936"/>
      <c r="MDX73" s="2936"/>
      <c r="MDY73" s="2936"/>
      <c r="MDZ73" s="2936"/>
      <c r="MEA73" s="2936"/>
      <c r="MEB73" s="2936"/>
      <c r="MEC73" s="2936"/>
      <c r="MED73" s="2936"/>
      <c r="MEE73" s="2936"/>
      <c r="MEF73" s="2936"/>
      <c r="MEG73" s="2936"/>
      <c r="MEH73" s="2936"/>
      <c r="MEI73" s="2936"/>
      <c r="MEJ73" s="2936"/>
      <c r="MEK73" s="2936"/>
      <c r="MEL73" s="2936"/>
      <c r="MEM73" s="2936"/>
      <c r="MEN73" s="2936"/>
      <c r="MEO73" s="2936"/>
      <c r="MEP73" s="2936"/>
      <c r="MEQ73" s="2936"/>
      <c r="MER73" s="2936"/>
      <c r="MES73" s="2936"/>
      <c r="MET73" s="2936"/>
      <c r="MEU73" s="2936"/>
      <c r="MEV73" s="2936"/>
      <c r="MEW73" s="2936"/>
      <c r="MEX73" s="2936"/>
      <c r="MEY73" s="2936"/>
      <c r="MEZ73" s="2936"/>
      <c r="MFA73" s="2936"/>
      <c r="MFB73" s="2936"/>
      <c r="MFC73" s="2936"/>
      <c r="MFD73" s="2936"/>
      <c r="MFE73" s="2936"/>
      <c r="MFF73" s="2936"/>
      <c r="MFG73" s="2936"/>
      <c r="MFH73" s="2936"/>
      <c r="MFI73" s="2936"/>
      <c r="MFJ73" s="2936"/>
      <c r="MFK73" s="2936"/>
      <c r="MFL73" s="2936"/>
      <c r="MFM73" s="2936"/>
      <c r="MFN73" s="2936"/>
      <c r="MFO73" s="2936"/>
      <c r="MFP73" s="2936"/>
      <c r="MFQ73" s="2936"/>
      <c r="MFR73" s="2936"/>
      <c r="MFS73" s="2936"/>
      <c r="MFT73" s="2936"/>
      <c r="MFU73" s="2936"/>
      <c r="MFV73" s="2936"/>
      <c r="MFW73" s="2936"/>
      <c r="MFX73" s="2936"/>
      <c r="MFY73" s="2936"/>
      <c r="MFZ73" s="2936"/>
      <c r="MGA73" s="2936"/>
      <c r="MGB73" s="2936"/>
      <c r="MGC73" s="2936"/>
      <c r="MGD73" s="2936"/>
      <c r="MGE73" s="2936"/>
      <c r="MGF73" s="2936"/>
      <c r="MGG73" s="2936"/>
      <c r="MGH73" s="2936"/>
      <c r="MGI73" s="2936"/>
      <c r="MGJ73" s="2936"/>
      <c r="MGK73" s="2936"/>
      <c r="MGL73" s="2936"/>
      <c r="MGM73" s="2936"/>
      <c r="MGN73" s="2936"/>
      <c r="MGO73" s="2936"/>
      <c r="MGP73" s="2936"/>
      <c r="MGQ73" s="2936"/>
      <c r="MGR73" s="2936"/>
      <c r="MGS73" s="2936"/>
      <c r="MGT73" s="2936"/>
      <c r="MGU73" s="2936"/>
      <c r="MGV73" s="2936"/>
      <c r="MGW73" s="2936"/>
      <c r="MGX73" s="2936"/>
      <c r="MGY73" s="2936"/>
      <c r="MGZ73" s="2936"/>
      <c r="MHA73" s="2936"/>
      <c r="MHB73" s="2936"/>
      <c r="MHC73" s="2936"/>
      <c r="MHD73" s="2936"/>
      <c r="MHE73" s="2936"/>
      <c r="MHF73" s="2936"/>
      <c r="MHG73" s="2936"/>
      <c r="MHH73" s="2936"/>
      <c r="MHI73" s="2936"/>
      <c r="MHJ73" s="2936"/>
      <c r="MHK73" s="2936"/>
      <c r="MHL73" s="2936"/>
      <c r="MHM73" s="2936"/>
      <c r="MHN73" s="2936"/>
      <c r="MHO73" s="2936"/>
      <c r="MHP73" s="2936"/>
      <c r="MHQ73" s="2936"/>
      <c r="MHR73" s="2936"/>
      <c r="MHS73" s="2936"/>
      <c r="MHT73" s="2936"/>
      <c r="MHU73" s="2936"/>
      <c r="MHV73" s="2936"/>
      <c r="MHW73" s="2936"/>
      <c r="MHX73" s="2936"/>
      <c r="MHY73" s="2936"/>
      <c r="MHZ73" s="2936"/>
      <c r="MIA73" s="2936"/>
      <c r="MIB73" s="2936"/>
      <c r="MIC73" s="2936"/>
      <c r="MID73" s="2936"/>
      <c r="MIE73" s="2936"/>
      <c r="MIF73" s="2936"/>
      <c r="MIG73" s="2936"/>
      <c r="MIH73" s="2936"/>
      <c r="MII73" s="2936"/>
      <c r="MIJ73" s="2936"/>
      <c r="MIK73" s="2936"/>
      <c r="MIL73" s="2936"/>
      <c r="MIM73" s="2936"/>
      <c r="MIN73" s="2936"/>
      <c r="MIO73" s="2936"/>
      <c r="MIP73" s="2936"/>
      <c r="MIQ73" s="2936"/>
      <c r="MIR73" s="2936"/>
      <c r="MIS73" s="2936"/>
      <c r="MIT73" s="2936"/>
      <c r="MIU73" s="2936"/>
      <c r="MIV73" s="2936"/>
      <c r="MIW73" s="2936"/>
      <c r="MIX73" s="2936"/>
      <c r="MIY73" s="2936"/>
      <c r="MIZ73" s="2936"/>
      <c r="MJA73" s="2936"/>
      <c r="MJB73" s="2936"/>
      <c r="MJC73" s="2936"/>
      <c r="MJD73" s="2936"/>
      <c r="MJE73" s="2936"/>
      <c r="MJF73" s="2936"/>
      <c r="MJG73" s="2936"/>
      <c r="MJH73" s="2936"/>
      <c r="MJI73" s="2936"/>
      <c r="MJJ73" s="2936"/>
      <c r="MJK73" s="2936"/>
      <c r="MJL73" s="2936"/>
      <c r="MJM73" s="2936"/>
      <c r="MJN73" s="2936"/>
      <c r="MJO73" s="2936"/>
      <c r="MJP73" s="2936"/>
      <c r="MJQ73" s="2936"/>
      <c r="MJR73" s="2936"/>
      <c r="MJS73" s="2936"/>
      <c r="MJT73" s="2936"/>
      <c r="MJU73" s="2936"/>
      <c r="MJV73" s="2936"/>
      <c r="MJW73" s="2936"/>
      <c r="MJX73" s="2936"/>
      <c r="MJY73" s="2936"/>
      <c r="MJZ73" s="2936"/>
      <c r="MKA73" s="2936"/>
      <c r="MKB73" s="2936"/>
      <c r="MKC73" s="2936"/>
      <c r="MKD73" s="2936"/>
      <c r="MKE73" s="2936"/>
      <c r="MKF73" s="2936"/>
      <c r="MKG73" s="2936"/>
      <c r="MKH73" s="2936"/>
      <c r="MKI73" s="2936"/>
      <c r="MKJ73" s="2936"/>
      <c r="MKK73" s="2936"/>
      <c r="MKL73" s="2936"/>
      <c r="MKM73" s="2936"/>
      <c r="MKN73" s="2936"/>
      <c r="MKO73" s="2936"/>
      <c r="MKP73" s="2936"/>
      <c r="MKQ73" s="2936"/>
      <c r="MKR73" s="2936"/>
      <c r="MKS73" s="2936"/>
      <c r="MKT73" s="2936"/>
      <c r="MKU73" s="2936"/>
      <c r="MKV73" s="2936"/>
      <c r="MKW73" s="2936"/>
      <c r="MKX73" s="2936"/>
      <c r="MKY73" s="2936"/>
      <c r="MKZ73" s="2936"/>
      <c r="MLA73" s="2936"/>
      <c r="MLB73" s="2936"/>
      <c r="MLC73" s="2936"/>
      <c r="MLD73" s="2936"/>
      <c r="MLE73" s="2936"/>
      <c r="MLF73" s="2936"/>
      <c r="MLG73" s="2936"/>
      <c r="MLH73" s="2936"/>
      <c r="MLI73" s="2936"/>
      <c r="MLJ73" s="2936"/>
      <c r="MLK73" s="2936"/>
      <c r="MLL73" s="2936"/>
      <c r="MLM73" s="2936"/>
      <c r="MLN73" s="2936"/>
      <c r="MLO73" s="2936"/>
      <c r="MLP73" s="2936"/>
      <c r="MLQ73" s="2936"/>
      <c r="MLR73" s="2936"/>
      <c r="MLS73" s="2936"/>
      <c r="MLT73" s="2936"/>
      <c r="MLU73" s="2936"/>
      <c r="MLV73" s="2936"/>
      <c r="MLW73" s="2936"/>
      <c r="MLX73" s="2936"/>
      <c r="MLY73" s="2936"/>
      <c r="MLZ73" s="2936"/>
      <c r="MMA73" s="2936"/>
      <c r="MMB73" s="2936"/>
      <c r="MMC73" s="2936"/>
      <c r="MMD73" s="2936"/>
      <c r="MME73" s="2936"/>
      <c r="MMF73" s="2936"/>
      <c r="MMG73" s="2936"/>
      <c r="MMH73" s="2936"/>
      <c r="MMI73" s="2936"/>
      <c r="MMJ73" s="2936"/>
      <c r="MMK73" s="2936"/>
      <c r="MML73" s="2936"/>
      <c r="MMM73" s="2936"/>
      <c r="MMN73" s="2936"/>
      <c r="MMO73" s="2936"/>
      <c r="MMP73" s="2936"/>
      <c r="MMQ73" s="2936"/>
      <c r="MMR73" s="2936"/>
      <c r="MMS73" s="2936"/>
      <c r="MMT73" s="2936"/>
      <c r="MMU73" s="2936"/>
      <c r="MMV73" s="2936"/>
      <c r="MMW73" s="2936"/>
      <c r="MMX73" s="2936"/>
      <c r="MMY73" s="2936"/>
      <c r="MMZ73" s="2936"/>
      <c r="MNA73" s="2936"/>
      <c r="MNB73" s="2936"/>
      <c r="MNC73" s="2936"/>
      <c r="MND73" s="2936"/>
      <c r="MNE73" s="2936"/>
      <c r="MNF73" s="2936"/>
      <c r="MNG73" s="2936"/>
      <c r="MNH73" s="2936"/>
      <c r="MNI73" s="2936"/>
      <c r="MNJ73" s="2936"/>
      <c r="MNK73" s="2936"/>
      <c r="MNL73" s="2936"/>
      <c r="MNM73" s="2936"/>
      <c r="MNN73" s="2936"/>
      <c r="MNO73" s="2936"/>
      <c r="MNP73" s="2936"/>
      <c r="MNQ73" s="2936"/>
      <c r="MNR73" s="2936"/>
      <c r="MNS73" s="2936"/>
      <c r="MNT73" s="2936"/>
      <c r="MNU73" s="2936"/>
      <c r="MNV73" s="2936"/>
      <c r="MNW73" s="2936"/>
      <c r="MNX73" s="2936"/>
      <c r="MNY73" s="2936"/>
      <c r="MNZ73" s="2936"/>
      <c r="MOA73" s="2936"/>
      <c r="MOB73" s="2936"/>
      <c r="MOC73" s="2936"/>
      <c r="MOD73" s="2936"/>
      <c r="MOE73" s="2936"/>
      <c r="MOF73" s="2936"/>
      <c r="MOG73" s="2936"/>
      <c r="MOH73" s="2936"/>
      <c r="MOI73" s="2936"/>
      <c r="MOJ73" s="2936"/>
      <c r="MOK73" s="2936"/>
      <c r="MOL73" s="2936"/>
      <c r="MOM73" s="2936"/>
      <c r="MON73" s="2936"/>
      <c r="MOO73" s="2936"/>
      <c r="MOP73" s="2936"/>
      <c r="MOQ73" s="2936"/>
      <c r="MOR73" s="2936"/>
      <c r="MOS73" s="2936"/>
      <c r="MOT73" s="2936"/>
      <c r="MOU73" s="2936"/>
      <c r="MOV73" s="2936"/>
      <c r="MOW73" s="2936"/>
      <c r="MOX73" s="2936"/>
      <c r="MOY73" s="2936"/>
      <c r="MOZ73" s="2936"/>
      <c r="MPA73" s="2936"/>
      <c r="MPB73" s="2936"/>
      <c r="MPC73" s="2936"/>
      <c r="MPD73" s="2936"/>
      <c r="MPE73" s="2936"/>
      <c r="MPF73" s="2936"/>
      <c r="MPG73" s="2936"/>
      <c r="MPH73" s="2936"/>
      <c r="MPI73" s="2936"/>
      <c r="MPJ73" s="2936"/>
      <c r="MPK73" s="2936"/>
      <c r="MPL73" s="2936"/>
      <c r="MPM73" s="2936"/>
      <c r="MPN73" s="2936"/>
      <c r="MPO73" s="2936"/>
      <c r="MPP73" s="2936"/>
      <c r="MPQ73" s="2936"/>
      <c r="MPR73" s="2936"/>
      <c r="MPS73" s="2936"/>
      <c r="MPT73" s="2936"/>
      <c r="MPU73" s="2936"/>
      <c r="MPV73" s="2936"/>
      <c r="MPW73" s="2936"/>
      <c r="MPX73" s="2936"/>
      <c r="MPY73" s="2936"/>
      <c r="MPZ73" s="2936"/>
      <c r="MQA73" s="2936"/>
      <c r="MQB73" s="2936"/>
      <c r="MQC73" s="2936"/>
      <c r="MQD73" s="2936"/>
      <c r="MQE73" s="2936"/>
      <c r="MQF73" s="2936"/>
      <c r="MQG73" s="2936"/>
      <c r="MQH73" s="2936"/>
      <c r="MQI73" s="2936"/>
      <c r="MQJ73" s="2936"/>
      <c r="MQK73" s="2936"/>
      <c r="MQL73" s="2936"/>
      <c r="MQM73" s="2936"/>
      <c r="MQN73" s="2936"/>
      <c r="MQO73" s="2936"/>
      <c r="MQP73" s="2936"/>
      <c r="MQQ73" s="2936"/>
      <c r="MQR73" s="2936"/>
      <c r="MQS73" s="2936"/>
      <c r="MQT73" s="2936"/>
      <c r="MQU73" s="2936"/>
      <c r="MQV73" s="2936"/>
      <c r="MQW73" s="2936"/>
      <c r="MQX73" s="2936"/>
      <c r="MQY73" s="2936"/>
      <c r="MQZ73" s="2936"/>
      <c r="MRA73" s="2936"/>
      <c r="MRB73" s="2936"/>
      <c r="MRC73" s="2936"/>
      <c r="MRD73" s="2936"/>
      <c r="MRE73" s="2936"/>
      <c r="MRF73" s="2936"/>
      <c r="MRG73" s="2936"/>
      <c r="MRH73" s="2936"/>
      <c r="MRI73" s="2936"/>
      <c r="MRJ73" s="2936"/>
      <c r="MRK73" s="2936"/>
      <c r="MRL73" s="2936"/>
      <c r="MRM73" s="2936"/>
      <c r="MRN73" s="2936"/>
      <c r="MRO73" s="2936"/>
      <c r="MRP73" s="2936"/>
      <c r="MRQ73" s="2936"/>
      <c r="MRR73" s="2936"/>
      <c r="MRS73" s="2936"/>
      <c r="MRT73" s="2936"/>
      <c r="MRU73" s="2936"/>
      <c r="MRV73" s="2936"/>
      <c r="MRW73" s="2936"/>
      <c r="MRX73" s="2936"/>
      <c r="MRY73" s="2936"/>
      <c r="MRZ73" s="2936"/>
      <c r="MSA73" s="2936"/>
      <c r="MSB73" s="2936"/>
      <c r="MSC73" s="2936"/>
      <c r="MSD73" s="2936"/>
      <c r="MSE73" s="2936"/>
      <c r="MSF73" s="2936"/>
      <c r="MSG73" s="2936"/>
      <c r="MSH73" s="2936"/>
      <c r="MSI73" s="2936"/>
      <c r="MSJ73" s="2936"/>
      <c r="MSK73" s="2936"/>
      <c r="MSL73" s="2936"/>
      <c r="MSM73" s="2936"/>
      <c r="MSN73" s="2936"/>
      <c r="MSO73" s="2936"/>
      <c r="MSP73" s="2936"/>
      <c r="MSQ73" s="2936"/>
      <c r="MSR73" s="2936"/>
      <c r="MSS73" s="2936"/>
      <c r="MST73" s="2936"/>
      <c r="MSU73" s="2936"/>
      <c r="MSV73" s="2936"/>
      <c r="MSW73" s="2936"/>
      <c r="MSX73" s="2936"/>
      <c r="MSY73" s="2936"/>
      <c r="MSZ73" s="2936"/>
      <c r="MTA73" s="2936"/>
      <c r="MTB73" s="2936"/>
      <c r="MTC73" s="2936"/>
      <c r="MTD73" s="2936"/>
      <c r="MTE73" s="2936"/>
      <c r="MTF73" s="2936"/>
      <c r="MTG73" s="2936"/>
      <c r="MTH73" s="2936"/>
      <c r="MTI73" s="2936"/>
      <c r="MTJ73" s="2936"/>
      <c r="MTK73" s="2936"/>
      <c r="MTL73" s="2936"/>
      <c r="MTM73" s="2936"/>
      <c r="MTN73" s="2936"/>
      <c r="MTO73" s="2936"/>
      <c r="MTP73" s="2936"/>
      <c r="MTQ73" s="2936"/>
      <c r="MTR73" s="2936"/>
      <c r="MTS73" s="2936"/>
      <c r="MTT73" s="2936"/>
      <c r="MTU73" s="2936"/>
      <c r="MTV73" s="2936"/>
      <c r="MTW73" s="2936"/>
      <c r="MTX73" s="2936"/>
      <c r="MTY73" s="2936"/>
      <c r="MTZ73" s="2936"/>
      <c r="MUA73" s="2936"/>
      <c r="MUB73" s="2936"/>
      <c r="MUC73" s="2936"/>
      <c r="MUD73" s="2936"/>
      <c r="MUE73" s="2936"/>
      <c r="MUF73" s="2936"/>
      <c r="MUG73" s="2936"/>
      <c r="MUH73" s="2936"/>
      <c r="MUI73" s="2936"/>
      <c r="MUJ73" s="2936"/>
      <c r="MUK73" s="2936"/>
      <c r="MUL73" s="2936"/>
      <c r="MUM73" s="2936"/>
      <c r="MUN73" s="2936"/>
      <c r="MUO73" s="2936"/>
      <c r="MUP73" s="2936"/>
      <c r="MUQ73" s="2936"/>
      <c r="MUR73" s="2936"/>
      <c r="MUS73" s="2936"/>
      <c r="MUT73" s="2936"/>
      <c r="MUU73" s="2936"/>
      <c r="MUV73" s="2936"/>
      <c r="MUW73" s="2936"/>
      <c r="MUX73" s="2936"/>
      <c r="MUY73" s="2936"/>
      <c r="MUZ73" s="2936"/>
      <c r="MVA73" s="2936"/>
      <c r="MVB73" s="2936"/>
      <c r="MVC73" s="2936"/>
      <c r="MVD73" s="2936"/>
      <c r="MVE73" s="2936"/>
      <c r="MVF73" s="2936"/>
      <c r="MVG73" s="2936"/>
      <c r="MVH73" s="2936"/>
      <c r="MVI73" s="2936"/>
      <c r="MVJ73" s="2936"/>
      <c r="MVK73" s="2936"/>
      <c r="MVL73" s="2936"/>
      <c r="MVM73" s="2936"/>
      <c r="MVN73" s="2936"/>
      <c r="MVO73" s="2936"/>
      <c r="MVP73" s="2936"/>
      <c r="MVQ73" s="2936"/>
      <c r="MVR73" s="2936"/>
      <c r="MVS73" s="2936"/>
      <c r="MVT73" s="2936"/>
      <c r="MVU73" s="2936"/>
      <c r="MVV73" s="2936"/>
      <c r="MVW73" s="2936"/>
      <c r="MVX73" s="2936"/>
      <c r="MVY73" s="2936"/>
      <c r="MVZ73" s="2936"/>
      <c r="MWA73" s="2936"/>
      <c r="MWB73" s="2936"/>
      <c r="MWC73" s="2936"/>
      <c r="MWD73" s="2936"/>
      <c r="MWE73" s="2936"/>
      <c r="MWF73" s="2936"/>
      <c r="MWG73" s="2936"/>
      <c r="MWH73" s="2936"/>
      <c r="MWI73" s="2936"/>
      <c r="MWJ73" s="2936"/>
      <c r="MWK73" s="2936"/>
      <c r="MWL73" s="2936"/>
      <c r="MWM73" s="2936"/>
      <c r="MWN73" s="2936"/>
      <c r="MWO73" s="2936"/>
      <c r="MWP73" s="2936"/>
      <c r="MWQ73" s="2936"/>
      <c r="MWR73" s="2936"/>
      <c r="MWS73" s="2936"/>
      <c r="MWT73" s="2936"/>
      <c r="MWU73" s="2936"/>
      <c r="MWV73" s="2936"/>
      <c r="MWW73" s="2936"/>
      <c r="MWX73" s="2936"/>
      <c r="MWY73" s="2936"/>
      <c r="MWZ73" s="2936"/>
      <c r="MXA73" s="2936"/>
      <c r="MXB73" s="2936"/>
      <c r="MXC73" s="2936"/>
      <c r="MXD73" s="2936"/>
      <c r="MXE73" s="2936"/>
      <c r="MXF73" s="2936"/>
      <c r="MXG73" s="2936"/>
      <c r="MXH73" s="2936"/>
      <c r="MXI73" s="2936"/>
      <c r="MXJ73" s="2936"/>
      <c r="MXK73" s="2936"/>
      <c r="MXL73" s="2936"/>
      <c r="MXM73" s="2936"/>
      <c r="MXN73" s="2936"/>
      <c r="MXO73" s="2936"/>
      <c r="MXP73" s="2936"/>
      <c r="MXQ73" s="2936"/>
      <c r="MXR73" s="2936"/>
      <c r="MXS73" s="2936"/>
      <c r="MXT73" s="2936"/>
      <c r="MXU73" s="2936"/>
      <c r="MXV73" s="2936"/>
      <c r="MXW73" s="2936"/>
      <c r="MXX73" s="2936"/>
      <c r="MXY73" s="2936"/>
      <c r="MXZ73" s="2936"/>
      <c r="MYA73" s="2936"/>
      <c r="MYB73" s="2936"/>
      <c r="MYC73" s="2936"/>
      <c r="MYD73" s="2936"/>
      <c r="MYE73" s="2936"/>
      <c r="MYF73" s="2936"/>
      <c r="MYG73" s="2936"/>
      <c r="MYH73" s="2936"/>
      <c r="MYI73" s="2936"/>
      <c r="MYJ73" s="2936"/>
      <c r="MYK73" s="2936"/>
      <c r="MYL73" s="2936"/>
      <c r="MYM73" s="2936"/>
      <c r="MYN73" s="2936"/>
      <c r="MYO73" s="2936"/>
      <c r="MYP73" s="2936"/>
      <c r="MYQ73" s="2936"/>
      <c r="MYR73" s="2936"/>
      <c r="MYS73" s="2936"/>
      <c r="MYT73" s="2936"/>
      <c r="MYU73" s="2936"/>
      <c r="MYV73" s="2936"/>
      <c r="MYW73" s="2936"/>
      <c r="MYX73" s="2936"/>
      <c r="MYY73" s="2936"/>
      <c r="MYZ73" s="2936"/>
      <c r="MZA73" s="2936"/>
      <c r="MZB73" s="2936"/>
      <c r="MZC73" s="2936"/>
      <c r="MZD73" s="2936"/>
      <c r="MZE73" s="2936"/>
      <c r="MZF73" s="2936"/>
      <c r="MZG73" s="2936"/>
      <c r="MZH73" s="2936"/>
      <c r="MZI73" s="2936"/>
      <c r="MZJ73" s="2936"/>
      <c r="MZK73" s="2936"/>
      <c r="MZL73" s="2936"/>
      <c r="MZM73" s="2936"/>
      <c r="MZN73" s="2936"/>
      <c r="MZO73" s="2936"/>
      <c r="MZP73" s="2936"/>
      <c r="MZQ73" s="2936"/>
      <c r="MZR73" s="2936"/>
      <c r="MZS73" s="2936"/>
      <c r="MZT73" s="2936"/>
      <c r="MZU73" s="2936"/>
      <c r="MZV73" s="2936"/>
      <c r="MZW73" s="2936"/>
      <c r="MZX73" s="2936"/>
      <c r="MZY73" s="2936"/>
      <c r="MZZ73" s="2936"/>
      <c r="NAA73" s="2936"/>
      <c r="NAB73" s="2936"/>
      <c r="NAC73" s="2936"/>
      <c r="NAD73" s="2936"/>
      <c r="NAE73" s="2936"/>
      <c r="NAF73" s="2936"/>
      <c r="NAG73" s="2936"/>
      <c r="NAH73" s="2936"/>
      <c r="NAI73" s="2936"/>
      <c r="NAJ73" s="2936"/>
      <c r="NAK73" s="2936"/>
      <c r="NAL73" s="2936"/>
      <c r="NAM73" s="2936"/>
      <c r="NAN73" s="2936"/>
      <c r="NAO73" s="2936"/>
      <c r="NAP73" s="2936"/>
      <c r="NAQ73" s="2936"/>
      <c r="NAR73" s="2936"/>
      <c r="NAS73" s="2936"/>
      <c r="NAT73" s="2936"/>
      <c r="NAU73" s="2936"/>
      <c r="NAV73" s="2936"/>
      <c r="NAW73" s="2936"/>
      <c r="NAX73" s="2936"/>
      <c r="NAY73" s="2936"/>
      <c r="NAZ73" s="2936"/>
      <c r="NBA73" s="2936"/>
      <c r="NBB73" s="2936"/>
      <c r="NBC73" s="2936"/>
      <c r="NBD73" s="2936"/>
      <c r="NBE73" s="2936"/>
      <c r="NBF73" s="2936"/>
      <c r="NBG73" s="2936"/>
      <c r="NBH73" s="2936"/>
      <c r="NBI73" s="2936"/>
      <c r="NBJ73" s="2936"/>
      <c r="NBK73" s="2936"/>
      <c r="NBL73" s="2936"/>
      <c r="NBM73" s="2936"/>
      <c r="NBN73" s="2936"/>
      <c r="NBO73" s="2936"/>
      <c r="NBP73" s="2936"/>
      <c r="NBQ73" s="2936"/>
      <c r="NBR73" s="2936"/>
      <c r="NBS73" s="2936"/>
      <c r="NBT73" s="2936"/>
      <c r="NBU73" s="2936"/>
      <c r="NBV73" s="2936"/>
      <c r="NBW73" s="2936"/>
      <c r="NBX73" s="2936"/>
      <c r="NBY73" s="2936"/>
      <c r="NBZ73" s="2936"/>
      <c r="NCA73" s="2936"/>
      <c r="NCB73" s="2936"/>
      <c r="NCC73" s="2936"/>
      <c r="NCD73" s="2936"/>
      <c r="NCE73" s="2936"/>
      <c r="NCF73" s="2936"/>
      <c r="NCG73" s="2936"/>
      <c r="NCH73" s="2936"/>
      <c r="NCI73" s="2936"/>
      <c r="NCJ73" s="2936"/>
      <c r="NCK73" s="2936"/>
      <c r="NCL73" s="2936"/>
      <c r="NCM73" s="2936"/>
      <c r="NCN73" s="2936"/>
      <c r="NCO73" s="2936"/>
      <c r="NCP73" s="2936"/>
      <c r="NCQ73" s="2936"/>
      <c r="NCR73" s="2936"/>
      <c r="NCS73" s="2936"/>
      <c r="NCT73" s="2936"/>
      <c r="NCU73" s="2936"/>
      <c r="NCV73" s="2936"/>
      <c r="NCW73" s="2936"/>
      <c r="NCX73" s="2936"/>
      <c r="NCY73" s="2936"/>
      <c r="NCZ73" s="2936"/>
      <c r="NDA73" s="2936"/>
      <c r="NDB73" s="2936"/>
      <c r="NDC73" s="2936"/>
      <c r="NDD73" s="2936"/>
      <c r="NDE73" s="2936"/>
      <c r="NDF73" s="2936"/>
      <c r="NDG73" s="2936"/>
      <c r="NDH73" s="2936"/>
      <c r="NDI73" s="2936"/>
      <c r="NDJ73" s="2936"/>
      <c r="NDK73" s="2936"/>
      <c r="NDL73" s="2936"/>
      <c r="NDM73" s="2936"/>
      <c r="NDN73" s="2936"/>
      <c r="NDO73" s="2936"/>
      <c r="NDP73" s="2936"/>
      <c r="NDQ73" s="2936"/>
      <c r="NDR73" s="2936"/>
      <c r="NDS73" s="2936"/>
      <c r="NDT73" s="2936"/>
      <c r="NDU73" s="2936"/>
      <c r="NDV73" s="2936"/>
      <c r="NDW73" s="2936"/>
      <c r="NDX73" s="2936"/>
      <c r="NDY73" s="2936"/>
      <c r="NDZ73" s="2936"/>
      <c r="NEA73" s="2936"/>
      <c r="NEB73" s="2936"/>
      <c r="NEC73" s="2936"/>
      <c r="NED73" s="2936"/>
      <c r="NEE73" s="2936"/>
      <c r="NEF73" s="2936"/>
      <c r="NEG73" s="2936"/>
      <c r="NEH73" s="2936"/>
      <c r="NEI73" s="2936"/>
      <c r="NEJ73" s="2936"/>
      <c r="NEK73" s="2936"/>
      <c r="NEL73" s="2936"/>
      <c r="NEM73" s="2936"/>
      <c r="NEN73" s="2936"/>
      <c r="NEO73" s="2936"/>
      <c r="NEP73" s="2936"/>
      <c r="NEQ73" s="2936"/>
      <c r="NER73" s="2936"/>
      <c r="NES73" s="2936"/>
      <c r="NET73" s="2936"/>
      <c r="NEU73" s="2936"/>
      <c r="NEV73" s="2936"/>
      <c r="NEW73" s="2936"/>
      <c r="NEX73" s="2936"/>
      <c r="NEY73" s="2936"/>
      <c r="NEZ73" s="2936"/>
      <c r="NFA73" s="2936"/>
      <c r="NFB73" s="2936"/>
      <c r="NFC73" s="2936"/>
      <c r="NFD73" s="2936"/>
      <c r="NFE73" s="2936"/>
      <c r="NFF73" s="2936"/>
      <c r="NFG73" s="2936"/>
      <c r="NFH73" s="2936"/>
      <c r="NFI73" s="2936"/>
      <c r="NFJ73" s="2936"/>
      <c r="NFK73" s="2936"/>
      <c r="NFL73" s="2936"/>
      <c r="NFM73" s="2936"/>
      <c r="NFN73" s="2936"/>
      <c r="NFO73" s="2936"/>
      <c r="NFP73" s="2936"/>
      <c r="NFQ73" s="2936"/>
      <c r="NFR73" s="2936"/>
      <c r="NFS73" s="2936"/>
      <c r="NFT73" s="2936"/>
      <c r="NFU73" s="2936"/>
      <c r="NFV73" s="2936"/>
      <c r="NFW73" s="2936"/>
      <c r="NFX73" s="2936"/>
      <c r="NFY73" s="2936"/>
      <c r="NFZ73" s="2936"/>
      <c r="NGA73" s="2936"/>
      <c r="NGB73" s="2936"/>
      <c r="NGC73" s="2936"/>
      <c r="NGD73" s="2936"/>
      <c r="NGE73" s="2936"/>
      <c r="NGF73" s="2936"/>
      <c r="NGG73" s="2936"/>
      <c r="NGH73" s="2936"/>
      <c r="NGI73" s="2936"/>
      <c r="NGJ73" s="2936"/>
      <c r="NGK73" s="2936"/>
      <c r="NGL73" s="2936"/>
      <c r="NGM73" s="2936"/>
      <c r="NGN73" s="2936"/>
      <c r="NGO73" s="2936"/>
      <c r="NGP73" s="2936"/>
      <c r="NGQ73" s="2936"/>
      <c r="NGR73" s="2936"/>
      <c r="NGS73" s="2936"/>
      <c r="NGT73" s="2936"/>
      <c r="NGU73" s="2936"/>
      <c r="NGV73" s="2936"/>
      <c r="NGW73" s="2936"/>
      <c r="NGX73" s="2936"/>
      <c r="NGY73" s="2936"/>
      <c r="NGZ73" s="2936"/>
      <c r="NHA73" s="2936"/>
      <c r="NHB73" s="2936"/>
      <c r="NHC73" s="2936"/>
      <c r="NHD73" s="2936"/>
      <c r="NHE73" s="2936"/>
      <c r="NHF73" s="2936"/>
      <c r="NHG73" s="2936"/>
      <c r="NHH73" s="2936"/>
      <c r="NHI73" s="2936"/>
      <c r="NHJ73" s="2936"/>
      <c r="NHK73" s="2936"/>
      <c r="NHL73" s="2936"/>
      <c r="NHM73" s="2936"/>
      <c r="NHN73" s="2936"/>
      <c r="NHO73" s="2936"/>
      <c r="NHP73" s="2936"/>
      <c r="NHQ73" s="2936"/>
      <c r="NHR73" s="2936"/>
      <c r="NHS73" s="2936"/>
      <c r="NHT73" s="2936"/>
      <c r="NHU73" s="2936"/>
      <c r="NHV73" s="2936"/>
      <c r="NHW73" s="2936"/>
      <c r="NHX73" s="2936"/>
      <c r="NHY73" s="2936"/>
      <c r="NHZ73" s="2936"/>
      <c r="NIA73" s="2936"/>
      <c r="NIB73" s="2936"/>
      <c r="NIC73" s="2936"/>
      <c r="NID73" s="2936"/>
      <c r="NIE73" s="2936"/>
      <c r="NIF73" s="2936"/>
      <c r="NIG73" s="2936"/>
      <c r="NIH73" s="2936"/>
      <c r="NII73" s="2936"/>
      <c r="NIJ73" s="2936"/>
      <c r="NIK73" s="2936"/>
      <c r="NIL73" s="2936"/>
      <c r="NIM73" s="2936"/>
      <c r="NIN73" s="2936"/>
      <c r="NIO73" s="2936"/>
      <c r="NIP73" s="2936"/>
      <c r="NIQ73" s="2936"/>
      <c r="NIR73" s="2936"/>
      <c r="NIS73" s="2936"/>
      <c r="NIT73" s="2936"/>
      <c r="NIU73" s="2936"/>
      <c r="NIV73" s="2936"/>
      <c r="NIW73" s="2936"/>
      <c r="NIX73" s="2936"/>
      <c r="NIY73" s="2936"/>
      <c r="NIZ73" s="2936"/>
      <c r="NJA73" s="2936"/>
      <c r="NJB73" s="2936"/>
      <c r="NJC73" s="2936"/>
      <c r="NJD73" s="2936"/>
      <c r="NJE73" s="2936"/>
      <c r="NJF73" s="2936"/>
      <c r="NJG73" s="2936"/>
      <c r="NJH73" s="2936"/>
      <c r="NJI73" s="2936"/>
      <c r="NJJ73" s="2936"/>
      <c r="NJK73" s="2936"/>
      <c r="NJL73" s="2936"/>
      <c r="NJM73" s="2936"/>
      <c r="NJN73" s="2936"/>
      <c r="NJO73" s="2936"/>
      <c r="NJP73" s="2936"/>
      <c r="NJQ73" s="2936"/>
      <c r="NJR73" s="2936"/>
      <c r="NJS73" s="2936"/>
      <c r="NJT73" s="2936"/>
      <c r="NJU73" s="2936"/>
      <c r="NJV73" s="2936"/>
      <c r="NJW73" s="2936"/>
      <c r="NJX73" s="2936"/>
      <c r="NJY73" s="2936"/>
      <c r="NJZ73" s="2936"/>
      <c r="NKA73" s="2936"/>
      <c r="NKB73" s="2936"/>
      <c r="NKC73" s="2936"/>
      <c r="NKD73" s="2936"/>
      <c r="NKE73" s="2936"/>
      <c r="NKF73" s="2936"/>
      <c r="NKG73" s="2936"/>
      <c r="NKH73" s="2936"/>
      <c r="NKI73" s="2936"/>
      <c r="NKJ73" s="2936"/>
      <c r="NKK73" s="2936"/>
      <c r="NKL73" s="2936"/>
      <c r="NKM73" s="2936"/>
      <c r="NKN73" s="2936"/>
      <c r="NKO73" s="2936"/>
      <c r="NKP73" s="2936"/>
      <c r="NKQ73" s="2936"/>
      <c r="NKR73" s="2936"/>
      <c r="NKS73" s="2936"/>
      <c r="NKT73" s="2936"/>
      <c r="NKU73" s="2936"/>
      <c r="NKV73" s="2936"/>
      <c r="NKW73" s="2936"/>
      <c r="NKX73" s="2936"/>
      <c r="NKY73" s="2936"/>
      <c r="NKZ73" s="2936"/>
      <c r="NLA73" s="2936"/>
      <c r="NLB73" s="2936"/>
      <c r="NLC73" s="2936"/>
      <c r="NLD73" s="2936"/>
      <c r="NLE73" s="2936"/>
      <c r="NLF73" s="2936"/>
      <c r="NLG73" s="2936"/>
      <c r="NLH73" s="2936"/>
      <c r="NLI73" s="2936"/>
      <c r="NLJ73" s="2936"/>
      <c r="NLK73" s="2936"/>
      <c r="NLL73" s="2936"/>
      <c r="NLM73" s="2936"/>
      <c r="NLN73" s="2936"/>
      <c r="NLO73" s="2936"/>
      <c r="NLP73" s="2936"/>
      <c r="NLQ73" s="2936"/>
      <c r="NLR73" s="2936"/>
      <c r="NLS73" s="2936"/>
      <c r="NLT73" s="2936"/>
      <c r="NLU73" s="2936"/>
      <c r="NLV73" s="2936"/>
      <c r="NLW73" s="2936"/>
      <c r="NLX73" s="2936"/>
      <c r="NLY73" s="2936"/>
      <c r="NLZ73" s="2936"/>
      <c r="NMA73" s="2936"/>
      <c r="NMB73" s="2936"/>
      <c r="NMC73" s="2936"/>
      <c r="NMD73" s="2936"/>
      <c r="NME73" s="2936"/>
      <c r="NMF73" s="2936"/>
      <c r="NMG73" s="2936"/>
      <c r="NMH73" s="2936"/>
      <c r="NMI73" s="2936"/>
      <c r="NMJ73" s="2936"/>
      <c r="NMK73" s="2936"/>
      <c r="NML73" s="2936"/>
      <c r="NMM73" s="2936"/>
      <c r="NMN73" s="2936"/>
      <c r="NMO73" s="2936"/>
      <c r="NMP73" s="2936"/>
      <c r="NMQ73" s="2936"/>
      <c r="NMR73" s="2936"/>
      <c r="NMS73" s="2936"/>
      <c r="NMT73" s="2936"/>
      <c r="NMU73" s="2936"/>
      <c r="NMV73" s="2936"/>
      <c r="NMW73" s="2936"/>
      <c r="NMX73" s="2936"/>
      <c r="NMY73" s="2936"/>
      <c r="NMZ73" s="2936"/>
      <c r="NNA73" s="2936"/>
      <c r="NNB73" s="2936"/>
      <c r="NNC73" s="2936"/>
      <c r="NND73" s="2936"/>
      <c r="NNE73" s="2936"/>
      <c r="NNF73" s="2936"/>
      <c r="NNG73" s="2936"/>
      <c r="NNH73" s="2936"/>
      <c r="NNI73" s="2936"/>
      <c r="NNJ73" s="2936"/>
      <c r="NNK73" s="2936"/>
      <c r="NNL73" s="2936"/>
      <c r="NNM73" s="2936"/>
      <c r="NNN73" s="2936"/>
      <c r="NNO73" s="2936"/>
      <c r="NNP73" s="2936"/>
      <c r="NNQ73" s="2936"/>
      <c r="NNR73" s="2936"/>
      <c r="NNS73" s="2936"/>
      <c r="NNT73" s="2936"/>
      <c r="NNU73" s="2936"/>
      <c r="NNV73" s="2936"/>
      <c r="NNW73" s="2936"/>
      <c r="NNX73" s="2936"/>
      <c r="NNY73" s="2936"/>
      <c r="NNZ73" s="2936"/>
      <c r="NOA73" s="2936"/>
      <c r="NOB73" s="2936"/>
      <c r="NOC73" s="2936"/>
      <c r="NOD73" s="2936"/>
      <c r="NOE73" s="2936"/>
      <c r="NOF73" s="2936"/>
      <c r="NOG73" s="2936"/>
      <c r="NOH73" s="2936"/>
      <c r="NOI73" s="2936"/>
      <c r="NOJ73" s="2936"/>
      <c r="NOK73" s="2936"/>
      <c r="NOL73" s="2936"/>
      <c r="NOM73" s="2936"/>
      <c r="NON73" s="2936"/>
      <c r="NOO73" s="2936"/>
      <c r="NOP73" s="2936"/>
      <c r="NOQ73" s="2936"/>
      <c r="NOR73" s="2936"/>
      <c r="NOS73" s="2936"/>
      <c r="NOT73" s="2936"/>
      <c r="NOU73" s="2936"/>
      <c r="NOV73" s="2936"/>
      <c r="NOW73" s="2936"/>
      <c r="NOX73" s="2936"/>
      <c r="NOY73" s="2936"/>
      <c r="NOZ73" s="2936"/>
      <c r="NPA73" s="2936"/>
      <c r="NPB73" s="2936"/>
      <c r="NPC73" s="2936"/>
      <c r="NPD73" s="2936"/>
      <c r="NPE73" s="2936"/>
      <c r="NPF73" s="2936"/>
      <c r="NPG73" s="2936"/>
      <c r="NPH73" s="2936"/>
      <c r="NPI73" s="2936"/>
      <c r="NPJ73" s="2936"/>
      <c r="NPK73" s="2936"/>
      <c r="NPL73" s="2936"/>
      <c r="NPM73" s="2936"/>
      <c r="NPN73" s="2936"/>
      <c r="NPO73" s="2936"/>
      <c r="NPP73" s="2936"/>
      <c r="NPQ73" s="2936"/>
      <c r="NPR73" s="2936"/>
      <c r="NPS73" s="2936"/>
      <c r="NPT73" s="2936"/>
      <c r="NPU73" s="2936"/>
      <c r="NPV73" s="2936"/>
      <c r="NPW73" s="2936"/>
      <c r="NPX73" s="2936"/>
      <c r="NPY73" s="2936"/>
      <c r="NPZ73" s="2936"/>
      <c r="NQA73" s="2936"/>
      <c r="NQB73" s="2936"/>
      <c r="NQC73" s="2936"/>
      <c r="NQD73" s="2936"/>
      <c r="NQE73" s="2936"/>
      <c r="NQF73" s="2936"/>
      <c r="NQG73" s="2936"/>
      <c r="NQH73" s="2936"/>
      <c r="NQI73" s="2936"/>
      <c r="NQJ73" s="2936"/>
      <c r="NQK73" s="2936"/>
      <c r="NQL73" s="2936"/>
      <c r="NQM73" s="2936"/>
      <c r="NQN73" s="2936"/>
      <c r="NQO73" s="2936"/>
      <c r="NQP73" s="2936"/>
      <c r="NQQ73" s="2936"/>
      <c r="NQR73" s="2936"/>
      <c r="NQS73" s="2936"/>
      <c r="NQT73" s="2936"/>
      <c r="NQU73" s="2936"/>
      <c r="NQV73" s="2936"/>
      <c r="NQW73" s="2936"/>
      <c r="NQX73" s="2936"/>
      <c r="NQY73" s="2936"/>
      <c r="NQZ73" s="2936"/>
      <c r="NRA73" s="2936"/>
      <c r="NRB73" s="2936"/>
      <c r="NRC73" s="2936"/>
      <c r="NRD73" s="2936"/>
      <c r="NRE73" s="2936"/>
      <c r="NRF73" s="2936"/>
      <c r="NRG73" s="2936"/>
      <c r="NRH73" s="2936"/>
      <c r="NRI73" s="2936"/>
      <c r="NRJ73" s="2936"/>
      <c r="NRK73" s="2936"/>
      <c r="NRL73" s="2936"/>
      <c r="NRM73" s="2936"/>
      <c r="NRN73" s="2936"/>
      <c r="NRO73" s="2936"/>
      <c r="NRP73" s="2936"/>
      <c r="NRQ73" s="2936"/>
      <c r="NRR73" s="2936"/>
      <c r="NRS73" s="2936"/>
      <c r="NRT73" s="2936"/>
      <c r="NRU73" s="2936"/>
      <c r="NRV73" s="2936"/>
      <c r="NRW73" s="2936"/>
      <c r="NRX73" s="2936"/>
      <c r="NRY73" s="2936"/>
      <c r="NRZ73" s="2936"/>
      <c r="NSA73" s="2936"/>
      <c r="NSB73" s="2936"/>
      <c r="NSC73" s="2936"/>
      <c r="NSD73" s="2936"/>
      <c r="NSE73" s="2936"/>
      <c r="NSF73" s="2936"/>
      <c r="NSG73" s="2936"/>
      <c r="NSH73" s="2936"/>
      <c r="NSI73" s="2936"/>
      <c r="NSJ73" s="2936"/>
      <c r="NSK73" s="2936"/>
      <c r="NSL73" s="2936"/>
      <c r="NSM73" s="2936"/>
      <c r="NSN73" s="2936"/>
      <c r="NSO73" s="2936"/>
      <c r="NSP73" s="2936"/>
      <c r="NSQ73" s="2936"/>
      <c r="NSR73" s="2936"/>
      <c r="NSS73" s="2936"/>
      <c r="NST73" s="2936"/>
      <c r="NSU73" s="2936"/>
      <c r="NSV73" s="2936"/>
      <c r="NSW73" s="2936"/>
      <c r="NSX73" s="2936"/>
      <c r="NSY73" s="2936"/>
      <c r="NSZ73" s="2936"/>
      <c r="NTA73" s="2936"/>
      <c r="NTB73" s="2936"/>
      <c r="NTC73" s="2936"/>
      <c r="NTD73" s="2936"/>
      <c r="NTE73" s="2936"/>
      <c r="NTF73" s="2936"/>
      <c r="NTG73" s="2936"/>
      <c r="NTH73" s="2936"/>
      <c r="NTI73" s="2936"/>
      <c r="NTJ73" s="2936"/>
      <c r="NTK73" s="2936"/>
      <c r="NTL73" s="2936"/>
      <c r="NTM73" s="2936"/>
      <c r="NTN73" s="2936"/>
      <c r="NTO73" s="2936"/>
      <c r="NTP73" s="2936"/>
      <c r="NTQ73" s="2936"/>
      <c r="NTR73" s="2936"/>
      <c r="NTS73" s="2936"/>
      <c r="NTT73" s="2936"/>
      <c r="NTU73" s="2936"/>
      <c r="NTV73" s="2936"/>
      <c r="NTW73" s="2936"/>
      <c r="NTX73" s="2936"/>
      <c r="NTY73" s="2936"/>
      <c r="NTZ73" s="2936"/>
      <c r="NUA73" s="2936"/>
      <c r="NUB73" s="2936"/>
      <c r="NUC73" s="2936"/>
      <c r="NUD73" s="2936"/>
      <c r="NUE73" s="2936"/>
      <c r="NUF73" s="2936"/>
      <c r="NUG73" s="2936"/>
      <c r="NUH73" s="2936"/>
      <c r="NUI73" s="2936"/>
      <c r="NUJ73" s="2936"/>
      <c r="NUK73" s="2936"/>
      <c r="NUL73" s="2936"/>
      <c r="NUM73" s="2936"/>
      <c r="NUN73" s="2936"/>
      <c r="NUO73" s="2936"/>
      <c r="NUP73" s="2936"/>
      <c r="NUQ73" s="2936"/>
      <c r="NUR73" s="2936"/>
      <c r="NUS73" s="2936"/>
      <c r="NUT73" s="2936"/>
      <c r="NUU73" s="2936"/>
      <c r="NUV73" s="2936"/>
      <c r="NUW73" s="2936"/>
      <c r="NUX73" s="2936"/>
      <c r="NUY73" s="2936"/>
      <c r="NUZ73" s="2936"/>
      <c r="NVA73" s="2936"/>
      <c r="NVB73" s="2936"/>
      <c r="NVC73" s="2936"/>
      <c r="NVD73" s="2936"/>
      <c r="NVE73" s="2936"/>
      <c r="NVF73" s="2936"/>
      <c r="NVG73" s="2936"/>
      <c r="NVH73" s="2936"/>
      <c r="NVI73" s="2936"/>
      <c r="NVJ73" s="2936"/>
      <c r="NVK73" s="2936"/>
      <c r="NVL73" s="2936"/>
      <c r="NVM73" s="2936"/>
      <c r="NVN73" s="2936"/>
      <c r="NVO73" s="2936"/>
      <c r="NVP73" s="2936"/>
      <c r="NVQ73" s="2936"/>
      <c r="NVR73" s="2936"/>
      <c r="NVS73" s="2936"/>
      <c r="NVT73" s="2936"/>
      <c r="NVU73" s="2936"/>
      <c r="NVV73" s="2936"/>
      <c r="NVW73" s="2936"/>
      <c r="NVX73" s="2936"/>
      <c r="NVY73" s="2936"/>
      <c r="NVZ73" s="2936"/>
      <c r="NWA73" s="2936"/>
      <c r="NWB73" s="2936"/>
      <c r="NWC73" s="2936"/>
      <c r="NWD73" s="2936"/>
      <c r="NWE73" s="2936"/>
      <c r="NWF73" s="2936"/>
      <c r="NWG73" s="2936"/>
      <c r="NWH73" s="2936"/>
      <c r="NWI73" s="2936"/>
      <c r="NWJ73" s="2936"/>
      <c r="NWK73" s="2936"/>
      <c r="NWL73" s="2936"/>
      <c r="NWM73" s="2936"/>
      <c r="NWN73" s="2936"/>
      <c r="NWO73" s="2936"/>
      <c r="NWP73" s="2936"/>
      <c r="NWQ73" s="2936"/>
      <c r="NWR73" s="2936"/>
      <c r="NWS73" s="2936"/>
      <c r="NWT73" s="2936"/>
      <c r="NWU73" s="2936"/>
      <c r="NWV73" s="2936"/>
      <c r="NWW73" s="2936"/>
      <c r="NWX73" s="2936"/>
      <c r="NWY73" s="2936"/>
      <c r="NWZ73" s="2936"/>
      <c r="NXA73" s="2936"/>
      <c r="NXB73" s="2936"/>
      <c r="NXC73" s="2936"/>
      <c r="NXD73" s="2936"/>
      <c r="NXE73" s="2936"/>
      <c r="NXF73" s="2936"/>
      <c r="NXG73" s="2936"/>
      <c r="NXH73" s="2936"/>
      <c r="NXI73" s="2936"/>
      <c r="NXJ73" s="2936"/>
      <c r="NXK73" s="2936"/>
      <c r="NXL73" s="2936"/>
      <c r="NXM73" s="2936"/>
      <c r="NXN73" s="2936"/>
      <c r="NXO73" s="2936"/>
      <c r="NXP73" s="2936"/>
      <c r="NXQ73" s="2936"/>
      <c r="NXR73" s="2936"/>
      <c r="NXS73" s="2936"/>
      <c r="NXT73" s="2936"/>
      <c r="NXU73" s="2936"/>
      <c r="NXV73" s="2936"/>
      <c r="NXW73" s="2936"/>
      <c r="NXX73" s="2936"/>
      <c r="NXY73" s="2936"/>
      <c r="NXZ73" s="2936"/>
      <c r="NYA73" s="2936"/>
      <c r="NYB73" s="2936"/>
      <c r="NYC73" s="2936"/>
      <c r="NYD73" s="2936"/>
      <c r="NYE73" s="2936"/>
      <c r="NYF73" s="2936"/>
      <c r="NYG73" s="2936"/>
      <c r="NYH73" s="2936"/>
      <c r="NYI73" s="2936"/>
      <c r="NYJ73" s="2936"/>
      <c r="NYK73" s="2936"/>
      <c r="NYL73" s="2936"/>
      <c r="NYM73" s="2936"/>
      <c r="NYN73" s="2936"/>
      <c r="NYO73" s="2936"/>
      <c r="NYP73" s="2936"/>
      <c r="NYQ73" s="2936"/>
      <c r="NYR73" s="2936"/>
      <c r="NYS73" s="2936"/>
      <c r="NYT73" s="2936"/>
      <c r="NYU73" s="2936"/>
      <c r="NYV73" s="2936"/>
      <c r="NYW73" s="2936"/>
      <c r="NYX73" s="2936"/>
      <c r="NYY73" s="2936"/>
      <c r="NYZ73" s="2936"/>
      <c r="NZA73" s="2936"/>
      <c r="NZB73" s="2936"/>
      <c r="NZC73" s="2936"/>
      <c r="NZD73" s="2936"/>
      <c r="NZE73" s="2936"/>
      <c r="NZF73" s="2936"/>
      <c r="NZG73" s="2936"/>
      <c r="NZH73" s="2936"/>
      <c r="NZI73" s="2936"/>
      <c r="NZJ73" s="2936"/>
      <c r="NZK73" s="2936"/>
      <c r="NZL73" s="2936"/>
      <c r="NZM73" s="2936"/>
      <c r="NZN73" s="2936"/>
      <c r="NZO73" s="2936"/>
      <c r="NZP73" s="2936"/>
      <c r="NZQ73" s="2936"/>
      <c r="NZR73" s="2936"/>
      <c r="NZS73" s="2936"/>
      <c r="NZT73" s="2936"/>
      <c r="NZU73" s="2936"/>
      <c r="NZV73" s="2936"/>
      <c r="NZW73" s="2936"/>
      <c r="NZX73" s="2936"/>
      <c r="NZY73" s="2936"/>
      <c r="NZZ73" s="2936"/>
      <c r="OAA73" s="2936"/>
      <c r="OAB73" s="2936"/>
      <c r="OAC73" s="2936"/>
      <c r="OAD73" s="2936"/>
      <c r="OAE73" s="2936"/>
      <c r="OAF73" s="2936"/>
      <c r="OAG73" s="2936"/>
      <c r="OAH73" s="2936"/>
      <c r="OAI73" s="2936"/>
      <c r="OAJ73" s="2936"/>
      <c r="OAK73" s="2936"/>
      <c r="OAL73" s="2936"/>
      <c r="OAM73" s="2936"/>
      <c r="OAN73" s="2936"/>
      <c r="OAO73" s="2936"/>
      <c r="OAP73" s="2936"/>
      <c r="OAQ73" s="2936"/>
      <c r="OAR73" s="2936"/>
      <c r="OAS73" s="2936"/>
      <c r="OAT73" s="2936"/>
      <c r="OAU73" s="2936"/>
      <c r="OAV73" s="2936"/>
      <c r="OAW73" s="2936"/>
      <c r="OAX73" s="2936"/>
      <c r="OAY73" s="2936"/>
      <c r="OAZ73" s="2936"/>
      <c r="OBA73" s="2936"/>
      <c r="OBB73" s="2936"/>
      <c r="OBC73" s="2936"/>
      <c r="OBD73" s="2936"/>
      <c r="OBE73" s="2936"/>
      <c r="OBF73" s="2936"/>
      <c r="OBG73" s="2936"/>
      <c r="OBH73" s="2936"/>
      <c r="OBI73" s="2936"/>
      <c r="OBJ73" s="2936"/>
      <c r="OBK73" s="2936"/>
      <c r="OBL73" s="2936"/>
      <c r="OBM73" s="2936"/>
      <c r="OBN73" s="2936"/>
      <c r="OBO73" s="2936"/>
      <c r="OBP73" s="2936"/>
      <c r="OBQ73" s="2936"/>
      <c r="OBR73" s="2936"/>
      <c r="OBS73" s="2936"/>
      <c r="OBT73" s="2936"/>
      <c r="OBU73" s="2936"/>
      <c r="OBV73" s="2936"/>
      <c r="OBW73" s="2936"/>
      <c r="OBX73" s="2936"/>
      <c r="OBY73" s="2936"/>
      <c r="OBZ73" s="2936"/>
      <c r="OCA73" s="2936"/>
      <c r="OCB73" s="2936"/>
      <c r="OCC73" s="2936"/>
      <c r="OCD73" s="2936"/>
      <c r="OCE73" s="2936"/>
      <c r="OCF73" s="2936"/>
      <c r="OCG73" s="2936"/>
      <c r="OCH73" s="2936"/>
      <c r="OCI73" s="2936"/>
      <c r="OCJ73" s="2936"/>
      <c r="OCK73" s="2936"/>
      <c r="OCL73" s="2936"/>
      <c r="OCM73" s="2936"/>
      <c r="OCN73" s="2936"/>
      <c r="OCO73" s="2936"/>
      <c r="OCP73" s="2936"/>
      <c r="OCQ73" s="2936"/>
      <c r="OCR73" s="2936"/>
      <c r="OCS73" s="2936"/>
      <c r="OCT73" s="2936"/>
      <c r="OCU73" s="2936"/>
      <c r="OCV73" s="2936"/>
      <c r="OCW73" s="2936"/>
      <c r="OCX73" s="2936"/>
      <c r="OCY73" s="2936"/>
      <c r="OCZ73" s="2936"/>
      <c r="ODA73" s="2936"/>
      <c r="ODB73" s="2936"/>
      <c r="ODC73" s="2936"/>
      <c r="ODD73" s="2936"/>
      <c r="ODE73" s="2936"/>
      <c r="ODF73" s="2936"/>
      <c r="ODG73" s="2936"/>
      <c r="ODH73" s="2936"/>
      <c r="ODI73" s="2936"/>
      <c r="ODJ73" s="2936"/>
      <c r="ODK73" s="2936"/>
      <c r="ODL73" s="2936"/>
      <c r="ODM73" s="2936"/>
      <c r="ODN73" s="2936"/>
      <c r="ODO73" s="2936"/>
      <c r="ODP73" s="2936"/>
      <c r="ODQ73" s="2936"/>
      <c r="ODR73" s="2936"/>
      <c r="ODS73" s="2936"/>
      <c r="ODT73" s="2936"/>
      <c r="ODU73" s="2936"/>
      <c r="ODV73" s="2936"/>
      <c r="ODW73" s="2936"/>
      <c r="ODX73" s="2936"/>
      <c r="ODY73" s="2936"/>
      <c r="ODZ73" s="2936"/>
      <c r="OEA73" s="2936"/>
      <c r="OEB73" s="2936"/>
      <c r="OEC73" s="2936"/>
      <c r="OED73" s="2936"/>
      <c r="OEE73" s="2936"/>
      <c r="OEF73" s="2936"/>
      <c r="OEG73" s="2936"/>
      <c r="OEH73" s="2936"/>
      <c r="OEI73" s="2936"/>
      <c r="OEJ73" s="2936"/>
      <c r="OEK73" s="2936"/>
      <c r="OEL73" s="2936"/>
      <c r="OEM73" s="2936"/>
      <c r="OEN73" s="2936"/>
      <c r="OEO73" s="2936"/>
      <c r="OEP73" s="2936"/>
      <c r="OEQ73" s="2936"/>
      <c r="OER73" s="2936"/>
      <c r="OES73" s="2936"/>
      <c r="OET73" s="2936"/>
      <c r="OEU73" s="2936"/>
      <c r="OEV73" s="2936"/>
      <c r="OEW73" s="2936"/>
      <c r="OEX73" s="2936"/>
      <c r="OEY73" s="2936"/>
      <c r="OEZ73" s="2936"/>
      <c r="OFA73" s="2936"/>
      <c r="OFB73" s="2936"/>
      <c r="OFC73" s="2936"/>
      <c r="OFD73" s="2936"/>
      <c r="OFE73" s="2936"/>
      <c r="OFF73" s="2936"/>
      <c r="OFG73" s="2936"/>
      <c r="OFH73" s="2936"/>
      <c r="OFI73" s="2936"/>
      <c r="OFJ73" s="2936"/>
      <c r="OFK73" s="2936"/>
      <c r="OFL73" s="2936"/>
      <c r="OFM73" s="2936"/>
      <c r="OFN73" s="2936"/>
      <c r="OFO73" s="2936"/>
      <c r="OFP73" s="2936"/>
      <c r="OFQ73" s="2936"/>
      <c r="OFR73" s="2936"/>
      <c r="OFS73" s="2936"/>
      <c r="OFT73" s="2936"/>
      <c r="OFU73" s="2936"/>
      <c r="OFV73" s="2936"/>
      <c r="OFW73" s="2936"/>
      <c r="OFX73" s="2936"/>
      <c r="OFY73" s="2936"/>
      <c r="OFZ73" s="2936"/>
      <c r="OGA73" s="2936"/>
      <c r="OGB73" s="2936"/>
      <c r="OGC73" s="2936"/>
      <c r="OGD73" s="2936"/>
      <c r="OGE73" s="2936"/>
      <c r="OGF73" s="2936"/>
      <c r="OGG73" s="2936"/>
      <c r="OGH73" s="2936"/>
      <c r="OGI73" s="2936"/>
      <c r="OGJ73" s="2936"/>
      <c r="OGK73" s="2936"/>
      <c r="OGL73" s="2936"/>
      <c r="OGM73" s="2936"/>
      <c r="OGN73" s="2936"/>
      <c r="OGO73" s="2936"/>
      <c r="OGP73" s="2936"/>
      <c r="OGQ73" s="2936"/>
      <c r="OGR73" s="2936"/>
      <c r="OGS73" s="2936"/>
      <c r="OGT73" s="2936"/>
      <c r="OGU73" s="2936"/>
      <c r="OGV73" s="2936"/>
      <c r="OGW73" s="2936"/>
      <c r="OGX73" s="2936"/>
      <c r="OGY73" s="2936"/>
      <c r="OGZ73" s="2936"/>
      <c r="OHA73" s="2936"/>
      <c r="OHB73" s="2936"/>
      <c r="OHC73" s="2936"/>
      <c r="OHD73" s="2936"/>
      <c r="OHE73" s="2936"/>
      <c r="OHF73" s="2936"/>
      <c r="OHG73" s="2936"/>
      <c r="OHH73" s="2936"/>
      <c r="OHI73" s="2936"/>
      <c r="OHJ73" s="2936"/>
      <c r="OHK73" s="2936"/>
      <c r="OHL73" s="2936"/>
      <c r="OHM73" s="2936"/>
      <c r="OHN73" s="2936"/>
      <c r="OHO73" s="2936"/>
      <c r="OHP73" s="2936"/>
      <c r="OHQ73" s="2936"/>
      <c r="OHR73" s="2936"/>
      <c r="OHS73" s="2936"/>
      <c r="OHT73" s="2936"/>
      <c r="OHU73" s="2936"/>
      <c r="OHV73" s="2936"/>
      <c r="OHW73" s="2936"/>
      <c r="OHX73" s="2936"/>
      <c r="OHY73" s="2936"/>
      <c r="OHZ73" s="2936"/>
      <c r="OIA73" s="2936"/>
      <c r="OIB73" s="2936"/>
      <c r="OIC73" s="2936"/>
      <c r="OID73" s="2936"/>
      <c r="OIE73" s="2936"/>
      <c r="OIF73" s="2936"/>
      <c r="OIG73" s="2936"/>
      <c r="OIH73" s="2936"/>
      <c r="OII73" s="2936"/>
      <c r="OIJ73" s="2936"/>
      <c r="OIK73" s="2936"/>
      <c r="OIL73" s="2936"/>
      <c r="OIM73" s="2936"/>
      <c r="OIN73" s="2936"/>
      <c r="OIO73" s="2936"/>
      <c r="OIP73" s="2936"/>
      <c r="OIQ73" s="2936"/>
      <c r="OIR73" s="2936"/>
      <c r="OIS73" s="2936"/>
      <c r="OIT73" s="2936"/>
      <c r="OIU73" s="2936"/>
      <c r="OIV73" s="2936"/>
      <c r="OIW73" s="2936"/>
      <c r="OIX73" s="2936"/>
      <c r="OIY73" s="2936"/>
      <c r="OIZ73" s="2936"/>
      <c r="OJA73" s="2936"/>
      <c r="OJB73" s="2936"/>
      <c r="OJC73" s="2936"/>
      <c r="OJD73" s="2936"/>
      <c r="OJE73" s="2936"/>
      <c r="OJF73" s="2936"/>
      <c r="OJG73" s="2936"/>
      <c r="OJH73" s="2936"/>
      <c r="OJI73" s="2936"/>
      <c r="OJJ73" s="2936"/>
      <c r="OJK73" s="2936"/>
      <c r="OJL73" s="2936"/>
      <c r="OJM73" s="2936"/>
      <c r="OJN73" s="2936"/>
      <c r="OJO73" s="2936"/>
      <c r="OJP73" s="2936"/>
      <c r="OJQ73" s="2936"/>
      <c r="OJR73" s="2936"/>
      <c r="OJS73" s="2936"/>
      <c r="OJT73" s="2936"/>
      <c r="OJU73" s="2936"/>
      <c r="OJV73" s="2936"/>
      <c r="OJW73" s="2936"/>
      <c r="OJX73" s="2936"/>
      <c r="OJY73" s="2936"/>
      <c r="OJZ73" s="2936"/>
      <c r="OKA73" s="2936"/>
      <c r="OKB73" s="2936"/>
      <c r="OKC73" s="2936"/>
      <c r="OKD73" s="2936"/>
      <c r="OKE73" s="2936"/>
      <c r="OKF73" s="2936"/>
      <c r="OKG73" s="2936"/>
      <c r="OKH73" s="2936"/>
      <c r="OKI73" s="2936"/>
      <c r="OKJ73" s="2936"/>
      <c r="OKK73" s="2936"/>
      <c r="OKL73" s="2936"/>
      <c r="OKM73" s="2936"/>
      <c r="OKN73" s="2936"/>
      <c r="OKO73" s="2936"/>
      <c r="OKP73" s="2936"/>
      <c r="OKQ73" s="2936"/>
      <c r="OKR73" s="2936"/>
      <c r="OKS73" s="2936"/>
      <c r="OKT73" s="2936"/>
      <c r="OKU73" s="2936"/>
      <c r="OKV73" s="2936"/>
      <c r="OKW73" s="2936"/>
      <c r="OKX73" s="2936"/>
      <c r="OKY73" s="2936"/>
      <c r="OKZ73" s="2936"/>
      <c r="OLA73" s="2936"/>
      <c r="OLB73" s="2936"/>
      <c r="OLC73" s="2936"/>
      <c r="OLD73" s="2936"/>
      <c r="OLE73" s="2936"/>
      <c r="OLF73" s="2936"/>
      <c r="OLG73" s="2936"/>
      <c r="OLH73" s="2936"/>
      <c r="OLI73" s="2936"/>
      <c r="OLJ73" s="2936"/>
      <c r="OLK73" s="2936"/>
      <c r="OLL73" s="2936"/>
      <c r="OLM73" s="2936"/>
      <c r="OLN73" s="2936"/>
      <c r="OLO73" s="2936"/>
      <c r="OLP73" s="2936"/>
      <c r="OLQ73" s="2936"/>
      <c r="OLR73" s="2936"/>
      <c r="OLS73" s="2936"/>
      <c r="OLT73" s="2936"/>
      <c r="OLU73" s="2936"/>
      <c r="OLV73" s="2936"/>
      <c r="OLW73" s="2936"/>
      <c r="OLX73" s="2936"/>
      <c r="OLY73" s="2936"/>
      <c r="OLZ73" s="2936"/>
      <c r="OMA73" s="2936"/>
      <c r="OMB73" s="2936"/>
      <c r="OMC73" s="2936"/>
      <c r="OMD73" s="2936"/>
      <c r="OME73" s="2936"/>
      <c r="OMF73" s="2936"/>
      <c r="OMG73" s="2936"/>
      <c r="OMH73" s="2936"/>
      <c r="OMI73" s="2936"/>
      <c r="OMJ73" s="2936"/>
      <c r="OMK73" s="2936"/>
      <c r="OML73" s="2936"/>
      <c r="OMM73" s="2936"/>
      <c r="OMN73" s="2936"/>
      <c r="OMO73" s="2936"/>
      <c r="OMP73" s="2936"/>
      <c r="OMQ73" s="2936"/>
      <c r="OMR73" s="2936"/>
      <c r="OMS73" s="2936"/>
      <c r="OMT73" s="2936"/>
      <c r="OMU73" s="2936"/>
      <c r="OMV73" s="2936"/>
      <c r="OMW73" s="2936"/>
      <c r="OMX73" s="2936"/>
      <c r="OMY73" s="2936"/>
      <c r="OMZ73" s="2936"/>
      <c r="ONA73" s="2936"/>
      <c r="ONB73" s="2936"/>
      <c r="ONC73" s="2936"/>
      <c r="OND73" s="2936"/>
      <c r="ONE73" s="2936"/>
      <c r="ONF73" s="2936"/>
      <c r="ONG73" s="2936"/>
      <c r="ONH73" s="2936"/>
      <c r="ONI73" s="2936"/>
      <c r="ONJ73" s="2936"/>
      <c r="ONK73" s="2936"/>
      <c r="ONL73" s="2936"/>
      <c r="ONM73" s="2936"/>
      <c r="ONN73" s="2936"/>
      <c r="ONO73" s="2936"/>
      <c r="ONP73" s="2936"/>
      <c r="ONQ73" s="2936"/>
      <c r="ONR73" s="2936"/>
      <c r="ONS73" s="2936"/>
      <c r="ONT73" s="2936"/>
      <c r="ONU73" s="2936"/>
      <c r="ONV73" s="2936"/>
      <c r="ONW73" s="2936"/>
      <c r="ONX73" s="2936"/>
      <c r="ONY73" s="2936"/>
      <c r="ONZ73" s="2936"/>
      <c r="OOA73" s="2936"/>
      <c r="OOB73" s="2936"/>
      <c r="OOC73" s="2936"/>
      <c r="OOD73" s="2936"/>
      <c r="OOE73" s="2936"/>
      <c r="OOF73" s="2936"/>
      <c r="OOG73" s="2936"/>
      <c r="OOH73" s="2936"/>
      <c r="OOI73" s="2936"/>
      <c r="OOJ73" s="2936"/>
      <c r="OOK73" s="2936"/>
      <c r="OOL73" s="2936"/>
      <c r="OOM73" s="2936"/>
      <c r="OON73" s="2936"/>
      <c r="OOO73" s="2936"/>
      <c r="OOP73" s="2936"/>
      <c r="OOQ73" s="2936"/>
      <c r="OOR73" s="2936"/>
      <c r="OOS73" s="2936"/>
      <c r="OOT73" s="2936"/>
      <c r="OOU73" s="2936"/>
      <c r="OOV73" s="2936"/>
      <c r="OOW73" s="2936"/>
      <c r="OOX73" s="2936"/>
      <c r="OOY73" s="2936"/>
      <c r="OOZ73" s="2936"/>
      <c r="OPA73" s="2936"/>
      <c r="OPB73" s="2936"/>
      <c r="OPC73" s="2936"/>
      <c r="OPD73" s="2936"/>
      <c r="OPE73" s="2936"/>
      <c r="OPF73" s="2936"/>
      <c r="OPG73" s="2936"/>
      <c r="OPH73" s="2936"/>
      <c r="OPI73" s="2936"/>
      <c r="OPJ73" s="2936"/>
      <c r="OPK73" s="2936"/>
      <c r="OPL73" s="2936"/>
      <c r="OPM73" s="2936"/>
      <c r="OPN73" s="2936"/>
      <c r="OPO73" s="2936"/>
      <c r="OPP73" s="2936"/>
      <c r="OPQ73" s="2936"/>
      <c r="OPR73" s="2936"/>
      <c r="OPS73" s="2936"/>
      <c r="OPT73" s="2936"/>
      <c r="OPU73" s="2936"/>
      <c r="OPV73" s="2936"/>
      <c r="OPW73" s="2936"/>
      <c r="OPX73" s="2936"/>
      <c r="OPY73" s="2936"/>
      <c r="OPZ73" s="2936"/>
      <c r="OQA73" s="2936"/>
      <c r="OQB73" s="2936"/>
      <c r="OQC73" s="2936"/>
      <c r="OQD73" s="2936"/>
      <c r="OQE73" s="2936"/>
      <c r="OQF73" s="2936"/>
      <c r="OQG73" s="2936"/>
      <c r="OQH73" s="2936"/>
      <c r="OQI73" s="2936"/>
      <c r="OQJ73" s="2936"/>
      <c r="OQK73" s="2936"/>
      <c r="OQL73" s="2936"/>
      <c r="OQM73" s="2936"/>
      <c r="OQN73" s="2936"/>
      <c r="OQO73" s="2936"/>
      <c r="OQP73" s="2936"/>
      <c r="OQQ73" s="2936"/>
      <c r="OQR73" s="2936"/>
      <c r="OQS73" s="2936"/>
      <c r="OQT73" s="2936"/>
      <c r="OQU73" s="2936"/>
      <c r="OQV73" s="2936"/>
      <c r="OQW73" s="2936"/>
      <c r="OQX73" s="2936"/>
      <c r="OQY73" s="2936"/>
      <c r="OQZ73" s="2936"/>
      <c r="ORA73" s="2936"/>
      <c r="ORB73" s="2936"/>
      <c r="ORC73" s="2936"/>
      <c r="ORD73" s="2936"/>
      <c r="ORE73" s="2936"/>
      <c r="ORF73" s="2936"/>
      <c r="ORG73" s="2936"/>
      <c r="ORH73" s="2936"/>
      <c r="ORI73" s="2936"/>
      <c r="ORJ73" s="2936"/>
      <c r="ORK73" s="2936"/>
      <c r="ORL73" s="2936"/>
      <c r="ORM73" s="2936"/>
      <c r="ORN73" s="2936"/>
      <c r="ORO73" s="2936"/>
      <c r="ORP73" s="2936"/>
      <c r="ORQ73" s="2936"/>
      <c r="ORR73" s="2936"/>
      <c r="ORS73" s="2936"/>
      <c r="ORT73" s="2936"/>
      <c r="ORU73" s="2936"/>
      <c r="ORV73" s="2936"/>
      <c r="ORW73" s="2936"/>
      <c r="ORX73" s="2936"/>
      <c r="ORY73" s="2936"/>
      <c r="ORZ73" s="2936"/>
      <c r="OSA73" s="2936"/>
      <c r="OSB73" s="2936"/>
      <c r="OSC73" s="2936"/>
      <c r="OSD73" s="2936"/>
      <c r="OSE73" s="2936"/>
      <c r="OSF73" s="2936"/>
      <c r="OSG73" s="2936"/>
      <c r="OSH73" s="2936"/>
      <c r="OSI73" s="2936"/>
      <c r="OSJ73" s="2936"/>
      <c r="OSK73" s="2936"/>
      <c r="OSL73" s="2936"/>
      <c r="OSM73" s="2936"/>
      <c r="OSN73" s="2936"/>
      <c r="OSO73" s="2936"/>
      <c r="OSP73" s="2936"/>
      <c r="OSQ73" s="2936"/>
      <c r="OSR73" s="2936"/>
      <c r="OSS73" s="2936"/>
      <c r="OST73" s="2936"/>
      <c r="OSU73" s="2936"/>
      <c r="OSV73" s="2936"/>
      <c r="OSW73" s="2936"/>
      <c r="OSX73" s="2936"/>
      <c r="OSY73" s="2936"/>
      <c r="OSZ73" s="2936"/>
      <c r="OTA73" s="2936"/>
      <c r="OTB73" s="2936"/>
      <c r="OTC73" s="2936"/>
      <c r="OTD73" s="2936"/>
      <c r="OTE73" s="2936"/>
      <c r="OTF73" s="2936"/>
      <c r="OTG73" s="2936"/>
      <c r="OTH73" s="2936"/>
      <c r="OTI73" s="2936"/>
      <c r="OTJ73" s="2936"/>
      <c r="OTK73" s="2936"/>
      <c r="OTL73" s="2936"/>
      <c r="OTM73" s="2936"/>
      <c r="OTN73" s="2936"/>
      <c r="OTO73" s="2936"/>
      <c r="OTP73" s="2936"/>
      <c r="OTQ73" s="2936"/>
      <c r="OTR73" s="2936"/>
      <c r="OTS73" s="2936"/>
      <c r="OTT73" s="2936"/>
      <c r="OTU73" s="2936"/>
      <c r="OTV73" s="2936"/>
      <c r="OTW73" s="2936"/>
      <c r="OTX73" s="2936"/>
      <c r="OTY73" s="2936"/>
      <c r="OTZ73" s="2936"/>
      <c r="OUA73" s="2936"/>
      <c r="OUB73" s="2936"/>
      <c r="OUC73" s="2936"/>
      <c r="OUD73" s="2936"/>
      <c r="OUE73" s="2936"/>
      <c r="OUF73" s="2936"/>
      <c r="OUG73" s="2936"/>
      <c r="OUH73" s="2936"/>
      <c r="OUI73" s="2936"/>
      <c r="OUJ73" s="2936"/>
      <c r="OUK73" s="2936"/>
      <c r="OUL73" s="2936"/>
      <c r="OUM73" s="2936"/>
      <c r="OUN73" s="2936"/>
      <c r="OUO73" s="2936"/>
      <c r="OUP73" s="2936"/>
      <c r="OUQ73" s="2936"/>
      <c r="OUR73" s="2936"/>
      <c r="OUS73" s="2936"/>
      <c r="OUT73" s="2936"/>
      <c r="OUU73" s="2936"/>
      <c r="OUV73" s="2936"/>
      <c r="OUW73" s="2936"/>
      <c r="OUX73" s="2936"/>
      <c r="OUY73" s="2936"/>
      <c r="OUZ73" s="2936"/>
      <c r="OVA73" s="2936"/>
      <c r="OVB73" s="2936"/>
      <c r="OVC73" s="2936"/>
      <c r="OVD73" s="2936"/>
      <c r="OVE73" s="2936"/>
      <c r="OVF73" s="2936"/>
      <c r="OVG73" s="2936"/>
      <c r="OVH73" s="2936"/>
      <c r="OVI73" s="2936"/>
      <c r="OVJ73" s="2936"/>
      <c r="OVK73" s="2936"/>
      <c r="OVL73" s="2936"/>
      <c r="OVM73" s="2936"/>
      <c r="OVN73" s="2936"/>
      <c r="OVO73" s="2936"/>
      <c r="OVP73" s="2936"/>
      <c r="OVQ73" s="2936"/>
      <c r="OVR73" s="2936"/>
      <c r="OVS73" s="2936"/>
      <c r="OVT73" s="2936"/>
      <c r="OVU73" s="2936"/>
      <c r="OVV73" s="2936"/>
      <c r="OVW73" s="2936"/>
      <c r="OVX73" s="2936"/>
      <c r="OVY73" s="2936"/>
      <c r="OVZ73" s="2936"/>
      <c r="OWA73" s="2936"/>
      <c r="OWB73" s="2936"/>
      <c r="OWC73" s="2936"/>
      <c r="OWD73" s="2936"/>
      <c r="OWE73" s="2936"/>
      <c r="OWF73" s="2936"/>
      <c r="OWG73" s="2936"/>
      <c r="OWH73" s="2936"/>
      <c r="OWI73" s="2936"/>
      <c r="OWJ73" s="2936"/>
      <c r="OWK73" s="2936"/>
      <c r="OWL73" s="2936"/>
      <c r="OWM73" s="2936"/>
      <c r="OWN73" s="2936"/>
      <c r="OWO73" s="2936"/>
      <c r="OWP73" s="2936"/>
      <c r="OWQ73" s="2936"/>
      <c r="OWR73" s="2936"/>
      <c r="OWS73" s="2936"/>
      <c r="OWT73" s="2936"/>
      <c r="OWU73" s="2936"/>
      <c r="OWV73" s="2936"/>
      <c r="OWW73" s="2936"/>
      <c r="OWX73" s="2936"/>
      <c r="OWY73" s="2936"/>
      <c r="OWZ73" s="2936"/>
      <c r="OXA73" s="2936"/>
      <c r="OXB73" s="2936"/>
      <c r="OXC73" s="2936"/>
      <c r="OXD73" s="2936"/>
      <c r="OXE73" s="2936"/>
      <c r="OXF73" s="2936"/>
      <c r="OXG73" s="2936"/>
      <c r="OXH73" s="2936"/>
      <c r="OXI73" s="2936"/>
      <c r="OXJ73" s="2936"/>
      <c r="OXK73" s="2936"/>
      <c r="OXL73" s="2936"/>
      <c r="OXM73" s="2936"/>
      <c r="OXN73" s="2936"/>
      <c r="OXO73" s="2936"/>
      <c r="OXP73" s="2936"/>
      <c r="OXQ73" s="2936"/>
      <c r="OXR73" s="2936"/>
      <c r="OXS73" s="2936"/>
      <c r="OXT73" s="2936"/>
      <c r="OXU73" s="2936"/>
      <c r="OXV73" s="2936"/>
      <c r="OXW73" s="2936"/>
      <c r="OXX73" s="2936"/>
      <c r="OXY73" s="2936"/>
      <c r="OXZ73" s="2936"/>
      <c r="OYA73" s="2936"/>
      <c r="OYB73" s="2936"/>
      <c r="OYC73" s="2936"/>
      <c r="OYD73" s="2936"/>
      <c r="OYE73" s="2936"/>
      <c r="OYF73" s="2936"/>
      <c r="OYG73" s="2936"/>
      <c r="OYH73" s="2936"/>
      <c r="OYI73" s="2936"/>
      <c r="OYJ73" s="2936"/>
      <c r="OYK73" s="2936"/>
      <c r="OYL73" s="2936"/>
      <c r="OYM73" s="2936"/>
      <c r="OYN73" s="2936"/>
      <c r="OYO73" s="2936"/>
      <c r="OYP73" s="2936"/>
      <c r="OYQ73" s="2936"/>
      <c r="OYR73" s="2936"/>
      <c r="OYS73" s="2936"/>
      <c r="OYT73" s="2936"/>
      <c r="OYU73" s="2936"/>
      <c r="OYV73" s="2936"/>
      <c r="OYW73" s="2936"/>
      <c r="OYX73" s="2936"/>
      <c r="OYY73" s="2936"/>
      <c r="OYZ73" s="2936"/>
      <c r="OZA73" s="2936"/>
      <c r="OZB73" s="2936"/>
      <c r="OZC73" s="2936"/>
      <c r="OZD73" s="2936"/>
      <c r="OZE73" s="2936"/>
      <c r="OZF73" s="2936"/>
      <c r="OZG73" s="2936"/>
      <c r="OZH73" s="2936"/>
      <c r="OZI73" s="2936"/>
      <c r="OZJ73" s="2936"/>
      <c r="OZK73" s="2936"/>
      <c r="OZL73" s="2936"/>
      <c r="OZM73" s="2936"/>
      <c r="OZN73" s="2936"/>
      <c r="OZO73" s="2936"/>
      <c r="OZP73" s="2936"/>
      <c r="OZQ73" s="2936"/>
      <c r="OZR73" s="2936"/>
      <c r="OZS73" s="2936"/>
      <c r="OZT73" s="2936"/>
      <c r="OZU73" s="2936"/>
      <c r="OZV73" s="2936"/>
      <c r="OZW73" s="2936"/>
      <c r="OZX73" s="2936"/>
      <c r="OZY73" s="2936"/>
      <c r="OZZ73" s="2936"/>
      <c r="PAA73" s="2936"/>
      <c r="PAB73" s="2936"/>
      <c r="PAC73" s="2936"/>
      <c r="PAD73" s="2936"/>
      <c r="PAE73" s="2936"/>
      <c r="PAF73" s="2936"/>
      <c r="PAG73" s="2936"/>
      <c r="PAH73" s="2936"/>
      <c r="PAI73" s="2936"/>
      <c r="PAJ73" s="2936"/>
      <c r="PAK73" s="2936"/>
      <c r="PAL73" s="2936"/>
      <c r="PAM73" s="2936"/>
      <c r="PAN73" s="2936"/>
      <c r="PAO73" s="2936"/>
      <c r="PAP73" s="2936"/>
      <c r="PAQ73" s="2936"/>
      <c r="PAR73" s="2936"/>
      <c r="PAS73" s="2936"/>
      <c r="PAT73" s="2936"/>
      <c r="PAU73" s="2936"/>
      <c r="PAV73" s="2936"/>
      <c r="PAW73" s="2936"/>
      <c r="PAX73" s="2936"/>
      <c r="PAY73" s="2936"/>
      <c r="PAZ73" s="2936"/>
      <c r="PBA73" s="2936"/>
      <c r="PBB73" s="2936"/>
      <c r="PBC73" s="2936"/>
      <c r="PBD73" s="2936"/>
      <c r="PBE73" s="2936"/>
      <c r="PBF73" s="2936"/>
      <c r="PBG73" s="2936"/>
      <c r="PBH73" s="2936"/>
      <c r="PBI73" s="2936"/>
      <c r="PBJ73" s="2936"/>
      <c r="PBK73" s="2936"/>
      <c r="PBL73" s="2936"/>
      <c r="PBM73" s="2936"/>
      <c r="PBN73" s="2936"/>
      <c r="PBO73" s="2936"/>
      <c r="PBP73" s="2936"/>
      <c r="PBQ73" s="2936"/>
      <c r="PBR73" s="2936"/>
      <c r="PBS73" s="2936"/>
      <c r="PBT73" s="2936"/>
      <c r="PBU73" s="2936"/>
      <c r="PBV73" s="2936"/>
      <c r="PBW73" s="2936"/>
      <c r="PBX73" s="2936"/>
      <c r="PBY73" s="2936"/>
      <c r="PBZ73" s="2936"/>
      <c r="PCA73" s="2936"/>
      <c r="PCB73" s="2936"/>
      <c r="PCC73" s="2936"/>
      <c r="PCD73" s="2936"/>
      <c r="PCE73" s="2936"/>
      <c r="PCF73" s="2936"/>
      <c r="PCG73" s="2936"/>
      <c r="PCH73" s="2936"/>
      <c r="PCI73" s="2936"/>
      <c r="PCJ73" s="2936"/>
      <c r="PCK73" s="2936"/>
      <c r="PCL73" s="2936"/>
      <c r="PCM73" s="2936"/>
      <c r="PCN73" s="2936"/>
      <c r="PCO73" s="2936"/>
      <c r="PCP73" s="2936"/>
      <c r="PCQ73" s="2936"/>
      <c r="PCR73" s="2936"/>
      <c r="PCS73" s="2936"/>
      <c r="PCT73" s="2936"/>
      <c r="PCU73" s="2936"/>
      <c r="PCV73" s="2936"/>
      <c r="PCW73" s="2936"/>
      <c r="PCX73" s="2936"/>
      <c r="PCY73" s="2936"/>
      <c r="PCZ73" s="2936"/>
      <c r="PDA73" s="2936"/>
      <c r="PDB73" s="2936"/>
      <c r="PDC73" s="2936"/>
      <c r="PDD73" s="2936"/>
      <c r="PDE73" s="2936"/>
      <c r="PDF73" s="2936"/>
      <c r="PDG73" s="2936"/>
      <c r="PDH73" s="2936"/>
      <c r="PDI73" s="2936"/>
      <c r="PDJ73" s="2936"/>
      <c r="PDK73" s="2936"/>
      <c r="PDL73" s="2936"/>
      <c r="PDM73" s="2936"/>
      <c r="PDN73" s="2936"/>
      <c r="PDO73" s="2936"/>
      <c r="PDP73" s="2936"/>
      <c r="PDQ73" s="2936"/>
      <c r="PDR73" s="2936"/>
      <c r="PDS73" s="2936"/>
      <c r="PDT73" s="2936"/>
      <c r="PDU73" s="2936"/>
      <c r="PDV73" s="2936"/>
      <c r="PDW73" s="2936"/>
      <c r="PDX73" s="2936"/>
      <c r="PDY73" s="2936"/>
      <c r="PDZ73" s="2936"/>
      <c r="PEA73" s="2936"/>
      <c r="PEB73" s="2936"/>
      <c r="PEC73" s="2936"/>
      <c r="PED73" s="2936"/>
      <c r="PEE73" s="2936"/>
      <c r="PEF73" s="2936"/>
      <c r="PEG73" s="2936"/>
      <c r="PEH73" s="2936"/>
      <c r="PEI73" s="2936"/>
      <c r="PEJ73" s="2936"/>
      <c r="PEK73" s="2936"/>
      <c r="PEL73" s="2936"/>
      <c r="PEM73" s="2936"/>
      <c r="PEN73" s="2936"/>
      <c r="PEO73" s="2936"/>
      <c r="PEP73" s="2936"/>
      <c r="PEQ73" s="2936"/>
      <c r="PER73" s="2936"/>
      <c r="PES73" s="2936"/>
      <c r="PET73" s="2936"/>
      <c r="PEU73" s="2936"/>
      <c r="PEV73" s="2936"/>
      <c r="PEW73" s="2936"/>
      <c r="PEX73" s="2936"/>
      <c r="PEY73" s="2936"/>
      <c r="PEZ73" s="2936"/>
      <c r="PFA73" s="2936"/>
      <c r="PFB73" s="2936"/>
      <c r="PFC73" s="2936"/>
      <c r="PFD73" s="2936"/>
      <c r="PFE73" s="2936"/>
      <c r="PFF73" s="2936"/>
      <c r="PFG73" s="2936"/>
      <c r="PFH73" s="2936"/>
      <c r="PFI73" s="2936"/>
      <c r="PFJ73" s="2936"/>
      <c r="PFK73" s="2936"/>
      <c r="PFL73" s="2936"/>
      <c r="PFM73" s="2936"/>
      <c r="PFN73" s="2936"/>
      <c r="PFO73" s="2936"/>
      <c r="PFP73" s="2936"/>
      <c r="PFQ73" s="2936"/>
      <c r="PFR73" s="2936"/>
      <c r="PFS73" s="2936"/>
      <c r="PFT73" s="2936"/>
      <c r="PFU73" s="2936"/>
      <c r="PFV73" s="2936"/>
      <c r="PFW73" s="2936"/>
      <c r="PFX73" s="2936"/>
      <c r="PFY73" s="2936"/>
      <c r="PFZ73" s="2936"/>
      <c r="PGA73" s="2936"/>
      <c r="PGB73" s="2936"/>
      <c r="PGC73" s="2936"/>
      <c r="PGD73" s="2936"/>
      <c r="PGE73" s="2936"/>
      <c r="PGF73" s="2936"/>
      <c r="PGG73" s="2936"/>
      <c r="PGH73" s="2936"/>
      <c r="PGI73" s="2936"/>
      <c r="PGJ73" s="2936"/>
      <c r="PGK73" s="2936"/>
      <c r="PGL73" s="2936"/>
      <c r="PGM73" s="2936"/>
      <c r="PGN73" s="2936"/>
      <c r="PGO73" s="2936"/>
      <c r="PGP73" s="2936"/>
      <c r="PGQ73" s="2936"/>
      <c r="PGR73" s="2936"/>
      <c r="PGS73" s="2936"/>
      <c r="PGT73" s="2936"/>
      <c r="PGU73" s="2936"/>
      <c r="PGV73" s="2936"/>
      <c r="PGW73" s="2936"/>
      <c r="PGX73" s="2936"/>
      <c r="PGY73" s="2936"/>
      <c r="PGZ73" s="2936"/>
      <c r="PHA73" s="2936"/>
      <c r="PHB73" s="2936"/>
      <c r="PHC73" s="2936"/>
      <c r="PHD73" s="2936"/>
      <c r="PHE73" s="2936"/>
      <c r="PHF73" s="2936"/>
      <c r="PHG73" s="2936"/>
      <c r="PHH73" s="2936"/>
      <c r="PHI73" s="2936"/>
      <c r="PHJ73" s="2936"/>
      <c r="PHK73" s="2936"/>
      <c r="PHL73" s="2936"/>
      <c r="PHM73" s="2936"/>
      <c r="PHN73" s="2936"/>
      <c r="PHO73" s="2936"/>
      <c r="PHP73" s="2936"/>
      <c r="PHQ73" s="2936"/>
      <c r="PHR73" s="2936"/>
      <c r="PHS73" s="2936"/>
      <c r="PHT73" s="2936"/>
      <c r="PHU73" s="2936"/>
      <c r="PHV73" s="2936"/>
      <c r="PHW73" s="2936"/>
      <c r="PHX73" s="2936"/>
      <c r="PHY73" s="2936"/>
      <c r="PHZ73" s="2936"/>
      <c r="PIA73" s="2936"/>
      <c r="PIB73" s="2936"/>
      <c r="PIC73" s="2936"/>
      <c r="PID73" s="2936"/>
      <c r="PIE73" s="2936"/>
      <c r="PIF73" s="2936"/>
      <c r="PIG73" s="2936"/>
      <c r="PIH73" s="2936"/>
      <c r="PII73" s="2936"/>
      <c r="PIJ73" s="2936"/>
      <c r="PIK73" s="2936"/>
      <c r="PIL73" s="2936"/>
      <c r="PIM73" s="2936"/>
      <c r="PIN73" s="2936"/>
      <c r="PIO73" s="2936"/>
      <c r="PIP73" s="2936"/>
      <c r="PIQ73" s="2936"/>
      <c r="PIR73" s="2936"/>
      <c r="PIS73" s="2936"/>
      <c r="PIT73" s="2936"/>
      <c r="PIU73" s="2936"/>
      <c r="PIV73" s="2936"/>
      <c r="PIW73" s="2936"/>
      <c r="PIX73" s="2936"/>
      <c r="PIY73" s="2936"/>
      <c r="PIZ73" s="2936"/>
      <c r="PJA73" s="2936"/>
      <c r="PJB73" s="2936"/>
      <c r="PJC73" s="2936"/>
      <c r="PJD73" s="2936"/>
      <c r="PJE73" s="2936"/>
      <c r="PJF73" s="2936"/>
      <c r="PJG73" s="2936"/>
      <c r="PJH73" s="2936"/>
      <c r="PJI73" s="2936"/>
      <c r="PJJ73" s="2936"/>
      <c r="PJK73" s="2936"/>
      <c r="PJL73" s="2936"/>
      <c r="PJM73" s="2936"/>
      <c r="PJN73" s="2936"/>
      <c r="PJO73" s="2936"/>
      <c r="PJP73" s="2936"/>
      <c r="PJQ73" s="2936"/>
      <c r="PJR73" s="2936"/>
      <c r="PJS73" s="2936"/>
      <c r="PJT73" s="2936"/>
      <c r="PJU73" s="2936"/>
      <c r="PJV73" s="2936"/>
      <c r="PJW73" s="2936"/>
      <c r="PJX73" s="2936"/>
      <c r="PJY73" s="2936"/>
      <c r="PJZ73" s="2936"/>
      <c r="PKA73" s="2936"/>
      <c r="PKB73" s="2936"/>
      <c r="PKC73" s="2936"/>
      <c r="PKD73" s="2936"/>
      <c r="PKE73" s="2936"/>
      <c r="PKF73" s="2936"/>
      <c r="PKG73" s="2936"/>
      <c r="PKH73" s="2936"/>
      <c r="PKI73" s="2936"/>
      <c r="PKJ73" s="2936"/>
      <c r="PKK73" s="2936"/>
      <c r="PKL73" s="2936"/>
      <c r="PKM73" s="2936"/>
      <c r="PKN73" s="2936"/>
      <c r="PKO73" s="2936"/>
      <c r="PKP73" s="2936"/>
      <c r="PKQ73" s="2936"/>
      <c r="PKR73" s="2936"/>
      <c r="PKS73" s="2936"/>
      <c r="PKT73" s="2936"/>
      <c r="PKU73" s="2936"/>
      <c r="PKV73" s="2936"/>
      <c r="PKW73" s="2936"/>
      <c r="PKX73" s="2936"/>
      <c r="PKY73" s="2936"/>
      <c r="PKZ73" s="2936"/>
      <c r="PLA73" s="2936"/>
      <c r="PLB73" s="2936"/>
      <c r="PLC73" s="2936"/>
      <c r="PLD73" s="2936"/>
      <c r="PLE73" s="2936"/>
      <c r="PLF73" s="2936"/>
      <c r="PLG73" s="2936"/>
      <c r="PLH73" s="2936"/>
      <c r="PLI73" s="2936"/>
      <c r="PLJ73" s="2936"/>
      <c r="PLK73" s="2936"/>
      <c r="PLL73" s="2936"/>
      <c r="PLM73" s="2936"/>
      <c r="PLN73" s="2936"/>
      <c r="PLO73" s="2936"/>
      <c r="PLP73" s="2936"/>
      <c r="PLQ73" s="2936"/>
      <c r="PLR73" s="2936"/>
      <c r="PLS73" s="2936"/>
      <c r="PLT73" s="2936"/>
      <c r="PLU73" s="2936"/>
      <c r="PLV73" s="2936"/>
      <c r="PLW73" s="2936"/>
      <c r="PLX73" s="2936"/>
      <c r="PLY73" s="2936"/>
      <c r="PLZ73" s="2936"/>
      <c r="PMA73" s="2936"/>
      <c r="PMB73" s="2936"/>
      <c r="PMC73" s="2936"/>
      <c r="PMD73" s="2936"/>
      <c r="PME73" s="2936"/>
      <c r="PMF73" s="2936"/>
      <c r="PMG73" s="2936"/>
      <c r="PMH73" s="2936"/>
      <c r="PMI73" s="2936"/>
      <c r="PMJ73" s="2936"/>
      <c r="PMK73" s="2936"/>
      <c r="PML73" s="2936"/>
      <c r="PMM73" s="2936"/>
      <c r="PMN73" s="2936"/>
      <c r="PMO73" s="2936"/>
      <c r="PMP73" s="2936"/>
      <c r="PMQ73" s="2936"/>
      <c r="PMR73" s="2936"/>
      <c r="PMS73" s="2936"/>
      <c r="PMT73" s="2936"/>
      <c r="PMU73" s="2936"/>
      <c r="PMV73" s="2936"/>
      <c r="PMW73" s="2936"/>
      <c r="PMX73" s="2936"/>
      <c r="PMY73" s="2936"/>
      <c r="PMZ73" s="2936"/>
      <c r="PNA73" s="2936"/>
      <c r="PNB73" s="2936"/>
      <c r="PNC73" s="2936"/>
      <c r="PND73" s="2936"/>
      <c r="PNE73" s="2936"/>
      <c r="PNF73" s="2936"/>
      <c r="PNG73" s="2936"/>
      <c r="PNH73" s="2936"/>
      <c r="PNI73" s="2936"/>
      <c r="PNJ73" s="2936"/>
      <c r="PNK73" s="2936"/>
      <c r="PNL73" s="2936"/>
      <c r="PNM73" s="2936"/>
      <c r="PNN73" s="2936"/>
      <c r="PNO73" s="2936"/>
      <c r="PNP73" s="2936"/>
      <c r="PNQ73" s="2936"/>
      <c r="PNR73" s="2936"/>
      <c r="PNS73" s="2936"/>
      <c r="PNT73" s="2936"/>
      <c r="PNU73" s="2936"/>
      <c r="PNV73" s="2936"/>
      <c r="PNW73" s="2936"/>
      <c r="PNX73" s="2936"/>
      <c r="PNY73" s="2936"/>
      <c r="PNZ73" s="2936"/>
      <c r="POA73" s="2936"/>
      <c r="POB73" s="2936"/>
      <c r="POC73" s="2936"/>
      <c r="POD73" s="2936"/>
      <c r="POE73" s="2936"/>
      <c r="POF73" s="2936"/>
      <c r="POG73" s="2936"/>
      <c r="POH73" s="2936"/>
      <c r="POI73" s="2936"/>
      <c r="POJ73" s="2936"/>
      <c r="POK73" s="2936"/>
      <c r="POL73" s="2936"/>
      <c r="POM73" s="2936"/>
      <c r="PON73" s="2936"/>
      <c r="POO73" s="2936"/>
      <c r="POP73" s="2936"/>
      <c r="POQ73" s="2936"/>
      <c r="POR73" s="2936"/>
      <c r="POS73" s="2936"/>
      <c r="POT73" s="2936"/>
      <c r="POU73" s="2936"/>
      <c r="POV73" s="2936"/>
      <c r="POW73" s="2936"/>
      <c r="POX73" s="2936"/>
      <c r="POY73" s="2936"/>
      <c r="POZ73" s="2936"/>
      <c r="PPA73" s="2936"/>
      <c r="PPB73" s="2936"/>
      <c r="PPC73" s="2936"/>
      <c r="PPD73" s="2936"/>
      <c r="PPE73" s="2936"/>
      <c r="PPF73" s="2936"/>
      <c r="PPG73" s="2936"/>
      <c r="PPH73" s="2936"/>
      <c r="PPI73" s="2936"/>
      <c r="PPJ73" s="2936"/>
      <c r="PPK73" s="2936"/>
      <c r="PPL73" s="2936"/>
      <c r="PPM73" s="2936"/>
      <c r="PPN73" s="2936"/>
      <c r="PPO73" s="2936"/>
      <c r="PPP73" s="2936"/>
      <c r="PPQ73" s="2936"/>
      <c r="PPR73" s="2936"/>
      <c r="PPS73" s="2936"/>
      <c r="PPT73" s="2936"/>
      <c r="PPU73" s="2936"/>
      <c r="PPV73" s="2936"/>
      <c r="PPW73" s="2936"/>
      <c r="PPX73" s="2936"/>
      <c r="PPY73" s="2936"/>
      <c r="PPZ73" s="2936"/>
      <c r="PQA73" s="2936"/>
      <c r="PQB73" s="2936"/>
      <c r="PQC73" s="2936"/>
      <c r="PQD73" s="2936"/>
      <c r="PQE73" s="2936"/>
      <c r="PQF73" s="2936"/>
      <c r="PQG73" s="2936"/>
      <c r="PQH73" s="2936"/>
      <c r="PQI73" s="2936"/>
      <c r="PQJ73" s="2936"/>
      <c r="PQK73" s="2936"/>
      <c r="PQL73" s="2936"/>
      <c r="PQM73" s="2936"/>
      <c r="PQN73" s="2936"/>
      <c r="PQO73" s="2936"/>
      <c r="PQP73" s="2936"/>
      <c r="PQQ73" s="2936"/>
      <c r="PQR73" s="2936"/>
      <c r="PQS73" s="2936"/>
      <c r="PQT73" s="2936"/>
      <c r="PQU73" s="2936"/>
      <c r="PQV73" s="2936"/>
      <c r="PQW73" s="2936"/>
      <c r="PQX73" s="2936"/>
      <c r="PQY73" s="2936"/>
      <c r="PQZ73" s="2936"/>
      <c r="PRA73" s="2936"/>
      <c r="PRB73" s="2936"/>
      <c r="PRC73" s="2936"/>
      <c r="PRD73" s="2936"/>
      <c r="PRE73" s="2936"/>
      <c r="PRF73" s="2936"/>
      <c r="PRG73" s="2936"/>
      <c r="PRH73" s="2936"/>
      <c r="PRI73" s="2936"/>
      <c r="PRJ73" s="2936"/>
      <c r="PRK73" s="2936"/>
      <c r="PRL73" s="2936"/>
      <c r="PRM73" s="2936"/>
      <c r="PRN73" s="2936"/>
      <c r="PRO73" s="2936"/>
      <c r="PRP73" s="2936"/>
      <c r="PRQ73" s="2936"/>
      <c r="PRR73" s="2936"/>
      <c r="PRS73" s="2936"/>
      <c r="PRT73" s="2936"/>
      <c r="PRU73" s="2936"/>
      <c r="PRV73" s="2936"/>
      <c r="PRW73" s="2936"/>
      <c r="PRX73" s="2936"/>
      <c r="PRY73" s="2936"/>
      <c r="PRZ73" s="2936"/>
      <c r="PSA73" s="2936"/>
      <c r="PSB73" s="2936"/>
      <c r="PSC73" s="2936"/>
      <c r="PSD73" s="2936"/>
      <c r="PSE73" s="2936"/>
      <c r="PSF73" s="2936"/>
      <c r="PSG73" s="2936"/>
      <c r="PSH73" s="2936"/>
      <c r="PSI73" s="2936"/>
      <c r="PSJ73" s="2936"/>
      <c r="PSK73" s="2936"/>
      <c r="PSL73" s="2936"/>
      <c r="PSM73" s="2936"/>
      <c r="PSN73" s="2936"/>
      <c r="PSO73" s="2936"/>
      <c r="PSP73" s="2936"/>
      <c r="PSQ73" s="2936"/>
      <c r="PSR73" s="2936"/>
      <c r="PSS73" s="2936"/>
      <c r="PST73" s="2936"/>
      <c r="PSU73" s="2936"/>
      <c r="PSV73" s="2936"/>
      <c r="PSW73" s="2936"/>
      <c r="PSX73" s="2936"/>
      <c r="PSY73" s="2936"/>
      <c r="PSZ73" s="2936"/>
      <c r="PTA73" s="2936"/>
      <c r="PTB73" s="2936"/>
      <c r="PTC73" s="2936"/>
      <c r="PTD73" s="2936"/>
      <c r="PTE73" s="2936"/>
      <c r="PTF73" s="2936"/>
      <c r="PTG73" s="2936"/>
      <c r="PTH73" s="2936"/>
      <c r="PTI73" s="2936"/>
      <c r="PTJ73" s="2936"/>
      <c r="PTK73" s="2936"/>
      <c r="PTL73" s="2936"/>
      <c r="PTM73" s="2936"/>
      <c r="PTN73" s="2936"/>
      <c r="PTO73" s="2936"/>
      <c r="PTP73" s="2936"/>
      <c r="PTQ73" s="2936"/>
      <c r="PTR73" s="2936"/>
      <c r="PTS73" s="2936"/>
      <c r="PTT73" s="2936"/>
      <c r="PTU73" s="2936"/>
      <c r="PTV73" s="2936"/>
      <c r="PTW73" s="2936"/>
      <c r="PTX73" s="2936"/>
      <c r="PTY73" s="2936"/>
      <c r="PTZ73" s="2936"/>
      <c r="PUA73" s="2936"/>
      <c r="PUB73" s="2936"/>
      <c r="PUC73" s="2936"/>
      <c r="PUD73" s="2936"/>
      <c r="PUE73" s="2936"/>
      <c r="PUF73" s="2936"/>
      <c r="PUG73" s="2936"/>
      <c r="PUH73" s="2936"/>
      <c r="PUI73" s="2936"/>
      <c r="PUJ73" s="2936"/>
      <c r="PUK73" s="2936"/>
      <c r="PUL73" s="2936"/>
      <c r="PUM73" s="2936"/>
      <c r="PUN73" s="2936"/>
      <c r="PUO73" s="2936"/>
      <c r="PUP73" s="2936"/>
      <c r="PUQ73" s="2936"/>
      <c r="PUR73" s="2936"/>
      <c r="PUS73" s="2936"/>
      <c r="PUT73" s="2936"/>
      <c r="PUU73" s="2936"/>
      <c r="PUV73" s="2936"/>
      <c r="PUW73" s="2936"/>
      <c r="PUX73" s="2936"/>
      <c r="PUY73" s="2936"/>
      <c r="PUZ73" s="2936"/>
      <c r="PVA73" s="2936"/>
      <c r="PVB73" s="2936"/>
      <c r="PVC73" s="2936"/>
      <c r="PVD73" s="2936"/>
      <c r="PVE73" s="2936"/>
      <c r="PVF73" s="2936"/>
      <c r="PVG73" s="2936"/>
      <c r="PVH73" s="2936"/>
      <c r="PVI73" s="2936"/>
      <c r="PVJ73" s="2936"/>
      <c r="PVK73" s="2936"/>
      <c r="PVL73" s="2936"/>
      <c r="PVM73" s="2936"/>
      <c r="PVN73" s="2936"/>
      <c r="PVO73" s="2936"/>
      <c r="PVP73" s="2936"/>
      <c r="PVQ73" s="2936"/>
      <c r="PVR73" s="2936"/>
      <c r="PVS73" s="2936"/>
      <c r="PVT73" s="2936"/>
      <c r="PVU73" s="2936"/>
      <c r="PVV73" s="2936"/>
      <c r="PVW73" s="2936"/>
      <c r="PVX73" s="2936"/>
      <c r="PVY73" s="2936"/>
      <c r="PVZ73" s="2936"/>
      <c r="PWA73" s="2936"/>
      <c r="PWB73" s="2936"/>
      <c r="PWC73" s="2936"/>
      <c r="PWD73" s="2936"/>
      <c r="PWE73" s="2936"/>
      <c r="PWF73" s="2936"/>
      <c r="PWG73" s="2936"/>
      <c r="PWH73" s="2936"/>
      <c r="PWI73" s="2936"/>
      <c r="PWJ73" s="2936"/>
      <c r="PWK73" s="2936"/>
      <c r="PWL73" s="2936"/>
      <c r="PWM73" s="2936"/>
      <c r="PWN73" s="2936"/>
      <c r="PWO73" s="2936"/>
      <c r="PWP73" s="2936"/>
      <c r="PWQ73" s="2936"/>
      <c r="PWR73" s="2936"/>
      <c r="PWS73" s="2936"/>
      <c r="PWT73" s="2936"/>
      <c r="PWU73" s="2936"/>
      <c r="PWV73" s="2936"/>
      <c r="PWW73" s="2936"/>
      <c r="PWX73" s="2936"/>
      <c r="PWY73" s="2936"/>
      <c r="PWZ73" s="2936"/>
      <c r="PXA73" s="2936"/>
      <c r="PXB73" s="2936"/>
      <c r="PXC73" s="2936"/>
      <c r="PXD73" s="2936"/>
      <c r="PXE73" s="2936"/>
      <c r="PXF73" s="2936"/>
      <c r="PXG73" s="2936"/>
      <c r="PXH73" s="2936"/>
      <c r="PXI73" s="2936"/>
      <c r="PXJ73" s="2936"/>
      <c r="PXK73" s="2936"/>
      <c r="PXL73" s="2936"/>
      <c r="PXM73" s="2936"/>
      <c r="PXN73" s="2936"/>
      <c r="PXO73" s="2936"/>
      <c r="PXP73" s="2936"/>
      <c r="PXQ73" s="2936"/>
      <c r="PXR73" s="2936"/>
      <c r="PXS73" s="2936"/>
      <c r="PXT73" s="2936"/>
      <c r="PXU73" s="2936"/>
      <c r="PXV73" s="2936"/>
      <c r="PXW73" s="2936"/>
      <c r="PXX73" s="2936"/>
      <c r="PXY73" s="2936"/>
      <c r="PXZ73" s="2936"/>
      <c r="PYA73" s="2936"/>
      <c r="PYB73" s="2936"/>
      <c r="PYC73" s="2936"/>
      <c r="PYD73" s="2936"/>
      <c r="PYE73" s="2936"/>
      <c r="PYF73" s="2936"/>
      <c r="PYG73" s="2936"/>
      <c r="PYH73" s="2936"/>
      <c r="PYI73" s="2936"/>
      <c r="PYJ73" s="2936"/>
      <c r="PYK73" s="2936"/>
      <c r="PYL73" s="2936"/>
      <c r="PYM73" s="2936"/>
      <c r="PYN73" s="2936"/>
      <c r="PYO73" s="2936"/>
      <c r="PYP73" s="2936"/>
      <c r="PYQ73" s="2936"/>
      <c r="PYR73" s="2936"/>
      <c r="PYS73" s="2936"/>
      <c r="PYT73" s="2936"/>
      <c r="PYU73" s="2936"/>
      <c r="PYV73" s="2936"/>
      <c r="PYW73" s="2936"/>
      <c r="PYX73" s="2936"/>
      <c r="PYY73" s="2936"/>
      <c r="PYZ73" s="2936"/>
      <c r="PZA73" s="2936"/>
      <c r="PZB73" s="2936"/>
      <c r="PZC73" s="2936"/>
      <c r="PZD73" s="2936"/>
      <c r="PZE73" s="2936"/>
      <c r="PZF73" s="2936"/>
      <c r="PZG73" s="2936"/>
      <c r="PZH73" s="2936"/>
      <c r="PZI73" s="2936"/>
      <c r="PZJ73" s="2936"/>
      <c r="PZK73" s="2936"/>
      <c r="PZL73" s="2936"/>
      <c r="PZM73" s="2936"/>
      <c r="PZN73" s="2936"/>
      <c r="PZO73" s="2936"/>
      <c r="PZP73" s="2936"/>
      <c r="PZQ73" s="2936"/>
      <c r="PZR73" s="2936"/>
      <c r="PZS73" s="2936"/>
      <c r="PZT73" s="2936"/>
      <c r="PZU73" s="2936"/>
      <c r="PZV73" s="2936"/>
      <c r="PZW73" s="2936"/>
      <c r="PZX73" s="2936"/>
      <c r="PZY73" s="2936"/>
      <c r="PZZ73" s="2936"/>
      <c r="QAA73" s="2936"/>
      <c r="QAB73" s="2936"/>
      <c r="QAC73" s="2936"/>
      <c r="QAD73" s="2936"/>
      <c r="QAE73" s="2936"/>
      <c r="QAF73" s="2936"/>
      <c r="QAG73" s="2936"/>
      <c r="QAH73" s="2936"/>
      <c r="QAI73" s="2936"/>
      <c r="QAJ73" s="2936"/>
      <c r="QAK73" s="2936"/>
      <c r="QAL73" s="2936"/>
      <c r="QAM73" s="2936"/>
      <c r="QAN73" s="2936"/>
      <c r="QAO73" s="2936"/>
      <c r="QAP73" s="2936"/>
      <c r="QAQ73" s="2936"/>
      <c r="QAR73" s="2936"/>
      <c r="QAS73" s="2936"/>
      <c r="QAT73" s="2936"/>
      <c r="QAU73" s="2936"/>
      <c r="QAV73" s="2936"/>
      <c r="QAW73" s="2936"/>
      <c r="QAX73" s="2936"/>
      <c r="QAY73" s="2936"/>
      <c r="QAZ73" s="2936"/>
      <c r="QBA73" s="2936"/>
      <c r="QBB73" s="2936"/>
      <c r="QBC73" s="2936"/>
      <c r="QBD73" s="2936"/>
      <c r="QBE73" s="2936"/>
      <c r="QBF73" s="2936"/>
      <c r="QBG73" s="2936"/>
      <c r="QBH73" s="2936"/>
      <c r="QBI73" s="2936"/>
      <c r="QBJ73" s="2936"/>
      <c r="QBK73" s="2936"/>
      <c r="QBL73" s="2936"/>
      <c r="QBM73" s="2936"/>
      <c r="QBN73" s="2936"/>
      <c r="QBO73" s="2936"/>
      <c r="QBP73" s="2936"/>
      <c r="QBQ73" s="2936"/>
      <c r="QBR73" s="2936"/>
      <c r="QBS73" s="2936"/>
      <c r="QBT73" s="2936"/>
      <c r="QBU73" s="2936"/>
      <c r="QBV73" s="2936"/>
      <c r="QBW73" s="2936"/>
      <c r="QBX73" s="2936"/>
      <c r="QBY73" s="2936"/>
      <c r="QBZ73" s="2936"/>
      <c r="QCA73" s="2936"/>
      <c r="QCB73" s="2936"/>
      <c r="QCC73" s="2936"/>
      <c r="QCD73" s="2936"/>
      <c r="QCE73" s="2936"/>
      <c r="QCF73" s="2936"/>
      <c r="QCG73" s="2936"/>
      <c r="QCH73" s="2936"/>
      <c r="QCI73" s="2936"/>
      <c r="QCJ73" s="2936"/>
      <c r="QCK73" s="2936"/>
      <c r="QCL73" s="2936"/>
      <c r="QCM73" s="2936"/>
      <c r="QCN73" s="2936"/>
      <c r="QCO73" s="2936"/>
      <c r="QCP73" s="2936"/>
      <c r="QCQ73" s="2936"/>
      <c r="QCR73" s="2936"/>
      <c r="QCS73" s="2936"/>
      <c r="QCT73" s="2936"/>
      <c r="QCU73" s="2936"/>
      <c r="QCV73" s="2936"/>
      <c r="QCW73" s="2936"/>
      <c r="QCX73" s="2936"/>
      <c r="QCY73" s="2936"/>
      <c r="QCZ73" s="2936"/>
      <c r="QDA73" s="2936"/>
      <c r="QDB73" s="2936"/>
      <c r="QDC73" s="2936"/>
      <c r="QDD73" s="2936"/>
      <c r="QDE73" s="2936"/>
      <c r="QDF73" s="2936"/>
      <c r="QDG73" s="2936"/>
      <c r="QDH73" s="2936"/>
      <c r="QDI73" s="2936"/>
      <c r="QDJ73" s="2936"/>
      <c r="QDK73" s="2936"/>
      <c r="QDL73" s="2936"/>
      <c r="QDM73" s="2936"/>
      <c r="QDN73" s="2936"/>
      <c r="QDO73" s="2936"/>
      <c r="QDP73" s="2936"/>
      <c r="QDQ73" s="2936"/>
      <c r="QDR73" s="2936"/>
      <c r="QDS73" s="2936"/>
      <c r="QDT73" s="2936"/>
      <c r="QDU73" s="2936"/>
      <c r="QDV73" s="2936"/>
      <c r="QDW73" s="2936"/>
      <c r="QDX73" s="2936"/>
      <c r="QDY73" s="2936"/>
      <c r="QDZ73" s="2936"/>
      <c r="QEA73" s="2936"/>
      <c r="QEB73" s="2936"/>
      <c r="QEC73" s="2936"/>
      <c r="QED73" s="2936"/>
      <c r="QEE73" s="2936"/>
      <c r="QEF73" s="2936"/>
      <c r="QEG73" s="2936"/>
      <c r="QEH73" s="2936"/>
      <c r="QEI73" s="2936"/>
      <c r="QEJ73" s="2936"/>
      <c r="QEK73" s="2936"/>
      <c r="QEL73" s="2936"/>
      <c r="QEM73" s="2936"/>
      <c r="QEN73" s="2936"/>
      <c r="QEO73" s="2936"/>
      <c r="QEP73" s="2936"/>
      <c r="QEQ73" s="2936"/>
      <c r="QER73" s="2936"/>
      <c r="QES73" s="2936"/>
      <c r="QET73" s="2936"/>
      <c r="QEU73" s="2936"/>
      <c r="QEV73" s="2936"/>
      <c r="QEW73" s="2936"/>
      <c r="QEX73" s="2936"/>
      <c r="QEY73" s="2936"/>
      <c r="QEZ73" s="2936"/>
      <c r="QFA73" s="2936"/>
      <c r="QFB73" s="2936"/>
      <c r="QFC73" s="2936"/>
      <c r="QFD73" s="2936"/>
      <c r="QFE73" s="2936"/>
      <c r="QFF73" s="2936"/>
      <c r="QFG73" s="2936"/>
      <c r="QFH73" s="2936"/>
      <c r="QFI73" s="2936"/>
      <c r="QFJ73" s="2936"/>
      <c r="QFK73" s="2936"/>
      <c r="QFL73" s="2936"/>
      <c r="QFM73" s="2936"/>
      <c r="QFN73" s="2936"/>
      <c r="QFO73" s="2936"/>
      <c r="QFP73" s="2936"/>
      <c r="QFQ73" s="2936"/>
      <c r="QFR73" s="2936"/>
      <c r="QFS73" s="2936"/>
      <c r="QFT73" s="2936"/>
      <c r="QFU73" s="2936"/>
      <c r="QFV73" s="2936"/>
      <c r="QFW73" s="2936"/>
      <c r="QFX73" s="2936"/>
      <c r="QFY73" s="2936"/>
      <c r="QFZ73" s="2936"/>
      <c r="QGA73" s="2936"/>
      <c r="QGB73" s="2936"/>
      <c r="QGC73" s="2936"/>
      <c r="QGD73" s="2936"/>
      <c r="QGE73" s="2936"/>
      <c r="QGF73" s="2936"/>
      <c r="QGG73" s="2936"/>
      <c r="QGH73" s="2936"/>
      <c r="QGI73" s="2936"/>
      <c r="QGJ73" s="2936"/>
      <c r="QGK73" s="2936"/>
      <c r="QGL73" s="2936"/>
      <c r="QGM73" s="2936"/>
      <c r="QGN73" s="2936"/>
      <c r="QGO73" s="2936"/>
      <c r="QGP73" s="2936"/>
      <c r="QGQ73" s="2936"/>
      <c r="QGR73" s="2936"/>
      <c r="QGS73" s="2936"/>
      <c r="QGT73" s="2936"/>
      <c r="QGU73" s="2936"/>
      <c r="QGV73" s="2936"/>
      <c r="QGW73" s="2936"/>
      <c r="QGX73" s="2936"/>
      <c r="QGY73" s="2936"/>
      <c r="QGZ73" s="2936"/>
      <c r="QHA73" s="2936"/>
      <c r="QHB73" s="2936"/>
      <c r="QHC73" s="2936"/>
      <c r="QHD73" s="2936"/>
      <c r="QHE73" s="2936"/>
      <c r="QHF73" s="2936"/>
      <c r="QHG73" s="2936"/>
      <c r="QHH73" s="2936"/>
      <c r="QHI73" s="2936"/>
      <c r="QHJ73" s="2936"/>
      <c r="QHK73" s="2936"/>
      <c r="QHL73" s="2936"/>
      <c r="QHM73" s="2936"/>
      <c r="QHN73" s="2936"/>
      <c r="QHO73" s="2936"/>
      <c r="QHP73" s="2936"/>
      <c r="QHQ73" s="2936"/>
      <c r="QHR73" s="2936"/>
      <c r="QHS73" s="2936"/>
      <c r="QHT73" s="2936"/>
      <c r="QHU73" s="2936"/>
      <c r="QHV73" s="2936"/>
      <c r="QHW73" s="2936"/>
      <c r="QHX73" s="2936"/>
      <c r="QHY73" s="2936"/>
      <c r="QHZ73" s="2936"/>
      <c r="QIA73" s="2936"/>
      <c r="QIB73" s="2936"/>
      <c r="QIC73" s="2936"/>
      <c r="QID73" s="2936"/>
      <c r="QIE73" s="2936"/>
      <c r="QIF73" s="2936"/>
      <c r="QIG73" s="2936"/>
      <c r="QIH73" s="2936"/>
      <c r="QII73" s="2936"/>
      <c r="QIJ73" s="2936"/>
      <c r="QIK73" s="2936"/>
      <c r="QIL73" s="2936"/>
      <c r="QIM73" s="2936"/>
      <c r="QIN73" s="2936"/>
      <c r="QIO73" s="2936"/>
      <c r="QIP73" s="2936"/>
      <c r="QIQ73" s="2936"/>
      <c r="QIR73" s="2936"/>
      <c r="QIS73" s="2936"/>
      <c r="QIT73" s="2936"/>
      <c r="QIU73" s="2936"/>
      <c r="QIV73" s="2936"/>
      <c r="QIW73" s="2936"/>
      <c r="QIX73" s="2936"/>
      <c r="QIY73" s="2936"/>
      <c r="QIZ73" s="2936"/>
      <c r="QJA73" s="2936"/>
      <c r="QJB73" s="2936"/>
      <c r="QJC73" s="2936"/>
      <c r="QJD73" s="2936"/>
      <c r="QJE73" s="2936"/>
      <c r="QJF73" s="2936"/>
      <c r="QJG73" s="2936"/>
      <c r="QJH73" s="2936"/>
      <c r="QJI73" s="2936"/>
      <c r="QJJ73" s="2936"/>
      <c r="QJK73" s="2936"/>
      <c r="QJL73" s="2936"/>
      <c r="QJM73" s="2936"/>
      <c r="QJN73" s="2936"/>
      <c r="QJO73" s="2936"/>
      <c r="QJP73" s="2936"/>
      <c r="QJQ73" s="2936"/>
      <c r="QJR73" s="2936"/>
      <c r="QJS73" s="2936"/>
      <c r="QJT73" s="2936"/>
      <c r="QJU73" s="2936"/>
      <c r="QJV73" s="2936"/>
      <c r="QJW73" s="2936"/>
      <c r="QJX73" s="2936"/>
      <c r="QJY73" s="2936"/>
      <c r="QJZ73" s="2936"/>
      <c r="QKA73" s="2936"/>
      <c r="QKB73" s="2936"/>
      <c r="QKC73" s="2936"/>
      <c r="QKD73" s="2936"/>
      <c r="QKE73" s="2936"/>
      <c r="QKF73" s="2936"/>
      <c r="QKG73" s="2936"/>
      <c r="QKH73" s="2936"/>
      <c r="QKI73" s="2936"/>
      <c r="QKJ73" s="2936"/>
      <c r="QKK73" s="2936"/>
      <c r="QKL73" s="2936"/>
      <c r="QKM73" s="2936"/>
      <c r="QKN73" s="2936"/>
      <c r="QKO73" s="2936"/>
      <c r="QKP73" s="2936"/>
      <c r="QKQ73" s="2936"/>
      <c r="QKR73" s="2936"/>
      <c r="QKS73" s="2936"/>
      <c r="QKT73" s="2936"/>
      <c r="QKU73" s="2936"/>
      <c r="QKV73" s="2936"/>
      <c r="QKW73" s="2936"/>
      <c r="QKX73" s="2936"/>
      <c r="QKY73" s="2936"/>
      <c r="QKZ73" s="2936"/>
      <c r="QLA73" s="2936"/>
      <c r="QLB73" s="2936"/>
      <c r="QLC73" s="2936"/>
      <c r="QLD73" s="2936"/>
      <c r="QLE73" s="2936"/>
      <c r="QLF73" s="2936"/>
      <c r="QLG73" s="2936"/>
      <c r="QLH73" s="2936"/>
      <c r="QLI73" s="2936"/>
      <c r="QLJ73" s="2936"/>
      <c r="QLK73" s="2936"/>
      <c r="QLL73" s="2936"/>
      <c r="QLM73" s="2936"/>
      <c r="QLN73" s="2936"/>
      <c r="QLO73" s="2936"/>
      <c r="QLP73" s="2936"/>
      <c r="QLQ73" s="2936"/>
      <c r="QLR73" s="2936"/>
      <c r="QLS73" s="2936"/>
      <c r="QLT73" s="2936"/>
      <c r="QLU73" s="2936"/>
      <c r="QLV73" s="2936"/>
      <c r="QLW73" s="2936"/>
      <c r="QLX73" s="2936"/>
      <c r="QLY73" s="2936"/>
      <c r="QLZ73" s="2936"/>
      <c r="QMA73" s="2936"/>
      <c r="QMB73" s="2936"/>
      <c r="QMC73" s="2936"/>
      <c r="QMD73" s="2936"/>
      <c r="QME73" s="2936"/>
      <c r="QMF73" s="2936"/>
      <c r="QMG73" s="2936"/>
      <c r="QMH73" s="2936"/>
      <c r="QMI73" s="2936"/>
      <c r="QMJ73" s="2936"/>
      <c r="QMK73" s="2936"/>
      <c r="QML73" s="2936"/>
      <c r="QMM73" s="2936"/>
      <c r="QMN73" s="2936"/>
      <c r="QMO73" s="2936"/>
      <c r="QMP73" s="2936"/>
      <c r="QMQ73" s="2936"/>
      <c r="QMR73" s="2936"/>
      <c r="QMS73" s="2936"/>
      <c r="QMT73" s="2936"/>
      <c r="QMU73" s="2936"/>
      <c r="QMV73" s="2936"/>
      <c r="QMW73" s="2936"/>
      <c r="QMX73" s="2936"/>
      <c r="QMY73" s="2936"/>
      <c r="QMZ73" s="2936"/>
      <c r="QNA73" s="2936"/>
      <c r="QNB73" s="2936"/>
      <c r="QNC73" s="2936"/>
      <c r="QND73" s="2936"/>
      <c r="QNE73" s="2936"/>
      <c r="QNF73" s="2936"/>
      <c r="QNG73" s="2936"/>
      <c r="QNH73" s="2936"/>
      <c r="QNI73" s="2936"/>
      <c r="QNJ73" s="2936"/>
      <c r="QNK73" s="2936"/>
      <c r="QNL73" s="2936"/>
      <c r="QNM73" s="2936"/>
      <c r="QNN73" s="2936"/>
      <c r="QNO73" s="2936"/>
      <c r="QNP73" s="2936"/>
      <c r="QNQ73" s="2936"/>
      <c r="QNR73" s="2936"/>
      <c r="QNS73" s="2936"/>
      <c r="QNT73" s="2936"/>
      <c r="QNU73" s="2936"/>
      <c r="QNV73" s="2936"/>
      <c r="QNW73" s="2936"/>
      <c r="QNX73" s="2936"/>
      <c r="QNY73" s="2936"/>
      <c r="QNZ73" s="2936"/>
      <c r="QOA73" s="2936"/>
      <c r="QOB73" s="2936"/>
      <c r="QOC73" s="2936"/>
      <c r="QOD73" s="2936"/>
      <c r="QOE73" s="2936"/>
      <c r="QOF73" s="2936"/>
      <c r="QOG73" s="2936"/>
      <c r="QOH73" s="2936"/>
      <c r="QOI73" s="2936"/>
      <c r="QOJ73" s="2936"/>
      <c r="QOK73" s="2936"/>
      <c r="QOL73" s="2936"/>
      <c r="QOM73" s="2936"/>
      <c r="QON73" s="2936"/>
      <c r="QOO73" s="2936"/>
      <c r="QOP73" s="2936"/>
      <c r="QOQ73" s="2936"/>
      <c r="QOR73" s="2936"/>
      <c r="QOS73" s="2936"/>
      <c r="QOT73" s="2936"/>
      <c r="QOU73" s="2936"/>
      <c r="QOV73" s="2936"/>
      <c r="QOW73" s="2936"/>
      <c r="QOX73" s="2936"/>
      <c r="QOY73" s="2936"/>
      <c r="QOZ73" s="2936"/>
      <c r="QPA73" s="2936"/>
      <c r="QPB73" s="2936"/>
      <c r="QPC73" s="2936"/>
      <c r="QPD73" s="2936"/>
      <c r="QPE73" s="2936"/>
      <c r="QPF73" s="2936"/>
      <c r="QPG73" s="2936"/>
      <c r="QPH73" s="2936"/>
      <c r="QPI73" s="2936"/>
      <c r="QPJ73" s="2936"/>
      <c r="QPK73" s="2936"/>
      <c r="QPL73" s="2936"/>
      <c r="QPM73" s="2936"/>
      <c r="QPN73" s="2936"/>
      <c r="QPO73" s="2936"/>
      <c r="QPP73" s="2936"/>
      <c r="QPQ73" s="2936"/>
      <c r="QPR73" s="2936"/>
      <c r="QPS73" s="2936"/>
      <c r="QPT73" s="2936"/>
      <c r="QPU73" s="2936"/>
      <c r="QPV73" s="2936"/>
      <c r="QPW73" s="2936"/>
      <c r="QPX73" s="2936"/>
      <c r="QPY73" s="2936"/>
      <c r="QPZ73" s="2936"/>
      <c r="QQA73" s="2936"/>
      <c r="QQB73" s="2936"/>
      <c r="QQC73" s="2936"/>
      <c r="QQD73" s="2936"/>
      <c r="QQE73" s="2936"/>
      <c r="QQF73" s="2936"/>
      <c r="QQG73" s="2936"/>
      <c r="QQH73" s="2936"/>
      <c r="QQI73" s="2936"/>
      <c r="QQJ73" s="2936"/>
      <c r="QQK73" s="2936"/>
      <c r="QQL73" s="2936"/>
      <c r="QQM73" s="2936"/>
      <c r="QQN73" s="2936"/>
      <c r="QQO73" s="2936"/>
      <c r="QQP73" s="2936"/>
      <c r="QQQ73" s="2936"/>
      <c r="QQR73" s="2936"/>
      <c r="QQS73" s="2936"/>
      <c r="QQT73" s="2936"/>
      <c r="QQU73" s="2936"/>
      <c r="QQV73" s="2936"/>
      <c r="QQW73" s="2936"/>
      <c r="QQX73" s="2936"/>
      <c r="QQY73" s="2936"/>
      <c r="QQZ73" s="2936"/>
      <c r="QRA73" s="2936"/>
      <c r="QRB73" s="2936"/>
      <c r="QRC73" s="2936"/>
      <c r="QRD73" s="2936"/>
      <c r="QRE73" s="2936"/>
      <c r="QRF73" s="2936"/>
      <c r="QRG73" s="2936"/>
      <c r="QRH73" s="2936"/>
      <c r="QRI73" s="2936"/>
      <c r="QRJ73" s="2936"/>
      <c r="QRK73" s="2936"/>
      <c r="QRL73" s="2936"/>
      <c r="QRM73" s="2936"/>
      <c r="QRN73" s="2936"/>
      <c r="QRO73" s="2936"/>
      <c r="QRP73" s="2936"/>
      <c r="QRQ73" s="2936"/>
      <c r="QRR73" s="2936"/>
      <c r="QRS73" s="2936"/>
      <c r="QRT73" s="2936"/>
      <c r="QRU73" s="2936"/>
      <c r="QRV73" s="2936"/>
      <c r="QRW73" s="2936"/>
      <c r="QRX73" s="2936"/>
      <c r="QRY73" s="2936"/>
      <c r="QRZ73" s="2936"/>
      <c r="QSA73" s="2936"/>
      <c r="QSB73" s="2936"/>
      <c r="QSC73" s="2936"/>
      <c r="QSD73" s="2936"/>
      <c r="QSE73" s="2936"/>
      <c r="QSF73" s="2936"/>
      <c r="QSG73" s="2936"/>
      <c r="QSH73" s="2936"/>
      <c r="QSI73" s="2936"/>
      <c r="QSJ73" s="2936"/>
      <c r="QSK73" s="2936"/>
      <c r="QSL73" s="2936"/>
      <c r="QSM73" s="2936"/>
      <c r="QSN73" s="2936"/>
      <c r="QSO73" s="2936"/>
      <c r="QSP73" s="2936"/>
      <c r="QSQ73" s="2936"/>
      <c r="QSR73" s="2936"/>
      <c r="QSS73" s="2936"/>
      <c r="QST73" s="2936"/>
      <c r="QSU73" s="2936"/>
      <c r="QSV73" s="2936"/>
      <c r="QSW73" s="2936"/>
      <c r="QSX73" s="2936"/>
      <c r="QSY73" s="2936"/>
      <c r="QSZ73" s="2936"/>
      <c r="QTA73" s="2936"/>
      <c r="QTB73" s="2936"/>
      <c r="QTC73" s="2936"/>
      <c r="QTD73" s="2936"/>
      <c r="QTE73" s="2936"/>
      <c r="QTF73" s="2936"/>
      <c r="QTG73" s="2936"/>
      <c r="QTH73" s="2936"/>
      <c r="QTI73" s="2936"/>
      <c r="QTJ73" s="2936"/>
      <c r="QTK73" s="2936"/>
      <c r="QTL73" s="2936"/>
      <c r="QTM73" s="2936"/>
      <c r="QTN73" s="2936"/>
      <c r="QTO73" s="2936"/>
      <c r="QTP73" s="2936"/>
      <c r="QTQ73" s="2936"/>
      <c r="QTR73" s="2936"/>
      <c r="QTS73" s="2936"/>
      <c r="QTT73" s="2936"/>
      <c r="QTU73" s="2936"/>
      <c r="QTV73" s="2936"/>
      <c r="QTW73" s="2936"/>
      <c r="QTX73" s="2936"/>
      <c r="QTY73" s="2936"/>
      <c r="QTZ73" s="2936"/>
      <c r="QUA73" s="2936"/>
      <c r="QUB73" s="2936"/>
      <c r="QUC73" s="2936"/>
      <c r="QUD73" s="2936"/>
      <c r="QUE73" s="2936"/>
      <c r="QUF73" s="2936"/>
      <c r="QUG73" s="2936"/>
      <c r="QUH73" s="2936"/>
      <c r="QUI73" s="2936"/>
      <c r="QUJ73" s="2936"/>
      <c r="QUK73" s="2936"/>
      <c r="QUL73" s="2936"/>
      <c r="QUM73" s="2936"/>
      <c r="QUN73" s="2936"/>
      <c r="QUO73" s="2936"/>
      <c r="QUP73" s="2936"/>
      <c r="QUQ73" s="2936"/>
      <c r="QUR73" s="2936"/>
      <c r="QUS73" s="2936"/>
      <c r="QUT73" s="2936"/>
      <c r="QUU73" s="2936"/>
      <c r="QUV73" s="2936"/>
      <c r="QUW73" s="2936"/>
      <c r="QUX73" s="2936"/>
      <c r="QUY73" s="2936"/>
      <c r="QUZ73" s="2936"/>
      <c r="QVA73" s="2936"/>
      <c r="QVB73" s="2936"/>
      <c r="QVC73" s="2936"/>
      <c r="QVD73" s="2936"/>
      <c r="QVE73" s="2936"/>
      <c r="QVF73" s="2936"/>
      <c r="QVG73" s="2936"/>
      <c r="QVH73" s="2936"/>
      <c r="QVI73" s="2936"/>
      <c r="QVJ73" s="2936"/>
      <c r="QVK73" s="2936"/>
      <c r="QVL73" s="2936"/>
      <c r="QVM73" s="2936"/>
      <c r="QVN73" s="2936"/>
      <c r="QVO73" s="2936"/>
      <c r="QVP73" s="2936"/>
      <c r="QVQ73" s="2936"/>
      <c r="QVR73" s="2936"/>
      <c r="QVS73" s="2936"/>
      <c r="QVT73" s="2936"/>
      <c r="QVU73" s="2936"/>
      <c r="QVV73" s="2936"/>
      <c r="QVW73" s="2936"/>
      <c r="QVX73" s="2936"/>
      <c r="QVY73" s="2936"/>
      <c r="QVZ73" s="2936"/>
      <c r="QWA73" s="2936"/>
      <c r="QWB73" s="2936"/>
      <c r="QWC73" s="2936"/>
      <c r="QWD73" s="2936"/>
      <c r="QWE73" s="2936"/>
      <c r="QWF73" s="2936"/>
      <c r="QWG73" s="2936"/>
      <c r="QWH73" s="2936"/>
      <c r="QWI73" s="2936"/>
      <c r="QWJ73" s="2936"/>
      <c r="QWK73" s="2936"/>
      <c r="QWL73" s="2936"/>
      <c r="QWM73" s="2936"/>
      <c r="QWN73" s="2936"/>
      <c r="QWO73" s="2936"/>
      <c r="QWP73" s="2936"/>
      <c r="QWQ73" s="2936"/>
      <c r="QWR73" s="2936"/>
      <c r="QWS73" s="2936"/>
      <c r="QWT73" s="2936"/>
      <c r="QWU73" s="2936"/>
      <c r="QWV73" s="2936"/>
      <c r="QWW73" s="2936"/>
      <c r="QWX73" s="2936"/>
      <c r="QWY73" s="2936"/>
      <c r="QWZ73" s="2936"/>
      <c r="QXA73" s="2936"/>
      <c r="QXB73" s="2936"/>
      <c r="QXC73" s="2936"/>
      <c r="QXD73" s="2936"/>
      <c r="QXE73" s="2936"/>
      <c r="QXF73" s="2936"/>
      <c r="QXG73" s="2936"/>
      <c r="QXH73" s="2936"/>
      <c r="QXI73" s="2936"/>
      <c r="QXJ73" s="2936"/>
      <c r="QXK73" s="2936"/>
      <c r="QXL73" s="2936"/>
      <c r="QXM73" s="2936"/>
      <c r="QXN73" s="2936"/>
      <c r="QXO73" s="2936"/>
      <c r="QXP73" s="2936"/>
      <c r="QXQ73" s="2936"/>
      <c r="QXR73" s="2936"/>
      <c r="QXS73" s="2936"/>
      <c r="QXT73" s="2936"/>
      <c r="QXU73" s="2936"/>
      <c r="QXV73" s="2936"/>
      <c r="QXW73" s="2936"/>
      <c r="QXX73" s="2936"/>
      <c r="QXY73" s="2936"/>
      <c r="QXZ73" s="2936"/>
      <c r="QYA73" s="2936"/>
      <c r="QYB73" s="2936"/>
      <c r="QYC73" s="2936"/>
      <c r="QYD73" s="2936"/>
      <c r="QYE73" s="2936"/>
      <c r="QYF73" s="2936"/>
      <c r="QYG73" s="2936"/>
      <c r="QYH73" s="2936"/>
      <c r="QYI73" s="2936"/>
      <c r="QYJ73" s="2936"/>
      <c r="QYK73" s="2936"/>
      <c r="QYL73" s="2936"/>
      <c r="QYM73" s="2936"/>
      <c r="QYN73" s="2936"/>
      <c r="QYO73" s="2936"/>
      <c r="QYP73" s="2936"/>
      <c r="QYQ73" s="2936"/>
      <c r="QYR73" s="2936"/>
      <c r="QYS73" s="2936"/>
      <c r="QYT73" s="2936"/>
      <c r="QYU73" s="2936"/>
      <c r="QYV73" s="2936"/>
      <c r="QYW73" s="2936"/>
      <c r="QYX73" s="2936"/>
      <c r="QYY73" s="2936"/>
      <c r="QYZ73" s="2936"/>
      <c r="QZA73" s="2936"/>
      <c r="QZB73" s="2936"/>
      <c r="QZC73" s="2936"/>
      <c r="QZD73" s="2936"/>
      <c r="QZE73" s="2936"/>
      <c r="QZF73" s="2936"/>
      <c r="QZG73" s="2936"/>
      <c r="QZH73" s="2936"/>
      <c r="QZI73" s="2936"/>
      <c r="QZJ73" s="2936"/>
      <c r="QZK73" s="2936"/>
      <c r="QZL73" s="2936"/>
      <c r="QZM73" s="2936"/>
      <c r="QZN73" s="2936"/>
      <c r="QZO73" s="2936"/>
      <c r="QZP73" s="2936"/>
      <c r="QZQ73" s="2936"/>
      <c r="QZR73" s="2936"/>
      <c r="QZS73" s="2936"/>
      <c r="QZT73" s="2936"/>
      <c r="QZU73" s="2936"/>
      <c r="QZV73" s="2936"/>
      <c r="QZW73" s="2936"/>
      <c r="QZX73" s="2936"/>
      <c r="QZY73" s="2936"/>
      <c r="QZZ73" s="2936"/>
      <c r="RAA73" s="2936"/>
      <c r="RAB73" s="2936"/>
      <c r="RAC73" s="2936"/>
      <c r="RAD73" s="2936"/>
      <c r="RAE73" s="2936"/>
      <c r="RAF73" s="2936"/>
      <c r="RAG73" s="2936"/>
      <c r="RAH73" s="2936"/>
      <c r="RAI73" s="2936"/>
      <c r="RAJ73" s="2936"/>
      <c r="RAK73" s="2936"/>
      <c r="RAL73" s="2936"/>
      <c r="RAM73" s="2936"/>
      <c r="RAN73" s="2936"/>
      <c r="RAO73" s="2936"/>
      <c r="RAP73" s="2936"/>
      <c r="RAQ73" s="2936"/>
      <c r="RAR73" s="2936"/>
      <c r="RAS73" s="2936"/>
      <c r="RAT73" s="2936"/>
      <c r="RAU73" s="2936"/>
      <c r="RAV73" s="2936"/>
      <c r="RAW73" s="2936"/>
      <c r="RAX73" s="2936"/>
      <c r="RAY73" s="2936"/>
      <c r="RAZ73" s="2936"/>
      <c r="RBA73" s="2936"/>
      <c r="RBB73" s="2936"/>
      <c r="RBC73" s="2936"/>
      <c r="RBD73" s="2936"/>
      <c r="RBE73" s="2936"/>
      <c r="RBF73" s="2936"/>
      <c r="RBG73" s="2936"/>
      <c r="RBH73" s="2936"/>
      <c r="RBI73" s="2936"/>
      <c r="RBJ73" s="2936"/>
      <c r="RBK73" s="2936"/>
      <c r="RBL73" s="2936"/>
      <c r="RBM73" s="2936"/>
      <c r="RBN73" s="2936"/>
      <c r="RBO73" s="2936"/>
      <c r="RBP73" s="2936"/>
      <c r="RBQ73" s="2936"/>
      <c r="RBR73" s="2936"/>
      <c r="RBS73" s="2936"/>
      <c r="RBT73" s="2936"/>
      <c r="RBU73" s="2936"/>
      <c r="RBV73" s="2936"/>
      <c r="RBW73" s="2936"/>
      <c r="RBX73" s="2936"/>
      <c r="RBY73" s="2936"/>
      <c r="RBZ73" s="2936"/>
      <c r="RCA73" s="2936"/>
      <c r="RCB73" s="2936"/>
      <c r="RCC73" s="2936"/>
      <c r="RCD73" s="2936"/>
      <c r="RCE73" s="2936"/>
      <c r="RCF73" s="2936"/>
      <c r="RCG73" s="2936"/>
      <c r="RCH73" s="2936"/>
      <c r="RCI73" s="2936"/>
      <c r="RCJ73" s="2936"/>
      <c r="RCK73" s="2936"/>
      <c r="RCL73" s="2936"/>
      <c r="RCM73" s="2936"/>
      <c r="RCN73" s="2936"/>
      <c r="RCO73" s="2936"/>
      <c r="RCP73" s="2936"/>
      <c r="RCQ73" s="2936"/>
      <c r="RCR73" s="2936"/>
      <c r="RCS73" s="2936"/>
      <c r="RCT73" s="2936"/>
      <c r="RCU73" s="2936"/>
      <c r="RCV73" s="2936"/>
      <c r="RCW73" s="2936"/>
      <c r="RCX73" s="2936"/>
      <c r="RCY73" s="2936"/>
      <c r="RCZ73" s="2936"/>
      <c r="RDA73" s="2936"/>
      <c r="RDB73" s="2936"/>
      <c r="RDC73" s="2936"/>
      <c r="RDD73" s="2936"/>
      <c r="RDE73" s="2936"/>
      <c r="RDF73" s="2936"/>
      <c r="RDG73" s="2936"/>
      <c r="RDH73" s="2936"/>
      <c r="RDI73" s="2936"/>
      <c r="RDJ73" s="2936"/>
      <c r="RDK73" s="2936"/>
      <c r="RDL73" s="2936"/>
      <c r="RDM73" s="2936"/>
      <c r="RDN73" s="2936"/>
      <c r="RDO73" s="2936"/>
      <c r="RDP73" s="2936"/>
      <c r="RDQ73" s="2936"/>
      <c r="RDR73" s="2936"/>
      <c r="RDS73" s="2936"/>
      <c r="RDT73" s="2936"/>
      <c r="RDU73" s="2936"/>
      <c r="RDV73" s="2936"/>
      <c r="RDW73" s="2936"/>
      <c r="RDX73" s="2936"/>
      <c r="RDY73" s="2936"/>
      <c r="RDZ73" s="2936"/>
      <c r="REA73" s="2936"/>
      <c r="REB73" s="2936"/>
      <c r="REC73" s="2936"/>
      <c r="RED73" s="2936"/>
      <c r="REE73" s="2936"/>
      <c r="REF73" s="2936"/>
      <c r="REG73" s="2936"/>
      <c r="REH73" s="2936"/>
      <c r="REI73" s="2936"/>
      <c r="REJ73" s="2936"/>
      <c r="REK73" s="2936"/>
      <c r="REL73" s="2936"/>
      <c r="REM73" s="2936"/>
      <c r="REN73" s="2936"/>
      <c r="REO73" s="2936"/>
      <c r="REP73" s="2936"/>
      <c r="REQ73" s="2936"/>
      <c r="RER73" s="2936"/>
      <c r="RES73" s="2936"/>
      <c r="RET73" s="2936"/>
      <c r="REU73" s="2936"/>
      <c r="REV73" s="2936"/>
      <c r="REW73" s="2936"/>
      <c r="REX73" s="2936"/>
      <c r="REY73" s="2936"/>
      <c r="REZ73" s="2936"/>
      <c r="RFA73" s="2936"/>
      <c r="RFB73" s="2936"/>
      <c r="RFC73" s="2936"/>
      <c r="RFD73" s="2936"/>
      <c r="RFE73" s="2936"/>
      <c r="RFF73" s="2936"/>
      <c r="RFG73" s="2936"/>
      <c r="RFH73" s="2936"/>
      <c r="RFI73" s="2936"/>
      <c r="RFJ73" s="2936"/>
      <c r="RFK73" s="2936"/>
      <c r="RFL73" s="2936"/>
      <c r="RFM73" s="2936"/>
      <c r="RFN73" s="2936"/>
      <c r="RFO73" s="2936"/>
      <c r="RFP73" s="2936"/>
      <c r="RFQ73" s="2936"/>
      <c r="RFR73" s="2936"/>
      <c r="RFS73" s="2936"/>
      <c r="RFT73" s="2936"/>
      <c r="RFU73" s="2936"/>
      <c r="RFV73" s="2936"/>
      <c r="RFW73" s="2936"/>
      <c r="RFX73" s="2936"/>
      <c r="RFY73" s="2936"/>
      <c r="RFZ73" s="2936"/>
      <c r="RGA73" s="2936"/>
      <c r="RGB73" s="2936"/>
      <c r="RGC73" s="2936"/>
      <c r="RGD73" s="2936"/>
      <c r="RGE73" s="2936"/>
      <c r="RGF73" s="2936"/>
      <c r="RGG73" s="2936"/>
      <c r="RGH73" s="2936"/>
      <c r="RGI73" s="2936"/>
      <c r="RGJ73" s="2936"/>
      <c r="RGK73" s="2936"/>
      <c r="RGL73" s="2936"/>
      <c r="RGM73" s="2936"/>
      <c r="RGN73" s="2936"/>
      <c r="RGO73" s="2936"/>
      <c r="RGP73" s="2936"/>
      <c r="RGQ73" s="2936"/>
      <c r="RGR73" s="2936"/>
      <c r="RGS73" s="2936"/>
      <c r="RGT73" s="2936"/>
      <c r="RGU73" s="2936"/>
      <c r="RGV73" s="2936"/>
      <c r="RGW73" s="2936"/>
      <c r="RGX73" s="2936"/>
      <c r="RGY73" s="2936"/>
      <c r="RGZ73" s="2936"/>
      <c r="RHA73" s="2936"/>
      <c r="RHB73" s="2936"/>
      <c r="RHC73" s="2936"/>
      <c r="RHD73" s="2936"/>
      <c r="RHE73" s="2936"/>
      <c r="RHF73" s="2936"/>
      <c r="RHG73" s="2936"/>
      <c r="RHH73" s="2936"/>
      <c r="RHI73" s="2936"/>
      <c r="RHJ73" s="2936"/>
      <c r="RHK73" s="2936"/>
      <c r="RHL73" s="2936"/>
      <c r="RHM73" s="2936"/>
      <c r="RHN73" s="2936"/>
      <c r="RHO73" s="2936"/>
      <c r="RHP73" s="2936"/>
      <c r="RHQ73" s="2936"/>
      <c r="RHR73" s="2936"/>
      <c r="RHS73" s="2936"/>
      <c r="RHT73" s="2936"/>
      <c r="RHU73" s="2936"/>
      <c r="RHV73" s="2936"/>
      <c r="RHW73" s="2936"/>
      <c r="RHX73" s="2936"/>
      <c r="RHY73" s="2936"/>
      <c r="RHZ73" s="2936"/>
      <c r="RIA73" s="2936"/>
      <c r="RIB73" s="2936"/>
      <c r="RIC73" s="2936"/>
      <c r="RID73" s="2936"/>
      <c r="RIE73" s="2936"/>
      <c r="RIF73" s="2936"/>
      <c r="RIG73" s="2936"/>
      <c r="RIH73" s="2936"/>
      <c r="RII73" s="2936"/>
      <c r="RIJ73" s="2936"/>
      <c r="RIK73" s="2936"/>
      <c r="RIL73" s="2936"/>
      <c r="RIM73" s="2936"/>
      <c r="RIN73" s="2936"/>
      <c r="RIO73" s="2936"/>
      <c r="RIP73" s="2936"/>
      <c r="RIQ73" s="2936"/>
      <c r="RIR73" s="2936"/>
      <c r="RIS73" s="2936"/>
      <c r="RIT73" s="2936"/>
      <c r="RIU73" s="2936"/>
      <c r="RIV73" s="2936"/>
      <c r="RIW73" s="2936"/>
      <c r="RIX73" s="2936"/>
      <c r="RIY73" s="2936"/>
      <c r="RIZ73" s="2936"/>
      <c r="RJA73" s="2936"/>
      <c r="RJB73" s="2936"/>
      <c r="RJC73" s="2936"/>
      <c r="RJD73" s="2936"/>
      <c r="RJE73" s="2936"/>
      <c r="RJF73" s="2936"/>
      <c r="RJG73" s="2936"/>
      <c r="RJH73" s="2936"/>
      <c r="RJI73" s="2936"/>
      <c r="RJJ73" s="2936"/>
      <c r="RJK73" s="2936"/>
      <c r="RJL73" s="2936"/>
      <c r="RJM73" s="2936"/>
      <c r="RJN73" s="2936"/>
      <c r="RJO73" s="2936"/>
      <c r="RJP73" s="2936"/>
      <c r="RJQ73" s="2936"/>
      <c r="RJR73" s="2936"/>
      <c r="RJS73" s="2936"/>
      <c r="RJT73" s="2936"/>
      <c r="RJU73" s="2936"/>
      <c r="RJV73" s="2936"/>
      <c r="RJW73" s="2936"/>
      <c r="RJX73" s="2936"/>
      <c r="RJY73" s="2936"/>
      <c r="RJZ73" s="2936"/>
      <c r="RKA73" s="2936"/>
      <c r="RKB73" s="2936"/>
      <c r="RKC73" s="2936"/>
      <c r="RKD73" s="2936"/>
      <c r="RKE73" s="2936"/>
      <c r="RKF73" s="2936"/>
      <c r="RKG73" s="2936"/>
      <c r="RKH73" s="2936"/>
      <c r="RKI73" s="2936"/>
      <c r="RKJ73" s="2936"/>
      <c r="RKK73" s="2936"/>
      <c r="RKL73" s="2936"/>
      <c r="RKM73" s="2936"/>
      <c r="RKN73" s="2936"/>
      <c r="RKO73" s="2936"/>
      <c r="RKP73" s="2936"/>
      <c r="RKQ73" s="2936"/>
      <c r="RKR73" s="2936"/>
      <c r="RKS73" s="2936"/>
      <c r="RKT73" s="2936"/>
      <c r="RKU73" s="2936"/>
      <c r="RKV73" s="2936"/>
      <c r="RKW73" s="2936"/>
      <c r="RKX73" s="2936"/>
      <c r="RKY73" s="2936"/>
      <c r="RKZ73" s="2936"/>
      <c r="RLA73" s="2936"/>
      <c r="RLB73" s="2936"/>
      <c r="RLC73" s="2936"/>
      <c r="RLD73" s="2936"/>
      <c r="RLE73" s="2936"/>
      <c r="RLF73" s="2936"/>
      <c r="RLG73" s="2936"/>
      <c r="RLH73" s="2936"/>
      <c r="RLI73" s="2936"/>
      <c r="RLJ73" s="2936"/>
      <c r="RLK73" s="2936"/>
      <c r="RLL73" s="2936"/>
      <c r="RLM73" s="2936"/>
      <c r="RLN73" s="2936"/>
      <c r="RLO73" s="2936"/>
      <c r="RLP73" s="2936"/>
      <c r="RLQ73" s="2936"/>
      <c r="RLR73" s="2936"/>
      <c r="RLS73" s="2936"/>
      <c r="RLT73" s="2936"/>
      <c r="RLU73" s="2936"/>
      <c r="RLV73" s="2936"/>
      <c r="RLW73" s="2936"/>
      <c r="RLX73" s="2936"/>
      <c r="RLY73" s="2936"/>
      <c r="RLZ73" s="2936"/>
      <c r="RMA73" s="2936"/>
      <c r="RMB73" s="2936"/>
      <c r="RMC73" s="2936"/>
      <c r="RMD73" s="2936"/>
      <c r="RME73" s="2936"/>
      <c r="RMF73" s="2936"/>
      <c r="RMG73" s="2936"/>
      <c r="RMH73" s="2936"/>
      <c r="RMI73" s="2936"/>
      <c r="RMJ73" s="2936"/>
      <c r="RMK73" s="2936"/>
      <c r="RML73" s="2936"/>
      <c r="RMM73" s="2936"/>
      <c r="RMN73" s="2936"/>
      <c r="RMO73" s="2936"/>
      <c r="RMP73" s="2936"/>
      <c r="RMQ73" s="2936"/>
      <c r="RMR73" s="2936"/>
      <c r="RMS73" s="2936"/>
      <c r="RMT73" s="2936"/>
      <c r="RMU73" s="2936"/>
      <c r="RMV73" s="2936"/>
      <c r="RMW73" s="2936"/>
      <c r="RMX73" s="2936"/>
      <c r="RMY73" s="2936"/>
      <c r="RMZ73" s="2936"/>
      <c r="RNA73" s="2936"/>
      <c r="RNB73" s="2936"/>
      <c r="RNC73" s="2936"/>
      <c r="RND73" s="2936"/>
      <c r="RNE73" s="2936"/>
      <c r="RNF73" s="2936"/>
      <c r="RNG73" s="2936"/>
      <c r="RNH73" s="2936"/>
      <c r="RNI73" s="2936"/>
      <c r="RNJ73" s="2936"/>
      <c r="RNK73" s="2936"/>
      <c r="RNL73" s="2936"/>
      <c r="RNM73" s="2936"/>
      <c r="RNN73" s="2936"/>
      <c r="RNO73" s="2936"/>
      <c r="RNP73" s="2936"/>
      <c r="RNQ73" s="2936"/>
      <c r="RNR73" s="2936"/>
      <c r="RNS73" s="2936"/>
      <c r="RNT73" s="2936"/>
      <c r="RNU73" s="2936"/>
      <c r="RNV73" s="2936"/>
      <c r="RNW73" s="2936"/>
      <c r="RNX73" s="2936"/>
      <c r="RNY73" s="2936"/>
      <c r="RNZ73" s="2936"/>
      <c r="ROA73" s="2936"/>
      <c r="ROB73" s="2936"/>
      <c r="ROC73" s="2936"/>
      <c r="ROD73" s="2936"/>
      <c r="ROE73" s="2936"/>
      <c r="ROF73" s="2936"/>
      <c r="ROG73" s="2936"/>
      <c r="ROH73" s="2936"/>
      <c r="ROI73" s="2936"/>
      <c r="ROJ73" s="2936"/>
      <c r="ROK73" s="2936"/>
      <c r="ROL73" s="2936"/>
      <c r="ROM73" s="2936"/>
      <c r="RON73" s="2936"/>
      <c r="ROO73" s="2936"/>
      <c r="ROP73" s="2936"/>
      <c r="ROQ73" s="2936"/>
      <c r="ROR73" s="2936"/>
      <c r="ROS73" s="2936"/>
      <c r="ROT73" s="2936"/>
      <c r="ROU73" s="2936"/>
      <c r="ROV73" s="2936"/>
      <c r="ROW73" s="2936"/>
      <c r="ROX73" s="2936"/>
      <c r="ROY73" s="2936"/>
      <c r="ROZ73" s="2936"/>
      <c r="RPA73" s="2936"/>
      <c r="RPB73" s="2936"/>
      <c r="RPC73" s="2936"/>
      <c r="RPD73" s="2936"/>
      <c r="RPE73" s="2936"/>
      <c r="RPF73" s="2936"/>
      <c r="RPG73" s="2936"/>
      <c r="RPH73" s="2936"/>
      <c r="RPI73" s="2936"/>
      <c r="RPJ73" s="2936"/>
      <c r="RPK73" s="2936"/>
      <c r="RPL73" s="2936"/>
      <c r="RPM73" s="2936"/>
      <c r="RPN73" s="2936"/>
      <c r="RPO73" s="2936"/>
      <c r="RPP73" s="2936"/>
      <c r="RPQ73" s="2936"/>
      <c r="RPR73" s="2936"/>
      <c r="RPS73" s="2936"/>
      <c r="RPT73" s="2936"/>
      <c r="RPU73" s="2936"/>
      <c r="RPV73" s="2936"/>
      <c r="RPW73" s="2936"/>
      <c r="RPX73" s="2936"/>
      <c r="RPY73" s="2936"/>
      <c r="RPZ73" s="2936"/>
      <c r="RQA73" s="2936"/>
      <c r="RQB73" s="2936"/>
      <c r="RQC73" s="2936"/>
      <c r="RQD73" s="2936"/>
      <c r="RQE73" s="2936"/>
      <c r="RQF73" s="2936"/>
      <c r="RQG73" s="2936"/>
      <c r="RQH73" s="2936"/>
      <c r="RQI73" s="2936"/>
      <c r="RQJ73" s="2936"/>
      <c r="RQK73" s="2936"/>
      <c r="RQL73" s="2936"/>
      <c r="RQM73" s="2936"/>
      <c r="RQN73" s="2936"/>
      <c r="RQO73" s="2936"/>
      <c r="RQP73" s="2936"/>
      <c r="RQQ73" s="2936"/>
      <c r="RQR73" s="2936"/>
      <c r="RQS73" s="2936"/>
      <c r="RQT73" s="2936"/>
      <c r="RQU73" s="2936"/>
      <c r="RQV73" s="2936"/>
      <c r="RQW73" s="2936"/>
      <c r="RQX73" s="2936"/>
      <c r="RQY73" s="2936"/>
      <c r="RQZ73" s="2936"/>
      <c r="RRA73" s="2936"/>
      <c r="RRB73" s="2936"/>
      <c r="RRC73" s="2936"/>
      <c r="RRD73" s="2936"/>
      <c r="RRE73" s="2936"/>
      <c r="RRF73" s="2936"/>
      <c r="RRG73" s="2936"/>
      <c r="RRH73" s="2936"/>
      <c r="RRI73" s="2936"/>
      <c r="RRJ73" s="2936"/>
      <c r="RRK73" s="2936"/>
      <c r="RRL73" s="2936"/>
      <c r="RRM73" s="2936"/>
      <c r="RRN73" s="2936"/>
      <c r="RRO73" s="2936"/>
      <c r="RRP73" s="2936"/>
      <c r="RRQ73" s="2936"/>
      <c r="RRR73" s="2936"/>
      <c r="RRS73" s="2936"/>
      <c r="RRT73" s="2936"/>
      <c r="RRU73" s="2936"/>
      <c r="RRV73" s="2936"/>
      <c r="RRW73" s="2936"/>
      <c r="RRX73" s="2936"/>
      <c r="RRY73" s="2936"/>
      <c r="RRZ73" s="2936"/>
      <c r="RSA73" s="2936"/>
      <c r="RSB73" s="2936"/>
      <c r="RSC73" s="2936"/>
      <c r="RSD73" s="2936"/>
      <c r="RSE73" s="2936"/>
      <c r="RSF73" s="2936"/>
      <c r="RSG73" s="2936"/>
      <c r="RSH73" s="2936"/>
      <c r="RSI73" s="2936"/>
      <c r="RSJ73" s="2936"/>
      <c r="RSK73" s="2936"/>
      <c r="RSL73" s="2936"/>
      <c r="RSM73" s="2936"/>
      <c r="RSN73" s="2936"/>
      <c r="RSO73" s="2936"/>
      <c r="RSP73" s="2936"/>
      <c r="RSQ73" s="2936"/>
      <c r="RSR73" s="2936"/>
      <c r="RSS73" s="2936"/>
      <c r="RST73" s="2936"/>
      <c r="RSU73" s="2936"/>
      <c r="RSV73" s="2936"/>
      <c r="RSW73" s="2936"/>
      <c r="RSX73" s="2936"/>
      <c r="RSY73" s="2936"/>
      <c r="RSZ73" s="2936"/>
      <c r="RTA73" s="2936"/>
      <c r="RTB73" s="2936"/>
      <c r="RTC73" s="2936"/>
      <c r="RTD73" s="2936"/>
      <c r="RTE73" s="2936"/>
      <c r="RTF73" s="2936"/>
      <c r="RTG73" s="2936"/>
      <c r="RTH73" s="2936"/>
      <c r="RTI73" s="2936"/>
      <c r="RTJ73" s="2936"/>
      <c r="RTK73" s="2936"/>
      <c r="RTL73" s="2936"/>
      <c r="RTM73" s="2936"/>
      <c r="RTN73" s="2936"/>
      <c r="RTO73" s="2936"/>
      <c r="RTP73" s="2936"/>
      <c r="RTQ73" s="2936"/>
      <c r="RTR73" s="2936"/>
      <c r="RTS73" s="2936"/>
      <c r="RTT73" s="2936"/>
      <c r="RTU73" s="2936"/>
      <c r="RTV73" s="2936"/>
      <c r="RTW73" s="2936"/>
      <c r="RTX73" s="2936"/>
      <c r="RTY73" s="2936"/>
      <c r="RTZ73" s="2936"/>
      <c r="RUA73" s="2936"/>
      <c r="RUB73" s="2936"/>
      <c r="RUC73" s="2936"/>
      <c r="RUD73" s="2936"/>
      <c r="RUE73" s="2936"/>
      <c r="RUF73" s="2936"/>
      <c r="RUG73" s="2936"/>
      <c r="RUH73" s="2936"/>
      <c r="RUI73" s="2936"/>
      <c r="RUJ73" s="2936"/>
      <c r="RUK73" s="2936"/>
      <c r="RUL73" s="2936"/>
      <c r="RUM73" s="2936"/>
      <c r="RUN73" s="2936"/>
      <c r="RUO73" s="2936"/>
      <c r="RUP73" s="2936"/>
      <c r="RUQ73" s="2936"/>
      <c r="RUR73" s="2936"/>
      <c r="RUS73" s="2936"/>
      <c r="RUT73" s="2936"/>
      <c r="RUU73" s="2936"/>
      <c r="RUV73" s="2936"/>
      <c r="RUW73" s="2936"/>
      <c r="RUX73" s="2936"/>
      <c r="RUY73" s="2936"/>
      <c r="RUZ73" s="2936"/>
      <c r="RVA73" s="2936"/>
      <c r="RVB73" s="2936"/>
      <c r="RVC73" s="2936"/>
      <c r="RVD73" s="2936"/>
      <c r="RVE73" s="2936"/>
      <c r="RVF73" s="2936"/>
      <c r="RVG73" s="2936"/>
      <c r="RVH73" s="2936"/>
      <c r="RVI73" s="2936"/>
      <c r="RVJ73" s="2936"/>
      <c r="RVK73" s="2936"/>
      <c r="RVL73" s="2936"/>
      <c r="RVM73" s="2936"/>
      <c r="RVN73" s="2936"/>
      <c r="RVO73" s="2936"/>
      <c r="RVP73" s="2936"/>
      <c r="RVQ73" s="2936"/>
      <c r="RVR73" s="2936"/>
      <c r="RVS73" s="2936"/>
      <c r="RVT73" s="2936"/>
      <c r="RVU73" s="2936"/>
      <c r="RVV73" s="2936"/>
      <c r="RVW73" s="2936"/>
      <c r="RVX73" s="2936"/>
      <c r="RVY73" s="2936"/>
      <c r="RVZ73" s="2936"/>
      <c r="RWA73" s="2936"/>
      <c r="RWB73" s="2936"/>
      <c r="RWC73" s="2936"/>
      <c r="RWD73" s="2936"/>
      <c r="RWE73" s="2936"/>
      <c r="RWF73" s="2936"/>
      <c r="RWG73" s="2936"/>
      <c r="RWH73" s="2936"/>
      <c r="RWI73" s="2936"/>
      <c r="RWJ73" s="2936"/>
      <c r="RWK73" s="2936"/>
      <c r="RWL73" s="2936"/>
      <c r="RWM73" s="2936"/>
      <c r="RWN73" s="2936"/>
      <c r="RWO73" s="2936"/>
      <c r="RWP73" s="2936"/>
      <c r="RWQ73" s="2936"/>
      <c r="RWR73" s="2936"/>
      <c r="RWS73" s="2936"/>
      <c r="RWT73" s="2936"/>
      <c r="RWU73" s="2936"/>
      <c r="RWV73" s="2936"/>
      <c r="RWW73" s="2936"/>
      <c r="RWX73" s="2936"/>
      <c r="RWY73" s="2936"/>
      <c r="RWZ73" s="2936"/>
      <c r="RXA73" s="2936"/>
      <c r="RXB73" s="2936"/>
      <c r="RXC73" s="2936"/>
      <c r="RXD73" s="2936"/>
      <c r="RXE73" s="2936"/>
      <c r="RXF73" s="2936"/>
      <c r="RXG73" s="2936"/>
      <c r="RXH73" s="2936"/>
      <c r="RXI73" s="2936"/>
      <c r="RXJ73" s="2936"/>
      <c r="RXK73" s="2936"/>
      <c r="RXL73" s="2936"/>
      <c r="RXM73" s="2936"/>
      <c r="RXN73" s="2936"/>
      <c r="RXO73" s="2936"/>
      <c r="RXP73" s="2936"/>
      <c r="RXQ73" s="2936"/>
      <c r="RXR73" s="2936"/>
      <c r="RXS73" s="2936"/>
      <c r="RXT73" s="2936"/>
      <c r="RXU73" s="2936"/>
      <c r="RXV73" s="2936"/>
      <c r="RXW73" s="2936"/>
      <c r="RXX73" s="2936"/>
      <c r="RXY73" s="2936"/>
      <c r="RXZ73" s="2936"/>
      <c r="RYA73" s="2936"/>
      <c r="RYB73" s="2936"/>
      <c r="RYC73" s="2936"/>
      <c r="RYD73" s="2936"/>
      <c r="RYE73" s="2936"/>
      <c r="RYF73" s="2936"/>
      <c r="RYG73" s="2936"/>
      <c r="RYH73" s="2936"/>
      <c r="RYI73" s="2936"/>
      <c r="RYJ73" s="2936"/>
      <c r="RYK73" s="2936"/>
      <c r="RYL73" s="2936"/>
      <c r="RYM73" s="2936"/>
      <c r="RYN73" s="2936"/>
      <c r="RYO73" s="2936"/>
      <c r="RYP73" s="2936"/>
      <c r="RYQ73" s="2936"/>
      <c r="RYR73" s="2936"/>
      <c r="RYS73" s="2936"/>
      <c r="RYT73" s="2936"/>
      <c r="RYU73" s="2936"/>
      <c r="RYV73" s="2936"/>
      <c r="RYW73" s="2936"/>
      <c r="RYX73" s="2936"/>
      <c r="RYY73" s="2936"/>
      <c r="RYZ73" s="2936"/>
      <c r="RZA73" s="2936"/>
      <c r="RZB73" s="2936"/>
      <c r="RZC73" s="2936"/>
      <c r="RZD73" s="2936"/>
      <c r="RZE73" s="2936"/>
      <c r="RZF73" s="2936"/>
      <c r="RZG73" s="2936"/>
      <c r="RZH73" s="2936"/>
      <c r="RZI73" s="2936"/>
      <c r="RZJ73" s="2936"/>
      <c r="RZK73" s="2936"/>
      <c r="RZL73" s="2936"/>
      <c r="RZM73" s="2936"/>
      <c r="RZN73" s="2936"/>
      <c r="RZO73" s="2936"/>
      <c r="RZP73" s="2936"/>
      <c r="RZQ73" s="2936"/>
      <c r="RZR73" s="2936"/>
      <c r="RZS73" s="2936"/>
      <c r="RZT73" s="2936"/>
      <c r="RZU73" s="2936"/>
      <c r="RZV73" s="2936"/>
      <c r="RZW73" s="2936"/>
      <c r="RZX73" s="2936"/>
      <c r="RZY73" s="2936"/>
      <c r="RZZ73" s="2936"/>
      <c r="SAA73" s="2936"/>
      <c r="SAB73" s="2936"/>
      <c r="SAC73" s="2936"/>
      <c r="SAD73" s="2936"/>
      <c r="SAE73" s="2936"/>
      <c r="SAF73" s="2936"/>
      <c r="SAG73" s="2936"/>
      <c r="SAH73" s="2936"/>
      <c r="SAI73" s="2936"/>
      <c r="SAJ73" s="2936"/>
      <c r="SAK73" s="2936"/>
      <c r="SAL73" s="2936"/>
      <c r="SAM73" s="2936"/>
      <c r="SAN73" s="2936"/>
      <c r="SAO73" s="2936"/>
      <c r="SAP73" s="2936"/>
      <c r="SAQ73" s="2936"/>
      <c r="SAR73" s="2936"/>
      <c r="SAS73" s="2936"/>
      <c r="SAT73" s="2936"/>
      <c r="SAU73" s="2936"/>
      <c r="SAV73" s="2936"/>
      <c r="SAW73" s="2936"/>
      <c r="SAX73" s="2936"/>
      <c r="SAY73" s="2936"/>
      <c r="SAZ73" s="2936"/>
      <c r="SBA73" s="2936"/>
      <c r="SBB73" s="2936"/>
      <c r="SBC73" s="2936"/>
      <c r="SBD73" s="2936"/>
      <c r="SBE73" s="2936"/>
      <c r="SBF73" s="2936"/>
      <c r="SBG73" s="2936"/>
      <c r="SBH73" s="2936"/>
      <c r="SBI73" s="2936"/>
      <c r="SBJ73" s="2936"/>
      <c r="SBK73" s="2936"/>
      <c r="SBL73" s="2936"/>
      <c r="SBM73" s="2936"/>
      <c r="SBN73" s="2936"/>
      <c r="SBO73" s="2936"/>
      <c r="SBP73" s="2936"/>
      <c r="SBQ73" s="2936"/>
      <c r="SBR73" s="2936"/>
      <c r="SBS73" s="2936"/>
      <c r="SBT73" s="2936"/>
      <c r="SBU73" s="2936"/>
      <c r="SBV73" s="2936"/>
      <c r="SBW73" s="2936"/>
      <c r="SBX73" s="2936"/>
      <c r="SBY73" s="2936"/>
      <c r="SBZ73" s="2936"/>
      <c r="SCA73" s="2936"/>
      <c r="SCB73" s="2936"/>
      <c r="SCC73" s="2936"/>
      <c r="SCD73" s="2936"/>
      <c r="SCE73" s="2936"/>
      <c r="SCF73" s="2936"/>
      <c r="SCG73" s="2936"/>
      <c r="SCH73" s="2936"/>
      <c r="SCI73" s="2936"/>
      <c r="SCJ73" s="2936"/>
      <c r="SCK73" s="2936"/>
      <c r="SCL73" s="2936"/>
      <c r="SCM73" s="2936"/>
      <c r="SCN73" s="2936"/>
      <c r="SCO73" s="2936"/>
      <c r="SCP73" s="2936"/>
      <c r="SCQ73" s="2936"/>
      <c r="SCR73" s="2936"/>
      <c r="SCS73" s="2936"/>
      <c r="SCT73" s="2936"/>
      <c r="SCU73" s="2936"/>
      <c r="SCV73" s="2936"/>
      <c r="SCW73" s="2936"/>
      <c r="SCX73" s="2936"/>
      <c r="SCY73" s="2936"/>
      <c r="SCZ73" s="2936"/>
      <c r="SDA73" s="2936"/>
      <c r="SDB73" s="2936"/>
      <c r="SDC73" s="2936"/>
      <c r="SDD73" s="2936"/>
      <c r="SDE73" s="2936"/>
      <c r="SDF73" s="2936"/>
      <c r="SDG73" s="2936"/>
      <c r="SDH73" s="2936"/>
      <c r="SDI73" s="2936"/>
      <c r="SDJ73" s="2936"/>
      <c r="SDK73" s="2936"/>
      <c r="SDL73" s="2936"/>
      <c r="SDM73" s="2936"/>
      <c r="SDN73" s="2936"/>
      <c r="SDO73" s="2936"/>
      <c r="SDP73" s="2936"/>
      <c r="SDQ73" s="2936"/>
      <c r="SDR73" s="2936"/>
      <c r="SDS73" s="2936"/>
      <c r="SDT73" s="2936"/>
      <c r="SDU73" s="2936"/>
      <c r="SDV73" s="2936"/>
      <c r="SDW73" s="2936"/>
      <c r="SDX73" s="2936"/>
      <c r="SDY73" s="2936"/>
      <c r="SDZ73" s="2936"/>
      <c r="SEA73" s="2936"/>
      <c r="SEB73" s="2936"/>
      <c r="SEC73" s="2936"/>
      <c r="SED73" s="2936"/>
      <c r="SEE73" s="2936"/>
      <c r="SEF73" s="2936"/>
      <c r="SEG73" s="2936"/>
      <c r="SEH73" s="2936"/>
      <c r="SEI73" s="2936"/>
      <c r="SEJ73" s="2936"/>
      <c r="SEK73" s="2936"/>
      <c r="SEL73" s="2936"/>
      <c r="SEM73" s="2936"/>
      <c r="SEN73" s="2936"/>
      <c r="SEO73" s="2936"/>
      <c r="SEP73" s="2936"/>
      <c r="SEQ73" s="2936"/>
      <c r="SER73" s="2936"/>
      <c r="SES73" s="2936"/>
      <c r="SET73" s="2936"/>
      <c r="SEU73" s="2936"/>
      <c r="SEV73" s="2936"/>
      <c r="SEW73" s="2936"/>
      <c r="SEX73" s="2936"/>
      <c r="SEY73" s="2936"/>
      <c r="SEZ73" s="2936"/>
      <c r="SFA73" s="2936"/>
      <c r="SFB73" s="2936"/>
      <c r="SFC73" s="2936"/>
      <c r="SFD73" s="2936"/>
      <c r="SFE73" s="2936"/>
      <c r="SFF73" s="2936"/>
      <c r="SFG73" s="2936"/>
      <c r="SFH73" s="2936"/>
      <c r="SFI73" s="2936"/>
      <c r="SFJ73" s="2936"/>
      <c r="SFK73" s="2936"/>
      <c r="SFL73" s="2936"/>
      <c r="SFM73" s="2936"/>
      <c r="SFN73" s="2936"/>
      <c r="SFO73" s="2936"/>
      <c r="SFP73" s="2936"/>
      <c r="SFQ73" s="2936"/>
      <c r="SFR73" s="2936"/>
      <c r="SFS73" s="2936"/>
      <c r="SFT73" s="2936"/>
      <c r="SFU73" s="2936"/>
      <c r="SFV73" s="2936"/>
      <c r="SFW73" s="2936"/>
      <c r="SFX73" s="2936"/>
      <c r="SFY73" s="2936"/>
      <c r="SFZ73" s="2936"/>
      <c r="SGA73" s="2936"/>
      <c r="SGB73" s="2936"/>
      <c r="SGC73" s="2936"/>
      <c r="SGD73" s="2936"/>
      <c r="SGE73" s="2936"/>
      <c r="SGF73" s="2936"/>
      <c r="SGG73" s="2936"/>
      <c r="SGH73" s="2936"/>
      <c r="SGI73" s="2936"/>
      <c r="SGJ73" s="2936"/>
      <c r="SGK73" s="2936"/>
      <c r="SGL73" s="2936"/>
      <c r="SGM73" s="2936"/>
      <c r="SGN73" s="2936"/>
      <c r="SGO73" s="2936"/>
      <c r="SGP73" s="2936"/>
      <c r="SGQ73" s="2936"/>
      <c r="SGR73" s="2936"/>
      <c r="SGS73" s="2936"/>
      <c r="SGT73" s="2936"/>
      <c r="SGU73" s="2936"/>
      <c r="SGV73" s="2936"/>
      <c r="SGW73" s="2936"/>
      <c r="SGX73" s="2936"/>
      <c r="SGY73" s="2936"/>
      <c r="SGZ73" s="2936"/>
      <c r="SHA73" s="2936"/>
      <c r="SHB73" s="2936"/>
      <c r="SHC73" s="2936"/>
      <c r="SHD73" s="2936"/>
      <c r="SHE73" s="2936"/>
      <c r="SHF73" s="2936"/>
      <c r="SHG73" s="2936"/>
      <c r="SHH73" s="2936"/>
      <c r="SHI73" s="2936"/>
      <c r="SHJ73" s="2936"/>
      <c r="SHK73" s="2936"/>
      <c r="SHL73" s="2936"/>
      <c r="SHM73" s="2936"/>
      <c r="SHN73" s="2936"/>
      <c r="SHO73" s="2936"/>
      <c r="SHP73" s="2936"/>
      <c r="SHQ73" s="2936"/>
      <c r="SHR73" s="2936"/>
      <c r="SHS73" s="2936"/>
      <c r="SHT73" s="2936"/>
      <c r="SHU73" s="2936"/>
      <c r="SHV73" s="2936"/>
      <c r="SHW73" s="2936"/>
      <c r="SHX73" s="2936"/>
      <c r="SHY73" s="2936"/>
      <c r="SHZ73" s="2936"/>
      <c r="SIA73" s="2936"/>
      <c r="SIB73" s="2936"/>
      <c r="SIC73" s="2936"/>
      <c r="SID73" s="2936"/>
      <c r="SIE73" s="2936"/>
      <c r="SIF73" s="2936"/>
      <c r="SIG73" s="2936"/>
      <c r="SIH73" s="2936"/>
      <c r="SII73" s="2936"/>
      <c r="SIJ73" s="2936"/>
      <c r="SIK73" s="2936"/>
      <c r="SIL73" s="2936"/>
      <c r="SIM73" s="2936"/>
      <c r="SIN73" s="2936"/>
      <c r="SIO73" s="2936"/>
      <c r="SIP73" s="2936"/>
      <c r="SIQ73" s="2936"/>
      <c r="SIR73" s="2936"/>
      <c r="SIS73" s="2936"/>
      <c r="SIT73" s="2936"/>
      <c r="SIU73" s="2936"/>
      <c r="SIV73" s="2936"/>
      <c r="SIW73" s="2936"/>
      <c r="SIX73" s="2936"/>
      <c r="SIY73" s="2936"/>
      <c r="SIZ73" s="2936"/>
      <c r="SJA73" s="2936"/>
      <c r="SJB73" s="2936"/>
      <c r="SJC73" s="2936"/>
      <c r="SJD73" s="2936"/>
      <c r="SJE73" s="2936"/>
      <c r="SJF73" s="2936"/>
      <c r="SJG73" s="2936"/>
      <c r="SJH73" s="2936"/>
      <c r="SJI73" s="2936"/>
      <c r="SJJ73" s="2936"/>
      <c r="SJK73" s="2936"/>
      <c r="SJL73" s="2936"/>
      <c r="SJM73" s="2936"/>
      <c r="SJN73" s="2936"/>
      <c r="SJO73" s="2936"/>
      <c r="SJP73" s="2936"/>
      <c r="SJQ73" s="2936"/>
      <c r="SJR73" s="2936"/>
      <c r="SJS73" s="2936"/>
      <c r="SJT73" s="2936"/>
      <c r="SJU73" s="2936"/>
      <c r="SJV73" s="2936"/>
      <c r="SJW73" s="2936"/>
      <c r="SJX73" s="2936"/>
      <c r="SJY73" s="2936"/>
      <c r="SJZ73" s="2936"/>
      <c r="SKA73" s="2936"/>
      <c r="SKB73" s="2936"/>
      <c r="SKC73" s="2936"/>
      <c r="SKD73" s="2936"/>
      <c r="SKE73" s="2936"/>
      <c r="SKF73" s="2936"/>
      <c r="SKG73" s="2936"/>
      <c r="SKH73" s="2936"/>
      <c r="SKI73" s="2936"/>
      <c r="SKJ73" s="2936"/>
      <c r="SKK73" s="2936"/>
      <c r="SKL73" s="2936"/>
      <c r="SKM73" s="2936"/>
      <c r="SKN73" s="2936"/>
      <c r="SKO73" s="2936"/>
      <c r="SKP73" s="2936"/>
      <c r="SKQ73" s="2936"/>
      <c r="SKR73" s="2936"/>
      <c r="SKS73" s="2936"/>
      <c r="SKT73" s="2936"/>
      <c r="SKU73" s="2936"/>
      <c r="SKV73" s="2936"/>
      <c r="SKW73" s="2936"/>
      <c r="SKX73" s="2936"/>
      <c r="SKY73" s="2936"/>
      <c r="SKZ73" s="2936"/>
      <c r="SLA73" s="2936"/>
      <c r="SLB73" s="2936"/>
      <c r="SLC73" s="2936"/>
      <c r="SLD73" s="2936"/>
      <c r="SLE73" s="2936"/>
      <c r="SLF73" s="2936"/>
      <c r="SLG73" s="2936"/>
      <c r="SLH73" s="2936"/>
      <c r="SLI73" s="2936"/>
      <c r="SLJ73" s="2936"/>
      <c r="SLK73" s="2936"/>
      <c r="SLL73" s="2936"/>
      <c r="SLM73" s="2936"/>
      <c r="SLN73" s="2936"/>
      <c r="SLO73" s="2936"/>
      <c r="SLP73" s="2936"/>
      <c r="SLQ73" s="2936"/>
      <c r="SLR73" s="2936"/>
      <c r="SLS73" s="2936"/>
      <c r="SLT73" s="2936"/>
      <c r="SLU73" s="2936"/>
      <c r="SLV73" s="2936"/>
      <c r="SLW73" s="2936"/>
      <c r="SLX73" s="2936"/>
      <c r="SLY73" s="2936"/>
      <c r="SLZ73" s="2936"/>
      <c r="SMA73" s="2936"/>
      <c r="SMB73" s="2936"/>
      <c r="SMC73" s="2936"/>
      <c r="SMD73" s="2936"/>
      <c r="SME73" s="2936"/>
      <c r="SMF73" s="2936"/>
      <c r="SMG73" s="2936"/>
      <c r="SMH73" s="2936"/>
      <c r="SMI73" s="2936"/>
      <c r="SMJ73" s="2936"/>
      <c r="SMK73" s="2936"/>
      <c r="SML73" s="2936"/>
      <c r="SMM73" s="2936"/>
      <c r="SMN73" s="2936"/>
      <c r="SMO73" s="2936"/>
      <c r="SMP73" s="2936"/>
      <c r="SMQ73" s="2936"/>
      <c r="SMR73" s="2936"/>
      <c r="SMS73" s="2936"/>
      <c r="SMT73" s="2936"/>
      <c r="SMU73" s="2936"/>
      <c r="SMV73" s="2936"/>
      <c r="SMW73" s="2936"/>
      <c r="SMX73" s="2936"/>
      <c r="SMY73" s="2936"/>
      <c r="SMZ73" s="2936"/>
      <c r="SNA73" s="2936"/>
      <c r="SNB73" s="2936"/>
      <c r="SNC73" s="2936"/>
      <c r="SND73" s="2936"/>
      <c r="SNE73" s="2936"/>
      <c r="SNF73" s="2936"/>
      <c r="SNG73" s="2936"/>
      <c r="SNH73" s="2936"/>
      <c r="SNI73" s="2936"/>
      <c r="SNJ73" s="2936"/>
      <c r="SNK73" s="2936"/>
      <c r="SNL73" s="2936"/>
      <c r="SNM73" s="2936"/>
      <c r="SNN73" s="2936"/>
      <c r="SNO73" s="2936"/>
      <c r="SNP73" s="2936"/>
      <c r="SNQ73" s="2936"/>
      <c r="SNR73" s="2936"/>
      <c r="SNS73" s="2936"/>
      <c r="SNT73" s="2936"/>
      <c r="SNU73" s="2936"/>
      <c r="SNV73" s="2936"/>
      <c r="SNW73" s="2936"/>
      <c r="SNX73" s="2936"/>
      <c r="SNY73" s="2936"/>
      <c r="SNZ73" s="2936"/>
      <c r="SOA73" s="2936"/>
      <c r="SOB73" s="2936"/>
      <c r="SOC73" s="2936"/>
      <c r="SOD73" s="2936"/>
      <c r="SOE73" s="2936"/>
      <c r="SOF73" s="2936"/>
      <c r="SOG73" s="2936"/>
      <c r="SOH73" s="2936"/>
      <c r="SOI73" s="2936"/>
      <c r="SOJ73" s="2936"/>
      <c r="SOK73" s="2936"/>
      <c r="SOL73" s="2936"/>
      <c r="SOM73" s="2936"/>
      <c r="SON73" s="2936"/>
      <c r="SOO73" s="2936"/>
      <c r="SOP73" s="2936"/>
      <c r="SOQ73" s="2936"/>
      <c r="SOR73" s="2936"/>
      <c r="SOS73" s="2936"/>
      <c r="SOT73" s="2936"/>
      <c r="SOU73" s="2936"/>
      <c r="SOV73" s="2936"/>
      <c r="SOW73" s="2936"/>
      <c r="SOX73" s="2936"/>
      <c r="SOY73" s="2936"/>
      <c r="SOZ73" s="2936"/>
      <c r="SPA73" s="2936"/>
      <c r="SPB73" s="2936"/>
      <c r="SPC73" s="2936"/>
      <c r="SPD73" s="2936"/>
      <c r="SPE73" s="2936"/>
      <c r="SPF73" s="2936"/>
      <c r="SPG73" s="2936"/>
      <c r="SPH73" s="2936"/>
      <c r="SPI73" s="2936"/>
      <c r="SPJ73" s="2936"/>
      <c r="SPK73" s="2936"/>
      <c r="SPL73" s="2936"/>
      <c r="SPM73" s="2936"/>
      <c r="SPN73" s="2936"/>
      <c r="SPO73" s="2936"/>
      <c r="SPP73" s="2936"/>
      <c r="SPQ73" s="2936"/>
      <c r="SPR73" s="2936"/>
      <c r="SPS73" s="2936"/>
      <c r="SPT73" s="2936"/>
      <c r="SPU73" s="2936"/>
      <c r="SPV73" s="2936"/>
      <c r="SPW73" s="2936"/>
      <c r="SPX73" s="2936"/>
      <c r="SPY73" s="2936"/>
      <c r="SPZ73" s="2936"/>
      <c r="SQA73" s="2936"/>
      <c r="SQB73" s="2936"/>
      <c r="SQC73" s="2936"/>
      <c r="SQD73" s="2936"/>
      <c r="SQE73" s="2936"/>
      <c r="SQF73" s="2936"/>
      <c r="SQG73" s="2936"/>
      <c r="SQH73" s="2936"/>
      <c r="SQI73" s="2936"/>
      <c r="SQJ73" s="2936"/>
      <c r="SQK73" s="2936"/>
      <c r="SQL73" s="2936"/>
      <c r="SQM73" s="2936"/>
      <c r="SQN73" s="2936"/>
      <c r="SQO73" s="2936"/>
      <c r="SQP73" s="2936"/>
      <c r="SQQ73" s="2936"/>
      <c r="SQR73" s="2936"/>
      <c r="SQS73" s="2936"/>
      <c r="SQT73" s="2936"/>
      <c r="SQU73" s="2936"/>
      <c r="SQV73" s="2936"/>
      <c r="SQW73" s="2936"/>
      <c r="SQX73" s="2936"/>
      <c r="SQY73" s="2936"/>
      <c r="SQZ73" s="2936"/>
      <c r="SRA73" s="2936"/>
      <c r="SRB73" s="2936"/>
      <c r="SRC73" s="2936"/>
      <c r="SRD73" s="2936"/>
      <c r="SRE73" s="2936"/>
      <c r="SRF73" s="2936"/>
      <c r="SRG73" s="2936"/>
      <c r="SRH73" s="2936"/>
      <c r="SRI73" s="2936"/>
      <c r="SRJ73" s="2936"/>
      <c r="SRK73" s="2936"/>
      <c r="SRL73" s="2936"/>
      <c r="SRM73" s="2936"/>
      <c r="SRN73" s="2936"/>
      <c r="SRO73" s="2936"/>
      <c r="SRP73" s="2936"/>
      <c r="SRQ73" s="2936"/>
      <c r="SRR73" s="2936"/>
      <c r="SRS73" s="2936"/>
      <c r="SRT73" s="2936"/>
      <c r="SRU73" s="2936"/>
      <c r="SRV73" s="2936"/>
      <c r="SRW73" s="2936"/>
      <c r="SRX73" s="2936"/>
      <c r="SRY73" s="2936"/>
      <c r="SRZ73" s="2936"/>
      <c r="SSA73" s="2936"/>
      <c r="SSB73" s="2936"/>
      <c r="SSC73" s="2936"/>
      <c r="SSD73" s="2936"/>
      <c r="SSE73" s="2936"/>
      <c r="SSF73" s="2936"/>
      <c r="SSG73" s="2936"/>
      <c r="SSH73" s="2936"/>
      <c r="SSI73" s="2936"/>
      <c r="SSJ73" s="2936"/>
      <c r="SSK73" s="2936"/>
      <c r="SSL73" s="2936"/>
      <c r="SSM73" s="2936"/>
      <c r="SSN73" s="2936"/>
      <c r="SSO73" s="2936"/>
      <c r="SSP73" s="2936"/>
      <c r="SSQ73" s="2936"/>
      <c r="SSR73" s="2936"/>
      <c r="SSS73" s="2936"/>
      <c r="SST73" s="2936"/>
      <c r="SSU73" s="2936"/>
      <c r="SSV73" s="2936"/>
      <c r="SSW73" s="2936"/>
      <c r="SSX73" s="2936"/>
      <c r="SSY73" s="2936"/>
      <c r="SSZ73" s="2936"/>
      <c r="STA73" s="2936"/>
      <c r="STB73" s="2936"/>
      <c r="STC73" s="2936"/>
      <c r="STD73" s="2936"/>
      <c r="STE73" s="2936"/>
      <c r="STF73" s="2936"/>
      <c r="STG73" s="2936"/>
      <c r="STH73" s="2936"/>
      <c r="STI73" s="2936"/>
      <c r="STJ73" s="2936"/>
      <c r="STK73" s="2936"/>
      <c r="STL73" s="2936"/>
      <c r="STM73" s="2936"/>
      <c r="STN73" s="2936"/>
      <c r="STO73" s="2936"/>
      <c r="STP73" s="2936"/>
      <c r="STQ73" s="2936"/>
      <c r="STR73" s="2936"/>
      <c r="STS73" s="2936"/>
      <c r="STT73" s="2936"/>
      <c r="STU73" s="2936"/>
      <c r="STV73" s="2936"/>
      <c r="STW73" s="2936"/>
      <c r="STX73" s="2936"/>
      <c r="STY73" s="2936"/>
      <c r="STZ73" s="2936"/>
      <c r="SUA73" s="2936"/>
      <c r="SUB73" s="2936"/>
      <c r="SUC73" s="2936"/>
      <c r="SUD73" s="2936"/>
      <c r="SUE73" s="2936"/>
      <c r="SUF73" s="2936"/>
      <c r="SUG73" s="2936"/>
      <c r="SUH73" s="2936"/>
      <c r="SUI73" s="2936"/>
      <c r="SUJ73" s="2936"/>
      <c r="SUK73" s="2936"/>
      <c r="SUL73" s="2936"/>
      <c r="SUM73" s="2936"/>
      <c r="SUN73" s="2936"/>
      <c r="SUO73" s="2936"/>
      <c r="SUP73" s="2936"/>
      <c r="SUQ73" s="2936"/>
      <c r="SUR73" s="2936"/>
      <c r="SUS73" s="2936"/>
      <c r="SUT73" s="2936"/>
      <c r="SUU73" s="2936"/>
      <c r="SUV73" s="2936"/>
      <c r="SUW73" s="2936"/>
      <c r="SUX73" s="2936"/>
      <c r="SUY73" s="2936"/>
      <c r="SUZ73" s="2936"/>
      <c r="SVA73" s="2936"/>
      <c r="SVB73" s="2936"/>
      <c r="SVC73" s="2936"/>
      <c r="SVD73" s="2936"/>
      <c r="SVE73" s="2936"/>
      <c r="SVF73" s="2936"/>
      <c r="SVG73" s="2936"/>
      <c r="SVH73" s="2936"/>
      <c r="SVI73" s="2936"/>
      <c r="SVJ73" s="2936"/>
      <c r="SVK73" s="2936"/>
      <c r="SVL73" s="2936"/>
      <c r="SVM73" s="2936"/>
      <c r="SVN73" s="2936"/>
      <c r="SVO73" s="2936"/>
      <c r="SVP73" s="2936"/>
      <c r="SVQ73" s="2936"/>
      <c r="SVR73" s="2936"/>
      <c r="SVS73" s="2936"/>
      <c r="SVT73" s="2936"/>
      <c r="SVU73" s="2936"/>
      <c r="SVV73" s="2936"/>
      <c r="SVW73" s="2936"/>
      <c r="SVX73" s="2936"/>
      <c r="SVY73" s="2936"/>
      <c r="SVZ73" s="2936"/>
      <c r="SWA73" s="2936"/>
      <c r="SWB73" s="2936"/>
      <c r="SWC73" s="2936"/>
      <c r="SWD73" s="2936"/>
      <c r="SWE73" s="2936"/>
      <c r="SWF73" s="2936"/>
      <c r="SWG73" s="2936"/>
      <c r="SWH73" s="2936"/>
      <c r="SWI73" s="2936"/>
      <c r="SWJ73" s="2936"/>
      <c r="SWK73" s="2936"/>
      <c r="SWL73" s="2936"/>
      <c r="SWM73" s="2936"/>
      <c r="SWN73" s="2936"/>
      <c r="SWO73" s="2936"/>
      <c r="SWP73" s="2936"/>
      <c r="SWQ73" s="2936"/>
      <c r="SWR73" s="2936"/>
      <c r="SWS73" s="2936"/>
      <c r="SWT73" s="2936"/>
      <c r="SWU73" s="2936"/>
      <c r="SWV73" s="2936"/>
      <c r="SWW73" s="2936"/>
      <c r="SWX73" s="2936"/>
      <c r="SWY73" s="2936"/>
      <c r="SWZ73" s="2936"/>
      <c r="SXA73" s="2936"/>
      <c r="SXB73" s="2936"/>
      <c r="SXC73" s="2936"/>
      <c r="SXD73" s="2936"/>
      <c r="SXE73" s="2936"/>
      <c r="SXF73" s="2936"/>
      <c r="SXG73" s="2936"/>
      <c r="SXH73" s="2936"/>
      <c r="SXI73" s="2936"/>
      <c r="SXJ73" s="2936"/>
      <c r="SXK73" s="2936"/>
      <c r="SXL73" s="2936"/>
      <c r="SXM73" s="2936"/>
      <c r="SXN73" s="2936"/>
      <c r="SXO73" s="2936"/>
      <c r="SXP73" s="2936"/>
      <c r="SXQ73" s="2936"/>
      <c r="SXR73" s="2936"/>
      <c r="SXS73" s="2936"/>
      <c r="SXT73" s="2936"/>
      <c r="SXU73" s="2936"/>
      <c r="SXV73" s="2936"/>
      <c r="SXW73" s="2936"/>
      <c r="SXX73" s="2936"/>
      <c r="SXY73" s="2936"/>
      <c r="SXZ73" s="2936"/>
      <c r="SYA73" s="2936"/>
      <c r="SYB73" s="2936"/>
      <c r="SYC73" s="2936"/>
      <c r="SYD73" s="2936"/>
      <c r="SYE73" s="2936"/>
      <c r="SYF73" s="2936"/>
      <c r="SYG73" s="2936"/>
      <c r="SYH73" s="2936"/>
      <c r="SYI73" s="2936"/>
      <c r="SYJ73" s="2936"/>
      <c r="SYK73" s="2936"/>
      <c r="SYL73" s="2936"/>
      <c r="SYM73" s="2936"/>
      <c r="SYN73" s="2936"/>
      <c r="SYO73" s="2936"/>
      <c r="SYP73" s="2936"/>
      <c r="SYQ73" s="2936"/>
      <c r="SYR73" s="2936"/>
      <c r="SYS73" s="2936"/>
      <c r="SYT73" s="2936"/>
      <c r="SYU73" s="2936"/>
      <c r="SYV73" s="2936"/>
      <c r="SYW73" s="2936"/>
      <c r="SYX73" s="2936"/>
      <c r="SYY73" s="2936"/>
      <c r="SYZ73" s="2936"/>
      <c r="SZA73" s="2936"/>
      <c r="SZB73" s="2936"/>
      <c r="SZC73" s="2936"/>
      <c r="SZD73" s="2936"/>
      <c r="SZE73" s="2936"/>
      <c r="SZF73" s="2936"/>
      <c r="SZG73" s="2936"/>
      <c r="SZH73" s="2936"/>
      <c r="SZI73" s="2936"/>
      <c r="SZJ73" s="2936"/>
      <c r="SZK73" s="2936"/>
      <c r="SZL73" s="2936"/>
      <c r="SZM73" s="2936"/>
      <c r="SZN73" s="2936"/>
      <c r="SZO73" s="2936"/>
      <c r="SZP73" s="2936"/>
      <c r="SZQ73" s="2936"/>
      <c r="SZR73" s="2936"/>
      <c r="SZS73" s="2936"/>
      <c r="SZT73" s="2936"/>
      <c r="SZU73" s="2936"/>
      <c r="SZV73" s="2936"/>
      <c r="SZW73" s="2936"/>
      <c r="SZX73" s="2936"/>
      <c r="SZY73" s="2936"/>
      <c r="SZZ73" s="2936"/>
      <c r="TAA73" s="2936"/>
      <c r="TAB73" s="2936"/>
      <c r="TAC73" s="2936"/>
      <c r="TAD73" s="2936"/>
      <c r="TAE73" s="2936"/>
      <c r="TAF73" s="2936"/>
      <c r="TAG73" s="2936"/>
      <c r="TAH73" s="2936"/>
      <c r="TAI73" s="2936"/>
      <c r="TAJ73" s="2936"/>
      <c r="TAK73" s="2936"/>
      <c r="TAL73" s="2936"/>
      <c r="TAM73" s="2936"/>
      <c r="TAN73" s="2936"/>
      <c r="TAO73" s="2936"/>
      <c r="TAP73" s="2936"/>
      <c r="TAQ73" s="2936"/>
      <c r="TAR73" s="2936"/>
      <c r="TAS73" s="2936"/>
      <c r="TAT73" s="2936"/>
      <c r="TAU73" s="2936"/>
      <c r="TAV73" s="2936"/>
      <c r="TAW73" s="2936"/>
      <c r="TAX73" s="2936"/>
      <c r="TAY73" s="2936"/>
      <c r="TAZ73" s="2936"/>
      <c r="TBA73" s="2936"/>
      <c r="TBB73" s="2936"/>
      <c r="TBC73" s="2936"/>
      <c r="TBD73" s="2936"/>
      <c r="TBE73" s="2936"/>
      <c r="TBF73" s="2936"/>
      <c r="TBG73" s="2936"/>
      <c r="TBH73" s="2936"/>
      <c r="TBI73" s="2936"/>
      <c r="TBJ73" s="2936"/>
      <c r="TBK73" s="2936"/>
      <c r="TBL73" s="2936"/>
      <c r="TBM73" s="2936"/>
      <c r="TBN73" s="2936"/>
      <c r="TBO73" s="2936"/>
      <c r="TBP73" s="2936"/>
      <c r="TBQ73" s="2936"/>
      <c r="TBR73" s="2936"/>
      <c r="TBS73" s="2936"/>
      <c r="TBT73" s="2936"/>
      <c r="TBU73" s="2936"/>
      <c r="TBV73" s="2936"/>
      <c r="TBW73" s="2936"/>
      <c r="TBX73" s="2936"/>
      <c r="TBY73" s="2936"/>
      <c r="TBZ73" s="2936"/>
      <c r="TCA73" s="2936"/>
      <c r="TCB73" s="2936"/>
      <c r="TCC73" s="2936"/>
      <c r="TCD73" s="2936"/>
      <c r="TCE73" s="2936"/>
      <c r="TCF73" s="2936"/>
      <c r="TCG73" s="2936"/>
      <c r="TCH73" s="2936"/>
      <c r="TCI73" s="2936"/>
      <c r="TCJ73" s="2936"/>
      <c r="TCK73" s="2936"/>
      <c r="TCL73" s="2936"/>
      <c r="TCM73" s="2936"/>
      <c r="TCN73" s="2936"/>
      <c r="TCO73" s="2936"/>
      <c r="TCP73" s="2936"/>
      <c r="TCQ73" s="2936"/>
      <c r="TCR73" s="2936"/>
      <c r="TCS73" s="2936"/>
      <c r="TCT73" s="2936"/>
      <c r="TCU73" s="2936"/>
      <c r="TCV73" s="2936"/>
      <c r="TCW73" s="2936"/>
      <c r="TCX73" s="2936"/>
      <c r="TCY73" s="2936"/>
      <c r="TCZ73" s="2936"/>
      <c r="TDA73" s="2936"/>
      <c r="TDB73" s="2936"/>
      <c r="TDC73" s="2936"/>
      <c r="TDD73" s="2936"/>
      <c r="TDE73" s="2936"/>
      <c r="TDF73" s="2936"/>
      <c r="TDG73" s="2936"/>
      <c r="TDH73" s="2936"/>
      <c r="TDI73" s="2936"/>
      <c r="TDJ73" s="2936"/>
      <c r="TDK73" s="2936"/>
      <c r="TDL73" s="2936"/>
      <c r="TDM73" s="2936"/>
      <c r="TDN73" s="2936"/>
      <c r="TDO73" s="2936"/>
      <c r="TDP73" s="2936"/>
      <c r="TDQ73" s="2936"/>
      <c r="TDR73" s="2936"/>
      <c r="TDS73" s="2936"/>
      <c r="TDT73" s="2936"/>
      <c r="TDU73" s="2936"/>
      <c r="TDV73" s="2936"/>
      <c r="TDW73" s="2936"/>
      <c r="TDX73" s="2936"/>
      <c r="TDY73" s="2936"/>
      <c r="TDZ73" s="2936"/>
      <c r="TEA73" s="2936"/>
      <c r="TEB73" s="2936"/>
      <c r="TEC73" s="2936"/>
      <c r="TED73" s="2936"/>
      <c r="TEE73" s="2936"/>
      <c r="TEF73" s="2936"/>
      <c r="TEG73" s="2936"/>
      <c r="TEH73" s="2936"/>
      <c r="TEI73" s="2936"/>
      <c r="TEJ73" s="2936"/>
      <c r="TEK73" s="2936"/>
      <c r="TEL73" s="2936"/>
      <c r="TEM73" s="2936"/>
      <c r="TEN73" s="2936"/>
      <c r="TEO73" s="2936"/>
      <c r="TEP73" s="2936"/>
      <c r="TEQ73" s="2936"/>
      <c r="TER73" s="2936"/>
      <c r="TES73" s="2936"/>
      <c r="TET73" s="2936"/>
      <c r="TEU73" s="2936"/>
      <c r="TEV73" s="2936"/>
      <c r="TEW73" s="2936"/>
      <c r="TEX73" s="2936"/>
      <c r="TEY73" s="2936"/>
      <c r="TEZ73" s="2936"/>
      <c r="TFA73" s="2936"/>
      <c r="TFB73" s="2936"/>
      <c r="TFC73" s="2936"/>
      <c r="TFD73" s="2936"/>
      <c r="TFE73" s="2936"/>
      <c r="TFF73" s="2936"/>
      <c r="TFG73" s="2936"/>
      <c r="TFH73" s="2936"/>
      <c r="TFI73" s="2936"/>
      <c r="TFJ73" s="2936"/>
      <c r="TFK73" s="2936"/>
      <c r="TFL73" s="2936"/>
      <c r="TFM73" s="2936"/>
      <c r="TFN73" s="2936"/>
      <c r="TFO73" s="2936"/>
      <c r="TFP73" s="2936"/>
      <c r="TFQ73" s="2936"/>
      <c r="TFR73" s="2936"/>
      <c r="TFS73" s="2936"/>
      <c r="TFT73" s="2936"/>
      <c r="TFU73" s="2936"/>
      <c r="TFV73" s="2936"/>
      <c r="TFW73" s="2936"/>
      <c r="TFX73" s="2936"/>
      <c r="TFY73" s="2936"/>
      <c r="TFZ73" s="2936"/>
      <c r="TGA73" s="2936"/>
      <c r="TGB73" s="2936"/>
      <c r="TGC73" s="2936"/>
      <c r="TGD73" s="2936"/>
      <c r="TGE73" s="2936"/>
      <c r="TGF73" s="2936"/>
      <c r="TGG73" s="2936"/>
      <c r="TGH73" s="2936"/>
      <c r="TGI73" s="2936"/>
      <c r="TGJ73" s="2936"/>
      <c r="TGK73" s="2936"/>
      <c r="TGL73" s="2936"/>
      <c r="TGM73" s="2936"/>
      <c r="TGN73" s="2936"/>
      <c r="TGO73" s="2936"/>
      <c r="TGP73" s="2936"/>
      <c r="TGQ73" s="2936"/>
      <c r="TGR73" s="2936"/>
      <c r="TGS73" s="2936"/>
      <c r="TGT73" s="2936"/>
      <c r="TGU73" s="2936"/>
      <c r="TGV73" s="2936"/>
      <c r="TGW73" s="2936"/>
      <c r="TGX73" s="2936"/>
      <c r="TGY73" s="2936"/>
      <c r="TGZ73" s="2936"/>
      <c r="THA73" s="2936"/>
      <c r="THB73" s="2936"/>
      <c r="THC73" s="2936"/>
      <c r="THD73" s="2936"/>
      <c r="THE73" s="2936"/>
      <c r="THF73" s="2936"/>
      <c r="THG73" s="2936"/>
      <c r="THH73" s="2936"/>
      <c r="THI73" s="2936"/>
      <c r="THJ73" s="2936"/>
      <c r="THK73" s="2936"/>
      <c r="THL73" s="2936"/>
      <c r="THM73" s="2936"/>
      <c r="THN73" s="2936"/>
      <c r="THO73" s="2936"/>
      <c r="THP73" s="2936"/>
      <c r="THQ73" s="2936"/>
      <c r="THR73" s="2936"/>
      <c r="THS73" s="2936"/>
      <c r="THT73" s="2936"/>
      <c r="THU73" s="2936"/>
      <c r="THV73" s="2936"/>
      <c r="THW73" s="2936"/>
      <c r="THX73" s="2936"/>
      <c r="THY73" s="2936"/>
      <c r="THZ73" s="2936"/>
      <c r="TIA73" s="2936"/>
      <c r="TIB73" s="2936"/>
      <c r="TIC73" s="2936"/>
      <c r="TID73" s="2936"/>
      <c r="TIE73" s="2936"/>
      <c r="TIF73" s="2936"/>
      <c r="TIG73" s="2936"/>
      <c r="TIH73" s="2936"/>
      <c r="TII73" s="2936"/>
      <c r="TIJ73" s="2936"/>
      <c r="TIK73" s="2936"/>
      <c r="TIL73" s="2936"/>
      <c r="TIM73" s="2936"/>
      <c r="TIN73" s="2936"/>
      <c r="TIO73" s="2936"/>
      <c r="TIP73" s="2936"/>
      <c r="TIQ73" s="2936"/>
      <c r="TIR73" s="2936"/>
      <c r="TIS73" s="2936"/>
      <c r="TIT73" s="2936"/>
      <c r="TIU73" s="2936"/>
      <c r="TIV73" s="2936"/>
      <c r="TIW73" s="2936"/>
      <c r="TIX73" s="2936"/>
      <c r="TIY73" s="2936"/>
      <c r="TIZ73" s="2936"/>
      <c r="TJA73" s="2936"/>
      <c r="TJB73" s="2936"/>
      <c r="TJC73" s="2936"/>
      <c r="TJD73" s="2936"/>
      <c r="TJE73" s="2936"/>
      <c r="TJF73" s="2936"/>
      <c r="TJG73" s="2936"/>
      <c r="TJH73" s="2936"/>
      <c r="TJI73" s="2936"/>
      <c r="TJJ73" s="2936"/>
      <c r="TJK73" s="2936"/>
      <c r="TJL73" s="2936"/>
      <c r="TJM73" s="2936"/>
      <c r="TJN73" s="2936"/>
      <c r="TJO73" s="2936"/>
      <c r="TJP73" s="2936"/>
      <c r="TJQ73" s="2936"/>
      <c r="TJR73" s="2936"/>
      <c r="TJS73" s="2936"/>
      <c r="TJT73" s="2936"/>
      <c r="TJU73" s="2936"/>
      <c r="TJV73" s="2936"/>
      <c r="TJW73" s="2936"/>
      <c r="TJX73" s="2936"/>
      <c r="TJY73" s="2936"/>
      <c r="TJZ73" s="2936"/>
      <c r="TKA73" s="2936"/>
      <c r="TKB73" s="2936"/>
      <c r="TKC73" s="2936"/>
      <c r="TKD73" s="2936"/>
      <c r="TKE73" s="2936"/>
      <c r="TKF73" s="2936"/>
      <c r="TKG73" s="2936"/>
      <c r="TKH73" s="2936"/>
      <c r="TKI73" s="2936"/>
      <c r="TKJ73" s="2936"/>
      <c r="TKK73" s="2936"/>
      <c r="TKL73" s="2936"/>
      <c r="TKM73" s="2936"/>
      <c r="TKN73" s="2936"/>
      <c r="TKO73" s="2936"/>
      <c r="TKP73" s="2936"/>
      <c r="TKQ73" s="2936"/>
      <c r="TKR73" s="2936"/>
      <c r="TKS73" s="2936"/>
      <c r="TKT73" s="2936"/>
      <c r="TKU73" s="2936"/>
      <c r="TKV73" s="2936"/>
      <c r="TKW73" s="2936"/>
      <c r="TKX73" s="2936"/>
      <c r="TKY73" s="2936"/>
      <c r="TKZ73" s="2936"/>
      <c r="TLA73" s="2936"/>
      <c r="TLB73" s="2936"/>
      <c r="TLC73" s="2936"/>
      <c r="TLD73" s="2936"/>
      <c r="TLE73" s="2936"/>
      <c r="TLF73" s="2936"/>
      <c r="TLG73" s="2936"/>
      <c r="TLH73" s="2936"/>
      <c r="TLI73" s="2936"/>
      <c r="TLJ73" s="2936"/>
      <c r="TLK73" s="2936"/>
      <c r="TLL73" s="2936"/>
      <c r="TLM73" s="2936"/>
      <c r="TLN73" s="2936"/>
      <c r="TLO73" s="2936"/>
      <c r="TLP73" s="2936"/>
      <c r="TLQ73" s="2936"/>
      <c r="TLR73" s="2936"/>
      <c r="TLS73" s="2936"/>
      <c r="TLT73" s="2936"/>
      <c r="TLU73" s="2936"/>
      <c r="TLV73" s="2936"/>
      <c r="TLW73" s="2936"/>
      <c r="TLX73" s="2936"/>
      <c r="TLY73" s="2936"/>
      <c r="TLZ73" s="2936"/>
      <c r="TMA73" s="2936"/>
      <c r="TMB73" s="2936"/>
      <c r="TMC73" s="2936"/>
      <c r="TMD73" s="2936"/>
      <c r="TME73" s="2936"/>
      <c r="TMF73" s="2936"/>
      <c r="TMG73" s="2936"/>
      <c r="TMH73" s="2936"/>
      <c r="TMI73" s="2936"/>
      <c r="TMJ73" s="2936"/>
      <c r="TMK73" s="2936"/>
      <c r="TML73" s="2936"/>
      <c r="TMM73" s="2936"/>
      <c r="TMN73" s="2936"/>
      <c r="TMO73" s="2936"/>
      <c r="TMP73" s="2936"/>
      <c r="TMQ73" s="2936"/>
      <c r="TMR73" s="2936"/>
      <c r="TMS73" s="2936"/>
      <c r="TMT73" s="2936"/>
      <c r="TMU73" s="2936"/>
      <c r="TMV73" s="2936"/>
      <c r="TMW73" s="2936"/>
      <c r="TMX73" s="2936"/>
      <c r="TMY73" s="2936"/>
      <c r="TMZ73" s="2936"/>
      <c r="TNA73" s="2936"/>
      <c r="TNB73" s="2936"/>
      <c r="TNC73" s="2936"/>
      <c r="TND73" s="2936"/>
      <c r="TNE73" s="2936"/>
      <c r="TNF73" s="2936"/>
      <c r="TNG73" s="2936"/>
      <c r="TNH73" s="2936"/>
      <c r="TNI73" s="2936"/>
      <c r="TNJ73" s="2936"/>
      <c r="TNK73" s="2936"/>
      <c r="TNL73" s="2936"/>
      <c r="TNM73" s="2936"/>
      <c r="TNN73" s="2936"/>
      <c r="TNO73" s="2936"/>
      <c r="TNP73" s="2936"/>
      <c r="TNQ73" s="2936"/>
      <c r="TNR73" s="2936"/>
      <c r="TNS73" s="2936"/>
      <c r="TNT73" s="2936"/>
      <c r="TNU73" s="2936"/>
      <c r="TNV73" s="2936"/>
      <c r="TNW73" s="2936"/>
      <c r="TNX73" s="2936"/>
      <c r="TNY73" s="2936"/>
      <c r="TNZ73" s="2936"/>
      <c r="TOA73" s="2936"/>
      <c r="TOB73" s="2936"/>
      <c r="TOC73" s="2936"/>
      <c r="TOD73" s="2936"/>
      <c r="TOE73" s="2936"/>
      <c r="TOF73" s="2936"/>
      <c r="TOG73" s="2936"/>
      <c r="TOH73" s="2936"/>
      <c r="TOI73" s="2936"/>
      <c r="TOJ73" s="2936"/>
      <c r="TOK73" s="2936"/>
      <c r="TOL73" s="2936"/>
      <c r="TOM73" s="2936"/>
      <c r="TON73" s="2936"/>
      <c r="TOO73" s="2936"/>
      <c r="TOP73" s="2936"/>
      <c r="TOQ73" s="2936"/>
      <c r="TOR73" s="2936"/>
      <c r="TOS73" s="2936"/>
      <c r="TOT73" s="2936"/>
      <c r="TOU73" s="2936"/>
      <c r="TOV73" s="2936"/>
      <c r="TOW73" s="2936"/>
      <c r="TOX73" s="2936"/>
      <c r="TOY73" s="2936"/>
      <c r="TOZ73" s="2936"/>
      <c r="TPA73" s="2936"/>
      <c r="TPB73" s="2936"/>
      <c r="TPC73" s="2936"/>
      <c r="TPD73" s="2936"/>
      <c r="TPE73" s="2936"/>
      <c r="TPF73" s="2936"/>
      <c r="TPG73" s="2936"/>
      <c r="TPH73" s="2936"/>
      <c r="TPI73" s="2936"/>
      <c r="TPJ73" s="2936"/>
      <c r="TPK73" s="2936"/>
      <c r="TPL73" s="2936"/>
      <c r="TPM73" s="2936"/>
      <c r="TPN73" s="2936"/>
      <c r="TPO73" s="2936"/>
      <c r="TPP73" s="2936"/>
      <c r="TPQ73" s="2936"/>
      <c r="TPR73" s="2936"/>
      <c r="TPS73" s="2936"/>
      <c r="TPT73" s="2936"/>
      <c r="TPU73" s="2936"/>
      <c r="TPV73" s="2936"/>
      <c r="TPW73" s="2936"/>
      <c r="TPX73" s="2936"/>
      <c r="TPY73" s="2936"/>
      <c r="TPZ73" s="2936"/>
      <c r="TQA73" s="2936"/>
      <c r="TQB73" s="2936"/>
      <c r="TQC73" s="2936"/>
      <c r="TQD73" s="2936"/>
      <c r="TQE73" s="2936"/>
      <c r="TQF73" s="2936"/>
      <c r="TQG73" s="2936"/>
      <c r="TQH73" s="2936"/>
      <c r="TQI73" s="2936"/>
      <c r="TQJ73" s="2936"/>
      <c r="TQK73" s="2936"/>
      <c r="TQL73" s="2936"/>
      <c r="TQM73" s="2936"/>
      <c r="TQN73" s="2936"/>
      <c r="TQO73" s="2936"/>
      <c r="TQP73" s="2936"/>
      <c r="TQQ73" s="2936"/>
      <c r="TQR73" s="2936"/>
      <c r="TQS73" s="2936"/>
      <c r="TQT73" s="2936"/>
      <c r="TQU73" s="2936"/>
      <c r="TQV73" s="2936"/>
      <c r="TQW73" s="2936"/>
      <c r="TQX73" s="2936"/>
      <c r="TQY73" s="2936"/>
      <c r="TQZ73" s="2936"/>
      <c r="TRA73" s="2936"/>
      <c r="TRB73" s="2936"/>
      <c r="TRC73" s="2936"/>
      <c r="TRD73" s="2936"/>
      <c r="TRE73" s="2936"/>
      <c r="TRF73" s="2936"/>
      <c r="TRG73" s="2936"/>
      <c r="TRH73" s="2936"/>
      <c r="TRI73" s="2936"/>
      <c r="TRJ73" s="2936"/>
      <c r="TRK73" s="2936"/>
      <c r="TRL73" s="2936"/>
      <c r="TRM73" s="2936"/>
      <c r="TRN73" s="2936"/>
      <c r="TRO73" s="2936"/>
      <c r="TRP73" s="2936"/>
      <c r="TRQ73" s="2936"/>
      <c r="TRR73" s="2936"/>
      <c r="TRS73" s="2936"/>
      <c r="TRT73" s="2936"/>
      <c r="TRU73" s="2936"/>
      <c r="TRV73" s="2936"/>
      <c r="TRW73" s="2936"/>
      <c r="TRX73" s="2936"/>
      <c r="TRY73" s="2936"/>
      <c r="TRZ73" s="2936"/>
      <c r="TSA73" s="2936"/>
      <c r="TSB73" s="2936"/>
      <c r="TSC73" s="2936"/>
      <c r="TSD73" s="2936"/>
      <c r="TSE73" s="2936"/>
      <c r="TSF73" s="2936"/>
      <c r="TSG73" s="2936"/>
      <c r="TSH73" s="2936"/>
      <c r="TSI73" s="2936"/>
      <c r="TSJ73" s="2936"/>
      <c r="TSK73" s="2936"/>
      <c r="TSL73" s="2936"/>
      <c r="TSM73" s="2936"/>
      <c r="TSN73" s="2936"/>
      <c r="TSO73" s="2936"/>
      <c r="TSP73" s="2936"/>
      <c r="TSQ73" s="2936"/>
      <c r="TSR73" s="2936"/>
      <c r="TSS73" s="2936"/>
      <c r="TST73" s="2936"/>
      <c r="TSU73" s="2936"/>
      <c r="TSV73" s="2936"/>
      <c r="TSW73" s="2936"/>
      <c r="TSX73" s="2936"/>
      <c r="TSY73" s="2936"/>
      <c r="TSZ73" s="2936"/>
      <c r="TTA73" s="2936"/>
      <c r="TTB73" s="2936"/>
      <c r="TTC73" s="2936"/>
      <c r="TTD73" s="2936"/>
      <c r="TTE73" s="2936"/>
      <c r="TTF73" s="2936"/>
      <c r="TTG73" s="2936"/>
      <c r="TTH73" s="2936"/>
      <c r="TTI73" s="2936"/>
      <c r="TTJ73" s="2936"/>
      <c r="TTK73" s="2936"/>
      <c r="TTL73" s="2936"/>
      <c r="TTM73" s="2936"/>
      <c r="TTN73" s="2936"/>
      <c r="TTO73" s="2936"/>
      <c r="TTP73" s="2936"/>
      <c r="TTQ73" s="2936"/>
      <c r="TTR73" s="2936"/>
      <c r="TTS73" s="2936"/>
      <c r="TTT73" s="2936"/>
      <c r="TTU73" s="2936"/>
      <c r="TTV73" s="2936"/>
      <c r="TTW73" s="2936"/>
      <c r="TTX73" s="2936"/>
      <c r="TTY73" s="2936"/>
      <c r="TTZ73" s="2936"/>
      <c r="TUA73" s="2936"/>
      <c r="TUB73" s="2936"/>
      <c r="TUC73" s="2936"/>
      <c r="TUD73" s="2936"/>
      <c r="TUE73" s="2936"/>
      <c r="TUF73" s="2936"/>
      <c r="TUG73" s="2936"/>
      <c r="TUH73" s="2936"/>
      <c r="TUI73" s="2936"/>
      <c r="TUJ73" s="2936"/>
      <c r="TUK73" s="2936"/>
      <c r="TUL73" s="2936"/>
      <c r="TUM73" s="2936"/>
      <c r="TUN73" s="2936"/>
      <c r="TUO73" s="2936"/>
      <c r="TUP73" s="2936"/>
      <c r="TUQ73" s="2936"/>
      <c r="TUR73" s="2936"/>
      <c r="TUS73" s="2936"/>
      <c r="TUT73" s="2936"/>
      <c r="TUU73" s="2936"/>
      <c r="TUV73" s="2936"/>
      <c r="TUW73" s="2936"/>
      <c r="TUX73" s="2936"/>
      <c r="TUY73" s="2936"/>
      <c r="TUZ73" s="2936"/>
      <c r="TVA73" s="2936"/>
      <c r="TVB73" s="2936"/>
      <c r="TVC73" s="2936"/>
      <c r="TVD73" s="2936"/>
      <c r="TVE73" s="2936"/>
      <c r="TVF73" s="2936"/>
      <c r="TVG73" s="2936"/>
      <c r="TVH73" s="2936"/>
      <c r="TVI73" s="2936"/>
      <c r="TVJ73" s="2936"/>
      <c r="TVK73" s="2936"/>
      <c r="TVL73" s="2936"/>
      <c r="TVM73" s="2936"/>
      <c r="TVN73" s="2936"/>
      <c r="TVO73" s="2936"/>
      <c r="TVP73" s="2936"/>
      <c r="TVQ73" s="2936"/>
      <c r="TVR73" s="2936"/>
      <c r="TVS73" s="2936"/>
      <c r="TVT73" s="2936"/>
      <c r="TVU73" s="2936"/>
      <c r="TVV73" s="2936"/>
      <c r="TVW73" s="2936"/>
      <c r="TVX73" s="2936"/>
      <c r="TVY73" s="2936"/>
      <c r="TVZ73" s="2936"/>
      <c r="TWA73" s="2936"/>
      <c r="TWB73" s="2936"/>
      <c r="TWC73" s="2936"/>
      <c r="TWD73" s="2936"/>
      <c r="TWE73" s="2936"/>
      <c r="TWF73" s="2936"/>
      <c r="TWG73" s="2936"/>
      <c r="TWH73" s="2936"/>
      <c r="TWI73" s="2936"/>
      <c r="TWJ73" s="2936"/>
      <c r="TWK73" s="2936"/>
      <c r="TWL73" s="2936"/>
      <c r="TWM73" s="2936"/>
      <c r="TWN73" s="2936"/>
      <c r="TWO73" s="2936"/>
      <c r="TWP73" s="2936"/>
      <c r="TWQ73" s="2936"/>
      <c r="TWR73" s="2936"/>
      <c r="TWS73" s="2936"/>
      <c r="TWT73" s="2936"/>
      <c r="TWU73" s="2936"/>
      <c r="TWV73" s="2936"/>
      <c r="TWW73" s="2936"/>
      <c r="TWX73" s="2936"/>
      <c r="TWY73" s="2936"/>
      <c r="TWZ73" s="2936"/>
      <c r="TXA73" s="2936"/>
      <c r="TXB73" s="2936"/>
      <c r="TXC73" s="2936"/>
      <c r="TXD73" s="2936"/>
      <c r="TXE73" s="2936"/>
      <c r="TXF73" s="2936"/>
      <c r="TXG73" s="2936"/>
      <c r="TXH73" s="2936"/>
      <c r="TXI73" s="2936"/>
      <c r="TXJ73" s="2936"/>
      <c r="TXK73" s="2936"/>
      <c r="TXL73" s="2936"/>
      <c r="TXM73" s="2936"/>
      <c r="TXN73" s="2936"/>
      <c r="TXO73" s="2936"/>
      <c r="TXP73" s="2936"/>
      <c r="TXQ73" s="2936"/>
      <c r="TXR73" s="2936"/>
      <c r="TXS73" s="2936"/>
      <c r="TXT73" s="2936"/>
      <c r="TXU73" s="2936"/>
      <c r="TXV73" s="2936"/>
      <c r="TXW73" s="2936"/>
      <c r="TXX73" s="2936"/>
      <c r="TXY73" s="2936"/>
      <c r="TXZ73" s="2936"/>
      <c r="TYA73" s="2936"/>
      <c r="TYB73" s="2936"/>
      <c r="TYC73" s="2936"/>
      <c r="TYD73" s="2936"/>
      <c r="TYE73" s="2936"/>
      <c r="TYF73" s="2936"/>
      <c r="TYG73" s="2936"/>
      <c r="TYH73" s="2936"/>
      <c r="TYI73" s="2936"/>
      <c r="TYJ73" s="2936"/>
      <c r="TYK73" s="2936"/>
      <c r="TYL73" s="2936"/>
      <c r="TYM73" s="2936"/>
      <c r="TYN73" s="2936"/>
      <c r="TYO73" s="2936"/>
      <c r="TYP73" s="2936"/>
      <c r="TYQ73" s="2936"/>
      <c r="TYR73" s="2936"/>
      <c r="TYS73" s="2936"/>
      <c r="TYT73" s="2936"/>
      <c r="TYU73" s="2936"/>
      <c r="TYV73" s="2936"/>
      <c r="TYW73" s="2936"/>
      <c r="TYX73" s="2936"/>
      <c r="TYY73" s="2936"/>
      <c r="TYZ73" s="2936"/>
      <c r="TZA73" s="2936"/>
      <c r="TZB73" s="2936"/>
      <c r="TZC73" s="2936"/>
      <c r="TZD73" s="2936"/>
      <c r="TZE73" s="2936"/>
      <c r="TZF73" s="2936"/>
      <c r="TZG73" s="2936"/>
      <c r="TZH73" s="2936"/>
      <c r="TZI73" s="2936"/>
      <c r="TZJ73" s="2936"/>
      <c r="TZK73" s="2936"/>
      <c r="TZL73" s="2936"/>
      <c r="TZM73" s="2936"/>
      <c r="TZN73" s="2936"/>
      <c r="TZO73" s="2936"/>
      <c r="TZP73" s="2936"/>
      <c r="TZQ73" s="2936"/>
      <c r="TZR73" s="2936"/>
      <c r="TZS73" s="2936"/>
      <c r="TZT73" s="2936"/>
      <c r="TZU73" s="2936"/>
      <c r="TZV73" s="2936"/>
      <c r="TZW73" s="2936"/>
      <c r="TZX73" s="2936"/>
      <c r="TZY73" s="2936"/>
      <c r="TZZ73" s="2936"/>
      <c r="UAA73" s="2936"/>
      <c r="UAB73" s="2936"/>
      <c r="UAC73" s="2936"/>
      <c r="UAD73" s="2936"/>
      <c r="UAE73" s="2936"/>
      <c r="UAF73" s="2936"/>
      <c r="UAG73" s="2936"/>
      <c r="UAH73" s="2936"/>
      <c r="UAI73" s="2936"/>
      <c r="UAJ73" s="2936"/>
      <c r="UAK73" s="2936"/>
      <c r="UAL73" s="2936"/>
      <c r="UAM73" s="2936"/>
      <c r="UAN73" s="2936"/>
      <c r="UAO73" s="2936"/>
      <c r="UAP73" s="2936"/>
      <c r="UAQ73" s="2936"/>
      <c r="UAR73" s="2936"/>
      <c r="UAS73" s="2936"/>
      <c r="UAT73" s="2936"/>
      <c r="UAU73" s="2936"/>
      <c r="UAV73" s="2936"/>
      <c r="UAW73" s="2936"/>
      <c r="UAX73" s="2936"/>
      <c r="UAY73" s="2936"/>
      <c r="UAZ73" s="2936"/>
      <c r="UBA73" s="2936"/>
      <c r="UBB73" s="2936"/>
      <c r="UBC73" s="2936"/>
      <c r="UBD73" s="2936"/>
      <c r="UBE73" s="2936"/>
      <c r="UBF73" s="2936"/>
      <c r="UBG73" s="2936"/>
      <c r="UBH73" s="2936"/>
      <c r="UBI73" s="2936"/>
      <c r="UBJ73" s="2936"/>
      <c r="UBK73" s="2936"/>
      <c r="UBL73" s="2936"/>
      <c r="UBM73" s="2936"/>
      <c r="UBN73" s="2936"/>
      <c r="UBO73" s="2936"/>
      <c r="UBP73" s="2936"/>
      <c r="UBQ73" s="2936"/>
      <c r="UBR73" s="2936"/>
      <c r="UBS73" s="2936"/>
      <c r="UBT73" s="2936"/>
      <c r="UBU73" s="2936"/>
      <c r="UBV73" s="2936"/>
      <c r="UBW73" s="2936"/>
      <c r="UBX73" s="2936"/>
      <c r="UBY73" s="2936"/>
      <c r="UBZ73" s="2936"/>
      <c r="UCA73" s="2936"/>
      <c r="UCB73" s="2936"/>
      <c r="UCC73" s="2936"/>
      <c r="UCD73" s="2936"/>
      <c r="UCE73" s="2936"/>
      <c r="UCF73" s="2936"/>
      <c r="UCG73" s="2936"/>
      <c r="UCH73" s="2936"/>
      <c r="UCI73" s="2936"/>
      <c r="UCJ73" s="2936"/>
      <c r="UCK73" s="2936"/>
      <c r="UCL73" s="2936"/>
      <c r="UCM73" s="2936"/>
      <c r="UCN73" s="2936"/>
      <c r="UCO73" s="2936"/>
      <c r="UCP73" s="2936"/>
      <c r="UCQ73" s="2936"/>
      <c r="UCR73" s="2936"/>
      <c r="UCS73" s="2936"/>
      <c r="UCT73" s="2936"/>
      <c r="UCU73" s="2936"/>
      <c r="UCV73" s="2936"/>
      <c r="UCW73" s="2936"/>
      <c r="UCX73" s="2936"/>
      <c r="UCY73" s="2936"/>
      <c r="UCZ73" s="2936"/>
      <c r="UDA73" s="2936"/>
      <c r="UDB73" s="2936"/>
      <c r="UDC73" s="2936"/>
      <c r="UDD73" s="2936"/>
      <c r="UDE73" s="2936"/>
      <c r="UDF73" s="2936"/>
      <c r="UDG73" s="2936"/>
      <c r="UDH73" s="2936"/>
      <c r="UDI73" s="2936"/>
      <c r="UDJ73" s="2936"/>
      <c r="UDK73" s="2936"/>
      <c r="UDL73" s="2936"/>
      <c r="UDM73" s="2936"/>
      <c r="UDN73" s="2936"/>
      <c r="UDO73" s="2936"/>
      <c r="UDP73" s="2936"/>
      <c r="UDQ73" s="2936"/>
      <c r="UDR73" s="2936"/>
      <c r="UDS73" s="2936"/>
      <c r="UDT73" s="2936"/>
      <c r="UDU73" s="2936"/>
      <c r="UDV73" s="2936"/>
      <c r="UDW73" s="2936"/>
      <c r="UDX73" s="2936"/>
      <c r="UDY73" s="2936"/>
      <c r="UDZ73" s="2936"/>
      <c r="UEA73" s="2936"/>
      <c r="UEB73" s="2936"/>
      <c r="UEC73" s="2936"/>
      <c r="UED73" s="2936"/>
      <c r="UEE73" s="2936"/>
      <c r="UEF73" s="2936"/>
      <c r="UEG73" s="2936"/>
      <c r="UEH73" s="2936"/>
      <c r="UEI73" s="2936"/>
      <c r="UEJ73" s="2936"/>
      <c r="UEK73" s="2936"/>
      <c r="UEL73" s="2936"/>
      <c r="UEM73" s="2936"/>
      <c r="UEN73" s="2936"/>
      <c r="UEO73" s="2936"/>
      <c r="UEP73" s="2936"/>
      <c r="UEQ73" s="2936"/>
      <c r="UER73" s="2936"/>
      <c r="UES73" s="2936"/>
      <c r="UET73" s="2936"/>
      <c r="UEU73" s="2936"/>
      <c r="UEV73" s="2936"/>
      <c r="UEW73" s="2936"/>
      <c r="UEX73" s="2936"/>
      <c r="UEY73" s="2936"/>
      <c r="UEZ73" s="2936"/>
      <c r="UFA73" s="2936"/>
      <c r="UFB73" s="2936"/>
      <c r="UFC73" s="2936"/>
      <c r="UFD73" s="2936"/>
      <c r="UFE73" s="2936"/>
      <c r="UFF73" s="2936"/>
      <c r="UFG73" s="2936"/>
      <c r="UFH73" s="2936"/>
      <c r="UFI73" s="2936"/>
      <c r="UFJ73" s="2936"/>
      <c r="UFK73" s="2936"/>
      <c r="UFL73" s="2936"/>
      <c r="UFM73" s="2936"/>
      <c r="UFN73" s="2936"/>
      <c r="UFO73" s="2936"/>
      <c r="UFP73" s="2936"/>
      <c r="UFQ73" s="2936"/>
      <c r="UFR73" s="2936"/>
      <c r="UFS73" s="2936"/>
      <c r="UFT73" s="2936"/>
      <c r="UFU73" s="2936"/>
      <c r="UFV73" s="2936"/>
      <c r="UFW73" s="2936"/>
      <c r="UFX73" s="2936"/>
      <c r="UFY73" s="2936"/>
      <c r="UFZ73" s="2936"/>
      <c r="UGA73" s="2936"/>
      <c r="UGB73" s="2936"/>
      <c r="UGC73" s="2936"/>
      <c r="UGD73" s="2936"/>
      <c r="UGE73" s="2936"/>
      <c r="UGF73" s="2936"/>
      <c r="UGG73" s="2936"/>
      <c r="UGH73" s="2936"/>
      <c r="UGI73" s="2936"/>
      <c r="UGJ73" s="2936"/>
      <c r="UGK73" s="2936"/>
      <c r="UGL73" s="2936"/>
      <c r="UGM73" s="2936"/>
      <c r="UGN73" s="2936"/>
      <c r="UGO73" s="2936"/>
      <c r="UGP73" s="2936"/>
      <c r="UGQ73" s="2936"/>
      <c r="UGR73" s="2936"/>
      <c r="UGS73" s="2936"/>
      <c r="UGT73" s="2936"/>
      <c r="UGU73" s="2936"/>
      <c r="UGV73" s="2936"/>
      <c r="UGW73" s="2936"/>
      <c r="UGX73" s="2936"/>
      <c r="UGY73" s="2936"/>
      <c r="UGZ73" s="2936"/>
      <c r="UHA73" s="2936"/>
      <c r="UHB73" s="2936"/>
      <c r="UHC73" s="2936"/>
      <c r="UHD73" s="2936"/>
      <c r="UHE73" s="2936"/>
      <c r="UHF73" s="2936"/>
      <c r="UHG73" s="2936"/>
      <c r="UHH73" s="2936"/>
      <c r="UHI73" s="2936"/>
      <c r="UHJ73" s="2936"/>
      <c r="UHK73" s="2936"/>
      <c r="UHL73" s="2936"/>
      <c r="UHM73" s="2936"/>
      <c r="UHN73" s="2936"/>
      <c r="UHO73" s="2936"/>
      <c r="UHP73" s="2936"/>
      <c r="UHQ73" s="2936"/>
      <c r="UHR73" s="2936"/>
      <c r="UHS73" s="2936"/>
      <c r="UHT73" s="2936"/>
      <c r="UHU73" s="2936"/>
      <c r="UHV73" s="2936"/>
      <c r="UHW73" s="2936"/>
      <c r="UHX73" s="2936"/>
      <c r="UHY73" s="2936"/>
      <c r="UHZ73" s="2936"/>
      <c r="UIA73" s="2936"/>
      <c r="UIB73" s="2936"/>
      <c r="UIC73" s="2936"/>
      <c r="UID73" s="2936"/>
      <c r="UIE73" s="2936"/>
      <c r="UIF73" s="2936"/>
      <c r="UIG73" s="2936"/>
      <c r="UIH73" s="2936"/>
      <c r="UII73" s="2936"/>
      <c r="UIJ73" s="2936"/>
      <c r="UIK73" s="2936"/>
      <c r="UIL73" s="2936"/>
      <c r="UIM73" s="2936"/>
      <c r="UIN73" s="2936"/>
      <c r="UIO73" s="2936"/>
      <c r="UIP73" s="2936"/>
      <c r="UIQ73" s="2936"/>
      <c r="UIR73" s="2936"/>
      <c r="UIS73" s="2936"/>
      <c r="UIT73" s="2936"/>
      <c r="UIU73" s="2936"/>
      <c r="UIV73" s="2936"/>
      <c r="UIW73" s="2936"/>
      <c r="UIX73" s="2936"/>
      <c r="UIY73" s="2936"/>
      <c r="UIZ73" s="2936"/>
      <c r="UJA73" s="2936"/>
      <c r="UJB73" s="2936"/>
      <c r="UJC73" s="2936"/>
      <c r="UJD73" s="2936"/>
      <c r="UJE73" s="2936"/>
      <c r="UJF73" s="2936"/>
      <c r="UJG73" s="2936"/>
      <c r="UJH73" s="2936"/>
      <c r="UJI73" s="2936"/>
      <c r="UJJ73" s="2936"/>
      <c r="UJK73" s="2936"/>
      <c r="UJL73" s="2936"/>
      <c r="UJM73" s="2936"/>
      <c r="UJN73" s="2936"/>
      <c r="UJO73" s="2936"/>
      <c r="UJP73" s="2936"/>
      <c r="UJQ73" s="2936"/>
      <c r="UJR73" s="2936"/>
      <c r="UJS73" s="2936"/>
      <c r="UJT73" s="2936"/>
      <c r="UJU73" s="2936"/>
      <c r="UJV73" s="2936"/>
      <c r="UJW73" s="2936"/>
      <c r="UJX73" s="2936"/>
      <c r="UJY73" s="2936"/>
      <c r="UJZ73" s="2936"/>
      <c r="UKA73" s="2936"/>
      <c r="UKB73" s="2936"/>
      <c r="UKC73" s="2936"/>
      <c r="UKD73" s="2936"/>
      <c r="UKE73" s="2936"/>
      <c r="UKF73" s="2936"/>
      <c r="UKG73" s="2936"/>
      <c r="UKH73" s="2936"/>
      <c r="UKI73" s="2936"/>
      <c r="UKJ73" s="2936"/>
      <c r="UKK73" s="2936"/>
      <c r="UKL73" s="2936"/>
      <c r="UKM73" s="2936"/>
      <c r="UKN73" s="2936"/>
      <c r="UKO73" s="2936"/>
      <c r="UKP73" s="2936"/>
      <c r="UKQ73" s="2936"/>
      <c r="UKR73" s="2936"/>
      <c r="UKS73" s="2936"/>
      <c r="UKT73" s="2936"/>
      <c r="UKU73" s="2936"/>
      <c r="UKV73" s="2936"/>
      <c r="UKW73" s="2936"/>
      <c r="UKX73" s="2936"/>
      <c r="UKY73" s="2936"/>
      <c r="UKZ73" s="2936"/>
      <c r="ULA73" s="2936"/>
      <c r="ULB73" s="2936"/>
      <c r="ULC73" s="2936"/>
      <c r="ULD73" s="2936"/>
      <c r="ULE73" s="2936"/>
      <c r="ULF73" s="2936"/>
      <c r="ULG73" s="2936"/>
      <c r="ULH73" s="2936"/>
      <c r="ULI73" s="2936"/>
      <c r="ULJ73" s="2936"/>
      <c r="ULK73" s="2936"/>
      <c r="ULL73" s="2936"/>
      <c r="ULM73" s="2936"/>
      <c r="ULN73" s="2936"/>
      <c r="ULO73" s="2936"/>
      <c r="ULP73" s="2936"/>
      <c r="ULQ73" s="2936"/>
      <c r="ULR73" s="2936"/>
      <c r="ULS73" s="2936"/>
      <c r="ULT73" s="2936"/>
      <c r="ULU73" s="2936"/>
      <c r="ULV73" s="2936"/>
      <c r="ULW73" s="2936"/>
      <c r="ULX73" s="2936"/>
      <c r="ULY73" s="2936"/>
      <c r="ULZ73" s="2936"/>
      <c r="UMA73" s="2936"/>
      <c r="UMB73" s="2936"/>
      <c r="UMC73" s="2936"/>
      <c r="UMD73" s="2936"/>
      <c r="UME73" s="2936"/>
      <c r="UMF73" s="2936"/>
      <c r="UMG73" s="2936"/>
      <c r="UMH73" s="2936"/>
      <c r="UMI73" s="2936"/>
      <c r="UMJ73" s="2936"/>
      <c r="UMK73" s="2936"/>
      <c r="UML73" s="2936"/>
      <c r="UMM73" s="2936"/>
      <c r="UMN73" s="2936"/>
      <c r="UMO73" s="2936"/>
      <c r="UMP73" s="2936"/>
      <c r="UMQ73" s="2936"/>
      <c r="UMR73" s="2936"/>
      <c r="UMS73" s="2936"/>
      <c r="UMT73" s="2936"/>
      <c r="UMU73" s="2936"/>
      <c r="UMV73" s="2936"/>
      <c r="UMW73" s="2936"/>
      <c r="UMX73" s="2936"/>
      <c r="UMY73" s="2936"/>
      <c r="UMZ73" s="2936"/>
      <c r="UNA73" s="2936"/>
      <c r="UNB73" s="2936"/>
      <c r="UNC73" s="2936"/>
      <c r="UND73" s="2936"/>
      <c r="UNE73" s="2936"/>
      <c r="UNF73" s="2936"/>
      <c r="UNG73" s="2936"/>
      <c r="UNH73" s="2936"/>
      <c r="UNI73" s="2936"/>
      <c r="UNJ73" s="2936"/>
      <c r="UNK73" s="2936"/>
      <c r="UNL73" s="2936"/>
      <c r="UNM73" s="2936"/>
      <c r="UNN73" s="2936"/>
      <c r="UNO73" s="2936"/>
      <c r="UNP73" s="2936"/>
      <c r="UNQ73" s="2936"/>
      <c r="UNR73" s="2936"/>
      <c r="UNS73" s="2936"/>
      <c r="UNT73" s="2936"/>
      <c r="UNU73" s="2936"/>
      <c r="UNV73" s="2936"/>
      <c r="UNW73" s="2936"/>
      <c r="UNX73" s="2936"/>
      <c r="UNY73" s="2936"/>
      <c r="UNZ73" s="2936"/>
      <c r="UOA73" s="2936"/>
      <c r="UOB73" s="2936"/>
      <c r="UOC73" s="2936"/>
      <c r="UOD73" s="2936"/>
      <c r="UOE73" s="2936"/>
      <c r="UOF73" s="2936"/>
      <c r="UOG73" s="2936"/>
      <c r="UOH73" s="2936"/>
      <c r="UOI73" s="2936"/>
      <c r="UOJ73" s="2936"/>
      <c r="UOK73" s="2936"/>
      <c r="UOL73" s="2936"/>
      <c r="UOM73" s="2936"/>
      <c r="UON73" s="2936"/>
      <c r="UOO73" s="2936"/>
      <c r="UOP73" s="2936"/>
      <c r="UOQ73" s="2936"/>
      <c r="UOR73" s="2936"/>
      <c r="UOS73" s="2936"/>
      <c r="UOT73" s="2936"/>
      <c r="UOU73" s="2936"/>
      <c r="UOV73" s="2936"/>
      <c r="UOW73" s="2936"/>
      <c r="UOX73" s="2936"/>
      <c r="UOY73" s="2936"/>
      <c r="UOZ73" s="2936"/>
      <c r="UPA73" s="2936"/>
      <c r="UPB73" s="2936"/>
      <c r="UPC73" s="2936"/>
      <c r="UPD73" s="2936"/>
      <c r="UPE73" s="2936"/>
      <c r="UPF73" s="2936"/>
      <c r="UPG73" s="2936"/>
      <c r="UPH73" s="2936"/>
      <c r="UPI73" s="2936"/>
      <c r="UPJ73" s="2936"/>
      <c r="UPK73" s="2936"/>
      <c r="UPL73" s="2936"/>
      <c r="UPM73" s="2936"/>
      <c r="UPN73" s="2936"/>
      <c r="UPO73" s="2936"/>
      <c r="UPP73" s="2936"/>
      <c r="UPQ73" s="2936"/>
      <c r="UPR73" s="2936"/>
      <c r="UPS73" s="2936"/>
      <c r="UPT73" s="2936"/>
      <c r="UPU73" s="2936"/>
      <c r="UPV73" s="2936"/>
      <c r="UPW73" s="2936"/>
      <c r="UPX73" s="2936"/>
      <c r="UPY73" s="2936"/>
      <c r="UPZ73" s="2936"/>
      <c r="UQA73" s="2936"/>
      <c r="UQB73" s="2936"/>
      <c r="UQC73" s="2936"/>
      <c r="UQD73" s="2936"/>
      <c r="UQE73" s="2936"/>
      <c r="UQF73" s="2936"/>
      <c r="UQG73" s="2936"/>
      <c r="UQH73" s="2936"/>
      <c r="UQI73" s="2936"/>
      <c r="UQJ73" s="2936"/>
      <c r="UQK73" s="2936"/>
      <c r="UQL73" s="2936"/>
      <c r="UQM73" s="2936"/>
      <c r="UQN73" s="2936"/>
      <c r="UQO73" s="2936"/>
      <c r="UQP73" s="2936"/>
      <c r="UQQ73" s="2936"/>
      <c r="UQR73" s="2936"/>
      <c r="UQS73" s="2936"/>
      <c r="UQT73" s="2936"/>
      <c r="UQU73" s="2936"/>
      <c r="UQV73" s="2936"/>
      <c r="UQW73" s="2936"/>
      <c r="UQX73" s="2936"/>
      <c r="UQY73" s="2936"/>
      <c r="UQZ73" s="2936"/>
      <c r="URA73" s="2936"/>
      <c r="URB73" s="2936"/>
      <c r="URC73" s="2936"/>
      <c r="URD73" s="2936"/>
      <c r="URE73" s="2936"/>
      <c r="URF73" s="2936"/>
      <c r="URG73" s="2936"/>
      <c r="URH73" s="2936"/>
      <c r="URI73" s="2936"/>
      <c r="URJ73" s="2936"/>
      <c r="URK73" s="2936"/>
      <c r="URL73" s="2936"/>
      <c r="URM73" s="2936"/>
      <c r="URN73" s="2936"/>
      <c r="URO73" s="2936"/>
      <c r="URP73" s="2936"/>
      <c r="URQ73" s="2936"/>
      <c r="URR73" s="2936"/>
      <c r="URS73" s="2936"/>
      <c r="URT73" s="2936"/>
      <c r="URU73" s="2936"/>
      <c r="URV73" s="2936"/>
      <c r="URW73" s="2936"/>
      <c r="URX73" s="2936"/>
      <c r="URY73" s="2936"/>
      <c r="URZ73" s="2936"/>
      <c r="USA73" s="2936"/>
      <c r="USB73" s="2936"/>
      <c r="USC73" s="2936"/>
      <c r="USD73" s="2936"/>
      <c r="USE73" s="2936"/>
      <c r="USF73" s="2936"/>
      <c r="USG73" s="2936"/>
      <c r="USH73" s="2936"/>
      <c r="USI73" s="2936"/>
      <c r="USJ73" s="2936"/>
      <c r="USK73" s="2936"/>
      <c r="USL73" s="2936"/>
      <c r="USM73" s="2936"/>
      <c r="USN73" s="2936"/>
      <c r="USO73" s="2936"/>
      <c r="USP73" s="2936"/>
      <c r="USQ73" s="2936"/>
      <c r="USR73" s="2936"/>
      <c r="USS73" s="2936"/>
      <c r="UST73" s="2936"/>
      <c r="USU73" s="2936"/>
      <c r="USV73" s="2936"/>
      <c r="USW73" s="2936"/>
      <c r="USX73" s="2936"/>
      <c r="USY73" s="2936"/>
      <c r="USZ73" s="2936"/>
      <c r="UTA73" s="2936"/>
      <c r="UTB73" s="2936"/>
      <c r="UTC73" s="2936"/>
      <c r="UTD73" s="2936"/>
      <c r="UTE73" s="2936"/>
      <c r="UTF73" s="2936"/>
      <c r="UTG73" s="2936"/>
      <c r="UTH73" s="2936"/>
      <c r="UTI73" s="2936"/>
      <c r="UTJ73" s="2936"/>
      <c r="UTK73" s="2936"/>
      <c r="UTL73" s="2936"/>
      <c r="UTM73" s="2936"/>
      <c r="UTN73" s="2936"/>
      <c r="UTO73" s="2936"/>
      <c r="UTP73" s="2936"/>
      <c r="UTQ73" s="2936"/>
      <c r="UTR73" s="2936"/>
      <c r="UTS73" s="2936"/>
      <c r="UTT73" s="2936"/>
      <c r="UTU73" s="2936"/>
      <c r="UTV73" s="2936"/>
      <c r="UTW73" s="2936"/>
      <c r="UTX73" s="2936"/>
      <c r="UTY73" s="2936"/>
      <c r="UTZ73" s="2936"/>
      <c r="UUA73" s="2936"/>
      <c r="UUB73" s="2936"/>
      <c r="UUC73" s="2936"/>
      <c r="UUD73" s="2936"/>
      <c r="UUE73" s="2936"/>
      <c r="UUF73" s="2936"/>
      <c r="UUG73" s="2936"/>
      <c r="UUH73" s="2936"/>
      <c r="UUI73" s="2936"/>
      <c r="UUJ73" s="2936"/>
      <c r="UUK73" s="2936"/>
      <c r="UUL73" s="2936"/>
      <c r="UUM73" s="2936"/>
      <c r="UUN73" s="2936"/>
      <c r="UUO73" s="2936"/>
      <c r="UUP73" s="2936"/>
      <c r="UUQ73" s="2936"/>
      <c r="UUR73" s="2936"/>
      <c r="UUS73" s="2936"/>
      <c r="UUT73" s="2936"/>
      <c r="UUU73" s="2936"/>
      <c r="UUV73" s="2936"/>
      <c r="UUW73" s="2936"/>
      <c r="UUX73" s="2936"/>
      <c r="UUY73" s="2936"/>
      <c r="UUZ73" s="2936"/>
      <c r="UVA73" s="2936"/>
      <c r="UVB73" s="2936"/>
      <c r="UVC73" s="2936"/>
      <c r="UVD73" s="2936"/>
      <c r="UVE73" s="2936"/>
      <c r="UVF73" s="2936"/>
      <c r="UVG73" s="2936"/>
      <c r="UVH73" s="2936"/>
      <c r="UVI73" s="2936"/>
      <c r="UVJ73" s="2936"/>
      <c r="UVK73" s="2936"/>
      <c r="UVL73" s="2936"/>
      <c r="UVM73" s="2936"/>
      <c r="UVN73" s="2936"/>
      <c r="UVO73" s="2936"/>
      <c r="UVP73" s="2936"/>
      <c r="UVQ73" s="2936"/>
      <c r="UVR73" s="2936"/>
      <c r="UVS73" s="2936"/>
      <c r="UVT73" s="2936"/>
      <c r="UVU73" s="2936"/>
      <c r="UVV73" s="2936"/>
      <c r="UVW73" s="2936"/>
      <c r="UVX73" s="2936"/>
      <c r="UVY73" s="2936"/>
      <c r="UVZ73" s="2936"/>
      <c r="UWA73" s="2936"/>
      <c r="UWB73" s="2936"/>
      <c r="UWC73" s="2936"/>
      <c r="UWD73" s="2936"/>
      <c r="UWE73" s="2936"/>
      <c r="UWF73" s="2936"/>
      <c r="UWG73" s="2936"/>
      <c r="UWH73" s="2936"/>
      <c r="UWI73" s="2936"/>
      <c r="UWJ73" s="2936"/>
      <c r="UWK73" s="2936"/>
      <c r="UWL73" s="2936"/>
      <c r="UWM73" s="2936"/>
      <c r="UWN73" s="2936"/>
      <c r="UWO73" s="2936"/>
      <c r="UWP73" s="2936"/>
      <c r="UWQ73" s="2936"/>
      <c r="UWR73" s="2936"/>
      <c r="UWS73" s="2936"/>
      <c r="UWT73" s="2936"/>
      <c r="UWU73" s="2936"/>
      <c r="UWV73" s="2936"/>
      <c r="UWW73" s="2936"/>
      <c r="UWX73" s="2936"/>
      <c r="UWY73" s="2936"/>
      <c r="UWZ73" s="2936"/>
      <c r="UXA73" s="2936"/>
      <c r="UXB73" s="2936"/>
      <c r="UXC73" s="2936"/>
      <c r="UXD73" s="2936"/>
      <c r="UXE73" s="2936"/>
      <c r="UXF73" s="2936"/>
      <c r="UXG73" s="2936"/>
      <c r="UXH73" s="2936"/>
      <c r="UXI73" s="2936"/>
      <c r="UXJ73" s="2936"/>
      <c r="UXK73" s="2936"/>
      <c r="UXL73" s="2936"/>
      <c r="UXM73" s="2936"/>
      <c r="UXN73" s="2936"/>
      <c r="UXO73" s="2936"/>
      <c r="UXP73" s="2936"/>
      <c r="UXQ73" s="2936"/>
      <c r="UXR73" s="2936"/>
      <c r="UXS73" s="2936"/>
      <c r="UXT73" s="2936"/>
      <c r="UXU73" s="2936"/>
      <c r="UXV73" s="2936"/>
      <c r="UXW73" s="2936"/>
      <c r="UXX73" s="2936"/>
      <c r="UXY73" s="2936"/>
      <c r="UXZ73" s="2936"/>
      <c r="UYA73" s="2936"/>
      <c r="UYB73" s="2936"/>
      <c r="UYC73" s="2936"/>
      <c r="UYD73" s="2936"/>
      <c r="UYE73" s="2936"/>
      <c r="UYF73" s="2936"/>
      <c r="UYG73" s="2936"/>
      <c r="UYH73" s="2936"/>
      <c r="UYI73" s="2936"/>
      <c r="UYJ73" s="2936"/>
      <c r="UYK73" s="2936"/>
      <c r="UYL73" s="2936"/>
      <c r="UYM73" s="2936"/>
      <c r="UYN73" s="2936"/>
      <c r="UYO73" s="2936"/>
      <c r="UYP73" s="2936"/>
      <c r="UYQ73" s="2936"/>
      <c r="UYR73" s="2936"/>
      <c r="UYS73" s="2936"/>
      <c r="UYT73" s="2936"/>
      <c r="UYU73" s="2936"/>
      <c r="UYV73" s="2936"/>
      <c r="UYW73" s="2936"/>
      <c r="UYX73" s="2936"/>
      <c r="UYY73" s="2936"/>
      <c r="UYZ73" s="2936"/>
      <c r="UZA73" s="2936"/>
      <c r="UZB73" s="2936"/>
      <c r="UZC73" s="2936"/>
      <c r="UZD73" s="2936"/>
      <c r="UZE73" s="2936"/>
      <c r="UZF73" s="2936"/>
      <c r="UZG73" s="2936"/>
      <c r="UZH73" s="2936"/>
      <c r="UZI73" s="2936"/>
      <c r="UZJ73" s="2936"/>
      <c r="UZK73" s="2936"/>
      <c r="UZL73" s="2936"/>
      <c r="UZM73" s="2936"/>
      <c r="UZN73" s="2936"/>
      <c r="UZO73" s="2936"/>
      <c r="UZP73" s="2936"/>
      <c r="UZQ73" s="2936"/>
      <c r="UZR73" s="2936"/>
      <c r="UZS73" s="2936"/>
      <c r="UZT73" s="2936"/>
      <c r="UZU73" s="2936"/>
      <c r="UZV73" s="2936"/>
      <c r="UZW73" s="2936"/>
      <c r="UZX73" s="2936"/>
      <c r="UZY73" s="2936"/>
      <c r="UZZ73" s="2936"/>
      <c r="VAA73" s="2936"/>
      <c r="VAB73" s="2936"/>
      <c r="VAC73" s="2936"/>
      <c r="VAD73" s="2936"/>
      <c r="VAE73" s="2936"/>
      <c r="VAF73" s="2936"/>
      <c r="VAG73" s="2936"/>
      <c r="VAH73" s="2936"/>
      <c r="VAI73" s="2936"/>
      <c r="VAJ73" s="2936"/>
      <c r="VAK73" s="2936"/>
      <c r="VAL73" s="2936"/>
      <c r="VAM73" s="2936"/>
      <c r="VAN73" s="2936"/>
      <c r="VAO73" s="2936"/>
      <c r="VAP73" s="2936"/>
      <c r="VAQ73" s="2936"/>
      <c r="VAR73" s="2936"/>
      <c r="VAS73" s="2936"/>
      <c r="VAT73" s="2936"/>
      <c r="VAU73" s="2936"/>
      <c r="VAV73" s="2936"/>
      <c r="VAW73" s="2936"/>
      <c r="VAX73" s="2936"/>
      <c r="VAY73" s="2936"/>
      <c r="VAZ73" s="2936"/>
      <c r="VBA73" s="2936"/>
      <c r="VBB73" s="2936"/>
      <c r="VBC73" s="2936"/>
      <c r="VBD73" s="2936"/>
      <c r="VBE73" s="2936"/>
      <c r="VBF73" s="2936"/>
      <c r="VBG73" s="2936"/>
      <c r="VBH73" s="2936"/>
      <c r="VBI73" s="2936"/>
      <c r="VBJ73" s="2936"/>
      <c r="VBK73" s="2936"/>
      <c r="VBL73" s="2936"/>
      <c r="VBM73" s="2936"/>
      <c r="VBN73" s="2936"/>
      <c r="VBO73" s="2936"/>
      <c r="VBP73" s="2936"/>
      <c r="VBQ73" s="2936"/>
      <c r="VBR73" s="2936"/>
      <c r="VBS73" s="2936"/>
      <c r="VBT73" s="2936"/>
      <c r="VBU73" s="2936"/>
      <c r="VBV73" s="2936"/>
      <c r="VBW73" s="2936"/>
      <c r="VBX73" s="2936"/>
      <c r="VBY73" s="2936"/>
      <c r="VBZ73" s="2936"/>
      <c r="VCA73" s="2936"/>
      <c r="VCB73" s="2936"/>
      <c r="VCC73" s="2936"/>
      <c r="VCD73" s="2936"/>
      <c r="VCE73" s="2936"/>
      <c r="VCF73" s="2936"/>
      <c r="VCG73" s="2936"/>
      <c r="VCH73" s="2936"/>
      <c r="VCI73" s="2936"/>
      <c r="VCJ73" s="2936"/>
      <c r="VCK73" s="2936"/>
      <c r="VCL73" s="2936"/>
      <c r="VCM73" s="2936"/>
      <c r="VCN73" s="2936"/>
      <c r="VCO73" s="2936"/>
      <c r="VCP73" s="2936"/>
      <c r="VCQ73" s="2936"/>
      <c r="VCR73" s="2936"/>
      <c r="VCS73" s="2936"/>
      <c r="VCT73" s="2936"/>
      <c r="VCU73" s="2936"/>
      <c r="VCV73" s="2936"/>
      <c r="VCW73" s="2936"/>
      <c r="VCX73" s="2936"/>
      <c r="VCY73" s="2936"/>
      <c r="VCZ73" s="2936"/>
      <c r="VDA73" s="2936"/>
      <c r="VDB73" s="2936"/>
      <c r="VDC73" s="2936"/>
      <c r="VDD73" s="2936"/>
      <c r="VDE73" s="2936"/>
      <c r="VDF73" s="2936"/>
      <c r="VDG73" s="2936"/>
      <c r="VDH73" s="2936"/>
      <c r="VDI73" s="2936"/>
      <c r="VDJ73" s="2936"/>
      <c r="VDK73" s="2936"/>
      <c r="VDL73" s="2936"/>
      <c r="VDM73" s="2936"/>
      <c r="VDN73" s="2936"/>
      <c r="VDO73" s="2936"/>
      <c r="VDP73" s="2936"/>
      <c r="VDQ73" s="2936"/>
      <c r="VDR73" s="2936"/>
      <c r="VDS73" s="2936"/>
      <c r="VDT73" s="2936"/>
      <c r="VDU73" s="2936"/>
      <c r="VDV73" s="2936"/>
      <c r="VDW73" s="2936"/>
      <c r="VDX73" s="2936"/>
      <c r="VDY73" s="2936"/>
      <c r="VDZ73" s="2936"/>
      <c r="VEA73" s="2936"/>
      <c r="VEB73" s="2936"/>
      <c r="VEC73" s="2936"/>
      <c r="VED73" s="2936"/>
      <c r="VEE73" s="2936"/>
      <c r="VEF73" s="2936"/>
      <c r="VEG73" s="2936"/>
      <c r="VEH73" s="2936"/>
      <c r="VEI73" s="2936"/>
      <c r="VEJ73" s="2936"/>
      <c r="VEK73" s="2936"/>
      <c r="VEL73" s="2936"/>
      <c r="VEM73" s="2936"/>
      <c r="VEN73" s="2936"/>
      <c r="VEO73" s="2936"/>
      <c r="VEP73" s="2936"/>
      <c r="VEQ73" s="2936"/>
      <c r="VER73" s="2936"/>
      <c r="VES73" s="2936"/>
      <c r="VET73" s="2936"/>
      <c r="VEU73" s="2936"/>
      <c r="VEV73" s="2936"/>
      <c r="VEW73" s="2936"/>
      <c r="VEX73" s="2936"/>
      <c r="VEY73" s="2936"/>
      <c r="VEZ73" s="2936"/>
      <c r="VFA73" s="2936"/>
      <c r="VFB73" s="2936"/>
      <c r="VFC73" s="2936"/>
      <c r="VFD73" s="2936"/>
      <c r="VFE73" s="2936"/>
      <c r="VFF73" s="2936"/>
      <c r="VFG73" s="2936"/>
      <c r="VFH73" s="2936"/>
      <c r="VFI73" s="2936"/>
      <c r="VFJ73" s="2936"/>
      <c r="VFK73" s="2936"/>
      <c r="VFL73" s="2936"/>
      <c r="VFM73" s="2936"/>
      <c r="VFN73" s="2936"/>
      <c r="VFO73" s="2936"/>
      <c r="VFP73" s="2936"/>
      <c r="VFQ73" s="2936"/>
      <c r="VFR73" s="2936"/>
      <c r="VFS73" s="2936"/>
      <c r="VFT73" s="2936"/>
      <c r="VFU73" s="2936"/>
      <c r="VFV73" s="2936"/>
      <c r="VFW73" s="2936"/>
      <c r="VFX73" s="2936"/>
      <c r="VFY73" s="2936"/>
      <c r="VFZ73" s="2936"/>
      <c r="VGA73" s="2936"/>
      <c r="VGB73" s="2936"/>
      <c r="VGC73" s="2936"/>
      <c r="VGD73" s="2936"/>
      <c r="VGE73" s="2936"/>
      <c r="VGF73" s="2936"/>
      <c r="VGG73" s="2936"/>
      <c r="VGH73" s="2936"/>
      <c r="VGI73" s="2936"/>
      <c r="VGJ73" s="2936"/>
      <c r="VGK73" s="2936"/>
      <c r="VGL73" s="2936"/>
      <c r="VGM73" s="2936"/>
      <c r="VGN73" s="2936"/>
      <c r="VGO73" s="2936"/>
      <c r="VGP73" s="2936"/>
      <c r="VGQ73" s="2936"/>
      <c r="VGR73" s="2936"/>
      <c r="VGS73" s="2936"/>
      <c r="VGT73" s="2936"/>
      <c r="VGU73" s="2936"/>
      <c r="VGV73" s="2936"/>
      <c r="VGW73" s="2936"/>
      <c r="VGX73" s="2936"/>
      <c r="VGY73" s="2936"/>
      <c r="VGZ73" s="2936"/>
      <c r="VHA73" s="2936"/>
      <c r="VHB73" s="2936"/>
      <c r="VHC73" s="2936"/>
      <c r="VHD73" s="2936"/>
      <c r="VHE73" s="2936"/>
      <c r="VHF73" s="2936"/>
      <c r="VHG73" s="2936"/>
      <c r="VHH73" s="2936"/>
      <c r="VHI73" s="2936"/>
      <c r="VHJ73" s="2936"/>
      <c r="VHK73" s="2936"/>
      <c r="VHL73" s="2936"/>
      <c r="VHM73" s="2936"/>
      <c r="VHN73" s="2936"/>
      <c r="VHO73" s="2936"/>
      <c r="VHP73" s="2936"/>
      <c r="VHQ73" s="2936"/>
      <c r="VHR73" s="2936"/>
      <c r="VHS73" s="2936"/>
      <c r="VHT73" s="2936"/>
      <c r="VHU73" s="2936"/>
      <c r="VHV73" s="2936"/>
      <c r="VHW73" s="2936"/>
      <c r="VHX73" s="2936"/>
      <c r="VHY73" s="2936"/>
      <c r="VHZ73" s="2936"/>
      <c r="VIA73" s="2936"/>
      <c r="VIB73" s="2936"/>
      <c r="VIC73" s="2936"/>
      <c r="VID73" s="2936"/>
      <c r="VIE73" s="2936"/>
      <c r="VIF73" s="2936"/>
      <c r="VIG73" s="2936"/>
      <c r="VIH73" s="2936"/>
      <c r="VII73" s="2936"/>
      <c r="VIJ73" s="2936"/>
      <c r="VIK73" s="2936"/>
      <c r="VIL73" s="2936"/>
      <c r="VIM73" s="2936"/>
      <c r="VIN73" s="2936"/>
      <c r="VIO73" s="2936"/>
      <c r="VIP73" s="2936"/>
      <c r="VIQ73" s="2936"/>
      <c r="VIR73" s="2936"/>
      <c r="VIS73" s="2936"/>
      <c r="VIT73" s="2936"/>
      <c r="VIU73" s="2936"/>
      <c r="VIV73" s="2936"/>
      <c r="VIW73" s="2936"/>
      <c r="VIX73" s="2936"/>
      <c r="VIY73" s="2936"/>
      <c r="VIZ73" s="2936"/>
      <c r="VJA73" s="2936"/>
      <c r="VJB73" s="2936"/>
      <c r="VJC73" s="2936"/>
      <c r="VJD73" s="2936"/>
      <c r="VJE73" s="2936"/>
      <c r="VJF73" s="2936"/>
      <c r="VJG73" s="2936"/>
      <c r="VJH73" s="2936"/>
      <c r="VJI73" s="2936"/>
      <c r="VJJ73" s="2936"/>
      <c r="VJK73" s="2936"/>
      <c r="VJL73" s="2936"/>
      <c r="VJM73" s="2936"/>
      <c r="VJN73" s="2936"/>
      <c r="VJO73" s="2936"/>
      <c r="VJP73" s="2936"/>
      <c r="VJQ73" s="2936"/>
      <c r="VJR73" s="2936"/>
      <c r="VJS73" s="2936"/>
      <c r="VJT73" s="2936"/>
      <c r="VJU73" s="2936"/>
      <c r="VJV73" s="2936"/>
      <c r="VJW73" s="2936"/>
      <c r="VJX73" s="2936"/>
      <c r="VJY73" s="2936"/>
      <c r="VJZ73" s="2936"/>
      <c r="VKA73" s="2936"/>
      <c r="VKB73" s="2936"/>
      <c r="VKC73" s="2936"/>
      <c r="VKD73" s="2936"/>
      <c r="VKE73" s="2936"/>
      <c r="VKF73" s="2936"/>
      <c r="VKG73" s="2936"/>
      <c r="VKH73" s="2936"/>
      <c r="VKI73" s="2936"/>
      <c r="VKJ73" s="2936"/>
      <c r="VKK73" s="2936"/>
      <c r="VKL73" s="2936"/>
      <c r="VKM73" s="2936"/>
      <c r="VKN73" s="2936"/>
      <c r="VKO73" s="2936"/>
      <c r="VKP73" s="2936"/>
      <c r="VKQ73" s="2936"/>
      <c r="VKR73" s="2936"/>
      <c r="VKS73" s="2936"/>
      <c r="VKT73" s="2936"/>
      <c r="VKU73" s="2936"/>
      <c r="VKV73" s="2936"/>
      <c r="VKW73" s="2936"/>
      <c r="VKX73" s="2936"/>
      <c r="VKY73" s="2936"/>
      <c r="VKZ73" s="2936"/>
      <c r="VLA73" s="2936"/>
      <c r="VLB73" s="2936"/>
      <c r="VLC73" s="2936"/>
      <c r="VLD73" s="2936"/>
      <c r="VLE73" s="2936"/>
      <c r="VLF73" s="2936"/>
      <c r="VLG73" s="2936"/>
      <c r="VLH73" s="2936"/>
      <c r="VLI73" s="2936"/>
      <c r="VLJ73" s="2936"/>
      <c r="VLK73" s="2936"/>
      <c r="VLL73" s="2936"/>
      <c r="VLM73" s="2936"/>
      <c r="VLN73" s="2936"/>
      <c r="VLO73" s="2936"/>
      <c r="VLP73" s="2936"/>
      <c r="VLQ73" s="2936"/>
      <c r="VLR73" s="2936"/>
      <c r="VLS73" s="2936"/>
      <c r="VLT73" s="2936"/>
      <c r="VLU73" s="2936"/>
      <c r="VLV73" s="2936"/>
      <c r="VLW73" s="2936"/>
      <c r="VLX73" s="2936"/>
      <c r="VLY73" s="2936"/>
      <c r="VLZ73" s="2936"/>
      <c r="VMA73" s="2936"/>
      <c r="VMB73" s="2936"/>
      <c r="VMC73" s="2936"/>
      <c r="VMD73" s="2936"/>
      <c r="VME73" s="2936"/>
      <c r="VMF73" s="2936"/>
      <c r="VMG73" s="2936"/>
      <c r="VMH73" s="2936"/>
      <c r="VMI73" s="2936"/>
      <c r="VMJ73" s="2936"/>
      <c r="VMK73" s="2936"/>
      <c r="VML73" s="2936"/>
      <c r="VMM73" s="2936"/>
      <c r="VMN73" s="2936"/>
      <c r="VMO73" s="2936"/>
      <c r="VMP73" s="2936"/>
      <c r="VMQ73" s="2936"/>
      <c r="VMR73" s="2936"/>
      <c r="VMS73" s="2936"/>
      <c r="VMT73" s="2936"/>
      <c r="VMU73" s="2936"/>
      <c r="VMV73" s="2936"/>
      <c r="VMW73" s="2936"/>
      <c r="VMX73" s="2936"/>
      <c r="VMY73" s="2936"/>
      <c r="VMZ73" s="2936"/>
      <c r="VNA73" s="2936"/>
      <c r="VNB73" s="2936"/>
      <c r="VNC73" s="2936"/>
      <c r="VND73" s="2936"/>
      <c r="VNE73" s="2936"/>
      <c r="VNF73" s="2936"/>
      <c r="VNG73" s="2936"/>
      <c r="VNH73" s="2936"/>
      <c r="VNI73" s="2936"/>
      <c r="VNJ73" s="2936"/>
      <c r="VNK73" s="2936"/>
      <c r="VNL73" s="2936"/>
      <c r="VNM73" s="2936"/>
      <c r="VNN73" s="2936"/>
      <c r="VNO73" s="2936"/>
      <c r="VNP73" s="2936"/>
      <c r="VNQ73" s="2936"/>
      <c r="VNR73" s="2936"/>
      <c r="VNS73" s="2936"/>
      <c r="VNT73" s="2936"/>
      <c r="VNU73" s="2936"/>
      <c r="VNV73" s="2936"/>
      <c r="VNW73" s="2936"/>
      <c r="VNX73" s="2936"/>
      <c r="VNY73" s="2936"/>
      <c r="VNZ73" s="2936"/>
      <c r="VOA73" s="2936"/>
      <c r="VOB73" s="2936"/>
      <c r="VOC73" s="2936"/>
      <c r="VOD73" s="2936"/>
      <c r="VOE73" s="2936"/>
      <c r="VOF73" s="2936"/>
      <c r="VOG73" s="2936"/>
      <c r="VOH73" s="2936"/>
      <c r="VOI73" s="2936"/>
      <c r="VOJ73" s="2936"/>
      <c r="VOK73" s="2936"/>
      <c r="VOL73" s="2936"/>
      <c r="VOM73" s="2936"/>
      <c r="VON73" s="2936"/>
      <c r="VOO73" s="2936"/>
      <c r="VOP73" s="2936"/>
      <c r="VOQ73" s="2936"/>
      <c r="VOR73" s="2936"/>
      <c r="VOS73" s="2936"/>
      <c r="VOT73" s="2936"/>
      <c r="VOU73" s="2936"/>
      <c r="VOV73" s="2936"/>
      <c r="VOW73" s="2936"/>
      <c r="VOX73" s="2936"/>
      <c r="VOY73" s="2936"/>
      <c r="VOZ73" s="2936"/>
      <c r="VPA73" s="2936"/>
      <c r="VPB73" s="2936"/>
      <c r="VPC73" s="2936"/>
      <c r="VPD73" s="2936"/>
      <c r="VPE73" s="2936"/>
      <c r="VPF73" s="2936"/>
      <c r="VPG73" s="2936"/>
      <c r="VPH73" s="2936"/>
      <c r="VPI73" s="2936"/>
      <c r="VPJ73" s="2936"/>
      <c r="VPK73" s="2936"/>
      <c r="VPL73" s="2936"/>
      <c r="VPM73" s="2936"/>
      <c r="VPN73" s="2936"/>
      <c r="VPO73" s="2936"/>
      <c r="VPP73" s="2936"/>
      <c r="VPQ73" s="2936"/>
      <c r="VPR73" s="2936"/>
      <c r="VPS73" s="2936"/>
      <c r="VPT73" s="2936"/>
      <c r="VPU73" s="2936"/>
      <c r="VPV73" s="2936"/>
      <c r="VPW73" s="2936"/>
      <c r="VPX73" s="2936"/>
      <c r="VPY73" s="2936"/>
      <c r="VPZ73" s="2936"/>
      <c r="VQA73" s="2936"/>
      <c r="VQB73" s="2936"/>
      <c r="VQC73" s="2936"/>
      <c r="VQD73" s="2936"/>
      <c r="VQE73" s="2936"/>
      <c r="VQF73" s="2936"/>
      <c r="VQG73" s="2936"/>
      <c r="VQH73" s="2936"/>
      <c r="VQI73" s="2936"/>
      <c r="VQJ73" s="2936"/>
      <c r="VQK73" s="2936"/>
      <c r="VQL73" s="2936"/>
      <c r="VQM73" s="2936"/>
      <c r="VQN73" s="2936"/>
      <c r="VQO73" s="2936"/>
      <c r="VQP73" s="2936"/>
      <c r="VQQ73" s="2936"/>
      <c r="VQR73" s="2936"/>
      <c r="VQS73" s="2936"/>
      <c r="VQT73" s="2936"/>
      <c r="VQU73" s="2936"/>
      <c r="VQV73" s="2936"/>
      <c r="VQW73" s="2936"/>
      <c r="VQX73" s="2936"/>
      <c r="VQY73" s="2936"/>
      <c r="VQZ73" s="2936"/>
      <c r="VRA73" s="2936"/>
      <c r="VRB73" s="2936"/>
      <c r="VRC73" s="2936"/>
      <c r="VRD73" s="2936"/>
      <c r="VRE73" s="2936"/>
      <c r="VRF73" s="2936"/>
      <c r="VRG73" s="2936"/>
      <c r="VRH73" s="2936"/>
      <c r="VRI73" s="2936"/>
      <c r="VRJ73" s="2936"/>
      <c r="VRK73" s="2936"/>
      <c r="VRL73" s="2936"/>
      <c r="VRM73" s="2936"/>
      <c r="VRN73" s="2936"/>
      <c r="VRO73" s="2936"/>
      <c r="VRP73" s="2936"/>
      <c r="VRQ73" s="2936"/>
      <c r="VRR73" s="2936"/>
      <c r="VRS73" s="2936"/>
      <c r="VRT73" s="2936"/>
      <c r="VRU73" s="2936"/>
      <c r="VRV73" s="2936"/>
      <c r="VRW73" s="2936"/>
      <c r="VRX73" s="2936"/>
      <c r="VRY73" s="2936"/>
      <c r="VRZ73" s="2936"/>
      <c r="VSA73" s="2936"/>
      <c r="VSB73" s="2936"/>
      <c r="VSC73" s="2936"/>
      <c r="VSD73" s="2936"/>
      <c r="VSE73" s="2936"/>
      <c r="VSF73" s="2936"/>
      <c r="VSG73" s="2936"/>
      <c r="VSH73" s="2936"/>
      <c r="VSI73" s="2936"/>
      <c r="VSJ73" s="2936"/>
      <c r="VSK73" s="2936"/>
      <c r="VSL73" s="2936"/>
      <c r="VSM73" s="2936"/>
      <c r="VSN73" s="2936"/>
      <c r="VSO73" s="2936"/>
      <c r="VSP73" s="2936"/>
      <c r="VSQ73" s="2936"/>
      <c r="VSR73" s="2936"/>
      <c r="VSS73" s="2936"/>
      <c r="VST73" s="2936"/>
      <c r="VSU73" s="2936"/>
      <c r="VSV73" s="2936"/>
      <c r="VSW73" s="2936"/>
      <c r="VSX73" s="2936"/>
      <c r="VSY73" s="2936"/>
      <c r="VSZ73" s="2936"/>
      <c r="VTA73" s="2936"/>
      <c r="VTB73" s="2936"/>
      <c r="VTC73" s="2936"/>
      <c r="VTD73" s="2936"/>
      <c r="VTE73" s="2936"/>
      <c r="VTF73" s="2936"/>
      <c r="VTG73" s="2936"/>
      <c r="VTH73" s="2936"/>
      <c r="VTI73" s="2936"/>
      <c r="VTJ73" s="2936"/>
      <c r="VTK73" s="2936"/>
      <c r="VTL73" s="2936"/>
      <c r="VTM73" s="2936"/>
      <c r="VTN73" s="2936"/>
      <c r="VTO73" s="2936"/>
      <c r="VTP73" s="2936"/>
      <c r="VTQ73" s="2936"/>
      <c r="VTR73" s="2936"/>
      <c r="VTS73" s="2936"/>
      <c r="VTT73" s="2936"/>
      <c r="VTU73" s="2936"/>
      <c r="VTV73" s="2936"/>
      <c r="VTW73" s="2936"/>
      <c r="VTX73" s="2936"/>
      <c r="VTY73" s="2936"/>
      <c r="VTZ73" s="2936"/>
      <c r="VUA73" s="2936"/>
      <c r="VUB73" s="2936"/>
      <c r="VUC73" s="2936"/>
      <c r="VUD73" s="2936"/>
      <c r="VUE73" s="2936"/>
      <c r="VUF73" s="2936"/>
      <c r="VUG73" s="2936"/>
      <c r="VUH73" s="2936"/>
      <c r="VUI73" s="2936"/>
      <c r="VUJ73" s="2936"/>
      <c r="VUK73" s="2936"/>
      <c r="VUL73" s="2936"/>
      <c r="VUM73" s="2936"/>
      <c r="VUN73" s="2936"/>
      <c r="VUO73" s="2936"/>
      <c r="VUP73" s="2936"/>
      <c r="VUQ73" s="2936"/>
      <c r="VUR73" s="2936"/>
      <c r="VUS73" s="2936"/>
      <c r="VUT73" s="2936"/>
      <c r="VUU73" s="2936"/>
      <c r="VUV73" s="2936"/>
      <c r="VUW73" s="2936"/>
      <c r="VUX73" s="2936"/>
      <c r="VUY73" s="2936"/>
      <c r="VUZ73" s="2936"/>
      <c r="VVA73" s="2936"/>
      <c r="VVB73" s="2936"/>
      <c r="VVC73" s="2936"/>
      <c r="VVD73" s="2936"/>
      <c r="VVE73" s="2936"/>
      <c r="VVF73" s="2936"/>
      <c r="VVG73" s="2936"/>
      <c r="VVH73" s="2936"/>
      <c r="VVI73" s="2936"/>
      <c r="VVJ73" s="2936"/>
      <c r="VVK73" s="2936"/>
      <c r="VVL73" s="2936"/>
      <c r="VVM73" s="2936"/>
      <c r="VVN73" s="2936"/>
      <c r="VVO73" s="2936"/>
      <c r="VVP73" s="2936"/>
      <c r="VVQ73" s="2936"/>
      <c r="VVR73" s="2936"/>
      <c r="VVS73" s="2936"/>
      <c r="VVT73" s="2936"/>
      <c r="VVU73" s="2936"/>
      <c r="VVV73" s="2936"/>
      <c r="VVW73" s="2936"/>
      <c r="VVX73" s="2936"/>
      <c r="VVY73" s="2936"/>
      <c r="VVZ73" s="2936"/>
      <c r="VWA73" s="2936"/>
      <c r="VWB73" s="2936"/>
      <c r="VWC73" s="2936"/>
      <c r="VWD73" s="2936"/>
      <c r="VWE73" s="2936"/>
      <c r="VWF73" s="2936"/>
      <c r="VWG73" s="2936"/>
      <c r="VWH73" s="2936"/>
      <c r="VWI73" s="2936"/>
      <c r="VWJ73" s="2936"/>
      <c r="VWK73" s="2936"/>
      <c r="VWL73" s="2936"/>
      <c r="VWM73" s="2936"/>
      <c r="VWN73" s="2936"/>
      <c r="VWO73" s="2936"/>
      <c r="VWP73" s="2936"/>
      <c r="VWQ73" s="2936"/>
      <c r="VWR73" s="2936"/>
      <c r="VWS73" s="2936"/>
      <c r="VWT73" s="2936"/>
      <c r="VWU73" s="2936"/>
      <c r="VWV73" s="2936"/>
      <c r="VWW73" s="2936"/>
      <c r="VWX73" s="2936"/>
      <c r="VWY73" s="2936"/>
      <c r="VWZ73" s="2936"/>
      <c r="VXA73" s="2936"/>
      <c r="VXB73" s="2936"/>
      <c r="VXC73" s="2936"/>
      <c r="VXD73" s="2936"/>
      <c r="VXE73" s="2936"/>
      <c r="VXF73" s="2936"/>
      <c r="VXG73" s="2936"/>
      <c r="VXH73" s="2936"/>
      <c r="VXI73" s="2936"/>
      <c r="VXJ73" s="2936"/>
      <c r="VXK73" s="2936"/>
      <c r="VXL73" s="2936"/>
      <c r="VXM73" s="2936"/>
      <c r="VXN73" s="2936"/>
      <c r="VXO73" s="2936"/>
      <c r="VXP73" s="2936"/>
      <c r="VXQ73" s="2936"/>
      <c r="VXR73" s="2936"/>
      <c r="VXS73" s="2936"/>
      <c r="VXT73" s="2936"/>
      <c r="VXU73" s="2936"/>
      <c r="VXV73" s="2936"/>
      <c r="VXW73" s="2936"/>
      <c r="VXX73" s="2936"/>
      <c r="VXY73" s="2936"/>
      <c r="VXZ73" s="2936"/>
      <c r="VYA73" s="2936"/>
      <c r="VYB73" s="2936"/>
      <c r="VYC73" s="2936"/>
      <c r="VYD73" s="2936"/>
      <c r="VYE73" s="2936"/>
      <c r="VYF73" s="2936"/>
      <c r="VYG73" s="2936"/>
      <c r="VYH73" s="2936"/>
      <c r="VYI73" s="2936"/>
      <c r="VYJ73" s="2936"/>
      <c r="VYK73" s="2936"/>
      <c r="VYL73" s="2936"/>
      <c r="VYM73" s="2936"/>
      <c r="VYN73" s="2936"/>
      <c r="VYO73" s="2936"/>
      <c r="VYP73" s="2936"/>
      <c r="VYQ73" s="2936"/>
      <c r="VYR73" s="2936"/>
      <c r="VYS73" s="2936"/>
      <c r="VYT73" s="2936"/>
      <c r="VYU73" s="2936"/>
      <c r="VYV73" s="2936"/>
      <c r="VYW73" s="2936"/>
      <c r="VYX73" s="2936"/>
      <c r="VYY73" s="2936"/>
      <c r="VYZ73" s="2936"/>
      <c r="VZA73" s="2936"/>
      <c r="VZB73" s="2936"/>
      <c r="VZC73" s="2936"/>
      <c r="VZD73" s="2936"/>
      <c r="VZE73" s="2936"/>
      <c r="VZF73" s="2936"/>
      <c r="VZG73" s="2936"/>
      <c r="VZH73" s="2936"/>
      <c r="VZI73" s="2936"/>
      <c r="VZJ73" s="2936"/>
      <c r="VZK73" s="2936"/>
      <c r="VZL73" s="2936"/>
      <c r="VZM73" s="2936"/>
      <c r="VZN73" s="2936"/>
      <c r="VZO73" s="2936"/>
      <c r="VZP73" s="2936"/>
      <c r="VZQ73" s="2936"/>
      <c r="VZR73" s="2936"/>
      <c r="VZS73" s="2936"/>
      <c r="VZT73" s="2936"/>
      <c r="VZU73" s="2936"/>
      <c r="VZV73" s="2936"/>
      <c r="VZW73" s="2936"/>
      <c r="VZX73" s="2936"/>
      <c r="VZY73" s="2936"/>
      <c r="VZZ73" s="2936"/>
      <c r="WAA73" s="2936"/>
      <c r="WAB73" s="2936"/>
      <c r="WAC73" s="2936"/>
      <c r="WAD73" s="2936"/>
      <c r="WAE73" s="2936"/>
      <c r="WAF73" s="2936"/>
      <c r="WAG73" s="2936"/>
      <c r="WAH73" s="2936"/>
      <c r="WAI73" s="2936"/>
      <c r="WAJ73" s="2936"/>
      <c r="WAK73" s="2936"/>
      <c r="WAL73" s="2936"/>
      <c r="WAM73" s="2936"/>
      <c r="WAN73" s="2936"/>
      <c r="WAO73" s="2936"/>
      <c r="WAP73" s="2936"/>
      <c r="WAQ73" s="2936"/>
      <c r="WAR73" s="2936"/>
      <c r="WAS73" s="2936"/>
      <c r="WAT73" s="2936"/>
      <c r="WAU73" s="2936"/>
      <c r="WAV73" s="2936"/>
      <c r="WAW73" s="2936"/>
      <c r="WAX73" s="2936"/>
      <c r="WAY73" s="2936"/>
      <c r="WAZ73" s="2936"/>
      <c r="WBA73" s="2936"/>
      <c r="WBB73" s="2936"/>
      <c r="WBC73" s="2936"/>
      <c r="WBD73" s="2936"/>
      <c r="WBE73" s="2936"/>
      <c r="WBF73" s="2936"/>
      <c r="WBG73" s="2936"/>
      <c r="WBH73" s="2936"/>
      <c r="WBI73" s="2936"/>
      <c r="WBJ73" s="2936"/>
      <c r="WBK73" s="2936"/>
      <c r="WBL73" s="2936"/>
      <c r="WBM73" s="2936"/>
      <c r="WBN73" s="2936"/>
      <c r="WBO73" s="2936"/>
      <c r="WBP73" s="2936"/>
      <c r="WBQ73" s="2936"/>
      <c r="WBR73" s="2936"/>
      <c r="WBS73" s="2936"/>
      <c r="WBT73" s="2936"/>
      <c r="WBU73" s="2936"/>
      <c r="WBV73" s="2936"/>
      <c r="WBW73" s="2936"/>
      <c r="WBX73" s="2936"/>
      <c r="WBY73" s="2936"/>
      <c r="WBZ73" s="2936"/>
      <c r="WCA73" s="2936"/>
      <c r="WCB73" s="2936"/>
      <c r="WCC73" s="2936"/>
      <c r="WCD73" s="2936"/>
      <c r="WCE73" s="2936"/>
      <c r="WCF73" s="2936"/>
      <c r="WCG73" s="2936"/>
      <c r="WCH73" s="2936"/>
      <c r="WCI73" s="2936"/>
      <c r="WCJ73" s="2936"/>
      <c r="WCK73" s="2936"/>
      <c r="WCL73" s="2936"/>
      <c r="WCM73" s="2936"/>
      <c r="WCN73" s="2936"/>
      <c r="WCO73" s="2936"/>
      <c r="WCP73" s="2936"/>
      <c r="WCQ73" s="2936"/>
      <c r="WCR73" s="2936"/>
      <c r="WCS73" s="2936"/>
      <c r="WCT73" s="2936"/>
      <c r="WCU73" s="2936"/>
      <c r="WCV73" s="2936"/>
      <c r="WCW73" s="2936"/>
      <c r="WCX73" s="2936"/>
      <c r="WCY73" s="2936"/>
      <c r="WCZ73" s="2936"/>
      <c r="WDA73" s="2936"/>
      <c r="WDB73" s="2936"/>
      <c r="WDC73" s="2936"/>
      <c r="WDD73" s="2936"/>
      <c r="WDE73" s="2936"/>
      <c r="WDF73" s="2936"/>
      <c r="WDG73" s="2936"/>
      <c r="WDH73" s="2936"/>
      <c r="WDI73" s="2936"/>
      <c r="WDJ73" s="2936"/>
      <c r="WDK73" s="2936"/>
      <c r="WDL73" s="2936"/>
      <c r="WDM73" s="2936"/>
      <c r="WDN73" s="2936"/>
      <c r="WDO73" s="2936"/>
      <c r="WDP73" s="2936"/>
      <c r="WDQ73" s="2936"/>
      <c r="WDR73" s="2936"/>
      <c r="WDS73" s="2936"/>
      <c r="WDT73" s="2936"/>
      <c r="WDU73" s="2936"/>
      <c r="WDV73" s="2936"/>
      <c r="WDW73" s="2936"/>
      <c r="WDX73" s="2936"/>
      <c r="WDY73" s="2936"/>
      <c r="WDZ73" s="2936"/>
      <c r="WEA73" s="2936"/>
      <c r="WEB73" s="2936"/>
      <c r="WEC73" s="2936"/>
      <c r="WED73" s="2936"/>
      <c r="WEE73" s="2936"/>
      <c r="WEF73" s="2936"/>
      <c r="WEG73" s="2936"/>
      <c r="WEH73" s="2936"/>
      <c r="WEI73" s="2936"/>
      <c r="WEJ73" s="2936"/>
      <c r="WEK73" s="2936"/>
      <c r="WEL73" s="2936"/>
      <c r="WEM73" s="2936"/>
      <c r="WEN73" s="2936"/>
      <c r="WEO73" s="2936"/>
      <c r="WEP73" s="2936"/>
      <c r="WEQ73" s="2936"/>
      <c r="WER73" s="2936"/>
      <c r="WES73" s="2936"/>
      <c r="WET73" s="2936"/>
      <c r="WEU73" s="2936"/>
      <c r="WEV73" s="2936"/>
      <c r="WEW73" s="2936"/>
      <c r="WEX73" s="2936"/>
      <c r="WEY73" s="2936"/>
      <c r="WEZ73" s="2936"/>
      <c r="WFA73" s="2936"/>
      <c r="WFB73" s="2936"/>
      <c r="WFC73" s="2936"/>
      <c r="WFD73" s="2936"/>
      <c r="WFE73" s="2936"/>
      <c r="WFF73" s="2936"/>
      <c r="WFG73" s="2936"/>
      <c r="WFH73" s="2936"/>
      <c r="WFI73" s="2936"/>
      <c r="WFJ73" s="2936"/>
      <c r="WFK73" s="2936"/>
      <c r="WFL73" s="2936"/>
      <c r="WFM73" s="2936"/>
      <c r="WFN73" s="2936"/>
      <c r="WFO73" s="2936"/>
      <c r="WFP73" s="2936"/>
      <c r="WFQ73" s="2936"/>
      <c r="WFR73" s="2936"/>
      <c r="WFS73" s="2936"/>
      <c r="WFT73" s="2936"/>
      <c r="WFU73" s="2936"/>
      <c r="WFV73" s="2936"/>
      <c r="WFW73" s="2936"/>
      <c r="WFX73" s="2936"/>
      <c r="WFY73" s="2936"/>
      <c r="WFZ73" s="2936"/>
      <c r="WGA73" s="2936"/>
      <c r="WGB73" s="2936"/>
      <c r="WGC73" s="2936"/>
      <c r="WGD73" s="2936"/>
      <c r="WGE73" s="2936"/>
      <c r="WGF73" s="2936"/>
      <c r="WGG73" s="2936"/>
      <c r="WGH73" s="2936"/>
      <c r="WGI73" s="2936"/>
      <c r="WGJ73" s="2936"/>
      <c r="WGK73" s="2936"/>
      <c r="WGL73" s="2936"/>
      <c r="WGM73" s="2936"/>
      <c r="WGN73" s="2936"/>
      <c r="WGO73" s="2936"/>
      <c r="WGP73" s="2936"/>
      <c r="WGQ73" s="2936"/>
      <c r="WGR73" s="2936"/>
      <c r="WGS73" s="2936"/>
      <c r="WGT73" s="2936"/>
      <c r="WGU73" s="2936"/>
      <c r="WGV73" s="2936"/>
      <c r="WGW73" s="2936"/>
      <c r="WGX73" s="2936"/>
      <c r="WGY73" s="2936"/>
      <c r="WGZ73" s="2936"/>
      <c r="WHA73" s="2936"/>
      <c r="WHB73" s="2936"/>
      <c r="WHC73" s="2936"/>
      <c r="WHD73" s="2936"/>
      <c r="WHE73" s="2936"/>
      <c r="WHF73" s="2936"/>
      <c r="WHG73" s="2936"/>
      <c r="WHH73" s="2936"/>
      <c r="WHI73" s="2936"/>
      <c r="WHJ73" s="2936"/>
      <c r="WHK73" s="2936"/>
      <c r="WHL73" s="2936"/>
      <c r="WHM73" s="2936"/>
      <c r="WHN73" s="2936"/>
      <c r="WHO73" s="2936"/>
      <c r="WHP73" s="2936"/>
      <c r="WHQ73" s="2936"/>
      <c r="WHR73" s="2936"/>
      <c r="WHS73" s="2936"/>
      <c r="WHT73" s="2936"/>
      <c r="WHU73" s="2936"/>
      <c r="WHV73" s="2936"/>
      <c r="WHW73" s="2936"/>
      <c r="WHX73" s="2936"/>
      <c r="WHY73" s="2936"/>
      <c r="WHZ73" s="2936"/>
      <c r="WIA73" s="2936"/>
      <c r="WIB73" s="2936"/>
      <c r="WIC73" s="2936"/>
      <c r="WID73" s="2936"/>
      <c r="WIE73" s="2936"/>
      <c r="WIF73" s="2936"/>
      <c r="WIG73" s="2936"/>
      <c r="WIH73" s="2936"/>
      <c r="WII73" s="2936"/>
      <c r="WIJ73" s="2936"/>
      <c r="WIK73" s="2936"/>
      <c r="WIL73" s="2936"/>
      <c r="WIM73" s="2936"/>
      <c r="WIN73" s="2936"/>
      <c r="WIO73" s="2936"/>
      <c r="WIP73" s="2936"/>
      <c r="WIQ73" s="2936"/>
      <c r="WIR73" s="2936"/>
      <c r="WIS73" s="2936"/>
      <c r="WIT73" s="2936"/>
      <c r="WIU73" s="2936"/>
      <c r="WIV73" s="2936"/>
      <c r="WIW73" s="2936"/>
      <c r="WIX73" s="2936"/>
      <c r="WIY73" s="2936"/>
      <c r="WIZ73" s="2936"/>
      <c r="WJA73" s="2936"/>
      <c r="WJB73" s="2936"/>
      <c r="WJC73" s="2936"/>
      <c r="WJD73" s="2936"/>
      <c r="WJE73" s="2936"/>
      <c r="WJF73" s="2936"/>
      <c r="WJG73" s="2936"/>
      <c r="WJH73" s="2936"/>
      <c r="WJI73" s="2936"/>
      <c r="WJJ73" s="2936"/>
      <c r="WJK73" s="2936"/>
      <c r="WJL73" s="2936"/>
      <c r="WJM73" s="2936"/>
      <c r="WJN73" s="2936"/>
      <c r="WJO73" s="2936"/>
      <c r="WJP73" s="2936"/>
      <c r="WJQ73" s="2936"/>
      <c r="WJR73" s="2936"/>
      <c r="WJS73" s="2936"/>
      <c r="WJT73" s="2936"/>
      <c r="WJU73" s="2936"/>
      <c r="WJV73" s="2936"/>
      <c r="WJW73" s="2936"/>
      <c r="WJX73" s="2936"/>
      <c r="WJY73" s="2936"/>
      <c r="WJZ73" s="2936"/>
      <c r="WKA73" s="2936"/>
      <c r="WKB73" s="2936"/>
      <c r="WKC73" s="2936"/>
      <c r="WKD73" s="2936"/>
      <c r="WKE73" s="2936"/>
      <c r="WKF73" s="2936"/>
      <c r="WKG73" s="2936"/>
      <c r="WKH73" s="2936"/>
      <c r="WKI73" s="2936"/>
      <c r="WKJ73" s="2936"/>
      <c r="WKK73" s="2936"/>
      <c r="WKL73" s="2936"/>
      <c r="WKM73" s="2936"/>
      <c r="WKN73" s="2936"/>
      <c r="WKO73" s="2936"/>
      <c r="WKP73" s="2936"/>
      <c r="WKQ73" s="2936"/>
      <c r="WKR73" s="2936"/>
      <c r="WKS73" s="2936"/>
      <c r="WKT73" s="2936"/>
      <c r="WKU73" s="2936"/>
      <c r="WKV73" s="2936"/>
      <c r="WKW73" s="2936"/>
      <c r="WKX73" s="2936"/>
      <c r="WKY73" s="2936"/>
      <c r="WKZ73" s="2936"/>
      <c r="WLA73" s="2936"/>
      <c r="WLB73" s="2936"/>
      <c r="WLC73" s="2936"/>
      <c r="WLD73" s="2936"/>
      <c r="WLE73" s="2936"/>
      <c r="WLF73" s="2936"/>
      <c r="WLG73" s="2936"/>
      <c r="WLH73" s="2936"/>
      <c r="WLI73" s="2936"/>
      <c r="WLJ73" s="2936"/>
      <c r="WLK73" s="2936"/>
      <c r="WLL73" s="2936"/>
      <c r="WLM73" s="2936"/>
      <c r="WLN73" s="2936"/>
      <c r="WLO73" s="2936"/>
      <c r="WLP73" s="2936"/>
      <c r="WLQ73" s="2936"/>
      <c r="WLR73" s="2936"/>
      <c r="WLS73" s="2936"/>
      <c r="WLT73" s="2936"/>
      <c r="WLU73" s="2936"/>
      <c r="WLV73" s="2936"/>
      <c r="WLW73" s="2936"/>
      <c r="WLX73" s="2936"/>
      <c r="WLY73" s="2936"/>
      <c r="WLZ73" s="2936"/>
      <c r="WMA73" s="2936"/>
      <c r="WMB73" s="2936"/>
      <c r="WMC73" s="2936"/>
      <c r="WMD73" s="2936"/>
      <c r="WME73" s="2936"/>
      <c r="WMF73" s="2936"/>
      <c r="WMG73" s="2936"/>
      <c r="WMH73" s="2936"/>
      <c r="WMI73" s="2936"/>
      <c r="WMJ73" s="2936"/>
      <c r="WMK73" s="2936"/>
      <c r="WML73" s="2936"/>
      <c r="WMM73" s="2936"/>
      <c r="WMN73" s="2936"/>
      <c r="WMO73" s="2936"/>
      <c r="WMP73" s="2936"/>
      <c r="WMQ73" s="2936"/>
      <c r="WMR73" s="2936"/>
      <c r="WMS73" s="2936"/>
      <c r="WMT73" s="2936"/>
      <c r="WMU73" s="2936"/>
      <c r="WMV73" s="2936"/>
      <c r="WMW73" s="2936"/>
      <c r="WMX73" s="2936"/>
      <c r="WMY73" s="2936"/>
      <c r="WMZ73" s="2936"/>
      <c r="WNA73" s="2936"/>
      <c r="WNB73" s="2936"/>
      <c r="WNC73" s="2936"/>
      <c r="WND73" s="2936"/>
      <c r="WNE73" s="2936"/>
      <c r="WNF73" s="2936"/>
      <c r="WNG73" s="2936"/>
      <c r="WNH73" s="2936"/>
      <c r="WNI73" s="2936"/>
      <c r="WNJ73" s="2936"/>
      <c r="WNK73" s="2936"/>
      <c r="WNL73" s="2936"/>
      <c r="WNM73" s="2936"/>
      <c r="WNN73" s="2936"/>
      <c r="WNO73" s="2936"/>
      <c r="WNP73" s="2936"/>
      <c r="WNQ73" s="2936"/>
      <c r="WNR73" s="2936"/>
      <c r="WNS73" s="2936"/>
      <c r="WNT73" s="2936"/>
      <c r="WNU73" s="2936"/>
      <c r="WNV73" s="2936"/>
      <c r="WNW73" s="2936"/>
      <c r="WNX73" s="2936"/>
      <c r="WNY73" s="2936"/>
      <c r="WNZ73" s="2936"/>
      <c r="WOA73" s="2936"/>
      <c r="WOB73" s="2936"/>
      <c r="WOC73" s="2936"/>
      <c r="WOD73" s="2936"/>
      <c r="WOE73" s="2936"/>
      <c r="WOF73" s="2936"/>
      <c r="WOG73" s="2936"/>
      <c r="WOH73" s="2936"/>
      <c r="WOI73" s="2936"/>
      <c r="WOJ73" s="2936"/>
      <c r="WOK73" s="2936"/>
      <c r="WOL73" s="2936"/>
      <c r="WOM73" s="2936"/>
      <c r="WON73" s="2936"/>
      <c r="WOO73" s="2936"/>
      <c r="WOP73" s="2936"/>
      <c r="WOQ73" s="2936"/>
      <c r="WOR73" s="2936"/>
      <c r="WOS73" s="2936"/>
      <c r="WOT73" s="2936"/>
      <c r="WOU73" s="2936"/>
      <c r="WOV73" s="2936"/>
      <c r="WOW73" s="2936"/>
      <c r="WOX73" s="2936"/>
      <c r="WOY73" s="2936"/>
      <c r="WOZ73" s="2936"/>
      <c r="WPA73" s="2936"/>
      <c r="WPB73" s="2936"/>
      <c r="WPC73" s="2936"/>
      <c r="WPD73" s="2936"/>
      <c r="WPE73" s="2936"/>
      <c r="WPF73" s="2936"/>
      <c r="WPG73" s="2936"/>
      <c r="WPH73" s="2936"/>
      <c r="WPI73" s="2936"/>
      <c r="WPJ73" s="2936"/>
      <c r="WPK73" s="2936"/>
      <c r="WPL73" s="2936"/>
      <c r="WPM73" s="2936"/>
      <c r="WPN73" s="2936"/>
      <c r="WPO73" s="2936"/>
      <c r="WPP73" s="2936"/>
      <c r="WPQ73" s="2936"/>
      <c r="WPR73" s="2936"/>
      <c r="WPS73" s="2936"/>
      <c r="WPT73" s="2936"/>
      <c r="WPU73" s="2936"/>
      <c r="WPV73" s="2936"/>
      <c r="WPW73" s="2936"/>
      <c r="WPX73" s="2936"/>
      <c r="WPY73" s="2936"/>
      <c r="WPZ73" s="2936"/>
      <c r="WQA73" s="2936"/>
      <c r="WQB73" s="2936"/>
      <c r="WQC73" s="2936"/>
      <c r="WQD73" s="2936"/>
      <c r="WQE73" s="2936"/>
      <c r="WQF73" s="2936"/>
      <c r="WQG73" s="2936"/>
      <c r="WQH73" s="2936"/>
      <c r="WQI73" s="2936"/>
      <c r="WQJ73" s="2936"/>
      <c r="WQK73" s="2936"/>
      <c r="WQL73" s="2936"/>
      <c r="WQM73" s="2936"/>
      <c r="WQN73" s="2936"/>
      <c r="WQO73" s="2936"/>
      <c r="WQP73" s="2936"/>
      <c r="WQQ73" s="2936"/>
      <c r="WQR73" s="2936"/>
      <c r="WQS73" s="2936"/>
      <c r="WQT73" s="2936"/>
      <c r="WQU73" s="2936"/>
      <c r="WQV73" s="2936"/>
      <c r="WQW73" s="2936"/>
      <c r="WQX73" s="2936"/>
      <c r="WQY73" s="2936"/>
      <c r="WQZ73" s="2936"/>
      <c r="WRA73" s="2936"/>
      <c r="WRB73" s="2936"/>
      <c r="WRC73" s="2936"/>
      <c r="WRD73" s="2936"/>
      <c r="WRE73" s="2936"/>
      <c r="WRF73" s="2936"/>
      <c r="WRG73" s="2936"/>
      <c r="WRH73" s="2936"/>
      <c r="WRI73" s="2936"/>
      <c r="WRJ73" s="2936"/>
      <c r="WRK73" s="2936"/>
      <c r="WRL73" s="2936"/>
      <c r="WRM73" s="2936"/>
      <c r="WRN73" s="2936"/>
      <c r="WRO73" s="2936"/>
      <c r="WRP73" s="2936"/>
      <c r="WRQ73" s="2936"/>
      <c r="WRR73" s="2936"/>
      <c r="WRS73" s="2936"/>
      <c r="WRT73" s="2936"/>
      <c r="WRU73" s="2936"/>
      <c r="WRV73" s="2936"/>
      <c r="WRW73" s="2936"/>
      <c r="WRX73" s="2936"/>
      <c r="WRY73" s="2936"/>
      <c r="WRZ73" s="2936"/>
      <c r="WSA73" s="2936"/>
      <c r="WSB73" s="2936"/>
      <c r="WSC73" s="2936"/>
      <c r="WSD73" s="2936"/>
      <c r="WSE73" s="2936"/>
      <c r="WSF73" s="2936"/>
      <c r="WSG73" s="2936"/>
      <c r="WSH73" s="2936"/>
      <c r="WSI73" s="2936"/>
      <c r="WSJ73" s="2936"/>
      <c r="WSK73" s="2936"/>
      <c r="WSL73" s="2936"/>
      <c r="WSM73" s="2936"/>
      <c r="WSN73" s="2936"/>
      <c r="WSO73" s="2936"/>
      <c r="WSP73" s="2936"/>
      <c r="WSQ73" s="2936"/>
      <c r="WSR73" s="2936"/>
      <c r="WSS73" s="2936"/>
      <c r="WST73" s="2936"/>
      <c r="WSU73" s="2936"/>
      <c r="WSV73" s="2936"/>
      <c r="WSW73" s="2936"/>
      <c r="WSX73" s="2936"/>
      <c r="WSY73" s="2936"/>
      <c r="WSZ73" s="2936"/>
      <c r="WTA73" s="2936"/>
      <c r="WTB73" s="2936"/>
      <c r="WTC73" s="2936"/>
      <c r="WTD73" s="2936"/>
      <c r="WTE73" s="2936"/>
      <c r="WTF73" s="2936"/>
      <c r="WTG73" s="2936"/>
      <c r="WTH73" s="2936"/>
      <c r="WTI73" s="2936"/>
      <c r="WTJ73" s="2936"/>
      <c r="WTK73" s="2936"/>
      <c r="WTL73" s="2936"/>
      <c r="WTM73" s="2936"/>
      <c r="WTN73" s="2936"/>
      <c r="WTO73" s="2936"/>
      <c r="WTP73" s="2936"/>
      <c r="WTQ73" s="2936"/>
      <c r="WTR73" s="2936"/>
      <c r="WTS73" s="2936"/>
      <c r="WTT73" s="2936"/>
      <c r="WTU73" s="2936"/>
      <c r="WTV73" s="2936"/>
      <c r="WTW73" s="2936"/>
      <c r="WTX73" s="2936"/>
      <c r="WTY73" s="2936"/>
      <c r="WTZ73" s="2936"/>
      <c r="WUA73" s="2936"/>
      <c r="WUB73" s="2936"/>
      <c r="WUC73" s="2936"/>
      <c r="WUD73" s="2936"/>
      <c r="WUE73" s="2936"/>
      <c r="WUF73" s="2936"/>
      <c r="WUG73" s="2936"/>
      <c r="WUH73" s="2936"/>
      <c r="WUI73" s="2936"/>
      <c r="WUJ73" s="2936"/>
      <c r="WUK73" s="2936"/>
      <c r="WUL73" s="2936"/>
      <c r="WUM73" s="2936"/>
      <c r="WUN73" s="2936"/>
      <c r="WUO73" s="2936"/>
      <c r="WUP73" s="2936"/>
      <c r="WUQ73" s="2936"/>
      <c r="WUR73" s="2936"/>
      <c r="WUS73" s="2936"/>
      <c r="WUT73" s="2936"/>
      <c r="WUU73" s="2936"/>
      <c r="WUV73" s="2936"/>
      <c r="WUW73" s="2936"/>
      <c r="WUX73" s="2936"/>
      <c r="WUY73" s="2936"/>
      <c r="WUZ73" s="2936"/>
      <c r="WVA73" s="2936"/>
      <c r="WVB73" s="2936"/>
      <c r="WVC73" s="2936"/>
      <c r="WVD73" s="2936"/>
      <c r="WVE73" s="2936"/>
      <c r="WVF73" s="2936"/>
      <c r="WVG73" s="2936"/>
      <c r="WVH73" s="2936"/>
      <c r="WVI73" s="2936"/>
      <c r="WVJ73" s="2936"/>
      <c r="WVK73" s="2936"/>
      <c r="WVL73" s="2936"/>
      <c r="WVM73" s="2936"/>
      <c r="WVN73" s="2936"/>
      <c r="WVO73" s="2936"/>
      <c r="WVP73" s="2936"/>
      <c r="WVQ73" s="2936"/>
      <c r="WVR73" s="2936"/>
      <c r="WVS73" s="2936"/>
      <c r="WVT73" s="2936"/>
      <c r="WVU73" s="2936"/>
      <c r="WVV73" s="2936"/>
      <c r="WVW73" s="2936"/>
      <c r="WVX73" s="2936"/>
      <c r="WVY73" s="2936"/>
      <c r="WVZ73" s="2936"/>
      <c r="WWA73" s="2936"/>
      <c r="WWB73" s="2936"/>
      <c r="WWC73" s="2936"/>
      <c r="WWD73" s="2936"/>
      <c r="WWE73" s="2936"/>
      <c r="WWF73" s="2936"/>
      <c r="WWG73" s="2936"/>
      <c r="WWH73" s="2936"/>
      <c r="WWI73" s="2936"/>
      <c r="WWJ73" s="2936"/>
      <c r="WWK73" s="2936"/>
      <c r="WWL73" s="2936"/>
      <c r="WWM73" s="2936"/>
      <c r="WWN73" s="2936"/>
      <c r="WWO73" s="2936"/>
      <c r="WWP73" s="2936"/>
      <c r="WWQ73" s="2936"/>
      <c r="WWR73" s="2936"/>
      <c r="WWS73" s="2936"/>
      <c r="WWT73" s="2936"/>
      <c r="WWU73" s="2936"/>
      <c r="WWV73" s="2936"/>
      <c r="WWW73" s="2936"/>
      <c r="WWX73" s="2936"/>
      <c r="WWY73" s="2936"/>
      <c r="WWZ73" s="2936"/>
      <c r="WXA73" s="2936"/>
      <c r="WXB73" s="2936"/>
      <c r="WXC73" s="2936"/>
      <c r="WXD73" s="2936"/>
      <c r="WXE73" s="2936"/>
      <c r="WXF73" s="2936"/>
      <c r="WXG73" s="2936"/>
      <c r="WXH73" s="2936"/>
      <c r="WXI73" s="2936"/>
      <c r="WXJ73" s="2936"/>
      <c r="WXK73" s="2936"/>
      <c r="WXL73" s="2936"/>
      <c r="WXM73" s="2936"/>
      <c r="WXN73" s="2936"/>
      <c r="WXO73" s="2936"/>
      <c r="WXP73" s="2936"/>
      <c r="WXQ73" s="2936"/>
      <c r="WXR73" s="2936"/>
      <c r="WXS73" s="2936"/>
      <c r="WXT73" s="2936"/>
      <c r="WXU73" s="2936"/>
      <c r="WXV73" s="2936"/>
      <c r="WXW73" s="2936"/>
      <c r="WXX73" s="2936"/>
      <c r="WXY73" s="2936"/>
      <c r="WXZ73" s="2936"/>
      <c r="WYA73" s="2936"/>
      <c r="WYB73" s="2936"/>
      <c r="WYC73" s="2936"/>
      <c r="WYD73" s="2936"/>
      <c r="WYE73" s="2936"/>
      <c r="WYF73" s="2936"/>
      <c r="WYG73" s="2936"/>
      <c r="WYH73" s="2936"/>
      <c r="WYI73" s="2936"/>
      <c r="WYJ73" s="2936"/>
      <c r="WYK73" s="2936"/>
      <c r="WYL73" s="2936"/>
      <c r="WYM73" s="2936"/>
      <c r="WYN73" s="2936"/>
      <c r="WYO73" s="2936"/>
      <c r="WYP73" s="2936"/>
      <c r="WYQ73" s="2936"/>
      <c r="WYR73" s="2936"/>
      <c r="WYS73" s="2936"/>
      <c r="WYT73" s="2936"/>
      <c r="WYU73" s="2936"/>
      <c r="WYV73" s="2936"/>
      <c r="WYW73" s="2936"/>
      <c r="WYX73" s="2936"/>
      <c r="WYY73" s="2936"/>
      <c r="WYZ73" s="2936"/>
      <c r="WZA73" s="2936"/>
      <c r="WZB73" s="2936"/>
      <c r="WZC73" s="2936"/>
      <c r="WZD73" s="2936"/>
      <c r="WZE73" s="2936"/>
      <c r="WZF73" s="2936"/>
      <c r="WZG73" s="2936"/>
      <c r="WZH73" s="2936"/>
      <c r="WZI73" s="2936"/>
      <c r="WZJ73" s="2936"/>
      <c r="WZK73" s="2936"/>
      <c r="WZL73" s="2936"/>
      <c r="WZM73" s="2936"/>
      <c r="WZN73" s="2936"/>
      <c r="WZO73" s="2936"/>
      <c r="WZP73" s="2936"/>
      <c r="WZQ73" s="2936"/>
      <c r="WZR73" s="2936"/>
      <c r="WZS73" s="2936"/>
      <c r="WZT73" s="2936"/>
      <c r="WZU73" s="2936"/>
      <c r="WZV73" s="2936"/>
      <c r="WZW73" s="2936"/>
      <c r="WZX73" s="2936"/>
      <c r="WZY73" s="2936"/>
      <c r="WZZ73" s="2936"/>
      <c r="XAA73" s="2936"/>
      <c r="XAB73" s="2936"/>
      <c r="XAC73" s="2936"/>
      <c r="XAD73" s="2936"/>
      <c r="XAE73" s="2936"/>
      <c r="XAF73" s="2936"/>
      <c r="XAG73" s="2936"/>
      <c r="XAH73" s="2936"/>
      <c r="XAI73" s="2936"/>
      <c r="XAJ73" s="2936"/>
      <c r="XAK73" s="2936"/>
      <c r="XAL73" s="2936"/>
      <c r="XAM73" s="2936"/>
      <c r="XAN73" s="2936"/>
      <c r="XAO73" s="2936"/>
      <c r="XAP73" s="2936"/>
      <c r="XAQ73" s="2936"/>
      <c r="XAR73" s="2936"/>
      <c r="XAS73" s="2936"/>
      <c r="XAT73" s="2936"/>
      <c r="XAU73" s="2936"/>
      <c r="XAV73" s="2936"/>
      <c r="XAW73" s="2936"/>
      <c r="XAX73" s="2936"/>
      <c r="XAY73" s="2936"/>
      <c r="XAZ73" s="2936"/>
      <c r="XBA73" s="2936"/>
      <c r="XBB73" s="2936"/>
      <c r="XBC73" s="2936"/>
      <c r="XBD73" s="2936"/>
      <c r="XBE73" s="2936"/>
      <c r="XBF73" s="2936"/>
      <c r="XBG73" s="2936"/>
      <c r="XBH73" s="2936"/>
      <c r="XBI73" s="2936"/>
      <c r="XBJ73" s="2936"/>
      <c r="XBK73" s="2936"/>
      <c r="XBL73" s="2936"/>
      <c r="XBM73" s="2936"/>
      <c r="XBN73" s="2936"/>
      <c r="XBO73" s="2936"/>
      <c r="XBP73" s="2936"/>
      <c r="XBQ73" s="2936"/>
      <c r="XBR73" s="2936"/>
      <c r="XBS73" s="2936"/>
      <c r="XBT73" s="2936"/>
      <c r="XBU73" s="2936"/>
      <c r="XBV73" s="2936"/>
      <c r="XBW73" s="2936"/>
      <c r="XBX73" s="2936"/>
      <c r="XBY73" s="2936"/>
      <c r="XBZ73" s="2936"/>
      <c r="XCA73" s="2936"/>
      <c r="XCB73" s="2936"/>
      <c r="XCC73" s="2936"/>
      <c r="XCD73" s="2936"/>
      <c r="XCE73" s="2936"/>
      <c r="XCF73" s="2936"/>
      <c r="XCG73" s="2936"/>
      <c r="XCH73" s="2936"/>
      <c r="XCI73" s="2936"/>
      <c r="XCJ73" s="2936"/>
      <c r="XCK73" s="2936"/>
      <c r="XCL73" s="2936"/>
      <c r="XCM73" s="2936"/>
      <c r="XCN73" s="2936"/>
      <c r="XCO73" s="2936"/>
      <c r="XCP73" s="2936"/>
      <c r="XCQ73" s="2936"/>
      <c r="XCR73" s="2936"/>
      <c r="XCS73" s="2936"/>
      <c r="XCT73" s="2936"/>
      <c r="XCU73" s="2936"/>
      <c r="XCV73" s="2936"/>
      <c r="XCW73" s="2936"/>
      <c r="XCX73" s="2936"/>
      <c r="XCY73" s="2936"/>
      <c r="XCZ73" s="2936"/>
      <c r="XDA73" s="2936"/>
      <c r="XDB73" s="2936"/>
      <c r="XDC73" s="2936"/>
      <c r="XDD73" s="2936"/>
      <c r="XDE73" s="2936"/>
      <c r="XDF73" s="2936"/>
      <c r="XDG73" s="2936"/>
      <c r="XDH73" s="2936"/>
      <c r="XDI73" s="2936"/>
      <c r="XDJ73" s="2936"/>
      <c r="XDK73" s="2936"/>
      <c r="XDL73" s="2936"/>
      <c r="XDM73" s="2936"/>
      <c r="XDN73" s="2936"/>
      <c r="XDO73" s="2936"/>
      <c r="XDP73" s="2936"/>
      <c r="XDQ73" s="2936"/>
      <c r="XDR73" s="2936"/>
      <c r="XDS73" s="2936"/>
      <c r="XDT73" s="2936"/>
      <c r="XDU73" s="2936"/>
      <c r="XDV73" s="2936"/>
      <c r="XDW73" s="2936"/>
      <c r="XDX73" s="2936"/>
      <c r="XDY73" s="2936"/>
      <c r="XDZ73" s="2936"/>
      <c r="XEA73" s="2936"/>
      <c r="XEB73" s="2936"/>
      <c r="XEC73" s="2936"/>
      <c r="XED73" s="2936"/>
      <c r="XEE73" s="2936"/>
      <c r="XEF73" s="2936"/>
      <c r="XEG73" s="2936"/>
      <c r="XEH73" s="2936"/>
      <c r="XEI73" s="2936"/>
      <c r="XEJ73" s="2936"/>
      <c r="XEK73" s="2936"/>
      <c r="XEL73" s="2936"/>
      <c r="XEM73" s="2936"/>
      <c r="XEN73" s="2936"/>
      <c r="XEO73" s="2936"/>
      <c r="XEP73" s="2936"/>
      <c r="XEQ73" s="2936"/>
      <c r="XER73" s="2936"/>
      <c r="XES73" s="2936"/>
      <c r="XET73" s="2936"/>
      <c r="XEU73" s="2936"/>
      <c r="XEV73" s="2936"/>
      <c r="XEW73" s="2936"/>
      <c r="XEX73" s="2936"/>
      <c r="XEY73" s="2936"/>
      <c r="XEZ73" s="2936"/>
      <c r="XFA73" s="2936"/>
      <c r="XFB73" s="2936"/>
      <c r="XFC73" s="2936"/>
    </row>
    <row r="74" spans="1:16383" x14ac:dyDescent="0.25">
      <c r="A74" s="5" t="s">
        <v>1296</v>
      </c>
    </row>
    <row r="75" spans="1:16383" x14ac:dyDescent="0.25">
      <c r="A75" s="77" t="s">
        <v>830</v>
      </c>
    </row>
    <row r="76" spans="1:16383" x14ac:dyDescent="0.25">
      <c r="A76" s="77" t="s">
        <v>831</v>
      </c>
    </row>
    <row r="77" spans="1:16383" x14ac:dyDescent="0.25">
      <c r="A77" s="77" t="s">
        <v>1297</v>
      </c>
    </row>
    <row r="78" spans="1:16383" x14ac:dyDescent="0.25">
      <c r="A78" s="77" t="s">
        <v>555</v>
      </c>
    </row>
    <row r="79" spans="1:16383" x14ac:dyDescent="0.25">
      <c r="A79" s="77" t="s">
        <v>560</v>
      </c>
    </row>
    <row r="80" spans="1:16383" x14ac:dyDescent="0.25">
      <c r="A80" s="77" t="s">
        <v>561</v>
      </c>
    </row>
    <row r="81" spans="1:5" x14ac:dyDescent="0.25">
      <c r="A81" s="77" t="s">
        <v>1298</v>
      </c>
    </row>
    <row r="82" spans="1:5" x14ac:dyDescent="0.25">
      <c r="A82" s="77" t="s">
        <v>562</v>
      </c>
    </row>
    <row r="83" spans="1:5" x14ac:dyDescent="0.25">
      <c r="A83" s="77" t="s">
        <v>570</v>
      </c>
    </row>
    <row r="84" spans="1:5" x14ac:dyDescent="0.25">
      <c r="A84" s="77" t="s">
        <v>674</v>
      </c>
    </row>
    <row r="85" spans="1:5" x14ac:dyDescent="0.25">
      <c r="A85" s="77" t="s">
        <v>1299</v>
      </c>
    </row>
    <row r="86" spans="1:5" x14ac:dyDescent="0.25">
      <c r="A86" s="77" t="s">
        <v>1300</v>
      </c>
      <c r="E86" s="2936"/>
    </row>
    <row r="87" spans="1:5" x14ac:dyDescent="0.25">
      <c r="A87" s="77" t="s">
        <v>674</v>
      </c>
      <c r="E87" s="2936"/>
    </row>
    <row r="88" spans="1:5" x14ac:dyDescent="0.25">
      <c r="A88" s="77" t="s">
        <v>569</v>
      </c>
      <c r="E88" s="2936"/>
    </row>
    <row r="89" spans="1:5" x14ac:dyDescent="0.25">
      <c r="A89" s="77" t="s">
        <v>1298</v>
      </c>
      <c r="E89" s="2936"/>
    </row>
    <row r="90" spans="1:5" x14ac:dyDescent="0.25">
      <c r="A90" s="77" t="s">
        <v>1301</v>
      </c>
      <c r="E90" s="2936"/>
    </row>
    <row r="91" spans="1:5" x14ac:dyDescent="0.25">
      <c r="A91" s="77" t="s">
        <v>701</v>
      </c>
    </row>
    <row r="92" spans="1:5" x14ac:dyDescent="0.25">
      <c r="A92" s="20" t="s">
        <v>1308</v>
      </c>
    </row>
    <row r="93" spans="1:5" x14ac:dyDescent="0.25">
      <c r="A93" s="20" t="s">
        <v>1309</v>
      </c>
    </row>
    <row r="94" spans="1:5" x14ac:dyDescent="0.25">
      <c r="A94" s="20" t="s">
        <v>1310</v>
      </c>
    </row>
    <row r="95" spans="1:5" x14ac:dyDescent="0.25">
      <c r="A95" s="77" t="s">
        <v>1302</v>
      </c>
    </row>
    <row r="96" spans="1:5" x14ac:dyDescent="0.25">
      <c r="A96" s="20" t="s">
        <v>1303</v>
      </c>
    </row>
    <row r="97" spans="1:1" x14ac:dyDescent="0.25">
      <c r="A97" s="20" t="s">
        <v>1311</v>
      </c>
    </row>
    <row r="98" spans="1:1" x14ac:dyDescent="0.25">
      <c r="A98" s="20" t="s">
        <v>1312</v>
      </c>
    </row>
    <row r="99" spans="1:1" x14ac:dyDescent="0.25">
      <c r="A99" s="20" t="s">
        <v>635</v>
      </c>
    </row>
    <row r="100" spans="1:1" x14ac:dyDescent="0.25">
      <c r="A100" s="20" t="s">
        <v>1313</v>
      </c>
    </row>
    <row r="101" spans="1:1" x14ac:dyDescent="0.25">
      <c r="A101" s="20" t="s">
        <v>1314</v>
      </c>
    </row>
    <row r="102" spans="1:1" x14ac:dyDescent="0.25">
      <c r="A102" s="20" t="s">
        <v>1315</v>
      </c>
    </row>
    <row r="103" spans="1:1" x14ac:dyDescent="0.25">
      <c r="A103" s="20" t="s">
        <v>1327</v>
      </c>
    </row>
    <row r="104" spans="1:1" x14ac:dyDescent="0.25">
      <c r="A104" s="20" t="s">
        <v>1316</v>
      </c>
    </row>
    <row r="105" spans="1:1" x14ac:dyDescent="0.25">
      <c r="A105" s="20" t="s">
        <v>663</v>
      </c>
    </row>
    <row r="106" spans="1:1" x14ac:dyDescent="0.25">
      <c r="A106" s="20" t="s">
        <v>1317</v>
      </c>
    </row>
    <row r="107" spans="1:1" x14ac:dyDescent="0.25">
      <c r="A107" s="20" t="s">
        <v>1318</v>
      </c>
    </row>
    <row r="108" spans="1:1" x14ac:dyDescent="0.25">
      <c r="A108" s="20" t="s">
        <v>1303</v>
      </c>
    </row>
    <row r="109" spans="1:1" x14ac:dyDescent="0.25">
      <c r="A109" s="20" t="s">
        <v>1328</v>
      </c>
    </row>
    <row r="110" spans="1:1" x14ac:dyDescent="0.25">
      <c r="A110" s="20" t="s">
        <v>1329</v>
      </c>
    </row>
    <row r="111" spans="1:1" x14ac:dyDescent="0.25">
      <c r="A111" s="20" t="s">
        <v>1330</v>
      </c>
    </row>
    <row r="112" spans="1:1" x14ac:dyDescent="0.25">
      <c r="A112" s="20" t="s">
        <v>1331</v>
      </c>
    </row>
    <row r="113" spans="1:1" x14ac:dyDescent="0.25">
      <c r="A113" s="20" t="s">
        <v>1322</v>
      </c>
    </row>
    <row r="114" spans="1:1" x14ac:dyDescent="0.25">
      <c r="A114" s="20" t="s">
        <v>711</v>
      </c>
    </row>
    <row r="115" spans="1:1" x14ac:dyDescent="0.25">
      <c r="A115" s="20" t="s">
        <v>712</v>
      </c>
    </row>
    <row r="116" spans="1:1" x14ac:dyDescent="0.25">
      <c r="A116" s="20" t="s">
        <v>772</v>
      </c>
    </row>
    <row r="117" spans="1:1" x14ac:dyDescent="0.25">
      <c r="A117" s="20" t="s">
        <v>1325</v>
      </c>
    </row>
    <row r="118" spans="1:1" x14ac:dyDescent="0.25">
      <c r="A118" s="20" t="s">
        <v>808</v>
      </c>
    </row>
    <row r="119" spans="1:1" x14ac:dyDescent="0.25">
      <c r="A119" s="20" t="s">
        <v>809</v>
      </c>
    </row>
    <row r="120" spans="1:1" x14ac:dyDescent="0.25">
      <c r="A120" s="20" t="s">
        <v>1319</v>
      </c>
    </row>
    <row r="121" spans="1:1" x14ac:dyDescent="0.25">
      <c r="A121" s="20" t="s">
        <v>1323</v>
      </c>
    </row>
    <row r="122" spans="1:1" x14ac:dyDescent="0.25">
      <c r="A122" s="20" t="s">
        <v>1023</v>
      </c>
    </row>
    <row r="123" spans="1:1" x14ac:dyDescent="0.25">
      <c r="A123" s="20" t="s">
        <v>1320</v>
      </c>
    </row>
    <row r="124" spans="1:1" x14ac:dyDescent="0.25">
      <c r="A124" s="20" t="s">
        <v>1326</v>
      </c>
    </row>
    <row r="125" spans="1:1" x14ac:dyDescent="0.25">
      <c r="A125" s="20" t="s">
        <v>1332</v>
      </c>
    </row>
    <row r="126" spans="1:1" x14ac:dyDescent="0.25">
      <c r="A126" s="20" t="s">
        <v>1342</v>
      </c>
    </row>
    <row r="127" spans="1:1" x14ac:dyDescent="0.25">
      <c r="A127" s="20" t="s">
        <v>1343</v>
      </c>
    </row>
    <row r="128" spans="1:1" x14ac:dyDescent="0.25">
      <c r="A128" s="20" t="s">
        <v>1344</v>
      </c>
    </row>
    <row r="129" spans="1:1" x14ac:dyDescent="0.25">
      <c r="A129" s="20" t="s">
        <v>1346</v>
      </c>
    </row>
    <row r="130" spans="1:1" x14ac:dyDescent="0.25">
      <c r="A130" s="20" t="s">
        <v>1345</v>
      </c>
    </row>
    <row r="131" spans="1:1" x14ac:dyDescent="0.25">
      <c r="A131" s="20" t="s">
        <v>1347</v>
      </c>
    </row>
    <row r="132" spans="1:1" x14ac:dyDescent="0.25">
      <c r="A132" s="20" t="s">
        <v>1338</v>
      </c>
    </row>
    <row r="133" spans="1:1" x14ac:dyDescent="0.25">
      <c r="A133" s="20" t="s">
        <v>1348</v>
      </c>
    </row>
    <row r="134" spans="1:1" x14ac:dyDescent="0.25">
      <c r="A134" s="20" t="s">
        <v>1349</v>
      </c>
    </row>
    <row r="135" spans="1:1" x14ac:dyDescent="0.25">
      <c r="A135" s="20" t="s">
        <v>1350</v>
      </c>
    </row>
    <row r="136" spans="1:1" x14ac:dyDescent="0.25">
      <c r="A136" s="20" t="s">
        <v>1351</v>
      </c>
    </row>
    <row r="137" spans="1:1" x14ac:dyDescent="0.25">
      <c r="A137" s="20" t="s">
        <v>1352</v>
      </c>
    </row>
    <row r="138" spans="1:1" x14ac:dyDescent="0.25">
      <c r="A138" s="20" t="s">
        <v>1353</v>
      </c>
    </row>
    <row r="139" spans="1:1" x14ac:dyDescent="0.25">
      <c r="A139" s="20" t="s">
        <v>1354</v>
      </c>
    </row>
    <row r="140" spans="1:1" x14ac:dyDescent="0.25">
      <c r="A140" s="20" t="s">
        <v>1355</v>
      </c>
    </row>
    <row r="141" spans="1:1" x14ac:dyDescent="0.25">
      <c r="A141" s="20" t="s">
        <v>1356</v>
      </c>
    </row>
    <row r="142" spans="1:1" x14ac:dyDescent="0.25">
      <c r="A142" s="20" t="s">
        <v>1357</v>
      </c>
    </row>
    <row r="143" spans="1:1" x14ac:dyDescent="0.25">
      <c r="A143" s="20" t="s">
        <v>1384</v>
      </c>
    </row>
  </sheetData>
  <mergeCells count="16382">
    <mergeCell ref="B67:B73"/>
    <mergeCell ref="C67:C73"/>
    <mergeCell ref="D67:D73"/>
    <mergeCell ref="E86:E90"/>
    <mergeCell ref="F67:F73"/>
    <mergeCell ref="AK67:AK73"/>
    <mergeCell ref="AL67:AL73"/>
    <mergeCell ref="AM67:AM73"/>
    <mergeCell ref="AN67:AN73"/>
    <mergeCell ref="AO67:AO73"/>
    <mergeCell ref="AP67:AP73"/>
    <mergeCell ref="AE67:AE73"/>
    <mergeCell ref="AF67:AF73"/>
    <mergeCell ref="AG67:AG73"/>
    <mergeCell ref="AH67:AH73"/>
    <mergeCell ref="AI67:AI73"/>
    <mergeCell ref="AJ67:AJ73"/>
    <mergeCell ref="Y67:Y73"/>
    <mergeCell ref="Z67:Z73"/>
    <mergeCell ref="AA67:AA73"/>
    <mergeCell ref="AB67:AB73"/>
    <mergeCell ref="AC67:AC73"/>
    <mergeCell ref="AD67:AD73"/>
    <mergeCell ref="S67:S73"/>
    <mergeCell ref="T67:T73"/>
    <mergeCell ref="U67:U73"/>
    <mergeCell ref="V67:V73"/>
    <mergeCell ref="W67:W73"/>
    <mergeCell ref="X67:X73"/>
    <mergeCell ref="M67:M73"/>
    <mergeCell ref="N67:N73"/>
    <mergeCell ref="O67:O73"/>
    <mergeCell ref="P67:P73"/>
    <mergeCell ref="Q67:Q73"/>
    <mergeCell ref="R67:R73"/>
    <mergeCell ref="G67:G73"/>
    <mergeCell ref="H67:H73"/>
    <mergeCell ref="I67:I73"/>
    <mergeCell ref="J67:J73"/>
    <mergeCell ref="K67:K73"/>
    <mergeCell ref="L67:L73"/>
    <mergeCell ref="BU67:BU73"/>
    <mergeCell ref="BV67:BV73"/>
    <mergeCell ref="BW67:BW73"/>
    <mergeCell ref="BX67:BX73"/>
    <mergeCell ref="BY67:BY73"/>
    <mergeCell ref="BZ67:BZ73"/>
    <mergeCell ref="BO67:BO73"/>
    <mergeCell ref="BP67:BP73"/>
    <mergeCell ref="BQ67:BQ73"/>
    <mergeCell ref="BR67:BR73"/>
    <mergeCell ref="BS67:BS73"/>
    <mergeCell ref="BT67:BT73"/>
    <mergeCell ref="BI67:BI73"/>
    <mergeCell ref="BJ67:BJ73"/>
    <mergeCell ref="BK67:BK73"/>
    <mergeCell ref="BL67:BL73"/>
    <mergeCell ref="BM67:BM73"/>
    <mergeCell ref="BN67:BN73"/>
    <mergeCell ref="BC67:BC73"/>
    <mergeCell ref="BD67:BD73"/>
    <mergeCell ref="BE67:BE73"/>
    <mergeCell ref="BF67:BF73"/>
    <mergeCell ref="BG67:BG73"/>
    <mergeCell ref="BH67:BH73"/>
    <mergeCell ref="AW67:AW73"/>
    <mergeCell ref="AX67:AX73"/>
    <mergeCell ref="AY67:AY73"/>
    <mergeCell ref="AZ67:AZ73"/>
    <mergeCell ref="BA67:BA73"/>
    <mergeCell ref="BB67:BB73"/>
    <mergeCell ref="AQ67:AQ73"/>
    <mergeCell ref="AR67:AR73"/>
    <mergeCell ref="AS67:AS73"/>
    <mergeCell ref="AT67:AT73"/>
    <mergeCell ref="AU67:AU73"/>
    <mergeCell ref="AV67:AV73"/>
    <mergeCell ref="DE67:DE73"/>
    <mergeCell ref="DF67:DF73"/>
    <mergeCell ref="DG67:DG73"/>
    <mergeCell ref="DH67:DH73"/>
    <mergeCell ref="DI67:DI73"/>
    <mergeCell ref="DJ67:DJ73"/>
    <mergeCell ref="CY67:CY73"/>
    <mergeCell ref="CZ67:CZ73"/>
    <mergeCell ref="DA67:DA73"/>
    <mergeCell ref="DB67:DB73"/>
    <mergeCell ref="DC67:DC73"/>
    <mergeCell ref="DD67:DD73"/>
    <mergeCell ref="CS67:CS73"/>
    <mergeCell ref="CT67:CT73"/>
    <mergeCell ref="CU67:CU73"/>
    <mergeCell ref="CV67:CV73"/>
    <mergeCell ref="CW67:CW73"/>
    <mergeCell ref="CX67:CX73"/>
    <mergeCell ref="CM67:CM73"/>
    <mergeCell ref="CN67:CN73"/>
    <mergeCell ref="CO67:CO73"/>
    <mergeCell ref="CP67:CP73"/>
    <mergeCell ref="CQ67:CQ73"/>
    <mergeCell ref="CR67:CR73"/>
    <mergeCell ref="CG67:CG73"/>
    <mergeCell ref="CH67:CH73"/>
    <mergeCell ref="CI67:CI73"/>
    <mergeCell ref="CJ67:CJ73"/>
    <mergeCell ref="CK67:CK73"/>
    <mergeCell ref="CL67:CL73"/>
    <mergeCell ref="CA67:CA73"/>
    <mergeCell ref="CB67:CB73"/>
    <mergeCell ref="CC67:CC73"/>
    <mergeCell ref="CD67:CD73"/>
    <mergeCell ref="CE67:CE73"/>
    <mergeCell ref="CF67:CF73"/>
    <mergeCell ref="EO67:EO73"/>
    <mergeCell ref="EP67:EP73"/>
    <mergeCell ref="EQ67:EQ73"/>
    <mergeCell ref="ER67:ER73"/>
    <mergeCell ref="ES67:ES73"/>
    <mergeCell ref="ET67:ET73"/>
    <mergeCell ref="EI67:EI73"/>
    <mergeCell ref="EJ67:EJ73"/>
    <mergeCell ref="EK67:EK73"/>
    <mergeCell ref="EL67:EL73"/>
    <mergeCell ref="EM67:EM73"/>
    <mergeCell ref="EN67:EN73"/>
    <mergeCell ref="EC67:EC73"/>
    <mergeCell ref="ED67:ED73"/>
    <mergeCell ref="EE67:EE73"/>
    <mergeCell ref="EF67:EF73"/>
    <mergeCell ref="EG67:EG73"/>
    <mergeCell ref="EH67:EH73"/>
    <mergeCell ref="DW67:DW73"/>
    <mergeCell ref="DX67:DX73"/>
    <mergeCell ref="DY67:DY73"/>
    <mergeCell ref="DZ67:DZ73"/>
    <mergeCell ref="EA67:EA73"/>
    <mergeCell ref="EB67:EB73"/>
    <mergeCell ref="DQ67:DQ73"/>
    <mergeCell ref="DR67:DR73"/>
    <mergeCell ref="DS67:DS73"/>
    <mergeCell ref="DT67:DT73"/>
    <mergeCell ref="DU67:DU73"/>
    <mergeCell ref="DV67:DV73"/>
    <mergeCell ref="DK67:DK73"/>
    <mergeCell ref="DL67:DL73"/>
    <mergeCell ref="DM67:DM73"/>
    <mergeCell ref="DN67:DN73"/>
    <mergeCell ref="DO67:DO73"/>
    <mergeCell ref="DP67:DP73"/>
    <mergeCell ref="FY67:FY73"/>
    <mergeCell ref="FZ67:FZ73"/>
    <mergeCell ref="GA67:GA73"/>
    <mergeCell ref="GB67:GB73"/>
    <mergeCell ref="GC67:GC73"/>
    <mergeCell ref="GD67:GD73"/>
    <mergeCell ref="FS67:FS73"/>
    <mergeCell ref="FT67:FT73"/>
    <mergeCell ref="FU67:FU73"/>
    <mergeCell ref="FV67:FV73"/>
    <mergeCell ref="FW67:FW73"/>
    <mergeCell ref="FX67:FX73"/>
    <mergeCell ref="FM67:FM73"/>
    <mergeCell ref="FN67:FN73"/>
    <mergeCell ref="FO67:FO73"/>
    <mergeCell ref="FP67:FP73"/>
    <mergeCell ref="FQ67:FQ73"/>
    <mergeCell ref="FR67:FR73"/>
    <mergeCell ref="FG67:FG73"/>
    <mergeCell ref="FH67:FH73"/>
    <mergeCell ref="FI67:FI73"/>
    <mergeCell ref="FJ67:FJ73"/>
    <mergeCell ref="FK67:FK73"/>
    <mergeCell ref="FL67:FL73"/>
    <mergeCell ref="FA67:FA73"/>
    <mergeCell ref="FB67:FB73"/>
    <mergeCell ref="FC67:FC73"/>
    <mergeCell ref="FD67:FD73"/>
    <mergeCell ref="FE67:FE73"/>
    <mergeCell ref="FF67:FF73"/>
    <mergeCell ref="EU67:EU73"/>
    <mergeCell ref="EV67:EV73"/>
    <mergeCell ref="EW67:EW73"/>
    <mergeCell ref="EX67:EX73"/>
    <mergeCell ref="EY67:EY73"/>
    <mergeCell ref="EZ67:EZ73"/>
    <mergeCell ref="HI67:HI73"/>
    <mergeCell ref="HJ67:HJ73"/>
    <mergeCell ref="HK67:HK73"/>
    <mergeCell ref="HL67:HL73"/>
    <mergeCell ref="HM67:HM73"/>
    <mergeCell ref="HN67:HN73"/>
    <mergeCell ref="HC67:HC73"/>
    <mergeCell ref="HD67:HD73"/>
    <mergeCell ref="HE67:HE73"/>
    <mergeCell ref="HF67:HF73"/>
    <mergeCell ref="HG67:HG73"/>
    <mergeCell ref="HH67:HH73"/>
    <mergeCell ref="GW67:GW73"/>
    <mergeCell ref="GX67:GX73"/>
    <mergeCell ref="GY67:GY73"/>
    <mergeCell ref="GZ67:GZ73"/>
    <mergeCell ref="HA67:HA73"/>
    <mergeCell ref="HB67:HB73"/>
    <mergeCell ref="GQ67:GQ73"/>
    <mergeCell ref="GR67:GR73"/>
    <mergeCell ref="GS67:GS73"/>
    <mergeCell ref="GT67:GT73"/>
    <mergeCell ref="GU67:GU73"/>
    <mergeCell ref="GV67:GV73"/>
    <mergeCell ref="GK67:GK73"/>
    <mergeCell ref="GL67:GL73"/>
    <mergeCell ref="GM67:GM73"/>
    <mergeCell ref="GN67:GN73"/>
    <mergeCell ref="GO67:GO73"/>
    <mergeCell ref="GP67:GP73"/>
    <mergeCell ref="GE67:GE73"/>
    <mergeCell ref="GF67:GF73"/>
    <mergeCell ref="GG67:GG73"/>
    <mergeCell ref="GH67:GH73"/>
    <mergeCell ref="GI67:GI73"/>
    <mergeCell ref="GJ67:GJ73"/>
    <mergeCell ref="IS67:IS73"/>
    <mergeCell ref="IT67:IT73"/>
    <mergeCell ref="IU67:IU73"/>
    <mergeCell ref="IV67:IV73"/>
    <mergeCell ref="IW67:IW73"/>
    <mergeCell ref="IX67:IX73"/>
    <mergeCell ref="IM67:IM73"/>
    <mergeCell ref="IN67:IN73"/>
    <mergeCell ref="IO67:IO73"/>
    <mergeCell ref="IP67:IP73"/>
    <mergeCell ref="IQ67:IQ73"/>
    <mergeCell ref="IR67:IR73"/>
    <mergeCell ref="IG67:IG73"/>
    <mergeCell ref="IH67:IH73"/>
    <mergeCell ref="II67:II73"/>
    <mergeCell ref="IJ67:IJ73"/>
    <mergeCell ref="IK67:IK73"/>
    <mergeCell ref="IL67:IL73"/>
    <mergeCell ref="IA67:IA73"/>
    <mergeCell ref="IB67:IB73"/>
    <mergeCell ref="IC67:IC73"/>
    <mergeCell ref="ID67:ID73"/>
    <mergeCell ref="IE67:IE73"/>
    <mergeCell ref="IF67:IF73"/>
    <mergeCell ref="HU67:HU73"/>
    <mergeCell ref="HV67:HV73"/>
    <mergeCell ref="HW67:HW73"/>
    <mergeCell ref="HX67:HX73"/>
    <mergeCell ref="HY67:HY73"/>
    <mergeCell ref="HZ67:HZ73"/>
    <mergeCell ref="HO67:HO73"/>
    <mergeCell ref="HP67:HP73"/>
    <mergeCell ref="HQ67:HQ73"/>
    <mergeCell ref="HR67:HR73"/>
    <mergeCell ref="HS67:HS73"/>
    <mergeCell ref="HT67:HT73"/>
    <mergeCell ref="KC67:KC73"/>
    <mergeCell ref="KD67:KD73"/>
    <mergeCell ref="KE67:KE73"/>
    <mergeCell ref="KF67:KF73"/>
    <mergeCell ref="KG67:KG73"/>
    <mergeCell ref="KH67:KH73"/>
    <mergeCell ref="JW67:JW73"/>
    <mergeCell ref="JX67:JX73"/>
    <mergeCell ref="JY67:JY73"/>
    <mergeCell ref="JZ67:JZ73"/>
    <mergeCell ref="KA67:KA73"/>
    <mergeCell ref="KB67:KB73"/>
    <mergeCell ref="JQ67:JQ73"/>
    <mergeCell ref="JR67:JR73"/>
    <mergeCell ref="JS67:JS73"/>
    <mergeCell ref="JT67:JT73"/>
    <mergeCell ref="JU67:JU73"/>
    <mergeCell ref="JV67:JV73"/>
    <mergeCell ref="JK67:JK73"/>
    <mergeCell ref="JL67:JL73"/>
    <mergeCell ref="JM67:JM73"/>
    <mergeCell ref="JN67:JN73"/>
    <mergeCell ref="JO67:JO73"/>
    <mergeCell ref="JP67:JP73"/>
    <mergeCell ref="JE67:JE73"/>
    <mergeCell ref="JF67:JF73"/>
    <mergeCell ref="JG67:JG73"/>
    <mergeCell ref="JH67:JH73"/>
    <mergeCell ref="JI67:JI73"/>
    <mergeCell ref="JJ67:JJ73"/>
    <mergeCell ref="IY67:IY73"/>
    <mergeCell ref="IZ67:IZ73"/>
    <mergeCell ref="JA67:JA73"/>
    <mergeCell ref="JB67:JB73"/>
    <mergeCell ref="JC67:JC73"/>
    <mergeCell ref="JD67:JD73"/>
    <mergeCell ref="LM67:LM73"/>
    <mergeCell ref="LN67:LN73"/>
    <mergeCell ref="LO67:LO73"/>
    <mergeCell ref="LP67:LP73"/>
    <mergeCell ref="LQ67:LQ73"/>
    <mergeCell ref="LR67:LR73"/>
    <mergeCell ref="LG67:LG73"/>
    <mergeCell ref="LH67:LH73"/>
    <mergeCell ref="LI67:LI73"/>
    <mergeCell ref="LJ67:LJ73"/>
    <mergeCell ref="LK67:LK73"/>
    <mergeCell ref="LL67:LL73"/>
    <mergeCell ref="LA67:LA73"/>
    <mergeCell ref="LB67:LB73"/>
    <mergeCell ref="LC67:LC73"/>
    <mergeCell ref="LD67:LD73"/>
    <mergeCell ref="LE67:LE73"/>
    <mergeCell ref="LF67:LF73"/>
    <mergeCell ref="KU67:KU73"/>
    <mergeCell ref="KV67:KV73"/>
    <mergeCell ref="KW67:KW73"/>
    <mergeCell ref="KX67:KX73"/>
    <mergeCell ref="KY67:KY73"/>
    <mergeCell ref="KZ67:KZ73"/>
    <mergeCell ref="KO67:KO73"/>
    <mergeCell ref="KP67:KP73"/>
    <mergeCell ref="KQ67:KQ73"/>
    <mergeCell ref="KR67:KR73"/>
    <mergeCell ref="KS67:KS73"/>
    <mergeCell ref="KT67:KT73"/>
    <mergeCell ref="KI67:KI73"/>
    <mergeCell ref="KJ67:KJ73"/>
    <mergeCell ref="KK67:KK73"/>
    <mergeCell ref="KL67:KL73"/>
    <mergeCell ref="KM67:KM73"/>
    <mergeCell ref="KN67:KN73"/>
    <mergeCell ref="MW67:MW73"/>
    <mergeCell ref="MX67:MX73"/>
    <mergeCell ref="MY67:MY73"/>
    <mergeCell ref="MZ67:MZ73"/>
    <mergeCell ref="NA67:NA73"/>
    <mergeCell ref="NB67:NB73"/>
    <mergeCell ref="MQ67:MQ73"/>
    <mergeCell ref="MR67:MR73"/>
    <mergeCell ref="MS67:MS73"/>
    <mergeCell ref="MT67:MT73"/>
    <mergeCell ref="MU67:MU73"/>
    <mergeCell ref="MV67:MV73"/>
    <mergeCell ref="MK67:MK73"/>
    <mergeCell ref="ML67:ML73"/>
    <mergeCell ref="MM67:MM73"/>
    <mergeCell ref="MN67:MN73"/>
    <mergeCell ref="MO67:MO73"/>
    <mergeCell ref="MP67:MP73"/>
    <mergeCell ref="ME67:ME73"/>
    <mergeCell ref="MF67:MF73"/>
    <mergeCell ref="MG67:MG73"/>
    <mergeCell ref="MH67:MH73"/>
    <mergeCell ref="MI67:MI73"/>
    <mergeCell ref="MJ67:MJ73"/>
    <mergeCell ref="LY67:LY73"/>
    <mergeCell ref="LZ67:LZ73"/>
    <mergeCell ref="MA67:MA73"/>
    <mergeCell ref="MB67:MB73"/>
    <mergeCell ref="MC67:MC73"/>
    <mergeCell ref="MD67:MD73"/>
    <mergeCell ref="LS67:LS73"/>
    <mergeCell ref="LT67:LT73"/>
    <mergeCell ref="LU67:LU73"/>
    <mergeCell ref="LV67:LV73"/>
    <mergeCell ref="LW67:LW73"/>
    <mergeCell ref="LX67:LX73"/>
    <mergeCell ref="OG67:OG73"/>
    <mergeCell ref="OH67:OH73"/>
    <mergeCell ref="OI67:OI73"/>
    <mergeCell ref="OJ67:OJ73"/>
    <mergeCell ref="OK67:OK73"/>
    <mergeCell ref="OL67:OL73"/>
    <mergeCell ref="OA67:OA73"/>
    <mergeCell ref="OB67:OB73"/>
    <mergeCell ref="OC67:OC73"/>
    <mergeCell ref="OD67:OD73"/>
    <mergeCell ref="OE67:OE73"/>
    <mergeCell ref="OF67:OF73"/>
    <mergeCell ref="NU67:NU73"/>
    <mergeCell ref="NV67:NV73"/>
    <mergeCell ref="NW67:NW73"/>
    <mergeCell ref="NX67:NX73"/>
    <mergeCell ref="NY67:NY73"/>
    <mergeCell ref="NZ67:NZ73"/>
    <mergeCell ref="NO67:NO73"/>
    <mergeCell ref="NP67:NP73"/>
    <mergeCell ref="NQ67:NQ73"/>
    <mergeCell ref="NR67:NR73"/>
    <mergeCell ref="NS67:NS73"/>
    <mergeCell ref="NT67:NT73"/>
    <mergeCell ref="NI67:NI73"/>
    <mergeCell ref="NJ67:NJ73"/>
    <mergeCell ref="NK67:NK73"/>
    <mergeCell ref="NL67:NL73"/>
    <mergeCell ref="NM67:NM73"/>
    <mergeCell ref="NN67:NN73"/>
    <mergeCell ref="NC67:NC73"/>
    <mergeCell ref="ND67:ND73"/>
    <mergeCell ref="NE67:NE73"/>
    <mergeCell ref="NF67:NF73"/>
    <mergeCell ref="NG67:NG73"/>
    <mergeCell ref="NH67:NH73"/>
    <mergeCell ref="PQ67:PQ73"/>
    <mergeCell ref="PR67:PR73"/>
    <mergeCell ref="PS67:PS73"/>
    <mergeCell ref="PT67:PT73"/>
    <mergeCell ref="PU67:PU73"/>
    <mergeCell ref="PV67:PV73"/>
    <mergeCell ref="PK67:PK73"/>
    <mergeCell ref="PL67:PL73"/>
    <mergeCell ref="PM67:PM73"/>
    <mergeCell ref="PN67:PN73"/>
    <mergeCell ref="PO67:PO73"/>
    <mergeCell ref="PP67:PP73"/>
    <mergeCell ref="PE67:PE73"/>
    <mergeCell ref="PF67:PF73"/>
    <mergeCell ref="PG67:PG73"/>
    <mergeCell ref="PH67:PH73"/>
    <mergeCell ref="PI67:PI73"/>
    <mergeCell ref="PJ67:PJ73"/>
    <mergeCell ref="OY67:OY73"/>
    <mergeCell ref="OZ67:OZ73"/>
    <mergeCell ref="PA67:PA73"/>
    <mergeCell ref="PB67:PB73"/>
    <mergeCell ref="PC67:PC73"/>
    <mergeCell ref="PD67:PD73"/>
    <mergeCell ref="OS67:OS73"/>
    <mergeCell ref="OT67:OT73"/>
    <mergeCell ref="OU67:OU73"/>
    <mergeCell ref="OV67:OV73"/>
    <mergeCell ref="OW67:OW73"/>
    <mergeCell ref="OX67:OX73"/>
    <mergeCell ref="OM67:OM73"/>
    <mergeCell ref="ON67:ON73"/>
    <mergeCell ref="OO67:OO73"/>
    <mergeCell ref="OP67:OP73"/>
    <mergeCell ref="OQ67:OQ73"/>
    <mergeCell ref="OR67:OR73"/>
    <mergeCell ref="RA67:RA73"/>
    <mergeCell ref="RB67:RB73"/>
    <mergeCell ref="RC67:RC73"/>
    <mergeCell ref="RD67:RD73"/>
    <mergeCell ref="RE67:RE73"/>
    <mergeCell ref="RF67:RF73"/>
    <mergeCell ref="QU67:QU73"/>
    <mergeCell ref="QV67:QV73"/>
    <mergeCell ref="QW67:QW73"/>
    <mergeCell ref="QX67:QX73"/>
    <mergeCell ref="QY67:QY73"/>
    <mergeCell ref="QZ67:QZ73"/>
    <mergeCell ref="QO67:QO73"/>
    <mergeCell ref="QP67:QP73"/>
    <mergeCell ref="QQ67:QQ73"/>
    <mergeCell ref="QR67:QR73"/>
    <mergeCell ref="QS67:QS73"/>
    <mergeCell ref="QT67:QT73"/>
    <mergeCell ref="QI67:QI73"/>
    <mergeCell ref="QJ67:QJ73"/>
    <mergeCell ref="QK67:QK73"/>
    <mergeCell ref="QL67:QL73"/>
    <mergeCell ref="QM67:QM73"/>
    <mergeCell ref="QN67:QN73"/>
    <mergeCell ref="QC67:QC73"/>
    <mergeCell ref="QD67:QD73"/>
    <mergeCell ref="QE67:QE73"/>
    <mergeCell ref="QF67:QF73"/>
    <mergeCell ref="QG67:QG73"/>
    <mergeCell ref="QH67:QH73"/>
    <mergeCell ref="PW67:PW73"/>
    <mergeCell ref="PX67:PX73"/>
    <mergeCell ref="PY67:PY73"/>
    <mergeCell ref="PZ67:PZ73"/>
    <mergeCell ref="QA67:QA73"/>
    <mergeCell ref="QB67:QB73"/>
    <mergeCell ref="SK67:SK73"/>
    <mergeCell ref="SL67:SL73"/>
    <mergeCell ref="SM67:SM73"/>
    <mergeCell ref="SN67:SN73"/>
    <mergeCell ref="SO67:SO73"/>
    <mergeCell ref="SP67:SP73"/>
    <mergeCell ref="SE67:SE73"/>
    <mergeCell ref="SF67:SF73"/>
    <mergeCell ref="SG67:SG73"/>
    <mergeCell ref="SH67:SH73"/>
    <mergeCell ref="SI67:SI73"/>
    <mergeCell ref="SJ67:SJ73"/>
    <mergeCell ref="RY67:RY73"/>
    <mergeCell ref="RZ67:RZ73"/>
    <mergeCell ref="SA67:SA73"/>
    <mergeCell ref="SB67:SB73"/>
    <mergeCell ref="SC67:SC73"/>
    <mergeCell ref="SD67:SD73"/>
    <mergeCell ref="RS67:RS73"/>
    <mergeCell ref="RT67:RT73"/>
    <mergeCell ref="RU67:RU73"/>
    <mergeCell ref="RV67:RV73"/>
    <mergeCell ref="RW67:RW73"/>
    <mergeCell ref="RX67:RX73"/>
    <mergeCell ref="RM67:RM73"/>
    <mergeCell ref="RN67:RN73"/>
    <mergeCell ref="RO67:RO73"/>
    <mergeCell ref="RP67:RP73"/>
    <mergeCell ref="RQ67:RQ73"/>
    <mergeCell ref="RR67:RR73"/>
    <mergeCell ref="RG67:RG73"/>
    <mergeCell ref="RH67:RH73"/>
    <mergeCell ref="RI67:RI73"/>
    <mergeCell ref="RJ67:RJ73"/>
    <mergeCell ref="RK67:RK73"/>
    <mergeCell ref="RL67:RL73"/>
    <mergeCell ref="TU67:TU73"/>
    <mergeCell ref="TV67:TV73"/>
    <mergeCell ref="TW67:TW73"/>
    <mergeCell ref="TX67:TX73"/>
    <mergeCell ref="TY67:TY73"/>
    <mergeCell ref="TZ67:TZ73"/>
    <mergeCell ref="TO67:TO73"/>
    <mergeCell ref="TP67:TP73"/>
    <mergeCell ref="TQ67:TQ73"/>
    <mergeCell ref="TR67:TR73"/>
    <mergeCell ref="TS67:TS73"/>
    <mergeCell ref="TT67:TT73"/>
    <mergeCell ref="TI67:TI73"/>
    <mergeCell ref="TJ67:TJ73"/>
    <mergeCell ref="TK67:TK73"/>
    <mergeCell ref="TL67:TL73"/>
    <mergeCell ref="TM67:TM73"/>
    <mergeCell ref="TN67:TN73"/>
    <mergeCell ref="TC67:TC73"/>
    <mergeCell ref="TD67:TD73"/>
    <mergeCell ref="TE67:TE73"/>
    <mergeCell ref="TF67:TF73"/>
    <mergeCell ref="TG67:TG73"/>
    <mergeCell ref="TH67:TH73"/>
    <mergeCell ref="SW67:SW73"/>
    <mergeCell ref="SX67:SX73"/>
    <mergeCell ref="SY67:SY73"/>
    <mergeCell ref="SZ67:SZ73"/>
    <mergeCell ref="TA67:TA73"/>
    <mergeCell ref="TB67:TB73"/>
    <mergeCell ref="SQ67:SQ73"/>
    <mergeCell ref="SR67:SR73"/>
    <mergeCell ref="SS67:SS73"/>
    <mergeCell ref="ST67:ST73"/>
    <mergeCell ref="SU67:SU73"/>
    <mergeCell ref="SV67:SV73"/>
    <mergeCell ref="VE67:VE73"/>
    <mergeCell ref="VF67:VF73"/>
    <mergeCell ref="VG67:VG73"/>
    <mergeCell ref="VH67:VH73"/>
    <mergeCell ref="VI67:VI73"/>
    <mergeCell ref="VJ67:VJ73"/>
    <mergeCell ref="UY67:UY73"/>
    <mergeCell ref="UZ67:UZ73"/>
    <mergeCell ref="VA67:VA73"/>
    <mergeCell ref="VB67:VB73"/>
    <mergeCell ref="VC67:VC73"/>
    <mergeCell ref="VD67:VD73"/>
    <mergeCell ref="US67:US73"/>
    <mergeCell ref="UT67:UT73"/>
    <mergeCell ref="UU67:UU73"/>
    <mergeCell ref="UV67:UV73"/>
    <mergeCell ref="UW67:UW73"/>
    <mergeCell ref="UX67:UX73"/>
    <mergeCell ref="UM67:UM73"/>
    <mergeCell ref="UN67:UN73"/>
    <mergeCell ref="UO67:UO73"/>
    <mergeCell ref="UP67:UP73"/>
    <mergeCell ref="UQ67:UQ73"/>
    <mergeCell ref="UR67:UR73"/>
    <mergeCell ref="UG67:UG73"/>
    <mergeCell ref="UH67:UH73"/>
    <mergeCell ref="UI67:UI73"/>
    <mergeCell ref="UJ67:UJ73"/>
    <mergeCell ref="UK67:UK73"/>
    <mergeCell ref="UL67:UL73"/>
    <mergeCell ref="UA67:UA73"/>
    <mergeCell ref="UB67:UB73"/>
    <mergeCell ref="UC67:UC73"/>
    <mergeCell ref="UD67:UD73"/>
    <mergeCell ref="UE67:UE73"/>
    <mergeCell ref="UF67:UF73"/>
    <mergeCell ref="WO67:WO73"/>
    <mergeCell ref="WP67:WP73"/>
    <mergeCell ref="WQ67:WQ73"/>
    <mergeCell ref="WR67:WR73"/>
    <mergeCell ref="WS67:WS73"/>
    <mergeCell ref="WT67:WT73"/>
    <mergeCell ref="WI67:WI73"/>
    <mergeCell ref="WJ67:WJ73"/>
    <mergeCell ref="WK67:WK73"/>
    <mergeCell ref="WL67:WL73"/>
    <mergeCell ref="WM67:WM73"/>
    <mergeCell ref="WN67:WN73"/>
    <mergeCell ref="WC67:WC73"/>
    <mergeCell ref="WD67:WD73"/>
    <mergeCell ref="WE67:WE73"/>
    <mergeCell ref="WF67:WF73"/>
    <mergeCell ref="WG67:WG73"/>
    <mergeCell ref="WH67:WH73"/>
    <mergeCell ref="VW67:VW73"/>
    <mergeCell ref="VX67:VX73"/>
    <mergeCell ref="VY67:VY73"/>
    <mergeCell ref="VZ67:VZ73"/>
    <mergeCell ref="WA67:WA73"/>
    <mergeCell ref="WB67:WB73"/>
    <mergeCell ref="VQ67:VQ73"/>
    <mergeCell ref="VR67:VR73"/>
    <mergeCell ref="VS67:VS73"/>
    <mergeCell ref="VT67:VT73"/>
    <mergeCell ref="VU67:VU73"/>
    <mergeCell ref="VV67:VV73"/>
    <mergeCell ref="VK67:VK73"/>
    <mergeCell ref="VL67:VL73"/>
    <mergeCell ref="VM67:VM73"/>
    <mergeCell ref="VN67:VN73"/>
    <mergeCell ref="VO67:VO73"/>
    <mergeCell ref="VP67:VP73"/>
    <mergeCell ref="XY67:XY73"/>
    <mergeCell ref="XZ67:XZ73"/>
    <mergeCell ref="YA67:YA73"/>
    <mergeCell ref="YB67:YB73"/>
    <mergeCell ref="YC67:YC73"/>
    <mergeCell ref="YD67:YD73"/>
    <mergeCell ref="XS67:XS73"/>
    <mergeCell ref="XT67:XT73"/>
    <mergeCell ref="XU67:XU73"/>
    <mergeCell ref="XV67:XV73"/>
    <mergeCell ref="XW67:XW73"/>
    <mergeCell ref="XX67:XX73"/>
    <mergeCell ref="XM67:XM73"/>
    <mergeCell ref="XN67:XN73"/>
    <mergeCell ref="XO67:XO73"/>
    <mergeCell ref="XP67:XP73"/>
    <mergeCell ref="XQ67:XQ73"/>
    <mergeCell ref="XR67:XR73"/>
    <mergeCell ref="XG67:XG73"/>
    <mergeCell ref="XH67:XH73"/>
    <mergeCell ref="XI67:XI73"/>
    <mergeCell ref="XJ67:XJ73"/>
    <mergeCell ref="XK67:XK73"/>
    <mergeCell ref="XL67:XL73"/>
    <mergeCell ref="XA67:XA73"/>
    <mergeCell ref="XB67:XB73"/>
    <mergeCell ref="XC67:XC73"/>
    <mergeCell ref="XD67:XD73"/>
    <mergeCell ref="XE67:XE73"/>
    <mergeCell ref="XF67:XF73"/>
    <mergeCell ref="WU67:WU73"/>
    <mergeCell ref="WV67:WV73"/>
    <mergeCell ref="WW67:WW73"/>
    <mergeCell ref="WX67:WX73"/>
    <mergeCell ref="WY67:WY73"/>
    <mergeCell ref="WZ67:WZ73"/>
    <mergeCell ref="ZI67:ZI73"/>
    <mergeCell ref="ZJ67:ZJ73"/>
    <mergeCell ref="ZK67:ZK73"/>
    <mergeCell ref="ZL67:ZL73"/>
    <mergeCell ref="ZM67:ZM73"/>
    <mergeCell ref="ZN67:ZN73"/>
    <mergeCell ref="ZC67:ZC73"/>
    <mergeCell ref="ZD67:ZD73"/>
    <mergeCell ref="ZE67:ZE73"/>
    <mergeCell ref="ZF67:ZF73"/>
    <mergeCell ref="ZG67:ZG73"/>
    <mergeCell ref="ZH67:ZH73"/>
    <mergeCell ref="YW67:YW73"/>
    <mergeCell ref="YX67:YX73"/>
    <mergeCell ref="YY67:YY73"/>
    <mergeCell ref="YZ67:YZ73"/>
    <mergeCell ref="ZA67:ZA73"/>
    <mergeCell ref="ZB67:ZB73"/>
    <mergeCell ref="YQ67:YQ73"/>
    <mergeCell ref="YR67:YR73"/>
    <mergeCell ref="YS67:YS73"/>
    <mergeCell ref="YT67:YT73"/>
    <mergeCell ref="YU67:YU73"/>
    <mergeCell ref="YV67:YV73"/>
    <mergeCell ref="YK67:YK73"/>
    <mergeCell ref="YL67:YL73"/>
    <mergeCell ref="YM67:YM73"/>
    <mergeCell ref="YN67:YN73"/>
    <mergeCell ref="YO67:YO73"/>
    <mergeCell ref="YP67:YP73"/>
    <mergeCell ref="YE67:YE73"/>
    <mergeCell ref="YF67:YF73"/>
    <mergeCell ref="YG67:YG73"/>
    <mergeCell ref="YH67:YH73"/>
    <mergeCell ref="YI67:YI73"/>
    <mergeCell ref="YJ67:YJ73"/>
    <mergeCell ref="AAS67:AAS73"/>
    <mergeCell ref="AAT67:AAT73"/>
    <mergeCell ref="AAU67:AAU73"/>
    <mergeCell ref="AAV67:AAV73"/>
    <mergeCell ref="AAW67:AAW73"/>
    <mergeCell ref="AAX67:AAX73"/>
    <mergeCell ref="AAM67:AAM73"/>
    <mergeCell ref="AAN67:AAN73"/>
    <mergeCell ref="AAO67:AAO73"/>
    <mergeCell ref="AAP67:AAP73"/>
    <mergeCell ref="AAQ67:AAQ73"/>
    <mergeCell ref="AAR67:AAR73"/>
    <mergeCell ref="AAG67:AAG73"/>
    <mergeCell ref="AAH67:AAH73"/>
    <mergeCell ref="AAI67:AAI73"/>
    <mergeCell ref="AAJ67:AAJ73"/>
    <mergeCell ref="AAK67:AAK73"/>
    <mergeCell ref="AAL67:AAL73"/>
    <mergeCell ref="AAA67:AAA73"/>
    <mergeCell ref="AAB67:AAB73"/>
    <mergeCell ref="AAC67:AAC73"/>
    <mergeCell ref="AAD67:AAD73"/>
    <mergeCell ref="AAE67:AAE73"/>
    <mergeCell ref="AAF67:AAF73"/>
    <mergeCell ref="ZU67:ZU73"/>
    <mergeCell ref="ZV67:ZV73"/>
    <mergeCell ref="ZW67:ZW73"/>
    <mergeCell ref="ZX67:ZX73"/>
    <mergeCell ref="ZY67:ZY73"/>
    <mergeCell ref="ZZ67:ZZ73"/>
    <mergeCell ref="ZO67:ZO73"/>
    <mergeCell ref="ZP67:ZP73"/>
    <mergeCell ref="ZQ67:ZQ73"/>
    <mergeCell ref="ZR67:ZR73"/>
    <mergeCell ref="ZS67:ZS73"/>
    <mergeCell ref="ZT67:ZT73"/>
    <mergeCell ref="ACC67:ACC73"/>
    <mergeCell ref="ACD67:ACD73"/>
    <mergeCell ref="ACE67:ACE73"/>
    <mergeCell ref="ACF67:ACF73"/>
    <mergeCell ref="ACG67:ACG73"/>
    <mergeCell ref="ACH67:ACH73"/>
    <mergeCell ref="ABW67:ABW73"/>
    <mergeCell ref="ABX67:ABX73"/>
    <mergeCell ref="ABY67:ABY73"/>
    <mergeCell ref="ABZ67:ABZ73"/>
    <mergeCell ref="ACA67:ACA73"/>
    <mergeCell ref="ACB67:ACB73"/>
    <mergeCell ref="ABQ67:ABQ73"/>
    <mergeCell ref="ABR67:ABR73"/>
    <mergeCell ref="ABS67:ABS73"/>
    <mergeCell ref="ABT67:ABT73"/>
    <mergeCell ref="ABU67:ABU73"/>
    <mergeCell ref="ABV67:ABV73"/>
    <mergeCell ref="ABK67:ABK73"/>
    <mergeCell ref="ABL67:ABL73"/>
    <mergeCell ref="ABM67:ABM73"/>
    <mergeCell ref="ABN67:ABN73"/>
    <mergeCell ref="ABO67:ABO73"/>
    <mergeCell ref="ABP67:ABP73"/>
    <mergeCell ref="ABE67:ABE73"/>
    <mergeCell ref="ABF67:ABF73"/>
    <mergeCell ref="ABG67:ABG73"/>
    <mergeCell ref="ABH67:ABH73"/>
    <mergeCell ref="ABI67:ABI73"/>
    <mergeCell ref="ABJ67:ABJ73"/>
    <mergeCell ref="AAY67:AAY73"/>
    <mergeCell ref="AAZ67:AAZ73"/>
    <mergeCell ref="ABA67:ABA73"/>
    <mergeCell ref="ABB67:ABB73"/>
    <mergeCell ref="ABC67:ABC73"/>
    <mergeCell ref="ABD67:ABD73"/>
    <mergeCell ref="ADM67:ADM73"/>
    <mergeCell ref="ADN67:ADN73"/>
    <mergeCell ref="ADO67:ADO73"/>
    <mergeCell ref="ADP67:ADP73"/>
    <mergeCell ref="ADQ67:ADQ73"/>
    <mergeCell ref="ADR67:ADR73"/>
    <mergeCell ref="ADG67:ADG73"/>
    <mergeCell ref="ADH67:ADH73"/>
    <mergeCell ref="ADI67:ADI73"/>
    <mergeCell ref="ADJ67:ADJ73"/>
    <mergeCell ref="ADK67:ADK73"/>
    <mergeCell ref="ADL67:ADL73"/>
    <mergeCell ref="ADA67:ADA73"/>
    <mergeCell ref="ADB67:ADB73"/>
    <mergeCell ref="ADC67:ADC73"/>
    <mergeCell ref="ADD67:ADD73"/>
    <mergeCell ref="ADE67:ADE73"/>
    <mergeCell ref="ADF67:ADF73"/>
    <mergeCell ref="ACU67:ACU73"/>
    <mergeCell ref="ACV67:ACV73"/>
    <mergeCell ref="ACW67:ACW73"/>
    <mergeCell ref="ACX67:ACX73"/>
    <mergeCell ref="ACY67:ACY73"/>
    <mergeCell ref="ACZ67:ACZ73"/>
    <mergeCell ref="ACO67:ACO73"/>
    <mergeCell ref="ACP67:ACP73"/>
    <mergeCell ref="ACQ67:ACQ73"/>
    <mergeCell ref="ACR67:ACR73"/>
    <mergeCell ref="ACS67:ACS73"/>
    <mergeCell ref="ACT67:ACT73"/>
    <mergeCell ref="ACI67:ACI73"/>
    <mergeCell ref="ACJ67:ACJ73"/>
    <mergeCell ref="ACK67:ACK73"/>
    <mergeCell ref="ACL67:ACL73"/>
    <mergeCell ref="ACM67:ACM73"/>
    <mergeCell ref="ACN67:ACN73"/>
    <mergeCell ref="AEW67:AEW73"/>
    <mergeCell ref="AEX67:AEX73"/>
    <mergeCell ref="AEY67:AEY73"/>
    <mergeCell ref="AEZ67:AEZ73"/>
    <mergeCell ref="AFA67:AFA73"/>
    <mergeCell ref="AFB67:AFB73"/>
    <mergeCell ref="AEQ67:AEQ73"/>
    <mergeCell ref="AER67:AER73"/>
    <mergeCell ref="AES67:AES73"/>
    <mergeCell ref="AET67:AET73"/>
    <mergeCell ref="AEU67:AEU73"/>
    <mergeCell ref="AEV67:AEV73"/>
    <mergeCell ref="AEK67:AEK73"/>
    <mergeCell ref="AEL67:AEL73"/>
    <mergeCell ref="AEM67:AEM73"/>
    <mergeCell ref="AEN67:AEN73"/>
    <mergeCell ref="AEO67:AEO73"/>
    <mergeCell ref="AEP67:AEP73"/>
    <mergeCell ref="AEE67:AEE73"/>
    <mergeCell ref="AEF67:AEF73"/>
    <mergeCell ref="AEG67:AEG73"/>
    <mergeCell ref="AEH67:AEH73"/>
    <mergeCell ref="AEI67:AEI73"/>
    <mergeCell ref="AEJ67:AEJ73"/>
    <mergeCell ref="ADY67:ADY73"/>
    <mergeCell ref="ADZ67:ADZ73"/>
    <mergeCell ref="AEA67:AEA73"/>
    <mergeCell ref="AEB67:AEB73"/>
    <mergeCell ref="AEC67:AEC73"/>
    <mergeCell ref="AED67:AED73"/>
    <mergeCell ref="ADS67:ADS73"/>
    <mergeCell ref="ADT67:ADT73"/>
    <mergeCell ref="ADU67:ADU73"/>
    <mergeCell ref="ADV67:ADV73"/>
    <mergeCell ref="ADW67:ADW73"/>
    <mergeCell ref="ADX67:ADX73"/>
    <mergeCell ref="AGG67:AGG73"/>
    <mergeCell ref="AGH67:AGH73"/>
    <mergeCell ref="AGI67:AGI73"/>
    <mergeCell ref="AGJ67:AGJ73"/>
    <mergeCell ref="AGK67:AGK73"/>
    <mergeCell ref="AGL67:AGL73"/>
    <mergeCell ref="AGA67:AGA73"/>
    <mergeCell ref="AGB67:AGB73"/>
    <mergeCell ref="AGC67:AGC73"/>
    <mergeCell ref="AGD67:AGD73"/>
    <mergeCell ref="AGE67:AGE73"/>
    <mergeCell ref="AGF67:AGF73"/>
    <mergeCell ref="AFU67:AFU73"/>
    <mergeCell ref="AFV67:AFV73"/>
    <mergeCell ref="AFW67:AFW73"/>
    <mergeCell ref="AFX67:AFX73"/>
    <mergeCell ref="AFY67:AFY73"/>
    <mergeCell ref="AFZ67:AFZ73"/>
    <mergeCell ref="AFO67:AFO73"/>
    <mergeCell ref="AFP67:AFP73"/>
    <mergeCell ref="AFQ67:AFQ73"/>
    <mergeCell ref="AFR67:AFR73"/>
    <mergeCell ref="AFS67:AFS73"/>
    <mergeCell ref="AFT67:AFT73"/>
    <mergeCell ref="AFI67:AFI73"/>
    <mergeCell ref="AFJ67:AFJ73"/>
    <mergeCell ref="AFK67:AFK73"/>
    <mergeCell ref="AFL67:AFL73"/>
    <mergeCell ref="AFM67:AFM73"/>
    <mergeCell ref="AFN67:AFN73"/>
    <mergeCell ref="AFC67:AFC73"/>
    <mergeCell ref="AFD67:AFD73"/>
    <mergeCell ref="AFE67:AFE73"/>
    <mergeCell ref="AFF67:AFF73"/>
    <mergeCell ref="AFG67:AFG73"/>
    <mergeCell ref="AFH67:AFH73"/>
    <mergeCell ref="AHQ67:AHQ73"/>
    <mergeCell ref="AHR67:AHR73"/>
    <mergeCell ref="AHS67:AHS73"/>
    <mergeCell ref="AHT67:AHT73"/>
    <mergeCell ref="AHU67:AHU73"/>
    <mergeCell ref="AHV67:AHV73"/>
    <mergeCell ref="AHK67:AHK73"/>
    <mergeCell ref="AHL67:AHL73"/>
    <mergeCell ref="AHM67:AHM73"/>
    <mergeCell ref="AHN67:AHN73"/>
    <mergeCell ref="AHO67:AHO73"/>
    <mergeCell ref="AHP67:AHP73"/>
    <mergeCell ref="AHE67:AHE73"/>
    <mergeCell ref="AHF67:AHF73"/>
    <mergeCell ref="AHG67:AHG73"/>
    <mergeCell ref="AHH67:AHH73"/>
    <mergeCell ref="AHI67:AHI73"/>
    <mergeCell ref="AHJ67:AHJ73"/>
    <mergeCell ref="AGY67:AGY73"/>
    <mergeCell ref="AGZ67:AGZ73"/>
    <mergeCell ref="AHA67:AHA73"/>
    <mergeCell ref="AHB67:AHB73"/>
    <mergeCell ref="AHC67:AHC73"/>
    <mergeCell ref="AHD67:AHD73"/>
    <mergeCell ref="AGS67:AGS73"/>
    <mergeCell ref="AGT67:AGT73"/>
    <mergeCell ref="AGU67:AGU73"/>
    <mergeCell ref="AGV67:AGV73"/>
    <mergeCell ref="AGW67:AGW73"/>
    <mergeCell ref="AGX67:AGX73"/>
    <mergeCell ref="AGM67:AGM73"/>
    <mergeCell ref="AGN67:AGN73"/>
    <mergeCell ref="AGO67:AGO73"/>
    <mergeCell ref="AGP67:AGP73"/>
    <mergeCell ref="AGQ67:AGQ73"/>
    <mergeCell ref="AGR67:AGR73"/>
    <mergeCell ref="AJA67:AJA73"/>
    <mergeCell ref="AJB67:AJB73"/>
    <mergeCell ref="AJC67:AJC73"/>
    <mergeCell ref="AJD67:AJD73"/>
    <mergeCell ref="AJE67:AJE73"/>
    <mergeCell ref="AJF67:AJF73"/>
    <mergeCell ref="AIU67:AIU73"/>
    <mergeCell ref="AIV67:AIV73"/>
    <mergeCell ref="AIW67:AIW73"/>
    <mergeCell ref="AIX67:AIX73"/>
    <mergeCell ref="AIY67:AIY73"/>
    <mergeCell ref="AIZ67:AIZ73"/>
    <mergeCell ref="AIO67:AIO73"/>
    <mergeCell ref="AIP67:AIP73"/>
    <mergeCell ref="AIQ67:AIQ73"/>
    <mergeCell ref="AIR67:AIR73"/>
    <mergeCell ref="AIS67:AIS73"/>
    <mergeCell ref="AIT67:AIT73"/>
    <mergeCell ref="AII67:AII73"/>
    <mergeCell ref="AIJ67:AIJ73"/>
    <mergeCell ref="AIK67:AIK73"/>
    <mergeCell ref="AIL67:AIL73"/>
    <mergeCell ref="AIM67:AIM73"/>
    <mergeCell ref="AIN67:AIN73"/>
    <mergeCell ref="AIC67:AIC73"/>
    <mergeCell ref="AID67:AID73"/>
    <mergeCell ref="AIE67:AIE73"/>
    <mergeCell ref="AIF67:AIF73"/>
    <mergeCell ref="AIG67:AIG73"/>
    <mergeCell ref="AIH67:AIH73"/>
    <mergeCell ref="AHW67:AHW73"/>
    <mergeCell ref="AHX67:AHX73"/>
    <mergeCell ref="AHY67:AHY73"/>
    <mergeCell ref="AHZ67:AHZ73"/>
    <mergeCell ref="AIA67:AIA73"/>
    <mergeCell ref="AIB67:AIB73"/>
    <mergeCell ref="AKK67:AKK73"/>
    <mergeCell ref="AKL67:AKL73"/>
    <mergeCell ref="AKM67:AKM73"/>
    <mergeCell ref="AKN67:AKN73"/>
    <mergeCell ref="AKO67:AKO73"/>
    <mergeCell ref="AKP67:AKP73"/>
    <mergeCell ref="AKE67:AKE73"/>
    <mergeCell ref="AKF67:AKF73"/>
    <mergeCell ref="AKG67:AKG73"/>
    <mergeCell ref="AKH67:AKH73"/>
    <mergeCell ref="AKI67:AKI73"/>
    <mergeCell ref="AKJ67:AKJ73"/>
    <mergeCell ref="AJY67:AJY73"/>
    <mergeCell ref="AJZ67:AJZ73"/>
    <mergeCell ref="AKA67:AKA73"/>
    <mergeCell ref="AKB67:AKB73"/>
    <mergeCell ref="AKC67:AKC73"/>
    <mergeCell ref="AKD67:AKD73"/>
    <mergeCell ref="AJS67:AJS73"/>
    <mergeCell ref="AJT67:AJT73"/>
    <mergeCell ref="AJU67:AJU73"/>
    <mergeCell ref="AJV67:AJV73"/>
    <mergeCell ref="AJW67:AJW73"/>
    <mergeCell ref="AJX67:AJX73"/>
    <mergeCell ref="AJM67:AJM73"/>
    <mergeCell ref="AJN67:AJN73"/>
    <mergeCell ref="AJO67:AJO73"/>
    <mergeCell ref="AJP67:AJP73"/>
    <mergeCell ref="AJQ67:AJQ73"/>
    <mergeCell ref="AJR67:AJR73"/>
    <mergeCell ref="AJG67:AJG73"/>
    <mergeCell ref="AJH67:AJH73"/>
    <mergeCell ref="AJI67:AJI73"/>
    <mergeCell ref="AJJ67:AJJ73"/>
    <mergeCell ref="AJK67:AJK73"/>
    <mergeCell ref="AJL67:AJL73"/>
    <mergeCell ref="ALU67:ALU73"/>
    <mergeCell ref="ALV67:ALV73"/>
    <mergeCell ref="ALW67:ALW73"/>
    <mergeCell ref="ALX67:ALX73"/>
    <mergeCell ref="ALY67:ALY73"/>
    <mergeCell ref="ALZ67:ALZ73"/>
    <mergeCell ref="ALO67:ALO73"/>
    <mergeCell ref="ALP67:ALP73"/>
    <mergeCell ref="ALQ67:ALQ73"/>
    <mergeCell ref="ALR67:ALR73"/>
    <mergeCell ref="ALS67:ALS73"/>
    <mergeCell ref="ALT67:ALT73"/>
    <mergeCell ref="ALI67:ALI73"/>
    <mergeCell ref="ALJ67:ALJ73"/>
    <mergeCell ref="ALK67:ALK73"/>
    <mergeCell ref="ALL67:ALL73"/>
    <mergeCell ref="ALM67:ALM73"/>
    <mergeCell ref="ALN67:ALN73"/>
    <mergeCell ref="ALC67:ALC73"/>
    <mergeCell ref="ALD67:ALD73"/>
    <mergeCell ref="ALE67:ALE73"/>
    <mergeCell ref="ALF67:ALF73"/>
    <mergeCell ref="ALG67:ALG73"/>
    <mergeCell ref="ALH67:ALH73"/>
    <mergeCell ref="AKW67:AKW73"/>
    <mergeCell ref="AKX67:AKX73"/>
    <mergeCell ref="AKY67:AKY73"/>
    <mergeCell ref="AKZ67:AKZ73"/>
    <mergeCell ref="ALA67:ALA73"/>
    <mergeCell ref="ALB67:ALB73"/>
    <mergeCell ref="AKQ67:AKQ73"/>
    <mergeCell ref="AKR67:AKR73"/>
    <mergeCell ref="AKS67:AKS73"/>
    <mergeCell ref="AKT67:AKT73"/>
    <mergeCell ref="AKU67:AKU73"/>
    <mergeCell ref="AKV67:AKV73"/>
    <mergeCell ref="ANE67:ANE73"/>
    <mergeCell ref="ANF67:ANF73"/>
    <mergeCell ref="ANG67:ANG73"/>
    <mergeCell ref="ANH67:ANH73"/>
    <mergeCell ref="ANI67:ANI73"/>
    <mergeCell ref="ANJ67:ANJ73"/>
    <mergeCell ref="AMY67:AMY73"/>
    <mergeCell ref="AMZ67:AMZ73"/>
    <mergeCell ref="ANA67:ANA73"/>
    <mergeCell ref="ANB67:ANB73"/>
    <mergeCell ref="ANC67:ANC73"/>
    <mergeCell ref="AND67:AND73"/>
    <mergeCell ref="AMS67:AMS73"/>
    <mergeCell ref="AMT67:AMT73"/>
    <mergeCell ref="AMU67:AMU73"/>
    <mergeCell ref="AMV67:AMV73"/>
    <mergeCell ref="AMW67:AMW73"/>
    <mergeCell ref="AMX67:AMX73"/>
    <mergeCell ref="AMM67:AMM73"/>
    <mergeCell ref="AMN67:AMN73"/>
    <mergeCell ref="AMO67:AMO73"/>
    <mergeCell ref="AMP67:AMP73"/>
    <mergeCell ref="AMQ67:AMQ73"/>
    <mergeCell ref="AMR67:AMR73"/>
    <mergeCell ref="AMG67:AMG73"/>
    <mergeCell ref="AMH67:AMH73"/>
    <mergeCell ref="AMI67:AMI73"/>
    <mergeCell ref="AMJ67:AMJ73"/>
    <mergeCell ref="AMK67:AMK73"/>
    <mergeCell ref="AML67:AML73"/>
    <mergeCell ref="AMA67:AMA73"/>
    <mergeCell ref="AMB67:AMB73"/>
    <mergeCell ref="AMC67:AMC73"/>
    <mergeCell ref="AMD67:AMD73"/>
    <mergeCell ref="AME67:AME73"/>
    <mergeCell ref="AMF67:AMF73"/>
    <mergeCell ref="AOO67:AOO73"/>
    <mergeCell ref="AOP67:AOP73"/>
    <mergeCell ref="AOQ67:AOQ73"/>
    <mergeCell ref="AOR67:AOR73"/>
    <mergeCell ref="AOS67:AOS73"/>
    <mergeCell ref="AOT67:AOT73"/>
    <mergeCell ref="AOI67:AOI73"/>
    <mergeCell ref="AOJ67:AOJ73"/>
    <mergeCell ref="AOK67:AOK73"/>
    <mergeCell ref="AOL67:AOL73"/>
    <mergeCell ref="AOM67:AOM73"/>
    <mergeCell ref="AON67:AON73"/>
    <mergeCell ref="AOC67:AOC73"/>
    <mergeCell ref="AOD67:AOD73"/>
    <mergeCell ref="AOE67:AOE73"/>
    <mergeCell ref="AOF67:AOF73"/>
    <mergeCell ref="AOG67:AOG73"/>
    <mergeCell ref="AOH67:AOH73"/>
    <mergeCell ref="ANW67:ANW73"/>
    <mergeCell ref="ANX67:ANX73"/>
    <mergeCell ref="ANY67:ANY73"/>
    <mergeCell ref="ANZ67:ANZ73"/>
    <mergeCell ref="AOA67:AOA73"/>
    <mergeCell ref="AOB67:AOB73"/>
    <mergeCell ref="ANQ67:ANQ73"/>
    <mergeCell ref="ANR67:ANR73"/>
    <mergeCell ref="ANS67:ANS73"/>
    <mergeCell ref="ANT67:ANT73"/>
    <mergeCell ref="ANU67:ANU73"/>
    <mergeCell ref="ANV67:ANV73"/>
    <mergeCell ref="ANK67:ANK73"/>
    <mergeCell ref="ANL67:ANL73"/>
    <mergeCell ref="ANM67:ANM73"/>
    <mergeCell ref="ANN67:ANN73"/>
    <mergeCell ref="ANO67:ANO73"/>
    <mergeCell ref="ANP67:ANP73"/>
    <mergeCell ref="APY67:APY73"/>
    <mergeCell ref="APZ67:APZ73"/>
    <mergeCell ref="AQA67:AQA73"/>
    <mergeCell ref="AQB67:AQB73"/>
    <mergeCell ref="AQC67:AQC73"/>
    <mergeCell ref="AQD67:AQD73"/>
    <mergeCell ref="APS67:APS73"/>
    <mergeCell ref="APT67:APT73"/>
    <mergeCell ref="APU67:APU73"/>
    <mergeCell ref="APV67:APV73"/>
    <mergeCell ref="APW67:APW73"/>
    <mergeCell ref="APX67:APX73"/>
    <mergeCell ref="APM67:APM73"/>
    <mergeCell ref="APN67:APN73"/>
    <mergeCell ref="APO67:APO73"/>
    <mergeCell ref="APP67:APP73"/>
    <mergeCell ref="APQ67:APQ73"/>
    <mergeCell ref="APR67:APR73"/>
    <mergeCell ref="APG67:APG73"/>
    <mergeCell ref="APH67:APH73"/>
    <mergeCell ref="API67:API73"/>
    <mergeCell ref="APJ67:APJ73"/>
    <mergeCell ref="APK67:APK73"/>
    <mergeCell ref="APL67:APL73"/>
    <mergeCell ref="APA67:APA73"/>
    <mergeCell ref="APB67:APB73"/>
    <mergeCell ref="APC67:APC73"/>
    <mergeCell ref="APD67:APD73"/>
    <mergeCell ref="APE67:APE73"/>
    <mergeCell ref="APF67:APF73"/>
    <mergeCell ref="AOU67:AOU73"/>
    <mergeCell ref="AOV67:AOV73"/>
    <mergeCell ref="AOW67:AOW73"/>
    <mergeCell ref="AOX67:AOX73"/>
    <mergeCell ref="AOY67:AOY73"/>
    <mergeCell ref="AOZ67:AOZ73"/>
    <mergeCell ref="ARI67:ARI73"/>
    <mergeCell ref="ARJ67:ARJ73"/>
    <mergeCell ref="ARK67:ARK73"/>
    <mergeCell ref="ARL67:ARL73"/>
    <mergeCell ref="ARM67:ARM73"/>
    <mergeCell ref="ARN67:ARN73"/>
    <mergeCell ref="ARC67:ARC73"/>
    <mergeCell ref="ARD67:ARD73"/>
    <mergeCell ref="ARE67:ARE73"/>
    <mergeCell ref="ARF67:ARF73"/>
    <mergeCell ref="ARG67:ARG73"/>
    <mergeCell ref="ARH67:ARH73"/>
    <mergeCell ref="AQW67:AQW73"/>
    <mergeCell ref="AQX67:AQX73"/>
    <mergeCell ref="AQY67:AQY73"/>
    <mergeCell ref="AQZ67:AQZ73"/>
    <mergeCell ref="ARA67:ARA73"/>
    <mergeCell ref="ARB67:ARB73"/>
    <mergeCell ref="AQQ67:AQQ73"/>
    <mergeCell ref="AQR67:AQR73"/>
    <mergeCell ref="AQS67:AQS73"/>
    <mergeCell ref="AQT67:AQT73"/>
    <mergeCell ref="AQU67:AQU73"/>
    <mergeCell ref="AQV67:AQV73"/>
    <mergeCell ref="AQK67:AQK73"/>
    <mergeCell ref="AQL67:AQL73"/>
    <mergeCell ref="AQM67:AQM73"/>
    <mergeCell ref="AQN67:AQN73"/>
    <mergeCell ref="AQO67:AQO73"/>
    <mergeCell ref="AQP67:AQP73"/>
    <mergeCell ref="AQE67:AQE73"/>
    <mergeCell ref="AQF67:AQF73"/>
    <mergeCell ref="AQG67:AQG73"/>
    <mergeCell ref="AQH67:AQH73"/>
    <mergeCell ref="AQI67:AQI73"/>
    <mergeCell ref="AQJ67:AQJ73"/>
    <mergeCell ref="ASS67:ASS73"/>
    <mergeCell ref="AST67:AST73"/>
    <mergeCell ref="ASU67:ASU73"/>
    <mergeCell ref="ASV67:ASV73"/>
    <mergeCell ref="ASW67:ASW73"/>
    <mergeCell ref="ASX67:ASX73"/>
    <mergeCell ref="ASM67:ASM73"/>
    <mergeCell ref="ASN67:ASN73"/>
    <mergeCell ref="ASO67:ASO73"/>
    <mergeCell ref="ASP67:ASP73"/>
    <mergeCell ref="ASQ67:ASQ73"/>
    <mergeCell ref="ASR67:ASR73"/>
    <mergeCell ref="ASG67:ASG73"/>
    <mergeCell ref="ASH67:ASH73"/>
    <mergeCell ref="ASI67:ASI73"/>
    <mergeCell ref="ASJ67:ASJ73"/>
    <mergeCell ref="ASK67:ASK73"/>
    <mergeCell ref="ASL67:ASL73"/>
    <mergeCell ref="ASA67:ASA73"/>
    <mergeCell ref="ASB67:ASB73"/>
    <mergeCell ref="ASC67:ASC73"/>
    <mergeCell ref="ASD67:ASD73"/>
    <mergeCell ref="ASE67:ASE73"/>
    <mergeCell ref="ASF67:ASF73"/>
    <mergeCell ref="ARU67:ARU73"/>
    <mergeCell ref="ARV67:ARV73"/>
    <mergeCell ref="ARW67:ARW73"/>
    <mergeCell ref="ARX67:ARX73"/>
    <mergeCell ref="ARY67:ARY73"/>
    <mergeCell ref="ARZ67:ARZ73"/>
    <mergeCell ref="ARO67:ARO73"/>
    <mergeCell ref="ARP67:ARP73"/>
    <mergeCell ref="ARQ67:ARQ73"/>
    <mergeCell ref="ARR67:ARR73"/>
    <mergeCell ref="ARS67:ARS73"/>
    <mergeCell ref="ART67:ART73"/>
    <mergeCell ref="AUC67:AUC73"/>
    <mergeCell ref="AUD67:AUD73"/>
    <mergeCell ref="AUE67:AUE73"/>
    <mergeCell ref="AUF67:AUF73"/>
    <mergeCell ref="AUG67:AUG73"/>
    <mergeCell ref="AUH67:AUH73"/>
    <mergeCell ref="ATW67:ATW73"/>
    <mergeCell ref="ATX67:ATX73"/>
    <mergeCell ref="ATY67:ATY73"/>
    <mergeCell ref="ATZ67:ATZ73"/>
    <mergeCell ref="AUA67:AUA73"/>
    <mergeCell ref="AUB67:AUB73"/>
    <mergeCell ref="ATQ67:ATQ73"/>
    <mergeCell ref="ATR67:ATR73"/>
    <mergeCell ref="ATS67:ATS73"/>
    <mergeCell ref="ATT67:ATT73"/>
    <mergeCell ref="ATU67:ATU73"/>
    <mergeCell ref="ATV67:ATV73"/>
    <mergeCell ref="ATK67:ATK73"/>
    <mergeCell ref="ATL67:ATL73"/>
    <mergeCell ref="ATM67:ATM73"/>
    <mergeCell ref="ATN67:ATN73"/>
    <mergeCell ref="ATO67:ATO73"/>
    <mergeCell ref="ATP67:ATP73"/>
    <mergeCell ref="ATE67:ATE73"/>
    <mergeCell ref="ATF67:ATF73"/>
    <mergeCell ref="ATG67:ATG73"/>
    <mergeCell ref="ATH67:ATH73"/>
    <mergeCell ref="ATI67:ATI73"/>
    <mergeCell ref="ATJ67:ATJ73"/>
    <mergeCell ref="ASY67:ASY73"/>
    <mergeCell ref="ASZ67:ASZ73"/>
    <mergeCell ref="ATA67:ATA73"/>
    <mergeCell ref="ATB67:ATB73"/>
    <mergeCell ref="ATC67:ATC73"/>
    <mergeCell ref="ATD67:ATD73"/>
    <mergeCell ref="AVM67:AVM73"/>
    <mergeCell ref="AVN67:AVN73"/>
    <mergeCell ref="AVO67:AVO73"/>
    <mergeCell ref="AVP67:AVP73"/>
    <mergeCell ref="AVQ67:AVQ73"/>
    <mergeCell ref="AVR67:AVR73"/>
    <mergeCell ref="AVG67:AVG73"/>
    <mergeCell ref="AVH67:AVH73"/>
    <mergeCell ref="AVI67:AVI73"/>
    <mergeCell ref="AVJ67:AVJ73"/>
    <mergeCell ref="AVK67:AVK73"/>
    <mergeCell ref="AVL67:AVL73"/>
    <mergeCell ref="AVA67:AVA73"/>
    <mergeCell ref="AVB67:AVB73"/>
    <mergeCell ref="AVC67:AVC73"/>
    <mergeCell ref="AVD67:AVD73"/>
    <mergeCell ref="AVE67:AVE73"/>
    <mergeCell ref="AVF67:AVF73"/>
    <mergeCell ref="AUU67:AUU73"/>
    <mergeCell ref="AUV67:AUV73"/>
    <mergeCell ref="AUW67:AUW73"/>
    <mergeCell ref="AUX67:AUX73"/>
    <mergeCell ref="AUY67:AUY73"/>
    <mergeCell ref="AUZ67:AUZ73"/>
    <mergeCell ref="AUO67:AUO73"/>
    <mergeCell ref="AUP67:AUP73"/>
    <mergeCell ref="AUQ67:AUQ73"/>
    <mergeCell ref="AUR67:AUR73"/>
    <mergeCell ref="AUS67:AUS73"/>
    <mergeCell ref="AUT67:AUT73"/>
    <mergeCell ref="AUI67:AUI73"/>
    <mergeCell ref="AUJ67:AUJ73"/>
    <mergeCell ref="AUK67:AUK73"/>
    <mergeCell ref="AUL67:AUL73"/>
    <mergeCell ref="AUM67:AUM73"/>
    <mergeCell ref="AUN67:AUN73"/>
    <mergeCell ref="AWW67:AWW73"/>
    <mergeCell ref="AWX67:AWX73"/>
    <mergeCell ref="AWY67:AWY73"/>
    <mergeCell ref="AWZ67:AWZ73"/>
    <mergeCell ref="AXA67:AXA73"/>
    <mergeCell ref="AXB67:AXB73"/>
    <mergeCell ref="AWQ67:AWQ73"/>
    <mergeCell ref="AWR67:AWR73"/>
    <mergeCell ref="AWS67:AWS73"/>
    <mergeCell ref="AWT67:AWT73"/>
    <mergeCell ref="AWU67:AWU73"/>
    <mergeCell ref="AWV67:AWV73"/>
    <mergeCell ref="AWK67:AWK73"/>
    <mergeCell ref="AWL67:AWL73"/>
    <mergeCell ref="AWM67:AWM73"/>
    <mergeCell ref="AWN67:AWN73"/>
    <mergeCell ref="AWO67:AWO73"/>
    <mergeCell ref="AWP67:AWP73"/>
    <mergeCell ref="AWE67:AWE73"/>
    <mergeCell ref="AWF67:AWF73"/>
    <mergeCell ref="AWG67:AWG73"/>
    <mergeCell ref="AWH67:AWH73"/>
    <mergeCell ref="AWI67:AWI73"/>
    <mergeCell ref="AWJ67:AWJ73"/>
    <mergeCell ref="AVY67:AVY73"/>
    <mergeCell ref="AVZ67:AVZ73"/>
    <mergeCell ref="AWA67:AWA73"/>
    <mergeCell ref="AWB67:AWB73"/>
    <mergeCell ref="AWC67:AWC73"/>
    <mergeCell ref="AWD67:AWD73"/>
    <mergeCell ref="AVS67:AVS73"/>
    <mergeCell ref="AVT67:AVT73"/>
    <mergeCell ref="AVU67:AVU73"/>
    <mergeCell ref="AVV67:AVV73"/>
    <mergeCell ref="AVW67:AVW73"/>
    <mergeCell ref="AVX67:AVX73"/>
    <mergeCell ref="AYG67:AYG73"/>
    <mergeCell ref="AYH67:AYH73"/>
    <mergeCell ref="AYI67:AYI73"/>
    <mergeCell ref="AYJ67:AYJ73"/>
    <mergeCell ref="AYK67:AYK73"/>
    <mergeCell ref="AYL67:AYL73"/>
    <mergeCell ref="AYA67:AYA73"/>
    <mergeCell ref="AYB67:AYB73"/>
    <mergeCell ref="AYC67:AYC73"/>
    <mergeCell ref="AYD67:AYD73"/>
    <mergeCell ref="AYE67:AYE73"/>
    <mergeCell ref="AYF67:AYF73"/>
    <mergeCell ref="AXU67:AXU73"/>
    <mergeCell ref="AXV67:AXV73"/>
    <mergeCell ref="AXW67:AXW73"/>
    <mergeCell ref="AXX67:AXX73"/>
    <mergeCell ref="AXY67:AXY73"/>
    <mergeCell ref="AXZ67:AXZ73"/>
    <mergeCell ref="AXO67:AXO73"/>
    <mergeCell ref="AXP67:AXP73"/>
    <mergeCell ref="AXQ67:AXQ73"/>
    <mergeCell ref="AXR67:AXR73"/>
    <mergeCell ref="AXS67:AXS73"/>
    <mergeCell ref="AXT67:AXT73"/>
    <mergeCell ref="AXI67:AXI73"/>
    <mergeCell ref="AXJ67:AXJ73"/>
    <mergeCell ref="AXK67:AXK73"/>
    <mergeCell ref="AXL67:AXL73"/>
    <mergeCell ref="AXM67:AXM73"/>
    <mergeCell ref="AXN67:AXN73"/>
    <mergeCell ref="AXC67:AXC73"/>
    <mergeCell ref="AXD67:AXD73"/>
    <mergeCell ref="AXE67:AXE73"/>
    <mergeCell ref="AXF67:AXF73"/>
    <mergeCell ref="AXG67:AXG73"/>
    <mergeCell ref="AXH67:AXH73"/>
    <mergeCell ref="AZQ67:AZQ73"/>
    <mergeCell ref="AZR67:AZR73"/>
    <mergeCell ref="AZS67:AZS73"/>
    <mergeCell ref="AZT67:AZT73"/>
    <mergeCell ref="AZU67:AZU73"/>
    <mergeCell ref="AZV67:AZV73"/>
    <mergeCell ref="AZK67:AZK73"/>
    <mergeCell ref="AZL67:AZL73"/>
    <mergeCell ref="AZM67:AZM73"/>
    <mergeCell ref="AZN67:AZN73"/>
    <mergeCell ref="AZO67:AZO73"/>
    <mergeCell ref="AZP67:AZP73"/>
    <mergeCell ref="AZE67:AZE73"/>
    <mergeCell ref="AZF67:AZF73"/>
    <mergeCell ref="AZG67:AZG73"/>
    <mergeCell ref="AZH67:AZH73"/>
    <mergeCell ref="AZI67:AZI73"/>
    <mergeCell ref="AZJ67:AZJ73"/>
    <mergeCell ref="AYY67:AYY73"/>
    <mergeCell ref="AYZ67:AYZ73"/>
    <mergeCell ref="AZA67:AZA73"/>
    <mergeCell ref="AZB67:AZB73"/>
    <mergeCell ref="AZC67:AZC73"/>
    <mergeCell ref="AZD67:AZD73"/>
    <mergeCell ref="AYS67:AYS73"/>
    <mergeCell ref="AYT67:AYT73"/>
    <mergeCell ref="AYU67:AYU73"/>
    <mergeCell ref="AYV67:AYV73"/>
    <mergeCell ref="AYW67:AYW73"/>
    <mergeCell ref="AYX67:AYX73"/>
    <mergeCell ref="AYM67:AYM73"/>
    <mergeCell ref="AYN67:AYN73"/>
    <mergeCell ref="AYO67:AYO73"/>
    <mergeCell ref="AYP67:AYP73"/>
    <mergeCell ref="AYQ67:AYQ73"/>
    <mergeCell ref="AYR67:AYR73"/>
    <mergeCell ref="BBA67:BBA73"/>
    <mergeCell ref="BBB67:BBB73"/>
    <mergeCell ref="BBC67:BBC73"/>
    <mergeCell ref="BBD67:BBD73"/>
    <mergeCell ref="BBE67:BBE73"/>
    <mergeCell ref="BBF67:BBF73"/>
    <mergeCell ref="BAU67:BAU73"/>
    <mergeCell ref="BAV67:BAV73"/>
    <mergeCell ref="BAW67:BAW73"/>
    <mergeCell ref="BAX67:BAX73"/>
    <mergeCell ref="BAY67:BAY73"/>
    <mergeCell ref="BAZ67:BAZ73"/>
    <mergeCell ref="BAO67:BAO73"/>
    <mergeCell ref="BAP67:BAP73"/>
    <mergeCell ref="BAQ67:BAQ73"/>
    <mergeCell ref="BAR67:BAR73"/>
    <mergeCell ref="BAS67:BAS73"/>
    <mergeCell ref="BAT67:BAT73"/>
    <mergeCell ref="BAI67:BAI73"/>
    <mergeCell ref="BAJ67:BAJ73"/>
    <mergeCell ref="BAK67:BAK73"/>
    <mergeCell ref="BAL67:BAL73"/>
    <mergeCell ref="BAM67:BAM73"/>
    <mergeCell ref="BAN67:BAN73"/>
    <mergeCell ref="BAC67:BAC73"/>
    <mergeCell ref="BAD67:BAD73"/>
    <mergeCell ref="BAE67:BAE73"/>
    <mergeCell ref="BAF67:BAF73"/>
    <mergeCell ref="BAG67:BAG73"/>
    <mergeCell ref="BAH67:BAH73"/>
    <mergeCell ref="AZW67:AZW73"/>
    <mergeCell ref="AZX67:AZX73"/>
    <mergeCell ref="AZY67:AZY73"/>
    <mergeCell ref="AZZ67:AZZ73"/>
    <mergeCell ref="BAA67:BAA73"/>
    <mergeCell ref="BAB67:BAB73"/>
    <mergeCell ref="BCK67:BCK73"/>
    <mergeCell ref="BCL67:BCL73"/>
    <mergeCell ref="BCM67:BCM73"/>
    <mergeCell ref="BCN67:BCN73"/>
    <mergeCell ref="BCO67:BCO73"/>
    <mergeCell ref="BCP67:BCP73"/>
    <mergeCell ref="BCE67:BCE73"/>
    <mergeCell ref="BCF67:BCF73"/>
    <mergeCell ref="BCG67:BCG73"/>
    <mergeCell ref="BCH67:BCH73"/>
    <mergeCell ref="BCI67:BCI73"/>
    <mergeCell ref="BCJ67:BCJ73"/>
    <mergeCell ref="BBY67:BBY73"/>
    <mergeCell ref="BBZ67:BBZ73"/>
    <mergeCell ref="BCA67:BCA73"/>
    <mergeCell ref="BCB67:BCB73"/>
    <mergeCell ref="BCC67:BCC73"/>
    <mergeCell ref="BCD67:BCD73"/>
    <mergeCell ref="BBS67:BBS73"/>
    <mergeCell ref="BBT67:BBT73"/>
    <mergeCell ref="BBU67:BBU73"/>
    <mergeCell ref="BBV67:BBV73"/>
    <mergeCell ref="BBW67:BBW73"/>
    <mergeCell ref="BBX67:BBX73"/>
    <mergeCell ref="BBM67:BBM73"/>
    <mergeCell ref="BBN67:BBN73"/>
    <mergeCell ref="BBO67:BBO73"/>
    <mergeCell ref="BBP67:BBP73"/>
    <mergeCell ref="BBQ67:BBQ73"/>
    <mergeCell ref="BBR67:BBR73"/>
    <mergeCell ref="BBG67:BBG73"/>
    <mergeCell ref="BBH67:BBH73"/>
    <mergeCell ref="BBI67:BBI73"/>
    <mergeCell ref="BBJ67:BBJ73"/>
    <mergeCell ref="BBK67:BBK73"/>
    <mergeCell ref="BBL67:BBL73"/>
    <mergeCell ref="BDU67:BDU73"/>
    <mergeCell ref="BDV67:BDV73"/>
    <mergeCell ref="BDW67:BDW73"/>
    <mergeCell ref="BDX67:BDX73"/>
    <mergeCell ref="BDY67:BDY73"/>
    <mergeCell ref="BDZ67:BDZ73"/>
    <mergeCell ref="BDO67:BDO73"/>
    <mergeCell ref="BDP67:BDP73"/>
    <mergeCell ref="BDQ67:BDQ73"/>
    <mergeCell ref="BDR67:BDR73"/>
    <mergeCell ref="BDS67:BDS73"/>
    <mergeCell ref="BDT67:BDT73"/>
    <mergeCell ref="BDI67:BDI73"/>
    <mergeCell ref="BDJ67:BDJ73"/>
    <mergeCell ref="BDK67:BDK73"/>
    <mergeCell ref="BDL67:BDL73"/>
    <mergeCell ref="BDM67:BDM73"/>
    <mergeCell ref="BDN67:BDN73"/>
    <mergeCell ref="BDC67:BDC73"/>
    <mergeCell ref="BDD67:BDD73"/>
    <mergeCell ref="BDE67:BDE73"/>
    <mergeCell ref="BDF67:BDF73"/>
    <mergeCell ref="BDG67:BDG73"/>
    <mergeCell ref="BDH67:BDH73"/>
    <mergeCell ref="BCW67:BCW73"/>
    <mergeCell ref="BCX67:BCX73"/>
    <mergeCell ref="BCY67:BCY73"/>
    <mergeCell ref="BCZ67:BCZ73"/>
    <mergeCell ref="BDA67:BDA73"/>
    <mergeCell ref="BDB67:BDB73"/>
    <mergeCell ref="BCQ67:BCQ73"/>
    <mergeCell ref="BCR67:BCR73"/>
    <mergeCell ref="BCS67:BCS73"/>
    <mergeCell ref="BCT67:BCT73"/>
    <mergeCell ref="BCU67:BCU73"/>
    <mergeCell ref="BCV67:BCV73"/>
    <mergeCell ref="BFE67:BFE73"/>
    <mergeCell ref="BFF67:BFF73"/>
    <mergeCell ref="BFG67:BFG73"/>
    <mergeCell ref="BFH67:BFH73"/>
    <mergeCell ref="BFI67:BFI73"/>
    <mergeCell ref="BFJ67:BFJ73"/>
    <mergeCell ref="BEY67:BEY73"/>
    <mergeCell ref="BEZ67:BEZ73"/>
    <mergeCell ref="BFA67:BFA73"/>
    <mergeCell ref="BFB67:BFB73"/>
    <mergeCell ref="BFC67:BFC73"/>
    <mergeCell ref="BFD67:BFD73"/>
    <mergeCell ref="BES67:BES73"/>
    <mergeCell ref="BET67:BET73"/>
    <mergeCell ref="BEU67:BEU73"/>
    <mergeCell ref="BEV67:BEV73"/>
    <mergeCell ref="BEW67:BEW73"/>
    <mergeCell ref="BEX67:BEX73"/>
    <mergeCell ref="BEM67:BEM73"/>
    <mergeCell ref="BEN67:BEN73"/>
    <mergeCell ref="BEO67:BEO73"/>
    <mergeCell ref="BEP67:BEP73"/>
    <mergeCell ref="BEQ67:BEQ73"/>
    <mergeCell ref="BER67:BER73"/>
    <mergeCell ref="BEG67:BEG73"/>
    <mergeCell ref="BEH67:BEH73"/>
    <mergeCell ref="BEI67:BEI73"/>
    <mergeCell ref="BEJ67:BEJ73"/>
    <mergeCell ref="BEK67:BEK73"/>
    <mergeCell ref="BEL67:BEL73"/>
    <mergeCell ref="BEA67:BEA73"/>
    <mergeCell ref="BEB67:BEB73"/>
    <mergeCell ref="BEC67:BEC73"/>
    <mergeCell ref="BED67:BED73"/>
    <mergeCell ref="BEE67:BEE73"/>
    <mergeCell ref="BEF67:BEF73"/>
    <mergeCell ref="BGO67:BGO73"/>
    <mergeCell ref="BGP67:BGP73"/>
    <mergeCell ref="BGQ67:BGQ73"/>
    <mergeCell ref="BGR67:BGR73"/>
    <mergeCell ref="BGS67:BGS73"/>
    <mergeCell ref="BGT67:BGT73"/>
    <mergeCell ref="BGI67:BGI73"/>
    <mergeCell ref="BGJ67:BGJ73"/>
    <mergeCell ref="BGK67:BGK73"/>
    <mergeCell ref="BGL67:BGL73"/>
    <mergeCell ref="BGM67:BGM73"/>
    <mergeCell ref="BGN67:BGN73"/>
    <mergeCell ref="BGC67:BGC73"/>
    <mergeCell ref="BGD67:BGD73"/>
    <mergeCell ref="BGE67:BGE73"/>
    <mergeCell ref="BGF67:BGF73"/>
    <mergeCell ref="BGG67:BGG73"/>
    <mergeCell ref="BGH67:BGH73"/>
    <mergeCell ref="BFW67:BFW73"/>
    <mergeCell ref="BFX67:BFX73"/>
    <mergeCell ref="BFY67:BFY73"/>
    <mergeCell ref="BFZ67:BFZ73"/>
    <mergeCell ref="BGA67:BGA73"/>
    <mergeCell ref="BGB67:BGB73"/>
    <mergeCell ref="BFQ67:BFQ73"/>
    <mergeCell ref="BFR67:BFR73"/>
    <mergeCell ref="BFS67:BFS73"/>
    <mergeCell ref="BFT67:BFT73"/>
    <mergeCell ref="BFU67:BFU73"/>
    <mergeCell ref="BFV67:BFV73"/>
    <mergeCell ref="BFK67:BFK73"/>
    <mergeCell ref="BFL67:BFL73"/>
    <mergeCell ref="BFM67:BFM73"/>
    <mergeCell ref="BFN67:BFN73"/>
    <mergeCell ref="BFO67:BFO73"/>
    <mergeCell ref="BFP67:BFP73"/>
    <mergeCell ref="BHY67:BHY73"/>
    <mergeCell ref="BHZ67:BHZ73"/>
    <mergeCell ref="BIA67:BIA73"/>
    <mergeCell ref="BIB67:BIB73"/>
    <mergeCell ref="BIC67:BIC73"/>
    <mergeCell ref="BID67:BID73"/>
    <mergeCell ref="BHS67:BHS73"/>
    <mergeCell ref="BHT67:BHT73"/>
    <mergeCell ref="BHU67:BHU73"/>
    <mergeCell ref="BHV67:BHV73"/>
    <mergeCell ref="BHW67:BHW73"/>
    <mergeCell ref="BHX67:BHX73"/>
    <mergeCell ref="BHM67:BHM73"/>
    <mergeCell ref="BHN67:BHN73"/>
    <mergeCell ref="BHO67:BHO73"/>
    <mergeCell ref="BHP67:BHP73"/>
    <mergeCell ref="BHQ67:BHQ73"/>
    <mergeCell ref="BHR67:BHR73"/>
    <mergeCell ref="BHG67:BHG73"/>
    <mergeCell ref="BHH67:BHH73"/>
    <mergeCell ref="BHI67:BHI73"/>
    <mergeCell ref="BHJ67:BHJ73"/>
    <mergeCell ref="BHK67:BHK73"/>
    <mergeCell ref="BHL67:BHL73"/>
    <mergeCell ref="BHA67:BHA73"/>
    <mergeCell ref="BHB67:BHB73"/>
    <mergeCell ref="BHC67:BHC73"/>
    <mergeCell ref="BHD67:BHD73"/>
    <mergeCell ref="BHE67:BHE73"/>
    <mergeCell ref="BHF67:BHF73"/>
    <mergeCell ref="BGU67:BGU73"/>
    <mergeCell ref="BGV67:BGV73"/>
    <mergeCell ref="BGW67:BGW73"/>
    <mergeCell ref="BGX67:BGX73"/>
    <mergeCell ref="BGY67:BGY73"/>
    <mergeCell ref="BGZ67:BGZ73"/>
    <mergeCell ref="BJI67:BJI73"/>
    <mergeCell ref="BJJ67:BJJ73"/>
    <mergeCell ref="BJK67:BJK73"/>
    <mergeCell ref="BJL67:BJL73"/>
    <mergeCell ref="BJM67:BJM73"/>
    <mergeCell ref="BJN67:BJN73"/>
    <mergeCell ref="BJC67:BJC73"/>
    <mergeCell ref="BJD67:BJD73"/>
    <mergeCell ref="BJE67:BJE73"/>
    <mergeCell ref="BJF67:BJF73"/>
    <mergeCell ref="BJG67:BJG73"/>
    <mergeCell ref="BJH67:BJH73"/>
    <mergeCell ref="BIW67:BIW73"/>
    <mergeCell ref="BIX67:BIX73"/>
    <mergeCell ref="BIY67:BIY73"/>
    <mergeCell ref="BIZ67:BIZ73"/>
    <mergeCell ref="BJA67:BJA73"/>
    <mergeCell ref="BJB67:BJB73"/>
    <mergeCell ref="BIQ67:BIQ73"/>
    <mergeCell ref="BIR67:BIR73"/>
    <mergeCell ref="BIS67:BIS73"/>
    <mergeCell ref="BIT67:BIT73"/>
    <mergeCell ref="BIU67:BIU73"/>
    <mergeCell ref="BIV67:BIV73"/>
    <mergeCell ref="BIK67:BIK73"/>
    <mergeCell ref="BIL67:BIL73"/>
    <mergeCell ref="BIM67:BIM73"/>
    <mergeCell ref="BIN67:BIN73"/>
    <mergeCell ref="BIO67:BIO73"/>
    <mergeCell ref="BIP67:BIP73"/>
    <mergeCell ref="BIE67:BIE73"/>
    <mergeCell ref="BIF67:BIF73"/>
    <mergeCell ref="BIG67:BIG73"/>
    <mergeCell ref="BIH67:BIH73"/>
    <mergeCell ref="BII67:BII73"/>
    <mergeCell ref="BIJ67:BIJ73"/>
    <mergeCell ref="BKS67:BKS73"/>
    <mergeCell ref="BKT67:BKT73"/>
    <mergeCell ref="BKU67:BKU73"/>
    <mergeCell ref="BKV67:BKV73"/>
    <mergeCell ref="BKW67:BKW73"/>
    <mergeCell ref="BKX67:BKX73"/>
    <mergeCell ref="BKM67:BKM73"/>
    <mergeCell ref="BKN67:BKN73"/>
    <mergeCell ref="BKO67:BKO73"/>
    <mergeCell ref="BKP67:BKP73"/>
    <mergeCell ref="BKQ67:BKQ73"/>
    <mergeCell ref="BKR67:BKR73"/>
    <mergeCell ref="BKG67:BKG73"/>
    <mergeCell ref="BKH67:BKH73"/>
    <mergeCell ref="BKI67:BKI73"/>
    <mergeCell ref="BKJ67:BKJ73"/>
    <mergeCell ref="BKK67:BKK73"/>
    <mergeCell ref="BKL67:BKL73"/>
    <mergeCell ref="BKA67:BKA73"/>
    <mergeCell ref="BKB67:BKB73"/>
    <mergeCell ref="BKC67:BKC73"/>
    <mergeCell ref="BKD67:BKD73"/>
    <mergeCell ref="BKE67:BKE73"/>
    <mergeCell ref="BKF67:BKF73"/>
    <mergeCell ref="BJU67:BJU73"/>
    <mergeCell ref="BJV67:BJV73"/>
    <mergeCell ref="BJW67:BJW73"/>
    <mergeCell ref="BJX67:BJX73"/>
    <mergeCell ref="BJY67:BJY73"/>
    <mergeCell ref="BJZ67:BJZ73"/>
    <mergeCell ref="BJO67:BJO73"/>
    <mergeCell ref="BJP67:BJP73"/>
    <mergeCell ref="BJQ67:BJQ73"/>
    <mergeCell ref="BJR67:BJR73"/>
    <mergeCell ref="BJS67:BJS73"/>
    <mergeCell ref="BJT67:BJT73"/>
    <mergeCell ref="BMC67:BMC73"/>
    <mergeCell ref="BMD67:BMD73"/>
    <mergeCell ref="BME67:BME73"/>
    <mergeCell ref="BMF67:BMF73"/>
    <mergeCell ref="BMG67:BMG73"/>
    <mergeCell ref="BMH67:BMH73"/>
    <mergeCell ref="BLW67:BLW73"/>
    <mergeCell ref="BLX67:BLX73"/>
    <mergeCell ref="BLY67:BLY73"/>
    <mergeCell ref="BLZ67:BLZ73"/>
    <mergeCell ref="BMA67:BMA73"/>
    <mergeCell ref="BMB67:BMB73"/>
    <mergeCell ref="BLQ67:BLQ73"/>
    <mergeCell ref="BLR67:BLR73"/>
    <mergeCell ref="BLS67:BLS73"/>
    <mergeCell ref="BLT67:BLT73"/>
    <mergeCell ref="BLU67:BLU73"/>
    <mergeCell ref="BLV67:BLV73"/>
    <mergeCell ref="BLK67:BLK73"/>
    <mergeCell ref="BLL67:BLL73"/>
    <mergeCell ref="BLM67:BLM73"/>
    <mergeCell ref="BLN67:BLN73"/>
    <mergeCell ref="BLO67:BLO73"/>
    <mergeCell ref="BLP67:BLP73"/>
    <mergeCell ref="BLE67:BLE73"/>
    <mergeCell ref="BLF67:BLF73"/>
    <mergeCell ref="BLG67:BLG73"/>
    <mergeCell ref="BLH67:BLH73"/>
    <mergeCell ref="BLI67:BLI73"/>
    <mergeCell ref="BLJ67:BLJ73"/>
    <mergeCell ref="BKY67:BKY73"/>
    <mergeCell ref="BKZ67:BKZ73"/>
    <mergeCell ref="BLA67:BLA73"/>
    <mergeCell ref="BLB67:BLB73"/>
    <mergeCell ref="BLC67:BLC73"/>
    <mergeCell ref="BLD67:BLD73"/>
    <mergeCell ref="BNM67:BNM73"/>
    <mergeCell ref="BNN67:BNN73"/>
    <mergeCell ref="BNO67:BNO73"/>
    <mergeCell ref="BNP67:BNP73"/>
    <mergeCell ref="BNQ67:BNQ73"/>
    <mergeCell ref="BNR67:BNR73"/>
    <mergeCell ref="BNG67:BNG73"/>
    <mergeCell ref="BNH67:BNH73"/>
    <mergeCell ref="BNI67:BNI73"/>
    <mergeCell ref="BNJ67:BNJ73"/>
    <mergeCell ref="BNK67:BNK73"/>
    <mergeCell ref="BNL67:BNL73"/>
    <mergeCell ref="BNA67:BNA73"/>
    <mergeCell ref="BNB67:BNB73"/>
    <mergeCell ref="BNC67:BNC73"/>
    <mergeCell ref="BND67:BND73"/>
    <mergeCell ref="BNE67:BNE73"/>
    <mergeCell ref="BNF67:BNF73"/>
    <mergeCell ref="BMU67:BMU73"/>
    <mergeCell ref="BMV67:BMV73"/>
    <mergeCell ref="BMW67:BMW73"/>
    <mergeCell ref="BMX67:BMX73"/>
    <mergeCell ref="BMY67:BMY73"/>
    <mergeCell ref="BMZ67:BMZ73"/>
    <mergeCell ref="BMO67:BMO73"/>
    <mergeCell ref="BMP67:BMP73"/>
    <mergeCell ref="BMQ67:BMQ73"/>
    <mergeCell ref="BMR67:BMR73"/>
    <mergeCell ref="BMS67:BMS73"/>
    <mergeCell ref="BMT67:BMT73"/>
    <mergeCell ref="BMI67:BMI73"/>
    <mergeCell ref="BMJ67:BMJ73"/>
    <mergeCell ref="BMK67:BMK73"/>
    <mergeCell ref="BML67:BML73"/>
    <mergeCell ref="BMM67:BMM73"/>
    <mergeCell ref="BMN67:BMN73"/>
    <mergeCell ref="BOW67:BOW73"/>
    <mergeCell ref="BOX67:BOX73"/>
    <mergeCell ref="BOY67:BOY73"/>
    <mergeCell ref="BOZ67:BOZ73"/>
    <mergeCell ref="BPA67:BPA73"/>
    <mergeCell ref="BPB67:BPB73"/>
    <mergeCell ref="BOQ67:BOQ73"/>
    <mergeCell ref="BOR67:BOR73"/>
    <mergeCell ref="BOS67:BOS73"/>
    <mergeCell ref="BOT67:BOT73"/>
    <mergeCell ref="BOU67:BOU73"/>
    <mergeCell ref="BOV67:BOV73"/>
    <mergeCell ref="BOK67:BOK73"/>
    <mergeCell ref="BOL67:BOL73"/>
    <mergeCell ref="BOM67:BOM73"/>
    <mergeCell ref="BON67:BON73"/>
    <mergeCell ref="BOO67:BOO73"/>
    <mergeCell ref="BOP67:BOP73"/>
    <mergeCell ref="BOE67:BOE73"/>
    <mergeCell ref="BOF67:BOF73"/>
    <mergeCell ref="BOG67:BOG73"/>
    <mergeCell ref="BOH67:BOH73"/>
    <mergeCell ref="BOI67:BOI73"/>
    <mergeCell ref="BOJ67:BOJ73"/>
    <mergeCell ref="BNY67:BNY73"/>
    <mergeCell ref="BNZ67:BNZ73"/>
    <mergeCell ref="BOA67:BOA73"/>
    <mergeCell ref="BOB67:BOB73"/>
    <mergeCell ref="BOC67:BOC73"/>
    <mergeCell ref="BOD67:BOD73"/>
    <mergeCell ref="BNS67:BNS73"/>
    <mergeCell ref="BNT67:BNT73"/>
    <mergeCell ref="BNU67:BNU73"/>
    <mergeCell ref="BNV67:BNV73"/>
    <mergeCell ref="BNW67:BNW73"/>
    <mergeCell ref="BNX67:BNX73"/>
    <mergeCell ref="BQG67:BQG73"/>
    <mergeCell ref="BQH67:BQH73"/>
    <mergeCell ref="BQI67:BQI73"/>
    <mergeCell ref="BQJ67:BQJ73"/>
    <mergeCell ref="BQK67:BQK73"/>
    <mergeCell ref="BQL67:BQL73"/>
    <mergeCell ref="BQA67:BQA73"/>
    <mergeCell ref="BQB67:BQB73"/>
    <mergeCell ref="BQC67:BQC73"/>
    <mergeCell ref="BQD67:BQD73"/>
    <mergeCell ref="BQE67:BQE73"/>
    <mergeCell ref="BQF67:BQF73"/>
    <mergeCell ref="BPU67:BPU73"/>
    <mergeCell ref="BPV67:BPV73"/>
    <mergeCell ref="BPW67:BPW73"/>
    <mergeCell ref="BPX67:BPX73"/>
    <mergeCell ref="BPY67:BPY73"/>
    <mergeCell ref="BPZ67:BPZ73"/>
    <mergeCell ref="BPO67:BPO73"/>
    <mergeCell ref="BPP67:BPP73"/>
    <mergeCell ref="BPQ67:BPQ73"/>
    <mergeCell ref="BPR67:BPR73"/>
    <mergeCell ref="BPS67:BPS73"/>
    <mergeCell ref="BPT67:BPT73"/>
    <mergeCell ref="BPI67:BPI73"/>
    <mergeCell ref="BPJ67:BPJ73"/>
    <mergeCell ref="BPK67:BPK73"/>
    <mergeCell ref="BPL67:BPL73"/>
    <mergeCell ref="BPM67:BPM73"/>
    <mergeCell ref="BPN67:BPN73"/>
    <mergeCell ref="BPC67:BPC73"/>
    <mergeCell ref="BPD67:BPD73"/>
    <mergeCell ref="BPE67:BPE73"/>
    <mergeCell ref="BPF67:BPF73"/>
    <mergeCell ref="BPG67:BPG73"/>
    <mergeCell ref="BPH67:BPH73"/>
    <mergeCell ref="BRQ67:BRQ73"/>
    <mergeCell ref="BRR67:BRR73"/>
    <mergeCell ref="BRS67:BRS73"/>
    <mergeCell ref="BRT67:BRT73"/>
    <mergeCell ref="BRU67:BRU73"/>
    <mergeCell ref="BRV67:BRV73"/>
    <mergeCell ref="BRK67:BRK73"/>
    <mergeCell ref="BRL67:BRL73"/>
    <mergeCell ref="BRM67:BRM73"/>
    <mergeCell ref="BRN67:BRN73"/>
    <mergeCell ref="BRO67:BRO73"/>
    <mergeCell ref="BRP67:BRP73"/>
    <mergeCell ref="BRE67:BRE73"/>
    <mergeCell ref="BRF67:BRF73"/>
    <mergeCell ref="BRG67:BRG73"/>
    <mergeCell ref="BRH67:BRH73"/>
    <mergeCell ref="BRI67:BRI73"/>
    <mergeCell ref="BRJ67:BRJ73"/>
    <mergeCell ref="BQY67:BQY73"/>
    <mergeCell ref="BQZ67:BQZ73"/>
    <mergeCell ref="BRA67:BRA73"/>
    <mergeCell ref="BRB67:BRB73"/>
    <mergeCell ref="BRC67:BRC73"/>
    <mergeCell ref="BRD67:BRD73"/>
    <mergeCell ref="BQS67:BQS73"/>
    <mergeCell ref="BQT67:BQT73"/>
    <mergeCell ref="BQU67:BQU73"/>
    <mergeCell ref="BQV67:BQV73"/>
    <mergeCell ref="BQW67:BQW73"/>
    <mergeCell ref="BQX67:BQX73"/>
    <mergeCell ref="BQM67:BQM73"/>
    <mergeCell ref="BQN67:BQN73"/>
    <mergeCell ref="BQO67:BQO73"/>
    <mergeCell ref="BQP67:BQP73"/>
    <mergeCell ref="BQQ67:BQQ73"/>
    <mergeCell ref="BQR67:BQR73"/>
    <mergeCell ref="BTA67:BTA73"/>
    <mergeCell ref="BTB67:BTB73"/>
    <mergeCell ref="BTC67:BTC73"/>
    <mergeCell ref="BTD67:BTD73"/>
    <mergeCell ref="BTE67:BTE73"/>
    <mergeCell ref="BTF67:BTF73"/>
    <mergeCell ref="BSU67:BSU73"/>
    <mergeCell ref="BSV67:BSV73"/>
    <mergeCell ref="BSW67:BSW73"/>
    <mergeCell ref="BSX67:BSX73"/>
    <mergeCell ref="BSY67:BSY73"/>
    <mergeCell ref="BSZ67:BSZ73"/>
    <mergeCell ref="BSO67:BSO73"/>
    <mergeCell ref="BSP67:BSP73"/>
    <mergeCell ref="BSQ67:BSQ73"/>
    <mergeCell ref="BSR67:BSR73"/>
    <mergeCell ref="BSS67:BSS73"/>
    <mergeCell ref="BST67:BST73"/>
    <mergeCell ref="BSI67:BSI73"/>
    <mergeCell ref="BSJ67:BSJ73"/>
    <mergeCell ref="BSK67:BSK73"/>
    <mergeCell ref="BSL67:BSL73"/>
    <mergeCell ref="BSM67:BSM73"/>
    <mergeCell ref="BSN67:BSN73"/>
    <mergeCell ref="BSC67:BSC73"/>
    <mergeCell ref="BSD67:BSD73"/>
    <mergeCell ref="BSE67:BSE73"/>
    <mergeCell ref="BSF67:BSF73"/>
    <mergeCell ref="BSG67:BSG73"/>
    <mergeCell ref="BSH67:BSH73"/>
    <mergeCell ref="BRW67:BRW73"/>
    <mergeCell ref="BRX67:BRX73"/>
    <mergeCell ref="BRY67:BRY73"/>
    <mergeCell ref="BRZ67:BRZ73"/>
    <mergeCell ref="BSA67:BSA73"/>
    <mergeCell ref="BSB67:BSB73"/>
    <mergeCell ref="BUK67:BUK73"/>
    <mergeCell ref="BUL67:BUL73"/>
    <mergeCell ref="BUM67:BUM73"/>
    <mergeCell ref="BUN67:BUN73"/>
    <mergeCell ref="BUO67:BUO73"/>
    <mergeCell ref="BUP67:BUP73"/>
    <mergeCell ref="BUE67:BUE73"/>
    <mergeCell ref="BUF67:BUF73"/>
    <mergeCell ref="BUG67:BUG73"/>
    <mergeCell ref="BUH67:BUH73"/>
    <mergeCell ref="BUI67:BUI73"/>
    <mergeCell ref="BUJ67:BUJ73"/>
    <mergeCell ref="BTY67:BTY73"/>
    <mergeCell ref="BTZ67:BTZ73"/>
    <mergeCell ref="BUA67:BUA73"/>
    <mergeCell ref="BUB67:BUB73"/>
    <mergeCell ref="BUC67:BUC73"/>
    <mergeCell ref="BUD67:BUD73"/>
    <mergeCell ref="BTS67:BTS73"/>
    <mergeCell ref="BTT67:BTT73"/>
    <mergeCell ref="BTU67:BTU73"/>
    <mergeCell ref="BTV67:BTV73"/>
    <mergeCell ref="BTW67:BTW73"/>
    <mergeCell ref="BTX67:BTX73"/>
    <mergeCell ref="BTM67:BTM73"/>
    <mergeCell ref="BTN67:BTN73"/>
    <mergeCell ref="BTO67:BTO73"/>
    <mergeCell ref="BTP67:BTP73"/>
    <mergeCell ref="BTQ67:BTQ73"/>
    <mergeCell ref="BTR67:BTR73"/>
    <mergeCell ref="BTG67:BTG73"/>
    <mergeCell ref="BTH67:BTH73"/>
    <mergeCell ref="BTI67:BTI73"/>
    <mergeCell ref="BTJ67:BTJ73"/>
    <mergeCell ref="BTK67:BTK73"/>
    <mergeCell ref="BTL67:BTL73"/>
    <mergeCell ref="BVU67:BVU73"/>
    <mergeCell ref="BVV67:BVV73"/>
    <mergeCell ref="BVW67:BVW73"/>
    <mergeCell ref="BVX67:BVX73"/>
    <mergeCell ref="BVY67:BVY73"/>
    <mergeCell ref="BVZ67:BVZ73"/>
    <mergeCell ref="BVO67:BVO73"/>
    <mergeCell ref="BVP67:BVP73"/>
    <mergeCell ref="BVQ67:BVQ73"/>
    <mergeCell ref="BVR67:BVR73"/>
    <mergeCell ref="BVS67:BVS73"/>
    <mergeCell ref="BVT67:BVT73"/>
    <mergeCell ref="BVI67:BVI73"/>
    <mergeCell ref="BVJ67:BVJ73"/>
    <mergeCell ref="BVK67:BVK73"/>
    <mergeCell ref="BVL67:BVL73"/>
    <mergeCell ref="BVM67:BVM73"/>
    <mergeCell ref="BVN67:BVN73"/>
    <mergeCell ref="BVC67:BVC73"/>
    <mergeCell ref="BVD67:BVD73"/>
    <mergeCell ref="BVE67:BVE73"/>
    <mergeCell ref="BVF67:BVF73"/>
    <mergeCell ref="BVG67:BVG73"/>
    <mergeCell ref="BVH67:BVH73"/>
    <mergeCell ref="BUW67:BUW73"/>
    <mergeCell ref="BUX67:BUX73"/>
    <mergeCell ref="BUY67:BUY73"/>
    <mergeCell ref="BUZ67:BUZ73"/>
    <mergeCell ref="BVA67:BVA73"/>
    <mergeCell ref="BVB67:BVB73"/>
    <mergeCell ref="BUQ67:BUQ73"/>
    <mergeCell ref="BUR67:BUR73"/>
    <mergeCell ref="BUS67:BUS73"/>
    <mergeCell ref="BUT67:BUT73"/>
    <mergeCell ref="BUU67:BUU73"/>
    <mergeCell ref="BUV67:BUV73"/>
    <mergeCell ref="BXE67:BXE73"/>
    <mergeCell ref="BXF67:BXF73"/>
    <mergeCell ref="BXG67:BXG73"/>
    <mergeCell ref="BXH67:BXH73"/>
    <mergeCell ref="BXI67:BXI73"/>
    <mergeCell ref="BXJ67:BXJ73"/>
    <mergeCell ref="BWY67:BWY73"/>
    <mergeCell ref="BWZ67:BWZ73"/>
    <mergeCell ref="BXA67:BXA73"/>
    <mergeCell ref="BXB67:BXB73"/>
    <mergeCell ref="BXC67:BXC73"/>
    <mergeCell ref="BXD67:BXD73"/>
    <mergeCell ref="BWS67:BWS73"/>
    <mergeCell ref="BWT67:BWT73"/>
    <mergeCell ref="BWU67:BWU73"/>
    <mergeCell ref="BWV67:BWV73"/>
    <mergeCell ref="BWW67:BWW73"/>
    <mergeCell ref="BWX67:BWX73"/>
    <mergeCell ref="BWM67:BWM73"/>
    <mergeCell ref="BWN67:BWN73"/>
    <mergeCell ref="BWO67:BWO73"/>
    <mergeCell ref="BWP67:BWP73"/>
    <mergeCell ref="BWQ67:BWQ73"/>
    <mergeCell ref="BWR67:BWR73"/>
    <mergeCell ref="BWG67:BWG73"/>
    <mergeCell ref="BWH67:BWH73"/>
    <mergeCell ref="BWI67:BWI73"/>
    <mergeCell ref="BWJ67:BWJ73"/>
    <mergeCell ref="BWK67:BWK73"/>
    <mergeCell ref="BWL67:BWL73"/>
    <mergeCell ref="BWA67:BWA73"/>
    <mergeCell ref="BWB67:BWB73"/>
    <mergeCell ref="BWC67:BWC73"/>
    <mergeCell ref="BWD67:BWD73"/>
    <mergeCell ref="BWE67:BWE73"/>
    <mergeCell ref="BWF67:BWF73"/>
    <mergeCell ref="BYO67:BYO73"/>
    <mergeCell ref="BYP67:BYP73"/>
    <mergeCell ref="BYQ67:BYQ73"/>
    <mergeCell ref="BYR67:BYR73"/>
    <mergeCell ref="BYS67:BYS73"/>
    <mergeCell ref="BYT67:BYT73"/>
    <mergeCell ref="BYI67:BYI73"/>
    <mergeCell ref="BYJ67:BYJ73"/>
    <mergeCell ref="BYK67:BYK73"/>
    <mergeCell ref="BYL67:BYL73"/>
    <mergeCell ref="BYM67:BYM73"/>
    <mergeCell ref="BYN67:BYN73"/>
    <mergeCell ref="BYC67:BYC73"/>
    <mergeCell ref="BYD67:BYD73"/>
    <mergeCell ref="BYE67:BYE73"/>
    <mergeCell ref="BYF67:BYF73"/>
    <mergeCell ref="BYG67:BYG73"/>
    <mergeCell ref="BYH67:BYH73"/>
    <mergeCell ref="BXW67:BXW73"/>
    <mergeCell ref="BXX67:BXX73"/>
    <mergeCell ref="BXY67:BXY73"/>
    <mergeCell ref="BXZ67:BXZ73"/>
    <mergeCell ref="BYA67:BYA73"/>
    <mergeCell ref="BYB67:BYB73"/>
    <mergeCell ref="BXQ67:BXQ73"/>
    <mergeCell ref="BXR67:BXR73"/>
    <mergeCell ref="BXS67:BXS73"/>
    <mergeCell ref="BXT67:BXT73"/>
    <mergeCell ref="BXU67:BXU73"/>
    <mergeCell ref="BXV67:BXV73"/>
    <mergeCell ref="BXK67:BXK73"/>
    <mergeCell ref="BXL67:BXL73"/>
    <mergeCell ref="BXM67:BXM73"/>
    <mergeCell ref="BXN67:BXN73"/>
    <mergeCell ref="BXO67:BXO73"/>
    <mergeCell ref="BXP67:BXP73"/>
    <mergeCell ref="BZY67:BZY73"/>
    <mergeCell ref="BZZ67:BZZ73"/>
    <mergeCell ref="CAA67:CAA73"/>
    <mergeCell ref="CAB67:CAB73"/>
    <mergeCell ref="CAC67:CAC73"/>
    <mergeCell ref="CAD67:CAD73"/>
    <mergeCell ref="BZS67:BZS73"/>
    <mergeCell ref="BZT67:BZT73"/>
    <mergeCell ref="BZU67:BZU73"/>
    <mergeCell ref="BZV67:BZV73"/>
    <mergeCell ref="BZW67:BZW73"/>
    <mergeCell ref="BZX67:BZX73"/>
    <mergeCell ref="BZM67:BZM73"/>
    <mergeCell ref="BZN67:BZN73"/>
    <mergeCell ref="BZO67:BZO73"/>
    <mergeCell ref="BZP67:BZP73"/>
    <mergeCell ref="BZQ67:BZQ73"/>
    <mergeCell ref="BZR67:BZR73"/>
    <mergeCell ref="BZG67:BZG73"/>
    <mergeCell ref="BZH67:BZH73"/>
    <mergeCell ref="BZI67:BZI73"/>
    <mergeCell ref="BZJ67:BZJ73"/>
    <mergeCell ref="BZK67:BZK73"/>
    <mergeCell ref="BZL67:BZL73"/>
    <mergeCell ref="BZA67:BZA73"/>
    <mergeCell ref="BZB67:BZB73"/>
    <mergeCell ref="BZC67:BZC73"/>
    <mergeCell ref="BZD67:BZD73"/>
    <mergeCell ref="BZE67:BZE73"/>
    <mergeCell ref="BZF67:BZF73"/>
    <mergeCell ref="BYU67:BYU73"/>
    <mergeCell ref="BYV67:BYV73"/>
    <mergeCell ref="BYW67:BYW73"/>
    <mergeCell ref="BYX67:BYX73"/>
    <mergeCell ref="BYY67:BYY73"/>
    <mergeCell ref="BYZ67:BYZ73"/>
    <mergeCell ref="CBI67:CBI73"/>
    <mergeCell ref="CBJ67:CBJ73"/>
    <mergeCell ref="CBK67:CBK73"/>
    <mergeCell ref="CBL67:CBL73"/>
    <mergeCell ref="CBM67:CBM73"/>
    <mergeCell ref="CBN67:CBN73"/>
    <mergeCell ref="CBC67:CBC73"/>
    <mergeCell ref="CBD67:CBD73"/>
    <mergeCell ref="CBE67:CBE73"/>
    <mergeCell ref="CBF67:CBF73"/>
    <mergeCell ref="CBG67:CBG73"/>
    <mergeCell ref="CBH67:CBH73"/>
    <mergeCell ref="CAW67:CAW73"/>
    <mergeCell ref="CAX67:CAX73"/>
    <mergeCell ref="CAY67:CAY73"/>
    <mergeCell ref="CAZ67:CAZ73"/>
    <mergeCell ref="CBA67:CBA73"/>
    <mergeCell ref="CBB67:CBB73"/>
    <mergeCell ref="CAQ67:CAQ73"/>
    <mergeCell ref="CAR67:CAR73"/>
    <mergeCell ref="CAS67:CAS73"/>
    <mergeCell ref="CAT67:CAT73"/>
    <mergeCell ref="CAU67:CAU73"/>
    <mergeCell ref="CAV67:CAV73"/>
    <mergeCell ref="CAK67:CAK73"/>
    <mergeCell ref="CAL67:CAL73"/>
    <mergeCell ref="CAM67:CAM73"/>
    <mergeCell ref="CAN67:CAN73"/>
    <mergeCell ref="CAO67:CAO73"/>
    <mergeCell ref="CAP67:CAP73"/>
    <mergeCell ref="CAE67:CAE73"/>
    <mergeCell ref="CAF67:CAF73"/>
    <mergeCell ref="CAG67:CAG73"/>
    <mergeCell ref="CAH67:CAH73"/>
    <mergeCell ref="CAI67:CAI73"/>
    <mergeCell ref="CAJ67:CAJ73"/>
    <mergeCell ref="CCS67:CCS73"/>
    <mergeCell ref="CCT67:CCT73"/>
    <mergeCell ref="CCU67:CCU73"/>
    <mergeCell ref="CCV67:CCV73"/>
    <mergeCell ref="CCW67:CCW73"/>
    <mergeCell ref="CCX67:CCX73"/>
    <mergeCell ref="CCM67:CCM73"/>
    <mergeCell ref="CCN67:CCN73"/>
    <mergeCell ref="CCO67:CCO73"/>
    <mergeCell ref="CCP67:CCP73"/>
    <mergeCell ref="CCQ67:CCQ73"/>
    <mergeCell ref="CCR67:CCR73"/>
    <mergeCell ref="CCG67:CCG73"/>
    <mergeCell ref="CCH67:CCH73"/>
    <mergeCell ref="CCI67:CCI73"/>
    <mergeCell ref="CCJ67:CCJ73"/>
    <mergeCell ref="CCK67:CCK73"/>
    <mergeCell ref="CCL67:CCL73"/>
    <mergeCell ref="CCA67:CCA73"/>
    <mergeCell ref="CCB67:CCB73"/>
    <mergeCell ref="CCC67:CCC73"/>
    <mergeCell ref="CCD67:CCD73"/>
    <mergeCell ref="CCE67:CCE73"/>
    <mergeCell ref="CCF67:CCF73"/>
    <mergeCell ref="CBU67:CBU73"/>
    <mergeCell ref="CBV67:CBV73"/>
    <mergeCell ref="CBW67:CBW73"/>
    <mergeCell ref="CBX67:CBX73"/>
    <mergeCell ref="CBY67:CBY73"/>
    <mergeCell ref="CBZ67:CBZ73"/>
    <mergeCell ref="CBO67:CBO73"/>
    <mergeCell ref="CBP67:CBP73"/>
    <mergeCell ref="CBQ67:CBQ73"/>
    <mergeCell ref="CBR67:CBR73"/>
    <mergeCell ref="CBS67:CBS73"/>
    <mergeCell ref="CBT67:CBT73"/>
    <mergeCell ref="CEC67:CEC73"/>
    <mergeCell ref="CED67:CED73"/>
    <mergeCell ref="CEE67:CEE73"/>
    <mergeCell ref="CEF67:CEF73"/>
    <mergeCell ref="CEG67:CEG73"/>
    <mergeCell ref="CEH67:CEH73"/>
    <mergeCell ref="CDW67:CDW73"/>
    <mergeCell ref="CDX67:CDX73"/>
    <mergeCell ref="CDY67:CDY73"/>
    <mergeCell ref="CDZ67:CDZ73"/>
    <mergeCell ref="CEA67:CEA73"/>
    <mergeCell ref="CEB67:CEB73"/>
    <mergeCell ref="CDQ67:CDQ73"/>
    <mergeCell ref="CDR67:CDR73"/>
    <mergeCell ref="CDS67:CDS73"/>
    <mergeCell ref="CDT67:CDT73"/>
    <mergeCell ref="CDU67:CDU73"/>
    <mergeCell ref="CDV67:CDV73"/>
    <mergeCell ref="CDK67:CDK73"/>
    <mergeCell ref="CDL67:CDL73"/>
    <mergeCell ref="CDM67:CDM73"/>
    <mergeCell ref="CDN67:CDN73"/>
    <mergeCell ref="CDO67:CDO73"/>
    <mergeCell ref="CDP67:CDP73"/>
    <mergeCell ref="CDE67:CDE73"/>
    <mergeCell ref="CDF67:CDF73"/>
    <mergeCell ref="CDG67:CDG73"/>
    <mergeCell ref="CDH67:CDH73"/>
    <mergeCell ref="CDI67:CDI73"/>
    <mergeCell ref="CDJ67:CDJ73"/>
    <mergeCell ref="CCY67:CCY73"/>
    <mergeCell ref="CCZ67:CCZ73"/>
    <mergeCell ref="CDA67:CDA73"/>
    <mergeCell ref="CDB67:CDB73"/>
    <mergeCell ref="CDC67:CDC73"/>
    <mergeCell ref="CDD67:CDD73"/>
    <mergeCell ref="CFM67:CFM73"/>
    <mergeCell ref="CFN67:CFN73"/>
    <mergeCell ref="CFO67:CFO73"/>
    <mergeCell ref="CFP67:CFP73"/>
    <mergeCell ref="CFQ67:CFQ73"/>
    <mergeCell ref="CFR67:CFR73"/>
    <mergeCell ref="CFG67:CFG73"/>
    <mergeCell ref="CFH67:CFH73"/>
    <mergeCell ref="CFI67:CFI73"/>
    <mergeCell ref="CFJ67:CFJ73"/>
    <mergeCell ref="CFK67:CFK73"/>
    <mergeCell ref="CFL67:CFL73"/>
    <mergeCell ref="CFA67:CFA73"/>
    <mergeCell ref="CFB67:CFB73"/>
    <mergeCell ref="CFC67:CFC73"/>
    <mergeCell ref="CFD67:CFD73"/>
    <mergeCell ref="CFE67:CFE73"/>
    <mergeCell ref="CFF67:CFF73"/>
    <mergeCell ref="CEU67:CEU73"/>
    <mergeCell ref="CEV67:CEV73"/>
    <mergeCell ref="CEW67:CEW73"/>
    <mergeCell ref="CEX67:CEX73"/>
    <mergeCell ref="CEY67:CEY73"/>
    <mergeCell ref="CEZ67:CEZ73"/>
    <mergeCell ref="CEO67:CEO73"/>
    <mergeCell ref="CEP67:CEP73"/>
    <mergeCell ref="CEQ67:CEQ73"/>
    <mergeCell ref="CER67:CER73"/>
    <mergeCell ref="CES67:CES73"/>
    <mergeCell ref="CET67:CET73"/>
    <mergeCell ref="CEI67:CEI73"/>
    <mergeCell ref="CEJ67:CEJ73"/>
    <mergeCell ref="CEK67:CEK73"/>
    <mergeCell ref="CEL67:CEL73"/>
    <mergeCell ref="CEM67:CEM73"/>
    <mergeCell ref="CEN67:CEN73"/>
    <mergeCell ref="CGW67:CGW73"/>
    <mergeCell ref="CGX67:CGX73"/>
    <mergeCell ref="CGY67:CGY73"/>
    <mergeCell ref="CGZ67:CGZ73"/>
    <mergeCell ref="CHA67:CHA73"/>
    <mergeCell ref="CHB67:CHB73"/>
    <mergeCell ref="CGQ67:CGQ73"/>
    <mergeCell ref="CGR67:CGR73"/>
    <mergeCell ref="CGS67:CGS73"/>
    <mergeCell ref="CGT67:CGT73"/>
    <mergeCell ref="CGU67:CGU73"/>
    <mergeCell ref="CGV67:CGV73"/>
    <mergeCell ref="CGK67:CGK73"/>
    <mergeCell ref="CGL67:CGL73"/>
    <mergeCell ref="CGM67:CGM73"/>
    <mergeCell ref="CGN67:CGN73"/>
    <mergeCell ref="CGO67:CGO73"/>
    <mergeCell ref="CGP67:CGP73"/>
    <mergeCell ref="CGE67:CGE73"/>
    <mergeCell ref="CGF67:CGF73"/>
    <mergeCell ref="CGG67:CGG73"/>
    <mergeCell ref="CGH67:CGH73"/>
    <mergeCell ref="CGI67:CGI73"/>
    <mergeCell ref="CGJ67:CGJ73"/>
    <mergeCell ref="CFY67:CFY73"/>
    <mergeCell ref="CFZ67:CFZ73"/>
    <mergeCell ref="CGA67:CGA73"/>
    <mergeCell ref="CGB67:CGB73"/>
    <mergeCell ref="CGC67:CGC73"/>
    <mergeCell ref="CGD67:CGD73"/>
    <mergeCell ref="CFS67:CFS73"/>
    <mergeCell ref="CFT67:CFT73"/>
    <mergeCell ref="CFU67:CFU73"/>
    <mergeCell ref="CFV67:CFV73"/>
    <mergeCell ref="CFW67:CFW73"/>
    <mergeCell ref="CFX67:CFX73"/>
    <mergeCell ref="CIG67:CIG73"/>
    <mergeCell ref="CIH67:CIH73"/>
    <mergeCell ref="CII67:CII73"/>
    <mergeCell ref="CIJ67:CIJ73"/>
    <mergeCell ref="CIK67:CIK73"/>
    <mergeCell ref="CIL67:CIL73"/>
    <mergeCell ref="CIA67:CIA73"/>
    <mergeCell ref="CIB67:CIB73"/>
    <mergeCell ref="CIC67:CIC73"/>
    <mergeCell ref="CID67:CID73"/>
    <mergeCell ref="CIE67:CIE73"/>
    <mergeCell ref="CIF67:CIF73"/>
    <mergeCell ref="CHU67:CHU73"/>
    <mergeCell ref="CHV67:CHV73"/>
    <mergeCell ref="CHW67:CHW73"/>
    <mergeCell ref="CHX67:CHX73"/>
    <mergeCell ref="CHY67:CHY73"/>
    <mergeCell ref="CHZ67:CHZ73"/>
    <mergeCell ref="CHO67:CHO73"/>
    <mergeCell ref="CHP67:CHP73"/>
    <mergeCell ref="CHQ67:CHQ73"/>
    <mergeCell ref="CHR67:CHR73"/>
    <mergeCell ref="CHS67:CHS73"/>
    <mergeCell ref="CHT67:CHT73"/>
    <mergeCell ref="CHI67:CHI73"/>
    <mergeCell ref="CHJ67:CHJ73"/>
    <mergeCell ref="CHK67:CHK73"/>
    <mergeCell ref="CHL67:CHL73"/>
    <mergeCell ref="CHM67:CHM73"/>
    <mergeCell ref="CHN67:CHN73"/>
    <mergeCell ref="CHC67:CHC73"/>
    <mergeCell ref="CHD67:CHD73"/>
    <mergeCell ref="CHE67:CHE73"/>
    <mergeCell ref="CHF67:CHF73"/>
    <mergeCell ref="CHG67:CHG73"/>
    <mergeCell ref="CHH67:CHH73"/>
    <mergeCell ref="CJQ67:CJQ73"/>
    <mergeCell ref="CJR67:CJR73"/>
    <mergeCell ref="CJS67:CJS73"/>
    <mergeCell ref="CJT67:CJT73"/>
    <mergeCell ref="CJU67:CJU73"/>
    <mergeCell ref="CJV67:CJV73"/>
    <mergeCell ref="CJK67:CJK73"/>
    <mergeCell ref="CJL67:CJL73"/>
    <mergeCell ref="CJM67:CJM73"/>
    <mergeCell ref="CJN67:CJN73"/>
    <mergeCell ref="CJO67:CJO73"/>
    <mergeCell ref="CJP67:CJP73"/>
    <mergeCell ref="CJE67:CJE73"/>
    <mergeCell ref="CJF67:CJF73"/>
    <mergeCell ref="CJG67:CJG73"/>
    <mergeCell ref="CJH67:CJH73"/>
    <mergeCell ref="CJI67:CJI73"/>
    <mergeCell ref="CJJ67:CJJ73"/>
    <mergeCell ref="CIY67:CIY73"/>
    <mergeCell ref="CIZ67:CIZ73"/>
    <mergeCell ref="CJA67:CJA73"/>
    <mergeCell ref="CJB67:CJB73"/>
    <mergeCell ref="CJC67:CJC73"/>
    <mergeCell ref="CJD67:CJD73"/>
    <mergeCell ref="CIS67:CIS73"/>
    <mergeCell ref="CIT67:CIT73"/>
    <mergeCell ref="CIU67:CIU73"/>
    <mergeCell ref="CIV67:CIV73"/>
    <mergeCell ref="CIW67:CIW73"/>
    <mergeCell ref="CIX67:CIX73"/>
    <mergeCell ref="CIM67:CIM73"/>
    <mergeCell ref="CIN67:CIN73"/>
    <mergeCell ref="CIO67:CIO73"/>
    <mergeCell ref="CIP67:CIP73"/>
    <mergeCell ref="CIQ67:CIQ73"/>
    <mergeCell ref="CIR67:CIR73"/>
    <mergeCell ref="CLA67:CLA73"/>
    <mergeCell ref="CLB67:CLB73"/>
    <mergeCell ref="CLC67:CLC73"/>
    <mergeCell ref="CLD67:CLD73"/>
    <mergeCell ref="CLE67:CLE73"/>
    <mergeCell ref="CLF67:CLF73"/>
    <mergeCell ref="CKU67:CKU73"/>
    <mergeCell ref="CKV67:CKV73"/>
    <mergeCell ref="CKW67:CKW73"/>
    <mergeCell ref="CKX67:CKX73"/>
    <mergeCell ref="CKY67:CKY73"/>
    <mergeCell ref="CKZ67:CKZ73"/>
    <mergeCell ref="CKO67:CKO73"/>
    <mergeCell ref="CKP67:CKP73"/>
    <mergeCell ref="CKQ67:CKQ73"/>
    <mergeCell ref="CKR67:CKR73"/>
    <mergeCell ref="CKS67:CKS73"/>
    <mergeCell ref="CKT67:CKT73"/>
    <mergeCell ref="CKI67:CKI73"/>
    <mergeCell ref="CKJ67:CKJ73"/>
    <mergeCell ref="CKK67:CKK73"/>
    <mergeCell ref="CKL67:CKL73"/>
    <mergeCell ref="CKM67:CKM73"/>
    <mergeCell ref="CKN67:CKN73"/>
    <mergeCell ref="CKC67:CKC73"/>
    <mergeCell ref="CKD67:CKD73"/>
    <mergeCell ref="CKE67:CKE73"/>
    <mergeCell ref="CKF67:CKF73"/>
    <mergeCell ref="CKG67:CKG73"/>
    <mergeCell ref="CKH67:CKH73"/>
    <mergeCell ref="CJW67:CJW73"/>
    <mergeCell ref="CJX67:CJX73"/>
    <mergeCell ref="CJY67:CJY73"/>
    <mergeCell ref="CJZ67:CJZ73"/>
    <mergeCell ref="CKA67:CKA73"/>
    <mergeCell ref="CKB67:CKB73"/>
    <mergeCell ref="CMK67:CMK73"/>
    <mergeCell ref="CML67:CML73"/>
    <mergeCell ref="CMM67:CMM73"/>
    <mergeCell ref="CMN67:CMN73"/>
    <mergeCell ref="CMO67:CMO73"/>
    <mergeCell ref="CMP67:CMP73"/>
    <mergeCell ref="CME67:CME73"/>
    <mergeCell ref="CMF67:CMF73"/>
    <mergeCell ref="CMG67:CMG73"/>
    <mergeCell ref="CMH67:CMH73"/>
    <mergeCell ref="CMI67:CMI73"/>
    <mergeCell ref="CMJ67:CMJ73"/>
    <mergeCell ref="CLY67:CLY73"/>
    <mergeCell ref="CLZ67:CLZ73"/>
    <mergeCell ref="CMA67:CMA73"/>
    <mergeCell ref="CMB67:CMB73"/>
    <mergeCell ref="CMC67:CMC73"/>
    <mergeCell ref="CMD67:CMD73"/>
    <mergeCell ref="CLS67:CLS73"/>
    <mergeCell ref="CLT67:CLT73"/>
    <mergeCell ref="CLU67:CLU73"/>
    <mergeCell ref="CLV67:CLV73"/>
    <mergeCell ref="CLW67:CLW73"/>
    <mergeCell ref="CLX67:CLX73"/>
    <mergeCell ref="CLM67:CLM73"/>
    <mergeCell ref="CLN67:CLN73"/>
    <mergeCell ref="CLO67:CLO73"/>
    <mergeCell ref="CLP67:CLP73"/>
    <mergeCell ref="CLQ67:CLQ73"/>
    <mergeCell ref="CLR67:CLR73"/>
    <mergeCell ref="CLG67:CLG73"/>
    <mergeCell ref="CLH67:CLH73"/>
    <mergeCell ref="CLI67:CLI73"/>
    <mergeCell ref="CLJ67:CLJ73"/>
    <mergeCell ref="CLK67:CLK73"/>
    <mergeCell ref="CLL67:CLL73"/>
    <mergeCell ref="CNU67:CNU73"/>
    <mergeCell ref="CNV67:CNV73"/>
    <mergeCell ref="CNW67:CNW73"/>
    <mergeCell ref="CNX67:CNX73"/>
    <mergeCell ref="CNY67:CNY73"/>
    <mergeCell ref="CNZ67:CNZ73"/>
    <mergeCell ref="CNO67:CNO73"/>
    <mergeCell ref="CNP67:CNP73"/>
    <mergeCell ref="CNQ67:CNQ73"/>
    <mergeCell ref="CNR67:CNR73"/>
    <mergeCell ref="CNS67:CNS73"/>
    <mergeCell ref="CNT67:CNT73"/>
    <mergeCell ref="CNI67:CNI73"/>
    <mergeCell ref="CNJ67:CNJ73"/>
    <mergeCell ref="CNK67:CNK73"/>
    <mergeCell ref="CNL67:CNL73"/>
    <mergeCell ref="CNM67:CNM73"/>
    <mergeCell ref="CNN67:CNN73"/>
    <mergeCell ref="CNC67:CNC73"/>
    <mergeCell ref="CND67:CND73"/>
    <mergeCell ref="CNE67:CNE73"/>
    <mergeCell ref="CNF67:CNF73"/>
    <mergeCell ref="CNG67:CNG73"/>
    <mergeCell ref="CNH67:CNH73"/>
    <mergeCell ref="CMW67:CMW73"/>
    <mergeCell ref="CMX67:CMX73"/>
    <mergeCell ref="CMY67:CMY73"/>
    <mergeCell ref="CMZ67:CMZ73"/>
    <mergeCell ref="CNA67:CNA73"/>
    <mergeCell ref="CNB67:CNB73"/>
    <mergeCell ref="CMQ67:CMQ73"/>
    <mergeCell ref="CMR67:CMR73"/>
    <mergeCell ref="CMS67:CMS73"/>
    <mergeCell ref="CMT67:CMT73"/>
    <mergeCell ref="CMU67:CMU73"/>
    <mergeCell ref="CMV67:CMV73"/>
    <mergeCell ref="CPE67:CPE73"/>
    <mergeCell ref="CPF67:CPF73"/>
    <mergeCell ref="CPG67:CPG73"/>
    <mergeCell ref="CPH67:CPH73"/>
    <mergeCell ref="CPI67:CPI73"/>
    <mergeCell ref="CPJ67:CPJ73"/>
    <mergeCell ref="COY67:COY73"/>
    <mergeCell ref="COZ67:COZ73"/>
    <mergeCell ref="CPA67:CPA73"/>
    <mergeCell ref="CPB67:CPB73"/>
    <mergeCell ref="CPC67:CPC73"/>
    <mergeCell ref="CPD67:CPD73"/>
    <mergeCell ref="COS67:COS73"/>
    <mergeCell ref="COT67:COT73"/>
    <mergeCell ref="COU67:COU73"/>
    <mergeCell ref="COV67:COV73"/>
    <mergeCell ref="COW67:COW73"/>
    <mergeCell ref="COX67:COX73"/>
    <mergeCell ref="COM67:COM73"/>
    <mergeCell ref="CON67:CON73"/>
    <mergeCell ref="COO67:COO73"/>
    <mergeCell ref="COP67:COP73"/>
    <mergeCell ref="COQ67:COQ73"/>
    <mergeCell ref="COR67:COR73"/>
    <mergeCell ref="COG67:COG73"/>
    <mergeCell ref="COH67:COH73"/>
    <mergeCell ref="COI67:COI73"/>
    <mergeCell ref="COJ67:COJ73"/>
    <mergeCell ref="COK67:COK73"/>
    <mergeCell ref="COL67:COL73"/>
    <mergeCell ref="COA67:COA73"/>
    <mergeCell ref="COB67:COB73"/>
    <mergeCell ref="COC67:COC73"/>
    <mergeCell ref="COD67:COD73"/>
    <mergeCell ref="COE67:COE73"/>
    <mergeCell ref="COF67:COF73"/>
    <mergeCell ref="CQO67:CQO73"/>
    <mergeCell ref="CQP67:CQP73"/>
    <mergeCell ref="CQQ67:CQQ73"/>
    <mergeCell ref="CQR67:CQR73"/>
    <mergeCell ref="CQS67:CQS73"/>
    <mergeCell ref="CQT67:CQT73"/>
    <mergeCell ref="CQI67:CQI73"/>
    <mergeCell ref="CQJ67:CQJ73"/>
    <mergeCell ref="CQK67:CQK73"/>
    <mergeCell ref="CQL67:CQL73"/>
    <mergeCell ref="CQM67:CQM73"/>
    <mergeCell ref="CQN67:CQN73"/>
    <mergeCell ref="CQC67:CQC73"/>
    <mergeCell ref="CQD67:CQD73"/>
    <mergeCell ref="CQE67:CQE73"/>
    <mergeCell ref="CQF67:CQF73"/>
    <mergeCell ref="CQG67:CQG73"/>
    <mergeCell ref="CQH67:CQH73"/>
    <mergeCell ref="CPW67:CPW73"/>
    <mergeCell ref="CPX67:CPX73"/>
    <mergeCell ref="CPY67:CPY73"/>
    <mergeCell ref="CPZ67:CPZ73"/>
    <mergeCell ref="CQA67:CQA73"/>
    <mergeCell ref="CQB67:CQB73"/>
    <mergeCell ref="CPQ67:CPQ73"/>
    <mergeCell ref="CPR67:CPR73"/>
    <mergeCell ref="CPS67:CPS73"/>
    <mergeCell ref="CPT67:CPT73"/>
    <mergeCell ref="CPU67:CPU73"/>
    <mergeCell ref="CPV67:CPV73"/>
    <mergeCell ref="CPK67:CPK73"/>
    <mergeCell ref="CPL67:CPL73"/>
    <mergeCell ref="CPM67:CPM73"/>
    <mergeCell ref="CPN67:CPN73"/>
    <mergeCell ref="CPO67:CPO73"/>
    <mergeCell ref="CPP67:CPP73"/>
    <mergeCell ref="CRY67:CRY73"/>
    <mergeCell ref="CRZ67:CRZ73"/>
    <mergeCell ref="CSA67:CSA73"/>
    <mergeCell ref="CSB67:CSB73"/>
    <mergeCell ref="CSC67:CSC73"/>
    <mergeCell ref="CSD67:CSD73"/>
    <mergeCell ref="CRS67:CRS73"/>
    <mergeCell ref="CRT67:CRT73"/>
    <mergeCell ref="CRU67:CRU73"/>
    <mergeCell ref="CRV67:CRV73"/>
    <mergeCell ref="CRW67:CRW73"/>
    <mergeCell ref="CRX67:CRX73"/>
    <mergeCell ref="CRM67:CRM73"/>
    <mergeCell ref="CRN67:CRN73"/>
    <mergeCell ref="CRO67:CRO73"/>
    <mergeCell ref="CRP67:CRP73"/>
    <mergeCell ref="CRQ67:CRQ73"/>
    <mergeCell ref="CRR67:CRR73"/>
    <mergeCell ref="CRG67:CRG73"/>
    <mergeCell ref="CRH67:CRH73"/>
    <mergeCell ref="CRI67:CRI73"/>
    <mergeCell ref="CRJ67:CRJ73"/>
    <mergeCell ref="CRK67:CRK73"/>
    <mergeCell ref="CRL67:CRL73"/>
    <mergeCell ref="CRA67:CRA73"/>
    <mergeCell ref="CRB67:CRB73"/>
    <mergeCell ref="CRC67:CRC73"/>
    <mergeCell ref="CRD67:CRD73"/>
    <mergeCell ref="CRE67:CRE73"/>
    <mergeCell ref="CRF67:CRF73"/>
    <mergeCell ref="CQU67:CQU73"/>
    <mergeCell ref="CQV67:CQV73"/>
    <mergeCell ref="CQW67:CQW73"/>
    <mergeCell ref="CQX67:CQX73"/>
    <mergeCell ref="CQY67:CQY73"/>
    <mergeCell ref="CQZ67:CQZ73"/>
    <mergeCell ref="CTI67:CTI73"/>
    <mergeCell ref="CTJ67:CTJ73"/>
    <mergeCell ref="CTK67:CTK73"/>
    <mergeCell ref="CTL67:CTL73"/>
    <mergeCell ref="CTM67:CTM73"/>
    <mergeCell ref="CTN67:CTN73"/>
    <mergeCell ref="CTC67:CTC73"/>
    <mergeCell ref="CTD67:CTD73"/>
    <mergeCell ref="CTE67:CTE73"/>
    <mergeCell ref="CTF67:CTF73"/>
    <mergeCell ref="CTG67:CTG73"/>
    <mergeCell ref="CTH67:CTH73"/>
    <mergeCell ref="CSW67:CSW73"/>
    <mergeCell ref="CSX67:CSX73"/>
    <mergeCell ref="CSY67:CSY73"/>
    <mergeCell ref="CSZ67:CSZ73"/>
    <mergeCell ref="CTA67:CTA73"/>
    <mergeCell ref="CTB67:CTB73"/>
    <mergeCell ref="CSQ67:CSQ73"/>
    <mergeCell ref="CSR67:CSR73"/>
    <mergeCell ref="CSS67:CSS73"/>
    <mergeCell ref="CST67:CST73"/>
    <mergeCell ref="CSU67:CSU73"/>
    <mergeCell ref="CSV67:CSV73"/>
    <mergeCell ref="CSK67:CSK73"/>
    <mergeCell ref="CSL67:CSL73"/>
    <mergeCell ref="CSM67:CSM73"/>
    <mergeCell ref="CSN67:CSN73"/>
    <mergeCell ref="CSO67:CSO73"/>
    <mergeCell ref="CSP67:CSP73"/>
    <mergeCell ref="CSE67:CSE73"/>
    <mergeCell ref="CSF67:CSF73"/>
    <mergeCell ref="CSG67:CSG73"/>
    <mergeCell ref="CSH67:CSH73"/>
    <mergeCell ref="CSI67:CSI73"/>
    <mergeCell ref="CSJ67:CSJ73"/>
    <mergeCell ref="CUS67:CUS73"/>
    <mergeCell ref="CUT67:CUT73"/>
    <mergeCell ref="CUU67:CUU73"/>
    <mergeCell ref="CUV67:CUV73"/>
    <mergeCell ref="CUW67:CUW73"/>
    <mergeCell ref="CUX67:CUX73"/>
    <mergeCell ref="CUM67:CUM73"/>
    <mergeCell ref="CUN67:CUN73"/>
    <mergeCell ref="CUO67:CUO73"/>
    <mergeCell ref="CUP67:CUP73"/>
    <mergeCell ref="CUQ67:CUQ73"/>
    <mergeCell ref="CUR67:CUR73"/>
    <mergeCell ref="CUG67:CUG73"/>
    <mergeCell ref="CUH67:CUH73"/>
    <mergeCell ref="CUI67:CUI73"/>
    <mergeCell ref="CUJ67:CUJ73"/>
    <mergeCell ref="CUK67:CUK73"/>
    <mergeCell ref="CUL67:CUL73"/>
    <mergeCell ref="CUA67:CUA73"/>
    <mergeCell ref="CUB67:CUB73"/>
    <mergeCell ref="CUC67:CUC73"/>
    <mergeCell ref="CUD67:CUD73"/>
    <mergeCell ref="CUE67:CUE73"/>
    <mergeCell ref="CUF67:CUF73"/>
    <mergeCell ref="CTU67:CTU73"/>
    <mergeCell ref="CTV67:CTV73"/>
    <mergeCell ref="CTW67:CTW73"/>
    <mergeCell ref="CTX67:CTX73"/>
    <mergeCell ref="CTY67:CTY73"/>
    <mergeCell ref="CTZ67:CTZ73"/>
    <mergeCell ref="CTO67:CTO73"/>
    <mergeCell ref="CTP67:CTP73"/>
    <mergeCell ref="CTQ67:CTQ73"/>
    <mergeCell ref="CTR67:CTR73"/>
    <mergeCell ref="CTS67:CTS73"/>
    <mergeCell ref="CTT67:CTT73"/>
    <mergeCell ref="CWC67:CWC73"/>
    <mergeCell ref="CWD67:CWD73"/>
    <mergeCell ref="CWE67:CWE73"/>
    <mergeCell ref="CWF67:CWF73"/>
    <mergeCell ref="CWG67:CWG73"/>
    <mergeCell ref="CWH67:CWH73"/>
    <mergeCell ref="CVW67:CVW73"/>
    <mergeCell ref="CVX67:CVX73"/>
    <mergeCell ref="CVY67:CVY73"/>
    <mergeCell ref="CVZ67:CVZ73"/>
    <mergeCell ref="CWA67:CWA73"/>
    <mergeCell ref="CWB67:CWB73"/>
    <mergeCell ref="CVQ67:CVQ73"/>
    <mergeCell ref="CVR67:CVR73"/>
    <mergeCell ref="CVS67:CVS73"/>
    <mergeCell ref="CVT67:CVT73"/>
    <mergeCell ref="CVU67:CVU73"/>
    <mergeCell ref="CVV67:CVV73"/>
    <mergeCell ref="CVK67:CVK73"/>
    <mergeCell ref="CVL67:CVL73"/>
    <mergeCell ref="CVM67:CVM73"/>
    <mergeCell ref="CVN67:CVN73"/>
    <mergeCell ref="CVO67:CVO73"/>
    <mergeCell ref="CVP67:CVP73"/>
    <mergeCell ref="CVE67:CVE73"/>
    <mergeCell ref="CVF67:CVF73"/>
    <mergeCell ref="CVG67:CVG73"/>
    <mergeCell ref="CVH67:CVH73"/>
    <mergeCell ref="CVI67:CVI73"/>
    <mergeCell ref="CVJ67:CVJ73"/>
    <mergeCell ref="CUY67:CUY73"/>
    <mergeCell ref="CUZ67:CUZ73"/>
    <mergeCell ref="CVA67:CVA73"/>
    <mergeCell ref="CVB67:CVB73"/>
    <mergeCell ref="CVC67:CVC73"/>
    <mergeCell ref="CVD67:CVD73"/>
    <mergeCell ref="CXM67:CXM73"/>
    <mergeCell ref="CXN67:CXN73"/>
    <mergeCell ref="CXO67:CXO73"/>
    <mergeCell ref="CXP67:CXP73"/>
    <mergeCell ref="CXQ67:CXQ73"/>
    <mergeCell ref="CXR67:CXR73"/>
    <mergeCell ref="CXG67:CXG73"/>
    <mergeCell ref="CXH67:CXH73"/>
    <mergeCell ref="CXI67:CXI73"/>
    <mergeCell ref="CXJ67:CXJ73"/>
    <mergeCell ref="CXK67:CXK73"/>
    <mergeCell ref="CXL67:CXL73"/>
    <mergeCell ref="CXA67:CXA73"/>
    <mergeCell ref="CXB67:CXB73"/>
    <mergeCell ref="CXC67:CXC73"/>
    <mergeCell ref="CXD67:CXD73"/>
    <mergeCell ref="CXE67:CXE73"/>
    <mergeCell ref="CXF67:CXF73"/>
    <mergeCell ref="CWU67:CWU73"/>
    <mergeCell ref="CWV67:CWV73"/>
    <mergeCell ref="CWW67:CWW73"/>
    <mergeCell ref="CWX67:CWX73"/>
    <mergeCell ref="CWY67:CWY73"/>
    <mergeCell ref="CWZ67:CWZ73"/>
    <mergeCell ref="CWO67:CWO73"/>
    <mergeCell ref="CWP67:CWP73"/>
    <mergeCell ref="CWQ67:CWQ73"/>
    <mergeCell ref="CWR67:CWR73"/>
    <mergeCell ref="CWS67:CWS73"/>
    <mergeCell ref="CWT67:CWT73"/>
    <mergeCell ref="CWI67:CWI73"/>
    <mergeCell ref="CWJ67:CWJ73"/>
    <mergeCell ref="CWK67:CWK73"/>
    <mergeCell ref="CWL67:CWL73"/>
    <mergeCell ref="CWM67:CWM73"/>
    <mergeCell ref="CWN67:CWN73"/>
    <mergeCell ref="CYW67:CYW73"/>
    <mergeCell ref="CYX67:CYX73"/>
    <mergeCell ref="CYY67:CYY73"/>
    <mergeCell ref="CYZ67:CYZ73"/>
    <mergeCell ref="CZA67:CZA73"/>
    <mergeCell ref="CZB67:CZB73"/>
    <mergeCell ref="CYQ67:CYQ73"/>
    <mergeCell ref="CYR67:CYR73"/>
    <mergeCell ref="CYS67:CYS73"/>
    <mergeCell ref="CYT67:CYT73"/>
    <mergeCell ref="CYU67:CYU73"/>
    <mergeCell ref="CYV67:CYV73"/>
    <mergeCell ref="CYK67:CYK73"/>
    <mergeCell ref="CYL67:CYL73"/>
    <mergeCell ref="CYM67:CYM73"/>
    <mergeCell ref="CYN67:CYN73"/>
    <mergeCell ref="CYO67:CYO73"/>
    <mergeCell ref="CYP67:CYP73"/>
    <mergeCell ref="CYE67:CYE73"/>
    <mergeCell ref="CYF67:CYF73"/>
    <mergeCell ref="CYG67:CYG73"/>
    <mergeCell ref="CYH67:CYH73"/>
    <mergeCell ref="CYI67:CYI73"/>
    <mergeCell ref="CYJ67:CYJ73"/>
    <mergeCell ref="CXY67:CXY73"/>
    <mergeCell ref="CXZ67:CXZ73"/>
    <mergeCell ref="CYA67:CYA73"/>
    <mergeCell ref="CYB67:CYB73"/>
    <mergeCell ref="CYC67:CYC73"/>
    <mergeCell ref="CYD67:CYD73"/>
    <mergeCell ref="CXS67:CXS73"/>
    <mergeCell ref="CXT67:CXT73"/>
    <mergeCell ref="CXU67:CXU73"/>
    <mergeCell ref="CXV67:CXV73"/>
    <mergeCell ref="CXW67:CXW73"/>
    <mergeCell ref="CXX67:CXX73"/>
    <mergeCell ref="DAG67:DAG73"/>
    <mergeCell ref="DAH67:DAH73"/>
    <mergeCell ref="DAI67:DAI73"/>
    <mergeCell ref="DAJ67:DAJ73"/>
    <mergeCell ref="DAK67:DAK73"/>
    <mergeCell ref="DAL67:DAL73"/>
    <mergeCell ref="DAA67:DAA73"/>
    <mergeCell ref="DAB67:DAB73"/>
    <mergeCell ref="DAC67:DAC73"/>
    <mergeCell ref="DAD67:DAD73"/>
    <mergeCell ref="DAE67:DAE73"/>
    <mergeCell ref="DAF67:DAF73"/>
    <mergeCell ref="CZU67:CZU73"/>
    <mergeCell ref="CZV67:CZV73"/>
    <mergeCell ref="CZW67:CZW73"/>
    <mergeCell ref="CZX67:CZX73"/>
    <mergeCell ref="CZY67:CZY73"/>
    <mergeCell ref="CZZ67:CZZ73"/>
    <mergeCell ref="CZO67:CZO73"/>
    <mergeCell ref="CZP67:CZP73"/>
    <mergeCell ref="CZQ67:CZQ73"/>
    <mergeCell ref="CZR67:CZR73"/>
    <mergeCell ref="CZS67:CZS73"/>
    <mergeCell ref="CZT67:CZT73"/>
    <mergeCell ref="CZI67:CZI73"/>
    <mergeCell ref="CZJ67:CZJ73"/>
    <mergeCell ref="CZK67:CZK73"/>
    <mergeCell ref="CZL67:CZL73"/>
    <mergeCell ref="CZM67:CZM73"/>
    <mergeCell ref="CZN67:CZN73"/>
    <mergeCell ref="CZC67:CZC73"/>
    <mergeCell ref="CZD67:CZD73"/>
    <mergeCell ref="CZE67:CZE73"/>
    <mergeCell ref="CZF67:CZF73"/>
    <mergeCell ref="CZG67:CZG73"/>
    <mergeCell ref="CZH67:CZH73"/>
    <mergeCell ref="DBQ67:DBQ73"/>
    <mergeCell ref="DBR67:DBR73"/>
    <mergeCell ref="DBS67:DBS73"/>
    <mergeCell ref="DBT67:DBT73"/>
    <mergeCell ref="DBU67:DBU73"/>
    <mergeCell ref="DBV67:DBV73"/>
    <mergeCell ref="DBK67:DBK73"/>
    <mergeCell ref="DBL67:DBL73"/>
    <mergeCell ref="DBM67:DBM73"/>
    <mergeCell ref="DBN67:DBN73"/>
    <mergeCell ref="DBO67:DBO73"/>
    <mergeCell ref="DBP67:DBP73"/>
    <mergeCell ref="DBE67:DBE73"/>
    <mergeCell ref="DBF67:DBF73"/>
    <mergeCell ref="DBG67:DBG73"/>
    <mergeCell ref="DBH67:DBH73"/>
    <mergeCell ref="DBI67:DBI73"/>
    <mergeCell ref="DBJ67:DBJ73"/>
    <mergeCell ref="DAY67:DAY73"/>
    <mergeCell ref="DAZ67:DAZ73"/>
    <mergeCell ref="DBA67:DBA73"/>
    <mergeCell ref="DBB67:DBB73"/>
    <mergeCell ref="DBC67:DBC73"/>
    <mergeCell ref="DBD67:DBD73"/>
    <mergeCell ref="DAS67:DAS73"/>
    <mergeCell ref="DAT67:DAT73"/>
    <mergeCell ref="DAU67:DAU73"/>
    <mergeCell ref="DAV67:DAV73"/>
    <mergeCell ref="DAW67:DAW73"/>
    <mergeCell ref="DAX67:DAX73"/>
    <mergeCell ref="DAM67:DAM73"/>
    <mergeCell ref="DAN67:DAN73"/>
    <mergeCell ref="DAO67:DAO73"/>
    <mergeCell ref="DAP67:DAP73"/>
    <mergeCell ref="DAQ67:DAQ73"/>
    <mergeCell ref="DAR67:DAR73"/>
    <mergeCell ref="DDA67:DDA73"/>
    <mergeCell ref="DDB67:DDB73"/>
    <mergeCell ref="DDC67:DDC73"/>
    <mergeCell ref="DDD67:DDD73"/>
    <mergeCell ref="DDE67:DDE73"/>
    <mergeCell ref="DDF67:DDF73"/>
    <mergeCell ref="DCU67:DCU73"/>
    <mergeCell ref="DCV67:DCV73"/>
    <mergeCell ref="DCW67:DCW73"/>
    <mergeCell ref="DCX67:DCX73"/>
    <mergeCell ref="DCY67:DCY73"/>
    <mergeCell ref="DCZ67:DCZ73"/>
    <mergeCell ref="DCO67:DCO73"/>
    <mergeCell ref="DCP67:DCP73"/>
    <mergeCell ref="DCQ67:DCQ73"/>
    <mergeCell ref="DCR67:DCR73"/>
    <mergeCell ref="DCS67:DCS73"/>
    <mergeCell ref="DCT67:DCT73"/>
    <mergeCell ref="DCI67:DCI73"/>
    <mergeCell ref="DCJ67:DCJ73"/>
    <mergeCell ref="DCK67:DCK73"/>
    <mergeCell ref="DCL67:DCL73"/>
    <mergeCell ref="DCM67:DCM73"/>
    <mergeCell ref="DCN67:DCN73"/>
    <mergeCell ref="DCC67:DCC73"/>
    <mergeCell ref="DCD67:DCD73"/>
    <mergeCell ref="DCE67:DCE73"/>
    <mergeCell ref="DCF67:DCF73"/>
    <mergeCell ref="DCG67:DCG73"/>
    <mergeCell ref="DCH67:DCH73"/>
    <mergeCell ref="DBW67:DBW73"/>
    <mergeCell ref="DBX67:DBX73"/>
    <mergeCell ref="DBY67:DBY73"/>
    <mergeCell ref="DBZ67:DBZ73"/>
    <mergeCell ref="DCA67:DCA73"/>
    <mergeCell ref="DCB67:DCB73"/>
    <mergeCell ref="DEK67:DEK73"/>
    <mergeCell ref="DEL67:DEL73"/>
    <mergeCell ref="DEM67:DEM73"/>
    <mergeCell ref="DEN67:DEN73"/>
    <mergeCell ref="DEO67:DEO73"/>
    <mergeCell ref="DEP67:DEP73"/>
    <mergeCell ref="DEE67:DEE73"/>
    <mergeCell ref="DEF67:DEF73"/>
    <mergeCell ref="DEG67:DEG73"/>
    <mergeCell ref="DEH67:DEH73"/>
    <mergeCell ref="DEI67:DEI73"/>
    <mergeCell ref="DEJ67:DEJ73"/>
    <mergeCell ref="DDY67:DDY73"/>
    <mergeCell ref="DDZ67:DDZ73"/>
    <mergeCell ref="DEA67:DEA73"/>
    <mergeCell ref="DEB67:DEB73"/>
    <mergeCell ref="DEC67:DEC73"/>
    <mergeCell ref="DED67:DED73"/>
    <mergeCell ref="DDS67:DDS73"/>
    <mergeCell ref="DDT67:DDT73"/>
    <mergeCell ref="DDU67:DDU73"/>
    <mergeCell ref="DDV67:DDV73"/>
    <mergeCell ref="DDW67:DDW73"/>
    <mergeCell ref="DDX67:DDX73"/>
    <mergeCell ref="DDM67:DDM73"/>
    <mergeCell ref="DDN67:DDN73"/>
    <mergeCell ref="DDO67:DDO73"/>
    <mergeCell ref="DDP67:DDP73"/>
    <mergeCell ref="DDQ67:DDQ73"/>
    <mergeCell ref="DDR67:DDR73"/>
    <mergeCell ref="DDG67:DDG73"/>
    <mergeCell ref="DDH67:DDH73"/>
    <mergeCell ref="DDI67:DDI73"/>
    <mergeCell ref="DDJ67:DDJ73"/>
    <mergeCell ref="DDK67:DDK73"/>
    <mergeCell ref="DDL67:DDL73"/>
    <mergeCell ref="DFU67:DFU73"/>
    <mergeCell ref="DFV67:DFV73"/>
    <mergeCell ref="DFW67:DFW73"/>
    <mergeCell ref="DFX67:DFX73"/>
    <mergeCell ref="DFY67:DFY73"/>
    <mergeCell ref="DFZ67:DFZ73"/>
    <mergeCell ref="DFO67:DFO73"/>
    <mergeCell ref="DFP67:DFP73"/>
    <mergeCell ref="DFQ67:DFQ73"/>
    <mergeCell ref="DFR67:DFR73"/>
    <mergeCell ref="DFS67:DFS73"/>
    <mergeCell ref="DFT67:DFT73"/>
    <mergeCell ref="DFI67:DFI73"/>
    <mergeCell ref="DFJ67:DFJ73"/>
    <mergeCell ref="DFK67:DFK73"/>
    <mergeCell ref="DFL67:DFL73"/>
    <mergeCell ref="DFM67:DFM73"/>
    <mergeCell ref="DFN67:DFN73"/>
    <mergeCell ref="DFC67:DFC73"/>
    <mergeCell ref="DFD67:DFD73"/>
    <mergeCell ref="DFE67:DFE73"/>
    <mergeCell ref="DFF67:DFF73"/>
    <mergeCell ref="DFG67:DFG73"/>
    <mergeCell ref="DFH67:DFH73"/>
    <mergeCell ref="DEW67:DEW73"/>
    <mergeCell ref="DEX67:DEX73"/>
    <mergeCell ref="DEY67:DEY73"/>
    <mergeCell ref="DEZ67:DEZ73"/>
    <mergeCell ref="DFA67:DFA73"/>
    <mergeCell ref="DFB67:DFB73"/>
    <mergeCell ref="DEQ67:DEQ73"/>
    <mergeCell ref="DER67:DER73"/>
    <mergeCell ref="DES67:DES73"/>
    <mergeCell ref="DET67:DET73"/>
    <mergeCell ref="DEU67:DEU73"/>
    <mergeCell ref="DEV67:DEV73"/>
    <mergeCell ref="DHE67:DHE73"/>
    <mergeCell ref="DHF67:DHF73"/>
    <mergeCell ref="DHG67:DHG73"/>
    <mergeCell ref="DHH67:DHH73"/>
    <mergeCell ref="DHI67:DHI73"/>
    <mergeCell ref="DHJ67:DHJ73"/>
    <mergeCell ref="DGY67:DGY73"/>
    <mergeCell ref="DGZ67:DGZ73"/>
    <mergeCell ref="DHA67:DHA73"/>
    <mergeCell ref="DHB67:DHB73"/>
    <mergeCell ref="DHC67:DHC73"/>
    <mergeCell ref="DHD67:DHD73"/>
    <mergeCell ref="DGS67:DGS73"/>
    <mergeCell ref="DGT67:DGT73"/>
    <mergeCell ref="DGU67:DGU73"/>
    <mergeCell ref="DGV67:DGV73"/>
    <mergeCell ref="DGW67:DGW73"/>
    <mergeCell ref="DGX67:DGX73"/>
    <mergeCell ref="DGM67:DGM73"/>
    <mergeCell ref="DGN67:DGN73"/>
    <mergeCell ref="DGO67:DGO73"/>
    <mergeCell ref="DGP67:DGP73"/>
    <mergeCell ref="DGQ67:DGQ73"/>
    <mergeCell ref="DGR67:DGR73"/>
    <mergeCell ref="DGG67:DGG73"/>
    <mergeCell ref="DGH67:DGH73"/>
    <mergeCell ref="DGI67:DGI73"/>
    <mergeCell ref="DGJ67:DGJ73"/>
    <mergeCell ref="DGK67:DGK73"/>
    <mergeCell ref="DGL67:DGL73"/>
    <mergeCell ref="DGA67:DGA73"/>
    <mergeCell ref="DGB67:DGB73"/>
    <mergeCell ref="DGC67:DGC73"/>
    <mergeCell ref="DGD67:DGD73"/>
    <mergeCell ref="DGE67:DGE73"/>
    <mergeCell ref="DGF67:DGF73"/>
    <mergeCell ref="DIO67:DIO73"/>
    <mergeCell ref="DIP67:DIP73"/>
    <mergeCell ref="DIQ67:DIQ73"/>
    <mergeCell ref="DIR67:DIR73"/>
    <mergeCell ref="DIS67:DIS73"/>
    <mergeCell ref="DIT67:DIT73"/>
    <mergeCell ref="DII67:DII73"/>
    <mergeCell ref="DIJ67:DIJ73"/>
    <mergeCell ref="DIK67:DIK73"/>
    <mergeCell ref="DIL67:DIL73"/>
    <mergeCell ref="DIM67:DIM73"/>
    <mergeCell ref="DIN67:DIN73"/>
    <mergeCell ref="DIC67:DIC73"/>
    <mergeCell ref="DID67:DID73"/>
    <mergeCell ref="DIE67:DIE73"/>
    <mergeCell ref="DIF67:DIF73"/>
    <mergeCell ref="DIG67:DIG73"/>
    <mergeCell ref="DIH67:DIH73"/>
    <mergeCell ref="DHW67:DHW73"/>
    <mergeCell ref="DHX67:DHX73"/>
    <mergeCell ref="DHY67:DHY73"/>
    <mergeCell ref="DHZ67:DHZ73"/>
    <mergeCell ref="DIA67:DIA73"/>
    <mergeCell ref="DIB67:DIB73"/>
    <mergeCell ref="DHQ67:DHQ73"/>
    <mergeCell ref="DHR67:DHR73"/>
    <mergeCell ref="DHS67:DHS73"/>
    <mergeCell ref="DHT67:DHT73"/>
    <mergeCell ref="DHU67:DHU73"/>
    <mergeCell ref="DHV67:DHV73"/>
    <mergeCell ref="DHK67:DHK73"/>
    <mergeCell ref="DHL67:DHL73"/>
    <mergeCell ref="DHM67:DHM73"/>
    <mergeCell ref="DHN67:DHN73"/>
    <mergeCell ref="DHO67:DHO73"/>
    <mergeCell ref="DHP67:DHP73"/>
    <mergeCell ref="DJY67:DJY73"/>
    <mergeCell ref="DJZ67:DJZ73"/>
    <mergeCell ref="DKA67:DKA73"/>
    <mergeCell ref="DKB67:DKB73"/>
    <mergeCell ref="DKC67:DKC73"/>
    <mergeCell ref="DKD67:DKD73"/>
    <mergeCell ref="DJS67:DJS73"/>
    <mergeCell ref="DJT67:DJT73"/>
    <mergeCell ref="DJU67:DJU73"/>
    <mergeCell ref="DJV67:DJV73"/>
    <mergeCell ref="DJW67:DJW73"/>
    <mergeCell ref="DJX67:DJX73"/>
    <mergeCell ref="DJM67:DJM73"/>
    <mergeCell ref="DJN67:DJN73"/>
    <mergeCell ref="DJO67:DJO73"/>
    <mergeCell ref="DJP67:DJP73"/>
    <mergeCell ref="DJQ67:DJQ73"/>
    <mergeCell ref="DJR67:DJR73"/>
    <mergeCell ref="DJG67:DJG73"/>
    <mergeCell ref="DJH67:DJH73"/>
    <mergeCell ref="DJI67:DJI73"/>
    <mergeCell ref="DJJ67:DJJ73"/>
    <mergeCell ref="DJK67:DJK73"/>
    <mergeCell ref="DJL67:DJL73"/>
    <mergeCell ref="DJA67:DJA73"/>
    <mergeCell ref="DJB67:DJB73"/>
    <mergeCell ref="DJC67:DJC73"/>
    <mergeCell ref="DJD67:DJD73"/>
    <mergeCell ref="DJE67:DJE73"/>
    <mergeCell ref="DJF67:DJF73"/>
    <mergeCell ref="DIU67:DIU73"/>
    <mergeCell ref="DIV67:DIV73"/>
    <mergeCell ref="DIW67:DIW73"/>
    <mergeCell ref="DIX67:DIX73"/>
    <mergeCell ref="DIY67:DIY73"/>
    <mergeCell ref="DIZ67:DIZ73"/>
    <mergeCell ref="DLI67:DLI73"/>
    <mergeCell ref="DLJ67:DLJ73"/>
    <mergeCell ref="DLK67:DLK73"/>
    <mergeCell ref="DLL67:DLL73"/>
    <mergeCell ref="DLM67:DLM73"/>
    <mergeCell ref="DLN67:DLN73"/>
    <mergeCell ref="DLC67:DLC73"/>
    <mergeCell ref="DLD67:DLD73"/>
    <mergeCell ref="DLE67:DLE73"/>
    <mergeCell ref="DLF67:DLF73"/>
    <mergeCell ref="DLG67:DLG73"/>
    <mergeCell ref="DLH67:DLH73"/>
    <mergeCell ref="DKW67:DKW73"/>
    <mergeCell ref="DKX67:DKX73"/>
    <mergeCell ref="DKY67:DKY73"/>
    <mergeCell ref="DKZ67:DKZ73"/>
    <mergeCell ref="DLA67:DLA73"/>
    <mergeCell ref="DLB67:DLB73"/>
    <mergeCell ref="DKQ67:DKQ73"/>
    <mergeCell ref="DKR67:DKR73"/>
    <mergeCell ref="DKS67:DKS73"/>
    <mergeCell ref="DKT67:DKT73"/>
    <mergeCell ref="DKU67:DKU73"/>
    <mergeCell ref="DKV67:DKV73"/>
    <mergeCell ref="DKK67:DKK73"/>
    <mergeCell ref="DKL67:DKL73"/>
    <mergeCell ref="DKM67:DKM73"/>
    <mergeCell ref="DKN67:DKN73"/>
    <mergeCell ref="DKO67:DKO73"/>
    <mergeCell ref="DKP67:DKP73"/>
    <mergeCell ref="DKE67:DKE73"/>
    <mergeCell ref="DKF67:DKF73"/>
    <mergeCell ref="DKG67:DKG73"/>
    <mergeCell ref="DKH67:DKH73"/>
    <mergeCell ref="DKI67:DKI73"/>
    <mergeCell ref="DKJ67:DKJ73"/>
    <mergeCell ref="DMS67:DMS73"/>
    <mergeCell ref="DMT67:DMT73"/>
    <mergeCell ref="DMU67:DMU73"/>
    <mergeCell ref="DMV67:DMV73"/>
    <mergeCell ref="DMW67:DMW73"/>
    <mergeCell ref="DMX67:DMX73"/>
    <mergeCell ref="DMM67:DMM73"/>
    <mergeCell ref="DMN67:DMN73"/>
    <mergeCell ref="DMO67:DMO73"/>
    <mergeCell ref="DMP67:DMP73"/>
    <mergeCell ref="DMQ67:DMQ73"/>
    <mergeCell ref="DMR67:DMR73"/>
    <mergeCell ref="DMG67:DMG73"/>
    <mergeCell ref="DMH67:DMH73"/>
    <mergeCell ref="DMI67:DMI73"/>
    <mergeCell ref="DMJ67:DMJ73"/>
    <mergeCell ref="DMK67:DMK73"/>
    <mergeCell ref="DML67:DML73"/>
    <mergeCell ref="DMA67:DMA73"/>
    <mergeCell ref="DMB67:DMB73"/>
    <mergeCell ref="DMC67:DMC73"/>
    <mergeCell ref="DMD67:DMD73"/>
    <mergeCell ref="DME67:DME73"/>
    <mergeCell ref="DMF67:DMF73"/>
    <mergeCell ref="DLU67:DLU73"/>
    <mergeCell ref="DLV67:DLV73"/>
    <mergeCell ref="DLW67:DLW73"/>
    <mergeCell ref="DLX67:DLX73"/>
    <mergeCell ref="DLY67:DLY73"/>
    <mergeCell ref="DLZ67:DLZ73"/>
    <mergeCell ref="DLO67:DLO73"/>
    <mergeCell ref="DLP67:DLP73"/>
    <mergeCell ref="DLQ67:DLQ73"/>
    <mergeCell ref="DLR67:DLR73"/>
    <mergeCell ref="DLS67:DLS73"/>
    <mergeCell ref="DLT67:DLT73"/>
    <mergeCell ref="DOC67:DOC73"/>
    <mergeCell ref="DOD67:DOD73"/>
    <mergeCell ref="DOE67:DOE73"/>
    <mergeCell ref="DOF67:DOF73"/>
    <mergeCell ref="DOG67:DOG73"/>
    <mergeCell ref="DOH67:DOH73"/>
    <mergeCell ref="DNW67:DNW73"/>
    <mergeCell ref="DNX67:DNX73"/>
    <mergeCell ref="DNY67:DNY73"/>
    <mergeCell ref="DNZ67:DNZ73"/>
    <mergeCell ref="DOA67:DOA73"/>
    <mergeCell ref="DOB67:DOB73"/>
    <mergeCell ref="DNQ67:DNQ73"/>
    <mergeCell ref="DNR67:DNR73"/>
    <mergeCell ref="DNS67:DNS73"/>
    <mergeCell ref="DNT67:DNT73"/>
    <mergeCell ref="DNU67:DNU73"/>
    <mergeCell ref="DNV67:DNV73"/>
    <mergeCell ref="DNK67:DNK73"/>
    <mergeCell ref="DNL67:DNL73"/>
    <mergeCell ref="DNM67:DNM73"/>
    <mergeCell ref="DNN67:DNN73"/>
    <mergeCell ref="DNO67:DNO73"/>
    <mergeCell ref="DNP67:DNP73"/>
    <mergeCell ref="DNE67:DNE73"/>
    <mergeCell ref="DNF67:DNF73"/>
    <mergeCell ref="DNG67:DNG73"/>
    <mergeCell ref="DNH67:DNH73"/>
    <mergeCell ref="DNI67:DNI73"/>
    <mergeCell ref="DNJ67:DNJ73"/>
    <mergeCell ref="DMY67:DMY73"/>
    <mergeCell ref="DMZ67:DMZ73"/>
    <mergeCell ref="DNA67:DNA73"/>
    <mergeCell ref="DNB67:DNB73"/>
    <mergeCell ref="DNC67:DNC73"/>
    <mergeCell ref="DND67:DND73"/>
    <mergeCell ref="DPM67:DPM73"/>
    <mergeCell ref="DPN67:DPN73"/>
    <mergeCell ref="DPO67:DPO73"/>
    <mergeCell ref="DPP67:DPP73"/>
    <mergeCell ref="DPQ67:DPQ73"/>
    <mergeCell ref="DPR67:DPR73"/>
    <mergeCell ref="DPG67:DPG73"/>
    <mergeCell ref="DPH67:DPH73"/>
    <mergeCell ref="DPI67:DPI73"/>
    <mergeCell ref="DPJ67:DPJ73"/>
    <mergeCell ref="DPK67:DPK73"/>
    <mergeCell ref="DPL67:DPL73"/>
    <mergeCell ref="DPA67:DPA73"/>
    <mergeCell ref="DPB67:DPB73"/>
    <mergeCell ref="DPC67:DPC73"/>
    <mergeCell ref="DPD67:DPD73"/>
    <mergeCell ref="DPE67:DPE73"/>
    <mergeCell ref="DPF67:DPF73"/>
    <mergeCell ref="DOU67:DOU73"/>
    <mergeCell ref="DOV67:DOV73"/>
    <mergeCell ref="DOW67:DOW73"/>
    <mergeCell ref="DOX67:DOX73"/>
    <mergeCell ref="DOY67:DOY73"/>
    <mergeCell ref="DOZ67:DOZ73"/>
    <mergeCell ref="DOO67:DOO73"/>
    <mergeCell ref="DOP67:DOP73"/>
    <mergeCell ref="DOQ67:DOQ73"/>
    <mergeCell ref="DOR67:DOR73"/>
    <mergeCell ref="DOS67:DOS73"/>
    <mergeCell ref="DOT67:DOT73"/>
    <mergeCell ref="DOI67:DOI73"/>
    <mergeCell ref="DOJ67:DOJ73"/>
    <mergeCell ref="DOK67:DOK73"/>
    <mergeCell ref="DOL67:DOL73"/>
    <mergeCell ref="DOM67:DOM73"/>
    <mergeCell ref="DON67:DON73"/>
    <mergeCell ref="DQW67:DQW73"/>
    <mergeCell ref="DQX67:DQX73"/>
    <mergeCell ref="DQY67:DQY73"/>
    <mergeCell ref="DQZ67:DQZ73"/>
    <mergeCell ref="DRA67:DRA73"/>
    <mergeCell ref="DRB67:DRB73"/>
    <mergeCell ref="DQQ67:DQQ73"/>
    <mergeCell ref="DQR67:DQR73"/>
    <mergeCell ref="DQS67:DQS73"/>
    <mergeCell ref="DQT67:DQT73"/>
    <mergeCell ref="DQU67:DQU73"/>
    <mergeCell ref="DQV67:DQV73"/>
    <mergeCell ref="DQK67:DQK73"/>
    <mergeCell ref="DQL67:DQL73"/>
    <mergeCell ref="DQM67:DQM73"/>
    <mergeCell ref="DQN67:DQN73"/>
    <mergeCell ref="DQO67:DQO73"/>
    <mergeCell ref="DQP67:DQP73"/>
    <mergeCell ref="DQE67:DQE73"/>
    <mergeCell ref="DQF67:DQF73"/>
    <mergeCell ref="DQG67:DQG73"/>
    <mergeCell ref="DQH67:DQH73"/>
    <mergeCell ref="DQI67:DQI73"/>
    <mergeCell ref="DQJ67:DQJ73"/>
    <mergeCell ref="DPY67:DPY73"/>
    <mergeCell ref="DPZ67:DPZ73"/>
    <mergeCell ref="DQA67:DQA73"/>
    <mergeCell ref="DQB67:DQB73"/>
    <mergeCell ref="DQC67:DQC73"/>
    <mergeCell ref="DQD67:DQD73"/>
    <mergeCell ref="DPS67:DPS73"/>
    <mergeCell ref="DPT67:DPT73"/>
    <mergeCell ref="DPU67:DPU73"/>
    <mergeCell ref="DPV67:DPV73"/>
    <mergeCell ref="DPW67:DPW73"/>
    <mergeCell ref="DPX67:DPX73"/>
    <mergeCell ref="DSG67:DSG73"/>
    <mergeCell ref="DSH67:DSH73"/>
    <mergeCell ref="DSI67:DSI73"/>
    <mergeCell ref="DSJ67:DSJ73"/>
    <mergeCell ref="DSK67:DSK73"/>
    <mergeCell ref="DSL67:DSL73"/>
    <mergeCell ref="DSA67:DSA73"/>
    <mergeCell ref="DSB67:DSB73"/>
    <mergeCell ref="DSC67:DSC73"/>
    <mergeCell ref="DSD67:DSD73"/>
    <mergeCell ref="DSE67:DSE73"/>
    <mergeCell ref="DSF67:DSF73"/>
    <mergeCell ref="DRU67:DRU73"/>
    <mergeCell ref="DRV67:DRV73"/>
    <mergeCell ref="DRW67:DRW73"/>
    <mergeCell ref="DRX67:DRX73"/>
    <mergeCell ref="DRY67:DRY73"/>
    <mergeCell ref="DRZ67:DRZ73"/>
    <mergeCell ref="DRO67:DRO73"/>
    <mergeCell ref="DRP67:DRP73"/>
    <mergeCell ref="DRQ67:DRQ73"/>
    <mergeCell ref="DRR67:DRR73"/>
    <mergeCell ref="DRS67:DRS73"/>
    <mergeCell ref="DRT67:DRT73"/>
    <mergeCell ref="DRI67:DRI73"/>
    <mergeCell ref="DRJ67:DRJ73"/>
    <mergeCell ref="DRK67:DRK73"/>
    <mergeCell ref="DRL67:DRL73"/>
    <mergeCell ref="DRM67:DRM73"/>
    <mergeCell ref="DRN67:DRN73"/>
    <mergeCell ref="DRC67:DRC73"/>
    <mergeCell ref="DRD67:DRD73"/>
    <mergeCell ref="DRE67:DRE73"/>
    <mergeCell ref="DRF67:DRF73"/>
    <mergeCell ref="DRG67:DRG73"/>
    <mergeCell ref="DRH67:DRH73"/>
    <mergeCell ref="DTQ67:DTQ73"/>
    <mergeCell ref="DTR67:DTR73"/>
    <mergeCell ref="DTS67:DTS73"/>
    <mergeCell ref="DTT67:DTT73"/>
    <mergeCell ref="DTU67:DTU73"/>
    <mergeCell ref="DTV67:DTV73"/>
    <mergeCell ref="DTK67:DTK73"/>
    <mergeCell ref="DTL67:DTL73"/>
    <mergeCell ref="DTM67:DTM73"/>
    <mergeCell ref="DTN67:DTN73"/>
    <mergeCell ref="DTO67:DTO73"/>
    <mergeCell ref="DTP67:DTP73"/>
    <mergeCell ref="DTE67:DTE73"/>
    <mergeCell ref="DTF67:DTF73"/>
    <mergeCell ref="DTG67:DTG73"/>
    <mergeCell ref="DTH67:DTH73"/>
    <mergeCell ref="DTI67:DTI73"/>
    <mergeCell ref="DTJ67:DTJ73"/>
    <mergeCell ref="DSY67:DSY73"/>
    <mergeCell ref="DSZ67:DSZ73"/>
    <mergeCell ref="DTA67:DTA73"/>
    <mergeCell ref="DTB67:DTB73"/>
    <mergeCell ref="DTC67:DTC73"/>
    <mergeCell ref="DTD67:DTD73"/>
    <mergeCell ref="DSS67:DSS73"/>
    <mergeCell ref="DST67:DST73"/>
    <mergeCell ref="DSU67:DSU73"/>
    <mergeCell ref="DSV67:DSV73"/>
    <mergeCell ref="DSW67:DSW73"/>
    <mergeCell ref="DSX67:DSX73"/>
    <mergeCell ref="DSM67:DSM73"/>
    <mergeCell ref="DSN67:DSN73"/>
    <mergeCell ref="DSO67:DSO73"/>
    <mergeCell ref="DSP67:DSP73"/>
    <mergeCell ref="DSQ67:DSQ73"/>
    <mergeCell ref="DSR67:DSR73"/>
    <mergeCell ref="DVA67:DVA73"/>
    <mergeCell ref="DVB67:DVB73"/>
    <mergeCell ref="DVC67:DVC73"/>
    <mergeCell ref="DVD67:DVD73"/>
    <mergeCell ref="DVE67:DVE73"/>
    <mergeCell ref="DVF67:DVF73"/>
    <mergeCell ref="DUU67:DUU73"/>
    <mergeCell ref="DUV67:DUV73"/>
    <mergeCell ref="DUW67:DUW73"/>
    <mergeCell ref="DUX67:DUX73"/>
    <mergeCell ref="DUY67:DUY73"/>
    <mergeCell ref="DUZ67:DUZ73"/>
    <mergeCell ref="DUO67:DUO73"/>
    <mergeCell ref="DUP67:DUP73"/>
    <mergeCell ref="DUQ67:DUQ73"/>
    <mergeCell ref="DUR67:DUR73"/>
    <mergeCell ref="DUS67:DUS73"/>
    <mergeCell ref="DUT67:DUT73"/>
    <mergeCell ref="DUI67:DUI73"/>
    <mergeCell ref="DUJ67:DUJ73"/>
    <mergeCell ref="DUK67:DUK73"/>
    <mergeCell ref="DUL67:DUL73"/>
    <mergeCell ref="DUM67:DUM73"/>
    <mergeCell ref="DUN67:DUN73"/>
    <mergeCell ref="DUC67:DUC73"/>
    <mergeCell ref="DUD67:DUD73"/>
    <mergeCell ref="DUE67:DUE73"/>
    <mergeCell ref="DUF67:DUF73"/>
    <mergeCell ref="DUG67:DUG73"/>
    <mergeCell ref="DUH67:DUH73"/>
    <mergeCell ref="DTW67:DTW73"/>
    <mergeCell ref="DTX67:DTX73"/>
    <mergeCell ref="DTY67:DTY73"/>
    <mergeCell ref="DTZ67:DTZ73"/>
    <mergeCell ref="DUA67:DUA73"/>
    <mergeCell ref="DUB67:DUB73"/>
    <mergeCell ref="DWK67:DWK73"/>
    <mergeCell ref="DWL67:DWL73"/>
    <mergeCell ref="DWM67:DWM73"/>
    <mergeCell ref="DWN67:DWN73"/>
    <mergeCell ref="DWO67:DWO73"/>
    <mergeCell ref="DWP67:DWP73"/>
    <mergeCell ref="DWE67:DWE73"/>
    <mergeCell ref="DWF67:DWF73"/>
    <mergeCell ref="DWG67:DWG73"/>
    <mergeCell ref="DWH67:DWH73"/>
    <mergeCell ref="DWI67:DWI73"/>
    <mergeCell ref="DWJ67:DWJ73"/>
    <mergeCell ref="DVY67:DVY73"/>
    <mergeCell ref="DVZ67:DVZ73"/>
    <mergeCell ref="DWA67:DWA73"/>
    <mergeCell ref="DWB67:DWB73"/>
    <mergeCell ref="DWC67:DWC73"/>
    <mergeCell ref="DWD67:DWD73"/>
    <mergeCell ref="DVS67:DVS73"/>
    <mergeCell ref="DVT67:DVT73"/>
    <mergeCell ref="DVU67:DVU73"/>
    <mergeCell ref="DVV67:DVV73"/>
    <mergeCell ref="DVW67:DVW73"/>
    <mergeCell ref="DVX67:DVX73"/>
    <mergeCell ref="DVM67:DVM73"/>
    <mergeCell ref="DVN67:DVN73"/>
    <mergeCell ref="DVO67:DVO73"/>
    <mergeCell ref="DVP67:DVP73"/>
    <mergeCell ref="DVQ67:DVQ73"/>
    <mergeCell ref="DVR67:DVR73"/>
    <mergeCell ref="DVG67:DVG73"/>
    <mergeCell ref="DVH67:DVH73"/>
    <mergeCell ref="DVI67:DVI73"/>
    <mergeCell ref="DVJ67:DVJ73"/>
    <mergeCell ref="DVK67:DVK73"/>
    <mergeCell ref="DVL67:DVL73"/>
    <mergeCell ref="DXU67:DXU73"/>
    <mergeCell ref="DXV67:DXV73"/>
    <mergeCell ref="DXW67:DXW73"/>
    <mergeCell ref="DXX67:DXX73"/>
    <mergeCell ref="DXY67:DXY73"/>
    <mergeCell ref="DXZ67:DXZ73"/>
    <mergeCell ref="DXO67:DXO73"/>
    <mergeCell ref="DXP67:DXP73"/>
    <mergeCell ref="DXQ67:DXQ73"/>
    <mergeCell ref="DXR67:DXR73"/>
    <mergeCell ref="DXS67:DXS73"/>
    <mergeCell ref="DXT67:DXT73"/>
    <mergeCell ref="DXI67:DXI73"/>
    <mergeCell ref="DXJ67:DXJ73"/>
    <mergeCell ref="DXK67:DXK73"/>
    <mergeCell ref="DXL67:DXL73"/>
    <mergeCell ref="DXM67:DXM73"/>
    <mergeCell ref="DXN67:DXN73"/>
    <mergeCell ref="DXC67:DXC73"/>
    <mergeCell ref="DXD67:DXD73"/>
    <mergeCell ref="DXE67:DXE73"/>
    <mergeCell ref="DXF67:DXF73"/>
    <mergeCell ref="DXG67:DXG73"/>
    <mergeCell ref="DXH67:DXH73"/>
    <mergeCell ref="DWW67:DWW73"/>
    <mergeCell ref="DWX67:DWX73"/>
    <mergeCell ref="DWY67:DWY73"/>
    <mergeCell ref="DWZ67:DWZ73"/>
    <mergeCell ref="DXA67:DXA73"/>
    <mergeCell ref="DXB67:DXB73"/>
    <mergeCell ref="DWQ67:DWQ73"/>
    <mergeCell ref="DWR67:DWR73"/>
    <mergeCell ref="DWS67:DWS73"/>
    <mergeCell ref="DWT67:DWT73"/>
    <mergeCell ref="DWU67:DWU73"/>
    <mergeCell ref="DWV67:DWV73"/>
    <mergeCell ref="DZE67:DZE73"/>
    <mergeCell ref="DZF67:DZF73"/>
    <mergeCell ref="DZG67:DZG73"/>
    <mergeCell ref="DZH67:DZH73"/>
    <mergeCell ref="DZI67:DZI73"/>
    <mergeCell ref="DZJ67:DZJ73"/>
    <mergeCell ref="DYY67:DYY73"/>
    <mergeCell ref="DYZ67:DYZ73"/>
    <mergeCell ref="DZA67:DZA73"/>
    <mergeCell ref="DZB67:DZB73"/>
    <mergeCell ref="DZC67:DZC73"/>
    <mergeCell ref="DZD67:DZD73"/>
    <mergeCell ref="DYS67:DYS73"/>
    <mergeCell ref="DYT67:DYT73"/>
    <mergeCell ref="DYU67:DYU73"/>
    <mergeCell ref="DYV67:DYV73"/>
    <mergeCell ref="DYW67:DYW73"/>
    <mergeCell ref="DYX67:DYX73"/>
    <mergeCell ref="DYM67:DYM73"/>
    <mergeCell ref="DYN67:DYN73"/>
    <mergeCell ref="DYO67:DYO73"/>
    <mergeCell ref="DYP67:DYP73"/>
    <mergeCell ref="DYQ67:DYQ73"/>
    <mergeCell ref="DYR67:DYR73"/>
    <mergeCell ref="DYG67:DYG73"/>
    <mergeCell ref="DYH67:DYH73"/>
    <mergeCell ref="DYI67:DYI73"/>
    <mergeCell ref="DYJ67:DYJ73"/>
    <mergeCell ref="DYK67:DYK73"/>
    <mergeCell ref="DYL67:DYL73"/>
    <mergeCell ref="DYA67:DYA73"/>
    <mergeCell ref="DYB67:DYB73"/>
    <mergeCell ref="DYC67:DYC73"/>
    <mergeCell ref="DYD67:DYD73"/>
    <mergeCell ref="DYE67:DYE73"/>
    <mergeCell ref="DYF67:DYF73"/>
    <mergeCell ref="EAO67:EAO73"/>
    <mergeCell ref="EAP67:EAP73"/>
    <mergeCell ref="EAQ67:EAQ73"/>
    <mergeCell ref="EAR67:EAR73"/>
    <mergeCell ref="EAS67:EAS73"/>
    <mergeCell ref="EAT67:EAT73"/>
    <mergeCell ref="EAI67:EAI73"/>
    <mergeCell ref="EAJ67:EAJ73"/>
    <mergeCell ref="EAK67:EAK73"/>
    <mergeCell ref="EAL67:EAL73"/>
    <mergeCell ref="EAM67:EAM73"/>
    <mergeCell ref="EAN67:EAN73"/>
    <mergeCell ref="EAC67:EAC73"/>
    <mergeCell ref="EAD67:EAD73"/>
    <mergeCell ref="EAE67:EAE73"/>
    <mergeCell ref="EAF67:EAF73"/>
    <mergeCell ref="EAG67:EAG73"/>
    <mergeCell ref="EAH67:EAH73"/>
    <mergeCell ref="DZW67:DZW73"/>
    <mergeCell ref="DZX67:DZX73"/>
    <mergeCell ref="DZY67:DZY73"/>
    <mergeCell ref="DZZ67:DZZ73"/>
    <mergeCell ref="EAA67:EAA73"/>
    <mergeCell ref="EAB67:EAB73"/>
    <mergeCell ref="DZQ67:DZQ73"/>
    <mergeCell ref="DZR67:DZR73"/>
    <mergeCell ref="DZS67:DZS73"/>
    <mergeCell ref="DZT67:DZT73"/>
    <mergeCell ref="DZU67:DZU73"/>
    <mergeCell ref="DZV67:DZV73"/>
    <mergeCell ref="DZK67:DZK73"/>
    <mergeCell ref="DZL67:DZL73"/>
    <mergeCell ref="DZM67:DZM73"/>
    <mergeCell ref="DZN67:DZN73"/>
    <mergeCell ref="DZO67:DZO73"/>
    <mergeCell ref="DZP67:DZP73"/>
    <mergeCell ref="EBY67:EBY73"/>
    <mergeCell ref="EBZ67:EBZ73"/>
    <mergeCell ref="ECA67:ECA73"/>
    <mergeCell ref="ECB67:ECB73"/>
    <mergeCell ref="ECC67:ECC73"/>
    <mergeCell ref="ECD67:ECD73"/>
    <mergeCell ref="EBS67:EBS73"/>
    <mergeCell ref="EBT67:EBT73"/>
    <mergeCell ref="EBU67:EBU73"/>
    <mergeCell ref="EBV67:EBV73"/>
    <mergeCell ref="EBW67:EBW73"/>
    <mergeCell ref="EBX67:EBX73"/>
    <mergeCell ref="EBM67:EBM73"/>
    <mergeCell ref="EBN67:EBN73"/>
    <mergeCell ref="EBO67:EBO73"/>
    <mergeCell ref="EBP67:EBP73"/>
    <mergeCell ref="EBQ67:EBQ73"/>
    <mergeCell ref="EBR67:EBR73"/>
    <mergeCell ref="EBG67:EBG73"/>
    <mergeCell ref="EBH67:EBH73"/>
    <mergeCell ref="EBI67:EBI73"/>
    <mergeCell ref="EBJ67:EBJ73"/>
    <mergeCell ref="EBK67:EBK73"/>
    <mergeCell ref="EBL67:EBL73"/>
    <mergeCell ref="EBA67:EBA73"/>
    <mergeCell ref="EBB67:EBB73"/>
    <mergeCell ref="EBC67:EBC73"/>
    <mergeCell ref="EBD67:EBD73"/>
    <mergeCell ref="EBE67:EBE73"/>
    <mergeCell ref="EBF67:EBF73"/>
    <mergeCell ref="EAU67:EAU73"/>
    <mergeCell ref="EAV67:EAV73"/>
    <mergeCell ref="EAW67:EAW73"/>
    <mergeCell ref="EAX67:EAX73"/>
    <mergeCell ref="EAY67:EAY73"/>
    <mergeCell ref="EAZ67:EAZ73"/>
    <mergeCell ref="EDI67:EDI73"/>
    <mergeCell ref="EDJ67:EDJ73"/>
    <mergeCell ref="EDK67:EDK73"/>
    <mergeCell ref="EDL67:EDL73"/>
    <mergeCell ref="EDM67:EDM73"/>
    <mergeCell ref="EDN67:EDN73"/>
    <mergeCell ref="EDC67:EDC73"/>
    <mergeCell ref="EDD67:EDD73"/>
    <mergeCell ref="EDE67:EDE73"/>
    <mergeCell ref="EDF67:EDF73"/>
    <mergeCell ref="EDG67:EDG73"/>
    <mergeCell ref="EDH67:EDH73"/>
    <mergeCell ref="ECW67:ECW73"/>
    <mergeCell ref="ECX67:ECX73"/>
    <mergeCell ref="ECY67:ECY73"/>
    <mergeCell ref="ECZ67:ECZ73"/>
    <mergeCell ref="EDA67:EDA73"/>
    <mergeCell ref="EDB67:EDB73"/>
    <mergeCell ref="ECQ67:ECQ73"/>
    <mergeCell ref="ECR67:ECR73"/>
    <mergeCell ref="ECS67:ECS73"/>
    <mergeCell ref="ECT67:ECT73"/>
    <mergeCell ref="ECU67:ECU73"/>
    <mergeCell ref="ECV67:ECV73"/>
    <mergeCell ref="ECK67:ECK73"/>
    <mergeCell ref="ECL67:ECL73"/>
    <mergeCell ref="ECM67:ECM73"/>
    <mergeCell ref="ECN67:ECN73"/>
    <mergeCell ref="ECO67:ECO73"/>
    <mergeCell ref="ECP67:ECP73"/>
    <mergeCell ref="ECE67:ECE73"/>
    <mergeCell ref="ECF67:ECF73"/>
    <mergeCell ref="ECG67:ECG73"/>
    <mergeCell ref="ECH67:ECH73"/>
    <mergeCell ref="ECI67:ECI73"/>
    <mergeCell ref="ECJ67:ECJ73"/>
    <mergeCell ref="EES67:EES73"/>
    <mergeCell ref="EET67:EET73"/>
    <mergeCell ref="EEU67:EEU73"/>
    <mergeCell ref="EEV67:EEV73"/>
    <mergeCell ref="EEW67:EEW73"/>
    <mergeCell ref="EEX67:EEX73"/>
    <mergeCell ref="EEM67:EEM73"/>
    <mergeCell ref="EEN67:EEN73"/>
    <mergeCell ref="EEO67:EEO73"/>
    <mergeCell ref="EEP67:EEP73"/>
    <mergeCell ref="EEQ67:EEQ73"/>
    <mergeCell ref="EER67:EER73"/>
    <mergeCell ref="EEG67:EEG73"/>
    <mergeCell ref="EEH67:EEH73"/>
    <mergeCell ref="EEI67:EEI73"/>
    <mergeCell ref="EEJ67:EEJ73"/>
    <mergeCell ref="EEK67:EEK73"/>
    <mergeCell ref="EEL67:EEL73"/>
    <mergeCell ref="EEA67:EEA73"/>
    <mergeCell ref="EEB67:EEB73"/>
    <mergeCell ref="EEC67:EEC73"/>
    <mergeCell ref="EED67:EED73"/>
    <mergeCell ref="EEE67:EEE73"/>
    <mergeCell ref="EEF67:EEF73"/>
    <mergeCell ref="EDU67:EDU73"/>
    <mergeCell ref="EDV67:EDV73"/>
    <mergeCell ref="EDW67:EDW73"/>
    <mergeCell ref="EDX67:EDX73"/>
    <mergeCell ref="EDY67:EDY73"/>
    <mergeCell ref="EDZ67:EDZ73"/>
    <mergeCell ref="EDO67:EDO73"/>
    <mergeCell ref="EDP67:EDP73"/>
    <mergeCell ref="EDQ67:EDQ73"/>
    <mergeCell ref="EDR67:EDR73"/>
    <mergeCell ref="EDS67:EDS73"/>
    <mergeCell ref="EDT67:EDT73"/>
    <mergeCell ref="EGC67:EGC73"/>
    <mergeCell ref="EGD67:EGD73"/>
    <mergeCell ref="EGE67:EGE73"/>
    <mergeCell ref="EGF67:EGF73"/>
    <mergeCell ref="EGG67:EGG73"/>
    <mergeCell ref="EGH67:EGH73"/>
    <mergeCell ref="EFW67:EFW73"/>
    <mergeCell ref="EFX67:EFX73"/>
    <mergeCell ref="EFY67:EFY73"/>
    <mergeCell ref="EFZ67:EFZ73"/>
    <mergeCell ref="EGA67:EGA73"/>
    <mergeCell ref="EGB67:EGB73"/>
    <mergeCell ref="EFQ67:EFQ73"/>
    <mergeCell ref="EFR67:EFR73"/>
    <mergeCell ref="EFS67:EFS73"/>
    <mergeCell ref="EFT67:EFT73"/>
    <mergeCell ref="EFU67:EFU73"/>
    <mergeCell ref="EFV67:EFV73"/>
    <mergeCell ref="EFK67:EFK73"/>
    <mergeCell ref="EFL67:EFL73"/>
    <mergeCell ref="EFM67:EFM73"/>
    <mergeCell ref="EFN67:EFN73"/>
    <mergeCell ref="EFO67:EFO73"/>
    <mergeCell ref="EFP67:EFP73"/>
    <mergeCell ref="EFE67:EFE73"/>
    <mergeCell ref="EFF67:EFF73"/>
    <mergeCell ref="EFG67:EFG73"/>
    <mergeCell ref="EFH67:EFH73"/>
    <mergeCell ref="EFI67:EFI73"/>
    <mergeCell ref="EFJ67:EFJ73"/>
    <mergeCell ref="EEY67:EEY73"/>
    <mergeCell ref="EEZ67:EEZ73"/>
    <mergeCell ref="EFA67:EFA73"/>
    <mergeCell ref="EFB67:EFB73"/>
    <mergeCell ref="EFC67:EFC73"/>
    <mergeCell ref="EFD67:EFD73"/>
    <mergeCell ref="EHM67:EHM73"/>
    <mergeCell ref="EHN67:EHN73"/>
    <mergeCell ref="EHO67:EHO73"/>
    <mergeCell ref="EHP67:EHP73"/>
    <mergeCell ref="EHQ67:EHQ73"/>
    <mergeCell ref="EHR67:EHR73"/>
    <mergeCell ref="EHG67:EHG73"/>
    <mergeCell ref="EHH67:EHH73"/>
    <mergeCell ref="EHI67:EHI73"/>
    <mergeCell ref="EHJ67:EHJ73"/>
    <mergeCell ref="EHK67:EHK73"/>
    <mergeCell ref="EHL67:EHL73"/>
    <mergeCell ref="EHA67:EHA73"/>
    <mergeCell ref="EHB67:EHB73"/>
    <mergeCell ref="EHC67:EHC73"/>
    <mergeCell ref="EHD67:EHD73"/>
    <mergeCell ref="EHE67:EHE73"/>
    <mergeCell ref="EHF67:EHF73"/>
    <mergeCell ref="EGU67:EGU73"/>
    <mergeCell ref="EGV67:EGV73"/>
    <mergeCell ref="EGW67:EGW73"/>
    <mergeCell ref="EGX67:EGX73"/>
    <mergeCell ref="EGY67:EGY73"/>
    <mergeCell ref="EGZ67:EGZ73"/>
    <mergeCell ref="EGO67:EGO73"/>
    <mergeCell ref="EGP67:EGP73"/>
    <mergeCell ref="EGQ67:EGQ73"/>
    <mergeCell ref="EGR67:EGR73"/>
    <mergeCell ref="EGS67:EGS73"/>
    <mergeCell ref="EGT67:EGT73"/>
    <mergeCell ref="EGI67:EGI73"/>
    <mergeCell ref="EGJ67:EGJ73"/>
    <mergeCell ref="EGK67:EGK73"/>
    <mergeCell ref="EGL67:EGL73"/>
    <mergeCell ref="EGM67:EGM73"/>
    <mergeCell ref="EGN67:EGN73"/>
    <mergeCell ref="EIW67:EIW73"/>
    <mergeCell ref="EIX67:EIX73"/>
    <mergeCell ref="EIY67:EIY73"/>
    <mergeCell ref="EIZ67:EIZ73"/>
    <mergeCell ref="EJA67:EJA73"/>
    <mergeCell ref="EJB67:EJB73"/>
    <mergeCell ref="EIQ67:EIQ73"/>
    <mergeCell ref="EIR67:EIR73"/>
    <mergeCell ref="EIS67:EIS73"/>
    <mergeCell ref="EIT67:EIT73"/>
    <mergeCell ref="EIU67:EIU73"/>
    <mergeCell ref="EIV67:EIV73"/>
    <mergeCell ref="EIK67:EIK73"/>
    <mergeCell ref="EIL67:EIL73"/>
    <mergeCell ref="EIM67:EIM73"/>
    <mergeCell ref="EIN67:EIN73"/>
    <mergeCell ref="EIO67:EIO73"/>
    <mergeCell ref="EIP67:EIP73"/>
    <mergeCell ref="EIE67:EIE73"/>
    <mergeCell ref="EIF67:EIF73"/>
    <mergeCell ref="EIG67:EIG73"/>
    <mergeCell ref="EIH67:EIH73"/>
    <mergeCell ref="EII67:EII73"/>
    <mergeCell ref="EIJ67:EIJ73"/>
    <mergeCell ref="EHY67:EHY73"/>
    <mergeCell ref="EHZ67:EHZ73"/>
    <mergeCell ref="EIA67:EIA73"/>
    <mergeCell ref="EIB67:EIB73"/>
    <mergeCell ref="EIC67:EIC73"/>
    <mergeCell ref="EID67:EID73"/>
    <mergeCell ref="EHS67:EHS73"/>
    <mergeCell ref="EHT67:EHT73"/>
    <mergeCell ref="EHU67:EHU73"/>
    <mergeCell ref="EHV67:EHV73"/>
    <mergeCell ref="EHW67:EHW73"/>
    <mergeCell ref="EHX67:EHX73"/>
    <mergeCell ref="EKG67:EKG73"/>
    <mergeCell ref="EKH67:EKH73"/>
    <mergeCell ref="EKI67:EKI73"/>
    <mergeCell ref="EKJ67:EKJ73"/>
    <mergeCell ref="EKK67:EKK73"/>
    <mergeCell ref="EKL67:EKL73"/>
    <mergeCell ref="EKA67:EKA73"/>
    <mergeCell ref="EKB67:EKB73"/>
    <mergeCell ref="EKC67:EKC73"/>
    <mergeCell ref="EKD67:EKD73"/>
    <mergeCell ref="EKE67:EKE73"/>
    <mergeCell ref="EKF67:EKF73"/>
    <mergeCell ref="EJU67:EJU73"/>
    <mergeCell ref="EJV67:EJV73"/>
    <mergeCell ref="EJW67:EJW73"/>
    <mergeCell ref="EJX67:EJX73"/>
    <mergeCell ref="EJY67:EJY73"/>
    <mergeCell ref="EJZ67:EJZ73"/>
    <mergeCell ref="EJO67:EJO73"/>
    <mergeCell ref="EJP67:EJP73"/>
    <mergeCell ref="EJQ67:EJQ73"/>
    <mergeCell ref="EJR67:EJR73"/>
    <mergeCell ref="EJS67:EJS73"/>
    <mergeCell ref="EJT67:EJT73"/>
    <mergeCell ref="EJI67:EJI73"/>
    <mergeCell ref="EJJ67:EJJ73"/>
    <mergeCell ref="EJK67:EJK73"/>
    <mergeCell ref="EJL67:EJL73"/>
    <mergeCell ref="EJM67:EJM73"/>
    <mergeCell ref="EJN67:EJN73"/>
    <mergeCell ref="EJC67:EJC73"/>
    <mergeCell ref="EJD67:EJD73"/>
    <mergeCell ref="EJE67:EJE73"/>
    <mergeCell ref="EJF67:EJF73"/>
    <mergeCell ref="EJG67:EJG73"/>
    <mergeCell ref="EJH67:EJH73"/>
    <mergeCell ref="ELQ67:ELQ73"/>
    <mergeCell ref="ELR67:ELR73"/>
    <mergeCell ref="ELS67:ELS73"/>
    <mergeCell ref="ELT67:ELT73"/>
    <mergeCell ref="ELU67:ELU73"/>
    <mergeCell ref="ELV67:ELV73"/>
    <mergeCell ref="ELK67:ELK73"/>
    <mergeCell ref="ELL67:ELL73"/>
    <mergeCell ref="ELM67:ELM73"/>
    <mergeCell ref="ELN67:ELN73"/>
    <mergeCell ref="ELO67:ELO73"/>
    <mergeCell ref="ELP67:ELP73"/>
    <mergeCell ref="ELE67:ELE73"/>
    <mergeCell ref="ELF67:ELF73"/>
    <mergeCell ref="ELG67:ELG73"/>
    <mergeCell ref="ELH67:ELH73"/>
    <mergeCell ref="ELI67:ELI73"/>
    <mergeCell ref="ELJ67:ELJ73"/>
    <mergeCell ref="EKY67:EKY73"/>
    <mergeCell ref="EKZ67:EKZ73"/>
    <mergeCell ref="ELA67:ELA73"/>
    <mergeCell ref="ELB67:ELB73"/>
    <mergeCell ref="ELC67:ELC73"/>
    <mergeCell ref="ELD67:ELD73"/>
    <mergeCell ref="EKS67:EKS73"/>
    <mergeCell ref="EKT67:EKT73"/>
    <mergeCell ref="EKU67:EKU73"/>
    <mergeCell ref="EKV67:EKV73"/>
    <mergeCell ref="EKW67:EKW73"/>
    <mergeCell ref="EKX67:EKX73"/>
    <mergeCell ref="EKM67:EKM73"/>
    <mergeCell ref="EKN67:EKN73"/>
    <mergeCell ref="EKO67:EKO73"/>
    <mergeCell ref="EKP67:EKP73"/>
    <mergeCell ref="EKQ67:EKQ73"/>
    <mergeCell ref="EKR67:EKR73"/>
    <mergeCell ref="ENA67:ENA73"/>
    <mergeCell ref="ENB67:ENB73"/>
    <mergeCell ref="ENC67:ENC73"/>
    <mergeCell ref="END67:END73"/>
    <mergeCell ref="ENE67:ENE73"/>
    <mergeCell ref="ENF67:ENF73"/>
    <mergeCell ref="EMU67:EMU73"/>
    <mergeCell ref="EMV67:EMV73"/>
    <mergeCell ref="EMW67:EMW73"/>
    <mergeCell ref="EMX67:EMX73"/>
    <mergeCell ref="EMY67:EMY73"/>
    <mergeCell ref="EMZ67:EMZ73"/>
    <mergeCell ref="EMO67:EMO73"/>
    <mergeCell ref="EMP67:EMP73"/>
    <mergeCell ref="EMQ67:EMQ73"/>
    <mergeCell ref="EMR67:EMR73"/>
    <mergeCell ref="EMS67:EMS73"/>
    <mergeCell ref="EMT67:EMT73"/>
    <mergeCell ref="EMI67:EMI73"/>
    <mergeCell ref="EMJ67:EMJ73"/>
    <mergeCell ref="EMK67:EMK73"/>
    <mergeCell ref="EML67:EML73"/>
    <mergeCell ref="EMM67:EMM73"/>
    <mergeCell ref="EMN67:EMN73"/>
    <mergeCell ref="EMC67:EMC73"/>
    <mergeCell ref="EMD67:EMD73"/>
    <mergeCell ref="EME67:EME73"/>
    <mergeCell ref="EMF67:EMF73"/>
    <mergeCell ref="EMG67:EMG73"/>
    <mergeCell ref="EMH67:EMH73"/>
    <mergeCell ref="ELW67:ELW73"/>
    <mergeCell ref="ELX67:ELX73"/>
    <mergeCell ref="ELY67:ELY73"/>
    <mergeCell ref="ELZ67:ELZ73"/>
    <mergeCell ref="EMA67:EMA73"/>
    <mergeCell ref="EMB67:EMB73"/>
    <mergeCell ref="EOK67:EOK73"/>
    <mergeCell ref="EOL67:EOL73"/>
    <mergeCell ref="EOM67:EOM73"/>
    <mergeCell ref="EON67:EON73"/>
    <mergeCell ref="EOO67:EOO73"/>
    <mergeCell ref="EOP67:EOP73"/>
    <mergeCell ref="EOE67:EOE73"/>
    <mergeCell ref="EOF67:EOF73"/>
    <mergeCell ref="EOG67:EOG73"/>
    <mergeCell ref="EOH67:EOH73"/>
    <mergeCell ref="EOI67:EOI73"/>
    <mergeCell ref="EOJ67:EOJ73"/>
    <mergeCell ref="ENY67:ENY73"/>
    <mergeCell ref="ENZ67:ENZ73"/>
    <mergeCell ref="EOA67:EOA73"/>
    <mergeCell ref="EOB67:EOB73"/>
    <mergeCell ref="EOC67:EOC73"/>
    <mergeCell ref="EOD67:EOD73"/>
    <mergeCell ref="ENS67:ENS73"/>
    <mergeCell ref="ENT67:ENT73"/>
    <mergeCell ref="ENU67:ENU73"/>
    <mergeCell ref="ENV67:ENV73"/>
    <mergeCell ref="ENW67:ENW73"/>
    <mergeCell ref="ENX67:ENX73"/>
    <mergeCell ref="ENM67:ENM73"/>
    <mergeCell ref="ENN67:ENN73"/>
    <mergeCell ref="ENO67:ENO73"/>
    <mergeCell ref="ENP67:ENP73"/>
    <mergeCell ref="ENQ67:ENQ73"/>
    <mergeCell ref="ENR67:ENR73"/>
    <mergeCell ref="ENG67:ENG73"/>
    <mergeCell ref="ENH67:ENH73"/>
    <mergeCell ref="ENI67:ENI73"/>
    <mergeCell ref="ENJ67:ENJ73"/>
    <mergeCell ref="ENK67:ENK73"/>
    <mergeCell ref="ENL67:ENL73"/>
    <mergeCell ref="EPU67:EPU73"/>
    <mergeCell ref="EPV67:EPV73"/>
    <mergeCell ref="EPW67:EPW73"/>
    <mergeCell ref="EPX67:EPX73"/>
    <mergeCell ref="EPY67:EPY73"/>
    <mergeCell ref="EPZ67:EPZ73"/>
    <mergeCell ref="EPO67:EPO73"/>
    <mergeCell ref="EPP67:EPP73"/>
    <mergeCell ref="EPQ67:EPQ73"/>
    <mergeCell ref="EPR67:EPR73"/>
    <mergeCell ref="EPS67:EPS73"/>
    <mergeCell ref="EPT67:EPT73"/>
    <mergeCell ref="EPI67:EPI73"/>
    <mergeCell ref="EPJ67:EPJ73"/>
    <mergeCell ref="EPK67:EPK73"/>
    <mergeCell ref="EPL67:EPL73"/>
    <mergeCell ref="EPM67:EPM73"/>
    <mergeCell ref="EPN67:EPN73"/>
    <mergeCell ref="EPC67:EPC73"/>
    <mergeCell ref="EPD67:EPD73"/>
    <mergeCell ref="EPE67:EPE73"/>
    <mergeCell ref="EPF67:EPF73"/>
    <mergeCell ref="EPG67:EPG73"/>
    <mergeCell ref="EPH67:EPH73"/>
    <mergeCell ref="EOW67:EOW73"/>
    <mergeCell ref="EOX67:EOX73"/>
    <mergeCell ref="EOY67:EOY73"/>
    <mergeCell ref="EOZ67:EOZ73"/>
    <mergeCell ref="EPA67:EPA73"/>
    <mergeCell ref="EPB67:EPB73"/>
    <mergeCell ref="EOQ67:EOQ73"/>
    <mergeCell ref="EOR67:EOR73"/>
    <mergeCell ref="EOS67:EOS73"/>
    <mergeCell ref="EOT67:EOT73"/>
    <mergeCell ref="EOU67:EOU73"/>
    <mergeCell ref="EOV67:EOV73"/>
    <mergeCell ref="ERE67:ERE73"/>
    <mergeCell ref="ERF67:ERF73"/>
    <mergeCell ref="ERG67:ERG73"/>
    <mergeCell ref="ERH67:ERH73"/>
    <mergeCell ref="ERI67:ERI73"/>
    <mergeCell ref="ERJ67:ERJ73"/>
    <mergeCell ref="EQY67:EQY73"/>
    <mergeCell ref="EQZ67:EQZ73"/>
    <mergeCell ref="ERA67:ERA73"/>
    <mergeCell ref="ERB67:ERB73"/>
    <mergeCell ref="ERC67:ERC73"/>
    <mergeCell ref="ERD67:ERD73"/>
    <mergeCell ref="EQS67:EQS73"/>
    <mergeCell ref="EQT67:EQT73"/>
    <mergeCell ref="EQU67:EQU73"/>
    <mergeCell ref="EQV67:EQV73"/>
    <mergeCell ref="EQW67:EQW73"/>
    <mergeCell ref="EQX67:EQX73"/>
    <mergeCell ref="EQM67:EQM73"/>
    <mergeCell ref="EQN67:EQN73"/>
    <mergeCell ref="EQO67:EQO73"/>
    <mergeCell ref="EQP67:EQP73"/>
    <mergeCell ref="EQQ67:EQQ73"/>
    <mergeCell ref="EQR67:EQR73"/>
    <mergeCell ref="EQG67:EQG73"/>
    <mergeCell ref="EQH67:EQH73"/>
    <mergeCell ref="EQI67:EQI73"/>
    <mergeCell ref="EQJ67:EQJ73"/>
    <mergeCell ref="EQK67:EQK73"/>
    <mergeCell ref="EQL67:EQL73"/>
    <mergeCell ref="EQA67:EQA73"/>
    <mergeCell ref="EQB67:EQB73"/>
    <mergeCell ref="EQC67:EQC73"/>
    <mergeCell ref="EQD67:EQD73"/>
    <mergeCell ref="EQE67:EQE73"/>
    <mergeCell ref="EQF67:EQF73"/>
    <mergeCell ref="ESO67:ESO73"/>
    <mergeCell ref="ESP67:ESP73"/>
    <mergeCell ref="ESQ67:ESQ73"/>
    <mergeCell ref="ESR67:ESR73"/>
    <mergeCell ref="ESS67:ESS73"/>
    <mergeCell ref="EST67:EST73"/>
    <mergeCell ref="ESI67:ESI73"/>
    <mergeCell ref="ESJ67:ESJ73"/>
    <mergeCell ref="ESK67:ESK73"/>
    <mergeCell ref="ESL67:ESL73"/>
    <mergeCell ref="ESM67:ESM73"/>
    <mergeCell ref="ESN67:ESN73"/>
    <mergeCell ref="ESC67:ESC73"/>
    <mergeCell ref="ESD67:ESD73"/>
    <mergeCell ref="ESE67:ESE73"/>
    <mergeCell ref="ESF67:ESF73"/>
    <mergeCell ref="ESG67:ESG73"/>
    <mergeCell ref="ESH67:ESH73"/>
    <mergeCell ref="ERW67:ERW73"/>
    <mergeCell ref="ERX67:ERX73"/>
    <mergeCell ref="ERY67:ERY73"/>
    <mergeCell ref="ERZ67:ERZ73"/>
    <mergeCell ref="ESA67:ESA73"/>
    <mergeCell ref="ESB67:ESB73"/>
    <mergeCell ref="ERQ67:ERQ73"/>
    <mergeCell ref="ERR67:ERR73"/>
    <mergeCell ref="ERS67:ERS73"/>
    <mergeCell ref="ERT67:ERT73"/>
    <mergeCell ref="ERU67:ERU73"/>
    <mergeCell ref="ERV67:ERV73"/>
    <mergeCell ref="ERK67:ERK73"/>
    <mergeCell ref="ERL67:ERL73"/>
    <mergeCell ref="ERM67:ERM73"/>
    <mergeCell ref="ERN67:ERN73"/>
    <mergeCell ref="ERO67:ERO73"/>
    <mergeCell ref="ERP67:ERP73"/>
    <mergeCell ref="ETY67:ETY73"/>
    <mergeCell ref="ETZ67:ETZ73"/>
    <mergeCell ref="EUA67:EUA73"/>
    <mergeCell ref="EUB67:EUB73"/>
    <mergeCell ref="EUC67:EUC73"/>
    <mergeCell ref="EUD67:EUD73"/>
    <mergeCell ref="ETS67:ETS73"/>
    <mergeCell ref="ETT67:ETT73"/>
    <mergeCell ref="ETU67:ETU73"/>
    <mergeCell ref="ETV67:ETV73"/>
    <mergeCell ref="ETW67:ETW73"/>
    <mergeCell ref="ETX67:ETX73"/>
    <mergeCell ref="ETM67:ETM73"/>
    <mergeCell ref="ETN67:ETN73"/>
    <mergeCell ref="ETO67:ETO73"/>
    <mergeCell ref="ETP67:ETP73"/>
    <mergeCell ref="ETQ67:ETQ73"/>
    <mergeCell ref="ETR67:ETR73"/>
    <mergeCell ref="ETG67:ETG73"/>
    <mergeCell ref="ETH67:ETH73"/>
    <mergeCell ref="ETI67:ETI73"/>
    <mergeCell ref="ETJ67:ETJ73"/>
    <mergeCell ref="ETK67:ETK73"/>
    <mergeCell ref="ETL67:ETL73"/>
    <mergeCell ref="ETA67:ETA73"/>
    <mergeCell ref="ETB67:ETB73"/>
    <mergeCell ref="ETC67:ETC73"/>
    <mergeCell ref="ETD67:ETD73"/>
    <mergeCell ref="ETE67:ETE73"/>
    <mergeCell ref="ETF67:ETF73"/>
    <mergeCell ref="ESU67:ESU73"/>
    <mergeCell ref="ESV67:ESV73"/>
    <mergeCell ref="ESW67:ESW73"/>
    <mergeCell ref="ESX67:ESX73"/>
    <mergeCell ref="ESY67:ESY73"/>
    <mergeCell ref="ESZ67:ESZ73"/>
    <mergeCell ref="EVI67:EVI73"/>
    <mergeCell ref="EVJ67:EVJ73"/>
    <mergeCell ref="EVK67:EVK73"/>
    <mergeCell ref="EVL67:EVL73"/>
    <mergeCell ref="EVM67:EVM73"/>
    <mergeCell ref="EVN67:EVN73"/>
    <mergeCell ref="EVC67:EVC73"/>
    <mergeCell ref="EVD67:EVD73"/>
    <mergeCell ref="EVE67:EVE73"/>
    <mergeCell ref="EVF67:EVF73"/>
    <mergeCell ref="EVG67:EVG73"/>
    <mergeCell ref="EVH67:EVH73"/>
    <mergeCell ref="EUW67:EUW73"/>
    <mergeCell ref="EUX67:EUX73"/>
    <mergeCell ref="EUY67:EUY73"/>
    <mergeCell ref="EUZ67:EUZ73"/>
    <mergeCell ref="EVA67:EVA73"/>
    <mergeCell ref="EVB67:EVB73"/>
    <mergeCell ref="EUQ67:EUQ73"/>
    <mergeCell ref="EUR67:EUR73"/>
    <mergeCell ref="EUS67:EUS73"/>
    <mergeCell ref="EUT67:EUT73"/>
    <mergeCell ref="EUU67:EUU73"/>
    <mergeCell ref="EUV67:EUV73"/>
    <mergeCell ref="EUK67:EUK73"/>
    <mergeCell ref="EUL67:EUL73"/>
    <mergeCell ref="EUM67:EUM73"/>
    <mergeCell ref="EUN67:EUN73"/>
    <mergeCell ref="EUO67:EUO73"/>
    <mergeCell ref="EUP67:EUP73"/>
    <mergeCell ref="EUE67:EUE73"/>
    <mergeCell ref="EUF67:EUF73"/>
    <mergeCell ref="EUG67:EUG73"/>
    <mergeCell ref="EUH67:EUH73"/>
    <mergeCell ref="EUI67:EUI73"/>
    <mergeCell ref="EUJ67:EUJ73"/>
    <mergeCell ref="EWS67:EWS73"/>
    <mergeCell ref="EWT67:EWT73"/>
    <mergeCell ref="EWU67:EWU73"/>
    <mergeCell ref="EWV67:EWV73"/>
    <mergeCell ref="EWW67:EWW73"/>
    <mergeCell ref="EWX67:EWX73"/>
    <mergeCell ref="EWM67:EWM73"/>
    <mergeCell ref="EWN67:EWN73"/>
    <mergeCell ref="EWO67:EWO73"/>
    <mergeCell ref="EWP67:EWP73"/>
    <mergeCell ref="EWQ67:EWQ73"/>
    <mergeCell ref="EWR67:EWR73"/>
    <mergeCell ref="EWG67:EWG73"/>
    <mergeCell ref="EWH67:EWH73"/>
    <mergeCell ref="EWI67:EWI73"/>
    <mergeCell ref="EWJ67:EWJ73"/>
    <mergeCell ref="EWK67:EWK73"/>
    <mergeCell ref="EWL67:EWL73"/>
    <mergeCell ref="EWA67:EWA73"/>
    <mergeCell ref="EWB67:EWB73"/>
    <mergeCell ref="EWC67:EWC73"/>
    <mergeCell ref="EWD67:EWD73"/>
    <mergeCell ref="EWE67:EWE73"/>
    <mergeCell ref="EWF67:EWF73"/>
    <mergeCell ref="EVU67:EVU73"/>
    <mergeCell ref="EVV67:EVV73"/>
    <mergeCell ref="EVW67:EVW73"/>
    <mergeCell ref="EVX67:EVX73"/>
    <mergeCell ref="EVY67:EVY73"/>
    <mergeCell ref="EVZ67:EVZ73"/>
    <mergeCell ref="EVO67:EVO73"/>
    <mergeCell ref="EVP67:EVP73"/>
    <mergeCell ref="EVQ67:EVQ73"/>
    <mergeCell ref="EVR67:EVR73"/>
    <mergeCell ref="EVS67:EVS73"/>
    <mergeCell ref="EVT67:EVT73"/>
    <mergeCell ref="EYC67:EYC73"/>
    <mergeCell ref="EYD67:EYD73"/>
    <mergeCell ref="EYE67:EYE73"/>
    <mergeCell ref="EYF67:EYF73"/>
    <mergeCell ref="EYG67:EYG73"/>
    <mergeCell ref="EYH67:EYH73"/>
    <mergeCell ref="EXW67:EXW73"/>
    <mergeCell ref="EXX67:EXX73"/>
    <mergeCell ref="EXY67:EXY73"/>
    <mergeCell ref="EXZ67:EXZ73"/>
    <mergeCell ref="EYA67:EYA73"/>
    <mergeCell ref="EYB67:EYB73"/>
    <mergeCell ref="EXQ67:EXQ73"/>
    <mergeCell ref="EXR67:EXR73"/>
    <mergeCell ref="EXS67:EXS73"/>
    <mergeCell ref="EXT67:EXT73"/>
    <mergeCell ref="EXU67:EXU73"/>
    <mergeCell ref="EXV67:EXV73"/>
    <mergeCell ref="EXK67:EXK73"/>
    <mergeCell ref="EXL67:EXL73"/>
    <mergeCell ref="EXM67:EXM73"/>
    <mergeCell ref="EXN67:EXN73"/>
    <mergeCell ref="EXO67:EXO73"/>
    <mergeCell ref="EXP67:EXP73"/>
    <mergeCell ref="EXE67:EXE73"/>
    <mergeCell ref="EXF67:EXF73"/>
    <mergeCell ref="EXG67:EXG73"/>
    <mergeCell ref="EXH67:EXH73"/>
    <mergeCell ref="EXI67:EXI73"/>
    <mergeCell ref="EXJ67:EXJ73"/>
    <mergeCell ref="EWY67:EWY73"/>
    <mergeCell ref="EWZ67:EWZ73"/>
    <mergeCell ref="EXA67:EXA73"/>
    <mergeCell ref="EXB67:EXB73"/>
    <mergeCell ref="EXC67:EXC73"/>
    <mergeCell ref="EXD67:EXD73"/>
    <mergeCell ref="EZM67:EZM73"/>
    <mergeCell ref="EZN67:EZN73"/>
    <mergeCell ref="EZO67:EZO73"/>
    <mergeCell ref="EZP67:EZP73"/>
    <mergeCell ref="EZQ67:EZQ73"/>
    <mergeCell ref="EZR67:EZR73"/>
    <mergeCell ref="EZG67:EZG73"/>
    <mergeCell ref="EZH67:EZH73"/>
    <mergeCell ref="EZI67:EZI73"/>
    <mergeCell ref="EZJ67:EZJ73"/>
    <mergeCell ref="EZK67:EZK73"/>
    <mergeCell ref="EZL67:EZL73"/>
    <mergeCell ref="EZA67:EZA73"/>
    <mergeCell ref="EZB67:EZB73"/>
    <mergeCell ref="EZC67:EZC73"/>
    <mergeCell ref="EZD67:EZD73"/>
    <mergeCell ref="EZE67:EZE73"/>
    <mergeCell ref="EZF67:EZF73"/>
    <mergeCell ref="EYU67:EYU73"/>
    <mergeCell ref="EYV67:EYV73"/>
    <mergeCell ref="EYW67:EYW73"/>
    <mergeCell ref="EYX67:EYX73"/>
    <mergeCell ref="EYY67:EYY73"/>
    <mergeCell ref="EYZ67:EYZ73"/>
    <mergeCell ref="EYO67:EYO73"/>
    <mergeCell ref="EYP67:EYP73"/>
    <mergeCell ref="EYQ67:EYQ73"/>
    <mergeCell ref="EYR67:EYR73"/>
    <mergeCell ref="EYS67:EYS73"/>
    <mergeCell ref="EYT67:EYT73"/>
    <mergeCell ref="EYI67:EYI73"/>
    <mergeCell ref="EYJ67:EYJ73"/>
    <mergeCell ref="EYK67:EYK73"/>
    <mergeCell ref="EYL67:EYL73"/>
    <mergeCell ref="EYM67:EYM73"/>
    <mergeCell ref="EYN67:EYN73"/>
    <mergeCell ref="FAW67:FAW73"/>
    <mergeCell ref="FAX67:FAX73"/>
    <mergeCell ref="FAY67:FAY73"/>
    <mergeCell ref="FAZ67:FAZ73"/>
    <mergeCell ref="FBA67:FBA73"/>
    <mergeCell ref="FBB67:FBB73"/>
    <mergeCell ref="FAQ67:FAQ73"/>
    <mergeCell ref="FAR67:FAR73"/>
    <mergeCell ref="FAS67:FAS73"/>
    <mergeCell ref="FAT67:FAT73"/>
    <mergeCell ref="FAU67:FAU73"/>
    <mergeCell ref="FAV67:FAV73"/>
    <mergeCell ref="FAK67:FAK73"/>
    <mergeCell ref="FAL67:FAL73"/>
    <mergeCell ref="FAM67:FAM73"/>
    <mergeCell ref="FAN67:FAN73"/>
    <mergeCell ref="FAO67:FAO73"/>
    <mergeCell ref="FAP67:FAP73"/>
    <mergeCell ref="FAE67:FAE73"/>
    <mergeCell ref="FAF67:FAF73"/>
    <mergeCell ref="FAG67:FAG73"/>
    <mergeCell ref="FAH67:FAH73"/>
    <mergeCell ref="FAI67:FAI73"/>
    <mergeCell ref="FAJ67:FAJ73"/>
    <mergeCell ref="EZY67:EZY73"/>
    <mergeCell ref="EZZ67:EZZ73"/>
    <mergeCell ref="FAA67:FAA73"/>
    <mergeCell ref="FAB67:FAB73"/>
    <mergeCell ref="FAC67:FAC73"/>
    <mergeCell ref="FAD67:FAD73"/>
    <mergeCell ref="EZS67:EZS73"/>
    <mergeCell ref="EZT67:EZT73"/>
    <mergeCell ref="EZU67:EZU73"/>
    <mergeCell ref="EZV67:EZV73"/>
    <mergeCell ref="EZW67:EZW73"/>
    <mergeCell ref="EZX67:EZX73"/>
    <mergeCell ref="FCG67:FCG73"/>
    <mergeCell ref="FCH67:FCH73"/>
    <mergeCell ref="FCI67:FCI73"/>
    <mergeCell ref="FCJ67:FCJ73"/>
    <mergeCell ref="FCK67:FCK73"/>
    <mergeCell ref="FCL67:FCL73"/>
    <mergeCell ref="FCA67:FCA73"/>
    <mergeCell ref="FCB67:FCB73"/>
    <mergeCell ref="FCC67:FCC73"/>
    <mergeCell ref="FCD67:FCD73"/>
    <mergeCell ref="FCE67:FCE73"/>
    <mergeCell ref="FCF67:FCF73"/>
    <mergeCell ref="FBU67:FBU73"/>
    <mergeCell ref="FBV67:FBV73"/>
    <mergeCell ref="FBW67:FBW73"/>
    <mergeCell ref="FBX67:FBX73"/>
    <mergeCell ref="FBY67:FBY73"/>
    <mergeCell ref="FBZ67:FBZ73"/>
    <mergeCell ref="FBO67:FBO73"/>
    <mergeCell ref="FBP67:FBP73"/>
    <mergeCell ref="FBQ67:FBQ73"/>
    <mergeCell ref="FBR67:FBR73"/>
    <mergeCell ref="FBS67:FBS73"/>
    <mergeCell ref="FBT67:FBT73"/>
    <mergeCell ref="FBI67:FBI73"/>
    <mergeCell ref="FBJ67:FBJ73"/>
    <mergeCell ref="FBK67:FBK73"/>
    <mergeCell ref="FBL67:FBL73"/>
    <mergeCell ref="FBM67:FBM73"/>
    <mergeCell ref="FBN67:FBN73"/>
    <mergeCell ref="FBC67:FBC73"/>
    <mergeCell ref="FBD67:FBD73"/>
    <mergeCell ref="FBE67:FBE73"/>
    <mergeCell ref="FBF67:FBF73"/>
    <mergeCell ref="FBG67:FBG73"/>
    <mergeCell ref="FBH67:FBH73"/>
    <mergeCell ref="FDQ67:FDQ73"/>
    <mergeCell ref="FDR67:FDR73"/>
    <mergeCell ref="FDS67:FDS73"/>
    <mergeCell ref="FDT67:FDT73"/>
    <mergeCell ref="FDU67:FDU73"/>
    <mergeCell ref="FDV67:FDV73"/>
    <mergeCell ref="FDK67:FDK73"/>
    <mergeCell ref="FDL67:FDL73"/>
    <mergeCell ref="FDM67:FDM73"/>
    <mergeCell ref="FDN67:FDN73"/>
    <mergeCell ref="FDO67:FDO73"/>
    <mergeCell ref="FDP67:FDP73"/>
    <mergeCell ref="FDE67:FDE73"/>
    <mergeCell ref="FDF67:FDF73"/>
    <mergeCell ref="FDG67:FDG73"/>
    <mergeCell ref="FDH67:FDH73"/>
    <mergeCell ref="FDI67:FDI73"/>
    <mergeCell ref="FDJ67:FDJ73"/>
    <mergeCell ref="FCY67:FCY73"/>
    <mergeCell ref="FCZ67:FCZ73"/>
    <mergeCell ref="FDA67:FDA73"/>
    <mergeCell ref="FDB67:FDB73"/>
    <mergeCell ref="FDC67:FDC73"/>
    <mergeCell ref="FDD67:FDD73"/>
    <mergeCell ref="FCS67:FCS73"/>
    <mergeCell ref="FCT67:FCT73"/>
    <mergeCell ref="FCU67:FCU73"/>
    <mergeCell ref="FCV67:FCV73"/>
    <mergeCell ref="FCW67:FCW73"/>
    <mergeCell ref="FCX67:FCX73"/>
    <mergeCell ref="FCM67:FCM73"/>
    <mergeCell ref="FCN67:FCN73"/>
    <mergeCell ref="FCO67:FCO73"/>
    <mergeCell ref="FCP67:FCP73"/>
    <mergeCell ref="FCQ67:FCQ73"/>
    <mergeCell ref="FCR67:FCR73"/>
    <mergeCell ref="FFA67:FFA73"/>
    <mergeCell ref="FFB67:FFB73"/>
    <mergeCell ref="FFC67:FFC73"/>
    <mergeCell ref="FFD67:FFD73"/>
    <mergeCell ref="FFE67:FFE73"/>
    <mergeCell ref="FFF67:FFF73"/>
    <mergeCell ref="FEU67:FEU73"/>
    <mergeCell ref="FEV67:FEV73"/>
    <mergeCell ref="FEW67:FEW73"/>
    <mergeCell ref="FEX67:FEX73"/>
    <mergeCell ref="FEY67:FEY73"/>
    <mergeCell ref="FEZ67:FEZ73"/>
    <mergeCell ref="FEO67:FEO73"/>
    <mergeCell ref="FEP67:FEP73"/>
    <mergeCell ref="FEQ67:FEQ73"/>
    <mergeCell ref="FER67:FER73"/>
    <mergeCell ref="FES67:FES73"/>
    <mergeCell ref="FET67:FET73"/>
    <mergeCell ref="FEI67:FEI73"/>
    <mergeCell ref="FEJ67:FEJ73"/>
    <mergeCell ref="FEK67:FEK73"/>
    <mergeCell ref="FEL67:FEL73"/>
    <mergeCell ref="FEM67:FEM73"/>
    <mergeCell ref="FEN67:FEN73"/>
    <mergeCell ref="FEC67:FEC73"/>
    <mergeCell ref="FED67:FED73"/>
    <mergeCell ref="FEE67:FEE73"/>
    <mergeCell ref="FEF67:FEF73"/>
    <mergeCell ref="FEG67:FEG73"/>
    <mergeCell ref="FEH67:FEH73"/>
    <mergeCell ref="FDW67:FDW73"/>
    <mergeCell ref="FDX67:FDX73"/>
    <mergeCell ref="FDY67:FDY73"/>
    <mergeCell ref="FDZ67:FDZ73"/>
    <mergeCell ref="FEA67:FEA73"/>
    <mergeCell ref="FEB67:FEB73"/>
    <mergeCell ref="FGK67:FGK73"/>
    <mergeCell ref="FGL67:FGL73"/>
    <mergeCell ref="FGM67:FGM73"/>
    <mergeCell ref="FGN67:FGN73"/>
    <mergeCell ref="FGO67:FGO73"/>
    <mergeCell ref="FGP67:FGP73"/>
    <mergeCell ref="FGE67:FGE73"/>
    <mergeCell ref="FGF67:FGF73"/>
    <mergeCell ref="FGG67:FGG73"/>
    <mergeCell ref="FGH67:FGH73"/>
    <mergeCell ref="FGI67:FGI73"/>
    <mergeCell ref="FGJ67:FGJ73"/>
    <mergeCell ref="FFY67:FFY73"/>
    <mergeCell ref="FFZ67:FFZ73"/>
    <mergeCell ref="FGA67:FGA73"/>
    <mergeCell ref="FGB67:FGB73"/>
    <mergeCell ref="FGC67:FGC73"/>
    <mergeCell ref="FGD67:FGD73"/>
    <mergeCell ref="FFS67:FFS73"/>
    <mergeCell ref="FFT67:FFT73"/>
    <mergeCell ref="FFU67:FFU73"/>
    <mergeCell ref="FFV67:FFV73"/>
    <mergeCell ref="FFW67:FFW73"/>
    <mergeCell ref="FFX67:FFX73"/>
    <mergeCell ref="FFM67:FFM73"/>
    <mergeCell ref="FFN67:FFN73"/>
    <mergeCell ref="FFO67:FFO73"/>
    <mergeCell ref="FFP67:FFP73"/>
    <mergeCell ref="FFQ67:FFQ73"/>
    <mergeCell ref="FFR67:FFR73"/>
    <mergeCell ref="FFG67:FFG73"/>
    <mergeCell ref="FFH67:FFH73"/>
    <mergeCell ref="FFI67:FFI73"/>
    <mergeCell ref="FFJ67:FFJ73"/>
    <mergeCell ref="FFK67:FFK73"/>
    <mergeCell ref="FFL67:FFL73"/>
    <mergeCell ref="FHU67:FHU73"/>
    <mergeCell ref="FHV67:FHV73"/>
    <mergeCell ref="FHW67:FHW73"/>
    <mergeCell ref="FHX67:FHX73"/>
    <mergeCell ref="FHY67:FHY73"/>
    <mergeCell ref="FHZ67:FHZ73"/>
    <mergeCell ref="FHO67:FHO73"/>
    <mergeCell ref="FHP67:FHP73"/>
    <mergeCell ref="FHQ67:FHQ73"/>
    <mergeCell ref="FHR67:FHR73"/>
    <mergeCell ref="FHS67:FHS73"/>
    <mergeCell ref="FHT67:FHT73"/>
    <mergeCell ref="FHI67:FHI73"/>
    <mergeCell ref="FHJ67:FHJ73"/>
    <mergeCell ref="FHK67:FHK73"/>
    <mergeCell ref="FHL67:FHL73"/>
    <mergeCell ref="FHM67:FHM73"/>
    <mergeCell ref="FHN67:FHN73"/>
    <mergeCell ref="FHC67:FHC73"/>
    <mergeCell ref="FHD67:FHD73"/>
    <mergeCell ref="FHE67:FHE73"/>
    <mergeCell ref="FHF67:FHF73"/>
    <mergeCell ref="FHG67:FHG73"/>
    <mergeCell ref="FHH67:FHH73"/>
    <mergeCell ref="FGW67:FGW73"/>
    <mergeCell ref="FGX67:FGX73"/>
    <mergeCell ref="FGY67:FGY73"/>
    <mergeCell ref="FGZ67:FGZ73"/>
    <mergeCell ref="FHA67:FHA73"/>
    <mergeCell ref="FHB67:FHB73"/>
    <mergeCell ref="FGQ67:FGQ73"/>
    <mergeCell ref="FGR67:FGR73"/>
    <mergeCell ref="FGS67:FGS73"/>
    <mergeCell ref="FGT67:FGT73"/>
    <mergeCell ref="FGU67:FGU73"/>
    <mergeCell ref="FGV67:FGV73"/>
    <mergeCell ref="FJE67:FJE73"/>
    <mergeCell ref="FJF67:FJF73"/>
    <mergeCell ref="FJG67:FJG73"/>
    <mergeCell ref="FJH67:FJH73"/>
    <mergeCell ref="FJI67:FJI73"/>
    <mergeCell ref="FJJ67:FJJ73"/>
    <mergeCell ref="FIY67:FIY73"/>
    <mergeCell ref="FIZ67:FIZ73"/>
    <mergeCell ref="FJA67:FJA73"/>
    <mergeCell ref="FJB67:FJB73"/>
    <mergeCell ref="FJC67:FJC73"/>
    <mergeCell ref="FJD67:FJD73"/>
    <mergeCell ref="FIS67:FIS73"/>
    <mergeCell ref="FIT67:FIT73"/>
    <mergeCell ref="FIU67:FIU73"/>
    <mergeCell ref="FIV67:FIV73"/>
    <mergeCell ref="FIW67:FIW73"/>
    <mergeCell ref="FIX67:FIX73"/>
    <mergeCell ref="FIM67:FIM73"/>
    <mergeCell ref="FIN67:FIN73"/>
    <mergeCell ref="FIO67:FIO73"/>
    <mergeCell ref="FIP67:FIP73"/>
    <mergeCell ref="FIQ67:FIQ73"/>
    <mergeCell ref="FIR67:FIR73"/>
    <mergeCell ref="FIG67:FIG73"/>
    <mergeCell ref="FIH67:FIH73"/>
    <mergeCell ref="FII67:FII73"/>
    <mergeCell ref="FIJ67:FIJ73"/>
    <mergeCell ref="FIK67:FIK73"/>
    <mergeCell ref="FIL67:FIL73"/>
    <mergeCell ref="FIA67:FIA73"/>
    <mergeCell ref="FIB67:FIB73"/>
    <mergeCell ref="FIC67:FIC73"/>
    <mergeCell ref="FID67:FID73"/>
    <mergeCell ref="FIE67:FIE73"/>
    <mergeCell ref="FIF67:FIF73"/>
    <mergeCell ref="FKO67:FKO73"/>
    <mergeCell ref="FKP67:FKP73"/>
    <mergeCell ref="FKQ67:FKQ73"/>
    <mergeCell ref="FKR67:FKR73"/>
    <mergeCell ref="FKS67:FKS73"/>
    <mergeCell ref="FKT67:FKT73"/>
    <mergeCell ref="FKI67:FKI73"/>
    <mergeCell ref="FKJ67:FKJ73"/>
    <mergeCell ref="FKK67:FKK73"/>
    <mergeCell ref="FKL67:FKL73"/>
    <mergeCell ref="FKM67:FKM73"/>
    <mergeCell ref="FKN67:FKN73"/>
    <mergeCell ref="FKC67:FKC73"/>
    <mergeCell ref="FKD67:FKD73"/>
    <mergeCell ref="FKE67:FKE73"/>
    <mergeCell ref="FKF67:FKF73"/>
    <mergeCell ref="FKG67:FKG73"/>
    <mergeCell ref="FKH67:FKH73"/>
    <mergeCell ref="FJW67:FJW73"/>
    <mergeCell ref="FJX67:FJX73"/>
    <mergeCell ref="FJY67:FJY73"/>
    <mergeCell ref="FJZ67:FJZ73"/>
    <mergeCell ref="FKA67:FKA73"/>
    <mergeCell ref="FKB67:FKB73"/>
    <mergeCell ref="FJQ67:FJQ73"/>
    <mergeCell ref="FJR67:FJR73"/>
    <mergeCell ref="FJS67:FJS73"/>
    <mergeCell ref="FJT67:FJT73"/>
    <mergeCell ref="FJU67:FJU73"/>
    <mergeCell ref="FJV67:FJV73"/>
    <mergeCell ref="FJK67:FJK73"/>
    <mergeCell ref="FJL67:FJL73"/>
    <mergeCell ref="FJM67:FJM73"/>
    <mergeCell ref="FJN67:FJN73"/>
    <mergeCell ref="FJO67:FJO73"/>
    <mergeCell ref="FJP67:FJP73"/>
    <mergeCell ref="FLY67:FLY73"/>
    <mergeCell ref="FLZ67:FLZ73"/>
    <mergeCell ref="FMA67:FMA73"/>
    <mergeCell ref="FMB67:FMB73"/>
    <mergeCell ref="FMC67:FMC73"/>
    <mergeCell ref="FMD67:FMD73"/>
    <mergeCell ref="FLS67:FLS73"/>
    <mergeCell ref="FLT67:FLT73"/>
    <mergeCell ref="FLU67:FLU73"/>
    <mergeCell ref="FLV67:FLV73"/>
    <mergeCell ref="FLW67:FLW73"/>
    <mergeCell ref="FLX67:FLX73"/>
    <mergeCell ref="FLM67:FLM73"/>
    <mergeCell ref="FLN67:FLN73"/>
    <mergeCell ref="FLO67:FLO73"/>
    <mergeCell ref="FLP67:FLP73"/>
    <mergeCell ref="FLQ67:FLQ73"/>
    <mergeCell ref="FLR67:FLR73"/>
    <mergeCell ref="FLG67:FLG73"/>
    <mergeCell ref="FLH67:FLH73"/>
    <mergeCell ref="FLI67:FLI73"/>
    <mergeCell ref="FLJ67:FLJ73"/>
    <mergeCell ref="FLK67:FLK73"/>
    <mergeCell ref="FLL67:FLL73"/>
    <mergeCell ref="FLA67:FLA73"/>
    <mergeCell ref="FLB67:FLB73"/>
    <mergeCell ref="FLC67:FLC73"/>
    <mergeCell ref="FLD67:FLD73"/>
    <mergeCell ref="FLE67:FLE73"/>
    <mergeCell ref="FLF67:FLF73"/>
    <mergeCell ref="FKU67:FKU73"/>
    <mergeCell ref="FKV67:FKV73"/>
    <mergeCell ref="FKW67:FKW73"/>
    <mergeCell ref="FKX67:FKX73"/>
    <mergeCell ref="FKY67:FKY73"/>
    <mergeCell ref="FKZ67:FKZ73"/>
    <mergeCell ref="FNI67:FNI73"/>
    <mergeCell ref="FNJ67:FNJ73"/>
    <mergeCell ref="FNK67:FNK73"/>
    <mergeCell ref="FNL67:FNL73"/>
    <mergeCell ref="FNM67:FNM73"/>
    <mergeCell ref="FNN67:FNN73"/>
    <mergeCell ref="FNC67:FNC73"/>
    <mergeCell ref="FND67:FND73"/>
    <mergeCell ref="FNE67:FNE73"/>
    <mergeCell ref="FNF67:FNF73"/>
    <mergeCell ref="FNG67:FNG73"/>
    <mergeCell ref="FNH67:FNH73"/>
    <mergeCell ref="FMW67:FMW73"/>
    <mergeCell ref="FMX67:FMX73"/>
    <mergeCell ref="FMY67:FMY73"/>
    <mergeCell ref="FMZ67:FMZ73"/>
    <mergeCell ref="FNA67:FNA73"/>
    <mergeCell ref="FNB67:FNB73"/>
    <mergeCell ref="FMQ67:FMQ73"/>
    <mergeCell ref="FMR67:FMR73"/>
    <mergeCell ref="FMS67:FMS73"/>
    <mergeCell ref="FMT67:FMT73"/>
    <mergeCell ref="FMU67:FMU73"/>
    <mergeCell ref="FMV67:FMV73"/>
    <mergeCell ref="FMK67:FMK73"/>
    <mergeCell ref="FML67:FML73"/>
    <mergeCell ref="FMM67:FMM73"/>
    <mergeCell ref="FMN67:FMN73"/>
    <mergeCell ref="FMO67:FMO73"/>
    <mergeCell ref="FMP67:FMP73"/>
    <mergeCell ref="FME67:FME73"/>
    <mergeCell ref="FMF67:FMF73"/>
    <mergeCell ref="FMG67:FMG73"/>
    <mergeCell ref="FMH67:FMH73"/>
    <mergeCell ref="FMI67:FMI73"/>
    <mergeCell ref="FMJ67:FMJ73"/>
    <mergeCell ref="FOS67:FOS73"/>
    <mergeCell ref="FOT67:FOT73"/>
    <mergeCell ref="FOU67:FOU73"/>
    <mergeCell ref="FOV67:FOV73"/>
    <mergeCell ref="FOW67:FOW73"/>
    <mergeCell ref="FOX67:FOX73"/>
    <mergeCell ref="FOM67:FOM73"/>
    <mergeCell ref="FON67:FON73"/>
    <mergeCell ref="FOO67:FOO73"/>
    <mergeCell ref="FOP67:FOP73"/>
    <mergeCell ref="FOQ67:FOQ73"/>
    <mergeCell ref="FOR67:FOR73"/>
    <mergeCell ref="FOG67:FOG73"/>
    <mergeCell ref="FOH67:FOH73"/>
    <mergeCell ref="FOI67:FOI73"/>
    <mergeCell ref="FOJ67:FOJ73"/>
    <mergeCell ref="FOK67:FOK73"/>
    <mergeCell ref="FOL67:FOL73"/>
    <mergeCell ref="FOA67:FOA73"/>
    <mergeCell ref="FOB67:FOB73"/>
    <mergeCell ref="FOC67:FOC73"/>
    <mergeCell ref="FOD67:FOD73"/>
    <mergeCell ref="FOE67:FOE73"/>
    <mergeCell ref="FOF67:FOF73"/>
    <mergeCell ref="FNU67:FNU73"/>
    <mergeCell ref="FNV67:FNV73"/>
    <mergeCell ref="FNW67:FNW73"/>
    <mergeCell ref="FNX67:FNX73"/>
    <mergeCell ref="FNY67:FNY73"/>
    <mergeCell ref="FNZ67:FNZ73"/>
    <mergeCell ref="FNO67:FNO73"/>
    <mergeCell ref="FNP67:FNP73"/>
    <mergeCell ref="FNQ67:FNQ73"/>
    <mergeCell ref="FNR67:FNR73"/>
    <mergeCell ref="FNS67:FNS73"/>
    <mergeCell ref="FNT67:FNT73"/>
    <mergeCell ref="FQC67:FQC73"/>
    <mergeCell ref="FQD67:FQD73"/>
    <mergeCell ref="FQE67:FQE73"/>
    <mergeCell ref="FQF67:FQF73"/>
    <mergeCell ref="FQG67:FQG73"/>
    <mergeCell ref="FQH67:FQH73"/>
    <mergeCell ref="FPW67:FPW73"/>
    <mergeCell ref="FPX67:FPX73"/>
    <mergeCell ref="FPY67:FPY73"/>
    <mergeCell ref="FPZ67:FPZ73"/>
    <mergeCell ref="FQA67:FQA73"/>
    <mergeCell ref="FQB67:FQB73"/>
    <mergeCell ref="FPQ67:FPQ73"/>
    <mergeCell ref="FPR67:FPR73"/>
    <mergeCell ref="FPS67:FPS73"/>
    <mergeCell ref="FPT67:FPT73"/>
    <mergeCell ref="FPU67:FPU73"/>
    <mergeCell ref="FPV67:FPV73"/>
    <mergeCell ref="FPK67:FPK73"/>
    <mergeCell ref="FPL67:FPL73"/>
    <mergeCell ref="FPM67:FPM73"/>
    <mergeCell ref="FPN67:FPN73"/>
    <mergeCell ref="FPO67:FPO73"/>
    <mergeCell ref="FPP67:FPP73"/>
    <mergeCell ref="FPE67:FPE73"/>
    <mergeCell ref="FPF67:FPF73"/>
    <mergeCell ref="FPG67:FPG73"/>
    <mergeCell ref="FPH67:FPH73"/>
    <mergeCell ref="FPI67:FPI73"/>
    <mergeCell ref="FPJ67:FPJ73"/>
    <mergeCell ref="FOY67:FOY73"/>
    <mergeCell ref="FOZ67:FOZ73"/>
    <mergeCell ref="FPA67:FPA73"/>
    <mergeCell ref="FPB67:FPB73"/>
    <mergeCell ref="FPC67:FPC73"/>
    <mergeCell ref="FPD67:FPD73"/>
    <mergeCell ref="FRM67:FRM73"/>
    <mergeCell ref="FRN67:FRN73"/>
    <mergeCell ref="FRO67:FRO73"/>
    <mergeCell ref="FRP67:FRP73"/>
    <mergeCell ref="FRQ67:FRQ73"/>
    <mergeCell ref="FRR67:FRR73"/>
    <mergeCell ref="FRG67:FRG73"/>
    <mergeCell ref="FRH67:FRH73"/>
    <mergeCell ref="FRI67:FRI73"/>
    <mergeCell ref="FRJ67:FRJ73"/>
    <mergeCell ref="FRK67:FRK73"/>
    <mergeCell ref="FRL67:FRL73"/>
    <mergeCell ref="FRA67:FRA73"/>
    <mergeCell ref="FRB67:FRB73"/>
    <mergeCell ref="FRC67:FRC73"/>
    <mergeCell ref="FRD67:FRD73"/>
    <mergeCell ref="FRE67:FRE73"/>
    <mergeCell ref="FRF67:FRF73"/>
    <mergeCell ref="FQU67:FQU73"/>
    <mergeCell ref="FQV67:FQV73"/>
    <mergeCell ref="FQW67:FQW73"/>
    <mergeCell ref="FQX67:FQX73"/>
    <mergeCell ref="FQY67:FQY73"/>
    <mergeCell ref="FQZ67:FQZ73"/>
    <mergeCell ref="FQO67:FQO73"/>
    <mergeCell ref="FQP67:FQP73"/>
    <mergeCell ref="FQQ67:FQQ73"/>
    <mergeCell ref="FQR67:FQR73"/>
    <mergeCell ref="FQS67:FQS73"/>
    <mergeCell ref="FQT67:FQT73"/>
    <mergeCell ref="FQI67:FQI73"/>
    <mergeCell ref="FQJ67:FQJ73"/>
    <mergeCell ref="FQK67:FQK73"/>
    <mergeCell ref="FQL67:FQL73"/>
    <mergeCell ref="FQM67:FQM73"/>
    <mergeCell ref="FQN67:FQN73"/>
    <mergeCell ref="FSW67:FSW73"/>
    <mergeCell ref="FSX67:FSX73"/>
    <mergeCell ref="FSY67:FSY73"/>
    <mergeCell ref="FSZ67:FSZ73"/>
    <mergeCell ref="FTA67:FTA73"/>
    <mergeCell ref="FTB67:FTB73"/>
    <mergeCell ref="FSQ67:FSQ73"/>
    <mergeCell ref="FSR67:FSR73"/>
    <mergeCell ref="FSS67:FSS73"/>
    <mergeCell ref="FST67:FST73"/>
    <mergeCell ref="FSU67:FSU73"/>
    <mergeCell ref="FSV67:FSV73"/>
    <mergeCell ref="FSK67:FSK73"/>
    <mergeCell ref="FSL67:FSL73"/>
    <mergeCell ref="FSM67:FSM73"/>
    <mergeCell ref="FSN67:FSN73"/>
    <mergeCell ref="FSO67:FSO73"/>
    <mergeCell ref="FSP67:FSP73"/>
    <mergeCell ref="FSE67:FSE73"/>
    <mergeCell ref="FSF67:FSF73"/>
    <mergeCell ref="FSG67:FSG73"/>
    <mergeCell ref="FSH67:FSH73"/>
    <mergeCell ref="FSI67:FSI73"/>
    <mergeCell ref="FSJ67:FSJ73"/>
    <mergeCell ref="FRY67:FRY73"/>
    <mergeCell ref="FRZ67:FRZ73"/>
    <mergeCell ref="FSA67:FSA73"/>
    <mergeCell ref="FSB67:FSB73"/>
    <mergeCell ref="FSC67:FSC73"/>
    <mergeCell ref="FSD67:FSD73"/>
    <mergeCell ref="FRS67:FRS73"/>
    <mergeCell ref="FRT67:FRT73"/>
    <mergeCell ref="FRU67:FRU73"/>
    <mergeCell ref="FRV67:FRV73"/>
    <mergeCell ref="FRW67:FRW73"/>
    <mergeCell ref="FRX67:FRX73"/>
    <mergeCell ref="FUG67:FUG73"/>
    <mergeCell ref="FUH67:FUH73"/>
    <mergeCell ref="FUI67:FUI73"/>
    <mergeCell ref="FUJ67:FUJ73"/>
    <mergeCell ref="FUK67:FUK73"/>
    <mergeCell ref="FUL67:FUL73"/>
    <mergeCell ref="FUA67:FUA73"/>
    <mergeCell ref="FUB67:FUB73"/>
    <mergeCell ref="FUC67:FUC73"/>
    <mergeCell ref="FUD67:FUD73"/>
    <mergeCell ref="FUE67:FUE73"/>
    <mergeCell ref="FUF67:FUF73"/>
    <mergeCell ref="FTU67:FTU73"/>
    <mergeCell ref="FTV67:FTV73"/>
    <mergeCell ref="FTW67:FTW73"/>
    <mergeCell ref="FTX67:FTX73"/>
    <mergeCell ref="FTY67:FTY73"/>
    <mergeCell ref="FTZ67:FTZ73"/>
    <mergeCell ref="FTO67:FTO73"/>
    <mergeCell ref="FTP67:FTP73"/>
    <mergeCell ref="FTQ67:FTQ73"/>
    <mergeCell ref="FTR67:FTR73"/>
    <mergeCell ref="FTS67:FTS73"/>
    <mergeCell ref="FTT67:FTT73"/>
    <mergeCell ref="FTI67:FTI73"/>
    <mergeCell ref="FTJ67:FTJ73"/>
    <mergeCell ref="FTK67:FTK73"/>
    <mergeCell ref="FTL67:FTL73"/>
    <mergeCell ref="FTM67:FTM73"/>
    <mergeCell ref="FTN67:FTN73"/>
    <mergeCell ref="FTC67:FTC73"/>
    <mergeCell ref="FTD67:FTD73"/>
    <mergeCell ref="FTE67:FTE73"/>
    <mergeCell ref="FTF67:FTF73"/>
    <mergeCell ref="FTG67:FTG73"/>
    <mergeCell ref="FTH67:FTH73"/>
    <mergeCell ref="FVQ67:FVQ73"/>
    <mergeCell ref="FVR67:FVR73"/>
    <mergeCell ref="FVS67:FVS73"/>
    <mergeCell ref="FVT67:FVT73"/>
    <mergeCell ref="FVU67:FVU73"/>
    <mergeCell ref="FVV67:FVV73"/>
    <mergeCell ref="FVK67:FVK73"/>
    <mergeCell ref="FVL67:FVL73"/>
    <mergeCell ref="FVM67:FVM73"/>
    <mergeCell ref="FVN67:FVN73"/>
    <mergeCell ref="FVO67:FVO73"/>
    <mergeCell ref="FVP67:FVP73"/>
    <mergeCell ref="FVE67:FVE73"/>
    <mergeCell ref="FVF67:FVF73"/>
    <mergeCell ref="FVG67:FVG73"/>
    <mergeCell ref="FVH67:FVH73"/>
    <mergeCell ref="FVI67:FVI73"/>
    <mergeCell ref="FVJ67:FVJ73"/>
    <mergeCell ref="FUY67:FUY73"/>
    <mergeCell ref="FUZ67:FUZ73"/>
    <mergeCell ref="FVA67:FVA73"/>
    <mergeCell ref="FVB67:FVB73"/>
    <mergeCell ref="FVC67:FVC73"/>
    <mergeCell ref="FVD67:FVD73"/>
    <mergeCell ref="FUS67:FUS73"/>
    <mergeCell ref="FUT67:FUT73"/>
    <mergeCell ref="FUU67:FUU73"/>
    <mergeCell ref="FUV67:FUV73"/>
    <mergeCell ref="FUW67:FUW73"/>
    <mergeCell ref="FUX67:FUX73"/>
    <mergeCell ref="FUM67:FUM73"/>
    <mergeCell ref="FUN67:FUN73"/>
    <mergeCell ref="FUO67:FUO73"/>
    <mergeCell ref="FUP67:FUP73"/>
    <mergeCell ref="FUQ67:FUQ73"/>
    <mergeCell ref="FUR67:FUR73"/>
    <mergeCell ref="FXA67:FXA73"/>
    <mergeCell ref="FXB67:FXB73"/>
    <mergeCell ref="FXC67:FXC73"/>
    <mergeCell ref="FXD67:FXD73"/>
    <mergeCell ref="FXE67:FXE73"/>
    <mergeCell ref="FXF67:FXF73"/>
    <mergeCell ref="FWU67:FWU73"/>
    <mergeCell ref="FWV67:FWV73"/>
    <mergeCell ref="FWW67:FWW73"/>
    <mergeCell ref="FWX67:FWX73"/>
    <mergeCell ref="FWY67:FWY73"/>
    <mergeCell ref="FWZ67:FWZ73"/>
    <mergeCell ref="FWO67:FWO73"/>
    <mergeCell ref="FWP67:FWP73"/>
    <mergeCell ref="FWQ67:FWQ73"/>
    <mergeCell ref="FWR67:FWR73"/>
    <mergeCell ref="FWS67:FWS73"/>
    <mergeCell ref="FWT67:FWT73"/>
    <mergeCell ref="FWI67:FWI73"/>
    <mergeCell ref="FWJ67:FWJ73"/>
    <mergeCell ref="FWK67:FWK73"/>
    <mergeCell ref="FWL67:FWL73"/>
    <mergeCell ref="FWM67:FWM73"/>
    <mergeCell ref="FWN67:FWN73"/>
    <mergeCell ref="FWC67:FWC73"/>
    <mergeCell ref="FWD67:FWD73"/>
    <mergeCell ref="FWE67:FWE73"/>
    <mergeCell ref="FWF67:FWF73"/>
    <mergeCell ref="FWG67:FWG73"/>
    <mergeCell ref="FWH67:FWH73"/>
    <mergeCell ref="FVW67:FVW73"/>
    <mergeCell ref="FVX67:FVX73"/>
    <mergeCell ref="FVY67:FVY73"/>
    <mergeCell ref="FVZ67:FVZ73"/>
    <mergeCell ref="FWA67:FWA73"/>
    <mergeCell ref="FWB67:FWB73"/>
    <mergeCell ref="FYK67:FYK73"/>
    <mergeCell ref="FYL67:FYL73"/>
    <mergeCell ref="FYM67:FYM73"/>
    <mergeCell ref="FYN67:FYN73"/>
    <mergeCell ref="FYO67:FYO73"/>
    <mergeCell ref="FYP67:FYP73"/>
    <mergeCell ref="FYE67:FYE73"/>
    <mergeCell ref="FYF67:FYF73"/>
    <mergeCell ref="FYG67:FYG73"/>
    <mergeCell ref="FYH67:FYH73"/>
    <mergeCell ref="FYI67:FYI73"/>
    <mergeCell ref="FYJ67:FYJ73"/>
    <mergeCell ref="FXY67:FXY73"/>
    <mergeCell ref="FXZ67:FXZ73"/>
    <mergeCell ref="FYA67:FYA73"/>
    <mergeCell ref="FYB67:FYB73"/>
    <mergeCell ref="FYC67:FYC73"/>
    <mergeCell ref="FYD67:FYD73"/>
    <mergeCell ref="FXS67:FXS73"/>
    <mergeCell ref="FXT67:FXT73"/>
    <mergeCell ref="FXU67:FXU73"/>
    <mergeCell ref="FXV67:FXV73"/>
    <mergeCell ref="FXW67:FXW73"/>
    <mergeCell ref="FXX67:FXX73"/>
    <mergeCell ref="FXM67:FXM73"/>
    <mergeCell ref="FXN67:FXN73"/>
    <mergeCell ref="FXO67:FXO73"/>
    <mergeCell ref="FXP67:FXP73"/>
    <mergeCell ref="FXQ67:FXQ73"/>
    <mergeCell ref="FXR67:FXR73"/>
    <mergeCell ref="FXG67:FXG73"/>
    <mergeCell ref="FXH67:FXH73"/>
    <mergeCell ref="FXI67:FXI73"/>
    <mergeCell ref="FXJ67:FXJ73"/>
    <mergeCell ref="FXK67:FXK73"/>
    <mergeCell ref="FXL67:FXL73"/>
    <mergeCell ref="FZU67:FZU73"/>
    <mergeCell ref="FZV67:FZV73"/>
    <mergeCell ref="FZW67:FZW73"/>
    <mergeCell ref="FZX67:FZX73"/>
    <mergeCell ref="FZY67:FZY73"/>
    <mergeCell ref="FZZ67:FZZ73"/>
    <mergeCell ref="FZO67:FZO73"/>
    <mergeCell ref="FZP67:FZP73"/>
    <mergeCell ref="FZQ67:FZQ73"/>
    <mergeCell ref="FZR67:FZR73"/>
    <mergeCell ref="FZS67:FZS73"/>
    <mergeCell ref="FZT67:FZT73"/>
    <mergeCell ref="FZI67:FZI73"/>
    <mergeCell ref="FZJ67:FZJ73"/>
    <mergeCell ref="FZK67:FZK73"/>
    <mergeCell ref="FZL67:FZL73"/>
    <mergeCell ref="FZM67:FZM73"/>
    <mergeCell ref="FZN67:FZN73"/>
    <mergeCell ref="FZC67:FZC73"/>
    <mergeCell ref="FZD67:FZD73"/>
    <mergeCell ref="FZE67:FZE73"/>
    <mergeCell ref="FZF67:FZF73"/>
    <mergeCell ref="FZG67:FZG73"/>
    <mergeCell ref="FZH67:FZH73"/>
    <mergeCell ref="FYW67:FYW73"/>
    <mergeCell ref="FYX67:FYX73"/>
    <mergeCell ref="FYY67:FYY73"/>
    <mergeCell ref="FYZ67:FYZ73"/>
    <mergeCell ref="FZA67:FZA73"/>
    <mergeCell ref="FZB67:FZB73"/>
    <mergeCell ref="FYQ67:FYQ73"/>
    <mergeCell ref="FYR67:FYR73"/>
    <mergeCell ref="FYS67:FYS73"/>
    <mergeCell ref="FYT67:FYT73"/>
    <mergeCell ref="FYU67:FYU73"/>
    <mergeCell ref="FYV67:FYV73"/>
    <mergeCell ref="GBE67:GBE73"/>
    <mergeCell ref="GBF67:GBF73"/>
    <mergeCell ref="GBG67:GBG73"/>
    <mergeCell ref="GBH67:GBH73"/>
    <mergeCell ref="GBI67:GBI73"/>
    <mergeCell ref="GBJ67:GBJ73"/>
    <mergeCell ref="GAY67:GAY73"/>
    <mergeCell ref="GAZ67:GAZ73"/>
    <mergeCell ref="GBA67:GBA73"/>
    <mergeCell ref="GBB67:GBB73"/>
    <mergeCell ref="GBC67:GBC73"/>
    <mergeCell ref="GBD67:GBD73"/>
    <mergeCell ref="GAS67:GAS73"/>
    <mergeCell ref="GAT67:GAT73"/>
    <mergeCell ref="GAU67:GAU73"/>
    <mergeCell ref="GAV67:GAV73"/>
    <mergeCell ref="GAW67:GAW73"/>
    <mergeCell ref="GAX67:GAX73"/>
    <mergeCell ref="GAM67:GAM73"/>
    <mergeCell ref="GAN67:GAN73"/>
    <mergeCell ref="GAO67:GAO73"/>
    <mergeCell ref="GAP67:GAP73"/>
    <mergeCell ref="GAQ67:GAQ73"/>
    <mergeCell ref="GAR67:GAR73"/>
    <mergeCell ref="GAG67:GAG73"/>
    <mergeCell ref="GAH67:GAH73"/>
    <mergeCell ref="GAI67:GAI73"/>
    <mergeCell ref="GAJ67:GAJ73"/>
    <mergeCell ref="GAK67:GAK73"/>
    <mergeCell ref="GAL67:GAL73"/>
    <mergeCell ref="GAA67:GAA73"/>
    <mergeCell ref="GAB67:GAB73"/>
    <mergeCell ref="GAC67:GAC73"/>
    <mergeCell ref="GAD67:GAD73"/>
    <mergeCell ref="GAE67:GAE73"/>
    <mergeCell ref="GAF67:GAF73"/>
    <mergeCell ref="GCO67:GCO73"/>
    <mergeCell ref="GCP67:GCP73"/>
    <mergeCell ref="GCQ67:GCQ73"/>
    <mergeCell ref="GCR67:GCR73"/>
    <mergeCell ref="GCS67:GCS73"/>
    <mergeCell ref="GCT67:GCT73"/>
    <mergeCell ref="GCI67:GCI73"/>
    <mergeCell ref="GCJ67:GCJ73"/>
    <mergeCell ref="GCK67:GCK73"/>
    <mergeCell ref="GCL67:GCL73"/>
    <mergeCell ref="GCM67:GCM73"/>
    <mergeCell ref="GCN67:GCN73"/>
    <mergeCell ref="GCC67:GCC73"/>
    <mergeCell ref="GCD67:GCD73"/>
    <mergeCell ref="GCE67:GCE73"/>
    <mergeCell ref="GCF67:GCF73"/>
    <mergeCell ref="GCG67:GCG73"/>
    <mergeCell ref="GCH67:GCH73"/>
    <mergeCell ref="GBW67:GBW73"/>
    <mergeCell ref="GBX67:GBX73"/>
    <mergeCell ref="GBY67:GBY73"/>
    <mergeCell ref="GBZ67:GBZ73"/>
    <mergeCell ref="GCA67:GCA73"/>
    <mergeCell ref="GCB67:GCB73"/>
    <mergeCell ref="GBQ67:GBQ73"/>
    <mergeCell ref="GBR67:GBR73"/>
    <mergeCell ref="GBS67:GBS73"/>
    <mergeCell ref="GBT67:GBT73"/>
    <mergeCell ref="GBU67:GBU73"/>
    <mergeCell ref="GBV67:GBV73"/>
    <mergeCell ref="GBK67:GBK73"/>
    <mergeCell ref="GBL67:GBL73"/>
    <mergeCell ref="GBM67:GBM73"/>
    <mergeCell ref="GBN67:GBN73"/>
    <mergeCell ref="GBO67:GBO73"/>
    <mergeCell ref="GBP67:GBP73"/>
    <mergeCell ref="GDY67:GDY73"/>
    <mergeCell ref="GDZ67:GDZ73"/>
    <mergeCell ref="GEA67:GEA73"/>
    <mergeCell ref="GEB67:GEB73"/>
    <mergeCell ref="GEC67:GEC73"/>
    <mergeCell ref="GED67:GED73"/>
    <mergeCell ref="GDS67:GDS73"/>
    <mergeCell ref="GDT67:GDT73"/>
    <mergeCell ref="GDU67:GDU73"/>
    <mergeCell ref="GDV67:GDV73"/>
    <mergeCell ref="GDW67:GDW73"/>
    <mergeCell ref="GDX67:GDX73"/>
    <mergeCell ref="GDM67:GDM73"/>
    <mergeCell ref="GDN67:GDN73"/>
    <mergeCell ref="GDO67:GDO73"/>
    <mergeCell ref="GDP67:GDP73"/>
    <mergeCell ref="GDQ67:GDQ73"/>
    <mergeCell ref="GDR67:GDR73"/>
    <mergeCell ref="GDG67:GDG73"/>
    <mergeCell ref="GDH67:GDH73"/>
    <mergeCell ref="GDI67:GDI73"/>
    <mergeCell ref="GDJ67:GDJ73"/>
    <mergeCell ref="GDK67:GDK73"/>
    <mergeCell ref="GDL67:GDL73"/>
    <mergeCell ref="GDA67:GDA73"/>
    <mergeCell ref="GDB67:GDB73"/>
    <mergeCell ref="GDC67:GDC73"/>
    <mergeCell ref="GDD67:GDD73"/>
    <mergeCell ref="GDE67:GDE73"/>
    <mergeCell ref="GDF67:GDF73"/>
    <mergeCell ref="GCU67:GCU73"/>
    <mergeCell ref="GCV67:GCV73"/>
    <mergeCell ref="GCW67:GCW73"/>
    <mergeCell ref="GCX67:GCX73"/>
    <mergeCell ref="GCY67:GCY73"/>
    <mergeCell ref="GCZ67:GCZ73"/>
    <mergeCell ref="GFI67:GFI73"/>
    <mergeCell ref="GFJ67:GFJ73"/>
    <mergeCell ref="GFK67:GFK73"/>
    <mergeCell ref="GFL67:GFL73"/>
    <mergeCell ref="GFM67:GFM73"/>
    <mergeCell ref="GFN67:GFN73"/>
    <mergeCell ref="GFC67:GFC73"/>
    <mergeCell ref="GFD67:GFD73"/>
    <mergeCell ref="GFE67:GFE73"/>
    <mergeCell ref="GFF67:GFF73"/>
    <mergeCell ref="GFG67:GFG73"/>
    <mergeCell ref="GFH67:GFH73"/>
    <mergeCell ref="GEW67:GEW73"/>
    <mergeCell ref="GEX67:GEX73"/>
    <mergeCell ref="GEY67:GEY73"/>
    <mergeCell ref="GEZ67:GEZ73"/>
    <mergeCell ref="GFA67:GFA73"/>
    <mergeCell ref="GFB67:GFB73"/>
    <mergeCell ref="GEQ67:GEQ73"/>
    <mergeCell ref="GER67:GER73"/>
    <mergeCell ref="GES67:GES73"/>
    <mergeCell ref="GET67:GET73"/>
    <mergeCell ref="GEU67:GEU73"/>
    <mergeCell ref="GEV67:GEV73"/>
    <mergeCell ref="GEK67:GEK73"/>
    <mergeCell ref="GEL67:GEL73"/>
    <mergeCell ref="GEM67:GEM73"/>
    <mergeCell ref="GEN67:GEN73"/>
    <mergeCell ref="GEO67:GEO73"/>
    <mergeCell ref="GEP67:GEP73"/>
    <mergeCell ref="GEE67:GEE73"/>
    <mergeCell ref="GEF67:GEF73"/>
    <mergeCell ref="GEG67:GEG73"/>
    <mergeCell ref="GEH67:GEH73"/>
    <mergeCell ref="GEI67:GEI73"/>
    <mergeCell ref="GEJ67:GEJ73"/>
    <mergeCell ref="GGS67:GGS73"/>
    <mergeCell ref="GGT67:GGT73"/>
    <mergeCell ref="GGU67:GGU73"/>
    <mergeCell ref="GGV67:GGV73"/>
    <mergeCell ref="GGW67:GGW73"/>
    <mergeCell ref="GGX67:GGX73"/>
    <mergeCell ref="GGM67:GGM73"/>
    <mergeCell ref="GGN67:GGN73"/>
    <mergeCell ref="GGO67:GGO73"/>
    <mergeCell ref="GGP67:GGP73"/>
    <mergeCell ref="GGQ67:GGQ73"/>
    <mergeCell ref="GGR67:GGR73"/>
    <mergeCell ref="GGG67:GGG73"/>
    <mergeCell ref="GGH67:GGH73"/>
    <mergeCell ref="GGI67:GGI73"/>
    <mergeCell ref="GGJ67:GGJ73"/>
    <mergeCell ref="GGK67:GGK73"/>
    <mergeCell ref="GGL67:GGL73"/>
    <mergeCell ref="GGA67:GGA73"/>
    <mergeCell ref="GGB67:GGB73"/>
    <mergeCell ref="GGC67:GGC73"/>
    <mergeCell ref="GGD67:GGD73"/>
    <mergeCell ref="GGE67:GGE73"/>
    <mergeCell ref="GGF67:GGF73"/>
    <mergeCell ref="GFU67:GFU73"/>
    <mergeCell ref="GFV67:GFV73"/>
    <mergeCell ref="GFW67:GFW73"/>
    <mergeCell ref="GFX67:GFX73"/>
    <mergeCell ref="GFY67:GFY73"/>
    <mergeCell ref="GFZ67:GFZ73"/>
    <mergeCell ref="GFO67:GFO73"/>
    <mergeCell ref="GFP67:GFP73"/>
    <mergeCell ref="GFQ67:GFQ73"/>
    <mergeCell ref="GFR67:GFR73"/>
    <mergeCell ref="GFS67:GFS73"/>
    <mergeCell ref="GFT67:GFT73"/>
    <mergeCell ref="GIC67:GIC73"/>
    <mergeCell ref="GID67:GID73"/>
    <mergeCell ref="GIE67:GIE73"/>
    <mergeCell ref="GIF67:GIF73"/>
    <mergeCell ref="GIG67:GIG73"/>
    <mergeCell ref="GIH67:GIH73"/>
    <mergeCell ref="GHW67:GHW73"/>
    <mergeCell ref="GHX67:GHX73"/>
    <mergeCell ref="GHY67:GHY73"/>
    <mergeCell ref="GHZ67:GHZ73"/>
    <mergeCell ref="GIA67:GIA73"/>
    <mergeCell ref="GIB67:GIB73"/>
    <mergeCell ref="GHQ67:GHQ73"/>
    <mergeCell ref="GHR67:GHR73"/>
    <mergeCell ref="GHS67:GHS73"/>
    <mergeCell ref="GHT67:GHT73"/>
    <mergeCell ref="GHU67:GHU73"/>
    <mergeCell ref="GHV67:GHV73"/>
    <mergeCell ref="GHK67:GHK73"/>
    <mergeCell ref="GHL67:GHL73"/>
    <mergeCell ref="GHM67:GHM73"/>
    <mergeCell ref="GHN67:GHN73"/>
    <mergeCell ref="GHO67:GHO73"/>
    <mergeCell ref="GHP67:GHP73"/>
    <mergeCell ref="GHE67:GHE73"/>
    <mergeCell ref="GHF67:GHF73"/>
    <mergeCell ref="GHG67:GHG73"/>
    <mergeCell ref="GHH67:GHH73"/>
    <mergeCell ref="GHI67:GHI73"/>
    <mergeCell ref="GHJ67:GHJ73"/>
    <mergeCell ref="GGY67:GGY73"/>
    <mergeCell ref="GGZ67:GGZ73"/>
    <mergeCell ref="GHA67:GHA73"/>
    <mergeCell ref="GHB67:GHB73"/>
    <mergeCell ref="GHC67:GHC73"/>
    <mergeCell ref="GHD67:GHD73"/>
    <mergeCell ref="GJM67:GJM73"/>
    <mergeCell ref="GJN67:GJN73"/>
    <mergeCell ref="GJO67:GJO73"/>
    <mergeCell ref="GJP67:GJP73"/>
    <mergeCell ref="GJQ67:GJQ73"/>
    <mergeCell ref="GJR67:GJR73"/>
    <mergeCell ref="GJG67:GJG73"/>
    <mergeCell ref="GJH67:GJH73"/>
    <mergeCell ref="GJI67:GJI73"/>
    <mergeCell ref="GJJ67:GJJ73"/>
    <mergeCell ref="GJK67:GJK73"/>
    <mergeCell ref="GJL67:GJL73"/>
    <mergeCell ref="GJA67:GJA73"/>
    <mergeCell ref="GJB67:GJB73"/>
    <mergeCell ref="GJC67:GJC73"/>
    <mergeCell ref="GJD67:GJD73"/>
    <mergeCell ref="GJE67:GJE73"/>
    <mergeCell ref="GJF67:GJF73"/>
    <mergeCell ref="GIU67:GIU73"/>
    <mergeCell ref="GIV67:GIV73"/>
    <mergeCell ref="GIW67:GIW73"/>
    <mergeCell ref="GIX67:GIX73"/>
    <mergeCell ref="GIY67:GIY73"/>
    <mergeCell ref="GIZ67:GIZ73"/>
    <mergeCell ref="GIO67:GIO73"/>
    <mergeCell ref="GIP67:GIP73"/>
    <mergeCell ref="GIQ67:GIQ73"/>
    <mergeCell ref="GIR67:GIR73"/>
    <mergeCell ref="GIS67:GIS73"/>
    <mergeCell ref="GIT67:GIT73"/>
    <mergeCell ref="GII67:GII73"/>
    <mergeCell ref="GIJ67:GIJ73"/>
    <mergeCell ref="GIK67:GIK73"/>
    <mergeCell ref="GIL67:GIL73"/>
    <mergeCell ref="GIM67:GIM73"/>
    <mergeCell ref="GIN67:GIN73"/>
    <mergeCell ref="GKW67:GKW73"/>
    <mergeCell ref="GKX67:GKX73"/>
    <mergeCell ref="GKY67:GKY73"/>
    <mergeCell ref="GKZ67:GKZ73"/>
    <mergeCell ref="GLA67:GLA73"/>
    <mergeCell ref="GLB67:GLB73"/>
    <mergeCell ref="GKQ67:GKQ73"/>
    <mergeCell ref="GKR67:GKR73"/>
    <mergeCell ref="GKS67:GKS73"/>
    <mergeCell ref="GKT67:GKT73"/>
    <mergeCell ref="GKU67:GKU73"/>
    <mergeCell ref="GKV67:GKV73"/>
    <mergeCell ref="GKK67:GKK73"/>
    <mergeCell ref="GKL67:GKL73"/>
    <mergeCell ref="GKM67:GKM73"/>
    <mergeCell ref="GKN67:GKN73"/>
    <mergeCell ref="GKO67:GKO73"/>
    <mergeCell ref="GKP67:GKP73"/>
    <mergeCell ref="GKE67:GKE73"/>
    <mergeCell ref="GKF67:GKF73"/>
    <mergeCell ref="GKG67:GKG73"/>
    <mergeCell ref="GKH67:GKH73"/>
    <mergeCell ref="GKI67:GKI73"/>
    <mergeCell ref="GKJ67:GKJ73"/>
    <mergeCell ref="GJY67:GJY73"/>
    <mergeCell ref="GJZ67:GJZ73"/>
    <mergeCell ref="GKA67:GKA73"/>
    <mergeCell ref="GKB67:GKB73"/>
    <mergeCell ref="GKC67:GKC73"/>
    <mergeCell ref="GKD67:GKD73"/>
    <mergeCell ref="GJS67:GJS73"/>
    <mergeCell ref="GJT67:GJT73"/>
    <mergeCell ref="GJU67:GJU73"/>
    <mergeCell ref="GJV67:GJV73"/>
    <mergeCell ref="GJW67:GJW73"/>
    <mergeCell ref="GJX67:GJX73"/>
    <mergeCell ref="GMG67:GMG73"/>
    <mergeCell ref="GMH67:GMH73"/>
    <mergeCell ref="GMI67:GMI73"/>
    <mergeCell ref="GMJ67:GMJ73"/>
    <mergeCell ref="GMK67:GMK73"/>
    <mergeCell ref="GML67:GML73"/>
    <mergeCell ref="GMA67:GMA73"/>
    <mergeCell ref="GMB67:GMB73"/>
    <mergeCell ref="GMC67:GMC73"/>
    <mergeCell ref="GMD67:GMD73"/>
    <mergeCell ref="GME67:GME73"/>
    <mergeCell ref="GMF67:GMF73"/>
    <mergeCell ref="GLU67:GLU73"/>
    <mergeCell ref="GLV67:GLV73"/>
    <mergeCell ref="GLW67:GLW73"/>
    <mergeCell ref="GLX67:GLX73"/>
    <mergeCell ref="GLY67:GLY73"/>
    <mergeCell ref="GLZ67:GLZ73"/>
    <mergeCell ref="GLO67:GLO73"/>
    <mergeCell ref="GLP67:GLP73"/>
    <mergeCell ref="GLQ67:GLQ73"/>
    <mergeCell ref="GLR67:GLR73"/>
    <mergeCell ref="GLS67:GLS73"/>
    <mergeCell ref="GLT67:GLT73"/>
    <mergeCell ref="GLI67:GLI73"/>
    <mergeCell ref="GLJ67:GLJ73"/>
    <mergeCell ref="GLK67:GLK73"/>
    <mergeCell ref="GLL67:GLL73"/>
    <mergeCell ref="GLM67:GLM73"/>
    <mergeCell ref="GLN67:GLN73"/>
    <mergeCell ref="GLC67:GLC73"/>
    <mergeCell ref="GLD67:GLD73"/>
    <mergeCell ref="GLE67:GLE73"/>
    <mergeCell ref="GLF67:GLF73"/>
    <mergeCell ref="GLG67:GLG73"/>
    <mergeCell ref="GLH67:GLH73"/>
    <mergeCell ref="GNQ67:GNQ73"/>
    <mergeCell ref="GNR67:GNR73"/>
    <mergeCell ref="GNS67:GNS73"/>
    <mergeCell ref="GNT67:GNT73"/>
    <mergeCell ref="GNU67:GNU73"/>
    <mergeCell ref="GNV67:GNV73"/>
    <mergeCell ref="GNK67:GNK73"/>
    <mergeCell ref="GNL67:GNL73"/>
    <mergeCell ref="GNM67:GNM73"/>
    <mergeCell ref="GNN67:GNN73"/>
    <mergeCell ref="GNO67:GNO73"/>
    <mergeCell ref="GNP67:GNP73"/>
    <mergeCell ref="GNE67:GNE73"/>
    <mergeCell ref="GNF67:GNF73"/>
    <mergeCell ref="GNG67:GNG73"/>
    <mergeCell ref="GNH67:GNH73"/>
    <mergeCell ref="GNI67:GNI73"/>
    <mergeCell ref="GNJ67:GNJ73"/>
    <mergeCell ref="GMY67:GMY73"/>
    <mergeCell ref="GMZ67:GMZ73"/>
    <mergeCell ref="GNA67:GNA73"/>
    <mergeCell ref="GNB67:GNB73"/>
    <mergeCell ref="GNC67:GNC73"/>
    <mergeCell ref="GND67:GND73"/>
    <mergeCell ref="GMS67:GMS73"/>
    <mergeCell ref="GMT67:GMT73"/>
    <mergeCell ref="GMU67:GMU73"/>
    <mergeCell ref="GMV67:GMV73"/>
    <mergeCell ref="GMW67:GMW73"/>
    <mergeCell ref="GMX67:GMX73"/>
    <mergeCell ref="GMM67:GMM73"/>
    <mergeCell ref="GMN67:GMN73"/>
    <mergeCell ref="GMO67:GMO73"/>
    <mergeCell ref="GMP67:GMP73"/>
    <mergeCell ref="GMQ67:GMQ73"/>
    <mergeCell ref="GMR67:GMR73"/>
    <mergeCell ref="GPA67:GPA73"/>
    <mergeCell ref="GPB67:GPB73"/>
    <mergeCell ref="GPC67:GPC73"/>
    <mergeCell ref="GPD67:GPD73"/>
    <mergeCell ref="GPE67:GPE73"/>
    <mergeCell ref="GPF67:GPF73"/>
    <mergeCell ref="GOU67:GOU73"/>
    <mergeCell ref="GOV67:GOV73"/>
    <mergeCell ref="GOW67:GOW73"/>
    <mergeCell ref="GOX67:GOX73"/>
    <mergeCell ref="GOY67:GOY73"/>
    <mergeCell ref="GOZ67:GOZ73"/>
    <mergeCell ref="GOO67:GOO73"/>
    <mergeCell ref="GOP67:GOP73"/>
    <mergeCell ref="GOQ67:GOQ73"/>
    <mergeCell ref="GOR67:GOR73"/>
    <mergeCell ref="GOS67:GOS73"/>
    <mergeCell ref="GOT67:GOT73"/>
    <mergeCell ref="GOI67:GOI73"/>
    <mergeCell ref="GOJ67:GOJ73"/>
    <mergeCell ref="GOK67:GOK73"/>
    <mergeCell ref="GOL67:GOL73"/>
    <mergeCell ref="GOM67:GOM73"/>
    <mergeCell ref="GON67:GON73"/>
    <mergeCell ref="GOC67:GOC73"/>
    <mergeCell ref="GOD67:GOD73"/>
    <mergeCell ref="GOE67:GOE73"/>
    <mergeCell ref="GOF67:GOF73"/>
    <mergeCell ref="GOG67:GOG73"/>
    <mergeCell ref="GOH67:GOH73"/>
    <mergeCell ref="GNW67:GNW73"/>
    <mergeCell ref="GNX67:GNX73"/>
    <mergeCell ref="GNY67:GNY73"/>
    <mergeCell ref="GNZ67:GNZ73"/>
    <mergeCell ref="GOA67:GOA73"/>
    <mergeCell ref="GOB67:GOB73"/>
    <mergeCell ref="GQK67:GQK73"/>
    <mergeCell ref="GQL67:GQL73"/>
    <mergeCell ref="GQM67:GQM73"/>
    <mergeCell ref="GQN67:GQN73"/>
    <mergeCell ref="GQO67:GQO73"/>
    <mergeCell ref="GQP67:GQP73"/>
    <mergeCell ref="GQE67:GQE73"/>
    <mergeCell ref="GQF67:GQF73"/>
    <mergeCell ref="GQG67:GQG73"/>
    <mergeCell ref="GQH67:GQH73"/>
    <mergeCell ref="GQI67:GQI73"/>
    <mergeCell ref="GQJ67:GQJ73"/>
    <mergeCell ref="GPY67:GPY73"/>
    <mergeCell ref="GPZ67:GPZ73"/>
    <mergeCell ref="GQA67:GQA73"/>
    <mergeCell ref="GQB67:GQB73"/>
    <mergeCell ref="GQC67:GQC73"/>
    <mergeCell ref="GQD67:GQD73"/>
    <mergeCell ref="GPS67:GPS73"/>
    <mergeCell ref="GPT67:GPT73"/>
    <mergeCell ref="GPU67:GPU73"/>
    <mergeCell ref="GPV67:GPV73"/>
    <mergeCell ref="GPW67:GPW73"/>
    <mergeCell ref="GPX67:GPX73"/>
    <mergeCell ref="GPM67:GPM73"/>
    <mergeCell ref="GPN67:GPN73"/>
    <mergeCell ref="GPO67:GPO73"/>
    <mergeCell ref="GPP67:GPP73"/>
    <mergeCell ref="GPQ67:GPQ73"/>
    <mergeCell ref="GPR67:GPR73"/>
    <mergeCell ref="GPG67:GPG73"/>
    <mergeCell ref="GPH67:GPH73"/>
    <mergeCell ref="GPI67:GPI73"/>
    <mergeCell ref="GPJ67:GPJ73"/>
    <mergeCell ref="GPK67:GPK73"/>
    <mergeCell ref="GPL67:GPL73"/>
    <mergeCell ref="GRU67:GRU73"/>
    <mergeCell ref="GRV67:GRV73"/>
    <mergeCell ref="GRW67:GRW73"/>
    <mergeCell ref="GRX67:GRX73"/>
    <mergeCell ref="GRY67:GRY73"/>
    <mergeCell ref="GRZ67:GRZ73"/>
    <mergeCell ref="GRO67:GRO73"/>
    <mergeCell ref="GRP67:GRP73"/>
    <mergeCell ref="GRQ67:GRQ73"/>
    <mergeCell ref="GRR67:GRR73"/>
    <mergeCell ref="GRS67:GRS73"/>
    <mergeCell ref="GRT67:GRT73"/>
    <mergeCell ref="GRI67:GRI73"/>
    <mergeCell ref="GRJ67:GRJ73"/>
    <mergeCell ref="GRK67:GRK73"/>
    <mergeCell ref="GRL67:GRL73"/>
    <mergeCell ref="GRM67:GRM73"/>
    <mergeCell ref="GRN67:GRN73"/>
    <mergeCell ref="GRC67:GRC73"/>
    <mergeCell ref="GRD67:GRD73"/>
    <mergeCell ref="GRE67:GRE73"/>
    <mergeCell ref="GRF67:GRF73"/>
    <mergeCell ref="GRG67:GRG73"/>
    <mergeCell ref="GRH67:GRH73"/>
    <mergeCell ref="GQW67:GQW73"/>
    <mergeCell ref="GQX67:GQX73"/>
    <mergeCell ref="GQY67:GQY73"/>
    <mergeCell ref="GQZ67:GQZ73"/>
    <mergeCell ref="GRA67:GRA73"/>
    <mergeCell ref="GRB67:GRB73"/>
    <mergeCell ref="GQQ67:GQQ73"/>
    <mergeCell ref="GQR67:GQR73"/>
    <mergeCell ref="GQS67:GQS73"/>
    <mergeCell ref="GQT67:GQT73"/>
    <mergeCell ref="GQU67:GQU73"/>
    <mergeCell ref="GQV67:GQV73"/>
    <mergeCell ref="GTE67:GTE73"/>
    <mergeCell ref="GTF67:GTF73"/>
    <mergeCell ref="GTG67:GTG73"/>
    <mergeCell ref="GTH67:GTH73"/>
    <mergeCell ref="GTI67:GTI73"/>
    <mergeCell ref="GTJ67:GTJ73"/>
    <mergeCell ref="GSY67:GSY73"/>
    <mergeCell ref="GSZ67:GSZ73"/>
    <mergeCell ref="GTA67:GTA73"/>
    <mergeCell ref="GTB67:GTB73"/>
    <mergeCell ref="GTC67:GTC73"/>
    <mergeCell ref="GTD67:GTD73"/>
    <mergeCell ref="GSS67:GSS73"/>
    <mergeCell ref="GST67:GST73"/>
    <mergeCell ref="GSU67:GSU73"/>
    <mergeCell ref="GSV67:GSV73"/>
    <mergeCell ref="GSW67:GSW73"/>
    <mergeCell ref="GSX67:GSX73"/>
    <mergeCell ref="GSM67:GSM73"/>
    <mergeCell ref="GSN67:GSN73"/>
    <mergeCell ref="GSO67:GSO73"/>
    <mergeCell ref="GSP67:GSP73"/>
    <mergeCell ref="GSQ67:GSQ73"/>
    <mergeCell ref="GSR67:GSR73"/>
    <mergeCell ref="GSG67:GSG73"/>
    <mergeCell ref="GSH67:GSH73"/>
    <mergeCell ref="GSI67:GSI73"/>
    <mergeCell ref="GSJ67:GSJ73"/>
    <mergeCell ref="GSK67:GSK73"/>
    <mergeCell ref="GSL67:GSL73"/>
    <mergeCell ref="GSA67:GSA73"/>
    <mergeCell ref="GSB67:GSB73"/>
    <mergeCell ref="GSC67:GSC73"/>
    <mergeCell ref="GSD67:GSD73"/>
    <mergeCell ref="GSE67:GSE73"/>
    <mergeCell ref="GSF67:GSF73"/>
    <mergeCell ref="GUO67:GUO73"/>
    <mergeCell ref="GUP67:GUP73"/>
    <mergeCell ref="GUQ67:GUQ73"/>
    <mergeCell ref="GUR67:GUR73"/>
    <mergeCell ref="GUS67:GUS73"/>
    <mergeCell ref="GUT67:GUT73"/>
    <mergeCell ref="GUI67:GUI73"/>
    <mergeCell ref="GUJ67:GUJ73"/>
    <mergeCell ref="GUK67:GUK73"/>
    <mergeCell ref="GUL67:GUL73"/>
    <mergeCell ref="GUM67:GUM73"/>
    <mergeCell ref="GUN67:GUN73"/>
    <mergeCell ref="GUC67:GUC73"/>
    <mergeCell ref="GUD67:GUD73"/>
    <mergeCell ref="GUE67:GUE73"/>
    <mergeCell ref="GUF67:GUF73"/>
    <mergeCell ref="GUG67:GUG73"/>
    <mergeCell ref="GUH67:GUH73"/>
    <mergeCell ref="GTW67:GTW73"/>
    <mergeCell ref="GTX67:GTX73"/>
    <mergeCell ref="GTY67:GTY73"/>
    <mergeCell ref="GTZ67:GTZ73"/>
    <mergeCell ref="GUA67:GUA73"/>
    <mergeCell ref="GUB67:GUB73"/>
    <mergeCell ref="GTQ67:GTQ73"/>
    <mergeCell ref="GTR67:GTR73"/>
    <mergeCell ref="GTS67:GTS73"/>
    <mergeCell ref="GTT67:GTT73"/>
    <mergeCell ref="GTU67:GTU73"/>
    <mergeCell ref="GTV67:GTV73"/>
    <mergeCell ref="GTK67:GTK73"/>
    <mergeCell ref="GTL67:GTL73"/>
    <mergeCell ref="GTM67:GTM73"/>
    <mergeCell ref="GTN67:GTN73"/>
    <mergeCell ref="GTO67:GTO73"/>
    <mergeCell ref="GTP67:GTP73"/>
    <mergeCell ref="GVY67:GVY73"/>
    <mergeCell ref="GVZ67:GVZ73"/>
    <mergeCell ref="GWA67:GWA73"/>
    <mergeCell ref="GWB67:GWB73"/>
    <mergeCell ref="GWC67:GWC73"/>
    <mergeCell ref="GWD67:GWD73"/>
    <mergeCell ref="GVS67:GVS73"/>
    <mergeCell ref="GVT67:GVT73"/>
    <mergeCell ref="GVU67:GVU73"/>
    <mergeCell ref="GVV67:GVV73"/>
    <mergeCell ref="GVW67:GVW73"/>
    <mergeCell ref="GVX67:GVX73"/>
    <mergeCell ref="GVM67:GVM73"/>
    <mergeCell ref="GVN67:GVN73"/>
    <mergeCell ref="GVO67:GVO73"/>
    <mergeCell ref="GVP67:GVP73"/>
    <mergeCell ref="GVQ67:GVQ73"/>
    <mergeCell ref="GVR67:GVR73"/>
    <mergeCell ref="GVG67:GVG73"/>
    <mergeCell ref="GVH67:GVH73"/>
    <mergeCell ref="GVI67:GVI73"/>
    <mergeCell ref="GVJ67:GVJ73"/>
    <mergeCell ref="GVK67:GVK73"/>
    <mergeCell ref="GVL67:GVL73"/>
    <mergeCell ref="GVA67:GVA73"/>
    <mergeCell ref="GVB67:GVB73"/>
    <mergeCell ref="GVC67:GVC73"/>
    <mergeCell ref="GVD67:GVD73"/>
    <mergeCell ref="GVE67:GVE73"/>
    <mergeCell ref="GVF67:GVF73"/>
    <mergeCell ref="GUU67:GUU73"/>
    <mergeCell ref="GUV67:GUV73"/>
    <mergeCell ref="GUW67:GUW73"/>
    <mergeCell ref="GUX67:GUX73"/>
    <mergeCell ref="GUY67:GUY73"/>
    <mergeCell ref="GUZ67:GUZ73"/>
    <mergeCell ref="GXI67:GXI73"/>
    <mergeCell ref="GXJ67:GXJ73"/>
    <mergeCell ref="GXK67:GXK73"/>
    <mergeCell ref="GXL67:GXL73"/>
    <mergeCell ref="GXM67:GXM73"/>
    <mergeCell ref="GXN67:GXN73"/>
    <mergeCell ref="GXC67:GXC73"/>
    <mergeCell ref="GXD67:GXD73"/>
    <mergeCell ref="GXE67:GXE73"/>
    <mergeCell ref="GXF67:GXF73"/>
    <mergeCell ref="GXG67:GXG73"/>
    <mergeCell ref="GXH67:GXH73"/>
    <mergeCell ref="GWW67:GWW73"/>
    <mergeCell ref="GWX67:GWX73"/>
    <mergeCell ref="GWY67:GWY73"/>
    <mergeCell ref="GWZ67:GWZ73"/>
    <mergeCell ref="GXA67:GXA73"/>
    <mergeCell ref="GXB67:GXB73"/>
    <mergeCell ref="GWQ67:GWQ73"/>
    <mergeCell ref="GWR67:GWR73"/>
    <mergeCell ref="GWS67:GWS73"/>
    <mergeCell ref="GWT67:GWT73"/>
    <mergeCell ref="GWU67:GWU73"/>
    <mergeCell ref="GWV67:GWV73"/>
    <mergeCell ref="GWK67:GWK73"/>
    <mergeCell ref="GWL67:GWL73"/>
    <mergeCell ref="GWM67:GWM73"/>
    <mergeCell ref="GWN67:GWN73"/>
    <mergeCell ref="GWO67:GWO73"/>
    <mergeCell ref="GWP67:GWP73"/>
    <mergeCell ref="GWE67:GWE73"/>
    <mergeCell ref="GWF67:GWF73"/>
    <mergeCell ref="GWG67:GWG73"/>
    <mergeCell ref="GWH67:GWH73"/>
    <mergeCell ref="GWI67:GWI73"/>
    <mergeCell ref="GWJ67:GWJ73"/>
    <mergeCell ref="GYS67:GYS73"/>
    <mergeCell ref="GYT67:GYT73"/>
    <mergeCell ref="GYU67:GYU73"/>
    <mergeCell ref="GYV67:GYV73"/>
    <mergeCell ref="GYW67:GYW73"/>
    <mergeCell ref="GYX67:GYX73"/>
    <mergeCell ref="GYM67:GYM73"/>
    <mergeCell ref="GYN67:GYN73"/>
    <mergeCell ref="GYO67:GYO73"/>
    <mergeCell ref="GYP67:GYP73"/>
    <mergeCell ref="GYQ67:GYQ73"/>
    <mergeCell ref="GYR67:GYR73"/>
    <mergeCell ref="GYG67:GYG73"/>
    <mergeCell ref="GYH67:GYH73"/>
    <mergeCell ref="GYI67:GYI73"/>
    <mergeCell ref="GYJ67:GYJ73"/>
    <mergeCell ref="GYK67:GYK73"/>
    <mergeCell ref="GYL67:GYL73"/>
    <mergeCell ref="GYA67:GYA73"/>
    <mergeCell ref="GYB67:GYB73"/>
    <mergeCell ref="GYC67:GYC73"/>
    <mergeCell ref="GYD67:GYD73"/>
    <mergeCell ref="GYE67:GYE73"/>
    <mergeCell ref="GYF67:GYF73"/>
    <mergeCell ref="GXU67:GXU73"/>
    <mergeCell ref="GXV67:GXV73"/>
    <mergeCell ref="GXW67:GXW73"/>
    <mergeCell ref="GXX67:GXX73"/>
    <mergeCell ref="GXY67:GXY73"/>
    <mergeCell ref="GXZ67:GXZ73"/>
    <mergeCell ref="GXO67:GXO73"/>
    <mergeCell ref="GXP67:GXP73"/>
    <mergeCell ref="GXQ67:GXQ73"/>
    <mergeCell ref="GXR67:GXR73"/>
    <mergeCell ref="GXS67:GXS73"/>
    <mergeCell ref="GXT67:GXT73"/>
    <mergeCell ref="HAC67:HAC73"/>
    <mergeCell ref="HAD67:HAD73"/>
    <mergeCell ref="HAE67:HAE73"/>
    <mergeCell ref="HAF67:HAF73"/>
    <mergeCell ref="HAG67:HAG73"/>
    <mergeCell ref="HAH67:HAH73"/>
    <mergeCell ref="GZW67:GZW73"/>
    <mergeCell ref="GZX67:GZX73"/>
    <mergeCell ref="GZY67:GZY73"/>
    <mergeCell ref="GZZ67:GZZ73"/>
    <mergeCell ref="HAA67:HAA73"/>
    <mergeCell ref="HAB67:HAB73"/>
    <mergeCell ref="GZQ67:GZQ73"/>
    <mergeCell ref="GZR67:GZR73"/>
    <mergeCell ref="GZS67:GZS73"/>
    <mergeCell ref="GZT67:GZT73"/>
    <mergeCell ref="GZU67:GZU73"/>
    <mergeCell ref="GZV67:GZV73"/>
    <mergeCell ref="GZK67:GZK73"/>
    <mergeCell ref="GZL67:GZL73"/>
    <mergeCell ref="GZM67:GZM73"/>
    <mergeCell ref="GZN67:GZN73"/>
    <mergeCell ref="GZO67:GZO73"/>
    <mergeCell ref="GZP67:GZP73"/>
    <mergeCell ref="GZE67:GZE73"/>
    <mergeCell ref="GZF67:GZF73"/>
    <mergeCell ref="GZG67:GZG73"/>
    <mergeCell ref="GZH67:GZH73"/>
    <mergeCell ref="GZI67:GZI73"/>
    <mergeCell ref="GZJ67:GZJ73"/>
    <mergeCell ref="GYY67:GYY73"/>
    <mergeCell ref="GYZ67:GYZ73"/>
    <mergeCell ref="GZA67:GZA73"/>
    <mergeCell ref="GZB67:GZB73"/>
    <mergeCell ref="GZC67:GZC73"/>
    <mergeCell ref="GZD67:GZD73"/>
    <mergeCell ref="HBM67:HBM73"/>
    <mergeCell ref="HBN67:HBN73"/>
    <mergeCell ref="HBO67:HBO73"/>
    <mergeCell ref="HBP67:HBP73"/>
    <mergeCell ref="HBQ67:HBQ73"/>
    <mergeCell ref="HBR67:HBR73"/>
    <mergeCell ref="HBG67:HBG73"/>
    <mergeCell ref="HBH67:HBH73"/>
    <mergeCell ref="HBI67:HBI73"/>
    <mergeCell ref="HBJ67:HBJ73"/>
    <mergeCell ref="HBK67:HBK73"/>
    <mergeCell ref="HBL67:HBL73"/>
    <mergeCell ref="HBA67:HBA73"/>
    <mergeCell ref="HBB67:HBB73"/>
    <mergeCell ref="HBC67:HBC73"/>
    <mergeCell ref="HBD67:HBD73"/>
    <mergeCell ref="HBE67:HBE73"/>
    <mergeCell ref="HBF67:HBF73"/>
    <mergeCell ref="HAU67:HAU73"/>
    <mergeCell ref="HAV67:HAV73"/>
    <mergeCell ref="HAW67:HAW73"/>
    <mergeCell ref="HAX67:HAX73"/>
    <mergeCell ref="HAY67:HAY73"/>
    <mergeCell ref="HAZ67:HAZ73"/>
    <mergeCell ref="HAO67:HAO73"/>
    <mergeCell ref="HAP67:HAP73"/>
    <mergeCell ref="HAQ67:HAQ73"/>
    <mergeCell ref="HAR67:HAR73"/>
    <mergeCell ref="HAS67:HAS73"/>
    <mergeCell ref="HAT67:HAT73"/>
    <mergeCell ref="HAI67:HAI73"/>
    <mergeCell ref="HAJ67:HAJ73"/>
    <mergeCell ref="HAK67:HAK73"/>
    <mergeCell ref="HAL67:HAL73"/>
    <mergeCell ref="HAM67:HAM73"/>
    <mergeCell ref="HAN67:HAN73"/>
    <mergeCell ref="HCW67:HCW73"/>
    <mergeCell ref="HCX67:HCX73"/>
    <mergeCell ref="HCY67:HCY73"/>
    <mergeCell ref="HCZ67:HCZ73"/>
    <mergeCell ref="HDA67:HDA73"/>
    <mergeCell ref="HDB67:HDB73"/>
    <mergeCell ref="HCQ67:HCQ73"/>
    <mergeCell ref="HCR67:HCR73"/>
    <mergeCell ref="HCS67:HCS73"/>
    <mergeCell ref="HCT67:HCT73"/>
    <mergeCell ref="HCU67:HCU73"/>
    <mergeCell ref="HCV67:HCV73"/>
    <mergeCell ref="HCK67:HCK73"/>
    <mergeCell ref="HCL67:HCL73"/>
    <mergeCell ref="HCM67:HCM73"/>
    <mergeCell ref="HCN67:HCN73"/>
    <mergeCell ref="HCO67:HCO73"/>
    <mergeCell ref="HCP67:HCP73"/>
    <mergeCell ref="HCE67:HCE73"/>
    <mergeCell ref="HCF67:HCF73"/>
    <mergeCell ref="HCG67:HCG73"/>
    <mergeCell ref="HCH67:HCH73"/>
    <mergeCell ref="HCI67:HCI73"/>
    <mergeCell ref="HCJ67:HCJ73"/>
    <mergeCell ref="HBY67:HBY73"/>
    <mergeCell ref="HBZ67:HBZ73"/>
    <mergeCell ref="HCA67:HCA73"/>
    <mergeCell ref="HCB67:HCB73"/>
    <mergeCell ref="HCC67:HCC73"/>
    <mergeCell ref="HCD67:HCD73"/>
    <mergeCell ref="HBS67:HBS73"/>
    <mergeCell ref="HBT67:HBT73"/>
    <mergeCell ref="HBU67:HBU73"/>
    <mergeCell ref="HBV67:HBV73"/>
    <mergeCell ref="HBW67:HBW73"/>
    <mergeCell ref="HBX67:HBX73"/>
    <mergeCell ref="HEG67:HEG73"/>
    <mergeCell ref="HEH67:HEH73"/>
    <mergeCell ref="HEI67:HEI73"/>
    <mergeCell ref="HEJ67:HEJ73"/>
    <mergeCell ref="HEK67:HEK73"/>
    <mergeCell ref="HEL67:HEL73"/>
    <mergeCell ref="HEA67:HEA73"/>
    <mergeCell ref="HEB67:HEB73"/>
    <mergeCell ref="HEC67:HEC73"/>
    <mergeCell ref="HED67:HED73"/>
    <mergeCell ref="HEE67:HEE73"/>
    <mergeCell ref="HEF67:HEF73"/>
    <mergeCell ref="HDU67:HDU73"/>
    <mergeCell ref="HDV67:HDV73"/>
    <mergeCell ref="HDW67:HDW73"/>
    <mergeCell ref="HDX67:HDX73"/>
    <mergeCell ref="HDY67:HDY73"/>
    <mergeCell ref="HDZ67:HDZ73"/>
    <mergeCell ref="HDO67:HDO73"/>
    <mergeCell ref="HDP67:HDP73"/>
    <mergeCell ref="HDQ67:HDQ73"/>
    <mergeCell ref="HDR67:HDR73"/>
    <mergeCell ref="HDS67:HDS73"/>
    <mergeCell ref="HDT67:HDT73"/>
    <mergeCell ref="HDI67:HDI73"/>
    <mergeCell ref="HDJ67:HDJ73"/>
    <mergeCell ref="HDK67:HDK73"/>
    <mergeCell ref="HDL67:HDL73"/>
    <mergeCell ref="HDM67:HDM73"/>
    <mergeCell ref="HDN67:HDN73"/>
    <mergeCell ref="HDC67:HDC73"/>
    <mergeCell ref="HDD67:HDD73"/>
    <mergeCell ref="HDE67:HDE73"/>
    <mergeCell ref="HDF67:HDF73"/>
    <mergeCell ref="HDG67:HDG73"/>
    <mergeCell ref="HDH67:HDH73"/>
    <mergeCell ref="HFQ67:HFQ73"/>
    <mergeCell ref="HFR67:HFR73"/>
    <mergeCell ref="HFS67:HFS73"/>
    <mergeCell ref="HFT67:HFT73"/>
    <mergeCell ref="HFU67:HFU73"/>
    <mergeCell ref="HFV67:HFV73"/>
    <mergeCell ref="HFK67:HFK73"/>
    <mergeCell ref="HFL67:HFL73"/>
    <mergeCell ref="HFM67:HFM73"/>
    <mergeCell ref="HFN67:HFN73"/>
    <mergeCell ref="HFO67:HFO73"/>
    <mergeCell ref="HFP67:HFP73"/>
    <mergeCell ref="HFE67:HFE73"/>
    <mergeCell ref="HFF67:HFF73"/>
    <mergeCell ref="HFG67:HFG73"/>
    <mergeCell ref="HFH67:HFH73"/>
    <mergeCell ref="HFI67:HFI73"/>
    <mergeCell ref="HFJ67:HFJ73"/>
    <mergeCell ref="HEY67:HEY73"/>
    <mergeCell ref="HEZ67:HEZ73"/>
    <mergeCell ref="HFA67:HFA73"/>
    <mergeCell ref="HFB67:HFB73"/>
    <mergeCell ref="HFC67:HFC73"/>
    <mergeCell ref="HFD67:HFD73"/>
    <mergeCell ref="HES67:HES73"/>
    <mergeCell ref="HET67:HET73"/>
    <mergeCell ref="HEU67:HEU73"/>
    <mergeCell ref="HEV67:HEV73"/>
    <mergeCell ref="HEW67:HEW73"/>
    <mergeCell ref="HEX67:HEX73"/>
    <mergeCell ref="HEM67:HEM73"/>
    <mergeCell ref="HEN67:HEN73"/>
    <mergeCell ref="HEO67:HEO73"/>
    <mergeCell ref="HEP67:HEP73"/>
    <mergeCell ref="HEQ67:HEQ73"/>
    <mergeCell ref="HER67:HER73"/>
    <mergeCell ref="HHA67:HHA73"/>
    <mergeCell ref="HHB67:HHB73"/>
    <mergeCell ref="HHC67:HHC73"/>
    <mergeCell ref="HHD67:HHD73"/>
    <mergeCell ref="HHE67:HHE73"/>
    <mergeCell ref="HHF67:HHF73"/>
    <mergeCell ref="HGU67:HGU73"/>
    <mergeCell ref="HGV67:HGV73"/>
    <mergeCell ref="HGW67:HGW73"/>
    <mergeCell ref="HGX67:HGX73"/>
    <mergeCell ref="HGY67:HGY73"/>
    <mergeCell ref="HGZ67:HGZ73"/>
    <mergeCell ref="HGO67:HGO73"/>
    <mergeCell ref="HGP67:HGP73"/>
    <mergeCell ref="HGQ67:HGQ73"/>
    <mergeCell ref="HGR67:HGR73"/>
    <mergeCell ref="HGS67:HGS73"/>
    <mergeCell ref="HGT67:HGT73"/>
    <mergeCell ref="HGI67:HGI73"/>
    <mergeCell ref="HGJ67:HGJ73"/>
    <mergeCell ref="HGK67:HGK73"/>
    <mergeCell ref="HGL67:HGL73"/>
    <mergeCell ref="HGM67:HGM73"/>
    <mergeCell ref="HGN67:HGN73"/>
    <mergeCell ref="HGC67:HGC73"/>
    <mergeCell ref="HGD67:HGD73"/>
    <mergeCell ref="HGE67:HGE73"/>
    <mergeCell ref="HGF67:HGF73"/>
    <mergeCell ref="HGG67:HGG73"/>
    <mergeCell ref="HGH67:HGH73"/>
    <mergeCell ref="HFW67:HFW73"/>
    <mergeCell ref="HFX67:HFX73"/>
    <mergeCell ref="HFY67:HFY73"/>
    <mergeCell ref="HFZ67:HFZ73"/>
    <mergeCell ref="HGA67:HGA73"/>
    <mergeCell ref="HGB67:HGB73"/>
    <mergeCell ref="HIK67:HIK73"/>
    <mergeCell ref="HIL67:HIL73"/>
    <mergeCell ref="HIM67:HIM73"/>
    <mergeCell ref="HIN67:HIN73"/>
    <mergeCell ref="HIO67:HIO73"/>
    <mergeCell ref="HIP67:HIP73"/>
    <mergeCell ref="HIE67:HIE73"/>
    <mergeCell ref="HIF67:HIF73"/>
    <mergeCell ref="HIG67:HIG73"/>
    <mergeCell ref="HIH67:HIH73"/>
    <mergeCell ref="HII67:HII73"/>
    <mergeCell ref="HIJ67:HIJ73"/>
    <mergeCell ref="HHY67:HHY73"/>
    <mergeCell ref="HHZ67:HHZ73"/>
    <mergeCell ref="HIA67:HIA73"/>
    <mergeCell ref="HIB67:HIB73"/>
    <mergeCell ref="HIC67:HIC73"/>
    <mergeCell ref="HID67:HID73"/>
    <mergeCell ref="HHS67:HHS73"/>
    <mergeCell ref="HHT67:HHT73"/>
    <mergeCell ref="HHU67:HHU73"/>
    <mergeCell ref="HHV67:HHV73"/>
    <mergeCell ref="HHW67:HHW73"/>
    <mergeCell ref="HHX67:HHX73"/>
    <mergeCell ref="HHM67:HHM73"/>
    <mergeCell ref="HHN67:HHN73"/>
    <mergeCell ref="HHO67:HHO73"/>
    <mergeCell ref="HHP67:HHP73"/>
    <mergeCell ref="HHQ67:HHQ73"/>
    <mergeCell ref="HHR67:HHR73"/>
    <mergeCell ref="HHG67:HHG73"/>
    <mergeCell ref="HHH67:HHH73"/>
    <mergeCell ref="HHI67:HHI73"/>
    <mergeCell ref="HHJ67:HHJ73"/>
    <mergeCell ref="HHK67:HHK73"/>
    <mergeCell ref="HHL67:HHL73"/>
    <mergeCell ref="HJU67:HJU73"/>
    <mergeCell ref="HJV67:HJV73"/>
    <mergeCell ref="HJW67:HJW73"/>
    <mergeCell ref="HJX67:HJX73"/>
    <mergeCell ref="HJY67:HJY73"/>
    <mergeCell ref="HJZ67:HJZ73"/>
    <mergeCell ref="HJO67:HJO73"/>
    <mergeCell ref="HJP67:HJP73"/>
    <mergeCell ref="HJQ67:HJQ73"/>
    <mergeCell ref="HJR67:HJR73"/>
    <mergeCell ref="HJS67:HJS73"/>
    <mergeCell ref="HJT67:HJT73"/>
    <mergeCell ref="HJI67:HJI73"/>
    <mergeCell ref="HJJ67:HJJ73"/>
    <mergeCell ref="HJK67:HJK73"/>
    <mergeCell ref="HJL67:HJL73"/>
    <mergeCell ref="HJM67:HJM73"/>
    <mergeCell ref="HJN67:HJN73"/>
    <mergeCell ref="HJC67:HJC73"/>
    <mergeCell ref="HJD67:HJD73"/>
    <mergeCell ref="HJE67:HJE73"/>
    <mergeCell ref="HJF67:HJF73"/>
    <mergeCell ref="HJG67:HJG73"/>
    <mergeCell ref="HJH67:HJH73"/>
    <mergeCell ref="HIW67:HIW73"/>
    <mergeCell ref="HIX67:HIX73"/>
    <mergeCell ref="HIY67:HIY73"/>
    <mergeCell ref="HIZ67:HIZ73"/>
    <mergeCell ref="HJA67:HJA73"/>
    <mergeCell ref="HJB67:HJB73"/>
    <mergeCell ref="HIQ67:HIQ73"/>
    <mergeCell ref="HIR67:HIR73"/>
    <mergeCell ref="HIS67:HIS73"/>
    <mergeCell ref="HIT67:HIT73"/>
    <mergeCell ref="HIU67:HIU73"/>
    <mergeCell ref="HIV67:HIV73"/>
    <mergeCell ref="HLE67:HLE73"/>
    <mergeCell ref="HLF67:HLF73"/>
    <mergeCell ref="HLG67:HLG73"/>
    <mergeCell ref="HLH67:HLH73"/>
    <mergeCell ref="HLI67:HLI73"/>
    <mergeCell ref="HLJ67:HLJ73"/>
    <mergeCell ref="HKY67:HKY73"/>
    <mergeCell ref="HKZ67:HKZ73"/>
    <mergeCell ref="HLA67:HLA73"/>
    <mergeCell ref="HLB67:HLB73"/>
    <mergeCell ref="HLC67:HLC73"/>
    <mergeCell ref="HLD67:HLD73"/>
    <mergeCell ref="HKS67:HKS73"/>
    <mergeCell ref="HKT67:HKT73"/>
    <mergeCell ref="HKU67:HKU73"/>
    <mergeCell ref="HKV67:HKV73"/>
    <mergeCell ref="HKW67:HKW73"/>
    <mergeCell ref="HKX67:HKX73"/>
    <mergeCell ref="HKM67:HKM73"/>
    <mergeCell ref="HKN67:HKN73"/>
    <mergeCell ref="HKO67:HKO73"/>
    <mergeCell ref="HKP67:HKP73"/>
    <mergeCell ref="HKQ67:HKQ73"/>
    <mergeCell ref="HKR67:HKR73"/>
    <mergeCell ref="HKG67:HKG73"/>
    <mergeCell ref="HKH67:HKH73"/>
    <mergeCell ref="HKI67:HKI73"/>
    <mergeCell ref="HKJ67:HKJ73"/>
    <mergeCell ref="HKK67:HKK73"/>
    <mergeCell ref="HKL67:HKL73"/>
    <mergeCell ref="HKA67:HKA73"/>
    <mergeCell ref="HKB67:HKB73"/>
    <mergeCell ref="HKC67:HKC73"/>
    <mergeCell ref="HKD67:HKD73"/>
    <mergeCell ref="HKE67:HKE73"/>
    <mergeCell ref="HKF67:HKF73"/>
    <mergeCell ref="HMO67:HMO73"/>
    <mergeCell ref="HMP67:HMP73"/>
    <mergeCell ref="HMQ67:HMQ73"/>
    <mergeCell ref="HMR67:HMR73"/>
    <mergeCell ref="HMS67:HMS73"/>
    <mergeCell ref="HMT67:HMT73"/>
    <mergeCell ref="HMI67:HMI73"/>
    <mergeCell ref="HMJ67:HMJ73"/>
    <mergeCell ref="HMK67:HMK73"/>
    <mergeCell ref="HML67:HML73"/>
    <mergeCell ref="HMM67:HMM73"/>
    <mergeCell ref="HMN67:HMN73"/>
    <mergeCell ref="HMC67:HMC73"/>
    <mergeCell ref="HMD67:HMD73"/>
    <mergeCell ref="HME67:HME73"/>
    <mergeCell ref="HMF67:HMF73"/>
    <mergeCell ref="HMG67:HMG73"/>
    <mergeCell ref="HMH67:HMH73"/>
    <mergeCell ref="HLW67:HLW73"/>
    <mergeCell ref="HLX67:HLX73"/>
    <mergeCell ref="HLY67:HLY73"/>
    <mergeCell ref="HLZ67:HLZ73"/>
    <mergeCell ref="HMA67:HMA73"/>
    <mergeCell ref="HMB67:HMB73"/>
    <mergeCell ref="HLQ67:HLQ73"/>
    <mergeCell ref="HLR67:HLR73"/>
    <mergeCell ref="HLS67:HLS73"/>
    <mergeCell ref="HLT67:HLT73"/>
    <mergeCell ref="HLU67:HLU73"/>
    <mergeCell ref="HLV67:HLV73"/>
    <mergeCell ref="HLK67:HLK73"/>
    <mergeCell ref="HLL67:HLL73"/>
    <mergeCell ref="HLM67:HLM73"/>
    <mergeCell ref="HLN67:HLN73"/>
    <mergeCell ref="HLO67:HLO73"/>
    <mergeCell ref="HLP67:HLP73"/>
    <mergeCell ref="HNY67:HNY73"/>
    <mergeCell ref="HNZ67:HNZ73"/>
    <mergeCell ref="HOA67:HOA73"/>
    <mergeCell ref="HOB67:HOB73"/>
    <mergeCell ref="HOC67:HOC73"/>
    <mergeCell ref="HOD67:HOD73"/>
    <mergeCell ref="HNS67:HNS73"/>
    <mergeCell ref="HNT67:HNT73"/>
    <mergeCell ref="HNU67:HNU73"/>
    <mergeCell ref="HNV67:HNV73"/>
    <mergeCell ref="HNW67:HNW73"/>
    <mergeCell ref="HNX67:HNX73"/>
    <mergeCell ref="HNM67:HNM73"/>
    <mergeCell ref="HNN67:HNN73"/>
    <mergeCell ref="HNO67:HNO73"/>
    <mergeCell ref="HNP67:HNP73"/>
    <mergeCell ref="HNQ67:HNQ73"/>
    <mergeCell ref="HNR67:HNR73"/>
    <mergeCell ref="HNG67:HNG73"/>
    <mergeCell ref="HNH67:HNH73"/>
    <mergeCell ref="HNI67:HNI73"/>
    <mergeCell ref="HNJ67:HNJ73"/>
    <mergeCell ref="HNK67:HNK73"/>
    <mergeCell ref="HNL67:HNL73"/>
    <mergeCell ref="HNA67:HNA73"/>
    <mergeCell ref="HNB67:HNB73"/>
    <mergeCell ref="HNC67:HNC73"/>
    <mergeCell ref="HND67:HND73"/>
    <mergeCell ref="HNE67:HNE73"/>
    <mergeCell ref="HNF67:HNF73"/>
    <mergeCell ref="HMU67:HMU73"/>
    <mergeCell ref="HMV67:HMV73"/>
    <mergeCell ref="HMW67:HMW73"/>
    <mergeCell ref="HMX67:HMX73"/>
    <mergeCell ref="HMY67:HMY73"/>
    <mergeCell ref="HMZ67:HMZ73"/>
    <mergeCell ref="HPI67:HPI73"/>
    <mergeCell ref="HPJ67:HPJ73"/>
    <mergeCell ref="HPK67:HPK73"/>
    <mergeCell ref="HPL67:HPL73"/>
    <mergeCell ref="HPM67:HPM73"/>
    <mergeCell ref="HPN67:HPN73"/>
    <mergeCell ref="HPC67:HPC73"/>
    <mergeCell ref="HPD67:HPD73"/>
    <mergeCell ref="HPE67:HPE73"/>
    <mergeCell ref="HPF67:HPF73"/>
    <mergeCell ref="HPG67:HPG73"/>
    <mergeCell ref="HPH67:HPH73"/>
    <mergeCell ref="HOW67:HOW73"/>
    <mergeCell ref="HOX67:HOX73"/>
    <mergeCell ref="HOY67:HOY73"/>
    <mergeCell ref="HOZ67:HOZ73"/>
    <mergeCell ref="HPA67:HPA73"/>
    <mergeCell ref="HPB67:HPB73"/>
    <mergeCell ref="HOQ67:HOQ73"/>
    <mergeCell ref="HOR67:HOR73"/>
    <mergeCell ref="HOS67:HOS73"/>
    <mergeCell ref="HOT67:HOT73"/>
    <mergeCell ref="HOU67:HOU73"/>
    <mergeCell ref="HOV67:HOV73"/>
    <mergeCell ref="HOK67:HOK73"/>
    <mergeCell ref="HOL67:HOL73"/>
    <mergeCell ref="HOM67:HOM73"/>
    <mergeCell ref="HON67:HON73"/>
    <mergeCell ref="HOO67:HOO73"/>
    <mergeCell ref="HOP67:HOP73"/>
    <mergeCell ref="HOE67:HOE73"/>
    <mergeCell ref="HOF67:HOF73"/>
    <mergeCell ref="HOG67:HOG73"/>
    <mergeCell ref="HOH67:HOH73"/>
    <mergeCell ref="HOI67:HOI73"/>
    <mergeCell ref="HOJ67:HOJ73"/>
    <mergeCell ref="HQS67:HQS73"/>
    <mergeCell ref="HQT67:HQT73"/>
    <mergeCell ref="HQU67:HQU73"/>
    <mergeCell ref="HQV67:HQV73"/>
    <mergeCell ref="HQW67:HQW73"/>
    <mergeCell ref="HQX67:HQX73"/>
    <mergeCell ref="HQM67:HQM73"/>
    <mergeCell ref="HQN67:HQN73"/>
    <mergeCell ref="HQO67:HQO73"/>
    <mergeCell ref="HQP67:HQP73"/>
    <mergeCell ref="HQQ67:HQQ73"/>
    <mergeCell ref="HQR67:HQR73"/>
    <mergeCell ref="HQG67:HQG73"/>
    <mergeCell ref="HQH67:HQH73"/>
    <mergeCell ref="HQI67:HQI73"/>
    <mergeCell ref="HQJ67:HQJ73"/>
    <mergeCell ref="HQK67:HQK73"/>
    <mergeCell ref="HQL67:HQL73"/>
    <mergeCell ref="HQA67:HQA73"/>
    <mergeCell ref="HQB67:HQB73"/>
    <mergeCell ref="HQC67:HQC73"/>
    <mergeCell ref="HQD67:HQD73"/>
    <mergeCell ref="HQE67:HQE73"/>
    <mergeCell ref="HQF67:HQF73"/>
    <mergeCell ref="HPU67:HPU73"/>
    <mergeCell ref="HPV67:HPV73"/>
    <mergeCell ref="HPW67:HPW73"/>
    <mergeCell ref="HPX67:HPX73"/>
    <mergeCell ref="HPY67:HPY73"/>
    <mergeCell ref="HPZ67:HPZ73"/>
    <mergeCell ref="HPO67:HPO73"/>
    <mergeCell ref="HPP67:HPP73"/>
    <mergeCell ref="HPQ67:HPQ73"/>
    <mergeCell ref="HPR67:HPR73"/>
    <mergeCell ref="HPS67:HPS73"/>
    <mergeCell ref="HPT67:HPT73"/>
    <mergeCell ref="HSC67:HSC73"/>
    <mergeCell ref="HSD67:HSD73"/>
    <mergeCell ref="HSE67:HSE73"/>
    <mergeCell ref="HSF67:HSF73"/>
    <mergeCell ref="HSG67:HSG73"/>
    <mergeCell ref="HSH67:HSH73"/>
    <mergeCell ref="HRW67:HRW73"/>
    <mergeCell ref="HRX67:HRX73"/>
    <mergeCell ref="HRY67:HRY73"/>
    <mergeCell ref="HRZ67:HRZ73"/>
    <mergeCell ref="HSA67:HSA73"/>
    <mergeCell ref="HSB67:HSB73"/>
    <mergeCell ref="HRQ67:HRQ73"/>
    <mergeCell ref="HRR67:HRR73"/>
    <mergeCell ref="HRS67:HRS73"/>
    <mergeCell ref="HRT67:HRT73"/>
    <mergeCell ref="HRU67:HRU73"/>
    <mergeCell ref="HRV67:HRV73"/>
    <mergeCell ref="HRK67:HRK73"/>
    <mergeCell ref="HRL67:HRL73"/>
    <mergeCell ref="HRM67:HRM73"/>
    <mergeCell ref="HRN67:HRN73"/>
    <mergeCell ref="HRO67:HRO73"/>
    <mergeCell ref="HRP67:HRP73"/>
    <mergeCell ref="HRE67:HRE73"/>
    <mergeCell ref="HRF67:HRF73"/>
    <mergeCell ref="HRG67:HRG73"/>
    <mergeCell ref="HRH67:HRH73"/>
    <mergeCell ref="HRI67:HRI73"/>
    <mergeCell ref="HRJ67:HRJ73"/>
    <mergeCell ref="HQY67:HQY73"/>
    <mergeCell ref="HQZ67:HQZ73"/>
    <mergeCell ref="HRA67:HRA73"/>
    <mergeCell ref="HRB67:HRB73"/>
    <mergeCell ref="HRC67:HRC73"/>
    <mergeCell ref="HRD67:HRD73"/>
    <mergeCell ref="HTM67:HTM73"/>
    <mergeCell ref="HTN67:HTN73"/>
    <mergeCell ref="HTO67:HTO73"/>
    <mergeCell ref="HTP67:HTP73"/>
    <mergeCell ref="HTQ67:HTQ73"/>
    <mergeCell ref="HTR67:HTR73"/>
    <mergeCell ref="HTG67:HTG73"/>
    <mergeCell ref="HTH67:HTH73"/>
    <mergeCell ref="HTI67:HTI73"/>
    <mergeCell ref="HTJ67:HTJ73"/>
    <mergeCell ref="HTK67:HTK73"/>
    <mergeCell ref="HTL67:HTL73"/>
    <mergeCell ref="HTA67:HTA73"/>
    <mergeCell ref="HTB67:HTB73"/>
    <mergeCell ref="HTC67:HTC73"/>
    <mergeCell ref="HTD67:HTD73"/>
    <mergeCell ref="HTE67:HTE73"/>
    <mergeCell ref="HTF67:HTF73"/>
    <mergeCell ref="HSU67:HSU73"/>
    <mergeCell ref="HSV67:HSV73"/>
    <mergeCell ref="HSW67:HSW73"/>
    <mergeCell ref="HSX67:HSX73"/>
    <mergeCell ref="HSY67:HSY73"/>
    <mergeCell ref="HSZ67:HSZ73"/>
    <mergeCell ref="HSO67:HSO73"/>
    <mergeCell ref="HSP67:HSP73"/>
    <mergeCell ref="HSQ67:HSQ73"/>
    <mergeCell ref="HSR67:HSR73"/>
    <mergeCell ref="HSS67:HSS73"/>
    <mergeCell ref="HST67:HST73"/>
    <mergeCell ref="HSI67:HSI73"/>
    <mergeCell ref="HSJ67:HSJ73"/>
    <mergeCell ref="HSK67:HSK73"/>
    <mergeCell ref="HSL67:HSL73"/>
    <mergeCell ref="HSM67:HSM73"/>
    <mergeCell ref="HSN67:HSN73"/>
    <mergeCell ref="HUW67:HUW73"/>
    <mergeCell ref="HUX67:HUX73"/>
    <mergeCell ref="HUY67:HUY73"/>
    <mergeCell ref="HUZ67:HUZ73"/>
    <mergeCell ref="HVA67:HVA73"/>
    <mergeCell ref="HVB67:HVB73"/>
    <mergeCell ref="HUQ67:HUQ73"/>
    <mergeCell ref="HUR67:HUR73"/>
    <mergeCell ref="HUS67:HUS73"/>
    <mergeCell ref="HUT67:HUT73"/>
    <mergeCell ref="HUU67:HUU73"/>
    <mergeCell ref="HUV67:HUV73"/>
    <mergeCell ref="HUK67:HUK73"/>
    <mergeCell ref="HUL67:HUL73"/>
    <mergeCell ref="HUM67:HUM73"/>
    <mergeCell ref="HUN67:HUN73"/>
    <mergeCell ref="HUO67:HUO73"/>
    <mergeCell ref="HUP67:HUP73"/>
    <mergeCell ref="HUE67:HUE73"/>
    <mergeCell ref="HUF67:HUF73"/>
    <mergeCell ref="HUG67:HUG73"/>
    <mergeCell ref="HUH67:HUH73"/>
    <mergeCell ref="HUI67:HUI73"/>
    <mergeCell ref="HUJ67:HUJ73"/>
    <mergeCell ref="HTY67:HTY73"/>
    <mergeCell ref="HTZ67:HTZ73"/>
    <mergeCell ref="HUA67:HUA73"/>
    <mergeCell ref="HUB67:HUB73"/>
    <mergeCell ref="HUC67:HUC73"/>
    <mergeCell ref="HUD67:HUD73"/>
    <mergeCell ref="HTS67:HTS73"/>
    <mergeCell ref="HTT67:HTT73"/>
    <mergeCell ref="HTU67:HTU73"/>
    <mergeCell ref="HTV67:HTV73"/>
    <mergeCell ref="HTW67:HTW73"/>
    <mergeCell ref="HTX67:HTX73"/>
    <mergeCell ref="HWG67:HWG73"/>
    <mergeCell ref="HWH67:HWH73"/>
    <mergeCell ref="HWI67:HWI73"/>
    <mergeCell ref="HWJ67:HWJ73"/>
    <mergeCell ref="HWK67:HWK73"/>
    <mergeCell ref="HWL67:HWL73"/>
    <mergeCell ref="HWA67:HWA73"/>
    <mergeCell ref="HWB67:HWB73"/>
    <mergeCell ref="HWC67:HWC73"/>
    <mergeCell ref="HWD67:HWD73"/>
    <mergeCell ref="HWE67:HWE73"/>
    <mergeCell ref="HWF67:HWF73"/>
    <mergeCell ref="HVU67:HVU73"/>
    <mergeCell ref="HVV67:HVV73"/>
    <mergeCell ref="HVW67:HVW73"/>
    <mergeCell ref="HVX67:HVX73"/>
    <mergeCell ref="HVY67:HVY73"/>
    <mergeCell ref="HVZ67:HVZ73"/>
    <mergeCell ref="HVO67:HVO73"/>
    <mergeCell ref="HVP67:HVP73"/>
    <mergeCell ref="HVQ67:HVQ73"/>
    <mergeCell ref="HVR67:HVR73"/>
    <mergeCell ref="HVS67:HVS73"/>
    <mergeCell ref="HVT67:HVT73"/>
    <mergeCell ref="HVI67:HVI73"/>
    <mergeCell ref="HVJ67:HVJ73"/>
    <mergeCell ref="HVK67:HVK73"/>
    <mergeCell ref="HVL67:HVL73"/>
    <mergeCell ref="HVM67:HVM73"/>
    <mergeCell ref="HVN67:HVN73"/>
    <mergeCell ref="HVC67:HVC73"/>
    <mergeCell ref="HVD67:HVD73"/>
    <mergeCell ref="HVE67:HVE73"/>
    <mergeCell ref="HVF67:HVF73"/>
    <mergeCell ref="HVG67:HVG73"/>
    <mergeCell ref="HVH67:HVH73"/>
    <mergeCell ref="HXQ67:HXQ73"/>
    <mergeCell ref="HXR67:HXR73"/>
    <mergeCell ref="HXS67:HXS73"/>
    <mergeCell ref="HXT67:HXT73"/>
    <mergeCell ref="HXU67:HXU73"/>
    <mergeCell ref="HXV67:HXV73"/>
    <mergeCell ref="HXK67:HXK73"/>
    <mergeCell ref="HXL67:HXL73"/>
    <mergeCell ref="HXM67:HXM73"/>
    <mergeCell ref="HXN67:HXN73"/>
    <mergeCell ref="HXO67:HXO73"/>
    <mergeCell ref="HXP67:HXP73"/>
    <mergeCell ref="HXE67:HXE73"/>
    <mergeCell ref="HXF67:HXF73"/>
    <mergeCell ref="HXG67:HXG73"/>
    <mergeCell ref="HXH67:HXH73"/>
    <mergeCell ref="HXI67:HXI73"/>
    <mergeCell ref="HXJ67:HXJ73"/>
    <mergeCell ref="HWY67:HWY73"/>
    <mergeCell ref="HWZ67:HWZ73"/>
    <mergeCell ref="HXA67:HXA73"/>
    <mergeCell ref="HXB67:HXB73"/>
    <mergeCell ref="HXC67:HXC73"/>
    <mergeCell ref="HXD67:HXD73"/>
    <mergeCell ref="HWS67:HWS73"/>
    <mergeCell ref="HWT67:HWT73"/>
    <mergeCell ref="HWU67:HWU73"/>
    <mergeCell ref="HWV67:HWV73"/>
    <mergeCell ref="HWW67:HWW73"/>
    <mergeCell ref="HWX67:HWX73"/>
    <mergeCell ref="HWM67:HWM73"/>
    <mergeCell ref="HWN67:HWN73"/>
    <mergeCell ref="HWO67:HWO73"/>
    <mergeCell ref="HWP67:HWP73"/>
    <mergeCell ref="HWQ67:HWQ73"/>
    <mergeCell ref="HWR67:HWR73"/>
    <mergeCell ref="HZA67:HZA73"/>
    <mergeCell ref="HZB67:HZB73"/>
    <mergeCell ref="HZC67:HZC73"/>
    <mergeCell ref="HZD67:HZD73"/>
    <mergeCell ref="HZE67:HZE73"/>
    <mergeCell ref="HZF67:HZF73"/>
    <mergeCell ref="HYU67:HYU73"/>
    <mergeCell ref="HYV67:HYV73"/>
    <mergeCell ref="HYW67:HYW73"/>
    <mergeCell ref="HYX67:HYX73"/>
    <mergeCell ref="HYY67:HYY73"/>
    <mergeCell ref="HYZ67:HYZ73"/>
    <mergeCell ref="HYO67:HYO73"/>
    <mergeCell ref="HYP67:HYP73"/>
    <mergeCell ref="HYQ67:HYQ73"/>
    <mergeCell ref="HYR67:HYR73"/>
    <mergeCell ref="HYS67:HYS73"/>
    <mergeCell ref="HYT67:HYT73"/>
    <mergeCell ref="HYI67:HYI73"/>
    <mergeCell ref="HYJ67:HYJ73"/>
    <mergeCell ref="HYK67:HYK73"/>
    <mergeCell ref="HYL67:HYL73"/>
    <mergeCell ref="HYM67:HYM73"/>
    <mergeCell ref="HYN67:HYN73"/>
    <mergeCell ref="HYC67:HYC73"/>
    <mergeCell ref="HYD67:HYD73"/>
    <mergeCell ref="HYE67:HYE73"/>
    <mergeCell ref="HYF67:HYF73"/>
    <mergeCell ref="HYG67:HYG73"/>
    <mergeCell ref="HYH67:HYH73"/>
    <mergeCell ref="HXW67:HXW73"/>
    <mergeCell ref="HXX67:HXX73"/>
    <mergeCell ref="HXY67:HXY73"/>
    <mergeCell ref="HXZ67:HXZ73"/>
    <mergeCell ref="HYA67:HYA73"/>
    <mergeCell ref="HYB67:HYB73"/>
    <mergeCell ref="IAK67:IAK73"/>
    <mergeCell ref="IAL67:IAL73"/>
    <mergeCell ref="IAM67:IAM73"/>
    <mergeCell ref="IAN67:IAN73"/>
    <mergeCell ref="IAO67:IAO73"/>
    <mergeCell ref="IAP67:IAP73"/>
    <mergeCell ref="IAE67:IAE73"/>
    <mergeCell ref="IAF67:IAF73"/>
    <mergeCell ref="IAG67:IAG73"/>
    <mergeCell ref="IAH67:IAH73"/>
    <mergeCell ref="IAI67:IAI73"/>
    <mergeCell ref="IAJ67:IAJ73"/>
    <mergeCell ref="HZY67:HZY73"/>
    <mergeCell ref="HZZ67:HZZ73"/>
    <mergeCell ref="IAA67:IAA73"/>
    <mergeCell ref="IAB67:IAB73"/>
    <mergeCell ref="IAC67:IAC73"/>
    <mergeCell ref="IAD67:IAD73"/>
    <mergeCell ref="HZS67:HZS73"/>
    <mergeCell ref="HZT67:HZT73"/>
    <mergeCell ref="HZU67:HZU73"/>
    <mergeCell ref="HZV67:HZV73"/>
    <mergeCell ref="HZW67:HZW73"/>
    <mergeCell ref="HZX67:HZX73"/>
    <mergeCell ref="HZM67:HZM73"/>
    <mergeCell ref="HZN67:HZN73"/>
    <mergeCell ref="HZO67:HZO73"/>
    <mergeCell ref="HZP67:HZP73"/>
    <mergeCell ref="HZQ67:HZQ73"/>
    <mergeCell ref="HZR67:HZR73"/>
    <mergeCell ref="HZG67:HZG73"/>
    <mergeCell ref="HZH67:HZH73"/>
    <mergeCell ref="HZI67:HZI73"/>
    <mergeCell ref="HZJ67:HZJ73"/>
    <mergeCell ref="HZK67:HZK73"/>
    <mergeCell ref="HZL67:HZL73"/>
    <mergeCell ref="IBU67:IBU73"/>
    <mergeCell ref="IBV67:IBV73"/>
    <mergeCell ref="IBW67:IBW73"/>
    <mergeCell ref="IBX67:IBX73"/>
    <mergeCell ref="IBY67:IBY73"/>
    <mergeCell ref="IBZ67:IBZ73"/>
    <mergeCell ref="IBO67:IBO73"/>
    <mergeCell ref="IBP67:IBP73"/>
    <mergeCell ref="IBQ67:IBQ73"/>
    <mergeCell ref="IBR67:IBR73"/>
    <mergeCell ref="IBS67:IBS73"/>
    <mergeCell ref="IBT67:IBT73"/>
    <mergeCell ref="IBI67:IBI73"/>
    <mergeCell ref="IBJ67:IBJ73"/>
    <mergeCell ref="IBK67:IBK73"/>
    <mergeCell ref="IBL67:IBL73"/>
    <mergeCell ref="IBM67:IBM73"/>
    <mergeCell ref="IBN67:IBN73"/>
    <mergeCell ref="IBC67:IBC73"/>
    <mergeCell ref="IBD67:IBD73"/>
    <mergeCell ref="IBE67:IBE73"/>
    <mergeCell ref="IBF67:IBF73"/>
    <mergeCell ref="IBG67:IBG73"/>
    <mergeCell ref="IBH67:IBH73"/>
    <mergeCell ref="IAW67:IAW73"/>
    <mergeCell ref="IAX67:IAX73"/>
    <mergeCell ref="IAY67:IAY73"/>
    <mergeCell ref="IAZ67:IAZ73"/>
    <mergeCell ref="IBA67:IBA73"/>
    <mergeCell ref="IBB67:IBB73"/>
    <mergeCell ref="IAQ67:IAQ73"/>
    <mergeCell ref="IAR67:IAR73"/>
    <mergeCell ref="IAS67:IAS73"/>
    <mergeCell ref="IAT67:IAT73"/>
    <mergeCell ref="IAU67:IAU73"/>
    <mergeCell ref="IAV67:IAV73"/>
    <mergeCell ref="IDE67:IDE73"/>
    <mergeCell ref="IDF67:IDF73"/>
    <mergeCell ref="IDG67:IDG73"/>
    <mergeCell ref="IDH67:IDH73"/>
    <mergeCell ref="IDI67:IDI73"/>
    <mergeCell ref="IDJ67:IDJ73"/>
    <mergeCell ref="ICY67:ICY73"/>
    <mergeCell ref="ICZ67:ICZ73"/>
    <mergeCell ref="IDA67:IDA73"/>
    <mergeCell ref="IDB67:IDB73"/>
    <mergeCell ref="IDC67:IDC73"/>
    <mergeCell ref="IDD67:IDD73"/>
    <mergeCell ref="ICS67:ICS73"/>
    <mergeCell ref="ICT67:ICT73"/>
    <mergeCell ref="ICU67:ICU73"/>
    <mergeCell ref="ICV67:ICV73"/>
    <mergeCell ref="ICW67:ICW73"/>
    <mergeCell ref="ICX67:ICX73"/>
    <mergeCell ref="ICM67:ICM73"/>
    <mergeCell ref="ICN67:ICN73"/>
    <mergeCell ref="ICO67:ICO73"/>
    <mergeCell ref="ICP67:ICP73"/>
    <mergeCell ref="ICQ67:ICQ73"/>
    <mergeCell ref="ICR67:ICR73"/>
    <mergeCell ref="ICG67:ICG73"/>
    <mergeCell ref="ICH67:ICH73"/>
    <mergeCell ref="ICI67:ICI73"/>
    <mergeCell ref="ICJ67:ICJ73"/>
    <mergeCell ref="ICK67:ICK73"/>
    <mergeCell ref="ICL67:ICL73"/>
    <mergeCell ref="ICA67:ICA73"/>
    <mergeCell ref="ICB67:ICB73"/>
    <mergeCell ref="ICC67:ICC73"/>
    <mergeCell ref="ICD67:ICD73"/>
    <mergeCell ref="ICE67:ICE73"/>
    <mergeCell ref="ICF67:ICF73"/>
    <mergeCell ref="IEO67:IEO73"/>
    <mergeCell ref="IEP67:IEP73"/>
    <mergeCell ref="IEQ67:IEQ73"/>
    <mergeCell ref="IER67:IER73"/>
    <mergeCell ref="IES67:IES73"/>
    <mergeCell ref="IET67:IET73"/>
    <mergeCell ref="IEI67:IEI73"/>
    <mergeCell ref="IEJ67:IEJ73"/>
    <mergeCell ref="IEK67:IEK73"/>
    <mergeCell ref="IEL67:IEL73"/>
    <mergeCell ref="IEM67:IEM73"/>
    <mergeCell ref="IEN67:IEN73"/>
    <mergeCell ref="IEC67:IEC73"/>
    <mergeCell ref="IED67:IED73"/>
    <mergeCell ref="IEE67:IEE73"/>
    <mergeCell ref="IEF67:IEF73"/>
    <mergeCell ref="IEG67:IEG73"/>
    <mergeCell ref="IEH67:IEH73"/>
    <mergeCell ref="IDW67:IDW73"/>
    <mergeCell ref="IDX67:IDX73"/>
    <mergeCell ref="IDY67:IDY73"/>
    <mergeCell ref="IDZ67:IDZ73"/>
    <mergeCell ref="IEA67:IEA73"/>
    <mergeCell ref="IEB67:IEB73"/>
    <mergeCell ref="IDQ67:IDQ73"/>
    <mergeCell ref="IDR67:IDR73"/>
    <mergeCell ref="IDS67:IDS73"/>
    <mergeCell ref="IDT67:IDT73"/>
    <mergeCell ref="IDU67:IDU73"/>
    <mergeCell ref="IDV67:IDV73"/>
    <mergeCell ref="IDK67:IDK73"/>
    <mergeCell ref="IDL67:IDL73"/>
    <mergeCell ref="IDM67:IDM73"/>
    <mergeCell ref="IDN67:IDN73"/>
    <mergeCell ref="IDO67:IDO73"/>
    <mergeCell ref="IDP67:IDP73"/>
    <mergeCell ref="IFY67:IFY73"/>
    <mergeCell ref="IFZ67:IFZ73"/>
    <mergeCell ref="IGA67:IGA73"/>
    <mergeCell ref="IGB67:IGB73"/>
    <mergeCell ref="IGC67:IGC73"/>
    <mergeCell ref="IGD67:IGD73"/>
    <mergeCell ref="IFS67:IFS73"/>
    <mergeCell ref="IFT67:IFT73"/>
    <mergeCell ref="IFU67:IFU73"/>
    <mergeCell ref="IFV67:IFV73"/>
    <mergeCell ref="IFW67:IFW73"/>
    <mergeCell ref="IFX67:IFX73"/>
    <mergeCell ref="IFM67:IFM73"/>
    <mergeCell ref="IFN67:IFN73"/>
    <mergeCell ref="IFO67:IFO73"/>
    <mergeCell ref="IFP67:IFP73"/>
    <mergeCell ref="IFQ67:IFQ73"/>
    <mergeCell ref="IFR67:IFR73"/>
    <mergeCell ref="IFG67:IFG73"/>
    <mergeCell ref="IFH67:IFH73"/>
    <mergeCell ref="IFI67:IFI73"/>
    <mergeCell ref="IFJ67:IFJ73"/>
    <mergeCell ref="IFK67:IFK73"/>
    <mergeCell ref="IFL67:IFL73"/>
    <mergeCell ref="IFA67:IFA73"/>
    <mergeCell ref="IFB67:IFB73"/>
    <mergeCell ref="IFC67:IFC73"/>
    <mergeCell ref="IFD67:IFD73"/>
    <mergeCell ref="IFE67:IFE73"/>
    <mergeCell ref="IFF67:IFF73"/>
    <mergeCell ref="IEU67:IEU73"/>
    <mergeCell ref="IEV67:IEV73"/>
    <mergeCell ref="IEW67:IEW73"/>
    <mergeCell ref="IEX67:IEX73"/>
    <mergeCell ref="IEY67:IEY73"/>
    <mergeCell ref="IEZ67:IEZ73"/>
    <mergeCell ref="IHI67:IHI73"/>
    <mergeCell ref="IHJ67:IHJ73"/>
    <mergeCell ref="IHK67:IHK73"/>
    <mergeCell ref="IHL67:IHL73"/>
    <mergeCell ref="IHM67:IHM73"/>
    <mergeCell ref="IHN67:IHN73"/>
    <mergeCell ref="IHC67:IHC73"/>
    <mergeCell ref="IHD67:IHD73"/>
    <mergeCell ref="IHE67:IHE73"/>
    <mergeCell ref="IHF67:IHF73"/>
    <mergeCell ref="IHG67:IHG73"/>
    <mergeCell ref="IHH67:IHH73"/>
    <mergeCell ref="IGW67:IGW73"/>
    <mergeCell ref="IGX67:IGX73"/>
    <mergeCell ref="IGY67:IGY73"/>
    <mergeCell ref="IGZ67:IGZ73"/>
    <mergeCell ref="IHA67:IHA73"/>
    <mergeCell ref="IHB67:IHB73"/>
    <mergeCell ref="IGQ67:IGQ73"/>
    <mergeCell ref="IGR67:IGR73"/>
    <mergeCell ref="IGS67:IGS73"/>
    <mergeCell ref="IGT67:IGT73"/>
    <mergeCell ref="IGU67:IGU73"/>
    <mergeCell ref="IGV67:IGV73"/>
    <mergeCell ref="IGK67:IGK73"/>
    <mergeCell ref="IGL67:IGL73"/>
    <mergeCell ref="IGM67:IGM73"/>
    <mergeCell ref="IGN67:IGN73"/>
    <mergeCell ref="IGO67:IGO73"/>
    <mergeCell ref="IGP67:IGP73"/>
    <mergeCell ref="IGE67:IGE73"/>
    <mergeCell ref="IGF67:IGF73"/>
    <mergeCell ref="IGG67:IGG73"/>
    <mergeCell ref="IGH67:IGH73"/>
    <mergeCell ref="IGI67:IGI73"/>
    <mergeCell ref="IGJ67:IGJ73"/>
    <mergeCell ref="IIS67:IIS73"/>
    <mergeCell ref="IIT67:IIT73"/>
    <mergeCell ref="IIU67:IIU73"/>
    <mergeCell ref="IIV67:IIV73"/>
    <mergeCell ref="IIW67:IIW73"/>
    <mergeCell ref="IIX67:IIX73"/>
    <mergeCell ref="IIM67:IIM73"/>
    <mergeCell ref="IIN67:IIN73"/>
    <mergeCell ref="IIO67:IIO73"/>
    <mergeCell ref="IIP67:IIP73"/>
    <mergeCell ref="IIQ67:IIQ73"/>
    <mergeCell ref="IIR67:IIR73"/>
    <mergeCell ref="IIG67:IIG73"/>
    <mergeCell ref="IIH67:IIH73"/>
    <mergeCell ref="III67:III73"/>
    <mergeCell ref="IIJ67:IIJ73"/>
    <mergeCell ref="IIK67:IIK73"/>
    <mergeCell ref="IIL67:IIL73"/>
    <mergeCell ref="IIA67:IIA73"/>
    <mergeCell ref="IIB67:IIB73"/>
    <mergeCell ref="IIC67:IIC73"/>
    <mergeCell ref="IID67:IID73"/>
    <mergeCell ref="IIE67:IIE73"/>
    <mergeCell ref="IIF67:IIF73"/>
    <mergeCell ref="IHU67:IHU73"/>
    <mergeCell ref="IHV67:IHV73"/>
    <mergeCell ref="IHW67:IHW73"/>
    <mergeCell ref="IHX67:IHX73"/>
    <mergeCell ref="IHY67:IHY73"/>
    <mergeCell ref="IHZ67:IHZ73"/>
    <mergeCell ref="IHO67:IHO73"/>
    <mergeCell ref="IHP67:IHP73"/>
    <mergeCell ref="IHQ67:IHQ73"/>
    <mergeCell ref="IHR67:IHR73"/>
    <mergeCell ref="IHS67:IHS73"/>
    <mergeCell ref="IHT67:IHT73"/>
    <mergeCell ref="IKC67:IKC73"/>
    <mergeCell ref="IKD67:IKD73"/>
    <mergeCell ref="IKE67:IKE73"/>
    <mergeCell ref="IKF67:IKF73"/>
    <mergeCell ref="IKG67:IKG73"/>
    <mergeCell ref="IKH67:IKH73"/>
    <mergeCell ref="IJW67:IJW73"/>
    <mergeCell ref="IJX67:IJX73"/>
    <mergeCell ref="IJY67:IJY73"/>
    <mergeCell ref="IJZ67:IJZ73"/>
    <mergeCell ref="IKA67:IKA73"/>
    <mergeCell ref="IKB67:IKB73"/>
    <mergeCell ref="IJQ67:IJQ73"/>
    <mergeCell ref="IJR67:IJR73"/>
    <mergeCell ref="IJS67:IJS73"/>
    <mergeCell ref="IJT67:IJT73"/>
    <mergeCell ref="IJU67:IJU73"/>
    <mergeCell ref="IJV67:IJV73"/>
    <mergeCell ref="IJK67:IJK73"/>
    <mergeCell ref="IJL67:IJL73"/>
    <mergeCell ref="IJM67:IJM73"/>
    <mergeCell ref="IJN67:IJN73"/>
    <mergeCell ref="IJO67:IJO73"/>
    <mergeCell ref="IJP67:IJP73"/>
    <mergeCell ref="IJE67:IJE73"/>
    <mergeCell ref="IJF67:IJF73"/>
    <mergeCell ref="IJG67:IJG73"/>
    <mergeCell ref="IJH67:IJH73"/>
    <mergeCell ref="IJI67:IJI73"/>
    <mergeCell ref="IJJ67:IJJ73"/>
    <mergeCell ref="IIY67:IIY73"/>
    <mergeCell ref="IIZ67:IIZ73"/>
    <mergeCell ref="IJA67:IJA73"/>
    <mergeCell ref="IJB67:IJB73"/>
    <mergeCell ref="IJC67:IJC73"/>
    <mergeCell ref="IJD67:IJD73"/>
    <mergeCell ref="ILM67:ILM73"/>
    <mergeCell ref="ILN67:ILN73"/>
    <mergeCell ref="ILO67:ILO73"/>
    <mergeCell ref="ILP67:ILP73"/>
    <mergeCell ref="ILQ67:ILQ73"/>
    <mergeCell ref="ILR67:ILR73"/>
    <mergeCell ref="ILG67:ILG73"/>
    <mergeCell ref="ILH67:ILH73"/>
    <mergeCell ref="ILI67:ILI73"/>
    <mergeCell ref="ILJ67:ILJ73"/>
    <mergeCell ref="ILK67:ILK73"/>
    <mergeCell ref="ILL67:ILL73"/>
    <mergeCell ref="ILA67:ILA73"/>
    <mergeCell ref="ILB67:ILB73"/>
    <mergeCell ref="ILC67:ILC73"/>
    <mergeCell ref="ILD67:ILD73"/>
    <mergeCell ref="ILE67:ILE73"/>
    <mergeCell ref="ILF67:ILF73"/>
    <mergeCell ref="IKU67:IKU73"/>
    <mergeCell ref="IKV67:IKV73"/>
    <mergeCell ref="IKW67:IKW73"/>
    <mergeCell ref="IKX67:IKX73"/>
    <mergeCell ref="IKY67:IKY73"/>
    <mergeCell ref="IKZ67:IKZ73"/>
    <mergeCell ref="IKO67:IKO73"/>
    <mergeCell ref="IKP67:IKP73"/>
    <mergeCell ref="IKQ67:IKQ73"/>
    <mergeCell ref="IKR67:IKR73"/>
    <mergeCell ref="IKS67:IKS73"/>
    <mergeCell ref="IKT67:IKT73"/>
    <mergeCell ref="IKI67:IKI73"/>
    <mergeCell ref="IKJ67:IKJ73"/>
    <mergeCell ref="IKK67:IKK73"/>
    <mergeCell ref="IKL67:IKL73"/>
    <mergeCell ref="IKM67:IKM73"/>
    <mergeCell ref="IKN67:IKN73"/>
    <mergeCell ref="IMW67:IMW73"/>
    <mergeCell ref="IMX67:IMX73"/>
    <mergeCell ref="IMY67:IMY73"/>
    <mergeCell ref="IMZ67:IMZ73"/>
    <mergeCell ref="INA67:INA73"/>
    <mergeCell ref="INB67:INB73"/>
    <mergeCell ref="IMQ67:IMQ73"/>
    <mergeCell ref="IMR67:IMR73"/>
    <mergeCell ref="IMS67:IMS73"/>
    <mergeCell ref="IMT67:IMT73"/>
    <mergeCell ref="IMU67:IMU73"/>
    <mergeCell ref="IMV67:IMV73"/>
    <mergeCell ref="IMK67:IMK73"/>
    <mergeCell ref="IML67:IML73"/>
    <mergeCell ref="IMM67:IMM73"/>
    <mergeCell ref="IMN67:IMN73"/>
    <mergeCell ref="IMO67:IMO73"/>
    <mergeCell ref="IMP67:IMP73"/>
    <mergeCell ref="IME67:IME73"/>
    <mergeCell ref="IMF67:IMF73"/>
    <mergeCell ref="IMG67:IMG73"/>
    <mergeCell ref="IMH67:IMH73"/>
    <mergeCell ref="IMI67:IMI73"/>
    <mergeCell ref="IMJ67:IMJ73"/>
    <mergeCell ref="ILY67:ILY73"/>
    <mergeCell ref="ILZ67:ILZ73"/>
    <mergeCell ref="IMA67:IMA73"/>
    <mergeCell ref="IMB67:IMB73"/>
    <mergeCell ref="IMC67:IMC73"/>
    <mergeCell ref="IMD67:IMD73"/>
    <mergeCell ref="ILS67:ILS73"/>
    <mergeCell ref="ILT67:ILT73"/>
    <mergeCell ref="ILU67:ILU73"/>
    <mergeCell ref="ILV67:ILV73"/>
    <mergeCell ref="ILW67:ILW73"/>
    <mergeCell ref="ILX67:ILX73"/>
    <mergeCell ref="IOG67:IOG73"/>
    <mergeCell ref="IOH67:IOH73"/>
    <mergeCell ref="IOI67:IOI73"/>
    <mergeCell ref="IOJ67:IOJ73"/>
    <mergeCell ref="IOK67:IOK73"/>
    <mergeCell ref="IOL67:IOL73"/>
    <mergeCell ref="IOA67:IOA73"/>
    <mergeCell ref="IOB67:IOB73"/>
    <mergeCell ref="IOC67:IOC73"/>
    <mergeCell ref="IOD67:IOD73"/>
    <mergeCell ref="IOE67:IOE73"/>
    <mergeCell ref="IOF67:IOF73"/>
    <mergeCell ref="INU67:INU73"/>
    <mergeCell ref="INV67:INV73"/>
    <mergeCell ref="INW67:INW73"/>
    <mergeCell ref="INX67:INX73"/>
    <mergeCell ref="INY67:INY73"/>
    <mergeCell ref="INZ67:INZ73"/>
    <mergeCell ref="INO67:INO73"/>
    <mergeCell ref="INP67:INP73"/>
    <mergeCell ref="INQ67:INQ73"/>
    <mergeCell ref="INR67:INR73"/>
    <mergeCell ref="INS67:INS73"/>
    <mergeCell ref="INT67:INT73"/>
    <mergeCell ref="INI67:INI73"/>
    <mergeCell ref="INJ67:INJ73"/>
    <mergeCell ref="INK67:INK73"/>
    <mergeCell ref="INL67:INL73"/>
    <mergeCell ref="INM67:INM73"/>
    <mergeCell ref="INN67:INN73"/>
    <mergeCell ref="INC67:INC73"/>
    <mergeCell ref="IND67:IND73"/>
    <mergeCell ref="INE67:INE73"/>
    <mergeCell ref="INF67:INF73"/>
    <mergeCell ref="ING67:ING73"/>
    <mergeCell ref="INH67:INH73"/>
    <mergeCell ref="IPQ67:IPQ73"/>
    <mergeCell ref="IPR67:IPR73"/>
    <mergeCell ref="IPS67:IPS73"/>
    <mergeCell ref="IPT67:IPT73"/>
    <mergeCell ref="IPU67:IPU73"/>
    <mergeCell ref="IPV67:IPV73"/>
    <mergeCell ref="IPK67:IPK73"/>
    <mergeCell ref="IPL67:IPL73"/>
    <mergeCell ref="IPM67:IPM73"/>
    <mergeCell ref="IPN67:IPN73"/>
    <mergeCell ref="IPO67:IPO73"/>
    <mergeCell ref="IPP67:IPP73"/>
    <mergeCell ref="IPE67:IPE73"/>
    <mergeCell ref="IPF67:IPF73"/>
    <mergeCell ref="IPG67:IPG73"/>
    <mergeCell ref="IPH67:IPH73"/>
    <mergeCell ref="IPI67:IPI73"/>
    <mergeCell ref="IPJ67:IPJ73"/>
    <mergeCell ref="IOY67:IOY73"/>
    <mergeCell ref="IOZ67:IOZ73"/>
    <mergeCell ref="IPA67:IPA73"/>
    <mergeCell ref="IPB67:IPB73"/>
    <mergeCell ref="IPC67:IPC73"/>
    <mergeCell ref="IPD67:IPD73"/>
    <mergeCell ref="IOS67:IOS73"/>
    <mergeCell ref="IOT67:IOT73"/>
    <mergeCell ref="IOU67:IOU73"/>
    <mergeCell ref="IOV67:IOV73"/>
    <mergeCell ref="IOW67:IOW73"/>
    <mergeCell ref="IOX67:IOX73"/>
    <mergeCell ref="IOM67:IOM73"/>
    <mergeCell ref="ION67:ION73"/>
    <mergeCell ref="IOO67:IOO73"/>
    <mergeCell ref="IOP67:IOP73"/>
    <mergeCell ref="IOQ67:IOQ73"/>
    <mergeCell ref="IOR67:IOR73"/>
    <mergeCell ref="IRA67:IRA73"/>
    <mergeCell ref="IRB67:IRB73"/>
    <mergeCell ref="IRC67:IRC73"/>
    <mergeCell ref="IRD67:IRD73"/>
    <mergeCell ref="IRE67:IRE73"/>
    <mergeCell ref="IRF67:IRF73"/>
    <mergeCell ref="IQU67:IQU73"/>
    <mergeCell ref="IQV67:IQV73"/>
    <mergeCell ref="IQW67:IQW73"/>
    <mergeCell ref="IQX67:IQX73"/>
    <mergeCell ref="IQY67:IQY73"/>
    <mergeCell ref="IQZ67:IQZ73"/>
    <mergeCell ref="IQO67:IQO73"/>
    <mergeCell ref="IQP67:IQP73"/>
    <mergeCell ref="IQQ67:IQQ73"/>
    <mergeCell ref="IQR67:IQR73"/>
    <mergeCell ref="IQS67:IQS73"/>
    <mergeCell ref="IQT67:IQT73"/>
    <mergeCell ref="IQI67:IQI73"/>
    <mergeCell ref="IQJ67:IQJ73"/>
    <mergeCell ref="IQK67:IQK73"/>
    <mergeCell ref="IQL67:IQL73"/>
    <mergeCell ref="IQM67:IQM73"/>
    <mergeCell ref="IQN67:IQN73"/>
    <mergeCell ref="IQC67:IQC73"/>
    <mergeCell ref="IQD67:IQD73"/>
    <mergeCell ref="IQE67:IQE73"/>
    <mergeCell ref="IQF67:IQF73"/>
    <mergeCell ref="IQG67:IQG73"/>
    <mergeCell ref="IQH67:IQH73"/>
    <mergeCell ref="IPW67:IPW73"/>
    <mergeCell ref="IPX67:IPX73"/>
    <mergeCell ref="IPY67:IPY73"/>
    <mergeCell ref="IPZ67:IPZ73"/>
    <mergeCell ref="IQA67:IQA73"/>
    <mergeCell ref="IQB67:IQB73"/>
    <mergeCell ref="ISK67:ISK73"/>
    <mergeCell ref="ISL67:ISL73"/>
    <mergeCell ref="ISM67:ISM73"/>
    <mergeCell ref="ISN67:ISN73"/>
    <mergeCell ref="ISO67:ISO73"/>
    <mergeCell ref="ISP67:ISP73"/>
    <mergeCell ref="ISE67:ISE73"/>
    <mergeCell ref="ISF67:ISF73"/>
    <mergeCell ref="ISG67:ISG73"/>
    <mergeCell ref="ISH67:ISH73"/>
    <mergeCell ref="ISI67:ISI73"/>
    <mergeCell ref="ISJ67:ISJ73"/>
    <mergeCell ref="IRY67:IRY73"/>
    <mergeCell ref="IRZ67:IRZ73"/>
    <mergeCell ref="ISA67:ISA73"/>
    <mergeCell ref="ISB67:ISB73"/>
    <mergeCell ref="ISC67:ISC73"/>
    <mergeCell ref="ISD67:ISD73"/>
    <mergeCell ref="IRS67:IRS73"/>
    <mergeCell ref="IRT67:IRT73"/>
    <mergeCell ref="IRU67:IRU73"/>
    <mergeCell ref="IRV67:IRV73"/>
    <mergeCell ref="IRW67:IRW73"/>
    <mergeCell ref="IRX67:IRX73"/>
    <mergeCell ref="IRM67:IRM73"/>
    <mergeCell ref="IRN67:IRN73"/>
    <mergeCell ref="IRO67:IRO73"/>
    <mergeCell ref="IRP67:IRP73"/>
    <mergeCell ref="IRQ67:IRQ73"/>
    <mergeCell ref="IRR67:IRR73"/>
    <mergeCell ref="IRG67:IRG73"/>
    <mergeCell ref="IRH67:IRH73"/>
    <mergeCell ref="IRI67:IRI73"/>
    <mergeCell ref="IRJ67:IRJ73"/>
    <mergeCell ref="IRK67:IRK73"/>
    <mergeCell ref="IRL67:IRL73"/>
    <mergeCell ref="ITU67:ITU73"/>
    <mergeCell ref="ITV67:ITV73"/>
    <mergeCell ref="ITW67:ITW73"/>
    <mergeCell ref="ITX67:ITX73"/>
    <mergeCell ref="ITY67:ITY73"/>
    <mergeCell ref="ITZ67:ITZ73"/>
    <mergeCell ref="ITO67:ITO73"/>
    <mergeCell ref="ITP67:ITP73"/>
    <mergeCell ref="ITQ67:ITQ73"/>
    <mergeCell ref="ITR67:ITR73"/>
    <mergeCell ref="ITS67:ITS73"/>
    <mergeCell ref="ITT67:ITT73"/>
    <mergeCell ref="ITI67:ITI73"/>
    <mergeCell ref="ITJ67:ITJ73"/>
    <mergeCell ref="ITK67:ITK73"/>
    <mergeCell ref="ITL67:ITL73"/>
    <mergeCell ref="ITM67:ITM73"/>
    <mergeCell ref="ITN67:ITN73"/>
    <mergeCell ref="ITC67:ITC73"/>
    <mergeCell ref="ITD67:ITD73"/>
    <mergeCell ref="ITE67:ITE73"/>
    <mergeCell ref="ITF67:ITF73"/>
    <mergeCell ref="ITG67:ITG73"/>
    <mergeCell ref="ITH67:ITH73"/>
    <mergeCell ref="ISW67:ISW73"/>
    <mergeCell ref="ISX67:ISX73"/>
    <mergeCell ref="ISY67:ISY73"/>
    <mergeCell ref="ISZ67:ISZ73"/>
    <mergeCell ref="ITA67:ITA73"/>
    <mergeCell ref="ITB67:ITB73"/>
    <mergeCell ref="ISQ67:ISQ73"/>
    <mergeCell ref="ISR67:ISR73"/>
    <mergeCell ref="ISS67:ISS73"/>
    <mergeCell ref="IST67:IST73"/>
    <mergeCell ref="ISU67:ISU73"/>
    <mergeCell ref="ISV67:ISV73"/>
    <mergeCell ref="IVE67:IVE73"/>
    <mergeCell ref="IVF67:IVF73"/>
    <mergeCell ref="IVG67:IVG73"/>
    <mergeCell ref="IVH67:IVH73"/>
    <mergeCell ref="IVI67:IVI73"/>
    <mergeCell ref="IVJ67:IVJ73"/>
    <mergeCell ref="IUY67:IUY73"/>
    <mergeCell ref="IUZ67:IUZ73"/>
    <mergeCell ref="IVA67:IVA73"/>
    <mergeCell ref="IVB67:IVB73"/>
    <mergeCell ref="IVC67:IVC73"/>
    <mergeCell ref="IVD67:IVD73"/>
    <mergeCell ref="IUS67:IUS73"/>
    <mergeCell ref="IUT67:IUT73"/>
    <mergeCell ref="IUU67:IUU73"/>
    <mergeCell ref="IUV67:IUV73"/>
    <mergeCell ref="IUW67:IUW73"/>
    <mergeCell ref="IUX67:IUX73"/>
    <mergeCell ref="IUM67:IUM73"/>
    <mergeCell ref="IUN67:IUN73"/>
    <mergeCell ref="IUO67:IUO73"/>
    <mergeCell ref="IUP67:IUP73"/>
    <mergeCell ref="IUQ67:IUQ73"/>
    <mergeCell ref="IUR67:IUR73"/>
    <mergeCell ref="IUG67:IUG73"/>
    <mergeCell ref="IUH67:IUH73"/>
    <mergeCell ref="IUI67:IUI73"/>
    <mergeCell ref="IUJ67:IUJ73"/>
    <mergeCell ref="IUK67:IUK73"/>
    <mergeCell ref="IUL67:IUL73"/>
    <mergeCell ref="IUA67:IUA73"/>
    <mergeCell ref="IUB67:IUB73"/>
    <mergeCell ref="IUC67:IUC73"/>
    <mergeCell ref="IUD67:IUD73"/>
    <mergeCell ref="IUE67:IUE73"/>
    <mergeCell ref="IUF67:IUF73"/>
    <mergeCell ref="IWO67:IWO73"/>
    <mergeCell ref="IWP67:IWP73"/>
    <mergeCell ref="IWQ67:IWQ73"/>
    <mergeCell ref="IWR67:IWR73"/>
    <mergeCell ref="IWS67:IWS73"/>
    <mergeCell ref="IWT67:IWT73"/>
    <mergeCell ref="IWI67:IWI73"/>
    <mergeCell ref="IWJ67:IWJ73"/>
    <mergeCell ref="IWK67:IWK73"/>
    <mergeCell ref="IWL67:IWL73"/>
    <mergeCell ref="IWM67:IWM73"/>
    <mergeCell ref="IWN67:IWN73"/>
    <mergeCell ref="IWC67:IWC73"/>
    <mergeCell ref="IWD67:IWD73"/>
    <mergeCell ref="IWE67:IWE73"/>
    <mergeCell ref="IWF67:IWF73"/>
    <mergeCell ref="IWG67:IWG73"/>
    <mergeCell ref="IWH67:IWH73"/>
    <mergeCell ref="IVW67:IVW73"/>
    <mergeCell ref="IVX67:IVX73"/>
    <mergeCell ref="IVY67:IVY73"/>
    <mergeCell ref="IVZ67:IVZ73"/>
    <mergeCell ref="IWA67:IWA73"/>
    <mergeCell ref="IWB67:IWB73"/>
    <mergeCell ref="IVQ67:IVQ73"/>
    <mergeCell ref="IVR67:IVR73"/>
    <mergeCell ref="IVS67:IVS73"/>
    <mergeCell ref="IVT67:IVT73"/>
    <mergeCell ref="IVU67:IVU73"/>
    <mergeCell ref="IVV67:IVV73"/>
    <mergeCell ref="IVK67:IVK73"/>
    <mergeCell ref="IVL67:IVL73"/>
    <mergeCell ref="IVM67:IVM73"/>
    <mergeCell ref="IVN67:IVN73"/>
    <mergeCell ref="IVO67:IVO73"/>
    <mergeCell ref="IVP67:IVP73"/>
    <mergeCell ref="IXY67:IXY73"/>
    <mergeCell ref="IXZ67:IXZ73"/>
    <mergeCell ref="IYA67:IYA73"/>
    <mergeCell ref="IYB67:IYB73"/>
    <mergeCell ref="IYC67:IYC73"/>
    <mergeCell ref="IYD67:IYD73"/>
    <mergeCell ref="IXS67:IXS73"/>
    <mergeCell ref="IXT67:IXT73"/>
    <mergeCell ref="IXU67:IXU73"/>
    <mergeCell ref="IXV67:IXV73"/>
    <mergeCell ref="IXW67:IXW73"/>
    <mergeCell ref="IXX67:IXX73"/>
    <mergeCell ref="IXM67:IXM73"/>
    <mergeCell ref="IXN67:IXN73"/>
    <mergeCell ref="IXO67:IXO73"/>
    <mergeCell ref="IXP67:IXP73"/>
    <mergeCell ref="IXQ67:IXQ73"/>
    <mergeCell ref="IXR67:IXR73"/>
    <mergeCell ref="IXG67:IXG73"/>
    <mergeCell ref="IXH67:IXH73"/>
    <mergeCell ref="IXI67:IXI73"/>
    <mergeCell ref="IXJ67:IXJ73"/>
    <mergeCell ref="IXK67:IXK73"/>
    <mergeCell ref="IXL67:IXL73"/>
    <mergeCell ref="IXA67:IXA73"/>
    <mergeCell ref="IXB67:IXB73"/>
    <mergeCell ref="IXC67:IXC73"/>
    <mergeCell ref="IXD67:IXD73"/>
    <mergeCell ref="IXE67:IXE73"/>
    <mergeCell ref="IXF67:IXF73"/>
    <mergeCell ref="IWU67:IWU73"/>
    <mergeCell ref="IWV67:IWV73"/>
    <mergeCell ref="IWW67:IWW73"/>
    <mergeCell ref="IWX67:IWX73"/>
    <mergeCell ref="IWY67:IWY73"/>
    <mergeCell ref="IWZ67:IWZ73"/>
    <mergeCell ref="IZI67:IZI73"/>
    <mergeCell ref="IZJ67:IZJ73"/>
    <mergeCell ref="IZK67:IZK73"/>
    <mergeCell ref="IZL67:IZL73"/>
    <mergeCell ref="IZM67:IZM73"/>
    <mergeCell ref="IZN67:IZN73"/>
    <mergeCell ref="IZC67:IZC73"/>
    <mergeCell ref="IZD67:IZD73"/>
    <mergeCell ref="IZE67:IZE73"/>
    <mergeCell ref="IZF67:IZF73"/>
    <mergeCell ref="IZG67:IZG73"/>
    <mergeCell ref="IZH67:IZH73"/>
    <mergeCell ref="IYW67:IYW73"/>
    <mergeCell ref="IYX67:IYX73"/>
    <mergeCell ref="IYY67:IYY73"/>
    <mergeCell ref="IYZ67:IYZ73"/>
    <mergeCell ref="IZA67:IZA73"/>
    <mergeCell ref="IZB67:IZB73"/>
    <mergeCell ref="IYQ67:IYQ73"/>
    <mergeCell ref="IYR67:IYR73"/>
    <mergeCell ref="IYS67:IYS73"/>
    <mergeCell ref="IYT67:IYT73"/>
    <mergeCell ref="IYU67:IYU73"/>
    <mergeCell ref="IYV67:IYV73"/>
    <mergeCell ref="IYK67:IYK73"/>
    <mergeCell ref="IYL67:IYL73"/>
    <mergeCell ref="IYM67:IYM73"/>
    <mergeCell ref="IYN67:IYN73"/>
    <mergeCell ref="IYO67:IYO73"/>
    <mergeCell ref="IYP67:IYP73"/>
    <mergeCell ref="IYE67:IYE73"/>
    <mergeCell ref="IYF67:IYF73"/>
    <mergeCell ref="IYG67:IYG73"/>
    <mergeCell ref="IYH67:IYH73"/>
    <mergeCell ref="IYI67:IYI73"/>
    <mergeCell ref="IYJ67:IYJ73"/>
    <mergeCell ref="JAS67:JAS73"/>
    <mergeCell ref="JAT67:JAT73"/>
    <mergeCell ref="JAU67:JAU73"/>
    <mergeCell ref="JAV67:JAV73"/>
    <mergeCell ref="JAW67:JAW73"/>
    <mergeCell ref="JAX67:JAX73"/>
    <mergeCell ref="JAM67:JAM73"/>
    <mergeCell ref="JAN67:JAN73"/>
    <mergeCell ref="JAO67:JAO73"/>
    <mergeCell ref="JAP67:JAP73"/>
    <mergeCell ref="JAQ67:JAQ73"/>
    <mergeCell ref="JAR67:JAR73"/>
    <mergeCell ref="JAG67:JAG73"/>
    <mergeCell ref="JAH67:JAH73"/>
    <mergeCell ref="JAI67:JAI73"/>
    <mergeCell ref="JAJ67:JAJ73"/>
    <mergeCell ref="JAK67:JAK73"/>
    <mergeCell ref="JAL67:JAL73"/>
    <mergeCell ref="JAA67:JAA73"/>
    <mergeCell ref="JAB67:JAB73"/>
    <mergeCell ref="JAC67:JAC73"/>
    <mergeCell ref="JAD67:JAD73"/>
    <mergeCell ref="JAE67:JAE73"/>
    <mergeCell ref="JAF67:JAF73"/>
    <mergeCell ref="IZU67:IZU73"/>
    <mergeCell ref="IZV67:IZV73"/>
    <mergeCell ref="IZW67:IZW73"/>
    <mergeCell ref="IZX67:IZX73"/>
    <mergeCell ref="IZY67:IZY73"/>
    <mergeCell ref="IZZ67:IZZ73"/>
    <mergeCell ref="IZO67:IZO73"/>
    <mergeCell ref="IZP67:IZP73"/>
    <mergeCell ref="IZQ67:IZQ73"/>
    <mergeCell ref="IZR67:IZR73"/>
    <mergeCell ref="IZS67:IZS73"/>
    <mergeCell ref="IZT67:IZT73"/>
    <mergeCell ref="JCC67:JCC73"/>
    <mergeCell ref="JCD67:JCD73"/>
    <mergeCell ref="JCE67:JCE73"/>
    <mergeCell ref="JCF67:JCF73"/>
    <mergeCell ref="JCG67:JCG73"/>
    <mergeCell ref="JCH67:JCH73"/>
    <mergeCell ref="JBW67:JBW73"/>
    <mergeCell ref="JBX67:JBX73"/>
    <mergeCell ref="JBY67:JBY73"/>
    <mergeCell ref="JBZ67:JBZ73"/>
    <mergeCell ref="JCA67:JCA73"/>
    <mergeCell ref="JCB67:JCB73"/>
    <mergeCell ref="JBQ67:JBQ73"/>
    <mergeCell ref="JBR67:JBR73"/>
    <mergeCell ref="JBS67:JBS73"/>
    <mergeCell ref="JBT67:JBT73"/>
    <mergeCell ref="JBU67:JBU73"/>
    <mergeCell ref="JBV67:JBV73"/>
    <mergeCell ref="JBK67:JBK73"/>
    <mergeCell ref="JBL67:JBL73"/>
    <mergeCell ref="JBM67:JBM73"/>
    <mergeCell ref="JBN67:JBN73"/>
    <mergeCell ref="JBO67:JBO73"/>
    <mergeCell ref="JBP67:JBP73"/>
    <mergeCell ref="JBE67:JBE73"/>
    <mergeCell ref="JBF67:JBF73"/>
    <mergeCell ref="JBG67:JBG73"/>
    <mergeCell ref="JBH67:JBH73"/>
    <mergeCell ref="JBI67:JBI73"/>
    <mergeCell ref="JBJ67:JBJ73"/>
    <mergeCell ref="JAY67:JAY73"/>
    <mergeCell ref="JAZ67:JAZ73"/>
    <mergeCell ref="JBA67:JBA73"/>
    <mergeCell ref="JBB67:JBB73"/>
    <mergeCell ref="JBC67:JBC73"/>
    <mergeCell ref="JBD67:JBD73"/>
    <mergeCell ref="JDM67:JDM73"/>
    <mergeCell ref="JDN67:JDN73"/>
    <mergeCell ref="JDO67:JDO73"/>
    <mergeCell ref="JDP67:JDP73"/>
    <mergeCell ref="JDQ67:JDQ73"/>
    <mergeCell ref="JDR67:JDR73"/>
    <mergeCell ref="JDG67:JDG73"/>
    <mergeCell ref="JDH67:JDH73"/>
    <mergeCell ref="JDI67:JDI73"/>
    <mergeCell ref="JDJ67:JDJ73"/>
    <mergeCell ref="JDK67:JDK73"/>
    <mergeCell ref="JDL67:JDL73"/>
    <mergeCell ref="JDA67:JDA73"/>
    <mergeCell ref="JDB67:JDB73"/>
    <mergeCell ref="JDC67:JDC73"/>
    <mergeCell ref="JDD67:JDD73"/>
    <mergeCell ref="JDE67:JDE73"/>
    <mergeCell ref="JDF67:JDF73"/>
    <mergeCell ref="JCU67:JCU73"/>
    <mergeCell ref="JCV67:JCV73"/>
    <mergeCell ref="JCW67:JCW73"/>
    <mergeCell ref="JCX67:JCX73"/>
    <mergeCell ref="JCY67:JCY73"/>
    <mergeCell ref="JCZ67:JCZ73"/>
    <mergeCell ref="JCO67:JCO73"/>
    <mergeCell ref="JCP67:JCP73"/>
    <mergeCell ref="JCQ67:JCQ73"/>
    <mergeCell ref="JCR67:JCR73"/>
    <mergeCell ref="JCS67:JCS73"/>
    <mergeCell ref="JCT67:JCT73"/>
    <mergeCell ref="JCI67:JCI73"/>
    <mergeCell ref="JCJ67:JCJ73"/>
    <mergeCell ref="JCK67:JCK73"/>
    <mergeCell ref="JCL67:JCL73"/>
    <mergeCell ref="JCM67:JCM73"/>
    <mergeCell ref="JCN67:JCN73"/>
    <mergeCell ref="JEW67:JEW73"/>
    <mergeCell ref="JEX67:JEX73"/>
    <mergeCell ref="JEY67:JEY73"/>
    <mergeCell ref="JEZ67:JEZ73"/>
    <mergeCell ref="JFA67:JFA73"/>
    <mergeCell ref="JFB67:JFB73"/>
    <mergeCell ref="JEQ67:JEQ73"/>
    <mergeCell ref="JER67:JER73"/>
    <mergeCell ref="JES67:JES73"/>
    <mergeCell ref="JET67:JET73"/>
    <mergeCell ref="JEU67:JEU73"/>
    <mergeCell ref="JEV67:JEV73"/>
    <mergeCell ref="JEK67:JEK73"/>
    <mergeCell ref="JEL67:JEL73"/>
    <mergeCell ref="JEM67:JEM73"/>
    <mergeCell ref="JEN67:JEN73"/>
    <mergeCell ref="JEO67:JEO73"/>
    <mergeCell ref="JEP67:JEP73"/>
    <mergeCell ref="JEE67:JEE73"/>
    <mergeCell ref="JEF67:JEF73"/>
    <mergeCell ref="JEG67:JEG73"/>
    <mergeCell ref="JEH67:JEH73"/>
    <mergeCell ref="JEI67:JEI73"/>
    <mergeCell ref="JEJ67:JEJ73"/>
    <mergeCell ref="JDY67:JDY73"/>
    <mergeCell ref="JDZ67:JDZ73"/>
    <mergeCell ref="JEA67:JEA73"/>
    <mergeCell ref="JEB67:JEB73"/>
    <mergeCell ref="JEC67:JEC73"/>
    <mergeCell ref="JED67:JED73"/>
    <mergeCell ref="JDS67:JDS73"/>
    <mergeCell ref="JDT67:JDT73"/>
    <mergeCell ref="JDU67:JDU73"/>
    <mergeCell ref="JDV67:JDV73"/>
    <mergeCell ref="JDW67:JDW73"/>
    <mergeCell ref="JDX67:JDX73"/>
    <mergeCell ref="JGG67:JGG73"/>
    <mergeCell ref="JGH67:JGH73"/>
    <mergeCell ref="JGI67:JGI73"/>
    <mergeCell ref="JGJ67:JGJ73"/>
    <mergeCell ref="JGK67:JGK73"/>
    <mergeCell ref="JGL67:JGL73"/>
    <mergeCell ref="JGA67:JGA73"/>
    <mergeCell ref="JGB67:JGB73"/>
    <mergeCell ref="JGC67:JGC73"/>
    <mergeCell ref="JGD67:JGD73"/>
    <mergeCell ref="JGE67:JGE73"/>
    <mergeCell ref="JGF67:JGF73"/>
    <mergeCell ref="JFU67:JFU73"/>
    <mergeCell ref="JFV67:JFV73"/>
    <mergeCell ref="JFW67:JFW73"/>
    <mergeCell ref="JFX67:JFX73"/>
    <mergeCell ref="JFY67:JFY73"/>
    <mergeCell ref="JFZ67:JFZ73"/>
    <mergeCell ref="JFO67:JFO73"/>
    <mergeCell ref="JFP67:JFP73"/>
    <mergeCell ref="JFQ67:JFQ73"/>
    <mergeCell ref="JFR67:JFR73"/>
    <mergeCell ref="JFS67:JFS73"/>
    <mergeCell ref="JFT67:JFT73"/>
    <mergeCell ref="JFI67:JFI73"/>
    <mergeCell ref="JFJ67:JFJ73"/>
    <mergeCell ref="JFK67:JFK73"/>
    <mergeCell ref="JFL67:JFL73"/>
    <mergeCell ref="JFM67:JFM73"/>
    <mergeCell ref="JFN67:JFN73"/>
    <mergeCell ref="JFC67:JFC73"/>
    <mergeCell ref="JFD67:JFD73"/>
    <mergeCell ref="JFE67:JFE73"/>
    <mergeCell ref="JFF67:JFF73"/>
    <mergeCell ref="JFG67:JFG73"/>
    <mergeCell ref="JFH67:JFH73"/>
    <mergeCell ref="JHQ67:JHQ73"/>
    <mergeCell ref="JHR67:JHR73"/>
    <mergeCell ref="JHS67:JHS73"/>
    <mergeCell ref="JHT67:JHT73"/>
    <mergeCell ref="JHU67:JHU73"/>
    <mergeCell ref="JHV67:JHV73"/>
    <mergeCell ref="JHK67:JHK73"/>
    <mergeCell ref="JHL67:JHL73"/>
    <mergeCell ref="JHM67:JHM73"/>
    <mergeCell ref="JHN67:JHN73"/>
    <mergeCell ref="JHO67:JHO73"/>
    <mergeCell ref="JHP67:JHP73"/>
    <mergeCell ref="JHE67:JHE73"/>
    <mergeCell ref="JHF67:JHF73"/>
    <mergeCell ref="JHG67:JHG73"/>
    <mergeCell ref="JHH67:JHH73"/>
    <mergeCell ref="JHI67:JHI73"/>
    <mergeCell ref="JHJ67:JHJ73"/>
    <mergeCell ref="JGY67:JGY73"/>
    <mergeCell ref="JGZ67:JGZ73"/>
    <mergeCell ref="JHA67:JHA73"/>
    <mergeCell ref="JHB67:JHB73"/>
    <mergeCell ref="JHC67:JHC73"/>
    <mergeCell ref="JHD67:JHD73"/>
    <mergeCell ref="JGS67:JGS73"/>
    <mergeCell ref="JGT67:JGT73"/>
    <mergeCell ref="JGU67:JGU73"/>
    <mergeCell ref="JGV67:JGV73"/>
    <mergeCell ref="JGW67:JGW73"/>
    <mergeCell ref="JGX67:JGX73"/>
    <mergeCell ref="JGM67:JGM73"/>
    <mergeCell ref="JGN67:JGN73"/>
    <mergeCell ref="JGO67:JGO73"/>
    <mergeCell ref="JGP67:JGP73"/>
    <mergeCell ref="JGQ67:JGQ73"/>
    <mergeCell ref="JGR67:JGR73"/>
    <mergeCell ref="JJA67:JJA73"/>
    <mergeCell ref="JJB67:JJB73"/>
    <mergeCell ref="JJC67:JJC73"/>
    <mergeCell ref="JJD67:JJD73"/>
    <mergeCell ref="JJE67:JJE73"/>
    <mergeCell ref="JJF67:JJF73"/>
    <mergeCell ref="JIU67:JIU73"/>
    <mergeCell ref="JIV67:JIV73"/>
    <mergeCell ref="JIW67:JIW73"/>
    <mergeCell ref="JIX67:JIX73"/>
    <mergeCell ref="JIY67:JIY73"/>
    <mergeCell ref="JIZ67:JIZ73"/>
    <mergeCell ref="JIO67:JIO73"/>
    <mergeCell ref="JIP67:JIP73"/>
    <mergeCell ref="JIQ67:JIQ73"/>
    <mergeCell ref="JIR67:JIR73"/>
    <mergeCell ref="JIS67:JIS73"/>
    <mergeCell ref="JIT67:JIT73"/>
    <mergeCell ref="JII67:JII73"/>
    <mergeCell ref="JIJ67:JIJ73"/>
    <mergeCell ref="JIK67:JIK73"/>
    <mergeCell ref="JIL67:JIL73"/>
    <mergeCell ref="JIM67:JIM73"/>
    <mergeCell ref="JIN67:JIN73"/>
    <mergeCell ref="JIC67:JIC73"/>
    <mergeCell ref="JID67:JID73"/>
    <mergeCell ref="JIE67:JIE73"/>
    <mergeCell ref="JIF67:JIF73"/>
    <mergeCell ref="JIG67:JIG73"/>
    <mergeCell ref="JIH67:JIH73"/>
    <mergeCell ref="JHW67:JHW73"/>
    <mergeCell ref="JHX67:JHX73"/>
    <mergeCell ref="JHY67:JHY73"/>
    <mergeCell ref="JHZ67:JHZ73"/>
    <mergeCell ref="JIA67:JIA73"/>
    <mergeCell ref="JIB67:JIB73"/>
    <mergeCell ref="JKK67:JKK73"/>
    <mergeCell ref="JKL67:JKL73"/>
    <mergeCell ref="JKM67:JKM73"/>
    <mergeCell ref="JKN67:JKN73"/>
    <mergeCell ref="JKO67:JKO73"/>
    <mergeCell ref="JKP67:JKP73"/>
    <mergeCell ref="JKE67:JKE73"/>
    <mergeCell ref="JKF67:JKF73"/>
    <mergeCell ref="JKG67:JKG73"/>
    <mergeCell ref="JKH67:JKH73"/>
    <mergeCell ref="JKI67:JKI73"/>
    <mergeCell ref="JKJ67:JKJ73"/>
    <mergeCell ref="JJY67:JJY73"/>
    <mergeCell ref="JJZ67:JJZ73"/>
    <mergeCell ref="JKA67:JKA73"/>
    <mergeCell ref="JKB67:JKB73"/>
    <mergeCell ref="JKC67:JKC73"/>
    <mergeCell ref="JKD67:JKD73"/>
    <mergeCell ref="JJS67:JJS73"/>
    <mergeCell ref="JJT67:JJT73"/>
    <mergeCell ref="JJU67:JJU73"/>
    <mergeCell ref="JJV67:JJV73"/>
    <mergeCell ref="JJW67:JJW73"/>
    <mergeCell ref="JJX67:JJX73"/>
    <mergeCell ref="JJM67:JJM73"/>
    <mergeCell ref="JJN67:JJN73"/>
    <mergeCell ref="JJO67:JJO73"/>
    <mergeCell ref="JJP67:JJP73"/>
    <mergeCell ref="JJQ67:JJQ73"/>
    <mergeCell ref="JJR67:JJR73"/>
    <mergeCell ref="JJG67:JJG73"/>
    <mergeCell ref="JJH67:JJH73"/>
    <mergeCell ref="JJI67:JJI73"/>
    <mergeCell ref="JJJ67:JJJ73"/>
    <mergeCell ref="JJK67:JJK73"/>
    <mergeCell ref="JJL67:JJL73"/>
    <mergeCell ref="JLU67:JLU73"/>
    <mergeCell ref="JLV67:JLV73"/>
    <mergeCell ref="JLW67:JLW73"/>
    <mergeCell ref="JLX67:JLX73"/>
    <mergeCell ref="JLY67:JLY73"/>
    <mergeCell ref="JLZ67:JLZ73"/>
    <mergeCell ref="JLO67:JLO73"/>
    <mergeCell ref="JLP67:JLP73"/>
    <mergeCell ref="JLQ67:JLQ73"/>
    <mergeCell ref="JLR67:JLR73"/>
    <mergeCell ref="JLS67:JLS73"/>
    <mergeCell ref="JLT67:JLT73"/>
    <mergeCell ref="JLI67:JLI73"/>
    <mergeCell ref="JLJ67:JLJ73"/>
    <mergeCell ref="JLK67:JLK73"/>
    <mergeCell ref="JLL67:JLL73"/>
    <mergeCell ref="JLM67:JLM73"/>
    <mergeCell ref="JLN67:JLN73"/>
    <mergeCell ref="JLC67:JLC73"/>
    <mergeCell ref="JLD67:JLD73"/>
    <mergeCell ref="JLE67:JLE73"/>
    <mergeCell ref="JLF67:JLF73"/>
    <mergeCell ref="JLG67:JLG73"/>
    <mergeCell ref="JLH67:JLH73"/>
    <mergeCell ref="JKW67:JKW73"/>
    <mergeCell ref="JKX67:JKX73"/>
    <mergeCell ref="JKY67:JKY73"/>
    <mergeCell ref="JKZ67:JKZ73"/>
    <mergeCell ref="JLA67:JLA73"/>
    <mergeCell ref="JLB67:JLB73"/>
    <mergeCell ref="JKQ67:JKQ73"/>
    <mergeCell ref="JKR67:JKR73"/>
    <mergeCell ref="JKS67:JKS73"/>
    <mergeCell ref="JKT67:JKT73"/>
    <mergeCell ref="JKU67:JKU73"/>
    <mergeCell ref="JKV67:JKV73"/>
    <mergeCell ref="JNE67:JNE73"/>
    <mergeCell ref="JNF67:JNF73"/>
    <mergeCell ref="JNG67:JNG73"/>
    <mergeCell ref="JNH67:JNH73"/>
    <mergeCell ref="JNI67:JNI73"/>
    <mergeCell ref="JNJ67:JNJ73"/>
    <mergeCell ref="JMY67:JMY73"/>
    <mergeCell ref="JMZ67:JMZ73"/>
    <mergeCell ref="JNA67:JNA73"/>
    <mergeCell ref="JNB67:JNB73"/>
    <mergeCell ref="JNC67:JNC73"/>
    <mergeCell ref="JND67:JND73"/>
    <mergeCell ref="JMS67:JMS73"/>
    <mergeCell ref="JMT67:JMT73"/>
    <mergeCell ref="JMU67:JMU73"/>
    <mergeCell ref="JMV67:JMV73"/>
    <mergeCell ref="JMW67:JMW73"/>
    <mergeCell ref="JMX67:JMX73"/>
    <mergeCell ref="JMM67:JMM73"/>
    <mergeCell ref="JMN67:JMN73"/>
    <mergeCell ref="JMO67:JMO73"/>
    <mergeCell ref="JMP67:JMP73"/>
    <mergeCell ref="JMQ67:JMQ73"/>
    <mergeCell ref="JMR67:JMR73"/>
    <mergeCell ref="JMG67:JMG73"/>
    <mergeCell ref="JMH67:JMH73"/>
    <mergeCell ref="JMI67:JMI73"/>
    <mergeCell ref="JMJ67:JMJ73"/>
    <mergeCell ref="JMK67:JMK73"/>
    <mergeCell ref="JML67:JML73"/>
    <mergeCell ref="JMA67:JMA73"/>
    <mergeCell ref="JMB67:JMB73"/>
    <mergeCell ref="JMC67:JMC73"/>
    <mergeCell ref="JMD67:JMD73"/>
    <mergeCell ref="JME67:JME73"/>
    <mergeCell ref="JMF67:JMF73"/>
    <mergeCell ref="JOO67:JOO73"/>
    <mergeCell ref="JOP67:JOP73"/>
    <mergeCell ref="JOQ67:JOQ73"/>
    <mergeCell ref="JOR67:JOR73"/>
    <mergeCell ref="JOS67:JOS73"/>
    <mergeCell ref="JOT67:JOT73"/>
    <mergeCell ref="JOI67:JOI73"/>
    <mergeCell ref="JOJ67:JOJ73"/>
    <mergeCell ref="JOK67:JOK73"/>
    <mergeCell ref="JOL67:JOL73"/>
    <mergeCell ref="JOM67:JOM73"/>
    <mergeCell ref="JON67:JON73"/>
    <mergeCell ref="JOC67:JOC73"/>
    <mergeCell ref="JOD67:JOD73"/>
    <mergeCell ref="JOE67:JOE73"/>
    <mergeCell ref="JOF67:JOF73"/>
    <mergeCell ref="JOG67:JOG73"/>
    <mergeCell ref="JOH67:JOH73"/>
    <mergeCell ref="JNW67:JNW73"/>
    <mergeCell ref="JNX67:JNX73"/>
    <mergeCell ref="JNY67:JNY73"/>
    <mergeCell ref="JNZ67:JNZ73"/>
    <mergeCell ref="JOA67:JOA73"/>
    <mergeCell ref="JOB67:JOB73"/>
    <mergeCell ref="JNQ67:JNQ73"/>
    <mergeCell ref="JNR67:JNR73"/>
    <mergeCell ref="JNS67:JNS73"/>
    <mergeCell ref="JNT67:JNT73"/>
    <mergeCell ref="JNU67:JNU73"/>
    <mergeCell ref="JNV67:JNV73"/>
    <mergeCell ref="JNK67:JNK73"/>
    <mergeCell ref="JNL67:JNL73"/>
    <mergeCell ref="JNM67:JNM73"/>
    <mergeCell ref="JNN67:JNN73"/>
    <mergeCell ref="JNO67:JNO73"/>
    <mergeCell ref="JNP67:JNP73"/>
    <mergeCell ref="JPY67:JPY73"/>
    <mergeCell ref="JPZ67:JPZ73"/>
    <mergeCell ref="JQA67:JQA73"/>
    <mergeCell ref="JQB67:JQB73"/>
    <mergeCell ref="JQC67:JQC73"/>
    <mergeCell ref="JQD67:JQD73"/>
    <mergeCell ref="JPS67:JPS73"/>
    <mergeCell ref="JPT67:JPT73"/>
    <mergeCell ref="JPU67:JPU73"/>
    <mergeCell ref="JPV67:JPV73"/>
    <mergeCell ref="JPW67:JPW73"/>
    <mergeCell ref="JPX67:JPX73"/>
    <mergeCell ref="JPM67:JPM73"/>
    <mergeCell ref="JPN67:JPN73"/>
    <mergeCell ref="JPO67:JPO73"/>
    <mergeCell ref="JPP67:JPP73"/>
    <mergeCell ref="JPQ67:JPQ73"/>
    <mergeCell ref="JPR67:JPR73"/>
    <mergeCell ref="JPG67:JPG73"/>
    <mergeCell ref="JPH67:JPH73"/>
    <mergeCell ref="JPI67:JPI73"/>
    <mergeCell ref="JPJ67:JPJ73"/>
    <mergeCell ref="JPK67:JPK73"/>
    <mergeCell ref="JPL67:JPL73"/>
    <mergeCell ref="JPA67:JPA73"/>
    <mergeCell ref="JPB67:JPB73"/>
    <mergeCell ref="JPC67:JPC73"/>
    <mergeCell ref="JPD67:JPD73"/>
    <mergeCell ref="JPE67:JPE73"/>
    <mergeCell ref="JPF67:JPF73"/>
    <mergeCell ref="JOU67:JOU73"/>
    <mergeCell ref="JOV67:JOV73"/>
    <mergeCell ref="JOW67:JOW73"/>
    <mergeCell ref="JOX67:JOX73"/>
    <mergeCell ref="JOY67:JOY73"/>
    <mergeCell ref="JOZ67:JOZ73"/>
    <mergeCell ref="JRI67:JRI73"/>
    <mergeCell ref="JRJ67:JRJ73"/>
    <mergeCell ref="JRK67:JRK73"/>
    <mergeCell ref="JRL67:JRL73"/>
    <mergeCell ref="JRM67:JRM73"/>
    <mergeCell ref="JRN67:JRN73"/>
    <mergeCell ref="JRC67:JRC73"/>
    <mergeCell ref="JRD67:JRD73"/>
    <mergeCell ref="JRE67:JRE73"/>
    <mergeCell ref="JRF67:JRF73"/>
    <mergeCell ref="JRG67:JRG73"/>
    <mergeCell ref="JRH67:JRH73"/>
    <mergeCell ref="JQW67:JQW73"/>
    <mergeCell ref="JQX67:JQX73"/>
    <mergeCell ref="JQY67:JQY73"/>
    <mergeCell ref="JQZ67:JQZ73"/>
    <mergeCell ref="JRA67:JRA73"/>
    <mergeCell ref="JRB67:JRB73"/>
    <mergeCell ref="JQQ67:JQQ73"/>
    <mergeCell ref="JQR67:JQR73"/>
    <mergeCell ref="JQS67:JQS73"/>
    <mergeCell ref="JQT67:JQT73"/>
    <mergeCell ref="JQU67:JQU73"/>
    <mergeCell ref="JQV67:JQV73"/>
    <mergeCell ref="JQK67:JQK73"/>
    <mergeCell ref="JQL67:JQL73"/>
    <mergeCell ref="JQM67:JQM73"/>
    <mergeCell ref="JQN67:JQN73"/>
    <mergeCell ref="JQO67:JQO73"/>
    <mergeCell ref="JQP67:JQP73"/>
    <mergeCell ref="JQE67:JQE73"/>
    <mergeCell ref="JQF67:JQF73"/>
    <mergeCell ref="JQG67:JQG73"/>
    <mergeCell ref="JQH67:JQH73"/>
    <mergeCell ref="JQI67:JQI73"/>
    <mergeCell ref="JQJ67:JQJ73"/>
    <mergeCell ref="JSS67:JSS73"/>
    <mergeCell ref="JST67:JST73"/>
    <mergeCell ref="JSU67:JSU73"/>
    <mergeCell ref="JSV67:JSV73"/>
    <mergeCell ref="JSW67:JSW73"/>
    <mergeCell ref="JSX67:JSX73"/>
    <mergeCell ref="JSM67:JSM73"/>
    <mergeCell ref="JSN67:JSN73"/>
    <mergeCell ref="JSO67:JSO73"/>
    <mergeCell ref="JSP67:JSP73"/>
    <mergeCell ref="JSQ67:JSQ73"/>
    <mergeCell ref="JSR67:JSR73"/>
    <mergeCell ref="JSG67:JSG73"/>
    <mergeCell ref="JSH67:JSH73"/>
    <mergeCell ref="JSI67:JSI73"/>
    <mergeCell ref="JSJ67:JSJ73"/>
    <mergeCell ref="JSK67:JSK73"/>
    <mergeCell ref="JSL67:JSL73"/>
    <mergeCell ref="JSA67:JSA73"/>
    <mergeCell ref="JSB67:JSB73"/>
    <mergeCell ref="JSC67:JSC73"/>
    <mergeCell ref="JSD67:JSD73"/>
    <mergeCell ref="JSE67:JSE73"/>
    <mergeCell ref="JSF67:JSF73"/>
    <mergeCell ref="JRU67:JRU73"/>
    <mergeCell ref="JRV67:JRV73"/>
    <mergeCell ref="JRW67:JRW73"/>
    <mergeCell ref="JRX67:JRX73"/>
    <mergeCell ref="JRY67:JRY73"/>
    <mergeCell ref="JRZ67:JRZ73"/>
    <mergeCell ref="JRO67:JRO73"/>
    <mergeCell ref="JRP67:JRP73"/>
    <mergeCell ref="JRQ67:JRQ73"/>
    <mergeCell ref="JRR67:JRR73"/>
    <mergeCell ref="JRS67:JRS73"/>
    <mergeCell ref="JRT67:JRT73"/>
    <mergeCell ref="JUC67:JUC73"/>
    <mergeCell ref="JUD67:JUD73"/>
    <mergeCell ref="JUE67:JUE73"/>
    <mergeCell ref="JUF67:JUF73"/>
    <mergeCell ref="JUG67:JUG73"/>
    <mergeCell ref="JUH67:JUH73"/>
    <mergeCell ref="JTW67:JTW73"/>
    <mergeCell ref="JTX67:JTX73"/>
    <mergeCell ref="JTY67:JTY73"/>
    <mergeCell ref="JTZ67:JTZ73"/>
    <mergeCell ref="JUA67:JUA73"/>
    <mergeCell ref="JUB67:JUB73"/>
    <mergeCell ref="JTQ67:JTQ73"/>
    <mergeCell ref="JTR67:JTR73"/>
    <mergeCell ref="JTS67:JTS73"/>
    <mergeCell ref="JTT67:JTT73"/>
    <mergeCell ref="JTU67:JTU73"/>
    <mergeCell ref="JTV67:JTV73"/>
    <mergeCell ref="JTK67:JTK73"/>
    <mergeCell ref="JTL67:JTL73"/>
    <mergeCell ref="JTM67:JTM73"/>
    <mergeCell ref="JTN67:JTN73"/>
    <mergeCell ref="JTO67:JTO73"/>
    <mergeCell ref="JTP67:JTP73"/>
    <mergeCell ref="JTE67:JTE73"/>
    <mergeCell ref="JTF67:JTF73"/>
    <mergeCell ref="JTG67:JTG73"/>
    <mergeCell ref="JTH67:JTH73"/>
    <mergeCell ref="JTI67:JTI73"/>
    <mergeCell ref="JTJ67:JTJ73"/>
    <mergeCell ref="JSY67:JSY73"/>
    <mergeCell ref="JSZ67:JSZ73"/>
    <mergeCell ref="JTA67:JTA73"/>
    <mergeCell ref="JTB67:JTB73"/>
    <mergeCell ref="JTC67:JTC73"/>
    <mergeCell ref="JTD67:JTD73"/>
    <mergeCell ref="JVM67:JVM73"/>
    <mergeCell ref="JVN67:JVN73"/>
    <mergeCell ref="JVO67:JVO73"/>
    <mergeCell ref="JVP67:JVP73"/>
    <mergeCell ref="JVQ67:JVQ73"/>
    <mergeCell ref="JVR67:JVR73"/>
    <mergeCell ref="JVG67:JVG73"/>
    <mergeCell ref="JVH67:JVH73"/>
    <mergeCell ref="JVI67:JVI73"/>
    <mergeCell ref="JVJ67:JVJ73"/>
    <mergeCell ref="JVK67:JVK73"/>
    <mergeCell ref="JVL67:JVL73"/>
    <mergeCell ref="JVA67:JVA73"/>
    <mergeCell ref="JVB67:JVB73"/>
    <mergeCell ref="JVC67:JVC73"/>
    <mergeCell ref="JVD67:JVD73"/>
    <mergeCell ref="JVE67:JVE73"/>
    <mergeCell ref="JVF67:JVF73"/>
    <mergeCell ref="JUU67:JUU73"/>
    <mergeCell ref="JUV67:JUV73"/>
    <mergeCell ref="JUW67:JUW73"/>
    <mergeCell ref="JUX67:JUX73"/>
    <mergeCell ref="JUY67:JUY73"/>
    <mergeCell ref="JUZ67:JUZ73"/>
    <mergeCell ref="JUO67:JUO73"/>
    <mergeCell ref="JUP67:JUP73"/>
    <mergeCell ref="JUQ67:JUQ73"/>
    <mergeCell ref="JUR67:JUR73"/>
    <mergeCell ref="JUS67:JUS73"/>
    <mergeCell ref="JUT67:JUT73"/>
    <mergeCell ref="JUI67:JUI73"/>
    <mergeCell ref="JUJ67:JUJ73"/>
    <mergeCell ref="JUK67:JUK73"/>
    <mergeCell ref="JUL67:JUL73"/>
    <mergeCell ref="JUM67:JUM73"/>
    <mergeCell ref="JUN67:JUN73"/>
    <mergeCell ref="JWW67:JWW73"/>
    <mergeCell ref="JWX67:JWX73"/>
    <mergeCell ref="JWY67:JWY73"/>
    <mergeCell ref="JWZ67:JWZ73"/>
    <mergeCell ref="JXA67:JXA73"/>
    <mergeCell ref="JXB67:JXB73"/>
    <mergeCell ref="JWQ67:JWQ73"/>
    <mergeCell ref="JWR67:JWR73"/>
    <mergeCell ref="JWS67:JWS73"/>
    <mergeCell ref="JWT67:JWT73"/>
    <mergeCell ref="JWU67:JWU73"/>
    <mergeCell ref="JWV67:JWV73"/>
    <mergeCell ref="JWK67:JWK73"/>
    <mergeCell ref="JWL67:JWL73"/>
    <mergeCell ref="JWM67:JWM73"/>
    <mergeCell ref="JWN67:JWN73"/>
    <mergeCell ref="JWO67:JWO73"/>
    <mergeCell ref="JWP67:JWP73"/>
    <mergeCell ref="JWE67:JWE73"/>
    <mergeCell ref="JWF67:JWF73"/>
    <mergeCell ref="JWG67:JWG73"/>
    <mergeCell ref="JWH67:JWH73"/>
    <mergeCell ref="JWI67:JWI73"/>
    <mergeCell ref="JWJ67:JWJ73"/>
    <mergeCell ref="JVY67:JVY73"/>
    <mergeCell ref="JVZ67:JVZ73"/>
    <mergeCell ref="JWA67:JWA73"/>
    <mergeCell ref="JWB67:JWB73"/>
    <mergeCell ref="JWC67:JWC73"/>
    <mergeCell ref="JWD67:JWD73"/>
    <mergeCell ref="JVS67:JVS73"/>
    <mergeCell ref="JVT67:JVT73"/>
    <mergeCell ref="JVU67:JVU73"/>
    <mergeCell ref="JVV67:JVV73"/>
    <mergeCell ref="JVW67:JVW73"/>
    <mergeCell ref="JVX67:JVX73"/>
    <mergeCell ref="JYG67:JYG73"/>
    <mergeCell ref="JYH67:JYH73"/>
    <mergeCell ref="JYI67:JYI73"/>
    <mergeCell ref="JYJ67:JYJ73"/>
    <mergeCell ref="JYK67:JYK73"/>
    <mergeCell ref="JYL67:JYL73"/>
    <mergeCell ref="JYA67:JYA73"/>
    <mergeCell ref="JYB67:JYB73"/>
    <mergeCell ref="JYC67:JYC73"/>
    <mergeCell ref="JYD67:JYD73"/>
    <mergeCell ref="JYE67:JYE73"/>
    <mergeCell ref="JYF67:JYF73"/>
    <mergeCell ref="JXU67:JXU73"/>
    <mergeCell ref="JXV67:JXV73"/>
    <mergeCell ref="JXW67:JXW73"/>
    <mergeCell ref="JXX67:JXX73"/>
    <mergeCell ref="JXY67:JXY73"/>
    <mergeCell ref="JXZ67:JXZ73"/>
    <mergeCell ref="JXO67:JXO73"/>
    <mergeCell ref="JXP67:JXP73"/>
    <mergeCell ref="JXQ67:JXQ73"/>
    <mergeCell ref="JXR67:JXR73"/>
    <mergeCell ref="JXS67:JXS73"/>
    <mergeCell ref="JXT67:JXT73"/>
    <mergeCell ref="JXI67:JXI73"/>
    <mergeCell ref="JXJ67:JXJ73"/>
    <mergeCell ref="JXK67:JXK73"/>
    <mergeCell ref="JXL67:JXL73"/>
    <mergeCell ref="JXM67:JXM73"/>
    <mergeCell ref="JXN67:JXN73"/>
    <mergeCell ref="JXC67:JXC73"/>
    <mergeCell ref="JXD67:JXD73"/>
    <mergeCell ref="JXE67:JXE73"/>
    <mergeCell ref="JXF67:JXF73"/>
    <mergeCell ref="JXG67:JXG73"/>
    <mergeCell ref="JXH67:JXH73"/>
    <mergeCell ref="JZQ67:JZQ73"/>
    <mergeCell ref="JZR67:JZR73"/>
    <mergeCell ref="JZS67:JZS73"/>
    <mergeCell ref="JZT67:JZT73"/>
    <mergeCell ref="JZU67:JZU73"/>
    <mergeCell ref="JZV67:JZV73"/>
    <mergeCell ref="JZK67:JZK73"/>
    <mergeCell ref="JZL67:JZL73"/>
    <mergeCell ref="JZM67:JZM73"/>
    <mergeCell ref="JZN67:JZN73"/>
    <mergeCell ref="JZO67:JZO73"/>
    <mergeCell ref="JZP67:JZP73"/>
    <mergeCell ref="JZE67:JZE73"/>
    <mergeCell ref="JZF67:JZF73"/>
    <mergeCell ref="JZG67:JZG73"/>
    <mergeCell ref="JZH67:JZH73"/>
    <mergeCell ref="JZI67:JZI73"/>
    <mergeCell ref="JZJ67:JZJ73"/>
    <mergeCell ref="JYY67:JYY73"/>
    <mergeCell ref="JYZ67:JYZ73"/>
    <mergeCell ref="JZA67:JZA73"/>
    <mergeCell ref="JZB67:JZB73"/>
    <mergeCell ref="JZC67:JZC73"/>
    <mergeCell ref="JZD67:JZD73"/>
    <mergeCell ref="JYS67:JYS73"/>
    <mergeCell ref="JYT67:JYT73"/>
    <mergeCell ref="JYU67:JYU73"/>
    <mergeCell ref="JYV67:JYV73"/>
    <mergeCell ref="JYW67:JYW73"/>
    <mergeCell ref="JYX67:JYX73"/>
    <mergeCell ref="JYM67:JYM73"/>
    <mergeCell ref="JYN67:JYN73"/>
    <mergeCell ref="JYO67:JYO73"/>
    <mergeCell ref="JYP67:JYP73"/>
    <mergeCell ref="JYQ67:JYQ73"/>
    <mergeCell ref="JYR67:JYR73"/>
    <mergeCell ref="KBA67:KBA73"/>
    <mergeCell ref="KBB67:KBB73"/>
    <mergeCell ref="KBC67:KBC73"/>
    <mergeCell ref="KBD67:KBD73"/>
    <mergeCell ref="KBE67:KBE73"/>
    <mergeCell ref="KBF67:KBF73"/>
    <mergeCell ref="KAU67:KAU73"/>
    <mergeCell ref="KAV67:KAV73"/>
    <mergeCell ref="KAW67:KAW73"/>
    <mergeCell ref="KAX67:KAX73"/>
    <mergeCell ref="KAY67:KAY73"/>
    <mergeCell ref="KAZ67:KAZ73"/>
    <mergeCell ref="KAO67:KAO73"/>
    <mergeCell ref="KAP67:KAP73"/>
    <mergeCell ref="KAQ67:KAQ73"/>
    <mergeCell ref="KAR67:KAR73"/>
    <mergeCell ref="KAS67:KAS73"/>
    <mergeCell ref="KAT67:KAT73"/>
    <mergeCell ref="KAI67:KAI73"/>
    <mergeCell ref="KAJ67:KAJ73"/>
    <mergeCell ref="KAK67:KAK73"/>
    <mergeCell ref="KAL67:KAL73"/>
    <mergeCell ref="KAM67:KAM73"/>
    <mergeCell ref="KAN67:KAN73"/>
    <mergeCell ref="KAC67:KAC73"/>
    <mergeCell ref="KAD67:KAD73"/>
    <mergeCell ref="KAE67:KAE73"/>
    <mergeCell ref="KAF67:KAF73"/>
    <mergeCell ref="KAG67:KAG73"/>
    <mergeCell ref="KAH67:KAH73"/>
    <mergeCell ref="JZW67:JZW73"/>
    <mergeCell ref="JZX67:JZX73"/>
    <mergeCell ref="JZY67:JZY73"/>
    <mergeCell ref="JZZ67:JZZ73"/>
    <mergeCell ref="KAA67:KAA73"/>
    <mergeCell ref="KAB67:KAB73"/>
    <mergeCell ref="KCK67:KCK73"/>
    <mergeCell ref="KCL67:KCL73"/>
    <mergeCell ref="KCM67:KCM73"/>
    <mergeCell ref="KCN67:KCN73"/>
    <mergeCell ref="KCO67:KCO73"/>
    <mergeCell ref="KCP67:KCP73"/>
    <mergeCell ref="KCE67:KCE73"/>
    <mergeCell ref="KCF67:KCF73"/>
    <mergeCell ref="KCG67:KCG73"/>
    <mergeCell ref="KCH67:KCH73"/>
    <mergeCell ref="KCI67:KCI73"/>
    <mergeCell ref="KCJ67:KCJ73"/>
    <mergeCell ref="KBY67:KBY73"/>
    <mergeCell ref="KBZ67:KBZ73"/>
    <mergeCell ref="KCA67:KCA73"/>
    <mergeCell ref="KCB67:KCB73"/>
    <mergeCell ref="KCC67:KCC73"/>
    <mergeCell ref="KCD67:KCD73"/>
    <mergeCell ref="KBS67:KBS73"/>
    <mergeCell ref="KBT67:KBT73"/>
    <mergeCell ref="KBU67:KBU73"/>
    <mergeCell ref="KBV67:KBV73"/>
    <mergeCell ref="KBW67:KBW73"/>
    <mergeCell ref="KBX67:KBX73"/>
    <mergeCell ref="KBM67:KBM73"/>
    <mergeCell ref="KBN67:KBN73"/>
    <mergeCell ref="KBO67:KBO73"/>
    <mergeCell ref="KBP67:KBP73"/>
    <mergeCell ref="KBQ67:KBQ73"/>
    <mergeCell ref="KBR67:KBR73"/>
    <mergeCell ref="KBG67:KBG73"/>
    <mergeCell ref="KBH67:KBH73"/>
    <mergeCell ref="KBI67:KBI73"/>
    <mergeCell ref="KBJ67:KBJ73"/>
    <mergeCell ref="KBK67:KBK73"/>
    <mergeCell ref="KBL67:KBL73"/>
    <mergeCell ref="KDU67:KDU73"/>
    <mergeCell ref="KDV67:KDV73"/>
    <mergeCell ref="KDW67:KDW73"/>
    <mergeCell ref="KDX67:KDX73"/>
    <mergeCell ref="KDY67:KDY73"/>
    <mergeCell ref="KDZ67:KDZ73"/>
    <mergeCell ref="KDO67:KDO73"/>
    <mergeCell ref="KDP67:KDP73"/>
    <mergeCell ref="KDQ67:KDQ73"/>
    <mergeCell ref="KDR67:KDR73"/>
    <mergeCell ref="KDS67:KDS73"/>
    <mergeCell ref="KDT67:KDT73"/>
    <mergeCell ref="KDI67:KDI73"/>
    <mergeCell ref="KDJ67:KDJ73"/>
    <mergeCell ref="KDK67:KDK73"/>
    <mergeCell ref="KDL67:KDL73"/>
    <mergeCell ref="KDM67:KDM73"/>
    <mergeCell ref="KDN67:KDN73"/>
    <mergeCell ref="KDC67:KDC73"/>
    <mergeCell ref="KDD67:KDD73"/>
    <mergeCell ref="KDE67:KDE73"/>
    <mergeCell ref="KDF67:KDF73"/>
    <mergeCell ref="KDG67:KDG73"/>
    <mergeCell ref="KDH67:KDH73"/>
    <mergeCell ref="KCW67:KCW73"/>
    <mergeCell ref="KCX67:KCX73"/>
    <mergeCell ref="KCY67:KCY73"/>
    <mergeCell ref="KCZ67:KCZ73"/>
    <mergeCell ref="KDA67:KDA73"/>
    <mergeCell ref="KDB67:KDB73"/>
    <mergeCell ref="KCQ67:KCQ73"/>
    <mergeCell ref="KCR67:KCR73"/>
    <mergeCell ref="KCS67:KCS73"/>
    <mergeCell ref="KCT67:KCT73"/>
    <mergeCell ref="KCU67:KCU73"/>
    <mergeCell ref="KCV67:KCV73"/>
    <mergeCell ref="KFE67:KFE73"/>
    <mergeCell ref="KFF67:KFF73"/>
    <mergeCell ref="KFG67:KFG73"/>
    <mergeCell ref="KFH67:KFH73"/>
    <mergeCell ref="KFI67:KFI73"/>
    <mergeCell ref="KFJ67:KFJ73"/>
    <mergeCell ref="KEY67:KEY73"/>
    <mergeCell ref="KEZ67:KEZ73"/>
    <mergeCell ref="KFA67:KFA73"/>
    <mergeCell ref="KFB67:KFB73"/>
    <mergeCell ref="KFC67:KFC73"/>
    <mergeCell ref="KFD67:KFD73"/>
    <mergeCell ref="KES67:KES73"/>
    <mergeCell ref="KET67:KET73"/>
    <mergeCell ref="KEU67:KEU73"/>
    <mergeCell ref="KEV67:KEV73"/>
    <mergeCell ref="KEW67:KEW73"/>
    <mergeCell ref="KEX67:KEX73"/>
    <mergeCell ref="KEM67:KEM73"/>
    <mergeCell ref="KEN67:KEN73"/>
    <mergeCell ref="KEO67:KEO73"/>
    <mergeCell ref="KEP67:KEP73"/>
    <mergeCell ref="KEQ67:KEQ73"/>
    <mergeCell ref="KER67:KER73"/>
    <mergeCell ref="KEG67:KEG73"/>
    <mergeCell ref="KEH67:KEH73"/>
    <mergeCell ref="KEI67:KEI73"/>
    <mergeCell ref="KEJ67:KEJ73"/>
    <mergeCell ref="KEK67:KEK73"/>
    <mergeCell ref="KEL67:KEL73"/>
    <mergeCell ref="KEA67:KEA73"/>
    <mergeCell ref="KEB67:KEB73"/>
    <mergeCell ref="KEC67:KEC73"/>
    <mergeCell ref="KED67:KED73"/>
    <mergeCell ref="KEE67:KEE73"/>
    <mergeCell ref="KEF67:KEF73"/>
    <mergeCell ref="KGO67:KGO73"/>
    <mergeCell ref="KGP67:KGP73"/>
    <mergeCell ref="KGQ67:KGQ73"/>
    <mergeCell ref="KGR67:KGR73"/>
    <mergeCell ref="KGS67:KGS73"/>
    <mergeCell ref="KGT67:KGT73"/>
    <mergeCell ref="KGI67:KGI73"/>
    <mergeCell ref="KGJ67:KGJ73"/>
    <mergeCell ref="KGK67:KGK73"/>
    <mergeCell ref="KGL67:KGL73"/>
    <mergeCell ref="KGM67:KGM73"/>
    <mergeCell ref="KGN67:KGN73"/>
    <mergeCell ref="KGC67:KGC73"/>
    <mergeCell ref="KGD67:KGD73"/>
    <mergeCell ref="KGE67:KGE73"/>
    <mergeCell ref="KGF67:KGF73"/>
    <mergeCell ref="KGG67:KGG73"/>
    <mergeCell ref="KGH67:KGH73"/>
    <mergeCell ref="KFW67:KFW73"/>
    <mergeCell ref="KFX67:KFX73"/>
    <mergeCell ref="KFY67:KFY73"/>
    <mergeCell ref="KFZ67:KFZ73"/>
    <mergeCell ref="KGA67:KGA73"/>
    <mergeCell ref="KGB67:KGB73"/>
    <mergeCell ref="KFQ67:KFQ73"/>
    <mergeCell ref="KFR67:KFR73"/>
    <mergeCell ref="KFS67:KFS73"/>
    <mergeCell ref="KFT67:KFT73"/>
    <mergeCell ref="KFU67:KFU73"/>
    <mergeCell ref="KFV67:KFV73"/>
    <mergeCell ref="KFK67:KFK73"/>
    <mergeCell ref="KFL67:KFL73"/>
    <mergeCell ref="KFM67:KFM73"/>
    <mergeCell ref="KFN67:KFN73"/>
    <mergeCell ref="KFO67:KFO73"/>
    <mergeCell ref="KFP67:KFP73"/>
    <mergeCell ref="KHY67:KHY73"/>
    <mergeCell ref="KHZ67:KHZ73"/>
    <mergeCell ref="KIA67:KIA73"/>
    <mergeCell ref="KIB67:KIB73"/>
    <mergeCell ref="KIC67:KIC73"/>
    <mergeCell ref="KID67:KID73"/>
    <mergeCell ref="KHS67:KHS73"/>
    <mergeCell ref="KHT67:KHT73"/>
    <mergeCell ref="KHU67:KHU73"/>
    <mergeCell ref="KHV67:KHV73"/>
    <mergeCell ref="KHW67:KHW73"/>
    <mergeCell ref="KHX67:KHX73"/>
    <mergeCell ref="KHM67:KHM73"/>
    <mergeCell ref="KHN67:KHN73"/>
    <mergeCell ref="KHO67:KHO73"/>
    <mergeCell ref="KHP67:KHP73"/>
    <mergeCell ref="KHQ67:KHQ73"/>
    <mergeCell ref="KHR67:KHR73"/>
    <mergeCell ref="KHG67:KHG73"/>
    <mergeCell ref="KHH67:KHH73"/>
    <mergeCell ref="KHI67:KHI73"/>
    <mergeCell ref="KHJ67:KHJ73"/>
    <mergeCell ref="KHK67:KHK73"/>
    <mergeCell ref="KHL67:KHL73"/>
    <mergeCell ref="KHA67:KHA73"/>
    <mergeCell ref="KHB67:KHB73"/>
    <mergeCell ref="KHC67:KHC73"/>
    <mergeCell ref="KHD67:KHD73"/>
    <mergeCell ref="KHE67:KHE73"/>
    <mergeCell ref="KHF67:KHF73"/>
    <mergeCell ref="KGU67:KGU73"/>
    <mergeCell ref="KGV67:KGV73"/>
    <mergeCell ref="KGW67:KGW73"/>
    <mergeCell ref="KGX67:KGX73"/>
    <mergeCell ref="KGY67:KGY73"/>
    <mergeCell ref="KGZ67:KGZ73"/>
    <mergeCell ref="KJI67:KJI73"/>
    <mergeCell ref="KJJ67:KJJ73"/>
    <mergeCell ref="KJK67:KJK73"/>
    <mergeCell ref="KJL67:KJL73"/>
    <mergeCell ref="KJM67:KJM73"/>
    <mergeCell ref="KJN67:KJN73"/>
    <mergeCell ref="KJC67:KJC73"/>
    <mergeCell ref="KJD67:KJD73"/>
    <mergeCell ref="KJE67:KJE73"/>
    <mergeCell ref="KJF67:KJF73"/>
    <mergeCell ref="KJG67:KJG73"/>
    <mergeCell ref="KJH67:KJH73"/>
    <mergeCell ref="KIW67:KIW73"/>
    <mergeCell ref="KIX67:KIX73"/>
    <mergeCell ref="KIY67:KIY73"/>
    <mergeCell ref="KIZ67:KIZ73"/>
    <mergeCell ref="KJA67:KJA73"/>
    <mergeCell ref="KJB67:KJB73"/>
    <mergeCell ref="KIQ67:KIQ73"/>
    <mergeCell ref="KIR67:KIR73"/>
    <mergeCell ref="KIS67:KIS73"/>
    <mergeCell ref="KIT67:KIT73"/>
    <mergeCell ref="KIU67:KIU73"/>
    <mergeCell ref="KIV67:KIV73"/>
    <mergeCell ref="KIK67:KIK73"/>
    <mergeCell ref="KIL67:KIL73"/>
    <mergeCell ref="KIM67:KIM73"/>
    <mergeCell ref="KIN67:KIN73"/>
    <mergeCell ref="KIO67:KIO73"/>
    <mergeCell ref="KIP67:KIP73"/>
    <mergeCell ref="KIE67:KIE73"/>
    <mergeCell ref="KIF67:KIF73"/>
    <mergeCell ref="KIG67:KIG73"/>
    <mergeCell ref="KIH67:KIH73"/>
    <mergeCell ref="KII67:KII73"/>
    <mergeCell ref="KIJ67:KIJ73"/>
    <mergeCell ref="KKS67:KKS73"/>
    <mergeCell ref="KKT67:KKT73"/>
    <mergeCell ref="KKU67:KKU73"/>
    <mergeCell ref="KKV67:KKV73"/>
    <mergeCell ref="KKW67:KKW73"/>
    <mergeCell ref="KKX67:KKX73"/>
    <mergeCell ref="KKM67:KKM73"/>
    <mergeCell ref="KKN67:KKN73"/>
    <mergeCell ref="KKO67:KKO73"/>
    <mergeCell ref="KKP67:KKP73"/>
    <mergeCell ref="KKQ67:KKQ73"/>
    <mergeCell ref="KKR67:KKR73"/>
    <mergeCell ref="KKG67:KKG73"/>
    <mergeCell ref="KKH67:KKH73"/>
    <mergeCell ref="KKI67:KKI73"/>
    <mergeCell ref="KKJ67:KKJ73"/>
    <mergeCell ref="KKK67:KKK73"/>
    <mergeCell ref="KKL67:KKL73"/>
    <mergeCell ref="KKA67:KKA73"/>
    <mergeCell ref="KKB67:KKB73"/>
    <mergeCell ref="KKC67:KKC73"/>
    <mergeCell ref="KKD67:KKD73"/>
    <mergeCell ref="KKE67:KKE73"/>
    <mergeCell ref="KKF67:KKF73"/>
    <mergeCell ref="KJU67:KJU73"/>
    <mergeCell ref="KJV67:KJV73"/>
    <mergeCell ref="KJW67:KJW73"/>
    <mergeCell ref="KJX67:KJX73"/>
    <mergeCell ref="KJY67:KJY73"/>
    <mergeCell ref="KJZ67:KJZ73"/>
    <mergeCell ref="KJO67:KJO73"/>
    <mergeCell ref="KJP67:KJP73"/>
    <mergeCell ref="KJQ67:KJQ73"/>
    <mergeCell ref="KJR67:KJR73"/>
    <mergeCell ref="KJS67:KJS73"/>
    <mergeCell ref="KJT67:KJT73"/>
    <mergeCell ref="KMC67:KMC73"/>
    <mergeCell ref="KMD67:KMD73"/>
    <mergeCell ref="KME67:KME73"/>
    <mergeCell ref="KMF67:KMF73"/>
    <mergeCell ref="KMG67:KMG73"/>
    <mergeCell ref="KMH67:KMH73"/>
    <mergeCell ref="KLW67:KLW73"/>
    <mergeCell ref="KLX67:KLX73"/>
    <mergeCell ref="KLY67:KLY73"/>
    <mergeCell ref="KLZ67:KLZ73"/>
    <mergeCell ref="KMA67:KMA73"/>
    <mergeCell ref="KMB67:KMB73"/>
    <mergeCell ref="KLQ67:KLQ73"/>
    <mergeCell ref="KLR67:KLR73"/>
    <mergeCell ref="KLS67:KLS73"/>
    <mergeCell ref="KLT67:KLT73"/>
    <mergeCell ref="KLU67:KLU73"/>
    <mergeCell ref="KLV67:KLV73"/>
    <mergeCell ref="KLK67:KLK73"/>
    <mergeCell ref="KLL67:KLL73"/>
    <mergeCell ref="KLM67:KLM73"/>
    <mergeCell ref="KLN67:KLN73"/>
    <mergeCell ref="KLO67:KLO73"/>
    <mergeCell ref="KLP67:KLP73"/>
    <mergeCell ref="KLE67:KLE73"/>
    <mergeCell ref="KLF67:KLF73"/>
    <mergeCell ref="KLG67:KLG73"/>
    <mergeCell ref="KLH67:KLH73"/>
    <mergeCell ref="KLI67:KLI73"/>
    <mergeCell ref="KLJ67:KLJ73"/>
    <mergeCell ref="KKY67:KKY73"/>
    <mergeCell ref="KKZ67:KKZ73"/>
    <mergeCell ref="KLA67:KLA73"/>
    <mergeCell ref="KLB67:KLB73"/>
    <mergeCell ref="KLC67:KLC73"/>
    <mergeCell ref="KLD67:KLD73"/>
    <mergeCell ref="KNM67:KNM73"/>
    <mergeCell ref="KNN67:KNN73"/>
    <mergeCell ref="KNO67:KNO73"/>
    <mergeCell ref="KNP67:KNP73"/>
    <mergeCell ref="KNQ67:KNQ73"/>
    <mergeCell ref="KNR67:KNR73"/>
    <mergeCell ref="KNG67:KNG73"/>
    <mergeCell ref="KNH67:KNH73"/>
    <mergeCell ref="KNI67:KNI73"/>
    <mergeCell ref="KNJ67:KNJ73"/>
    <mergeCell ref="KNK67:KNK73"/>
    <mergeCell ref="KNL67:KNL73"/>
    <mergeCell ref="KNA67:KNA73"/>
    <mergeCell ref="KNB67:KNB73"/>
    <mergeCell ref="KNC67:KNC73"/>
    <mergeCell ref="KND67:KND73"/>
    <mergeCell ref="KNE67:KNE73"/>
    <mergeCell ref="KNF67:KNF73"/>
    <mergeCell ref="KMU67:KMU73"/>
    <mergeCell ref="KMV67:KMV73"/>
    <mergeCell ref="KMW67:KMW73"/>
    <mergeCell ref="KMX67:KMX73"/>
    <mergeCell ref="KMY67:KMY73"/>
    <mergeCell ref="KMZ67:KMZ73"/>
    <mergeCell ref="KMO67:KMO73"/>
    <mergeCell ref="KMP67:KMP73"/>
    <mergeCell ref="KMQ67:KMQ73"/>
    <mergeCell ref="KMR67:KMR73"/>
    <mergeCell ref="KMS67:KMS73"/>
    <mergeCell ref="KMT67:KMT73"/>
    <mergeCell ref="KMI67:KMI73"/>
    <mergeCell ref="KMJ67:KMJ73"/>
    <mergeCell ref="KMK67:KMK73"/>
    <mergeCell ref="KML67:KML73"/>
    <mergeCell ref="KMM67:KMM73"/>
    <mergeCell ref="KMN67:KMN73"/>
    <mergeCell ref="KOW67:KOW73"/>
    <mergeCell ref="KOX67:KOX73"/>
    <mergeCell ref="KOY67:KOY73"/>
    <mergeCell ref="KOZ67:KOZ73"/>
    <mergeCell ref="KPA67:KPA73"/>
    <mergeCell ref="KPB67:KPB73"/>
    <mergeCell ref="KOQ67:KOQ73"/>
    <mergeCell ref="KOR67:KOR73"/>
    <mergeCell ref="KOS67:KOS73"/>
    <mergeCell ref="KOT67:KOT73"/>
    <mergeCell ref="KOU67:KOU73"/>
    <mergeCell ref="KOV67:KOV73"/>
    <mergeCell ref="KOK67:KOK73"/>
    <mergeCell ref="KOL67:KOL73"/>
    <mergeCell ref="KOM67:KOM73"/>
    <mergeCell ref="KON67:KON73"/>
    <mergeCell ref="KOO67:KOO73"/>
    <mergeCell ref="KOP67:KOP73"/>
    <mergeCell ref="KOE67:KOE73"/>
    <mergeCell ref="KOF67:KOF73"/>
    <mergeCell ref="KOG67:KOG73"/>
    <mergeCell ref="KOH67:KOH73"/>
    <mergeCell ref="KOI67:KOI73"/>
    <mergeCell ref="KOJ67:KOJ73"/>
    <mergeCell ref="KNY67:KNY73"/>
    <mergeCell ref="KNZ67:KNZ73"/>
    <mergeCell ref="KOA67:KOA73"/>
    <mergeCell ref="KOB67:KOB73"/>
    <mergeCell ref="KOC67:KOC73"/>
    <mergeCell ref="KOD67:KOD73"/>
    <mergeCell ref="KNS67:KNS73"/>
    <mergeCell ref="KNT67:KNT73"/>
    <mergeCell ref="KNU67:KNU73"/>
    <mergeCell ref="KNV67:KNV73"/>
    <mergeCell ref="KNW67:KNW73"/>
    <mergeCell ref="KNX67:KNX73"/>
    <mergeCell ref="KQG67:KQG73"/>
    <mergeCell ref="KQH67:KQH73"/>
    <mergeCell ref="KQI67:KQI73"/>
    <mergeCell ref="KQJ67:KQJ73"/>
    <mergeCell ref="KQK67:KQK73"/>
    <mergeCell ref="KQL67:KQL73"/>
    <mergeCell ref="KQA67:KQA73"/>
    <mergeCell ref="KQB67:KQB73"/>
    <mergeCell ref="KQC67:KQC73"/>
    <mergeCell ref="KQD67:KQD73"/>
    <mergeCell ref="KQE67:KQE73"/>
    <mergeCell ref="KQF67:KQF73"/>
    <mergeCell ref="KPU67:KPU73"/>
    <mergeCell ref="KPV67:KPV73"/>
    <mergeCell ref="KPW67:KPW73"/>
    <mergeCell ref="KPX67:KPX73"/>
    <mergeCell ref="KPY67:KPY73"/>
    <mergeCell ref="KPZ67:KPZ73"/>
    <mergeCell ref="KPO67:KPO73"/>
    <mergeCell ref="KPP67:KPP73"/>
    <mergeCell ref="KPQ67:KPQ73"/>
    <mergeCell ref="KPR67:KPR73"/>
    <mergeCell ref="KPS67:KPS73"/>
    <mergeCell ref="KPT67:KPT73"/>
    <mergeCell ref="KPI67:KPI73"/>
    <mergeCell ref="KPJ67:KPJ73"/>
    <mergeCell ref="KPK67:KPK73"/>
    <mergeCell ref="KPL67:KPL73"/>
    <mergeCell ref="KPM67:KPM73"/>
    <mergeCell ref="KPN67:KPN73"/>
    <mergeCell ref="KPC67:KPC73"/>
    <mergeCell ref="KPD67:KPD73"/>
    <mergeCell ref="KPE67:KPE73"/>
    <mergeCell ref="KPF67:KPF73"/>
    <mergeCell ref="KPG67:KPG73"/>
    <mergeCell ref="KPH67:KPH73"/>
    <mergeCell ref="KRQ67:KRQ73"/>
    <mergeCell ref="KRR67:KRR73"/>
    <mergeCell ref="KRS67:KRS73"/>
    <mergeCell ref="KRT67:KRT73"/>
    <mergeCell ref="KRU67:KRU73"/>
    <mergeCell ref="KRV67:KRV73"/>
    <mergeCell ref="KRK67:KRK73"/>
    <mergeCell ref="KRL67:KRL73"/>
    <mergeCell ref="KRM67:KRM73"/>
    <mergeCell ref="KRN67:KRN73"/>
    <mergeCell ref="KRO67:KRO73"/>
    <mergeCell ref="KRP67:KRP73"/>
    <mergeCell ref="KRE67:KRE73"/>
    <mergeCell ref="KRF67:KRF73"/>
    <mergeCell ref="KRG67:KRG73"/>
    <mergeCell ref="KRH67:KRH73"/>
    <mergeCell ref="KRI67:KRI73"/>
    <mergeCell ref="KRJ67:KRJ73"/>
    <mergeCell ref="KQY67:KQY73"/>
    <mergeCell ref="KQZ67:KQZ73"/>
    <mergeCell ref="KRA67:KRA73"/>
    <mergeCell ref="KRB67:KRB73"/>
    <mergeCell ref="KRC67:KRC73"/>
    <mergeCell ref="KRD67:KRD73"/>
    <mergeCell ref="KQS67:KQS73"/>
    <mergeCell ref="KQT67:KQT73"/>
    <mergeCell ref="KQU67:KQU73"/>
    <mergeCell ref="KQV67:KQV73"/>
    <mergeCell ref="KQW67:KQW73"/>
    <mergeCell ref="KQX67:KQX73"/>
    <mergeCell ref="KQM67:KQM73"/>
    <mergeCell ref="KQN67:KQN73"/>
    <mergeCell ref="KQO67:KQO73"/>
    <mergeCell ref="KQP67:KQP73"/>
    <mergeCell ref="KQQ67:KQQ73"/>
    <mergeCell ref="KQR67:KQR73"/>
    <mergeCell ref="KTA67:KTA73"/>
    <mergeCell ref="KTB67:KTB73"/>
    <mergeCell ref="KTC67:KTC73"/>
    <mergeCell ref="KTD67:KTD73"/>
    <mergeCell ref="KTE67:KTE73"/>
    <mergeCell ref="KTF67:KTF73"/>
    <mergeCell ref="KSU67:KSU73"/>
    <mergeCell ref="KSV67:KSV73"/>
    <mergeCell ref="KSW67:KSW73"/>
    <mergeCell ref="KSX67:KSX73"/>
    <mergeCell ref="KSY67:KSY73"/>
    <mergeCell ref="KSZ67:KSZ73"/>
    <mergeCell ref="KSO67:KSO73"/>
    <mergeCell ref="KSP67:KSP73"/>
    <mergeCell ref="KSQ67:KSQ73"/>
    <mergeCell ref="KSR67:KSR73"/>
    <mergeCell ref="KSS67:KSS73"/>
    <mergeCell ref="KST67:KST73"/>
    <mergeCell ref="KSI67:KSI73"/>
    <mergeCell ref="KSJ67:KSJ73"/>
    <mergeCell ref="KSK67:KSK73"/>
    <mergeCell ref="KSL67:KSL73"/>
    <mergeCell ref="KSM67:KSM73"/>
    <mergeCell ref="KSN67:KSN73"/>
    <mergeCell ref="KSC67:KSC73"/>
    <mergeCell ref="KSD67:KSD73"/>
    <mergeCell ref="KSE67:KSE73"/>
    <mergeCell ref="KSF67:KSF73"/>
    <mergeCell ref="KSG67:KSG73"/>
    <mergeCell ref="KSH67:KSH73"/>
    <mergeCell ref="KRW67:KRW73"/>
    <mergeCell ref="KRX67:KRX73"/>
    <mergeCell ref="KRY67:KRY73"/>
    <mergeCell ref="KRZ67:KRZ73"/>
    <mergeCell ref="KSA67:KSA73"/>
    <mergeCell ref="KSB67:KSB73"/>
    <mergeCell ref="KUK67:KUK73"/>
    <mergeCell ref="KUL67:KUL73"/>
    <mergeCell ref="KUM67:KUM73"/>
    <mergeCell ref="KUN67:KUN73"/>
    <mergeCell ref="KUO67:KUO73"/>
    <mergeCell ref="KUP67:KUP73"/>
    <mergeCell ref="KUE67:KUE73"/>
    <mergeCell ref="KUF67:KUF73"/>
    <mergeCell ref="KUG67:KUG73"/>
    <mergeCell ref="KUH67:KUH73"/>
    <mergeCell ref="KUI67:KUI73"/>
    <mergeCell ref="KUJ67:KUJ73"/>
    <mergeCell ref="KTY67:KTY73"/>
    <mergeCell ref="KTZ67:KTZ73"/>
    <mergeCell ref="KUA67:KUA73"/>
    <mergeCell ref="KUB67:KUB73"/>
    <mergeCell ref="KUC67:KUC73"/>
    <mergeCell ref="KUD67:KUD73"/>
    <mergeCell ref="KTS67:KTS73"/>
    <mergeCell ref="KTT67:KTT73"/>
    <mergeCell ref="KTU67:KTU73"/>
    <mergeCell ref="KTV67:KTV73"/>
    <mergeCell ref="KTW67:KTW73"/>
    <mergeCell ref="KTX67:KTX73"/>
    <mergeCell ref="KTM67:KTM73"/>
    <mergeCell ref="KTN67:KTN73"/>
    <mergeCell ref="KTO67:KTO73"/>
    <mergeCell ref="KTP67:KTP73"/>
    <mergeCell ref="KTQ67:KTQ73"/>
    <mergeCell ref="KTR67:KTR73"/>
    <mergeCell ref="KTG67:KTG73"/>
    <mergeCell ref="KTH67:KTH73"/>
    <mergeCell ref="KTI67:KTI73"/>
    <mergeCell ref="KTJ67:KTJ73"/>
    <mergeCell ref="KTK67:KTK73"/>
    <mergeCell ref="KTL67:KTL73"/>
    <mergeCell ref="KVU67:KVU73"/>
    <mergeCell ref="KVV67:KVV73"/>
    <mergeCell ref="KVW67:KVW73"/>
    <mergeCell ref="KVX67:KVX73"/>
    <mergeCell ref="KVY67:KVY73"/>
    <mergeCell ref="KVZ67:KVZ73"/>
    <mergeCell ref="KVO67:KVO73"/>
    <mergeCell ref="KVP67:KVP73"/>
    <mergeCell ref="KVQ67:KVQ73"/>
    <mergeCell ref="KVR67:KVR73"/>
    <mergeCell ref="KVS67:KVS73"/>
    <mergeCell ref="KVT67:KVT73"/>
    <mergeCell ref="KVI67:KVI73"/>
    <mergeCell ref="KVJ67:KVJ73"/>
    <mergeCell ref="KVK67:KVK73"/>
    <mergeCell ref="KVL67:KVL73"/>
    <mergeCell ref="KVM67:KVM73"/>
    <mergeCell ref="KVN67:KVN73"/>
    <mergeCell ref="KVC67:KVC73"/>
    <mergeCell ref="KVD67:KVD73"/>
    <mergeCell ref="KVE67:KVE73"/>
    <mergeCell ref="KVF67:KVF73"/>
    <mergeCell ref="KVG67:KVG73"/>
    <mergeCell ref="KVH67:KVH73"/>
    <mergeCell ref="KUW67:KUW73"/>
    <mergeCell ref="KUX67:KUX73"/>
    <mergeCell ref="KUY67:KUY73"/>
    <mergeCell ref="KUZ67:KUZ73"/>
    <mergeCell ref="KVA67:KVA73"/>
    <mergeCell ref="KVB67:KVB73"/>
    <mergeCell ref="KUQ67:KUQ73"/>
    <mergeCell ref="KUR67:KUR73"/>
    <mergeCell ref="KUS67:KUS73"/>
    <mergeCell ref="KUT67:KUT73"/>
    <mergeCell ref="KUU67:KUU73"/>
    <mergeCell ref="KUV67:KUV73"/>
    <mergeCell ref="KXE67:KXE73"/>
    <mergeCell ref="KXF67:KXF73"/>
    <mergeCell ref="KXG67:KXG73"/>
    <mergeCell ref="KXH67:KXH73"/>
    <mergeCell ref="KXI67:KXI73"/>
    <mergeCell ref="KXJ67:KXJ73"/>
    <mergeCell ref="KWY67:KWY73"/>
    <mergeCell ref="KWZ67:KWZ73"/>
    <mergeCell ref="KXA67:KXA73"/>
    <mergeCell ref="KXB67:KXB73"/>
    <mergeCell ref="KXC67:KXC73"/>
    <mergeCell ref="KXD67:KXD73"/>
    <mergeCell ref="KWS67:KWS73"/>
    <mergeCell ref="KWT67:KWT73"/>
    <mergeCell ref="KWU67:KWU73"/>
    <mergeCell ref="KWV67:KWV73"/>
    <mergeCell ref="KWW67:KWW73"/>
    <mergeCell ref="KWX67:KWX73"/>
    <mergeCell ref="KWM67:KWM73"/>
    <mergeCell ref="KWN67:KWN73"/>
    <mergeCell ref="KWO67:KWO73"/>
    <mergeCell ref="KWP67:KWP73"/>
    <mergeCell ref="KWQ67:KWQ73"/>
    <mergeCell ref="KWR67:KWR73"/>
    <mergeCell ref="KWG67:KWG73"/>
    <mergeCell ref="KWH67:KWH73"/>
    <mergeCell ref="KWI67:KWI73"/>
    <mergeCell ref="KWJ67:KWJ73"/>
    <mergeCell ref="KWK67:KWK73"/>
    <mergeCell ref="KWL67:KWL73"/>
    <mergeCell ref="KWA67:KWA73"/>
    <mergeCell ref="KWB67:KWB73"/>
    <mergeCell ref="KWC67:KWC73"/>
    <mergeCell ref="KWD67:KWD73"/>
    <mergeCell ref="KWE67:KWE73"/>
    <mergeCell ref="KWF67:KWF73"/>
    <mergeCell ref="KYO67:KYO73"/>
    <mergeCell ref="KYP67:KYP73"/>
    <mergeCell ref="KYQ67:KYQ73"/>
    <mergeCell ref="KYR67:KYR73"/>
    <mergeCell ref="KYS67:KYS73"/>
    <mergeCell ref="KYT67:KYT73"/>
    <mergeCell ref="KYI67:KYI73"/>
    <mergeCell ref="KYJ67:KYJ73"/>
    <mergeCell ref="KYK67:KYK73"/>
    <mergeCell ref="KYL67:KYL73"/>
    <mergeCell ref="KYM67:KYM73"/>
    <mergeCell ref="KYN67:KYN73"/>
    <mergeCell ref="KYC67:KYC73"/>
    <mergeCell ref="KYD67:KYD73"/>
    <mergeCell ref="KYE67:KYE73"/>
    <mergeCell ref="KYF67:KYF73"/>
    <mergeCell ref="KYG67:KYG73"/>
    <mergeCell ref="KYH67:KYH73"/>
    <mergeCell ref="KXW67:KXW73"/>
    <mergeCell ref="KXX67:KXX73"/>
    <mergeCell ref="KXY67:KXY73"/>
    <mergeCell ref="KXZ67:KXZ73"/>
    <mergeCell ref="KYA67:KYA73"/>
    <mergeCell ref="KYB67:KYB73"/>
    <mergeCell ref="KXQ67:KXQ73"/>
    <mergeCell ref="KXR67:KXR73"/>
    <mergeCell ref="KXS67:KXS73"/>
    <mergeCell ref="KXT67:KXT73"/>
    <mergeCell ref="KXU67:KXU73"/>
    <mergeCell ref="KXV67:KXV73"/>
    <mergeCell ref="KXK67:KXK73"/>
    <mergeCell ref="KXL67:KXL73"/>
    <mergeCell ref="KXM67:KXM73"/>
    <mergeCell ref="KXN67:KXN73"/>
    <mergeCell ref="KXO67:KXO73"/>
    <mergeCell ref="KXP67:KXP73"/>
    <mergeCell ref="KZY67:KZY73"/>
    <mergeCell ref="KZZ67:KZZ73"/>
    <mergeCell ref="LAA67:LAA73"/>
    <mergeCell ref="LAB67:LAB73"/>
    <mergeCell ref="LAC67:LAC73"/>
    <mergeCell ref="LAD67:LAD73"/>
    <mergeCell ref="KZS67:KZS73"/>
    <mergeCell ref="KZT67:KZT73"/>
    <mergeCell ref="KZU67:KZU73"/>
    <mergeCell ref="KZV67:KZV73"/>
    <mergeCell ref="KZW67:KZW73"/>
    <mergeCell ref="KZX67:KZX73"/>
    <mergeCell ref="KZM67:KZM73"/>
    <mergeCell ref="KZN67:KZN73"/>
    <mergeCell ref="KZO67:KZO73"/>
    <mergeCell ref="KZP67:KZP73"/>
    <mergeCell ref="KZQ67:KZQ73"/>
    <mergeCell ref="KZR67:KZR73"/>
    <mergeCell ref="KZG67:KZG73"/>
    <mergeCell ref="KZH67:KZH73"/>
    <mergeCell ref="KZI67:KZI73"/>
    <mergeCell ref="KZJ67:KZJ73"/>
    <mergeCell ref="KZK67:KZK73"/>
    <mergeCell ref="KZL67:KZL73"/>
    <mergeCell ref="KZA67:KZA73"/>
    <mergeCell ref="KZB67:KZB73"/>
    <mergeCell ref="KZC67:KZC73"/>
    <mergeCell ref="KZD67:KZD73"/>
    <mergeCell ref="KZE67:KZE73"/>
    <mergeCell ref="KZF67:KZF73"/>
    <mergeCell ref="KYU67:KYU73"/>
    <mergeCell ref="KYV67:KYV73"/>
    <mergeCell ref="KYW67:KYW73"/>
    <mergeCell ref="KYX67:KYX73"/>
    <mergeCell ref="KYY67:KYY73"/>
    <mergeCell ref="KYZ67:KYZ73"/>
    <mergeCell ref="LBI67:LBI73"/>
    <mergeCell ref="LBJ67:LBJ73"/>
    <mergeCell ref="LBK67:LBK73"/>
    <mergeCell ref="LBL67:LBL73"/>
    <mergeCell ref="LBM67:LBM73"/>
    <mergeCell ref="LBN67:LBN73"/>
    <mergeCell ref="LBC67:LBC73"/>
    <mergeCell ref="LBD67:LBD73"/>
    <mergeCell ref="LBE67:LBE73"/>
    <mergeCell ref="LBF67:LBF73"/>
    <mergeCell ref="LBG67:LBG73"/>
    <mergeCell ref="LBH67:LBH73"/>
    <mergeCell ref="LAW67:LAW73"/>
    <mergeCell ref="LAX67:LAX73"/>
    <mergeCell ref="LAY67:LAY73"/>
    <mergeCell ref="LAZ67:LAZ73"/>
    <mergeCell ref="LBA67:LBA73"/>
    <mergeCell ref="LBB67:LBB73"/>
    <mergeCell ref="LAQ67:LAQ73"/>
    <mergeCell ref="LAR67:LAR73"/>
    <mergeCell ref="LAS67:LAS73"/>
    <mergeCell ref="LAT67:LAT73"/>
    <mergeCell ref="LAU67:LAU73"/>
    <mergeCell ref="LAV67:LAV73"/>
    <mergeCell ref="LAK67:LAK73"/>
    <mergeCell ref="LAL67:LAL73"/>
    <mergeCell ref="LAM67:LAM73"/>
    <mergeCell ref="LAN67:LAN73"/>
    <mergeCell ref="LAO67:LAO73"/>
    <mergeCell ref="LAP67:LAP73"/>
    <mergeCell ref="LAE67:LAE73"/>
    <mergeCell ref="LAF67:LAF73"/>
    <mergeCell ref="LAG67:LAG73"/>
    <mergeCell ref="LAH67:LAH73"/>
    <mergeCell ref="LAI67:LAI73"/>
    <mergeCell ref="LAJ67:LAJ73"/>
    <mergeCell ref="LCS67:LCS73"/>
    <mergeCell ref="LCT67:LCT73"/>
    <mergeCell ref="LCU67:LCU73"/>
    <mergeCell ref="LCV67:LCV73"/>
    <mergeCell ref="LCW67:LCW73"/>
    <mergeCell ref="LCX67:LCX73"/>
    <mergeCell ref="LCM67:LCM73"/>
    <mergeCell ref="LCN67:LCN73"/>
    <mergeCell ref="LCO67:LCO73"/>
    <mergeCell ref="LCP67:LCP73"/>
    <mergeCell ref="LCQ67:LCQ73"/>
    <mergeCell ref="LCR67:LCR73"/>
    <mergeCell ref="LCG67:LCG73"/>
    <mergeCell ref="LCH67:LCH73"/>
    <mergeCell ref="LCI67:LCI73"/>
    <mergeCell ref="LCJ67:LCJ73"/>
    <mergeCell ref="LCK67:LCK73"/>
    <mergeCell ref="LCL67:LCL73"/>
    <mergeCell ref="LCA67:LCA73"/>
    <mergeCell ref="LCB67:LCB73"/>
    <mergeCell ref="LCC67:LCC73"/>
    <mergeCell ref="LCD67:LCD73"/>
    <mergeCell ref="LCE67:LCE73"/>
    <mergeCell ref="LCF67:LCF73"/>
    <mergeCell ref="LBU67:LBU73"/>
    <mergeCell ref="LBV67:LBV73"/>
    <mergeCell ref="LBW67:LBW73"/>
    <mergeCell ref="LBX67:LBX73"/>
    <mergeCell ref="LBY67:LBY73"/>
    <mergeCell ref="LBZ67:LBZ73"/>
    <mergeCell ref="LBO67:LBO73"/>
    <mergeCell ref="LBP67:LBP73"/>
    <mergeCell ref="LBQ67:LBQ73"/>
    <mergeCell ref="LBR67:LBR73"/>
    <mergeCell ref="LBS67:LBS73"/>
    <mergeCell ref="LBT67:LBT73"/>
    <mergeCell ref="LEC67:LEC73"/>
    <mergeCell ref="LED67:LED73"/>
    <mergeCell ref="LEE67:LEE73"/>
    <mergeCell ref="LEF67:LEF73"/>
    <mergeCell ref="LEG67:LEG73"/>
    <mergeCell ref="LEH67:LEH73"/>
    <mergeCell ref="LDW67:LDW73"/>
    <mergeCell ref="LDX67:LDX73"/>
    <mergeCell ref="LDY67:LDY73"/>
    <mergeCell ref="LDZ67:LDZ73"/>
    <mergeCell ref="LEA67:LEA73"/>
    <mergeCell ref="LEB67:LEB73"/>
    <mergeCell ref="LDQ67:LDQ73"/>
    <mergeCell ref="LDR67:LDR73"/>
    <mergeCell ref="LDS67:LDS73"/>
    <mergeCell ref="LDT67:LDT73"/>
    <mergeCell ref="LDU67:LDU73"/>
    <mergeCell ref="LDV67:LDV73"/>
    <mergeCell ref="LDK67:LDK73"/>
    <mergeCell ref="LDL67:LDL73"/>
    <mergeCell ref="LDM67:LDM73"/>
    <mergeCell ref="LDN67:LDN73"/>
    <mergeCell ref="LDO67:LDO73"/>
    <mergeCell ref="LDP67:LDP73"/>
    <mergeCell ref="LDE67:LDE73"/>
    <mergeCell ref="LDF67:LDF73"/>
    <mergeCell ref="LDG67:LDG73"/>
    <mergeCell ref="LDH67:LDH73"/>
    <mergeCell ref="LDI67:LDI73"/>
    <mergeCell ref="LDJ67:LDJ73"/>
    <mergeCell ref="LCY67:LCY73"/>
    <mergeCell ref="LCZ67:LCZ73"/>
    <mergeCell ref="LDA67:LDA73"/>
    <mergeCell ref="LDB67:LDB73"/>
    <mergeCell ref="LDC67:LDC73"/>
    <mergeCell ref="LDD67:LDD73"/>
    <mergeCell ref="LFM67:LFM73"/>
    <mergeCell ref="LFN67:LFN73"/>
    <mergeCell ref="LFO67:LFO73"/>
    <mergeCell ref="LFP67:LFP73"/>
    <mergeCell ref="LFQ67:LFQ73"/>
    <mergeCell ref="LFR67:LFR73"/>
    <mergeCell ref="LFG67:LFG73"/>
    <mergeCell ref="LFH67:LFH73"/>
    <mergeCell ref="LFI67:LFI73"/>
    <mergeCell ref="LFJ67:LFJ73"/>
    <mergeCell ref="LFK67:LFK73"/>
    <mergeCell ref="LFL67:LFL73"/>
    <mergeCell ref="LFA67:LFA73"/>
    <mergeCell ref="LFB67:LFB73"/>
    <mergeCell ref="LFC67:LFC73"/>
    <mergeCell ref="LFD67:LFD73"/>
    <mergeCell ref="LFE67:LFE73"/>
    <mergeCell ref="LFF67:LFF73"/>
    <mergeCell ref="LEU67:LEU73"/>
    <mergeCell ref="LEV67:LEV73"/>
    <mergeCell ref="LEW67:LEW73"/>
    <mergeCell ref="LEX67:LEX73"/>
    <mergeCell ref="LEY67:LEY73"/>
    <mergeCell ref="LEZ67:LEZ73"/>
    <mergeCell ref="LEO67:LEO73"/>
    <mergeCell ref="LEP67:LEP73"/>
    <mergeCell ref="LEQ67:LEQ73"/>
    <mergeCell ref="LER67:LER73"/>
    <mergeCell ref="LES67:LES73"/>
    <mergeCell ref="LET67:LET73"/>
    <mergeCell ref="LEI67:LEI73"/>
    <mergeCell ref="LEJ67:LEJ73"/>
    <mergeCell ref="LEK67:LEK73"/>
    <mergeCell ref="LEL67:LEL73"/>
    <mergeCell ref="LEM67:LEM73"/>
    <mergeCell ref="LEN67:LEN73"/>
    <mergeCell ref="LGW67:LGW73"/>
    <mergeCell ref="LGX67:LGX73"/>
    <mergeCell ref="LGY67:LGY73"/>
    <mergeCell ref="LGZ67:LGZ73"/>
    <mergeCell ref="LHA67:LHA73"/>
    <mergeCell ref="LHB67:LHB73"/>
    <mergeCell ref="LGQ67:LGQ73"/>
    <mergeCell ref="LGR67:LGR73"/>
    <mergeCell ref="LGS67:LGS73"/>
    <mergeCell ref="LGT67:LGT73"/>
    <mergeCell ref="LGU67:LGU73"/>
    <mergeCell ref="LGV67:LGV73"/>
    <mergeCell ref="LGK67:LGK73"/>
    <mergeCell ref="LGL67:LGL73"/>
    <mergeCell ref="LGM67:LGM73"/>
    <mergeCell ref="LGN67:LGN73"/>
    <mergeCell ref="LGO67:LGO73"/>
    <mergeCell ref="LGP67:LGP73"/>
    <mergeCell ref="LGE67:LGE73"/>
    <mergeCell ref="LGF67:LGF73"/>
    <mergeCell ref="LGG67:LGG73"/>
    <mergeCell ref="LGH67:LGH73"/>
    <mergeCell ref="LGI67:LGI73"/>
    <mergeCell ref="LGJ67:LGJ73"/>
    <mergeCell ref="LFY67:LFY73"/>
    <mergeCell ref="LFZ67:LFZ73"/>
    <mergeCell ref="LGA67:LGA73"/>
    <mergeCell ref="LGB67:LGB73"/>
    <mergeCell ref="LGC67:LGC73"/>
    <mergeCell ref="LGD67:LGD73"/>
    <mergeCell ref="LFS67:LFS73"/>
    <mergeCell ref="LFT67:LFT73"/>
    <mergeCell ref="LFU67:LFU73"/>
    <mergeCell ref="LFV67:LFV73"/>
    <mergeCell ref="LFW67:LFW73"/>
    <mergeCell ref="LFX67:LFX73"/>
    <mergeCell ref="LIG67:LIG73"/>
    <mergeCell ref="LIH67:LIH73"/>
    <mergeCell ref="LII67:LII73"/>
    <mergeCell ref="LIJ67:LIJ73"/>
    <mergeCell ref="LIK67:LIK73"/>
    <mergeCell ref="LIL67:LIL73"/>
    <mergeCell ref="LIA67:LIA73"/>
    <mergeCell ref="LIB67:LIB73"/>
    <mergeCell ref="LIC67:LIC73"/>
    <mergeCell ref="LID67:LID73"/>
    <mergeCell ref="LIE67:LIE73"/>
    <mergeCell ref="LIF67:LIF73"/>
    <mergeCell ref="LHU67:LHU73"/>
    <mergeCell ref="LHV67:LHV73"/>
    <mergeCell ref="LHW67:LHW73"/>
    <mergeCell ref="LHX67:LHX73"/>
    <mergeCell ref="LHY67:LHY73"/>
    <mergeCell ref="LHZ67:LHZ73"/>
    <mergeCell ref="LHO67:LHO73"/>
    <mergeCell ref="LHP67:LHP73"/>
    <mergeCell ref="LHQ67:LHQ73"/>
    <mergeCell ref="LHR67:LHR73"/>
    <mergeCell ref="LHS67:LHS73"/>
    <mergeCell ref="LHT67:LHT73"/>
    <mergeCell ref="LHI67:LHI73"/>
    <mergeCell ref="LHJ67:LHJ73"/>
    <mergeCell ref="LHK67:LHK73"/>
    <mergeCell ref="LHL67:LHL73"/>
    <mergeCell ref="LHM67:LHM73"/>
    <mergeCell ref="LHN67:LHN73"/>
    <mergeCell ref="LHC67:LHC73"/>
    <mergeCell ref="LHD67:LHD73"/>
    <mergeCell ref="LHE67:LHE73"/>
    <mergeCell ref="LHF67:LHF73"/>
    <mergeCell ref="LHG67:LHG73"/>
    <mergeCell ref="LHH67:LHH73"/>
    <mergeCell ref="LJQ67:LJQ73"/>
    <mergeCell ref="LJR67:LJR73"/>
    <mergeCell ref="LJS67:LJS73"/>
    <mergeCell ref="LJT67:LJT73"/>
    <mergeCell ref="LJU67:LJU73"/>
    <mergeCell ref="LJV67:LJV73"/>
    <mergeCell ref="LJK67:LJK73"/>
    <mergeCell ref="LJL67:LJL73"/>
    <mergeCell ref="LJM67:LJM73"/>
    <mergeCell ref="LJN67:LJN73"/>
    <mergeCell ref="LJO67:LJO73"/>
    <mergeCell ref="LJP67:LJP73"/>
    <mergeCell ref="LJE67:LJE73"/>
    <mergeCell ref="LJF67:LJF73"/>
    <mergeCell ref="LJG67:LJG73"/>
    <mergeCell ref="LJH67:LJH73"/>
    <mergeCell ref="LJI67:LJI73"/>
    <mergeCell ref="LJJ67:LJJ73"/>
    <mergeCell ref="LIY67:LIY73"/>
    <mergeCell ref="LIZ67:LIZ73"/>
    <mergeCell ref="LJA67:LJA73"/>
    <mergeCell ref="LJB67:LJB73"/>
    <mergeCell ref="LJC67:LJC73"/>
    <mergeCell ref="LJD67:LJD73"/>
    <mergeCell ref="LIS67:LIS73"/>
    <mergeCell ref="LIT67:LIT73"/>
    <mergeCell ref="LIU67:LIU73"/>
    <mergeCell ref="LIV67:LIV73"/>
    <mergeCell ref="LIW67:LIW73"/>
    <mergeCell ref="LIX67:LIX73"/>
    <mergeCell ref="LIM67:LIM73"/>
    <mergeCell ref="LIN67:LIN73"/>
    <mergeCell ref="LIO67:LIO73"/>
    <mergeCell ref="LIP67:LIP73"/>
    <mergeCell ref="LIQ67:LIQ73"/>
    <mergeCell ref="LIR67:LIR73"/>
    <mergeCell ref="LLA67:LLA73"/>
    <mergeCell ref="LLB67:LLB73"/>
    <mergeCell ref="LLC67:LLC73"/>
    <mergeCell ref="LLD67:LLD73"/>
    <mergeCell ref="LLE67:LLE73"/>
    <mergeCell ref="LLF67:LLF73"/>
    <mergeCell ref="LKU67:LKU73"/>
    <mergeCell ref="LKV67:LKV73"/>
    <mergeCell ref="LKW67:LKW73"/>
    <mergeCell ref="LKX67:LKX73"/>
    <mergeCell ref="LKY67:LKY73"/>
    <mergeCell ref="LKZ67:LKZ73"/>
    <mergeCell ref="LKO67:LKO73"/>
    <mergeCell ref="LKP67:LKP73"/>
    <mergeCell ref="LKQ67:LKQ73"/>
    <mergeCell ref="LKR67:LKR73"/>
    <mergeCell ref="LKS67:LKS73"/>
    <mergeCell ref="LKT67:LKT73"/>
    <mergeCell ref="LKI67:LKI73"/>
    <mergeCell ref="LKJ67:LKJ73"/>
    <mergeCell ref="LKK67:LKK73"/>
    <mergeCell ref="LKL67:LKL73"/>
    <mergeCell ref="LKM67:LKM73"/>
    <mergeCell ref="LKN67:LKN73"/>
    <mergeCell ref="LKC67:LKC73"/>
    <mergeCell ref="LKD67:LKD73"/>
    <mergeCell ref="LKE67:LKE73"/>
    <mergeCell ref="LKF67:LKF73"/>
    <mergeCell ref="LKG67:LKG73"/>
    <mergeCell ref="LKH67:LKH73"/>
    <mergeCell ref="LJW67:LJW73"/>
    <mergeCell ref="LJX67:LJX73"/>
    <mergeCell ref="LJY67:LJY73"/>
    <mergeCell ref="LJZ67:LJZ73"/>
    <mergeCell ref="LKA67:LKA73"/>
    <mergeCell ref="LKB67:LKB73"/>
    <mergeCell ref="LMK67:LMK73"/>
    <mergeCell ref="LML67:LML73"/>
    <mergeCell ref="LMM67:LMM73"/>
    <mergeCell ref="LMN67:LMN73"/>
    <mergeCell ref="LMO67:LMO73"/>
    <mergeCell ref="LMP67:LMP73"/>
    <mergeCell ref="LME67:LME73"/>
    <mergeCell ref="LMF67:LMF73"/>
    <mergeCell ref="LMG67:LMG73"/>
    <mergeCell ref="LMH67:LMH73"/>
    <mergeCell ref="LMI67:LMI73"/>
    <mergeCell ref="LMJ67:LMJ73"/>
    <mergeCell ref="LLY67:LLY73"/>
    <mergeCell ref="LLZ67:LLZ73"/>
    <mergeCell ref="LMA67:LMA73"/>
    <mergeCell ref="LMB67:LMB73"/>
    <mergeCell ref="LMC67:LMC73"/>
    <mergeCell ref="LMD67:LMD73"/>
    <mergeCell ref="LLS67:LLS73"/>
    <mergeCell ref="LLT67:LLT73"/>
    <mergeCell ref="LLU67:LLU73"/>
    <mergeCell ref="LLV67:LLV73"/>
    <mergeCell ref="LLW67:LLW73"/>
    <mergeCell ref="LLX67:LLX73"/>
    <mergeCell ref="LLM67:LLM73"/>
    <mergeCell ref="LLN67:LLN73"/>
    <mergeCell ref="LLO67:LLO73"/>
    <mergeCell ref="LLP67:LLP73"/>
    <mergeCell ref="LLQ67:LLQ73"/>
    <mergeCell ref="LLR67:LLR73"/>
    <mergeCell ref="LLG67:LLG73"/>
    <mergeCell ref="LLH67:LLH73"/>
    <mergeCell ref="LLI67:LLI73"/>
    <mergeCell ref="LLJ67:LLJ73"/>
    <mergeCell ref="LLK67:LLK73"/>
    <mergeCell ref="LLL67:LLL73"/>
    <mergeCell ref="LNU67:LNU73"/>
    <mergeCell ref="LNV67:LNV73"/>
    <mergeCell ref="LNW67:LNW73"/>
    <mergeCell ref="LNX67:LNX73"/>
    <mergeCell ref="LNY67:LNY73"/>
    <mergeCell ref="LNZ67:LNZ73"/>
    <mergeCell ref="LNO67:LNO73"/>
    <mergeCell ref="LNP67:LNP73"/>
    <mergeCell ref="LNQ67:LNQ73"/>
    <mergeCell ref="LNR67:LNR73"/>
    <mergeCell ref="LNS67:LNS73"/>
    <mergeCell ref="LNT67:LNT73"/>
    <mergeCell ref="LNI67:LNI73"/>
    <mergeCell ref="LNJ67:LNJ73"/>
    <mergeCell ref="LNK67:LNK73"/>
    <mergeCell ref="LNL67:LNL73"/>
    <mergeCell ref="LNM67:LNM73"/>
    <mergeCell ref="LNN67:LNN73"/>
    <mergeCell ref="LNC67:LNC73"/>
    <mergeCell ref="LND67:LND73"/>
    <mergeCell ref="LNE67:LNE73"/>
    <mergeCell ref="LNF67:LNF73"/>
    <mergeCell ref="LNG67:LNG73"/>
    <mergeCell ref="LNH67:LNH73"/>
    <mergeCell ref="LMW67:LMW73"/>
    <mergeCell ref="LMX67:LMX73"/>
    <mergeCell ref="LMY67:LMY73"/>
    <mergeCell ref="LMZ67:LMZ73"/>
    <mergeCell ref="LNA67:LNA73"/>
    <mergeCell ref="LNB67:LNB73"/>
    <mergeCell ref="LMQ67:LMQ73"/>
    <mergeCell ref="LMR67:LMR73"/>
    <mergeCell ref="LMS67:LMS73"/>
    <mergeCell ref="LMT67:LMT73"/>
    <mergeCell ref="LMU67:LMU73"/>
    <mergeCell ref="LMV67:LMV73"/>
    <mergeCell ref="LPE67:LPE73"/>
    <mergeCell ref="LPF67:LPF73"/>
    <mergeCell ref="LPG67:LPG73"/>
    <mergeCell ref="LPH67:LPH73"/>
    <mergeCell ref="LPI67:LPI73"/>
    <mergeCell ref="LPJ67:LPJ73"/>
    <mergeCell ref="LOY67:LOY73"/>
    <mergeCell ref="LOZ67:LOZ73"/>
    <mergeCell ref="LPA67:LPA73"/>
    <mergeCell ref="LPB67:LPB73"/>
    <mergeCell ref="LPC67:LPC73"/>
    <mergeCell ref="LPD67:LPD73"/>
    <mergeCell ref="LOS67:LOS73"/>
    <mergeCell ref="LOT67:LOT73"/>
    <mergeCell ref="LOU67:LOU73"/>
    <mergeCell ref="LOV67:LOV73"/>
    <mergeCell ref="LOW67:LOW73"/>
    <mergeCell ref="LOX67:LOX73"/>
    <mergeCell ref="LOM67:LOM73"/>
    <mergeCell ref="LON67:LON73"/>
    <mergeCell ref="LOO67:LOO73"/>
    <mergeCell ref="LOP67:LOP73"/>
    <mergeCell ref="LOQ67:LOQ73"/>
    <mergeCell ref="LOR67:LOR73"/>
    <mergeCell ref="LOG67:LOG73"/>
    <mergeCell ref="LOH67:LOH73"/>
    <mergeCell ref="LOI67:LOI73"/>
    <mergeCell ref="LOJ67:LOJ73"/>
    <mergeCell ref="LOK67:LOK73"/>
    <mergeCell ref="LOL67:LOL73"/>
    <mergeCell ref="LOA67:LOA73"/>
    <mergeCell ref="LOB67:LOB73"/>
    <mergeCell ref="LOC67:LOC73"/>
    <mergeCell ref="LOD67:LOD73"/>
    <mergeCell ref="LOE67:LOE73"/>
    <mergeCell ref="LOF67:LOF73"/>
    <mergeCell ref="LQO67:LQO73"/>
    <mergeCell ref="LQP67:LQP73"/>
    <mergeCell ref="LQQ67:LQQ73"/>
    <mergeCell ref="LQR67:LQR73"/>
    <mergeCell ref="LQS67:LQS73"/>
    <mergeCell ref="LQT67:LQT73"/>
    <mergeCell ref="LQI67:LQI73"/>
    <mergeCell ref="LQJ67:LQJ73"/>
    <mergeCell ref="LQK67:LQK73"/>
    <mergeCell ref="LQL67:LQL73"/>
    <mergeCell ref="LQM67:LQM73"/>
    <mergeCell ref="LQN67:LQN73"/>
    <mergeCell ref="LQC67:LQC73"/>
    <mergeCell ref="LQD67:LQD73"/>
    <mergeCell ref="LQE67:LQE73"/>
    <mergeCell ref="LQF67:LQF73"/>
    <mergeCell ref="LQG67:LQG73"/>
    <mergeCell ref="LQH67:LQH73"/>
    <mergeCell ref="LPW67:LPW73"/>
    <mergeCell ref="LPX67:LPX73"/>
    <mergeCell ref="LPY67:LPY73"/>
    <mergeCell ref="LPZ67:LPZ73"/>
    <mergeCell ref="LQA67:LQA73"/>
    <mergeCell ref="LQB67:LQB73"/>
    <mergeCell ref="LPQ67:LPQ73"/>
    <mergeCell ref="LPR67:LPR73"/>
    <mergeCell ref="LPS67:LPS73"/>
    <mergeCell ref="LPT67:LPT73"/>
    <mergeCell ref="LPU67:LPU73"/>
    <mergeCell ref="LPV67:LPV73"/>
    <mergeCell ref="LPK67:LPK73"/>
    <mergeCell ref="LPL67:LPL73"/>
    <mergeCell ref="LPM67:LPM73"/>
    <mergeCell ref="LPN67:LPN73"/>
    <mergeCell ref="LPO67:LPO73"/>
    <mergeCell ref="LPP67:LPP73"/>
    <mergeCell ref="LRY67:LRY73"/>
    <mergeCell ref="LRZ67:LRZ73"/>
    <mergeCell ref="LSA67:LSA73"/>
    <mergeCell ref="LSB67:LSB73"/>
    <mergeCell ref="LSC67:LSC73"/>
    <mergeCell ref="LSD67:LSD73"/>
    <mergeCell ref="LRS67:LRS73"/>
    <mergeCell ref="LRT67:LRT73"/>
    <mergeCell ref="LRU67:LRU73"/>
    <mergeCell ref="LRV67:LRV73"/>
    <mergeCell ref="LRW67:LRW73"/>
    <mergeCell ref="LRX67:LRX73"/>
    <mergeCell ref="LRM67:LRM73"/>
    <mergeCell ref="LRN67:LRN73"/>
    <mergeCell ref="LRO67:LRO73"/>
    <mergeCell ref="LRP67:LRP73"/>
    <mergeCell ref="LRQ67:LRQ73"/>
    <mergeCell ref="LRR67:LRR73"/>
    <mergeCell ref="LRG67:LRG73"/>
    <mergeCell ref="LRH67:LRH73"/>
    <mergeCell ref="LRI67:LRI73"/>
    <mergeCell ref="LRJ67:LRJ73"/>
    <mergeCell ref="LRK67:LRK73"/>
    <mergeCell ref="LRL67:LRL73"/>
    <mergeCell ref="LRA67:LRA73"/>
    <mergeCell ref="LRB67:LRB73"/>
    <mergeCell ref="LRC67:LRC73"/>
    <mergeCell ref="LRD67:LRD73"/>
    <mergeCell ref="LRE67:LRE73"/>
    <mergeCell ref="LRF67:LRF73"/>
    <mergeCell ref="LQU67:LQU73"/>
    <mergeCell ref="LQV67:LQV73"/>
    <mergeCell ref="LQW67:LQW73"/>
    <mergeCell ref="LQX67:LQX73"/>
    <mergeCell ref="LQY67:LQY73"/>
    <mergeCell ref="LQZ67:LQZ73"/>
    <mergeCell ref="LTI67:LTI73"/>
    <mergeCell ref="LTJ67:LTJ73"/>
    <mergeCell ref="LTK67:LTK73"/>
    <mergeCell ref="LTL67:LTL73"/>
    <mergeCell ref="LTM67:LTM73"/>
    <mergeCell ref="LTN67:LTN73"/>
    <mergeCell ref="LTC67:LTC73"/>
    <mergeCell ref="LTD67:LTD73"/>
    <mergeCell ref="LTE67:LTE73"/>
    <mergeCell ref="LTF67:LTF73"/>
    <mergeCell ref="LTG67:LTG73"/>
    <mergeCell ref="LTH67:LTH73"/>
    <mergeCell ref="LSW67:LSW73"/>
    <mergeCell ref="LSX67:LSX73"/>
    <mergeCell ref="LSY67:LSY73"/>
    <mergeCell ref="LSZ67:LSZ73"/>
    <mergeCell ref="LTA67:LTA73"/>
    <mergeCell ref="LTB67:LTB73"/>
    <mergeCell ref="LSQ67:LSQ73"/>
    <mergeCell ref="LSR67:LSR73"/>
    <mergeCell ref="LSS67:LSS73"/>
    <mergeCell ref="LST67:LST73"/>
    <mergeCell ref="LSU67:LSU73"/>
    <mergeCell ref="LSV67:LSV73"/>
    <mergeCell ref="LSK67:LSK73"/>
    <mergeCell ref="LSL67:LSL73"/>
    <mergeCell ref="LSM67:LSM73"/>
    <mergeCell ref="LSN67:LSN73"/>
    <mergeCell ref="LSO67:LSO73"/>
    <mergeCell ref="LSP67:LSP73"/>
    <mergeCell ref="LSE67:LSE73"/>
    <mergeCell ref="LSF67:LSF73"/>
    <mergeCell ref="LSG67:LSG73"/>
    <mergeCell ref="LSH67:LSH73"/>
    <mergeCell ref="LSI67:LSI73"/>
    <mergeCell ref="LSJ67:LSJ73"/>
    <mergeCell ref="LUS67:LUS73"/>
    <mergeCell ref="LUT67:LUT73"/>
    <mergeCell ref="LUU67:LUU73"/>
    <mergeCell ref="LUV67:LUV73"/>
    <mergeCell ref="LUW67:LUW73"/>
    <mergeCell ref="LUX67:LUX73"/>
    <mergeCell ref="LUM67:LUM73"/>
    <mergeCell ref="LUN67:LUN73"/>
    <mergeCell ref="LUO67:LUO73"/>
    <mergeCell ref="LUP67:LUP73"/>
    <mergeCell ref="LUQ67:LUQ73"/>
    <mergeCell ref="LUR67:LUR73"/>
    <mergeCell ref="LUG67:LUG73"/>
    <mergeCell ref="LUH67:LUH73"/>
    <mergeCell ref="LUI67:LUI73"/>
    <mergeCell ref="LUJ67:LUJ73"/>
    <mergeCell ref="LUK67:LUK73"/>
    <mergeCell ref="LUL67:LUL73"/>
    <mergeCell ref="LUA67:LUA73"/>
    <mergeCell ref="LUB67:LUB73"/>
    <mergeCell ref="LUC67:LUC73"/>
    <mergeCell ref="LUD67:LUD73"/>
    <mergeCell ref="LUE67:LUE73"/>
    <mergeCell ref="LUF67:LUF73"/>
    <mergeCell ref="LTU67:LTU73"/>
    <mergeCell ref="LTV67:LTV73"/>
    <mergeCell ref="LTW67:LTW73"/>
    <mergeCell ref="LTX67:LTX73"/>
    <mergeCell ref="LTY67:LTY73"/>
    <mergeCell ref="LTZ67:LTZ73"/>
    <mergeCell ref="LTO67:LTO73"/>
    <mergeCell ref="LTP67:LTP73"/>
    <mergeCell ref="LTQ67:LTQ73"/>
    <mergeCell ref="LTR67:LTR73"/>
    <mergeCell ref="LTS67:LTS73"/>
    <mergeCell ref="LTT67:LTT73"/>
    <mergeCell ref="LWC67:LWC73"/>
    <mergeCell ref="LWD67:LWD73"/>
    <mergeCell ref="LWE67:LWE73"/>
    <mergeCell ref="LWF67:LWF73"/>
    <mergeCell ref="LWG67:LWG73"/>
    <mergeCell ref="LWH67:LWH73"/>
    <mergeCell ref="LVW67:LVW73"/>
    <mergeCell ref="LVX67:LVX73"/>
    <mergeCell ref="LVY67:LVY73"/>
    <mergeCell ref="LVZ67:LVZ73"/>
    <mergeCell ref="LWA67:LWA73"/>
    <mergeCell ref="LWB67:LWB73"/>
    <mergeCell ref="LVQ67:LVQ73"/>
    <mergeCell ref="LVR67:LVR73"/>
    <mergeCell ref="LVS67:LVS73"/>
    <mergeCell ref="LVT67:LVT73"/>
    <mergeCell ref="LVU67:LVU73"/>
    <mergeCell ref="LVV67:LVV73"/>
    <mergeCell ref="LVK67:LVK73"/>
    <mergeCell ref="LVL67:LVL73"/>
    <mergeCell ref="LVM67:LVM73"/>
    <mergeCell ref="LVN67:LVN73"/>
    <mergeCell ref="LVO67:LVO73"/>
    <mergeCell ref="LVP67:LVP73"/>
    <mergeCell ref="LVE67:LVE73"/>
    <mergeCell ref="LVF67:LVF73"/>
    <mergeCell ref="LVG67:LVG73"/>
    <mergeCell ref="LVH67:LVH73"/>
    <mergeCell ref="LVI67:LVI73"/>
    <mergeCell ref="LVJ67:LVJ73"/>
    <mergeCell ref="LUY67:LUY73"/>
    <mergeCell ref="LUZ67:LUZ73"/>
    <mergeCell ref="LVA67:LVA73"/>
    <mergeCell ref="LVB67:LVB73"/>
    <mergeCell ref="LVC67:LVC73"/>
    <mergeCell ref="LVD67:LVD73"/>
    <mergeCell ref="LXM67:LXM73"/>
    <mergeCell ref="LXN67:LXN73"/>
    <mergeCell ref="LXO67:LXO73"/>
    <mergeCell ref="LXP67:LXP73"/>
    <mergeCell ref="LXQ67:LXQ73"/>
    <mergeCell ref="LXR67:LXR73"/>
    <mergeCell ref="LXG67:LXG73"/>
    <mergeCell ref="LXH67:LXH73"/>
    <mergeCell ref="LXI67:LXI73"/>
    <mergeCell ref="LXJ67:LXJ73"/>
    <mergeCell ref="LXK67:LXK73"/>
    <mergeCell ref="LXL67:LXL73"/>
    <mergeCell ref="LXA67:LXA73"/>
    <mergeCell ref="LXB67:LXB73"/>
    <mergeCell ref="LXC67:LXC73"/>
    <mergeCell ref="LXD67:LXD73"/>
    <mergeCell ref="LXE67:LXE73"/>
    <mergeCell ref="LXF67:LXF73"/>
    <mergeCell ref="LWU67:LWU73"/>
    <mergeCell ref="LWV67:LWV73"/>
    <mergeCell ref="LWW67:LWW73"/>
    <mergeCell ref="LWX67:LWX73"/>
    <mergeCell ref="LWY67:LWY73"/>
    <mergeCell ref="LWZ67:LWZ73"/>
    <mergeCell ref="LWO67:LWO73"/>
    <mergeCell ref="LWP67:LWP73"/>
    <mergeCell ref="LWQ67:LWQ73"/>
    <mergeCell ref="LWR67:LWR73"/>
    <mergeCell ref="LWS67:LWS73"/>
    <mergeCell ref="LWT67:LWT73"/>
    <mergeCell ref="LWI67:LWI73"/>
    <mergeCell ref="LWJ67:LWJ73"/>
    <mergeCell ref="LWK67:LWK73"/>
    <mergeCell ref="LWL67:LWL73"/>
    <mergeCell ref="LWM67:LWM73"/>
    <mergeCell ref="LWN67:LWN73"/>
    <mergeCell ref="LYW67:LYW73"/>
    <mergeCell ref="LYX67:LYX73"/>
    <mergeCell ref="LYY67:LYY73"/>
    <mergeCell ref="LYZ67:LYZ73"/>
    <mergeCell ref="LZA67:LZA73"/>
    <mergeCell ref="LZB67:LZB73"/>
    <mergeCell ref="LYQ67:LYQ73"/>
    <mergeCell ref="LYR67:LYR73"/>
    <mergeCell ref="LYS67:LYS73"/>
    <mergeCell ref="LYT67:LYT73"/>
    <mergeCell ref="LYU67:LYU73"/>
    <mergeCell ref="LYV67:LYV73"/>
    <mergeCell ref="LYK67:LYK73"/>
    <mergeCell ref="LYL67:LYL73"/>
    <mergeCell ref="LYM67:LYM73"/>
    <mergeCell ref="LYN67:LYN73"/>
    <mergeCell ref="LYO67:LYO73"/>
    <mergeCell ref="LYP67:LYP73"/>
    <mergeCell ref="LYE67:LYE73"/>
    <mergeCell ref="LYF67:LYF73"/>
    <mergeCell ref="LYG67:LYG73"/>
    <mergeCell ref="LYH67:LYH73"/>
    <mergeCell ref="LYI67:LYI73"/>
    <mergeCell ref="LYJ67:LYJ73"/>
    <mergeCell ref="LXY67:LXY73"/>
    <mergeCell ref="LXZ67:LXZ73"/>
    <mergeCell ref="LYA67:LYA73"/>
    <mergeCell ref="LYB67:LYB73"/>
    <mergeCell ref="LYC67:LYC73"/>
    <mergeCell ref="LYD67:LYD73"/>
    <mergeCell ref="LXS67:LXS73"/>
    <mergeCell ref="LXT67:LXT73"/>
    <mergeCell ref="LXU67:LXU73"/>
    <mergeCell ref="LXV67:LXV73"/>
    <mergeCell ref="LXW67:LXW73"/>
    <mergeCell ref="LXX67:LXX73"/>
    <mergeCell ref="MAG67:MAG73"/>
    <mergeCell ref="MAH67:MAH73"/>
    <mergeCell ref="MAI67:MAI73"/>
    <mergeCell ref="MAJ67:MAJ73"/>
    <mergeCell ref="MAK67:MAK73"/>
    <mergeCell ref="MAL67:MAL73"/>
    <mergeCell ref="MAA67:MAA73"/>
    <mergeCell ref="MAB67:MAB73"/>
    <mergeCell ref="MAC67:MAC73"/>
    <mergeCell ref="MAD67:MAD73"/>
    <mergeCell ref="MAE67:MAE73"/>
    <mergeCell ref="MAF67:MAF73"/>
    <mergeCell ref="LZU67:LZU73"/>
    <mergeCell ref="LZV67:LZV73"/>
    <mergeCell ref="LZW67:LZW73"/>
    <mergeCell ref="LZX67:LZX73"/>
    <mergeCell ref="LZY67:LZY73"/>
    <mergeCell ref="LZZ67:LZZ73"/>
    <mergeCell ref="LZO67:LZO73"/>
    <mergeCell ref="LZP67:LZP73"/>
    <mergeCell ref="LZQ67:LZQ73"/>
    <mergeCell ref="LZR67:LZR73"/>
    <mergeCell ref="LZS67:LZS73"/>
    <mergeCell ref="LZT67:LZT73"/>
    <mergeCell ref="LZI67:LZI73"/>
    <mergeCell ref="LZJ67:LZJ73"/>
    <mergeCell ref="LZK67:LZK73"/>
    <mergeCell ref="LZL67:LZL73"/>
    <mergeCell ref="LZM67:LZM73"/>
    <mergeCell ref="LZN67:LZN73"/>
    <mergeCell ref="LZC67:LZC73"/>
    <mergeCell ref="LZD67:LZD73"/>
    <mergeCell ref="LZE67:LZE73"/>
    <mergeCell ref="LZF67:LZF73"/>
    <mergeCell ref="LZG67:LZG73"/>
    <mergeCell ref="LZH67:LZH73"/>
    <mergeCell ref="MBQ67:MBQ73"/>
    <mergeCell ref="MBR67:MBR73"/>
    <mergeCell ref="MBS67:MBS73"/>
    <mergeCell ref="MBT67:MBT73"/>
    <mergeCell ref="MBU67:MBU73"/>
    <mergeCell ref="MBV67:MBV73"/>
    <mergeCell ref="MBK67:MBK73"/>
    <mergeCell ref="MBL67:MBL73"/>
    <mergeCell ref="MBM67:MBM73"/>
    <mergeCell ref="MBN67:MBN73"/>
    <mergeCell ref="MBO67:MBO73"/>
    <mergeCell ref="MBP67:MBP73"/>
    <mergeCell ref="MBE67:MBE73"/>
    <mergeCell ref="MBF67:MBF73"/>
    <mergeCell ref="MBG67:MBG73"/>
    <mergeCell ref="MBH67:MBH73"/>
    <mergeCell ref="MBI67:MBI73"/>
    <mergeCell ref="MBJ67:MBJ73"/>
    <mergeCell ref="MAY67:MAY73"/>
    <mergeCell ref="MAZ67:MAZ73"/>
    <mergeCell ref="MBA67:MBA73"/>
    <mergeCell ref="MBB67:MBB73"/>
    <mergeCell ref="MBC67:MBC73"/>
    <mergeCell ref="MBD67:MBD73"/>
    <mergeCell ref="MAS67:MAS73"/>
    <mergeCell ref="MAT67:MAT73"/>
    <mergeCell ref="MAU67:MAU73"/>
    <mergeCell ref="MAV67:MAV73"/>
    <mergeCell ref="MAW67:MAW73"/>
    <mergeCell ref="MAX67:MAX73"/>
    <mergeCell ref="MAM67:MAM73"/>
    <mergeCell ref="MAN67:MAN73"/>
    <mergeCell ref="MAO67:MAO73"/>
    <mergeCell ref="MAP67:MAP73"/>
    <mergeCell ref="MAQ67:MAQ73"/>
    <mergeCell ref="MAR67:MAR73"/>
    <mergeCell ref="MDA67:MDA73"/>
    <mergeCell ref="MDB67:MDB73"/>
    <mergeCell ref="MDC67:MDC73"/>
    <mergeCell ref="MDD67:MDD73"/>
    <mergeCell ref="MDE67:MDE73"/>
    <mergeCell ref="MDF67:MDF73"/>
    <mergeCell ref="MCU67:MCU73"/>
    <mergeCell ref="MCV67:MCV73"/>
    <mergeCell ref="MCW67:MCW73"/>
    <mergeCell ref="MCX67:MCX73"/>
    <mergeCell ref="MCY67:MCY73"/>
    <mergeCell ref="MCZ67:MCZ73"/>
    <mergeCell ref="MCO67:MCO73"/>
    <mergeCell ref="MCP67:MCP73"/>
    <mergeCell ref="MCQ67:MCQ73"/>
    <mergeCell ref="MCR67:MCR73"/>
    <mergeCell ref="MCS67:MCS73"/>
    <mergeCell ref="MCT67:MCT73"/>
    <mergeCell ref="MCI67:MCI73"/>
    <mergeCell ref="MCJ67:MCJ73"/>
    <mergeCell ref="MCK67:MCK73"/>
    <mergeCell ref="MCL67:MCL73"/>
    <mergeCell ref="MCM67:MCM73"/>
    <mergeCell ref="MCN67:MCN73"/>
    <mergeCell ref="MCC67:MCC73"/>
    <mergeCell ref="MCD67:MCD73"/>
    <mergeCell ref="MCE67:MCE73"/>
    <mergeCell ref="MCF67:MCF73"/>
    <mergeCell ref="MCG67:MCG73"/>
    <mergeCell ref="MCH67:MCH73"/>
    <mergeCell ref="MBW67:MBW73"/>
    <mergeCell ref="MBX67:MBX73"/>
    <mergeCell ref="MBY67:MBY73"/>
    <mergeCell ref="MBZ67:MBZ73"/>
    <mergeCell ref="MCA67:MCA73"/>
    <mergeCell ref="MCB67:MCB73"/>
    <mergeCell ref="MEK67:MEK73"/>
    <mergeCell ref="MEL67:MEL73"/>
    <mergeCell ref="MEM67:MEM73"/>
    <mergeCell ref="MEN67:MEN73"/>
    <mergeCell ref="MEO67:MEO73"/>
    <mergeCell ref="MEP67:MEP73"/>
    <mergeCell ref="MEE67:MEE73"/>
    <mergeCell ref="MEF67:MEF73"/>
    <mergeCell ref="MEG67:MEG73"/>
    <mergeCell ref="MEH67:MEH73"/>
    <mergeCell ref="MEI67:MEI73"/>
    <mergeCell ref="MEJ67:MEJ73"/>
    <mergeCell ref="MDY67:MDY73"/>
    <mergeCell ref="MDZ67:MDZ73"/>
    <mergeCell ref="MEA67:MEA73"/>
    <mergeCell ref="MEB67:MEB73"/>
    <mergeCell ref="MEC67:MEC73"/>
    <mergeCell ref="MED67:MED73"/>
    <mergeCell ref="MDS67:MDS73"/>
    <mergeCell ref="MDT67:MDT73"/>
    <mergeCell ref="MDU67:MDU73"/>
    <mergeCell ref="MDV67:MDV73"/>
    <mergeCell ref="MDW67:MDW73"/>
    <mergeCell ref="MDX67:MDX73"/>
    <mergeCell ref="MDM67:MDM73"/>
    <mergeCell ref="MDN67:MDN73"/>
    <mergeCell ref="MDO67:MDO73"/>
    <mergeCell ref="MDP67:MDP73"/>
    <mergeCell ref="MDQ67:MDQ73"/>
    <mergeCell ref="MDR67:MDR73"/>
    <mergeCell ref="MDG67:MDG73"/>
    <mergeCell ref="MDH67:MDH73"/>
    <mergeCell ref="MDI67:MDI73"/>
    <mergeCell ref="MDJ67:MDJ73"/>
    <mergeCell ref="MDK67:MDK73"/>
    <mergeCell ref="MDL67:MDL73"/>
    <mergeCell ref="MFU67:MFU73"/>
    <mergeCell ref="MFV67:MFV73"/>
    <mergeCell ref="MFW67:MFW73"/>
    <mergeCell ref="MFX67:MFX73"/>
    <mergeCell ref="MFY67:MFY73"/>
    <mergeCell ref="MFZ67:MFZ73"/>
    <mergeCell ref="MFO67:MFO73"/>
    <mergeCell ref="MFP67:MFP73"/>
    <mergeCell ref="MFQ67:MFQ73"/>
    <mergeCell ref="MFR67:MFR73"/>
    <mergeCell ref="MFS67:MFS73"/>
    <mergeCell ref="MFT67:MFT73"/>
    <mergeCell ref="MFI67:MFI73"/>
    <mergeCell ref="MFJ67:MFJ73"/>
    <mergeCell ref="MFK67:MFK73"/>
    <mergeCell ref="MFL67:MFL73"/>
    <mergeCell ref="MFM67:MFM73"/>
    <mergeCell ref="MFN67:MFN73"/>
    <mergeCell ref="MFC67:MFC73"/>
    <mergeCell ref="MFD67:MFD73"/>
    <mergeCell ref="MFE67:MFE73"/>
    <mergeCell ref="MFF67:MFF73"/>
    <mergeCell ref="MFG67:MFG73"/>
    <mergeCell ref="MFH67:MFH73"/>
    <mergeCell ref="MEW67:MEW73"/>
    <mergeCell ref="MEX67:MEX73"/>
    <mergeCell ref="MEY67:MEY73"/>
    <mergeCell ref="MEZ67:MEZ73"/>
    <mergeCell ref="MFA67:MFA73"/>
    <mergeCell ref="MFB67:MFB73"/>
    <mergeCell ref="MEQ67:MEQ73"/>
    <mergeCell ref="MER67:MER73"/>
    <mergeCell ref="MES67:MES73"/>
    <mergeCell ref="MET67:MET73"/>
    <mergeCell ref="MEU67:MEU73"/>
    <mergeCell ref="MEV67:MEV73"/>
    <mergeCell ref="MHE67:MHE73"/>
    <mergeCell ref="MHF67:MHF73"/>
    <mergeCell ref="MHG67:MHG73"/>
    <mergeCell ref="MHH67:MHH73"/>
    <mergeCell ref="MHI67:MHI73"/>
    <mergeCell ref="MHJ67:MHJ73"/>
    <mergeCell ref="MGY67:MGY73"/>
    <mergeCell ref="MGZ67:MGZ73"/>
    <mergeCell ref="MHA67:MHA73"/>
    <mergeCell ref="MHB67:MHB73"/>
    <mergeCell ref="MHC67:MHC73"/>
    <mergeCell ref="MHD67:MHD73"/>
    <mergeCell ref="MGS67:MGS73"/>
    <mergeCell ref="MGT67:MGT73"/>
    <mergeCell ref="MGU67:MGU73"/>
    <mergeCell ref="MGV67:MGV73"/>
    <mergeCell ref="MGW67:MGW73"/>
    <mergeCell ref="MGX67:MGX73"/>
    <mergeCell ref="MGM67:MGM73"/>
    <mergeCell ref="MGN67:MGN73"/>
    <mergeCell ref="MGO67:MGO73"/>
    <mergeCell ref="MGP67:MGP73"/>
    <mergeCell ref="MGQ67:MGQ73"/>
    <mergeCell ref="MGR67:MGR73"/>
    <mergeCell ref="MGG67:MGG73"/>
    <mergeCell ref="MGH67:MGH73"/>
    <mergeCell ref="MGI67:MGI73"/>
    <mergeCell ref="MGJ67:MGJ73"/>
    <mergeCell ref="MGK67:MGK73"/>
    <mergeCell ref="MGL67:MGL73"/>
    <mergeCell ref="MGA67:MGA73"/>
    <mergeCell ref="MGB67:MGB73"/>
    <mergeCell ref="MGC67:MGC73"/>
    <mergeCell ref="MGD67:MGD73"/>
    <mergeCell ref="MGE67:MGE73"/>
    <mergeCell ref="MGF67:MGF73"/>
    <mergeCell ref="MIO67:MIO73"/>
    <mergeCell ref="MIP67:MIP73"/>
    <mergeCell ref="MIQ67:MIQ73"/>
    <mergeCell ref="MIR67:MIR73"/>
    <mergeCell ref="MIS67:MIS73"/>
    <mergeCell ref="MIT67:MIT73"/>
    <mergeCell ref="MII67:MII73"/>
    <mergeCell ref="MIJ67:MIJ73"/>
    <mergeCell ref="MIK67:MIK73"/>
    <mergeCell ref="MIL67:MIL73"/>
    <mergeCell ref="MIM67:MIM73"/>
    <mergeCell ref="MIN67:MIN73"/>
    <mergeCell ref="MIC67:MIC73"/>
    <mergeCell ref="MID67:MID73"/>
    <mergeCell ref="MIE67:MIE73"/>
    <mergeCell ref="MIF67:MIF73"/>
    <mergeCell ref="MIG67:MIG73"/>
    <mergeCell ref="MIH67:MIH73"/>
    <mergeCell ref="MHW67:MHW73"/>
    <mergeCell ref="MHX67:MHX73"/>
    <mergeCell ref="MHY67:MHY73"/>
    <mergeCell ref="MHZ67:MHZ73"/>
    <mergeCell ref="MIA67:MIA73"/>
    <mergeCell ref="MIB67:MIB73"/>
    <mergeCell ref="MHQ67:MHQ73"/>
    <mergeCell ref="MHR67:MHR73"/>
    <mergeCell ref="MHS67:MHS73"/>
    <mergeCell ref="MHT67:MHT73"/>
    <mergeCell ref="MHU67:MHU73"/>
    <mergeCell ref="MHV67:MHV73"/>
    <mergeCell ref="MHK67:MHK73"/>
    <mergeCell ref="MHL67:MHL73"/>
    <mergeCell ref="MHM67:MHM73"/>
    <mergeCell ref="MHN67:MHN73"/>
    <mergeCell ref="MHO67:MHO73"/>
    <mergeCell ref="MHP67:MHP73"/>
    <mergeCell ref="MJY67:MJY73"/>
    <mergeCell ref="MJZ67:MJZ73"/>
    <mergeCell ref="MKA67:MKA73"/>
    <mergeCell ref="MKB67:MKB73"/>
    <mergeCell ref="MKC67:MKC73"/>
    <mergeCell ref="MKD67:MKD73"/>
    <mergeCell ref="MJS67:MJS73"/>
    <mergeCell ref="MJT67:MJT73"/>
    <mergeCell ref="MJU67:MJU73"/>
    <mergeCell ref="MJV67:MJV73"/>
    <mergeCell ref="MJW67:MJW73"/>
    <mergeCell ref="MJX67:MJX73"/>
    <mergeCell ref="MJM67:MJM73"/>
    <mergeCell ref="MJN67:MJN73"/>
    <mergeCell ref="MJO67:MJO73"/>
    <mergeCell ref="MJP67:MJP73"/>
    <mergeCell ref="MJQ67:MJQ73"/>
    <mergeCell ref="MJR67:MJR73"/>
    <mergeCell ref="MJG67:MJG73"/>
    <mergeCell ref="MJH67:MJH73"/>
    <mergeCell ref="MJI67:MJI73"/>
    <mergeCell ref="MJJ67:MJJ73"/>
    <mergeCell ref="MJK67:MJK73"/>
    <mergeCell ref="MJL67:MJL73"/>
    <mergeCell ref="MJA67:MJA73"/>
    <mergeCell ref="MJB67:MJB73"/>
    <mergeCell ref="MJC67:MJC73"/>
    <mergeCell ref="MJD67:MJD73"/>
    <mergeCell ref="MJE67:MJE73"/>
    <mergeCell ref="MJF67:MJF73"/>
    <mergeCell ref="MIU67:MIU73"/>
    <mergeCell ref="MIV67:MIV73"/>
    <mergeCell ref="MIW67:MIW73"/>
    <mergeCell ref="MIX67:MIX73"/>
    <mergeCell ref="MIY67:MIY73"/>
    <mergeCell ref="MIZ67:MIZ73"/>
    <mergeCell ref="MLI67:MLI73"/>
    <mergeCell ref="MLJ67:MLJ73"/>
    <mergeCell ref="MLK67:MLK73"/>
    <mergeCell ref="MLL67:MLL73"/>
    <mergeCell ref="MLM67:MLM73"/>
    <mergeCell ref="MLN67:MLN73"/>
    <mergeCell ref="MLC67:MLC73"/>
    <mergeCell ref="MLD67:MLD73"/>
    <mergeCell ref="MLE67:MLE73"/>
    <mergeCell ref="MLF67:MLF73"/>
    <mergeCell ref="MLG67:MLG73"/>
    <mergeCell ref="MLH67:MLH73"/>
    <mergeCell ref="MKW67:MKW73"/>
    <mergeCell ref="MKX67:MKX73"/>
    <mergeCell ref="MKY67:MKY73"/>
    <mergeCell ref="MKZ67:MKZ73"/>
    <mergeCell ref="MLA67:MLA73"/>
    <mergeCell ref="MLB67:MLB73"/>
    <mergeCell ref="MKQ67:MKQ73"/>
    <mergeCell ref="MKR67:MKR73"/>
    <mergeCell ref="MKS67:MKS73"/>
    <mergeCell ref="MKT67:MKT73"/>
    <mergeCell ref="MKU67:MKU73"/>
    <mergeCell ref="MKV67:MKV73"/>
    <mergeCell ref="MKK67:MKK73"/>
    <mergeCell ref="MKL67:MKL73"/>
    <mergeCell ref="MKM67:MKM73"/>
    <mergeCell ref="MKN67:MKN73"/>
    <mergeCell ref="MKO67:MKO73"/>
    <mergeCell ref="MKP67:MKP73"/>
    <mergeCell ref="MKE67:MKE73"/>
    <mergeCell ref="MKF67:MKF73"/>
    <mergeCell ref="MKG67:MKG73"/>
    <mergeCell ref="MKH67:MKH73"/>
    <mergeCell ref="MKI67:MKI73"/>
    <mergeCell ref="MKJ67:MKJ73"/>
    <mergeCell ref="MMS67:MMS73"/>
    <mergeCell ref="MMT67:MMT73"/>
    <mergeCell ref="MMU67:MMU73"/>
    <mergeCell ref="MMV67:MMV73"/>
    <mergeCell ref="MMW67:MMW73"/>
    <mergeCell ref="MMX67:MMX73"/>
    <mergeCell ref="MMM67:MMM73"/>
    <mergeCell ref="MMN67:MMN73"/>
    <mergeCell ref="MMO67:MMO73"/>
    <mergeCell ref="MMP67:MMP73"/>
    <mergeCell ref="MMQ67:MMQ73"/>
    <mergeCell ref="MMR67:MMR73"/>
    <mergeCell ref="MMG67:MMG73"/>
    <mergeCell ref="MMH67:MMH73"/>
    <mergeCell ref="MMI67:MMI73"/>
    <mergeCell ref="MMJ67:MMJ73"/>
    <mergeCell ref="MMK67:MMK73"/>
    <mergeCell ref="MML67:MML73"/>
    <mergeCell ref="MMA67:MMA73"/>
    <mergeCell ref="MMB67:MMB73"/>
    <mergeCell ref="MMC67:MMC73"/>
    <mergeCell ref="MMD67:MMD73"/>
    <mergeCell ref="MME67:MME73"/>
    <mergeCell ref="MMF67:MMF73"/>
    <mergeCell ref="MLU67:MLU73"/>
    <mergeCell ref="MLV67:MLV73"/>
    <mergeCell ref="MLW67:MLW73"/>
    <mergeCell ref="MLX67:MLX73"/>
    <mergeCell ref="MLY67:MLY73"/>
    <mergeCell ref="MLZ67:MLZ73"/>
    <mergeCell ref="MLO67:MLO73"/>
    <mergeCell ref="MLP67:MLP73"/>
    <mergeCell ref="MLQ67:MLQ73"/>
    <mergeCell ref="MLR67:MLR73"/>
    <mergeCell ref="MLS67:MLS73"/>
    <mergeCell ref="MLT67:MLT73"/>
    <mergeCell ref="MOC67:MOC73"/>
    <mergeCell ref="MOD67:MOD73"/>
    <mergeCell ref="MOE67:MOE73"/>
    <mergeCell ref="MOF67:MOF73"/>
    <mergeCell ref="MOG67:MOG73"/>
    <mergeCell ref="MOH67:MOH73"/>
    <mergeCell ref="MNW67:MNW73"/>
    <mergeCell ref="MNX67:MNX73"/>
    <mergeCell ref="MNY67:MNY73"/>
    <mergeCell ref="MNZ67:MNZ73"/>
    <mergeCell ref="MOA67:MOA73"/>
    <mergeCell ref="MOB67:MOB73"/>
    <mergeCell ref="MNQ67:MNQ73"/>
    <mergeCell ref="MNR67:MNR73"/>
    <mergeCell ref="MNS67:MNS73"/>
    <mergeCell ref="MNT67:MNT73"/>
    <mergeCell ref="MNU67:MNU73"/>
    <mergeCell ref="MNV67:MNV73"/>
    <mergeCell ref="MNK67:MNK73"/>
    <mergeCell ref="MNL67:MNL73"/>
    <mergeCell ref="MNM67:MNM73"/>
    <mergeCell ref="MNN67:MNN73"/>
    <mergeCell ref="MNO67:MNO73"/>
    <mergeCell ref="MNP67:MNP73"/>
    <mergeCell ref="MNE67:MNE73"/>
    <mergeCell ref="MNF67:MNF73"/>
    <mergeCell ref="MNG67:MNG73"/>
    <mergeCell ref="MNH67:MNH73"/>
    <mergeCell ref="MNI67:MNI73"/>
    <mergeCell ref="MNJ67:MNJ73"/>
    <mergeCell ref="MMY67:MMY73"/>
    <mergeCell ref="MMZ67:MMZ73"/>
    <mergeCell ref="MNA67:MNA73"/>
    <mergeCell ref="MNB67:MNB73"/>
    <mergeCell ref="MNC67:MNC73"/>
    <mergeCell ref="MND67:MND73"/>
    <mergeCell ref="MPM67:MPM73"/>
    <mergeCell ref="MPN67:MPN73"/>
    <mergeCell ref="MPO67:MPO73"/>
    <mergeCell ref="MPP67:MPP73"/>
    <mergeCell ref="MPQ67:MPQ73"/>
    <mergeCell ref="MPR67:MPR73"/>
    <mergeCell ref="MPG67:MPG73"/>
    <mergeCell ref="MPH67:MPH73"/>
    <mergeCell ref="MPI67:MPI73"/>
    <mergeCell ref="MPJ67:MPJ73"/>
    <mergeCell ref="MPK67:MPK73"/>
    <mergeCell ref="MPL67:MPL73"/>
    <mergeCell ref="MPA67:MPA73"/>
    <mergeCell ref="MPB67:MPB73"/>
    <mergeCell ref="MPC67:MPC73"/>
    <mergeCell ref="MPD67:MPD73"/>
    <mergeCell ref="MPE67:MPE73"/>
    <mergeCell ref="MPF67:MPF73"/>
    <mergeCell ref="MOU67:MOU73"/>
    <mergeCell ref="MOV67:MOV73"/>
    <mergeCell ref="MOW67:MOW73"/>
    <mergeCell ref="MOX67:MOX73"/>
    <mergeCell ref="MOY67:MOY73"/>
    <mergeCell ref="MOZ67:MOZ73"/>
    <mergeCell ref="MOO67:MOO73"/>
    <mergeCell ref="MOP67:MOP73"/>
    <mergeCell ref="MOQ67:MOQ73"/>
    <mergeCell ref="MOR67:MOR73"/>
    <mergeCell ref="MOS67:MOS73"/>
    <mergeCell ref="MOT67:MOT73"/>
    <mergeCell ref="MOI67:MOI73"/>
    <mergeCell ref="MOJ67:MOJ73"/>
    <mergeCell ref="MOK67:MOK73"/>
    <mergeCell ref="MOL67:MOL73"/>
    <mergeCell ref="MOM67:MOM73"/>
    <mergeCell ref="MON67:MON73"/>
    <mergeCell ref="MQW67:MQW73"/>
    <mergeCell ref="MQX67:MQX73"/>
    <mergeCell ref="MQY67:MQY73"/>
    <mergeCell ref="MQZ67:MQZ73"/>
    <mergeCell ref="MRA67:MRA73"/>
    <mergeCell ref="MRB67:MRB73"/>
    <mergeCell ref="MQQ67:MQQ73"/>
    <mergeCell ref="MQR67:MQR73"/>
    <mergeCell ref="MQS67:MQS73"/>
    <mergeCell ref="MQT67:MQT73"/>
    <mergeCell ref="MQU67:MQU73"/>
    <mergeCell ref="MQV67:MQV73"/>
    <mergeCell ref="MQK67:MQK73"/>
    <mergeCell ref="MQL67:MQL73"/>
    <mergeCell ref="MQM67:MQM73"/>
    <mergeCell ref="MQN67:MQN73"/>
    <mergeCell ref="MQO67:MQO73"/>
    <mergeCell ref="MQP67:MQP73"/>
    <mergeCell ref="MQE67:MQE73"/>
    <mergeCell ref="MQF67:MQF73"/>
    <mergeCell ref="MQG67:MQG73"/>
    <mergeCell ref="MQH67:MQH73"/>
    <mergeCell ref="MQI67:MQI73"/>
    <mergeCell ref="MQJ67:MQJ73"/>
    <mergeCell ref="MPY67:MPY73"/>
    <mergeCell ref="MPZ67:MPZ73"/>
    <mergeCell ref="MQA67:MQA73"/>
    <mergeCell ref="MQB67:MQB73"/>
    <mergeCell ref="MQC67:MQC73"/>
    <mergeCell ref="MQD67:MQD73"/>
    <mergeCell ref="MPS67:MPS73"/>
    <mergeCell ref="MPT67:MPT73"/>
    <mergeCell ref="MPU67:MPU73"/>
    <mergeCell ref="MPV67:MPV73"/>
    <mergeCell ref="MPW67:MPW73"/>
    <mergeCell ref="MPX67:MPX73"/>
    <mergeCell ref="MSG67:MSG73"/>
    <mergeCell ref="MSH67:MSH73"/>
    <mergeCell ref="MSI67:MSI73"/>
    <mergeCell ref="MSJ67:MSJ73"/>
    <mergeCell ref="MSK67:MSK73"/>
    <mergeCell ref="MSL67:MSL73"/>
    <mergeCell ref="MSA67:MSA73"/>
    <mergeCell ref="MSB67:MSB73"/>
    <mergeCell ref="MSC67:MSC73"/>
    <mergeCell ref="MSD67:MSD73"/>
    <mergeCell ref="MSE67:MSE73"/>
    <mergeCell ref="MSF67:MSF73"/>
    <mergeCell ref="MRU67:MRU73"/>
    <mergeCell ref="MRV67:MRV73"/>
    <mergeCell ref="MRW67:MRW73"/>
    <mergeCell ref="MRX67:MRX73"/>
    <mergeCell ref="MRY67:MRY73"/>
    <mergeCell ref="MRZ67:MRZ73"/>
    <mergeCell ref="MRO67:MRO73"/>
    <mergeCell ref="MRP67:MRP73"/>
    <mergeCell ref="MRQ67:MRQ73"/>
    <mergeCell ref="MRR67:MRR73"/>
    <mergeCell ref="MRS67:MRS73"/>
    <mergeCell ref="MRT67:MRT73"/>
    <mergeCell ref="MRI67:MRI73"/>
    <mergeCell ref="MRJ67:MRJ73"/>
    <mergeCell ref="MRK67:MRK73"/>
    <mergeCell ref="MRL67:MRL73"/>
    <mergeCell ref="MRM67:MRM73"/>
    <mergeCell ref="MRN67:MRN73"/>
    <mergeCell ref="MRC67:MRC73"/>
    <mergeCell ref="MRD67:MRD73"/>
    <mergeCell ref="MRE67:MRE73"/>
    <mergeCell ref="MRF67:MRF73"/>
    <mergeCell ref="MRG67:MRG73"/>
    <mergeCell ref="MRH67:MRH73"/>
    <mergeCell ref="MTQ67:MTQ73"/>
    <mergeCell ref="MTR67:MTR73"/>
    <mergeCell ref="MTS67:MTS73"/>
    <mergeCell ref="MTT67:MTT73"/>
    <mergeCell ref="MTU67:MTU73"/>
    <mergeCell ref="MTV67:MTV73"/>
    <mergeCell ref="MTK67:MTK73"/>
    <mergeCell ref="MTL67:MTL73"/>
    <mergeCell ref="MTM67:MTM73"/>
    <mergeCell ref="MTN67:MTN73"/>
    <mergeCell ref="MTO67:MTO73"/>
    <mergeCell ref="MTP67:MTP73"/>
    <mergeCell ref="MTE67:MTE73"/>
    <mergeCell ref="MTF67:MTF73"/>
    <mergeCell ref="MTG67:MTG73"/>
    <mergeCell ref="MTH67:MTH73"/>
    <mergeCell ref="MTI67:MTI73"/>
    <mergeCell ref="MTJ67:MTJ73"/>
    <mergeCell ref="MSY67:MSY73"/>
    <mergeCell ref="MSZ67:MSZ73"/>
    <mergeCell ref="MTA67:MTA73"/>
    <mergeCell ref="MTB67:MTB73"/>
    <mergeCell ref="MTC67:MTC73"/>
    <mergeCell ref="MTD67:MTD73"/>
    <mergeCell ref="MSS67:MSS73"/>
    <mergeCell ref="MST67:MST73"/>
    <mergeCell ref="MSU67:MSU73"/>
    <mergeCell ref="MSV67:MSV73"/>
    <mergeCell ref="MSW67:MSW73"/>
    <mergeCell ref="MSX67:MSX73"/>
    <mergeCell ref="MSM67:MSM73"/>
    <mergeCell ref="MSN67:MSN73"/>
    <mergeCell ref="MSO67:MSO73"/>
    <mergeCell ref="MSP67:MSP73"/>
    <mergeCell ref="MSQ67:MSQ73"/>
    <mergeCell ref="MSR67:MSR73"/>
    <mergeCell ref="MVA67:MVA73"/>
    <mergeCell ref="MVB67:MVB73"/>
    <mergeCell ref="MVC67:MVC73"/>
    <mergeCell ref="MVD67:MVD73"/>
    <mergeCell ref="MVE67:MVE73"/>
    <mergeCell ref="MVF67:MVF73"/>
    <mergeCell ref="MUU67:MUU73"/>
    <mergeCell ref="MUV67:MUV73"/>
    <mergeCell ref="MUW67:MUW73"/>
    <mergeCell ref="MUX67:MUX73"/>
    <mergeCell ref="MUY67:MUY73"/>
    <mergeCell ref="MUZ67:MUZ73"/>
    <mergeCell ref="MUO67:MUO73"/>
    <mergeCell ref="MUP67:MUP73"/>
    <mergeCell ref="MUQ67:MUQ73"/>
    <mergeCell ref="MUR67:MUR73"/>
    <mergeCell ref="MUS67:MUS73"/>
    <mergeCell ref="MUT67:MUT73"/>
    <mergeCell ref="MUI67:MUI73"/>
    <mergeCell ref="MUJ67:MUJ73"/>
    <mergeCell ref="MUK67:MUK73"/>
    <mergeCell ref="MUL67:MUL73"/>
    <mergeCell ref="MUM67:MUM73"/>
    <mergeCell ref="MUN67:MUN73"/>
    <mergeCell ref="MUC67:MUC73"/>
    <mergeCell ref="MUD67:MUD73"/>
    <mergeCell ref="MUE67:MUE73"/>
    <mergeCell ref="MUF67:MUF73"/>
    <mergeCell ref="MUG67:MUG73"/>
    <mergeCell ref="MUH67:MUH73"/>
    <mergeCell ref="MTW67:MTW73"/>
    <mergeCell ref="MTX67:MTX73"/>
    <mergeCell ref="MTY67:MTY73"/>
    <mergeCell ref="MTZ67:MTZ73"/>
    <mergeCell ref="MUA67:MUA73"/>
    <mergeCell ref="MUB67:MUB73"/>
    <mergeCell ref="MWK67:MWK73"/>
    <mergeCell ref="MWL67:MWL73"/>
    <mergeCell ref="MWM67:MWM73"/>
    <mergeCell ref="MWN67:MWN73"/>
    <mergeCell ref="MWO67:MWO73"/>
    <mergeCell ref="MWP67:MWP73"/>
    <mergeCell ref="MWE67:MWE73"/>
    <mergeCell ref="MWF67:MWF73"/>
    <mergeCell ref="MWG67:MWG73"/>
    <mergeCell ref="MWH67:MWH73"/>
    <mergeCell ref="MWI67:MWI73"/>
    <mergeCell ref="MWJ67:MWJ73"/>
    <mergeCell ref="MVY67:MVY73"/>
    <mergeCell ref="MVZ67:MVZ73"/>
    <mergeCell ref="MWA67:MWA73"/>
    <mergeCell ref="MWB67:MWB73"/>
    <mergeCell ref="MWC67:MWC73"/>
    <mergeCell ref="MWD67:MWD73"/>
    <mergeCell ref="MVS67:MVS73"/>
    <mergeCell ref="MVT67:MVT73"/>
    <mergeCell ref="MVU67:MVU73"/>
    <mergeCell ref="MVV67:MVV73"/>
    <mergeCell ref="MVW67:MVW73"/>
    <mergeCell ref="MVX67:MVX73"/>
    <mergeCell ref="MVM67:MVM73"/>
    <mergeCell ref="MVN67:MVN73"/>
    <mergeCell ref="MVO67:MVO73"/>
    <mergeCell ref="MVP67:MVP73"/>
    <mergeCell ref="MVQ67:MVQ73"/>
    <mergeCell ref="MVR67:MVR73"/>
    <mergeCell ref="MVG67:MVG73"/>
    <mergeCell ref="MVH67:MVH73"/>
    <mergeCell ref="MVI67:MVI73"/>
    <mergeCell ref="MVJ67:MVJ73"/>
    <mergeCell ref="MVK67:MVK73"/>
    <mergeCell ref="MVL67:MVL73"/>
    <mergeCell ref="MXU67:MXU73"/>
    <mergeCell ref="MXV67:MXV73"/>
    <mergeCell ref="MXW67:MXW73"/>
    <mergeCell ref="MXX67:MXX73"/>
    <mergeCell ref="MXY67:MXY73"/>
    <mergeCell ref="MXZ67:MXZ73"/>
    <mergeCell ref="MXO67:MXO73"/>
    <mergeCell ref="MXP67:MXP73"/>
    <mergeCell ref="MXQ67:MXQ73"/>
    <mergeCell ref="MXR67:MXR73"/>
    <mergeCell ref="MXS67:MXS73"/>
    <mergeCell ref="MXT67:MXT73"/>
    <mergeCell ref="MXI67:MXI73"/>
    <mergeCell ref="MXJ67:MXJ73"/>
    <mergeCell ref="MXK67:MXK73"/>
    <mergeCell ref="MXL67:MXL73"/>
    <mergeCell ref="MXM67:MXM73"/>
    <mergeCell ref="MXN67:MXN73"/>
    <mergeCell ref="MXC67:MXC73"/>
    <mergeCell ref="MXD67:MXD73"/>
    <mergeCell ref="MXE67:MXE73"/>
    <mergeCell ref="MXF67:MXF73"/>
    <mergeCell ref="MXG67:MXG73"/>
    <mergeCell ref="MXH67:MXH73"/>
    <mergeCell ref="MWW67:MWW73"/>
    <mergeCell ref="MWX67:MWX73"/>
    <mergeCell ref="MWY67:MWY73"/>
    <mergeCell ref="MWZ67:MWZ73"/>
    <mergeCell ref="MXA67:MXA73"/>
    <mergeCell ref="MXB67:MXB73"/>
    <mergeCell ref="MWQ67:MWQ73"/>
    <mergeCell ref="MWR67:MWR73"/>
    <mergeCell ref="MWS67:MWS73"/>
    <mergeCell ref="MWT67:MWT73"/>
    <mergeCell ref="MWU67:MWU73"/>
    <mergeCell ref="MWV67:MWV73"/>
    <mergeCell ref="MZE67:MZE73"/>
    <mergeCell ref="MZF67:MZF73"/>
    <mergeCell ref="MZG67:MZG73"/>
    <mergeCell ref="MZH67:MZH73"/>
    <mergeCell ref="MZI67:MZI73"/>
    <mergeCell ref="MZJ67:MZJ73"/>
    <mergeCell ref="MYY67:MYY73"/>
    <mergeCell ref="MYZ67:MYZ73"/>
    <mergeCell ref="MZA67:MZA73"/>
    <mergeCell ref="MZB67:MZB73"/>
    <mergeCell ref="MZC67:MZC73"/>
    <mergeCell ref="MZD67:MZD73"/>
    <mergeCell ref="MYS67:MYS73"/>
    <mergeCell ref="MYT67:MYT73"/>
    <mergeCell ref="MYU67:MYU73"/>
    <mergeCell ref="MYV67:MYV73"/>
    <mergeCell ref="MYW67:MYW73"/>
    <mergeCell ref="MYX67:MYX73"/>
    <mergeCell ref="MYM67:MYM73"/>
    <mergeCell ref="MYN67:MYN73"/>
    <mergeCell ref="MYO67:MYO73"/>
    <mergeCell ref="MYP67:MYP73"/>
    <mergeCell ref="MYQ67:MYQ73"/>
    <mergeCell ref="MYR67:MYR73"/>
    <mergeCell ref="MYG67:MYG73"/>
    <mergeCell ref="MYH67:MYH73"/>
    <mergeCell ref="MYI67:MYI73"/>
    <mergeCell ref="MYJ67:MYJ73"/>
    <mergeCell ref="MYK67:MYK73"/>
    <mergeCell ref="MYL67:MYL73"/>
    <mergeCell ref="MYA67:MYA73"/>
    <mergeCell ref="MYB67:MYB73"/>
    <mergeCell ref="MYC67:MYC73"/>
    <mergeCell ref="MYD67:MYD73"/>
    <mergeCell ref="MYE67:MYE73"/>
    <mergeCell ref="MYF67:MYF73"/>
    <mergeCell ref="NAO67:NAO73"/>
    <mergeCell ref="NAP67:NAP73"/>
    <mergeCell ref="NAQ67:NAQ73"/>
    <mergeCell ref="NAR67:NAR73"/>
    <mergeCell ref="NAS67:NAS73"/>
    <mergeCell ref="NAT67:NAT73"/>
    <mergeCell ref="NAI67:NAI73"/>
    <mergeCell ref="NAJ67:NAJ73"/>
    <mergeCell ref="NAK67:NAK73"/>
    <mergeCell ref="NAL67:NAL73"/>
    <mergeCell ref="NAM67:NAM73"/>
    <mergeCell ref="NAN67:NAN73"/>
    <mergeCell ref="NAC67:NAC73"/>
    <mergeCell ref="NAD67:NAD73"/>
    <mergeCell ref="NAE67:NAE73"/>
    <mergeCell ref="NAF67:NAF73"/>
    <mergeCell ref="NAG67:NAG73"/>
    <mergeCell ref="NAH67:NAH73"/>
    <mergeCell ref="MZW67:MZW73"/>
    <mergeCell ref="MZX67:MZX73"/>
    <mergeCell ref="MZY67:MZY73"/>
    <mergeCell ref="MZZ67:MZZ73"/>
    <mergeCell ref="NAA67:NAA73"/>
    <mergeCell ref="NAB67:NAB73"/>
    <mergeCell ref="MZQ67:MZQ73"/>
    <mergeCell ref="MZR67:MZR73"/>
    <mergeCell ref="MZS67:MZS73"/>
    <mergeCell ref="MZT67:MZT73"/>
    <mergeCell ref="MZU67:MZU73"/>
    <mergeCell ref="MZV67:MZV73"/>
    <mergeCell ref="MZK67:MZK73"/>
    <mergeCell ref="MZL67:MZL73"/>
    <mergeCell ref="MZM67:MZM73"/>
    <mergeCell ref="MZN67:MZN73"/>
    <mergeCell ref="MZO67:MZO73"/>
    <mergeCell ref="MZP67:MZP73"/>
    <mergeCell ref="NBY67:NBY73"/>
    <mergeCell ref="NBZ67:NBZ73"/>
    <mergeCell ref="NCA67:NCA73"/>
    <mergeCell ref="NCB67:NCB73"/>
    <mergeCell ref="NCC67:NCC73"/>
    <mergeCell ref="NCD67:NCD73"/>
    <mergeCell ref="NBS67:NBS73"/>
    <mergeCell ref="NBT67:NBT73"/>
    <mergeCell ref="NBU67:NBU73"/>
    <mergeCell ref="NBV67:NBV73"/>
    <mergeCell ref="NBW67:NBW73"/>
    <mergeCell ref="NBX67:NBX73"/>
    <mergeCell ref="NBM67:NBM73"/>
    <mergeCell ref="NBN67:NBN73"/>
    <mergeCell ref="NBO67:NBO73"/>
    <mergeCell ref="NBP67:NBP73"/>
    <mergeCell ref="NBQ67:NBQ73"/>
    <mergeCell ref="NBR67:NBR73"/>
    <mergeCell ref="NBG67:NBG73"/>
    <mergeCell ref="NBH67:NBH73"/>
    <mergeCell ref="NBI67:NBI73"/>
    <mergeCell ref="NBJ67:NBJ73"/>
    <mergeCell ref="NBK67:NBK73"/>
    <mergeCell ref="NBL67:NBL73"/>
    <mergeCell ref="NBA67:NBA73"/>
    <mergeCell ref="NBB67:NBB73"/>
    <mergeCell ref="NBC67:NBC73"/>
    <mergeCell ref="NBD67:NBD73"/>
    <mergeCell ref="NBE67:NBE73"/>
    <mergeCell ref="NBF67:NBF73"/>
    <mergeCell ref="NAU67:NAU73"/>
    <mergeCell ref="NAV67:NAV73"/>
    <mergeCell ref="NAW67:NAW73"/>
    <mergeCell ref="NAX67:NAX73"/>
    <mergeCell ref="NAY67:NAY73"/>
    <mergeCell ref="NAZ67:NAZ73"/>
    <mergeCell ref="NDI67:NDI73"/>
    <mergeCell ref="NDJ67:NDJ73"/>
    <mergeCell ref="NDK67:NDK73"/>
    <mergeCell ref="NDL67:NDL73"/>
    <mergeCell ref="NDM67:NDM73"/>
    <mergeCell ref="NDN67:NDN73"/>
    <mergeCell ref="NDC67:NDC73"/>
    <mergeCell ref="NDD67:NDD73"/>
    <mergeCell ref="NDE67:NDE73"/>
    <mergeCell ref="NDF67:NDF73"/>
    <mergeCell ref="NDG67:NDG73"/>
    <mergeCell ref="NDH67:NDH73"/>
    <mergeCell ref="NCW67:NCW73"/>
    <mergeCell ref="NCX67:NCX73"/>
    <mergeCell ref="NCY67:NCY73"/>
    <mergeCell ref="NCZ67:NCZ73"/>
    <mergeCell ref="NDA67:NDA73"/>
    <mergeCell ref="NDB67:NDB73"/>
    <mergeCell ref="NCQ67:NCQ73"/>
    <mergeCell ref="NCR67:NCR73"/>
    <mergeCell ref="NCS67:NCS73"/>
    <mergeCell ref="NCT67:NCT73"/>
    <mergeCell ref="NCU67:NCU73"/>
    <mergeCell ref="NCV67:NCV73"/>
    <mergeCell ref="NCK67:NCK73"/>
    <mergeCell ref="NCL67:NCL73"/>
    <mergeCell ref="NCM67:NCM73"/>
    <mergeCell ref="NCN67:NCN73"/>
    <mergeCell ref="NCO67:NCO73"/>
    <mergeCell ref="NCP67:NCP73"/>
    <mergeCell ref="NCE67:NCE73"/>
    <mergeCell ref="NCF67:NCF73"/>
    <mergeCell ref="NCG67:NCG73"/>
    <mergeCell ref="NCH67:NCH73"/>
    <mergeCell ref="NCI67:NCI73"/>
    <mergeCell ref="NCJ67:NCJ73"/>
    <mergeCell ref="NES67:NES73"/>
    <mergeCell ref="NET67:NET73"/>
    <mergeCell ref="NEU67:NEU73"/>
    <mergeCell ref="NEV67:NEV73"/>
    <mergeCell ref="NEW67:NEW73"/>
    <mergeCell ref="NEX67:NEX73"/>
    <mergeCell ref="NEM67:NEM73"/>
    <mergeCell ref="NEN67:NEN73"/>
    <mergeCell ref="NEO67:NEO73"/>
    <mergeCell ref="NEP67:NEP73"/>
    <mergeCell ref="NEQ67:NEQ73"/>
    <mergeCell ref="NER67:NER73"/>
    <mergeCell ref="NEG67:NEG73"/>
    <mergeCell ref="NEH67:NEH73"/>
    <mergeCell ref="NEI67:NEI73"/>
    <mergeCell ref="NEJ67:NEJ73"/>
    <mergeCell ref="NEK67:NEK73"/>
    <mergeCell ref="NEL67:NEL73"/>
    <mergeCell ref="NEA67:NEA73"/>
    <mergeCell ref="NEB67:NEB73"/>
    <mergeCell ref="NEC67:NEC73"/>
    <mergeCell ref="NED67:NED73"/>
    <mergeCell ref="NEE67:NEE73"/>
    <mergeCell ref="NEF67:NEF73"/>
    <mergeCell ref="NDU67:NDU73"/>
    <mergeCell ref="NDV67:NDV73"/>
    <mergeCell ref="NDW67:NDW73"/>
    <mergeCell ref="NDX67:NDX73"/>
    <mergeCell ref="NDY67:NDY73"/>
    <mergeCell ref="NDZ67:NDZ73"/>
    <mergeCell ref="NDO67:NDO73"/>
    <mergeCell ref="NDP67:NDP73"/>
    <mergeCell ref="NDQ67:NDQ73"/>
    <mergeCell ref="NDR67:NDR73"/>
    <mergeCell ref="NDS67:NDS73"/>
    <mergeCell ref="NDT67:NDT73"/>
    <mergeCell ref="NGC67:NGC73"/>
    <mergeCell ref="NGD67:NGD73"/>
    <mergeCell ref="NGE67:NGE73"/>
    <mergeCell ref="NGF67:NGF73"/>
    <mergeCell ref="NGG67:NGG73"/>
    <mergeCell ref="NGH67:NGH73"/>
    <mergeCell ref="NFW67:NFW73"/>
    <mergeCell ref="NFX67:NFX73"/>
    <mergeCell ref="NFY67:NFY73"/>
    <mergeCell ref="NFZ67:NFZ73"/>
    <mergeCell ref="NGA67:NGA73"/>
    <mergeCell ref="NGB67:NGB73"/>
    <mergeCell ref="NFQ67:NFQ73"/>
    <mergeCell ref="NFR67:NFR73"/>
    <mergeCell ref="NFS67:NFS73"/>
    <mergeCell ref="NFT67:NFT73"/>
    <mergeCell ref="NFU67:NFU73"/>
    <mergeCell ref="NFV67:NFV73"/>
    <mergeCell ref="NFK67:NFK73"/>
    <mergeCell ref="NFL67:NFL73"/>
    <mergeCell ref="NFM67:NFM73"/>
    <mergeCell ref="NFN67:NFN73"/>
    <mergeCell ref="NFO67:NFO73"/>
    <mergeCell ref="NFP67:NFP73"/>
    <mergeCell ref="NFE67:NFE73"/>
    <mergeCell ref="NFF67:NFF73"/>
    <mergeCell ref="NFG67:NFG73"/>
    <mergeCell ref="NFH67:NFH73"/>
    <mergeCell ref="NFI67:NFI73"/>
    <mergeCell ref="NFJ67:NFJ73"/>
    <mergeCell ref="NEY67:NEY73"/>
    <mergeCell ref="NEZ67:NEZ73"/>
    <mergeCell ref="NFA67:NFA73"/>
    <mergeCell ref="NFB67:NFB73"/>
    <mergeCell ref="NFC67:NFC73"/>
    <mergeCell ref="NFD67:NFD73"/>
    <mergeCell ref="NHM67:NHM73"/>
    <mergeCell ref="NHN67:NHN73"/>
    <mergeCell ref="NHO67:NHO73"/>
    <mergeCell ref="NHP67:NHP73"/>
    <mergeCell ref="NHQ67:NHQ73"/>
    <mergeCell ref="NHR67:NHR73"/>
    <mergeCell ref="NHG67:NHG73"/>
    <mergeCell ref="NHH67:NHH73"/>
    <mergeCell ref="NHI67:NHI73"/>
    <mergeCell ref="NHJ67:NHJ73"/>
    <mergeCell ref="NHK67:NHK73"/>
    <mergeCell ref="NHL67:NHL73"/>
    <mergeCell ref="NHA67:NHA73"/>
    <mergeCell ref="NHB67:NHB73"/>
    <mergeCell ref="NHC67:NHC73"/>
    <mergeCell ref="NHD67:NHD73"/>
    <mergeCell ref="NHE67:NHE73"/>
    <mergeCell ref="NHF67:NHF73"/>
    <mergeCell ref="NGU67:NGU73"/>
    <mergeCell ref="NGV67:NGV73"/>
    <mergeCell ref="NGW67:NGW73"/>
    <mergeCell ref="NGX67:NGX73"/>
    <mergeCell ref="NGY67:NGY73"/>
    <mergeCell ref="NGZ67:NGZ73"/>
    <mergeCell ref="NGO67:NGO73"/>
    <mergeCell ref="NGP67:NGP73"/>
    <mergeCell ref="NGQ67:NGQ73"/>
    <mergeCell ref="NGR67:NGR73"/>
    <mergeCell ref="NGS67:NGS73"/>
    <mergeCell ref="NGT67:NGT73"/>
    <mergeCell ref="NGI67:NGI73"/>
    <mergeCell ref="NGJ67:NGJ73"/>
    <mergeCell ref="NGK67:NGK73"/>
    <mergeCell ref="NGL67:NGL73"/>
    <mergeCell ref="NGM67:NGM73"/>
    <mergeCell ref="NGN67:NGN73"/>
    <mergeCell ref="NIW67:NIW73"/>
    <mergeCell ref="NIX67:NIX73"/>
    <mergeCell ref="NIY67:NIY73"/>
    <mergeCell ref="NIZ67:NIZ73"/>
    <mergeCell ref="NJA67:NJA73"/>
    <mergeCell ref="NJB67:NJB73"/>
    <mergeCell ref="NIQ67:NIQ73"/>
    <mergeCell ref="NIR67:NIR73"/>
    <mergeCell ref="NIS67:NIS73"/>
    <mergeCell ref="NIT67:NIT73"/>
    <mergeCell ref="NIU67:NIU73"/>
    <mergeCell ref="NIV67:NIV73"/>
    <mergeCell ref="NIK67:NIK73"/>
    <mergeCell ref="NIL67:NIL73"/>
    <mergeCell ref="NIM67:NIM73"/>
    <mergeCell ref="NIN67:NIN73"/>
    <mergeCell ref="NIO67:NIO73"/>
    <mergeCell ref="NIP67:NIP73"/>
    <mergeCell ref="NIE67:NIE73"/>
    <mergeCell ref="NIF67:NIF73"/>
    <mergeCell ref="NIG67:NIG73"/>
    <mergeCell ref="NIH67:NIH73"/>
    <mergeCell ref="NII67:NII73"/>
    <mergeCell ref="NIJ67:NIJ73"/>
    <mergeCell ref="NHY67:NHY73"/>
    <mergeCell ref="NHZ67:NHZ73"/>
    <mergeCell ref="NIA67:NIA73"/>
    <mergeCell ref="NIB67:NIB73"/>
    <mergeCell ref="NIC67:NIC73"/>
    <mergeCell ref="NID67:NID73"/>
    <mergeCell ref="NHS67:NHS73"/>
    <mergeCell ref="NHT67:NHT73"/>
    <mergeCell ref="NHU67:NHU73"/>
    <mergeCell ref="NHV67:NHV73"/>
    <mergeCell ref="NHW67:NHW73"/>
    <mergeCell ref="NHX67:NHX73"/>
    <mergeCell ref="NKG67:NKG73"/>
    <mergeCell ref="NKH67:NKH73"/>
    <mergeCell ref="NKI67:NKI73"/>
    <mergeCell ref="NKJ67:NKJ73"/>
    <mergeCell ref="NKK67:NKK73"/>
    <mergeCell ref="NKL67:NKL73"/>
    <mergeCell ref="NKA67:NKA73"/>
    <mergeCell ref="NKB67:NKB73"/>
    <mergeCell ref="NKC67:NKC73"/>
    <mergeCell ref="NKD67:NKD73"/>
    <mergeCell ref="NKE67:NKE73"/>
    <mergeCell ref="NKF67:NKF73"/>
    <mergeCell ref="NJU67:NJU73"/>
    <mergeCell ref="NJV67:NJV73"/>
    <mergeCell ref="NJW67:NJW73"/>
    <mergeCell ref="NJX67:NJX73"/>
    <mergeCell ref="NJY67:NJY73"/>
    <mergeCell ref="NJZ67:NJZ73"/>
    <mergeCell ref="NJO67:NJO73"/>
    <mergeCell ref="NJP67:NJP73"/>
    <mergeCell ref="NJQ67:NJQ73"/>
    <mergeCell ref="NJR67:NJR73"/>
    <mergeCell ref="NJS67:NJS73"/>
    <mergeCell ref="NJT67:NJT73"/>
    <mergeCell ref="NJI67:NJI73"/>
    <mergeCell ref="NJJ67:NJJ73"/>
    <mergeCell ref="NJK67:NJK73"/>
    <mergeCell ref="NJL67:NJL73"/>
    <mergeCell ref="NJM67:NJM73"/>
    <mergeCell ref="NJN67:NJN73"/>
    <mergeCell ref="NJC67:NJC73"/>
    <mergeCell ref="NJD67:NJD73"/>
    <mergeCell ref="NJE67:NJE73"/>
    <mergeCell ref="NJF67:NJF73"/>
    <mergeCell ref="NJG67:NJG73"/>
    <mergeCell ref="NJH67:NJH73"/>
    <mergeCell ref="NLQ67:NLQ73"/>
    <mergeCell ref="NLR67:NLR73"/>
    <mergeCell ref="NLS67:NLS73"/>
    <mergeCell ref="NLT67:NLT73"/>
    <mergeCell ref="NLU67:NLU73"/>
    <mergeCell ref="NLV67:NLV73"/>
    <mergeCell ref="NLK67:NLK73"/>
    <mergeCell ref="NLL67:NLL73"/>
    <mergeCell ref="NLM67:NLM73"/>
    <mergeCell ref="NLN67:NLN73"/>
    <mergeCell ref="NLO67:NLO73"/>
    <mergeCell ref="NLP67:NLP73"/>
    <mergeCell ref="NLE67:NLE73"/>
    <mergeCell ref="NLF67:NLF73"/>
    <mergeCell ref="NLG67:NLG73"/>
    <mergeCell ref="NLH67:NLH73"/>
    <mergeCell ref="NLI67:NLI73"/>
    <mergeCell ref="NLJ67:NLJ73"/>
    <mergeCell ref="NKY67:NKY73"/>
    <mergeCell ref="NKZ67:NKZ73"/>
    <mergeCell ref="NLA67:NLA73"/>
    <mergeCell ref="NLB67:NLB73"/>
    <mergeCell ref="NLC67:NLC73"/>
    <mergeCell ref="NLD67:NLD73"/>
    <mergeCell ref="NKS67:NKS73"/>
    <mergeCell ref="NKT67:NKT73"/>
    <mergeCell ref="NKU67:NKU73"/>
    <mergeCell ref="NKV67:NKV73"/>
    <mergeCell ref="NKW67:NKW73"/>
    <mergeCell ref="NKX67:NKX73"/>
    <mergeCell ref="NKM67:NKM73"/>
    <mergeCell ref="NKN67:NKN73"/>
    <mergeCell ref="NKO67:NKO73"/>
    <mergeCell ref="NKP67:NKP73"/>
    <mergeCell ref="NKQ67:NKQ73"/>
    <mergeCell ref="NKR67:NKR73"/>
    <mergeCell ref="NNA67:NNA73"/>
    <mergeCell ref="NNB67:NNB73"/>
    <mergeCell ref="NNC67:NNC73"/>
    <mergeCell ref="NND67:NND73"/>
    <mergeCell ref="NNE67:NNE73"/>
    <mergeCell ref="NNF67:NNF73"/>
    <mergeCell ref="NMU67:NMU73"/>
    <mergeCell ref="NMV67:NMV73"/>
    <mergeCell ref="NMW67:NMW73"/>
    <mergeCell ref="NMX67:NMX73"/>
    <mergeCell ref="NMY67:NMY73"/>
    <mergeCell ref="NMZ67:NMZ73"/>
    <mergeCell ref="NMO67:NMO73"/>
    <mergeCell ref="NMP67:NMP73"/>
    <mergeCell ref="NMQ67:NMQ73"/>
    <mergeCell ref="NMR67:NMR73"/>
    <mergeCell ref="NMS67:NMS73"/>
    <mergeCell ref="NMT67:NMT73"/>
    <mergeCell ref="NMI67:NMI73"/>
    <mergeCell ref="NMJ67:NMJ73"/>
    <mergeCell ref="NMK67:NMK73"/>
    <mergeCell ref="NML67:NML73"/>
    <mergeCell ref="NMM67:NMM73"/>
    <mergeCell ref="NMN67:NMN73"/>
    <mergeCell ref="NMC67:NMC73"/>
    <mergeCell ref="NMD67:NMD73"/>
    <mergeCell ref="NME67:NME73"/>
    <mergeCell ref="NMF67:NMF73"/>
    <mergeCell ref="NMG67:NMG73"/>
    <mergeCell ref="NMH67:NMH73"/>
    <mergeCell ref="NLW67:NLW73"/>
    <mergeCell ref="NLX67:NLX73"/>
    <mergeCell ref="NLY67:NLY73"/>
    <mergeCell ref="NLZ67:NLZ73"/>
    <mergeCell ref="NMA67:NMA73"/>
    <mergeCell ref="NMB67:NMB73"/>
    <mergeCell ref="NOK67:NOK73"/>
    <mergeCell ref="NOL67:NOL73"/>
    <mergeCell ref="NOM67:NOM73"/>
    <mergeCell ref="NON67:NON73"/>
    <mergeCell ref="NOO67:NOO73"/>
    <mergeCell ref="NOP67:NOP73"/>
    <mergeCell ref="NOE67:NOE73"/>
    <mergeCell ref="NOF67:NOF73"/>
    <mergeCell ref="NOG67:NOG73"/>
    <mergeCell ref="NOH67:NOH73"/>
    <mergeCell ref="NOI67:NOI73"/>
    <mergeCell ref="NOJ67:NOJ73"/>
    <mergeCell ref="NNY67:NNY73"/>
    <mergeCell ref="NNZ67:NNZ73"/>
    <mergeCell ref="NOA67:NOA73"/>
    <mergeCell ref="NOB67:NOB73"/>
    <mergeCell ref="NOC67:NOC73"/>
    <mergeCell ref="NOD67:NOD73"/>
    <mergeCell ref="NNS67:NNS73"/>
    <mergeCell ref="NNT67:NNT73"/>
    <mergeCell ref="NNU67:NNU73"/>
    <mergeCell ref="NNV67:NNV73"/>
    <mergeCell ref="NNW67:NNW73"/>
    <mergeCell ref="NNX67:NNX73"/>
    <mergeCell ref="NNM67:NNM73"/>
    <mergeCell ref="NNN67:NNN73"/>
    <mergeCell ref="NNO67:NNO73"/>
    <mergeCell ref="NNP67:NNP73"/>
    <mergeCell ref="NNQ67:NNQ73"/>
    <mergeCell ref="NNR67:NNR73"/>
    <mergeCell ref="NNG67:NNG73"/>
    <mergeCell ref="NNH67:NNH73"/>
    <mergeCell ref="NNI67:NNI73"/>
    <mergeCell ref="NNJ67:NNJ73"/>
    <mergeCell ref="NNK67:NNK73"/>
    <mergeCell ref="NNL67:NNL73"/>
    <mergeCell ref="NPU67:NPU73"/>
    <mergeCell ref="NPV67:NPV73"/>
    <mergeCell ref="NPW67:NPW73"/>
    <mergeCell ref="NPX67:NPX73"/>
    <mergeCell ref="NPY67:NPY73"/>
    <mergeCell ref="NPZ67:NPZ73"/>
    <mergeCell ref="NPO67:NPO73"/>
    <mergeCell ref="NPP67:NPP73"/>
    <mergeCell ref="NPQ67:NPQ73"/>
    <mergeCell ref="NPR67:NPR73"/>
    <mergeCell ref="NPS67:NPS73"/>
    <mergeCell ref="NPT67:NPT73"/>
    <mergeCell ref="NPI67:NPI73"/>
    <mergeCell ref="NPJ67:NPJ73"/>
    <mergeCell ref="NPK67:NPK73"/>
    <mergeCell ref="NPL67:NPL73"/>
    <mergeCell ref="NPM67:NPM73"/>
    <mergeCell ref="NPN67:NPN73"/>
    <mergeCell ref="NPC67:NPC73"/>
    <mergeCell ref="NPD67:NPD73"/>
    <mergeCell ref="NPE67:NPE73"/>
    <mergeCell ref="NPF67:NPF73"/>
    <mergeCell ref="NPG67:NPG73"/>
    <mergeCell ref="NPH67:NPH73"/>
    <mergeCell ref="NOW67:NOW73"/>
    <mergeCell ref="NOX67:NOX73"/>
    <mergeCell ref="NOY67:NOY73"/>
    <mergeCell ref="NOZ67:NOZ73"/>
    <mergeCell ref="NPA67:NPA73"/>
    <mergeCell ref="NPB67:NPB73"/>
    <mergeCell ref="NOQ67:NOQ73"/>
    <mergeCell ref="NOR67:NOR73"/>
    <mergeCell ref="NOS67:NOS73"/>
    <mergeCell ref="NOT67:NOT73"/>
    <mergeCell ref="NOU67:NOU73"/>
    <mergeCell ref="NOV67:NOV73"/>
    <mergeCell ref="NRE67:NRE73"/>
    <mergeCell ref="NRF67:NRF73"/>
    <mergeCell ref="NRG67:NRG73"/>
    <mergeCell ref="NRH67:NRH73"/>
    <mergeCell ref="NRI67:NRI73"/>
    <mergeCell ref="NRJ67:NRJ73"/>
    <mergeCell ref="NQY67:NQY73"/>
    <mergeCell ref="NQZ67:NQZ73"/>
    <mergeCell ref="NRA67:NRA73"/>
    <mergeCell ref="NRB67:NRB73"/>
    <mergeCell ref="NRC67:NRC73"/>
    <mergeCell ref="NRD67:NRD73"/>
    <mergeCell ref="NQS67:NQS73"/>
    <mergeCell ref="NQT67:NQT73"/>
    <mergeCell ref="NQU67:NQU73"/>
    <mergeCell ref="NQV67:NQV73"/>
    <mergeCell ref="NQW67:NQW73"/>
    <mergeCell ref="NQX67:NQX73"/>
    <mergeCell ref="NQM67:NQM73"/>
    <mergeCell ref="NQN67:NQN73"/>
    <mergeCell ref="NQO67:NQO73"/>
    <mergeCell ref="NQP67:NQP73"/>
    <mergeCell ref="NQQ67:NQQ73"/>
    <mergeCell ref="NQR67:NQR73"/>
    <mergeCell ref="NQG67:NQG73"/>
    <mergeCell ref="NQH67:NQH73"/>
    <mergeCell ref="NQI67:NQI73"/>
    <mergeCell ref="NQJ67:NQJ73"/>
    <mergeCell ref="NQK67:NQK73"/>
    <mergeCell ref="NQL67:NQL73"/>
    <mergeCell ref="NQA67:NQA73"/>
    <mergeCell ref="NQB67:NQB73"/>
    <mergeCell ref="NQC67:NQC73"/>
    <mergeCell ref="NQD67:NQD73"/>
    <mergeCell ref="NQE67:NQE73"/>
    <mergeCell ref="NQF67:NQF73"/>
    <mergeCell ref="NSO67:NSO73"/>
    <mergeCell ref="NSP67:NSP73"/>
    <mergeCell ref="NSQ67:NSQ73"/>
    <mergeCell ref="NSR67:NSR73"/>
    <mergeCell ref="NSS67:NSS73"/>
    <mergeCell ref="NST67:NST73"/>
    <mergeCell ref="NSI67:NSI73"/>
    <mergeCell ref="NSJ67:NSJ73"/>
    <mergeCell ref="NSK67:NSK73"/>
    <mergeCell ref="NSL67:NSL73"/>
    <mergeCell ref="NSM67:NSM73"/>
    <mergeCell ref="NSN67:NSN73"/>
    <mergeCell ref="NSC67:NSC73"/>
    <mergeCell ref="NSD67:NSD73"/>
    <mergeCell ref="NSE67:NSE73"/>
    <mergeCell ref="NSF67:NSF73"/>
    <mergeCell ref="NSG67:NSG73"/>
    <mergeCell ref="NSH67:NSH73"/>
    <mergeCell ref="NRW67:NRW73"/>
    <mergeCell ref="NRX67:NRX73"/>
    <mergeCell ref="NRY67:NRY73"/>
    <mergeCell ref="NRZ67:NRZ73"/>
    <mergeCell ref="NSA67:NSA73"/>
    <mergeCell ref="NSB67:NSB73"/>
    <mergeCell ref="NRQ67:NRQ73"/>
    <mergeCell ref="NRR67:NRR73"/>
    <mergeCell ref="NRS67:NRS73"/>
    <mergeCell ref="NRT67:NRT73"/>
    <mergeCell ref="NRU67:NRU73"/>
    <mergeCell ref="NRV67:NRV73"/>
    <mergeCell ref="NRK67:NRK73"/>
    <mergeCell ref="NRL67:NRL73"/>
    <mergeCell ref="NRM67:NRM73"/>
    <mergeCell ref="NRN67:NRN73"/>
    <mergeCell ref="NRO67:NRO73"/>
    <mergeCell ref="NRP67:NRP73"/>
    <mergeCell ref="NTY67:NTY73"/>
    <mergeCell ref="NTZ67:NTZ73"/>
    <mergeCell ref="NUA67:NUA73"/>
    <mergeCell ref="NUB67:NUB73"/>
    <mergeCell ref="NUC67:NUC73"/>
    <mergeCell ref="NUD67:NUD73"/>
    <mergeCell ref="NTS67:NTS73"/>
    <mergeCell ref="NTT67:NTT73"/>
    <mergeCell ref="NTU67:NTU73"/>
    <mergeCell ref="NTV67:NTV73"/>
    <mergeCell ref="NTW67:NTW73"/>
    <mergeCell ref="NTX67:NTX73"/>
    <mergeCell ref="NTM67:NTM73"/>
    <mergeCell ref="NTN67:NTN73"/>
    <mergeCell ref="NTO67:NTO73"/>
    <mergeCell ref="NTP67:NTP73"/>
    <mergeCell ref="NTQ67:NTQ73"/>
    <mergeCell ref="NTR67:NTR73"/>
    <mergeCell ref="NTG67:NTG73"/>
    <mergeCell ref="NTH67:NTH73"/>
    <mergeCell ref="NTI67:NTI73"/>
    <mergeCell ref="NTJ67:NTJ73"/>
    <mergeCell ref="NTK67:NTK73"/>
    <mergeCell ref="NTL67:NTL73"/>
    <mergeCell ref="NTA67:NTA73"/>
    <mergeCell ref="NTB67:NTB73"/>
    <mergeCell ref="NTC67:NTC73"/>
    <mergeCell ref="NTD67:NTD73"/>
    <mergeCell ref="NTE67:NTE73"/>
    <mergeCell ref="NTF67:NTF73"/>
    <mergeCell ref="NSU67:NSU73"/>
    <mergeCell ref="NSV67:NSV73"/>
    <mergeCell ref="NSW67:NSW73"/>
    <mergeCell ref="NSX67:NSX73"/>
    <mergeCell ref="NSY67:NSY73"/>
    <mergeCell ref="NSZ67:NSZ73"/>
    <mergeCell ref="NVI67:NVI73"/>
    <mergeCell ref="NVJ67:NVJ73"/>
    <mergeCell ref="NVK67:NVK73"/>
    <mergeCell ref="NVL67:NVL73"/>
    <mergeCell ref="NVM67:NVM73"/>
    <mergeCell ref="NVN67:NVN73"/>
    <mergeCell ref="NVC67:NVC73"/>
    <mergeCell ref="NVD67:NVD73"/>
    <mergeCell ref="NVE67:NVE73"/>
    <mergeCell ref="NVF67:NVF73"/>
    <mergeCell ref="NVG67:NVG73"/>
    <mergeCell ref="NVH67:NVH73"/>
    <mergeCell ref="NUW67:NUW73"/>
    <mergeCell ref="NUX67:NUX73"/>
    <mergeCell ref="NUY67:NUY73"/>
    <mergeCell ref="NUZ67:NUZ73"/>
    <mergeCell ref="NVA67:NVA73"/>
    <mergeCell ref="NVB67:NVB73"/>
    <mergeCell ref="NUQ67:NUQ73"/>
    <mergeCell ref="NUR67:NUR73"/>
    <mergeCell ref="NUS67:NUS73"/>
    <mergeCell ref="NUT67:NUT73"/>
    <mergeCell ref="NUU67:NUU73"/>
    <mergeCell ref="NUV67:NUV73"/>
    <mergeCell ref="NUK67:NUK73"/>
    <mergeCell ref="NUL67:NUL73"/>
    <mergeCell ref="NUM67:NUM73"/>
    <mergeCell ref="NUN67:NUN73"/>
    <mergeCell ref="NUO67:NUO73"/>
    <mergeCell ref="NUP67:NUP73"/>
    <mergeCell ref="NUE67:NUE73"/>
    <mergeCell ref="NUF67:NUF73"/>
    <mergeCell ref="NUG67:NUG73"/>
    <mergeCell ref="NUH67:NUH73"/>
    <mergeCell ref="NUI67:NUI73"/>
    <mergeCell ref="NUJ67:NUJ73"/>
    <mergeCell ref="NWS67:NWS73"/>
    <mergeCell ref="NWT67:NWT73"/>
    <mergeCell ref="NWU67:NWU73"/>
    <mergeCell ref="NWV67:NWV73"/>
    <mergeCell ref="NWW67:NWW73"/>
    <mergeCell ref="NWX67:NWX73"/>
    <mergeCell ref="NWM67:NWM73"/>
    <mergeCell ref="NWN67:NWN73"/>
    <mergeCell ref="NWO67:NWO73"/>
    <mergeCell ref="NWP67:NWP73"/>
    <mergeCell ref="NWQ67:NWQ73"/>
    <mergeCell ref="NWR67:NWR73"/>
    <mergeCell ref="NWG67:NWG73"/>
    <mergeCell ref="NWH67:NWH73"/>
    <mergeCell ref="NWI67:NWI73"/>
    <mergeCell ref="NWJ67:NWJ73"/>
    <mergeCell ref="NWK67:NWK73"/>
    <mergeCell ref="NWL67:NWL73"/>
    <mergeCell ref="NWA67:NWA73"/>
    <mergeCell ref="NWB67:NWB73"/>
    <mergeCell ref="NWC67:NWC73"/>
    <mergeCell ref="NWD67:NWD73"/>
    <mergeCell ref="NWE67:NWE73"/>
    <mergeCell ref="NWF67:NWF73"/>
    <mergeCell ref="NVU67:NVU73"/>
    <mergeCell ref="NVV67:NVV73"/>
    <mergeCell ref="NVW67:NVW73"/>
    <mergeCell ref="NVX67:NVX73"/>
    <mergeCell ref="NVY67:NVY73"/>
    <mergeCell ref="NVZ67:NVZ73"/>
    <mergeCell ref="NVO67:NVO73"/>
    <mergeCell ref="NVP67:NVP73"/>
    <mergeCell ref="NVQ67:NVQ73"/>
    <mergeCell ref="NVR67:NVR73"/>
    <mergeCell ref="NVS67:NVS73"/>
    <mergeCell ref="NVT67:NVT73"/>
    <mergeCell ref="NYC67:NYC73"/>
    <mergeCell ref="NYD67:NYD73"/>
    <mergeCell ref="NYE67:NYE73"/>
    <mergeCell ref="NYF67:NYF73"/>
    <mergeCell ref="NYG67:NYG73"/>
    <mergeCell ref="NYH67:NYH73"/>
    <mergeCell ref="NXW67:NXW73"/>
    <mergeCell ref="NXX67:NXX73"/>
    <mergeCell ref="NXY67:NXY73"/>
    <mergeCell ref="NXZ67:NXZ73"/>
    <mergeCell ref="NYA67:NYA73"/>
    <mergeCell ref="NYB67:NYB73"/>
    <mergeCell ref="NXQ67:NXQ73"/>
    <mergeCell ref="NXR67:NXR73"/>
    <mergeCell ref="NXS67:NXS73"/>
    <mergeCell ref="NXT67:NXT73"/>
    <mergeCell ref="NXU67:NXU73"/>
    <mergeCell ref="NXV67:NXV73"/>
    <mergeCell ref="NXK67:NXK73"/>
    <mergeCell ref="NXL67:NXL73"/>
    <mergeCell ref="NXM67:NXM73"/>
    <mergeCell ref="NXN67:NXN73"/>
    <mergeCell ref="NXO67:NXO73"/>
    <mergeCell ref="NXP67:NXP73"/>
    <mergeCell ref="NXE67:NXE73"/>
    <mergeCell ref="NXF67:NXF73"/>
    <mergeCell ref="NXG67:NXG73"/>
    <mergeCell ref="NXH67:NXH73"/>
    <mergeCell ref="NXI67:NXI73"/>
    <mergeCell ref="NXJ67:NXJ73"/>
    <mergeCell ref="NWY67:NWY73"/>
    <mergeCell ref="NWZ67:NWZ73"/>
    <mergeCell ref="NXA67:NXA73"/>
    <mergeCell ref="NXB67:NXB73"/>
    <mergeCell ref="NXC67:NXC73"/>
    <mergeCell ref="NXD67:NXD73"/>
    <mergeCell ref="NZM67:NZM73"/>
    <mergeCell ref="NZN67:NZN73"/>
    <mergeCell ref="NZO67:NZO73"/>
    <mergeCell ref="NZP67:NZP73"/>
    <mergeCell ref="NZQ67:NZQ73"/>
    <mergeCell ref="NZR67:NZR73"/>
    <mergeCell ref="NZG67:NZG73"/>
    <mergeCell ref="NZH67:NZH73"/>
    <mergeCell ref="NZI67:NZI73"/>
    <mergeCell ref="NZJ67:NZJ73"/>
    <mergeCell ref="NZK67:NZK73"/>
    <mergeCell ref="NZL67:NZL73"/>
    <mergeCell ref="NZA67:NZA73"/>
    <mergeCell ref="NZB67:NZB73"/>
    <mergeCell ref="NZC67:NZC73"/>
    <mergeCell ref="NZD67:NZD73"/>
    <mergeCell ref="NZE67:NZE73"/>
    <mergeCell ref="NZF67:NZF73"/>
    <mergeCell ref="NYU67:NYU73"/>
    <mergeCell ref="NYV67:NYV73"/>
    <mergeCell ref="NYW67:NYW73"/>
    <mergeCell ref="NYX67:NYX73"/>
    <mergeCell ref="NYY67:NYY73"/>
    <mergeCell ref="NYZ67:NYZ73"/>
    <mergeCell ref="NYO67:NYO73"/>
    <mergeCell ref="NYP67:NYP73"/>
    <mergeCell ref="NYQ67:NYQ73"/>
    <mergeCell ref="NYR67:NYR73"/>
    <mergeCell ref="NYS67:NYS73"/>
    <mergeCell ref="NYT67:NYT73"/>
    <mergeCell ref="NYI67:NYI73"/>
    <mergeCell ref="NYJ67:NYJ73"/>
    <mergeCell ref="NYK67:NYK73"/>
    <mergeCell ref="NYL67:NYL73"/>
    <mergeCell ref="NYM67:NYM73"/>
    <mergeCell ref="NYN67:NYN73"/>
    <mergeCell ref="OAW67:OAW73"/>
    <mergeCell ref="OAX67:OAX73"/>
    <mergeCell ref="OAY67:OAY73"/>
    <mergeCell ref="OAZ67:OAZ73"/>
    <mergeCell ref="OBA67:OBA73"/>
    <mergeCell ref="OBB67:OBB73"/>
    <mergeCell ref="OAQ67:OAQ73"/>
    <mergeCell ref="OAR67:OAR73"/>
    <mergeCell ref="OAS67:OAS73"/>
    <mergeCell ref="OAT67:OAT73"/>
    <mergeCell ref="OAU67:OAU73"/>
    <mergeCell ref="OAV67:OAV73"/>
    <mergeCell ref="OAK67:OAK73"/>
    <mergeCell ref="OAL67:OAL73"/>
    <mergeCell ref="OAM67:OAM73"/>
    <mergeCell ref="OAN67:OAN73"/>
    <mergeCell ref="OAO67:OAO73"/>
    <mergeCell ref="OAP67:OAP73"/>
    <mergeCell ref="OAE67:OAE73"/>
    <mergeCell ref="OAF67:OAF73"/>
    <mergeCell ref="OAG67:OAG73"/>
    <mergeCell ref="OAH67:OAH73"/>
    <mergeCell ref="OAI67:OAI73"/>
    <mergeCell ref="OAJ67:OAJ73"/>
    <mergeCell ref="NZY67:NZY73"/>
    <mergeCell ref="NZZ67:NZZ73"/>
    <mergeCell ref="OAA67:OAA73"/>
    <mergeCell ref="OAB67:OAB73"/>
    <mergeCell ref="OAC67:OAC73"/>
    <mergeCell ref="OAD67:OAD73"/>
    <mergeCell ref="NZS67:NZS73"/>
    <mergeCell ref="NZT67:NZT73"/>
    <mergeCell ref="NZU67:NZU73"/>
    <mergeCell ref="NZV67:NZV73"/>
    <mergeCell ref="NZW67:NZW73"/>
    <mergeCell ref="NZX67:NZX73"/>
    <mergeCell ref="OCG67:OCG73"/>
    <mergeCell ref="OCH67:OCH73"/>
    <mergeCell ref="OCI67:OCI73"/>
    <mergeCell ref="OCJ67:OCJ73"/>
    <mergeCell ref="OCK67:OCK73"/>
    <mergeCell ref="OCL67:OCL73"/>
    <mergeCell ref="OCA67:OCA73"/>
    <mergeCell ref="OCB67:OCB73"/>
    <mergeCell ref="OCC67:OCC73"/>
    <mergeCell ref="OCD67:OCD73"/>
    <mergeCell ref="OCE67:OCE73"/>
    <mergeCell ref="OCF67:OCF73"/>
    <mergeCell ref="OBU67:OBU73"/>
    <mergeCell ref="OBV67:OBV73"/>
    <mergeCell ref="OBW67:OBW73"/>
    <mergeCell ref="OBX67:OBX73"/>
    <mergeCell ref="OBY67:OBY73"/>
    <mergeCell ref="OBZ67:OBZ73"/>
    <mergeCell ref="OBO67:OBO73"/>
    <mergeCell ref="OBP67:OBP73"/>
    <mergeCell ref="OBQ67:OBQ73"/>
    <mergeCell ref="OBR67:OBR73"/>
    <mergeCell ref="OBS67:OBS73"/>
    <mergeCell ref="OBT67:OBT73"/>
    <mergeCell ref="OBI67:OBI73"/>
    <mergeCell ref="OBJ67:OBJ73"/>
    <mergeCell ref="OBK67:OBK73"/>
    <mergeCell ref="OBL67:OBL73"/>
    <mergeCell ref="OBM67:OBM73"/>
    <mergeCell ref="OBN67:OBN73"/>
    <mergeCell ref="OBC67:OBC73"/>
    <mergeCell ref="OBD67:OBD73"/>
    <mergeCell ref="OBE67:OBE73"/>
    <mergeCell ref="OBF67:OBF73"/>
    <mergeCell ref="OBG67:OBG73"/>
    <mergeCell ref="OBH67:OBH73"/>
    <mergeCell ref="ODQ67:ODQ73"/>
    <mergeCell ref="ODR67:ODR73"/>
    <mergeCell ref="ODS67:ODS73"/>
    <mergeCell ref="ODT67:ODT73"/>
    <mergeCell ref="ODU67:ODU73"/>
    <mergeCell ref="ODV67:ODV73"/>
    <mergeCell ref="ODK67:ODK73"/>
    <mergeCell ref="ODL67:ODL73"/>
    <mergeCell ref="ODM67:ODM73"/>
    <mergeCell ref="ODN67:ODN73"/>
    <mergeCell ref="ODO67:ODO73"/>
    <mergeCell ref="ODP67:ODP73"/>
    <mergeCell ref="ODE67:ODE73"/>
    <mergeCell ref="ODF67:ODF73"/>
    <mergeCell ref="ODG67:ODG73"/>
    <mergeCell ref="ODH67:ODH73"/>
    <mergeCell ref="ODI67:ODI73"/>
    <mergeCell ref="ODJ67:ODJ73"/>
    <mergeCell ref="OCY67:OCY73"/>
    <mergeCell ref="OCZ67:OCZ73"/>
    <mergeCell ref="ODA67:ODA73"/>
    <mergeCell ref="ODB67:ODB73"/>
    <mergeCell ref="ODC67:ODC73"/>
    <mergeCell ref="ODD67:ODD73"/>
    <mergeCell ref="OCS67:OCS73"/>
    <mergeCell ref="OCT67:OCT73"/>
    <mergeCell ref="OCU67:OCU73"/>
    <mergeCell ref="OCV67:OCV73"/>
    <mergeCell ref="OCW67:OCW73"/>
    <mergeCell ref="OCX67:OCX73"/>
    <mergeCell ref="OCM67:OCM73"/>
    <mergeCell ref="OCN67:OCN73"/>
    <mergeCell ref="OCO67:OCO73"/>
    <mergeCell ref="OCP67:OCP73"/>
    <mergeCell ref="OCQ67:OCQ73"/>
    <mergeCell ref="OCR67:OCR73"/>
    <mergeCell ref="OFA67:OFA73"/>
    <mergeCell ref="OFB67:OFB73"/>
    <mergeCell ref="OFC67:OFC73"/>
    <mergeCell ref="OFD67:OFD73"/>
    <mergeCell ref="OFE67:OFE73"/>
    <mergeCell ref="OFF67:OFF73"/>
    <mergeCell ref="OEU67:OEU73"/>
    <mergeCell ref="OEV67:OEV73"/>
    <mergeCell ref="OEW67:OEW73"/>
    <mergeCell ref="OEX67:OEX73"/>
    <mergeCell ref="OEY67:OEY73"/>
    <mergeCell ref="OEZ67:OEZ73"/>
    <mergeCell ref="OEO67:OEO73"/>
    <mergeCell ref="OEP67:OEP73"/>
    <mergeCell ref="OEQ67:OEQ73"/>
    <mergeCell ref="OER67:OER73"/>
    <mergeCell ref="OES67:OES73"/>
    <mergeCell ref="OET67:OET73"/>
    <mergeCell ref="OEI67:OEI73"/>
    <mergeCell ref="OEJ67:OEJ73"/>
    <mergeCell ref="OEK67:OEK73"/>
    <mergeCell ref="OEL67:OEL73"/>
    <mergeCell ref="OEM67:OEM73"/>
    <mergeCell ref="OEN67:OEN73"/>
    <mergeCell ref="OEC67:OEC73"/>
    <mergeCell ref="OED67:OED73"/>
    <mergeCell ref="OEE67:OEE73"/>
    <mergeCell ref="OEF67:OEF73"/>
    <mergeCell ref="OEG67:OEG73"/>
    <mergeCell ref="OEH67:OEH73"/>
    <mergeCell ref="ODW67:ODW73"/>
    <mergeCell ref="ODX67:ODX73"/>
    <mergeCell ref="ODY67:ODY73"/>
    <mergeCell ref="ODZ67:ODZ73"/>
    <mergeCell ref="OEA67:OEA73"/>
    <mergeCell ref="OEB67:OEB73"/>
    <mergeCell ref="OGK67:OGK73"/>
    <mergeCell ref="OGL67:OGL73"/>
    <mergeCell ref="OGM67:OGM73"/>
    <mergeCell ref="OGN67:OGN73"/>
    <mergeCell ref="OGO67:OGO73"/>
    <mergeCell ref="OGP67:OGP73"/>
    <mergeCell ref="OGE67:OGE73"/>
    <mergeCell ref="OGF67:OGF73"/>
    <mergeCell ref="OGG67:OGG73"/>
    <mergeCell ref="OGH67:OGH73"/>
    <mergeCell ref="OGI67:OGI73"/>
    <mergeCell ref="OGJ67:OGJ73"/>
    <mergeCell ref="OFY67:OFY73"/>
    <mergeCell ref="OFZ67:OFZ73"/>
    <mergeCell ref="OGA67:OGA73"/>
    <mergeCell ref="OGB67:OGB73"/>
    <mergeCell ref="OGC67:OGC73"/>
    <mergeCell ref="OGD67:OGD73"/>
    <mergeCell ref="OFS67:OFS73"/>
    <mergeCell ref="OFT67:OFT73"/>
    <mergeCell ref="OFU67:OFU73"/>
    <mergeCell ref="OFV67:OFV73"/>
    <mergeCell ref="OFW67:OFW73"/>
    <mergeCell ref="OFX67:OFX73"/>
    <mergeCell ref="OFM67:OFM73"/>
    <mergeCell ref="OFN67:OFN73"/>
    <mergeCell ref="OFO67:OFO73"/>
    <mergeCell ref="OFP67:OFP73"/>
    <mergeCell ref="OFQ67:OFQ73"/>
    <mergeCell ref="OFR67:OFR73"/>
    <mergeCell ref="OFG67:OFG73"/>
    <mergeCell ref="OFH67:OFH73"/>
    <mergeCell ref="OFI67:OFI73"/>
    <mergeCell ref="OFJ67:OFJ73"/>
    <mergeCell ref="OFK67:OFK73"/>
    <mergeCell ref="OFL67:OFL73"/>
    <mergeCell ref="OHU67:OHU73"/>
    <mergeCell ref="OHV67:OHV73"/>
    <mergeCell ref="OHW67:OHW73"/>
    <mergeCell ref="OHX67:OHX73"/>
    <mergeCell ref="OHY67:OHY73"/>
    <mergeCell ref="OHZ67:OHZ73"/>
    <mergeCell ref="OHO67:OHO73"/>
    <mergeCell ref="OHP67:OHP73"/>
    <mergeCell ref="OHQ67:OHQ73"/>
    <mergeCell ref="OHR67:OHR73"/>
    <mergeCell ref="OHS67:OHS73"/>
    <mergeCell ref="OHT67:OHT73"/>
    <mergeCell ref="OHI67:OHI73"/>
    <mergeCell ref="OHJ67:OHJ73"/>
    <mergeCell ref="OHK67:OHK73"/>
    <mergeCell ref="OHL67:OHL73"/>
    <mergeCell ref="OHM67:OHM73"/>
    <mergeCell ref="OHN67:OHN73"/>
    <mergeCell ref="OHC67:OHC73"/>
    <mergeCell ref="OHD67:OHD73"/>
    <mergeCell ref="OHE67:OHE73"/>
    <mergeCell ref="OHF67:OHF73"/>
    <mergeCell ref="OHG67:OHG73"/>
    <mergeCell ref="OHH67:OHH73"/>
    <mergeCell ref="OGW67:OGW73"/>
    <mergeCell ref="OGX67:OGX73"/>
    <mergeCell ref="OGY67:OGY73"/>
    <mergeCell ref="OGZ67:OGZ73"/>
    <mergeCell ref="OHA67:OHA73"/>
    <mergeCell ref="OHB67:OHB73"/>
    <mergeCell ref="OGQ67:OGQ73"/>
    <mergeCell ref="OGR67:OGR73"/>
    <mergeCell ref="OGS67:OGS73"/>
    <mergeCell ref="OGT67:OGT73"/>
    <mergeCell ref="OGU67:OGU73"/>
    <mergeCell ref="OGV67:OGV73"/>
    <mergeCell ref="OJE67:OJE73"/>
    <mergeCell ref="OJF67:OJF73"/>
    <mergeCell ref="OJG67:OJG73"/>
    <mergeCell ref="OJH67:OJH73"/>
    <mergeCell ref="OJI67:OJI73"/>
    <mergeCell ref="OJJ67:OJJ73"/>
    <mergeCell ref="OIY67:OIY73"/>
    <mergeCell ref="OIZ67:OIZ73"/>
    <mergeCell ref="OJA67:OJA73"/>
    <mergeCell ref="OJB67:OJB73"/>
    <mergeCell ref="OJC67:OJC73"/>
    <mergeCell ref="OJD67:OJD73"/>
    <mergeCell ref="OIS67:OIS73"/>
    <mergeCell ref="OIT67:OIT73"/>
    <mergeCell ref="OIU67:OIU73"/>
    <mergeCell ref="OIV67:OIV73"/>
    <mergeCell ref="OIW67:OIW73"/>
    <mergeCell ref="OIX67:OIX73"/>
    <mergeCell ref="OIM67:OIM73"/>
    <mergeCell ref="OIN67:OIN73"/>
    <mergeCell ref="OIO67:OIO73"/>
    <mergeCell ref="OIP67:OIP73"/>
    <mergeCell ref="OIQ67:OIQ73"/>
    <mergeCell ref="OIR67:OIR73"/>
    <mergeCell ref="OIG67:OIG73"/>
    <mergeCell ref="OIH67:OIH73"/>
    <mergeCell ref="OII67:OII73"/>
    <mergeCell ref="OIJ67:OIJ73"/>
    <mergeCell ref="OIK67:OIK73"/>
    <mergeCell ref="OIL67:OIL73"/>
    <mergeCell ref="OIA67:OIA73"/>
    <mergeCell ref="OIB67:OIB73"/>
    <mergeCell ref="OIC67:OIC73"/>
    <mergeCell ref="OID67:OID73"/>
    <mergeCell ref="OIE67:OIE73"/>
    <mergeCell ref="OIF67:OIF73"/>
    <mergeCell ref="OKO67:OKO73"/>
    <mergeCell ref="OKP67:OKP73"/>
    <mergeCell ref="OKQ67:OKQ73"/>
    <mergeCell ref="OKR67:OKR73"/>
    <mergeCell ref="OKS67:OKS73"/>
    <mergeCell ref="OKT67:OKT73"/>
    <mergeCell ref="OKI67:OKI73"/>
    <mergeCell ref="OKJ67:OKJ73"/>
    <mergeCell ref="OKK67:OKK73"/>
    <mergeCell ref="OKL67:OKL73"/>
    <mergeCell ref="OKM67:OKM73"/>
    <mergeCell ref="OKN67:OKN73"/>
    <mergeCell ref="OKC67:OKC73"/>
    <mergeCell ref="OKD67:OKD73"/>
    <mergeCell ref="OKE67:OKE73"/>
    <mergeCell ref="OKF67:OKF73"/>
    <mergeCell ref="OKG67:OKG73"/>
    <mergeCell ref="OKH67:OKH73"/>
    <mergeCell ref="OJW67:OJW73"/>
    <mergeCell ref="OJX67:OJX73"/>
    <mergeCell ref="OJY67:OJY73"/>
    <mergeCell ref="OJZ67:OJZ73"/>
    <mergeCell ref="OKA67:OKA73"/>
    <mergeCell ref="OKB67:OKB73"/>
    <mergeCell ref="OJQ67:OJQ73"/>
    <mergeCell ref="OJR67:OJR73"/>
    <mergeCell ref="OJS67:OJS73"/>
    <mergeCell ref="OJT67:OJT73"/>
    <mergeCell ref="OJU67:OJU73"/>
    <mergeCell ref="OJV67:OJV73"/>
    <mergeCell ref="OJK67:OJK73"/>
    <mergeCell ref="OJL67:OJL73"/>
    <mergeCell ref="OJM67:OJM73"/>
    <mergeCell ref="OJN67:OJN73"/>
    <mergeCell ref="OJO67:OJO73"/>
    <mergeCell ref="OJP67:OJP73"/>
    <mergeCell ref="OLY67:OLY73"/>
    <mergeCell ref="OLZ67:OLZ73"/>
    <mergeCell ref="OMA67:OMA73"/>
    <mergeCell ref="OMB67:OMB73"/>
    <mergeCell ref="OMC67:OMC73"/>
    <mergeCell ref="OMD67:OMD73"/>
    <mergeCell ref="OLS67:OLS73"/>
    <mergeCell ref="OLT67:OLT73"/>
    <mergeCell ref="OLU67:OLU73"/>
    <mergeCell ref="OLV67:OLV73"/>
    <mergeCell ref="OLW67:OLW73"/>
    <mergeCell ref="OLX67:OLX73"/>
    <mergeCell ref="OLM67:OLM73"/>
    <mergeCell ref="OLN67:OLN73"/>
    <mergeCell ref="OLO67:OLO73"/>
    <mergeCell ref="OLP67:OLP73"/>
    <mergeCell ref="OLQ67:OLQ73"/>
    <mergeCell ref="OLR67:OLR73"/>
    <mergeCell ref="OLG67:OLG73"/>
    <mergeCell ref="OLH67:OLH73"/>
    <mergeCell ref="OLI67:OLI73"/>
    <mergeCell ref="OLJ67:OLJ73"/>
    <mergeCell ref="OLK67:OLK73"/>
    <mergeCell ref="OLL67:OLL73"/>
    <mergeCell ref="OLA67:OLA73"/>
    <mergeCell ref="OLB67:OLB73"/>
    <mergeCell ref="OLC67:OLC73"/>
    <mergeCell ref="OLD67:OLD73"/>
    <mergeCell ref="OLE67:OLE73"/>
    <mergeCell ref="OLF67:OLF73"/>
    <mergeCell ref="OKU67:OKU73"/>
    <mergeCell ref="OKV67:OKV73"/>
    <mergeCell ref="OKW67:OKW73"/>
    <mergeCell ref="OKX67:OKX73"/>
    <mergeCell ref="OKY67:OKY73"/>
    <mergeCell ref="OKZ67:OKZ73"/>
    <mergeCell ref="ONI67:ONI73"/>
    <mergeCell ref="ONJ67:ONJ73"/>
    <mergeCell ref="ONK67:ONK73"/>
    <mergeCell ref="ONL67:ONL73"/>
    <mergeCell ref="ONM67:ONM73"/>
    <mergeCell ref="ONN67:ONN73"/>
    <mergeCell ref="ONC67:ONC73"/>
    <mergeCell ref="OND67:OND73"/>
    <mergeCell ref="ONE67:ONE73"/>
    <mergeCell ref="ONF67:ONF73"/>
    <mergeCell ref="ONG67:ONG73"/>
    <mergeCell ref="ONH67:ONH73"/>
    <mergeCell ref="OMW67:OMW73"/>
    <mergeCell ref="OMX67:OMX73"/>
    <mergeCell ref="OMY67:OMY73"/>
    <mergeCell ref="OMZ67:OMZ73"/>
    <mergeCell ref="ONA67:ONA73"/>
    <mergeCell ref="ONB67:ONB73"/>
    <mergeCell ref="OMQ67:OMQ73"/>
    <mergeCell ref="OMR67:OMR73"/>
    <mergeCell ref="OMS67:OMS73"/>
    <mergeCell ref="OMT67:OMT73"/>
    <mergeCell ref="OMU67:OMU73"/>
    <mergeCell ref="OMV67:OMV73"/>
    <mergeCell ref="OMK67:OMK73"/>
    <mergeCell ref="OML67:OML73"/>
    <mergeCell ref="OMM67:OMM73"/>
    <mergeCell ref="OMN67:OMN73"/>
    <mergeCell ref="OMO67:OMO73"/>
    <mergeCell ref="OMP67:OMP73"/>
    <mergeCell ref="OME67:OME73"/>
    <mergeCell ref="OMF67:OMF73"/>
    <mergeCell ref="OMG67:OMG73"/>
    <mergeCell ref="OMH67:OMH73"/>
    <mergeCell ref="OMI67:OMI73"/>
    <mergeCell ref="OMJ67:OMJ73"/>
    <mergeCell ref="OOS67:OOS73"/>
    <mergeCell ref="OOT67:OOT73"/>
    <mergeCell ref="OOU67:OOU73"/>
    <mergeCell ref="OOV67:OOV73"/>
    <mergeCell ref="OOW67:OOW73"/>
    <mergeCell ref="OOX67:OOX73"/>
    <mergeCell ref="OOM67:OOM73"/>
    <mergeCell ref="OON67:OON73"/>
    <mergeCell ref="OOO67:OOO73"/>
    <mergeCell ref="OOP67:OOP73"/>
    <mergeCell ref="OOQ67:OOQ73"/>
    <mergeCell ref="OOR67:OOR73"/>
    <mergeCell ref="OOG67:OOG73"/>
    <mergeCell ref="OOH67:OOH73"/>
    <mergeCell ref="OOI67:OOI73"/>
    <mergeCell ref="OOJ67:OOJ73"/>
    <mergeCell ref="OOK67:OOK73"/>
    <mergeCell ref="OOL67:OOL73"/>
    <mergeCell ref="OOA67:OOA73"/>
    <mergeCell ref="OOB67:OOB73"/>
    <mergeCell ref="OOC67:OOC73"/>
    <mergeCell ref="OOD67:OOD73"/>
    <mergeCell ref="OOE67:OOE73"/>
    <mergeCell ref="OOF67:OOF73"/>
    <mergeCell ref="ONU67:ONU73"/>
    <mergeCell ref="ONV67:ONV73"/>
    <mergeCell ref="ONW67:ONW73"/>
    <mergeCell ref="ONX67:ONX73"/>
    <mergeCell ref="ONY67:ONY73"/>
    <mergeCell ref="ONZ67:ONZ73"/>
    <mergeCell ref="ONO67:ONO73"/>
    <mergeCell ref="ONP67:ONP73"/>
    <mergeCell ref="ONQ67:ONQ73"/>
    <mergeCell ref="ONR67:ONR73"/>
    <mergeCell ref="ONS67:ONS73"/>
    <mergeCell ref="ONT67:ONT73"/>
    <mergeCell ref="OQC67:OQC73"/>
    <mergeCell ref="OQD67:OQD73"/>
    <mergeCell ref="OQE67:OQE73"/>
    <mergeCell ref="OQF67:OQF73"/>
    <mergeCell ref="OQG67:OQG73"/>
    <mergeCell ref="OQH67:OQH73"/>
    <mergeCell ref="OPW67:OPW73"/>
    <mergeCell ref="OPX67:OPX73"/>
    <mergeCell ref="OPY67:OPY73"/>
    <mergeCell ref="OPZ67:OPZ73"/>
    <mergeCell ref="OQA67:OQA73"/>
    <mergeCell ref="OQB67:OQB73"/>
    <mergeCell ref="OPQ67:OPQ73"/>
    <mergeCell ref="OPR67:OPR73"/>
    <mergeCell ref="OPS67:OPS73"/>
    <mergeCell ref="OPT67:OPT73"/>
    <mergeCell ref="OPU67:OPU73"/>
    <mergeCell ref="OPV67:OPV73"/>
    <mergeCell ref="OPK67:OPK73"/>
    <mergeCell ref="OPL67:OPL73"/>
    <mergeCell ref="OPM67:OPM73"/>
    <mergeCell ref="OPN67:OPN73"/>
    <mergeCell ref="OPO67:OPO73"/>
    <mergeCell ref="OPP67:OPP73"/>
    <mergeCell ref="OPE67:OPE73"/>
    <mergeCell ref="OPF67:OPF73"/>
    <mergeCell ref="OPG67:OPG73"/>
    <mergeCell ref="OPH67:OPH73"/>
    <mergeCell ref="OPI67:OPI73"/>
    <mergeCell ref="OPJ67:OPJ73"/>
    <mergeCell ref="OOY67:OOY73"/>
    <mergeCell ref="OOZ67:OOZ73"/>
    <mergeCell ref="OPA67:OPA73"/>
    <mergeCell ref="OPB67:OPB73"/>
    <mergeCell ref="OPC67:OPC73"/>
    <mergeCell ref="OPD67:OPD73"/>
    <mergeCell ref="ORM67:ORM73"/>
    <mergeCell ref="ORN67:ORN73"/>
    <mergeCell ref="ORO67:ORO73"/>
    <mergeCell ref="ORP67:ORP73"/>
    <mergeCell ref="ORQ67:ORQ73"/>
    <mergeCell ref="ORR67:ORR73"/>
    <mergeCell ref="ORG67:ORG73"/>
    <mergeCell ref="ORH67:ORH73"/>
    <mergeCell ref="ORI67:ORI73"/>
    <mergeCell ref="ORJ67:ORJ73"/>
    <mergeCell ref="ORK67:ORK73"/>
    <mergeCell ref="ORL67:ORL73"/>
    <mergeCell ref="ORA67:ORA73"/>
    <mergeCell ref="ORB67:ORB73"/>
    <mergeCell ref="ORC67:ORC73"/>
    <mergeCell ref="ORD67:ORD73"/>
    <mergeCell ref="ORE67:ORE73"/>
    <mergeCell ref="ORF67:ORF73"/>
    <mergeCell ref="OQU67:OQU73"/>
    <mergeCell ref="OQV67:OQV73"/>
    <mergeCell ref="OQW67:OQW73"/>
    <mergeCell ref="OQX67:OQX73"/>
    <mergeCell ref="OQY67:OQY73"/>
    <mergeCell ref="OQZ67:OQZ73"/>
    <mergeCell ref="OQO67:OQO73"/>
    <mergeCell ref="OQP67:OQP73"/>
    <mergeCell ref="OQQ67:OQQ73"/>
    <mergeCell ref="OQR67:OQR73"/>
    <mergeCell ref="OQS67:OQS73"/>
    <mergeCell ref="OQT67:OQT73"/>
    <mergeCell ref="OQI67:OQI73"/>
    <mergeCell ref="OQJ67:OQJ73"/>
    <mergeCell ref="OQK67:OQK73"/>
    <mergeCell ref="OQL67:OQL73"/>
    <mergeCell ref="OQM67:OQM73"/>
    <mergeCell ref="OQN67:OQN73"/>
    <mergeCell ref="OSW67:OSW73"/>
    <mergeCell ref="OSX67:OSX73"/>
    <mergeCell ref="OSY67:OSY73"/>
    <mergeCell ref="OSZ67:OSZ73"/>
    <mergeCell ref="OTA67:OTA73"/>
    <mergeCell ref="OTB67:OTB73"/>
    <mergeCell ref="OSQ67:OSQ73"/>
    <mergeCell ref="OSR67:OSR73"/>
    <mergeCell ref="OSS67:OSS73"/>
    <mergeCell ref="OST67:OST73"/>
    <mergeCell ref="OSU67:OSU73"/>
    <mergeCell ref="OSV67:OSV73"/>
    <mergeCell ref="OSK67:OSK73"/>
    <mergeCell ref="OSL67:OSL73"/>
    <mergeCell ref="OSM67:OSM73"/>
    <mergeCell ref="OSN67:OSN73"/>
    <mergeCell ref="OSO67:OSO73"/>
    <mergeCell ref="OSP67:OSP73"/>
    <mergeCell ref="OSE67:OSE73"/>
    <mergeCell ref="OSF67:OSF73"/>
    <mergeCell ref="OSG67:OSG73"/>
    <mergeCell ref="OSH67:OSH73"/>
    <mergeCell ref="OSI67:OSI73"/>
    <mergeCell ref="OSJ67:OSJ73"/>
    <mergeCell ref="ORY67:ORY73"/>
    <mergeCell ref="ORZ67:ORZ73"/>
    <mergeCell ref="OSA67:OSA73"/>
    <mergeCell ref="OSB67:OSB73"/>
    <mergeCell ref="OSC67:OSC73"/>
    <mergeCell ref="OSD67:OSD73"/>
    <mergeCell ref="ORS67:ORS73"/>
    <mergeCell ref="ORT67:ORT73"/>
    <mergeCell ref="ORU67:ORU73"/>
    <mergeCell ref="ORV67:ORV73"/>
    <mergeCell ref="ORW67:ORW73"/>
    <mergeCell ref="ORX67:ORX73"/>
    <mergeCell ref="OUG67:OUG73"/>
    <mergeCell ref="OUH67:OUH73"/>
    <mergeCell ref="OUI67:OUI73"/>
    <mergeCell ref="OUJ67:OUJ73"/>
    <mergeCell ref="OUK67:OUK73"/>
    <mergeCell ref="OUL67:OUL73"/>
    <mergeCell ref="OUA67:OUA73"/>
    <mergeCell ref="OUB67:OUB73"/>
    <mergeCell ref="OUC67:OUC73"/>
    <mergeCell ref="OUD67:OUD73"/>
    <mergeCell ref="OUE67:OUE73"/>
    <mergeCell ref="OUF67:OUF73"/>
    <mergeCell ref="OTU67:OTU73"/>
    <mergeCell ref="OTV67:OTV73"/>
    <mergeCell ref="OTW67:OTW73"/>
    <mergeCell ref="OTX67:OTX73"/>
    <mergeCell ref="OTY67:OTY73"/>
    <mergeCell ref="OTZ67:OTZ73"/>
    <mergeCell ref="OTO67:OTO73"/>
    <mergeCell ref="OTP67:OTP73"/>
    <mergeCell ref="OTQ67:OTQ73"/>
    <mergeCell ref="OTR67:OTR73"/>
    <mergeCell ref="OTS67:OTS73"/>
    <mergeCell ref="OTT67:OTT73"/>
    <mergeCell ref="OTI67:OTI73"/>
    <mergeCell ref="OTJ67:OTJ73"/>
    <mergeCell ref="OTK67:OTK73"/>
    <mergeCell ref="OTL67:OTL73"/>
    <mergeCell ref="OTM67:OTM73"/>
    <mergeCell ref="OTN67:OTN73"/>
    <mergeCell ref="OTC67:OTC73"/>
    <mergeCell ref="OTD67:OTD73"/>
    <mergeCell ref="OTE67:OTE73"/>
    <mergeCell ref="OTF67:OTF73"/>
    <mergeCell ref="OTG67:OTG73"/>
    <mergeCell ref="OTH67:OTH73"/>
    <mergeCell ref="OVQ67:OVQ73"/>
    <mergeCell ref="OVR67:OVR73"/>
    <mergeCell ref="OVS67:OVS73"/>
    <mergeCell ref="OVT67:OVT73"/>
    <mergeCell ref="OVU67:OVU73"/>
    <mergeCell ref="OVV67:OVV73"/>
    <mergeCell ref="OVK67:OVK73"/>
    <mergeCell ref="OVL67:OVL73"/>
    <mergeCell ref="OVM67:OVM73"/>
    <mergeCell ref="OVN67:OVN73"/>
    <mergeCell ref="OVO67:OVO73"/>
    <mergeCell ref="OVP67:OVP73"/>
    <mergeCell ref="OVE67:OVE73"/>
    <mergeCell ref="OVF67:OVF73"/>
    <mergeCell ref="OVG67:OVG73"/>
    <mergeCell ref="OVH67:OVH73"/>
    <mergeCell ref="OVI67:OVI73"/>
    <mergeCell ref="OVJ67:OVJ73"/>
    <mergeCell ref="OUY67:OUY73"/>
    <mergeCell ref="OUZ67:OUZ73"/>
    <mergeCell ref="OVA67:OVA73"/>
    <mergeCell ref="OVB67:OVB73"/>
    <mergeCell ref="OVC67:OVC73"/>
    <mergeCell ref="OVD67:OVD73"/>
    <mergeCell ref="OUS67:OUS73"/>
    <mergeCell ref="OUT67:OUT73"/>
    <mergeCell ref="OUU67:OUU73"/>
    <mergeCell ref="OUV67:OUV73"/>
    <mergeCell ref="OUW67:OUW73"/>
    <mergeCell ref="OUX67:OUX73"/>
    <mergeCell ref="OUM67:OUM73"/>
    <mergeCell ref="OUN67:OUN73"/>
    <mergeCell ref="OUO67:OUO73"/>
    <mergeCell ref="OUP67:OUP73"/>
    <mergeCell ref="OUQ67:OUQ73"/>
    <mergeCell ref="OUR67:OUR73"/>
    <mergeCell ref="OXA67:OXA73"/>
    <mergeCell ref="OXB67:OXB73"/>
    <mergeCell ref="OXC67:OXC73"/>
    <mergeCell ref="OXD67:OXD73"/>
    <mergeCell ref="OXE67:OXE73"/>
    <mergeCell ref="OXF67:OXF73"/>
    <mergeCell ref="OWU67:OWU73"/>
    <mergeCell ref="OWV67:OWV73"/>
    <mergeCell ref="OWW67:OWW73"/>
    <mergeCell ref="OWX67:OWX73"/>
    <mergeCell ref="OWY67:OWY73"/>
    <mergeCell ref="OWZ67:OWZ73"/>
    <mergeCell ref="OWO67:OWO73"/>
    <mergeCell ref="OWP67:OWP73"/>
    <mergeCell ref="OWQ67:OWQ73"/>
    <mergeCell ref="OWR67:OWR73"/>
    <mergeCell ref="OWS67:OWS73"/>
    <mergeCell ref="OWT67:OWT73"/>
    <mergeCell ref="OWI67:OWI73"/>
    <mergeCell ref="OWJ67:OWJ73"/>
    <mergeCell ref="OWK67:OWK73"/>
    <mergeCell ref="OWL67:OWL73"/>
    <mergeCell ref="OWM67:OWM73"/>
    <mergeCell ref="OWN67:OWN73"/>
    <mergeCell ref="OWC67:OWC73"/>
    <mergeCell ref="OWD67:OWD73"/>
    <mergeCell ref="OWE67:OWE73"/>
    <mergeCell ref="OWF67:OWF73"/>
    <mergeCell ref="OWG67:OWG73"/>
    <mergeCell ref="OWH67:OWH73"/>
    <mergeCell ref="OVW67:OVW73"/>
    <mergeCell ref="OVX67:OVX73"/>
    <mergeCell ref="OVY67:OVY73"/>
    <mergeCell ref="OVZ67:OVZ73"/>
    <mergeCell ref="OWA67:OWA73"/>
    <mergeCell ref="OWB67:OWB73"/>
    <mergeCell ref="OYK67:OYK73"/>
    <mergeCell ref="OYL67:OYL73"/>
    <mergeCell ref="OYM67:OYM73"/>
    <mergeCell ref="OYN67:OYN73"/>
    <mergeCell ref="OYO67:OYO73"/>
    <mergeCell ref="OYP67:OYP73"/>
    <mergeCell ref="OYE67:OYE73"/>
    <mergeCell ref="OYF67:OYF73"/>
    <mergeCell ref="OYG67:OYG73"/>
    <mergeCell ref="OYH67:OYH73"/>
    <mergeCell ref="OYI67:OYI73"/>
    <mergeCell ref="OYJ67:OYJ73"/>
    <mergeCell ref="OXY67:OXY73"/>
    <mergeCell ref="OXZ67:OXZ73"/>
    <mergeCell ref="OYA67:OYA73"/>
    <mergeCell ref="OYB67:OYB73"/>
    <mergeCell ref="OYC67:OYC73"/>
    <mergeCell ref="OYD67:OYD73"/>
    <mergeCell ref="OXS67:OXS73"/>
    <mergeCell ref="OXT67:OXT73"/>
    <mergeCell ref="OXU67:OXU73"/>
    <mergeCell ref="OXV67:OXV73"/>
    <mergeCell ref="OXW67:OXW73"/>
    <mergeCell ref="OXX67:OXX73"/>
    <mergeCell ref="OXM67:OXM73"/>
    <mergeCell ref="OXN67:OXN73"/>
    <mergeCell ref="OXO67:OXO73"/>
    <mergeCell ref="OXP67:OXP73"/>
    <mergeCell ref="OXQ67:OXQ73"/>
    <mergeCell ref="OXR67:OXR73"/>
    <mergeCell ref="OXG67:OXG73"/>
    <mergeCell ref="OXH67:OXH73"/>
    <mergeCell ref="OXI67:OXI73"/>
    <mergeCell ref="OXJ67:OXJ73"/>
    <mergeCell ref="OXK67:OXK73"/>
    <mergeCell ref="OXL67:OXL73"/>
    <mergeCell ref="OZU67:OZU73"/>
    <mergeCell ref="OZV67:OZV73"/>
    <mergeCell ref="OZW67:OZW73"/>
    <mergeCell ref="OZX67:OZX73"/>
    <mergeCell ref="OZY67:OZY73"/>
    <mergeCell ref="OZZ67:OZZ73"/>
    <mergeCell ref="OZO67:OZO73"/>
    <mergeCell ref="OZP67:OZP73"/>
    <mergeCell ref="OZQ67:OZQ73"/>
    <mergeCell ref="OZR67:OZR73"/>
    <mergeCell ref="OZS67:OZS73"/>
    <mergeCell ref="OZT67:OZT73"/>
    <mergeCell ref="OZI67:OZI73"/>
    <mergeCell ref="OZJ67:OZJ73"/>
    <mergeCell ref="OZK67:OZK73"/>
    <mergeCell ref="OZL67:OZL73"/>
    <mergeCell ref="OZM67:OZM73"/>
    <mergeCell ref="OZN67:OZN73"/>
    <mergeCell ref="OZC67:OZC73"/>
    <mergeCell ref="OZD67:OZD73"/>
    <mergeCell ref="OZE67:OZE73"/>
    <mergeCell ref="OZF67:OZF73"/>
    <mergeCell ref="OZG67:OZG73"/>
    <mergeCell ref="OZH67:OZH73"/>
    <mergeCell ref="OYW67:OYW73"/>
    <mergeCell ref="OYX67:OYX73"/>
    <mergeCell ref="OYY67:OYY73"/>
    <mergeCell ref="OYZ67:OYZ73"/>
    <mergeCell ref="OZA67:OZA73"/>
    <mergeCell ref="OZB67:OZB73"/>
    <mergeCell ref="OYQ67:OYQ73"/>
    <mergeCell ref="OYR67:OYR73"/>
    <mergeCell ref="OYS67:OYS73"/>
    <mergeCell ref="OYT67:OYT73"/>
    <mergeCell ref="OYU67:OYU73"/>
    <mergeCell ref="OYV67:OYV73"/>
    <mergeCell ref="PBE67:PBE73"/>
    <mergeCell ref="PBF67:PBF73"/>
    <mergeCell ref="PBG67:PBG73"/>
    <mergeCell ref="PBH67:PBH73"/>
    <mergeCell ref="PBI67:PBI73"/>
    <mergeCell ref="PBJ67:PBJ73"/>
    <mergeCell ref="PAY67:PAY73"/>
    <mergeCell ref="PAZ67:PAZ73"/>
    <mergeCell ref="PBA67:PBA73"/>
    <mergeCell ref="PBB67:PBB73"/>
    <mergeCell ref="PBC67:PBC73"/>
    <mergeCell ref="PBD67:PBD73"/>
    <mergeCell ref="PAS67:PAS73"/>
    <mergeCell ref="PAT67:PAT73"/>
    <mergeCell ref="PAU67:PAU73"/>
    <mergeCell ref="PAV67:PAV73"/>
    <mergeCell ref="PAW67:PAW73"/>
    <mergeCell ref="PAX67:PAX73"/>
    <mergeCell ref="PAM67:PAM73"/>
    <mergeCell ref="PAN67:PAN73"/>
    <mergeCell ref="PAO67:PAO73"/>
    <mergeCell ref="PAP67:PAP73"/>
    <mergeCell ref="PAQ67:PAQ73"/>
    <mergeCell ref="PAR67:PAR73"/>
    <mergeCell ref="PAG67:PAG73"/>
    <mergeCell ref="PAH67:PAH73"/>
    <mergeCell ref="PAI67:PAI73"/>
    <mergeCell ref="PAJ67:PAJ73"/>
    <mergeCell ref="PAK67:PAK73"/>
    <mergeCell ref="PAL67:PAL73"/>
    <mergeCell ref="PAA67:PAA73"/>
    <mergeCell ref="PAB67:PAB73"/>
    <mergeCell ref="PAC67:PAC73"/>
    <mergeCell ref="PAD67:PAD73"/>
    <mergeCell ref="PAE67:PAE73"/>
    <mergeCell ref="PAF67:PAF73"/>
    <mergeCell ref="PCO67:PCO73"/>
    <mergeCell ref="PCP67:PCP73"/>
    <mergeCell ref="PCQ67:PCQ73"/>
    <mergeCell ref="PCR67:PCR73"/>
    <mergeCell ref="PCS67:PCS73"/>
    <mergeCell ref="PCT67:PCT73"/>
    <mergeCell ref="PCI67:PCI73"/>
    <mergeCell ref="PCJ67:PCJ73"/>
    <mergeCell ref="PCK67:PCK73"/>
    <mergeCell ref="PCL67:PCL73"/>
    <mergeCell ref="PCM67:PCM73"/>
    <mergeCell ref="PCN67:PCN73"/>
    <mergeCell ref="PCC67:PCC73"/>
    <mergeCell ref="PCD67:PCD73"/>
    <mergeCell ref="PCE67:PCE73"/>
    <mergeCell ref="PCF67:PCF73"/>
    <mergeCell ref="PCG67:PCG73"/>
    <mergeCell ref="PCH67:PCH73"/>
    <mergeCell ref="PBW67:PBW73"/>
    <mergeCell ref="PBX67:PBX73"/>
    <mergeCell ref="PBY67:PBY73"/>
    <mergeCell ref="PBZ67:PBZ73"/>
    <mergeCell ref="PCA67:PCA73"/>
    <mergeCell ref="PCB67:PCB73"/>
    <mergeCell ref="PBQ67:PBQ73"/>
    <mergeCell ref="PBR67:PBR73"/>
    <mergeCell ref="PBS67:PBS73"/>
    <mergeCell ref="PBT67:PBT73"/>
    <mergeCell ref="PBU67:PBU73"/>
    <mergeCell ref="PBV67:PBV73"/>
    <mergeCell ref="PBK67:PBK73"/>
    <mergeCell ref="PBL67:PBL73"/>
    <mergeCell ref="PBM67:PBM73"/>
    <mergeCell ref="PBN67:PBN73"/>
    <mergeCell ref="PBO67:PBO73"/>
    <mergeCell ref="PBP67:PBP73"/>
    <mergeCell ref="PDY67:PDY73"/>
    <mergeCell ref="PDZ67:PDZ73"/>
    <mergeCell ref="PEA67:PEA73"/>
    <mergeCell ref="PEB67:PEB73"/>
    <mergeCell ref="PEC67:PEC73"/>
    <mergeCell ref="PED67:PED73"/>
    <mergeCell ref="PDS67:PDS73"/>
    <mergeCell ref="PDT67:PDT73"/>
    <mergeCell ref="PDU67:PDU73"/>
    <mergeCell ref="PDV67:PDV73"/>
    <mergeCell ref="PDW67:PDW73"/>
    <mergeCell ref="PDX67:PDX73"/>
    <mergeCell ref="PDM67:PDM73"/>
    <mergeCell ref="PDN67:PDN73"/>
    <mergeCell ref="PDO67:PDO73"/>
    <mergeCell ref="PDP67:PDP73"/>
    <mergeCell ref="PDQ67:PDQ73"/>
    <mergeCell ref="PDR67:PDR73"/>
    <mergeCell ref="PDG67:PDG73"/>
    <mergeCell ref="PDH67:PDH73"/>
    <mergeCell ref="PDI67:PDI73"/>
    <mergeCell ref="PDJ67:PDJ73"/>
    <mergeCell ref="PDK67:PDK73"/>
    <mergeCell ref="PDL67:PDL73"/>
    <mergeCell ref="PDA67:PDA73"/>
    <mergeCell ref="PDB67:PDB73"/>
    <mergeCell ref="PDC67:PDC73"/>
    <mergeCell ref="PDD67:PDD73"/>
    <mergeCell ref="PDE67:PDE73"/>
    <mergeCell ref="PDF67:PDF73"/>
    <mergeCell ref="PCU67:PCU73"/>
    <mergeCell ref="PCV67:PCV73"/>
    <mergeCell ref="PCW67:PCW73"/>
    <mergeCell ref="PCX67:PCX73"/>
    <mergeCell ref="PCY67:PCY73"/>
    <mergeCell ref="PCZ67:PCZ73"/>
    <mergeCell ref="PFI67:PFI73"/>
    <mergeCell ref="PFJ67:PFJ73"/>
    <mergeCell ref="PFK67:PFK73"/>
    <mergeCell ref="PFL67:PFL73"/>
    <mergeCell ref="PFM67:PFM73"/>
    <mergeCell ref="PFN67:PFN73"/>
    <mergeCell ref="PFC67:PFC73"/>
    <mergeCell ref="PFD67:PFD73"/>
    <mergeCell ref="PFE67:PFE73"/>
    <mergeCell ref="PFF67:PFF73"/>
    <mergeCell ref="PFG67:PFG73"/>
    <mergeCell ref="PFH67:PFH73"/>
    <mergeCell ref="PEW67:PEW73"/>
    <mergeCell ref="PEX67:PEX73"/>
    <mergeCell ref="PEY67:PEY73"/>
    <mergeCell ref="PEZ67:PEZ73"/>
    <mergeCell ref="PFA67:PFA73"/>
    <mergeCell ref="PFB67:PFB73"/>
    <mergeCell ref="PEQ67:PEQ73"/>
    <mergeCell ref="PER67:PER73"/>
    <mergeCell ref="PES67:PES73"/>
    <mergeCell ref="PET67:PET73"/>
    <mergeCell ref="PEU67:PEU73"/>
    <mergeCell ref="PEV67:PEV73"/>
    <mergeCell ref="PEK67:PEK73"/>
    <mergeCell ref="PEL67:PEL73"/>
    <mergeCell ref="PEM67:PEM73"/>
    <mergeCell ref="PEN67:PEN73"/>
    <mergeCell ref="PEO67:PEO73"/>
    <mergeCell ref="PEP67:PEP73"/>
    <mergeCell ref="PEE67:PEE73"/>
    <mergeCell ref="PEF67:PEF73"/>
    <mergeCell ref="PEG67:PEG73"/>
    <mergeCell ref="PEH67:PEH73"/>
    <mergeCell ref="PEI67:PEI73"/>
    <mergeCell ref="PEJ67:PEJ73"/>
    <mergeCell ref="PGS67:PGS73"/>
    <mergeCell ref="PGT67:PGT73"/>
    <mergeCell ref="PGU67:PGU73"/>
    <mergeCell ref="PGV67:PGV73"/>
    <mergeCell ref="PGW67:PGW73"/>
    <mergeCell ref="PGX67:PGX73"/>
    <mergeCell ref="PGM67:PGM73"/>
    <mergeCell ref="PGN67:PGN73"/>
    <mergeCell ref="PGO67:PGO73"/>
    <mergeCell ref="PGP67:PGP73"/>
    <mergeCell ref="PGQ67:PGQ73"/>
    <mergeCell ref="PGR67:PGR73"/>
    <mergeCell ref="PGG67:PGG73"/>
    <mergeCell ref="PGH67:PGH73"/>
    <mergeCell ref="PGI67:PGI73"/>
    <mergeCell ref="PGJ67:PGJ73"/>
    <mergeCell ref="PGK67:PGK73"/>
    <mergeCell ref="PGL67:PGL73"/>
    <mergeCell ref="PGA67:PGA73"/>
    <mergeCell ref="PGB67:PGB73"/>
    <mergeCell ref="PGC67:PGC73"/>
    <mergeCell ref="PGD67:PGD73"/>
    <mergeCell ref="PGE67:PGE73"/>
    <mergeCell ref="PGF67:PGF73"/>
    <mergeCell ref="PFU67:PFU73"/>
    <mergeCell ref="PFV67:PFV73"/>
    <mergeCell ref="PFW67:PFW73"/>
    <mergeCell ref="PFX67:PFX73"/>
    <mergeCell ref="PFY67:PFY73"/>
    <mergeCell ref="PFZ67:PFZ73"/>
    <mergeCell ref="PFO67:PFO73"/>
    <mergeCell ref="PFP67:PFP73"/>
    <mergeCell ref="PFQ67:PFQ73"/>
    <mergeCell ref="PFR67:PFR73"/>
    <mergeCell ref="PFS67:PFS73"/>
    <mergeCell ref="PFT67:PFT73"/>
    <mergeCell ref="PIC67:PIC73"/>
    <mergeCell ref="PID67:PID73"/>
    <mergeCell ref="PIE67:PIE73"/>
    <mergeCell ref="PIF67:PIF73"/>
    <mergeCell ref="PIG67:PIG73"/>
    <mergeCell ref="PIH67:PIH73"/>
    <mergeCell ref="PHW67:PHW73"/>
    <mergeCell ref="PHX67:PHX73"/>
    <mergeCell ref="PHY67:PHY73"/>
    <mergeCell ref="PHZ67:PHZ73"/>
    <mergeCell ref="PIA67:PIA73"/>
    <mergeCell ref="PIB67:PIB73"/>
    <mergeCell ref="PHQ67:PHQ73"/>
    <mergeCell ref="PHR67:PHR73"/>
    <mergeCell ref="PHS67:PHS73"/>
    <mergeCell ref="PHT67:PHT73"/>
    <mergeCell ref="PHU67:PHU73"/>
    <mergeCell ref="PHV67:PHV73"/>
    <mergeCell ref="PHK67:PHK73"/>
    <mergeCell ref="PHL67:PHL73"/>
    <mergeCell ref="PHM67:PHM73"/>
    <mergeCell ref="PHN67:PHN73"/>
    <mergeCell ref="PHO67:PHO73"/>
    <mergeCell ref="PHP67:PHP73"/>
    <mergeCell ref="PHE67:PHE73"/>
    <mergeCell ref="PHF67:PHF73"/>
    <mergeCell ref="PHG67:PHG73"/>
    <mergeCell ref="PHH67:PHH73"/>
    <mergeCell ref="PHI67:PHI73"/>
    <mergeCell ref="PHJ67:PHJ73"/>
    <mergeCell ref="PGY67:PGY73"/>
    <mergeCell ref="PGZ67:PGZ73"/>
    <mergeCell ref="PHA67:PHA73"/>
    <mergeCell ref="PHB67:PHB73"/>
    <mergeCell ref="PHC67:PHC73"/>
    <mergeCell ref="PHD67:PHD73"/>
    <mergeCell ref="PJM67:PJM73"/>
    <mergeCell ref="PJN67:PJN73"/>
    <mergeCell ref="PJO67:PJO73"/>
    <mergeCell ref="PJP67:PJP73"/>
    <mergeCell ref="PJQ67:PJQ73"/>
    <mergeCell ref="PJR67:PJR73"/>
    <mergeCell ref="PJG67:PJG73"/>
    <mergeCell ref="PJH67:PJH73"/>
    <mergeCell ref="PJI67:PJI73"/>
    <mergeCell ref="PJJ67:PJJ73"/>
    <mergeCell ref="PJK67:PJK73"/>
    <mergeCell ref="PJL67:PJL73"/>
    <mergeCell ref="PJA67:PJA73"/>
    <mergeCell ref="PJB67:PJB73"/>
    <mergeCell ref="PJC67:PJC73"/>
    <mergeCell ref="PJD67:PJD73"/>
    <mergeCell ref="PJE67:PJE73"/>
    <mergeCell ref="PJF67:PJF73"/>
    <mergeCell ref="PIU67:PIU73"/>
    <mergeCell ref="PIV67:PIV73"/>
    <mergeCell ref="PIW67:PIW73"/>
    <mergeCell ref="PIX67:PIX73"/>
    <mergeCell ref="PIY67:PIY73"/>
    <mergeCell ref="PIZ67:PIZ73"/>
    <mergeCell ref="PIO67:PIO73"/>
    <mergeCell ref="PIP67:PIP73"/>
    <mergeCell ref="PIQ67:PIQ73"/>
    <mergeCell ref="PIR67:PIR73"/>
    <mergeCell ref="PIS67:PIS73"/>
    <mergeCell ref="PIT67:PIT73"/>
    <mergeCell ref="PII67:PII73"/>
    <mergeCell ref="PIJ67:PIJ73"/>
    <mergeCell ref="PIK67:PIK73"/>
    <mergeCell ref="PIL67:PIL73"/>
    <mergeCell ref="PIM67:PIM73"/>
    <mergeCell ref="PIN67:PIN73"/>
    <mergeCell ref="PKW67:PKW73"/>
    <mergeCell ref="PKX67:PKX73"/>
    <mergeCell ref="PKY67:PKY73"/>
    <mergeCell ref="PKZ67:PKZ73"/>
    <mergeCell ref="PLA67:PLA73"/>
    <mergeCell ref="PLB67:PLB73"/>
    <mergeCell ref="PKQ67:PKQ73"/>
    <mergeCell ref="PKR67:PKR73"/>
    <mergeCell ref="PKS67:PKS73"/>
    <mergeCell ref="PKT67:PKT73"/>
    <mergeCell ref="PKU67:PKU73"/>
    <mergeCell ref="PKV67:PKV73"/>
    <mergeCell ref="PKK67:PKK73"/>
    <mergeCell ref="PKL67:PKL73"/>
    <mergeCell ref="PKM67:PKM73"/>
    <mergeCell ref="PKN67:PKN73"/>
    <mergeCell ref="PKO67:PKO73"/>
    <mergeCell ref="PKP67:PKP73"/>
    <mergeCell ref="PKE67:PKE73"/>
    <mergeCell ref="PKF67:PKF73"/>
    <mergeCell ref="PKG67:PKG73"/>
    <mergeCell ref="PKH67:PKH73"/>
    <mergeCell ref="PKI67:PKI73"/>
    <mergeCell ref="PKJ67:PKJ73"/>
    <mergeCell ref="PJY67:PJY73"/>
    <mergeCell ref="PJZ67:PJZ73"/>
    <mergeCell ref="PKA67:PKA73"/>
    <mergeCell ref="PKB67:PKB73"/>
    <mergeCell ref="PKC67:PKC73"/>
    <mergeCell ref="PKD67:PKD73"/>
    <mergeCell ref="PJS67:PJS73"/>
    <mergeCell ref="PJT67:PJT73"/>
    <mergeCell ref="PJU67:PJU73"/>
    <mergeCell ref="PJV67:PJV73"/>
    <mergeCell ref="PJW67:PJW73"/>
    <mergeCell ref="PJX67:PJX73"/>
    <mergeCell ref="PMG67:PMG73"/>
    <mergeCell ref="PMH67:PMH73"/>
    <mergeCell ref="PMI67:PMI73"/>
    <mergeCell ref="PMJ67:PMJ73"/>
    <mergeCell ref="PMK67:PMK73"/>
    <mergeCell ref="PML67:PML73"/>
    <mergeCell ref="PMA67:PMA73"/>
    <mergeCell ref="PMB67:PMB73"/>
    <mergeCell ref="PMC67:PMC73"/>
    <mergeCell ref="PMD67:PMD73"/>
    <mergeCell ref="PME67:PME73"/>
    <mergeCell ref="PMF67:PMF73"/>
    <mergeCell ref="PLU67:PLU73"/>
    <mergeCell ref="PLV67:PLV73"/>
    <mergeCell ref="PLW67:PLW73"/>
    <mergeCell ref="PLX67:PLX73"/>
    <mergeCell ref="PLY67:PLY73"/>
    <mergeCell ref="PLZ67:PLZ73"/>
    <mergeCell ref="PLO67:PLO73"/>
    <mergeCell ref="PLP67:PLP73"/>
    <mergeCell ref="PLQ67:PLQ73"/>
    <mergeCell ref="PLR67:PLR73"/>
    <mergeCell ref="PLS67:PLS73"/>
    <mergeCell ref="PLT67:PLT73"/>
    <mergeCell ref="PLI67:PLI73"/>
    <mergeCell ref="PLJ67:PLJ73"/>
    <mergeCell ref="PLK67:PLK73"/>
    <mergeCell ref="PLL67:PLL73"/>
    <mergeCell ref="PLM67:PLM73"/>
    <mergeCell ref="PLN67:PLN73"/>
    <mergeCell ref="PLC67:PLC73"/>
    <mergeCell ref="PLD67:PLD73"/>
    <mergeCell ref="PLE67:PLE73"/>
    <mergeCell ref="PLF67:PLF73"/>
    <mergeCell ref="PLG67:PLG73"/>
    <mergeCell ref="PLH67:PLH73"/>
    <mergeCell ref="PNQ67:PNQ73"/>
    <mergeCell ref="PNR67:PNR73"/>
    <mergeCell ref="PNS67:PNS73"/>
    <mergeCell ref="PNT67:PNT73"/>
    <mergeCell ref="PNU67:PNU73"/>
    <mergeCell ref="PNV67:PNV73"/>
    <mergeCell ref="PNK67:PNK73"/>
    <mergeCell ref="PNL67:PNL73"/>
    <mergeCell ref="PNM67:PNM73"/>
    <mergeCell ref="PNN67:PNN73"/>
    <mergeCell ref="PNO67:PNO73"/>
    <mergeCell ref="PNP67:PNP73"/>
    <mergeCell ref="PNE67:PNE73"/>
    <mergeCell ref="PNF67:PNF73"/>
    <mergeCell ref="PNG67:PNG73"/>
    <mergeCell ref="PNH67:PNH73"/>
    <mergeCell ref="PNI67:PNI73"/>
    <mergeCell ref="PNJ67:PNJ73"/>
    <mergeCell ref="PMY67:PMY73"/>
    <mergeCell ref="PMZ67:PMZ73"/>
    <mergeCell ref="PNA67:PNA73"/>
    <mergeCell ref="PNB67:PNB73"/>
    <mergeCell ref="PNC67:PNC73"/>
    <mergeCell ref="PND67:PND73"/>
    <mergeCell ref="PMS67:PMS73"/>
    <mergeCell ref="PMT67:PMT73"/>
    <mergeCell ref="PMU67:PMU73"/>
    <mergeCell ref="PMV67:PMV73"/>
    <mergeCell ref="PMW67:PMW73"/>
    <mergeCell ref="PMX67:PMX73"/>
    <mergeCell ref="PMM67:PMM73"/>
    <mergeCell ref="PMN67:PMN73"/>
    <mergeCell ref="PMO67:PMO73"/>
    <mergeCell ref="PMP67:PMP73"/>
    <mergeCell ref="PMQ67:PMQ73"/>
    <mergeCell ref="PMR67:PMR73"/>
    <mergeCell ref="PPA67:PPA73"/>
    <mergeCell ref="PPB67:PPB73"/>
    <mergeCell ref="PPC67:PPC73"/>
    <mergeCell ref="PPD67:PPD73"/>
    <mergeCell ref="PPE67:PPE73"/>
    <mergeCell ref="PPF67:PPF73"/>
    <mergeCell ref="POU67:POU73"/>
    <mergeCell ref="POV67:POV73"/>
    <mergeCell ref="POW67:POW73"/>
    <mergeCell ref="POX67:POX73"/>
    <mergeCell ref="POY67:POY73"/>
    <mergeCell ref="POZ67:POZ73"/>
    <mergeCell ref="POO67:POO73"/>
    <mergeCell ref="POP67:POP73"/>
    <mergeCell ref="POQ67:POQ73"/>
    <mergeCell ref="POR67:POR73"/>
    <mergeCell ref="POS67:POS73"/>
    <mergeCell ref="POT67:POT73"/>
    <mergeCell ref="POI67:POI73"/>
    <mergeCell ref="POJ67:POJ73"/>
    <mergeCell ref="POK67:POK73"/>
    <mergeCell ref="POL67:POL73"/>
    <mergeCell ref="POM67:POM73"/>
    <mergeCell ref="PON67:PON73"/>
    <mergeCell ref="POC67:POC73"/>
    <mergeCell ref="POD67:POD73"/>
    <mergeCell ref="POE67:POE73"/>
    <mergeCell ref="POF67:POF73"/>
    <mergeCell ref="POG67:POG73"/>
    <mergeCell ref="POH67:POH73"/>
    <mergeCell ref="PNW67:PNW73"/>
    <mergeCell ref="PNX67:PNX73"/>
    <mergeCell ref="PNY67:PNY73"/>
    <mergeCell ref="PNZ67:PNZ73"/>
    <mergeCell ref="POA67:POA73"/>
    <mergeCell ref="POB67:POB73"/>
    <mergeCell ref="PQK67:PQK73"/>
    <mergeCell ref="PQL67:PQL73"/>
    <mergeCell ref="PQM67:PQM73"/>
    <mergeCell ref="PQN67:PQN73"/>
    <mergeCell ref="PQO67:PQO73"/>
    <mergeCell ref="PQP67:PQP73"/>
    <mergeCell ref="PQE67:PQE73"/>
    <mergeCell ref="PQF67:PQF73"/>
    <mergeCell ref="PQG67:PQG73"/>
    <mergeCell ref="PQH67:PQH73"/>
    <mergeCell ref="PQI67:PQI73"/>
    <mergeCell ref="PQJ67:PQJ73"/>
    <mergeCell ref="PPY67:PPY73"/>
    <mergeCell ref="PPZ67:PPZ73"/>
    <mergeCell ref="PQA67:PQA73"/>
    <mergeCell ref="PQB67:PQB73"/>
    <mergeCell ref="PQC67:PQC73"/>
    <mergeCell ref="PQD67:PQD73"/>
    <mergeCell ref="PPS67:PPS73"/>
    <mergeCell ref="PPT67:PPT73"/>
    <mergeCell ref="PPU67:PPU73"/>
    <mergeCell ref="PPV67:PPV73"/>
    <mergeCell ref="PPW67:PPW73"/>
    <mergeCell ref="PPX67:PPX73"/>
    <mergeCell ref="PPM67:PPM73"/>
    <mergeCell ref="PPN67:PPN73"/>
    <mergeCell ref="PPO67:PPO73"/>
    <mergeCell ref="PPP67:PPP73"/>
    <mergeCell ref="PPQ67:PPQ73"/>
    <mergeCell ref="PPR67:PPR73"/>
    <mergeCell ref="PPG67:PPG73"/>
    <mergeCell ref="PPH67:PPH73"/>
    <mergeCell ref="PPI67:PPI73"/>
    <mergeCell ref="PPJ67:PPJ73"/>
    <mergeCell ref="PPK67:PPK73"/>
    <mergeCell ref="PPL67:PPL73"/>
    <mergeCell ref="PRU67:PRU73"/>
    <mergeCell ref="PRV67:PRV73"/>
    <mergeCell ref="PRW67:PRW73"/>
    <mergeCell ref="PRX67:PRX73"/>
    <mergeCell ref="PRY67:PRY73"/>
    <mergeCell ref="PRZ67:PRZ73"/>
    <mergeCell ref="PRO67:PRO73"/>
    <mergeCell ref="PRP67:PRP73"/>
    <mergeCell ref="PRQ67:PRQ73"/>
    <mergeCell ref="PRR67:PRR73"/>
    <mergeCell ref="PRS67:PRS73"/>
    <mergeCell ref="PRT67:PRT73"/>
    <mergeCell ref="PRI67:PRI73"/>
    <mergeCell ref="PRJ67:PRJ73"/>
    <mergeCell ref="PRK67:PRK73"/>
    <mergeCell ref="PRL67:PRL73"/>
    <mergeCell ref="PRM67:PRM73"/>
    <mergeCell ref="PRN67:PRN73"/>
    <mergeCell ref="PRC67:PRC73"/>
    <mergeCell ref="PRD67:PRD73"/>
    <mergeCell ref="PRE67:PRE73"/>
    <mergeCell ref="PRF67:PRF73"/>
    <mergeCell ref="PRG67:PRG73"/>
    <mergeCell ref="PRH67:PRH73"/>
    <mergeCell ref="PQW67:PQW73"/>
    <mergeCell ref="PQX67:PQX73"/>
    <mergeCell ref="PQY67:PQY73"/>
    <mergeCell ref="PQZ67:PQZ73"/>
    <mergeCell ref="PRA67:PRA73"/>
    <mergeCell ref="PRB67:PRB73"/>
    <mergeCell ref="PQQ67:PQQ73"/>
    <mergeCell ref="PQR67:PQR73"/>
    <mergeCell ref="PQS67:PQS73"/>
    <mergeCell ref="PQT67:PQT73"/>
    <mergeCell ref="PQU67:PQU73"/>
    <mergeCell ref="PQV67:PQV73"/>
    <mergeCell ref="PTE67:PTE73"/>
    <mergeCell ref="PTF67:PTF73"/>
    <mergeCell ref="PTG67:PTG73"/>
    <mergeCell ref="PTH67:PTH73"/>
    <mergeCell ref="PTI67:PTI73"/>
    <mergeCell ref="PTJ67:PTJ73"/>
    <mergeCell ref="PSY67:PSY73"/>
    <mergeCell ref="PSZ67:PSZ73"/>
    <mergeCell ref="PTA67:PTA73"/>
    <mergeCell ref="PTB67:PTB73"/>
    <mergeCell ref="PTC67:PTC73"/>
    <mergeCell ref="PTD67:PTD73"/>
    <mergeCell ref="PSS67:PSS73"/>
    <mergeCell ref="PST67:PST73"/>
    <mergeCell ref="PSU67:PSU73"/>
    <mergeCell ref="PSV67:PSV73"/>
    <mergeCell ref="PSW67:PSW73"/>
    <mergeCell ref="PSX67:PSX73"/>
    <mergeCell ref="PSM67:PSM73"/>
    <mergeCell ref="PSN67:PSN73"/>
    <mergeCell ref="PSO67:PSO73"/>
    <mergeCell ref="PSP67:PSP73"/>
    <mergeCell ref="PSQ67:PSQ73"/>
    <mergeCell ref="PSR67:PSR73"/>
    <mergeCell ref="PSG67:PSG73"/>
    <mergeCell ref="PSH67:PSH73"/>
    <mergeCell ref="PSI67:PSI73"/>
    <mergeCell ref="PSJ67:PSJ73"/>
    <mergeCell ref="PSK67:PSK73"/>
    <mergeCell ref="PSL67:PSL73"/>
    <mergeCell ref="PSA67:PSA73"/>
    <mergeCell ref="PSB67:PSB73"/>
    <mergeCell ref="PSC67:PSC73"/>
    <mergeCell ref="PSD67:PSD73"/>
    <mergeCell ref="PSE67:PSE73"/>
    <mergeCell ref="PSF67:PSF73"/>
    <mergeCell ref="PUO67:PUO73"/>
    <mergeCell ref="PUP67:PUP73"/>
    <mergeCell ref="PUQ67:PUQ73"/>
    <mergeCell ref="PUR67:PUR73"/>
    <mergeCell ref="PUS67:PUS73"/>
    <mergeCell ref="PUT67:PUT73"/>
    <mergeCell ref="PUI67:PUI73"/>
    <mergeCell ref="PUJ67:PUJ73"/>
    <mergeCell ref="PUK67:PUK73"/>
    <mergeCell ref="PUL67:PUL73"/>
    <mergeCell ref="PUM67:PUM73"/>
    <mergeCell ref="PUN67:PUN73"/>
    <mergeCell ref="PUC67:PUC73"/>
    <mergeCell ref="PUD67:PUD73"/>
    <mergeCell ref="PUE67:PUE73"/>
    <mergeCell ref="PUF67:PUF73"/>
    <mergeCell ref="PUG67:PUG73"/>
    <mergeCell ref="PUH67:PUH73"/>
    <mergeCell ref="PTW67:PTW73"/>
    <mergeCell ref="PTX67:PTX73"/>
    <mergeCell ref="PTY67:PTY73"/>
    <mergeCell ref="PTZ67:PTZ73"/>
    <mergeCell ref="PUA67:PUA73"/>
    <mergeCell ref="PUB67:PUB73"/>
    <mergeCell ref="PTQ67:PTQ73"/>
    <mergeCell ref="PTR67:PTR73"/>
    <mergeCell ref="PTS67:PTS73"/>
    <mergeCell ref="PTT67:PTT73"/>
    <mergeCell ref="PTU67:PTU73"/>
    <mergeCell ref="PTV67:PTV73"/>
    <mergeCell ref="PTK67:PTK73"/>
    <mergeCell ref="PTL67:PTL73"/>
    <mergeCell ref="PTM67:PTM73"/>
    <mergeCell ref="PTN67:PTN73"/>
    <mergeCell ref="PTO67:PTO73"/>
    <mergeCell ref="PTP67:PTP73"/>
    <mergeCell ref="PVY67:PVY73"/>
    <mergeCell ref="PVZ67:PVZ73"/>
    <mergeCell ref="PWA67:PWA73"/>
    <mergeCell ref="PWB67:PWB73"/>
    <mergeCell ref="PWC67:PWC73"/>
    <mergeCell ref="PWD67:PWD73"/>
    <mergeCell ref="PVS67:PVS73"/>
    <mergeCell ref="PVT67:PVT73"/>
    <mergeCell ref="PVU67:PVU73"/>
    <mergeCell ref="PVV67:PVV73"/>
    <mergeCell ref="PVW67:PVW73"/>
    <mergeCell ref="PVX67:PVX73"/>
    <mergeCell ref="PVM67:PVM73"/>
    <mergeCell ref="PVN67:PVN73"/>
    <mergeCell ref="PVO67:PVO73"/>
    <mergeCell ref="PVP67:PVP73"/>
    <mergeCell ref="PVQ67:PVQ73"/>
    <mergeCell ref="PVR67:PVR73"/>
    <mergeCell ref="PVG67:PVG73"/>
    <mergeCell ref="PVH67:PVH73"/>
    <mergeCell ref="PVI67:PVI73"/>
    <mergeCell ref="PVJ67:PVJ73"/>
    <mergeCell ref="PVK67:PVK73"/>
    <mergeCell ref="PVL67:PVL73"/>
    <mergeCell ref="PVA67:PVA73"/>
    <mergeCell ref="PVB67:PVB73"/>
    <mergeCell ref="PVC67:PVC73"/>
    <mergeCell ref="PVD67:PVD73"/>
    <mergeCell ref="PVE67:PVE73"/>
    <mergeCell ref="PVF67:PVF73"/>
    <mergeCell ref="PUU67:PUU73"/>
    <mergeCell ref="PUV67:PUV73"/>
    <mergeCell ref="PUW67:PUW73"/>
    <mergeCell ref="PUX67:PUX73"/>
    <mergeCell ref="PUY67:PUY73"/>
    <mergeCell ref="PUZ67:PUZ73"/>
    <mergeCell ref="PXI67:PXI73"/>
    <mergeCell ref="PXJ67:PXJ73"/>
    <mergeCell ref="PXK67:PXK73"/>
    <mergeCell ref="PXL67:PXL73"/>
    <mergeCell ref="PXM67:PXM73"/>
    <mergeCell ref="PXN67:PXN73"/>
    <mergeCell ref="PXC67:PXC73"/>
    <mergeCell ref="PXD67:PXD73"/>
    <mergeCell ref="PXE67:PXE73"/>
    <mergeCell ref="PXF67:PXF73"/>
    <mergeCell ref="PXG67:PXG73"/>
    <mergeCell ref="PXH67:PXH73"/>
    <mergeCell ref="PWW67:PWW73"/>
    <mergeCell ref="PWX67:PWX73"/>
    <mergeCell ref="PWY67:PWY73"/>
    <mergeCell ref="PWZ67:PWZ73"/>
    <mergeCell ref="PXA67:PXA73"/>
    <mergeCell ref="PXB67:PXB73"/>
    <mergeCell ref="PWQ67:PWQ73"/>
    <mergeCell ref="PWR67:PWR73"/>
    <mergeCell ref="PWS67:PWS73"/>
    <mergeCell ref="PWT67:PWT73"/>
    <mergeCell ref="PWU67:PWU73"/>
    <mergeCell ref="PWV67:PWV73"/>
    <mergeCell ref="PWK67:PWK73"/>
    <mergeCell ref="PWL67:PWL73"/>
    <mergeCell ref="PWM67:PWM73"/>
    <mergeCell ref="PWN67:PWN73"/>
    <mergeCell ref="PWO67:PWO73"/>
    <mergeCell ref="PWP67:PWP73"/>
    <mergeCell ref="PWE67:PWE73"/>
    <mergeCell ref="PWF67:PWF73"/>
    <mergeCell ref="PWG67:PWG73"/>
    <mergeCell ref="PWH67:PWH73"/>
    <mergeCell ref="PWI67:PWI73"/>
    <mergeCell ref="PWJ67:PWJ73"/>
    <mergeCell ref="PYS67:PYS73"/>
    <mergeCell ref="PYT67:PYT73"/>
    <mergeCell ref="PYU67:PYU73"/>
    <mergeCell ref="PYV67:PYV73"/>
    <mergeCell ref="PYW67:PYW73"/>
    <mergeCell ref="PYX67:PYX73"/>
    <mergeCell ref="PYM67:PYM73"/>
    <mergeCell ref="PYN67:PYN73"/>
    <mergeCell ref="PYO67:PYO73"/>
    <mergeCell ref="PYP67:PYP73"/>
    <mergeCell ref="PYQ67:PYQ73"/>
    <mergeCell ref="PYR67:PYR73"/>
    <mergeCell ref="PYG67:PYG73"/>
    <mergeCell ref="PYH67:PYH73"/>
    <mergeCell ref="PYI67:PYI73"/>
    <mergeCell ref="PYJ67:PYJ73"/>
    <mergeCell ref="PYK67:PYK73"/>
    <mergeCell ref="PYL67:PYL73"/>
    <mergeCell ref="PYA67:PYA73"/>
    <mergeCell ref="PYB67:PYB73"/>
    <mergeCell ref="PYC67:PYC73"/>
    <mergeCell ref="PYD67:PYD73"/>
    <mergeCell ref="PYE67:PYE73"/>
    <mergeCell ref="PYF67:PYF73"/>
    <mergeCell ref="PXU67:PXU73"/>
    <mergeCell ref="PXV67:PXV73"/>
    <mergeCell ref="PXW67:PXW73"/>
    <mergeCell ref="PXX67:PXX73"/>
    <mergeCell ref="PXY67:PXY73"/>
    <mergeCell ref="PXZ67:PXZ73"/>
    <mergeCell ref="PXO67:PXO73"/>
    <mergeCell ref="PXP67:PXP73"/>
    <mergeCell ref="PXQ67:PXQ73"/>
    <mergeCell ref="PXR67:PXR73"/>
    <mergeCell ref="PXS67:PXS73"/>
    <mergeCell ref="PXT67:PXT73"/>
    <mergeCell ref="QAC67:QAC73"/>
    <mergeCell ref="QAD67:QAD73"/>
    <mergeCell ref="QAE67:QAE73"/>
    <mergeCell ref="QAF67:QAF73"/>
    <mergeCell ref="QAG67:QAG73"/>
    <mergeCell ref="QAH67:QAH73"/>
    <mergeCell ref="PZW67:PZW73"/>
    <mergeCell ref="PZX67:PZX73"/>
    <mergeCell ref="PZY67:PZY73"/>
    <mergeCell ref="PZZ67:PZZ73"/>
    <mergeCell ref="QAA67:QAA73"/>
    <mergeCell ref="QAB67:QAB73"/>
    <mergeCell ref="PZQ67:PZQ73"/>
    <mergeCell ref="PZR67:PZR73"/>
    <mergeCell ref="PZS67:PZS73"/>
    <mergeCell ref="PZT67:PZT73"/>
    <mergeCell ref="PZU67:PZU73"/>
    <mergeCell ref="PZV67:PZV73"/>
    <mergeCell ref="PZK67:PZK73"/>
    <mergeCell ref="PZL67:PZL73"/>
    <mergeCell ref="PZM67:PZM73"/>
    <mergeCell ref="PZN67:PZN73"/>
    <mergeCell ref="PZO67:PZO73"/>
    <mergeCell ref="PZP67:PZP73"/>
    <mergeCell ref="PZE67:PZE73"/>
    <mergeCell ref="PZF67:PZF73"/>
    <mergeCell ref="PZG67:PZG73"/>
    <mergeCell ref="PZH67:PZH73"/>
    <mergeCell ref="PZI67:PZI73"/>
    <mergeCell ref="PZJ67:PZJ73"/>
    <mergeCell ref="PYY67:PYY73"/>
    <mergeCell ref="PYZ67:PYZ73"/>
    <mergeCell ref="PZA67:PZA73"/>
    <mergeCell ref="PZB67:PZB73"/>
    <mergeCell ref="PZC67:PZC73"/>
    <mergeCell ref="PZD67:PZD73"/>
    <mergeCell ref="QBM67:QBM73"/>
    <mergeCell ref="QBN67:QBN73"/>
    <mergeCell ref="QBO67:QBO73"/>
    <mergeCell ref="QBP67:QBP73"/>
    <mergeCell ref="QBQ67:QBQ73"/>
    <mergeCell ref="QBR67:QBR73"/>
    <mergeCell ref="QBG67:QBG73"/>
    <mergeCell ref="QBH67:QBH73"/>
    <mergeCell ref="QBI67:QBI73"/>
    <mergeCell ref="QBJ67:QBJ73"/>
    <mergeCell ref="QBK67:QBK73"/>
    <mergeCell ref="QBL67:QBL73"/>
    <mergeCell ref="QBA67:QBA73"/>
    <mergeCell ref="QBB67:QBB73"/>
    <mergeCell ref="QBC67:QBC73"/>
    <mergeCell ref="QBD67:QBD73"/>
    <mergeCell ref="QBE67:QBE73"/>
    <mergeCell ref="QBF67:QBF73"/>
    <mergeCell ref="QAU67:QAU73"/>
    <mergeCell ref="QAV67:QAV73"/>
    <mergeCell ref="QAW67:QAW73"/>
    <mergeCell ref="QAX67:QAX73"/>
    <mergeCell ref="QAY67:QAY73"/>
    <mergeCell ref="QAZ67:QAZ73"/>
    <mergeCell ref="QAO67:QAO73"/>
    <mergeCell ref="QAP67:QAP73"/>
    <mergeCell ref="QAQ67:QAQ73"/>
    <mergeCell ref="QAR67:QAR73"/>
    <mergeCell ref="QAS67:QAS73"/>
    <mergeCell ref="QAT67:QAT73"/>
    <mergeCell ref="QAI67:QAI73"/>
    <mergeCell ref="QAJ67:QAJ73"/>
    <mergeCell ref="QAK67:QAK73"/>
    <mergeCell ref="QAL67:QAL73"/>
    <mergeCell ref="QAM67:QAM73"/>
    <mergeCell ref="QAN67:QAN73"/>
    <mergeCell ref="QCW67:QCW73"/>
    <mergeCell ref="QCX67:QCX73"/>
    <mergeCell ref="QCY67:QCY73"/>
    <mergeCell ref="QCZ67:QCZ73"/>
    <mergeCell ref="QDA67:QDA73"/>
    <mergeCell ref="QDB67:QDB73"/>
    <mergeCell ref="QCQ67:QCQ73"/>
    <mergeCell ref="QCR67:QCR73"/>
    <mergeCell ref="QCS67:QCS73"/>
    <mergeCell ref="QCT67:QCT73"/>
    <mergeCell ref="QCU67:QCU73"/>
    <mergeCell ref="QCV67:QCV73"/>
    <mergeCell ref="QCK67:QCK73"/>
    <mergeCell ref="QCL67:QCL73"/>
    <mergeCell ref="QCM67:QCM73"/>
    <mergeCell ref="QCN67:QCN73"/>
    <mergeCell ref="QCO67:QCO73"/>
    <mergeCell ref="QCP67:QCP73"/>
    <mergeCell ref="QCE67:QCE73"/>
    <mergeCell ref="QCF67:QCF73"/>
    <mergeCell ref="QCG67:QCG73"/>
    <mergeCell ref="QCH67:QCH73"/>
    <mergeCell ref="QCI67:QCI73"/>
    <mergeCell ref="QCJ67:QCJ73"/>
    <mergeCell ref="QBY67:QBY73"/>
    <mergeCell ref="QBZ67:QBZ73"/>
    <mergeCell ref="QCA67:QCA73"/>
    <mergeCell ref="QCB67:QCB73"/>
    <mergeCell ref="QCC67:QCC73"/>
    <mergeCell ref="QCD67:QCD73"/>
    <mergeCell ref="QBS67:QBS73"/>
    <mergeCell ref="QBT67:QBT73"/>
    <mergeCell ref="QBU67:QBU73"/>
    <mergeCell ref="QBV67:QBV73"/>
    <mergeCell ref="QBW67:QBW73"/>
    <mergeCell ref="QBX67:QBX73"/>
    <mergeCell ref="QEG67:QEG73"/>
    <mergeCell ref="QEH67:QEH73"/>
    <mergeCell ref="QEI67:QEI73"/>
    <mergeCell ref="QEJ67:QEJ73"/>
    <mergeCell ref="QEK67:QEK73"/>
    <mergeCell ref="QEL67:QEL73"/>
    <mergeCell ref="QEA67:QEA73"/>
    <mergeCell ref="QEB67:QEB73"/>
    <mergeCell ref="QEC67:QEC73"/>
    <mergeCell ref="QED67:QED73"/>
    <mergeCell ref="QEE67:QEE73"/>
    <mergeCell ref="QEF67:QEF73"/>
    <mergeCell ref="QDU67:QDU73"/>
    <mergeCell ref="QDV67:QDV73"/>
    <mergeCell ref="QDW67:QDW73"/>
    <mergeCell ref="QDX67:QDX73"/>
    <mergeCell ref="QDY67:QDY73"/>
    <mergeCell ref="QDZ67:QDZ73"/>
    <mergeCell ref="QDO67:QDO73"/>
    <mergeCell ref="QDP67:QDP73"/>
    <mergeCell ref="QDQ67:QDQ73"/>
    <mergeCell ref="QDR67:QDR73"/>
    <mergeCell ref="QDS67:QDS73"/>
    <mergeCell ref="QDT67:QDT73"/>
    <mergeCell ref="QDI67:QDI73"/>
    <mergeCell ref="QDJ67:QDJ73"/>
    <mergeCell ref="QDK67:QDK73"/>
    <mergeCell ref="QDL67:QDL73"/>
    <mergeCell ref="QDM67:QDM73"/>
    <mergeCell ref="QDN67:QDN73"/>
    <mergeCell ref="QDC67:QDC73"/>
    <mergeCell ref="QDD67:QDD73"/>
    <mergeCell ref="QDE67:QDE73"/>
    <mergeCell ref="QDF67:QDF73"/>
    <mergeCell ref="QDG67:QDG73"/>
    <mergeCell ref="QDH67:QDH73"/>
    <mergeCell ref="QFQ67:QFQ73"/>
    <mergeCell ref="QFR67:QFR73"/>
    <mergeCell ref="QFS67:QFS73"/>
    <mergeCell ref="QFT67:QFT73"/>
    <mergeCell ref="QFU67:QFU73"/>
    <mergeCell ref="QFV67:QFV73"/>
    <mergeCell ref="QFK67:QFK73"/>
    <mergeCell ref="QFL67:QFL73"/>
    <mergeCell ref="QFM67:QFM73"/>
    <mergeCell ref="QFN67:QFN73"/>
    <mergeCell ref="QFO67:QFO73"/>
    <mergeCell ref="QFP67:QFP73"/>
    <mergeCell ref="QFE67:QFE73"/>
    <mergeCell ref="QFF67:QFF73"/>
    <mergeCell ref="QFG67:QFG73"/>
    <mergeCell ref="QFH67:QFH73"/>
    <mergeCell ref="QFI67:QFI73"/>
    <mergeCell ref="QFJ67:QFJ73"/>
    <mergeCell ref="QEY67:QEY73"/>
    <mergeCell ref="QEZ67:QEZ73"/>
    <mergeCell ref="QFA67:QFA73"/>
    <mergeCell ref="QFB67:QFB73"/>
    <mergeCell ref="QFC67:QFC73"/>
    <mergeCell ref="QFD67:QFD73"/>
    <mergeCell ref="QES67:QES73"/>
    <mergeCell ref="QET67:QET73"/>
    <mergeCell ref="QEU67:QEU73"/>
    <mergeCell ref="QEV67:QEV73"/>
    <mergeCell ref="QEW67:QEW73"/>
    <mergeCell ref="QEX67:QEX73"/>
    <mergeCell ref="QEM67:QEM73"/>
    <mergeCell ref="QEN67:QEN73"/>
    <mergeCell ref="QEO67:QEO73"/>
    <mergeCell ref="QEP67:QEP73"/>
    <mergeCell ref="QEQ67:QEQ73"/>
    <mergeCell ref="QER67:QER73"/>
    <mergeCell ref="QHA67:QHA73"/>
    <mergeCell ref="QHB67:QHB73"/>
    <mergeCell ref="QHC67:QHC73"/>
    <mergeCell ref="QHD67:QHD73"/>
    <mergeCell ref="QHE67:QHE73"/>
    <mergeCell ref="QHF67:QHF73"/>
    <mergeCell ref="QGU67:QGU73"/>
    <mergeCell ref="QGV67:QGV73"/>
    <mergeCell ref="QGW67:QGW73"/>
    <mergeCell ref="QGX67:QGX73"/>
    <mergeCell ref="QGY67:QGY73"/>
    <mergeCell ref="QGZ67:QGZ73"/>
    <mergeCell ref="QGO67:QGO73"/>
    <mergeCell ref="QGP67:QGP73"/>
    <mergeCell ref="QGQ67:QGQ73"/>
    <mergeCell ref="QGR67:QGR73"/>
    <mergeCell ref="QGS67:QGS73"/>
    <mergeCell ref="QGT67:QGT73"/>
    <mergeCell ref="QGI67:QGI73"/>
    <mergeCell ref="QGJ67:QGJ73"/>
    <mergeCell ref="QGK67:QGK73"/>
    <mergeCell ref="QGL67:QGL73"/>
    <mergeCell ref="QGM67:QGM73"/>
    <mergeCell ref="QGN67:QGN73"/>
    <mergeCell ref="QGC67:QGC73"/>
    <mergeCell ref="QGD67:QGD73"/>
    <mergeCell ref="QGE67:QGE73"/>
    <mergeCell ref="QGF67:QGF73"/>
    <mergeCell ref="QGG67:QGG73"/>
    <mergeCell ref="QGH67:QGH73"/>
    <mergeCell ref="QFW67:QFW73"/>
    <mergeCell ref="QFX67:QFX73"/>
    <mergeCell ref="QFY67:QFY73"/>
    <mergeCell ref="QFZ67:QFZ73"/>
    <mergeCell ref="QGA67:QGA73"/>
    <mergeCell ref="QGB67:QGB73"/>
    <mergeCell ref="QIK67:QIK73"/>
    <mergeCell ref="QIL67:QIL73"/>
    <mergeCell ref="QIM67:QIM73"/>
    <mergeCell ref="QIN67:QIN73"/>
    <mergeCell ref="QIO67:QIO73"/>
    <mergeCell ref="QIP67:QIP73"/>
    <mergeCell ref="QIE67:QIE73"/>
    <mergeCell ref="QIF67:QIF73"/>
    <mergeCell ref="QIG67:QIG73"/>
    <mergeCell ref="QIH67:QIH73"/>
    <mergeCell ref="QII67:QII73"/>
    <mergeCell ref="QIJ67:QIJ73"/>
    <mergeCell ref="QHY67:QHY73"/>
    <mergeCell ref="QHZ67:QHZ73"/>
    <mergeCell ref="QIA67:QIA73"/>
    <mergeCell ref="QIB67:QIB73"/>
    <mergeCell ref="QIC67:QIC73"/>
    <mergeCell ref="QID67:QID73"/>
    <mergeCell ref="QHS67:QHS73"/>
    <mergeCell ref="QHT67:QHT73"/>
    <mergeCell ref="QHU67:QHU73"/>
    <mergeCell ref="QHV67:QHV73"/>
    <mergeCell ref="QHW67:QHW73"/>
    <mergeCell ref="QHX67:QHX73"/>
    <mergeCell ref="QHM67:QHM73"/>
    <mergeCell ref="QHN67:QHN73"/>
    <mergeCell ref="QHO67:QHO73"/>
    <mergeCell ref="QHP67:QHP73"/>
    <mergeCell ref="QHQ67:QHQ73"/>
    <mergeCell ref="QHR67:QHR73"/>
    <mergeCell ref="QHG67:QHG73"/>
    <mergeCell ref="QHH67:QHH73"/>
    <mergeCell ref="QHI67:QHI73"/>
    <mergeCell ref="QHJ67:QHJ73"/>
    <mergeCell ref="QHK67:QHK73"/>
    <mergeCell ref="QHL67:QHL73"/>
    <mergeCell ref="QJU67:QJU73"/>
    <mergeCell ref="QJV67:QJV73"/>
    <mergeCell ref="QJW67:QJW73"/>
    <mergeCell ref="QJX67:QJX73"/>
    <mergeCell ref="QJY67:QJY73"/>
    <mergeCell ref="QJZ67:QJZ73"/>
    <mergeCell ref="QJO67:QJO73"/>
    <mergeCell ref="QJP67:QJP73"/>
    <mergeCell ref="QJQ67:QJQ73"/>
    <mergeCell ref="QJR67:QJR73"/>
    <mergeCell ref="QJS67:QJS73"/>
    <mergeCell ref="QJT67:QJT73"/>
    <mergeCell ref="QJI67:QJI73"/>
    <mergeCell ref="QJJ67:QJJ73"/>
    <mergeCell ref="QJK67:QJK73"/>
    <mergeCell ref="QJL67:QJL73"/>
    <mergeCell ref="QJM67:QJM73"/>
    <mergeCell ref="QJN67:QJN73"/>
    <mergeCell ref="QJC67:QJC73"/>
    <mergeCell ref="QJD67:QJD73"/>
    <mergeCell ref="QJE67:QJE73"/>
    <mergeCell ref="QJF67:QJF73"/>
    <mergeCell ref="QJG67:QJG73"/>
    <mergeCell ref="QJH67:QJH73"/>
    <mergeCell ref="QIW67:QIW73"/>
    <mergeCell ref="QIX67:QIX73"/>
    <mergeCell ref="QIY67:QIY73"/>
    <mergeCell ref="QIZ67:QIZ73"/>
    <mergeCell ref="QJA67:QJA73"/>
    <mergeCell ref="QJB67:QJB73"/>
    <mergeCell ref="QIQ67:QIQ73"/>
    <mergeCell ref="QIR67:QIR73"/>
    <mergeCell ref="QIS67:QIS73"/>
    <mergeCell ref="QIT67:QIT73"/>
    <mergeCell ref="QIU67:QIU73"/>
    <mergeCell ref="QIV67:QIV73"/>
    <mergeCell ref="QLE67:QLE73"/>
    <mergeCell ref="QLF67:QLF73"/>
    <mergeCell ref="QLG67:QLG73"/>
    <mergeCell ref="QLH67:QLH73"/>
    <mergeCell ref="QLI67:QLI73"/>
    <mergeCell ref="QLJ67:QLJ73"/>
    <mergeCell ref="QKY67:QKY73"/>
    <mergeCell ref="QKZ67:QKZ73"/>
    <mergeCell ref="QLA67:QLA73"/>
    <mergeCell ref="QLB67:QLB73"/>
    <mergeCell ref="QLC67:QLC73"/>
    <mergeCell ref="QLD67:QLD73"/>
    <mergeCell ref="QKS67:QKS73"/>
    <mergeCell ref="QKT67:QKT73"/>
    <mergeCell ref="QKU67:QKU73"/>
    <mergeCell ref="QKV67:QKV73"/>
    <mergeCell ref="QKW67:QKW73"/>
    <mergeCell ref="QKX67:QKX73"/>
    <mergeCell ref="QKM67:QKM73"/>
    <mergeCell ref="QKN67:QKN73"/>
    <mergeCell ref="QKO67:QKO73"/>
    <mergeCell ref="QKP67:QKP73"/>
    <mergeCell ref="QKQ67:QKQ73"/>
    <mergeCell ref="QKR67:QKR73"/>
    <mergeCell ref="QKG67:QKG73"/>
    <mergeCell ref="QKH67:QKH73"/>
    <mergeCell ref="QKI67:QKI73"/>
    <mergeCell ref="QKJ67:QKJ73"/>
    <mergeCell ref="QKK67:QKK73"/>
    <mergeCell ref="QKL67:QKL73"/>
    <mergeCell ref="QKA67:QKA73"/>
    <mergeCell ref="QKB67:QKB73"/>
    <mergeCell ref="QKC67:QKC73"/>
    <mergeCell ref="QKD67:QKD73"/>
    <mergeCell ref="QKE67:QKE73"/>
    <mergeCell ref="QKF67:QKF73"/>
    <mergeCell ref="QMO67:QMO73"/>
    <mergeCell ref="QMP67:QMP73"/>
    <mergeCell ref="QMQ67:QMQ73"/>
    <mergeCell ref="QMR67:QMR73"/>
    <mergeCell ref="QMS67:QMS73"/>
    <mergeCell ref="QMT67:QMT73"/>
    <mergeCell ref="QMI67:QMI73"/>
    <mergeCell ref="QMJ67:QMJ73"/>
    <mergeCell ref="QMK67:QMK73"/>
    <mergeCell ref="QML67:QML73"/>
    <mergeCell ref="QMM67:QMM73"/>
    <mergeCell ref="QMN67:QMN73"/>
    <mergeCell ref="QMC67:QMC73"/>
    <mergeCell ref="QMD67:QMD73"/>
    <mergeCell ref="QME67:QME73"/>
    <mergeCell ref="QMF67:QMF73"/>
    <mergeCell ref="QMG67:QMG73"/>
    <mergeCell ref="QMH67:QMH73"/>
    <mergeCell ref="QLW67:QLW73"/>
    <mergeCell ref="QLX67:QLX73"/>
    <mergeCell ref="QLY67:QLY73"/>
    <mergeCell ref="QLZ67:QLZ73"/>
    <mergeCell ref="QMA67:QMA73"/>
    <mergeCell ref="QMB67:QMB73"/>
    <mergeCell ref="QLQ67:QLQ73"/>
    <mergeCell ref="QLR67:QLR73"/>
    <mergeCell ref="QLS67:QLS73"/>
    <mergeCell ref="QLT67:QLT73"/>
    <mergeCell ref="QLU67:QLU73"/>
    <mergeCell ref="QLV67:QLV73"/>
    <mergeCell ref="QLK67:QLK73"/>
    <mergeCell ref="QLL67:QLL73"/>
    <mergeCell ref="QLM67:QLM73"/>
    <mergeCell ref="QLN67:QLN73"/>
    <mergeCell ref="QLO67:QLO73"/>
    <mergeCell ref="QLP67:QLP73"/>
    <mergeCell ref="QNY67:QNY73"/>
    <mergeCell ref="QNZ67:QNZ73"/>
    <mergeCell ref="QOA67:QOA73"/>
    <mergeCell ref="QOB67:QOB73"/>
    <mergeCell ref="QOC67:QOC73"/>
    <mergeCell ref="QOD67:QOD73"/>
    <mergeCell ref="QNS67:QNS73"/>
    <mergeCell ref="QNT67:QNT73"/>
    <mergeCell ref="QNU67:QNU73"/>
    <mergeCell ref="QNV67:QNV73"/>
    <mergeCell ref="QNW67:QNW73"/>
    <mergeCell ref="QNX67:QNX73"/>
    <mergeCell ref="QNM67:QNM73"/>
    <mergeCell ref="QNN67:QNN73"/>
    <mergeCell ref="QNO67:QNO73"/>
    <mergeCell ref="QNP67:QNP73"/>
    <mergeCell ref="QNQ67:QNQ73"/>
    <mergeCell ref="QNR67:QNR73"/>
    <mergeCell ref="QNG67:QNG73"/>
    <mergeCell ref="QNH67:QNH73"/>
    <mergeCell ref="QNI67:QNI73"/>
    <mergeCell ref="QNJ67:QNJ73"/>
    <mergeCell ref="QNK67:QNK73"/>
    <mergeCell ref="QNL67:QNL73"/>
    <mergeCell ref="QNA67:QNA73"/>
    <mergeCell ref="QNB67:QNB73"/>
    <mergeCell ref="QNC67:QNC73"/>
    <mergeCell ref="QND67:QND73"/>
    <mergeCell ref="QNE67:QNE73"/>
    <mergeCell ref="QNF67:QNF73"/>
    <mergeCell ref="QMU67:QMU73"/>
    <mergeCell ref="QMV67:QMV73"/>
    <mergeCell ref="QMW67:QMW73"/>
    <mergeCell ref="QMX67:QMX73"/>
    <mergeCell ref="QMY67:QMY73"/>
    <mergeCell ref="QMZ67:QMZ73"/>
    <mergeCell ref="QPI67:QPI73"/>
    <mergeCell ref="QPJ67:QPJ73"/>
    <mergeCell ref="QPK67:QPK73"/>
    <mergeCell ref="QPL67:QPL73"/>
    <mergeCell ref="QPM67:QPM73"/>
    <mergeCell ref="QPN67:QPN73"/>
    <mergeCell ref="QPC67:QPC73"/>
    <mergeCell ref="QPD67:QPD73"/>
    <mergeCell ref="QPE67:QPE73"/>
    <mergeCell ref="QPF67:QPF73"/>
    <mergeCell ref="QPG67:QPG73"/>
    <mergeCell ref="QPH67:QPH73"/>
    <mergeCell ref="QOW67:QOW73"/>
    <mergeCell ref="QOX67:QOX73"/>
    <mergeCell ref="QOY67:QOY73"/>
    <mergeCell ref="QOZ67:QOZ73"/>
    <mergeCell ref="QPA67:QPA73"/>
    <mergeCell ref="QPB67:QPB73"/>
    <mergeCell ref="QOQ67:QOQ73"/>
    <mergeCell ref="QOR67:QOR73"/>
    <mergeCell ref="QOS67:QOS73"/>
    <mergeCell ref="QOT67:QOT73"/>
    <mergeCell ref="QOU67:QOU73"/>
    <mergeCell ref="QOV67:QOV73"/>
    <mergeCell ref="QOK67:QOK73"/>
    <mergeCell ref="QOL67:QOL73"/>
    <mergeCell ref="QOM67:QOM73"/>
    <mergeCell ref="QON67:QON73"/>
    <mergeCell ref="QOO67:QOO73"/>
    <mergeCell ref="QOP67:QOP73"/>
    <mergeCell ref="QOE67:QOE73"/>
    <mergeCell ref="QOF67:QOF73"/>
    <mergeCell ref="QOG67:QOG73"/>
    <mergeCell ref="QOH67:QOH73"/>
    <mergeCell ref="QOI67:QOI73"/>
    <mergeCell ref="QOJ67:QOJ73"/>
    <mergeCell ref="QQS67:QQS73"/>
    <mergeCell ref="QQT67:QQT73"/>
    <mergeCell ref="QQU67:QQU73"/>
    <mergeCell ref="QQV67:QQV73"/>
    <mergeCell ref="QQW67:QQW73"/>
    <mergeCell ref="QQX67:QQX73"/>
    <mergeCell ref="QQM67:QQM73"/>
    <mergeCell ref="QQN67:QQN73"/>
    <mergeCell ref="QQO67:QQO73"/>
    <mergeCell ref="QQP67:QQP73"/>
    <mergeCell ref="QQQ67:QQQ73"/>
    <mergeCell ref="QQR67:QQR73"/>
    <mergeCell ref="QQG67:QQG73"/>
    <mergeCell ref="QQH67:QQH73"/>
    <mergeCell ref="QQI67:QQI73"/>
    <mergeCell ref="QQJ67:QQJ73"/>
    <mergeCell ref="QQK67:QQK73"/>
    <mergeCell ref="QQL67:QQL73"/>
    <mergeCell ref="QQA67:QQA73"/>
    <mergeCell ref="QQB67:QQB73"/>
    <mergeCell ref="QQC67:QQC73"/>
    <mergeCell ref="QQD67:QQD73"/>
    <mergeCell ref="QQE67:QQE73"/>
    <mergeCell ref="QQF67:QQF73"/>
    <mergeCell ref="QPU67:QPU73"/>
    <mergeCell ref="QPV67:QPV73"/>
    <mergeCell ref="QPW67:QPW73"/>
    <mergeCell ref="QPX67:QPX73"/>
    <mergeCell ref="QPY67:QPY73"/>
    <mergeCell ref="QPZ67:QPZ73"/>
    <mergeCell ref="QPO67:QPO73"/>
    <mergeCell ref="QPP67:QPP73"/>
    <mergeCell ref="QPQ67:QPQ73"/>
    <mergeCell ref="QPR67:QPR73"/>
    <mergeCell ref="QPS67:QPS73"/>
    <mergeCell ref="QPT67:QPT73"/>
    <mergeCell ref="QSC67:QSC73"/>
    <mergeCell ref="QSD67:QSD73"/>
    <mergeCell ref="QSE67:QSE73"/>
    <mergeCell ref="QSF67:QSF73"/>
    <mergeCell ref="QSG67:QSG73"/>
    <mergeCell ref="QSH67:QSH73"/>
    <mergeCell ref="QRW67:QRW73"/>
    <mergeCell ref="QRX67:QRX73"/>
    <mergeCell ref="QRY67:QRY73"/>
    <mergeCell ref="QRZ67:QRZ73"/>
    <mergeCell ref="QSA67:QSA73"/>
    <mergeCell ref="QSB67:QSB73"/>
    <mergeCell ref="QRQ67:QRQ73"/>
    <mergeCell ref="QRR67:QRR73"/>
    <mergeCell ref="QRS67:QRS73"/>
    <mergeCell ref="QRT67:QRT73"/>
    <mergeCell ref="QRU67:QRU73"/>
    <mergeCell ref="QRV67:QRV73"/>
    <mergeCell ref="QRK67:QRK73"/>
    <mergeCell ref="QRL67:QRL73"/>
    <mergeCell ref="QRM67:QRM73"/>
    <mergeCell ref="QRN67:QRN73"/>
    <mergeCell ref="QRO67:QRO73"/>
    <mergeCell ref="QRP67:QRP73"/>
    <mergeCell ref="QRE67:QRE73"/>
    <mergeCell ref="QRF67:QRF73"/>
    <mergeCell ref="QRG67:QRG73"/>
    <mergeCell ref="QRH67:QRH73"/>
    <mergeCell ref="QRI67:QRI73"/>
    <mergeCell ref="QRJ67:QRJ73"/>
    <mergeCell ref="QQY67:QQY73"/>
    <mergeCell ref="QQZ67:QQZ73"/>
    <mergeCell ref="QRA67:QRA73"/>
    <mergeCell ref="QRB67:QRB73"/>
    <mergeCell ref="QRC67:QRC73"/>
    <mergeCell ref="QRD67:QRD73"/>
    <mergeCell ref="QTM67:QTM73"/>
    <mergeCell ref="QTN67:QTN73"/>
    <mergeCell ref="QTO67:QTO73"/>
    <mergeCell ref="QTP67:QTP73"/>
    <mergeCell ref="QTQ67:QTQ73"/>
    <mergeCell ref="QTR67:QTR73"/>
    <mergeCell ref="QTG67:QTG73"/>
    <mergeCell ref="QTH67:QTH73"/>
    <mergeCell ref="QTI67:QTI73"/>
    <mergeCell ref="QTJ67:QTJ73"/>
    <mergeCell ref="QTK67:QTK73"/>
    <mergeCell ref="QTL67:QTL73"/>
    <mergeCell ref="QTA67:QTA73"/>
    <mergeCell ref="QTB67:QTB73"/>
    <mergeCell ref="QTC67:QTC73"/>
    <mergeCell ref="QTD67:QTD73"/>
    <mergeCell ref="QTE67:QTE73"/>
    <mergeCell ref="QTF67:QTF73"/>
    <mergeCell ref="QSU67:QSU73"/>
    <mergeCell ref="QSV67:QSV73"/>
    <mergeCell ref="QSW67:QSW73"/>
    <mergeCell ref="QSX67:QSX73"/>
    <mergeCell ref="QSY67:QSY73"/>
    <mergeCell ref="QSZ67:QSZ73"/>
    <mergeCell ref="QSO67:QSO73"/>
    <mergeCell ref="QSP67:QSP73"/>
    <mergeCell ref="QSQ67:QSQ73"/>
    <mergeCell ref="QSR67:QSR73"/>
    <mergeCell ref="QSS67:QSS73"/>
    <mergeCell ref="QST67:QST73"/>
    <mergeCell ref="QSI67:QSI73"/>
    <mergeCell ref="QSJ67:QSJ73"/>
    <mergeCell ref="QSK67:QSK73"/>
    <mergeCell ref="QSL67:QSL73"/>
    <mergeCell ref="QSM67:QSM73"/>
    <mergeCell ref="QSN67:QSN73"/>
    <mergeCell ref="QUW67:QUW73"/>
    <mergeCell ref="QUX67:QUX73"/>
    <mergeCell ref="QUY67:QUY73"/>
    <mergeCell ref="QUZ67:QUZ73"/>
    <mergeCell ref="QVA67:QVA73"/>
    <mergeCell ref="QVB67:QVB73"/>
    <mergeCell ref="QUQ67:QUQ73"/>
    <mergeCell ref="QUR67:QUR73"/>
    <mergeCell ref="QUS67:QUS73"/>
    <mergeCell ref="QUT67:QUT73"/>
    <mergeCell ref="QUU67:QUU73"/>
    <mergeCell ref="QUV67:QUV73"/>
    <mergeCell ref="QUK67:QUK73"/>
    <mergeCell ref="QUL67:QUL73"/>
    <mergeCell ref="QUM67:QUM73"/>
    <mergeCell ref="QUN67:QUN73"/>
    <mergeCell ref="QUO67:QUO73"/>
    <mergeCell ref="QUP67:QUP73"/>
    <mergeCell ref="QUE67:QUE73"/>
    <mergeCell ref="QUF67:QUF73"/>
    <mergeCell ref="QUG67:QUG73"/>
    <mergeCell ref="QUH67:QUH73"/>
    <mergeCell ref="QUI67:QUI73"/>
    <mergeCell ref="QUJ67:QUJ73"/>
    <mergeCell ref="QTY67:QTY73"/>
    <mergeCell ref="QTZ67:QTZ73"/>
    <mergeCell ref="QUA67:QUA73"/>
    <mergeCell ref="QUB67:QUB73"/>
    <mergeCell ref="QUC67:QUC73"/>
    <mergeCell ref="QUD67:QUD73"/>
    <mergeCell ref="QTS67:QTS73"/>
    <mergeCell ref="QTT67:QTT73"/>
    <mergeCell ref="QTU67:QTU73"/>
    <mergeCell ref="QTV67:QTV73"/>
    <mergeCell ref="QTW67:QTW73"/>
    <mergeCell ref="QTX67:QTX73"/>
    <mergeCell ref="QWG67:QWG73"/>
    <mergeCell ref="QWH67:QWH73"/>
    <mergeCell ref="QWI67:QWI73"/>
    <mergeCell ref="QWJ67:QWJ73"/>
    <mergeCell ref="QWK67:QWK73"/>
    <mergeCell ref="QWL67:QWL73"/>
    <mergeCell ref="QWA67:QWA73"/>
    <mergeCell ref="QWB67:QWB73"/>
    <mergeCell ref="QWC67:QWC73"/>
    <mergeCell ref="QWD67:QWD73"/>
    <mergeCell ref="QWE67:QWE73"/>
    <mergeCell ref="QWF67:QWF73"/>
    <mergeCell ref="QVU67:QVU73"/>
    <mergeCell ref="QVV67:QVV73"/>
    <mergeCell ref="QVW67:QVW73"/>
    <mergeCell ref="QVX67:QVX73"/>
    <mergeCell ref="QVY67:QVY73"/>
    <mergeCell ref="QVZ67:QVZ73"/>
    <mergeCell ref="QVO67:QVO73"/>
    <mergeCell ref="QVP67:QVP73"/>
    <mergeCell ref="QVQ67:QVQ73"/>
    <mergeCell ref="QVR67:QVR73"/>
    <mergeCell ref="QVS67:QVS73"/>
    <mergeCell ref="QVT67:QVT73"/>
    <mergeCell ref="QVI67:QVI73"/>
    <mergeCell ref="QVJ67:QVJ73"/>
    <mergeCell ref="QVK67:QVK73"/>
    <mergeCell ref="QVL67:QVL73"/>
    <mergeCell ref="QVM67:QVM73"/>
    <mergeCell ref="QVN67:QVN73"/>
    <mergeCell ref="QVC67:QVC73"/>
    <mergeCell ref="QVD67:QVD73"/>
    <mergeCell ref="QVE67:QVE73"/>
    <mergeCell ref="QVF67:QVF73"/>
    <mergeCell ref="QVG67:QVG73"/>
    <mergeCell ref="QVH67:QVH73"/>
    <mergeCell ref="QXQ67:QXQ73"/>
    <mergeCell ref="QXR67:QXR73"/>
    <mergeCell ref="QXS67:QXS73"/>
    <mergeCell ref="QXT67:QXT73"/>
    <mergeCell ref="QXU67:QXU73"/>
    <mergeCell ref="QXV67:QXV73"/>
    <mergeCell ref="QXK67:QXK73"/>
    <mergeCell ref="QXL67:QXL73"/>
    <mergeCell ref="QXM67:QXM73"/>
    <mergeCell ref="QXN67:QXN73"/>
    <mergeCell ref="QXO67:QXO73"/>
    <mergeCell ref="QXP67:QXP73"/>
    <mergeCell ref="QXE67:QXE73"/>
    <mergeCell ref="QXF67:QXF73"/>
    <mergeCell ref="QXG67:QXG73"/>
    <mergeCell ref="QXH67:QXH73"/>
    <mergeCell ref="QXI67:QXI73"/>
    <mergeCell ref="QXJ67:QXJ73"/>
    <mergeCell ref="QWY67:QWY73"/>
    <mergeCell ref="QWZ67:QWZ73"/>
    <mergeCell ref="QXA67:QXA73"/>
    <mergeCell ref="QXB67:QXB73"/>
    <mergeCell ref="QXC67:QXC73"/>
    <mergeCell ref="QXD67:QXD73"/>
    <mergeCell ref="QWS67:QWS73"/>
    <mergeCell ref="QWT67:QWT73"/>
    <mergeCell ref="QWU67:QWU73"/>
    <mergeCell ref="QWV67:QWV73"/>
    <mergeCell ref="QWW67:QWW73"/>
    <mergeCell ref="QWX67:QWX73"/>
    <mergeCell ref="QWM67:QWM73"/>
    <mergeCell ref="QWN67:QWN73"/>
    <mergeCell ref="QWO67:QWO73"/>
    <mergeCell ref="QWP67:QWP73"/>
    <mergeCell ref="QWQ67:QWQ73"/>
    <mergeCell ref="QWR67:QWR73"/>
    <mergeCell ref="QZA67:QZA73"/>
    <mergeCell ref="QZB67:QZB73"/>
    <mergeCell ref="QZC67:QZC73"/>
    <mergeCell ref="QZD67:QZD73"/>
    <mergeCell ref="QZE67:QZE73"/>
    <mergeCell ref="QZF67:QZF73"/>
    <mergeCell ref="QYU67:QYU73"/>
    <mergeCell ref="QYV67:QYV73"/>
    <mergeCell ref="QYW67:QYW73"/>
    <mergeCell ref="QYX67:QYX73"/>
    <mergeCell ref="QYY67:QYY73"/>
    <mergeCell ref="QYZ67:QYZ73"/>
    <mergeCell ref="QYO67:QYO73"/>
    <mergeCell ref="QYP67:QYP73"/>
    <mergeCell ref="QYQ67:QYQ73"/>
    <mergeCell ref="QYR67:QYR73"/>
    <mergeCell ref="QYS67:QYS73"/>
    <mergeCell ref="QYT67:QYT73"/>
    <mergeCell ref="QYI67:QYI73"/>
    <mergeCell ref="QYJ67:QYJ73"/>
    <mergeCell ref="QYK67:QYK73"/>
    <mergeCell ref="QYL67:QYL73"/>
    <mergeCell ref="QYM67:QYM73"/>
    <mergeCell ref="QYN67:QYN73"/>
    <mergeCell ref="QYC67:QYC73"/>
    <mergeCell ref="QYD67:QYD73"/>
    <mergeCell ref="QYE67:QYE73"/>
    <mergeCell ref="QYF67:QYF73"/>
    <mergeCell ref="QYG67:QYG73"/>
    <mergeCell ref="QYH67:QYH73"/>
    <mergeCell ref="QXW67:QXW73"/>
    <mergeCell ref="QXX67:QXX73"/>
    <mergeCell ref="QXY67:QXY73"/>
    <mergeCell ref="QXZ67:QXZ73"/>
    <mergeCell ref="QYA67:QYA73"/>
    <mergeCell ref="QYB67:QYB73"/>
    <mergeCell ref="RAK67:RAK73"/>
    <mergeCell ref="RAL67:RAL73"/>
    <mergeCell ref="RAM67:RAM73"/>
    <mergeCell ref="RAN67:RAN73"/>
    <mergeCell ref="RAO67:RAO73"/>
    <mergeCell ref="RAP67:RAP73"/>
    <mergeCell ref="RAE67:RAE73"/>
    <mergeCell ref="RAF67:RAF73"/>
    <mergeCell ref="RAG67:RAG73"/>
    <mergeCell ref="RAH67:RAH73"/>
    <mergeCell ref="RAI67:RAI73"/>
    <mergeCell ref="RAJ67:RAJ73"/>
    <mergeCell ref="QZY67:QZY73"/>
    <mergeCell ref="QZZ67:QZZ73"/>
    <mergeCell ref="RAA67:RAA73"/>
    <mergeCell ref="RAB67:RAB73"/>
    <mergeCell ref="RAC67:RAC73"/>
    <mergeCell ref="RAD67:RAD73"/>
    <mergeCell ref="QZS67:QZS73"/>
    <mergeCell ref="QZT67:QZT73"/>
    <mergeCell ref="QZU67:QZU73"/>
    <mergeCell ref="QZV67:QZV73"/>
    <mergeCell ref="QZW67:QZW73"/>
    <mergeCell ref="QZX67:QZX73"/>
    <mergeCell ref="QZM67:QZM73"/>
    <mergeCell ref="QZN67:QZN73"/>
    <mergeCell ref="QZO67:QZO73"/>
    <mergeCell ref="QZP67:QZP73"/>
    <mergeCell ref="QZQ67:QZQ73"/>
    <mergeCell ref="QZR67:QZR73"/>
    <mergeCell ref="QZG67:QZG73"/>
    <mergeCell ref="QZH67:QZH73"/>
    <mergeCell ref="QZI67:QZI73"/>
    <mergeCell ref="QZJ67:QZJ73"/>
    <mergeCell ref="QZK67:QZK73"/>
    <mergeCell ref="QZL67:QZL73"/>
    <mergeCell ref="RBU67:RBU73"/>
    <mergeCell ref="RBV67:RBV73"/>
    <mergeCell ref="RBW67:RBW73"/>
    <mergeCell ref="RBX67:RBX73"/>
    <mergeCell ref="RBY67:RBY73"/>
    <mergeCell ref="RBZ67:RBZ73"/>
    <mergeCell ref="RBO67:RBO73"/>
    <mergeCell ref="RBP67:RBP73"/>
    <mergeCell ref="RBQ67:RBQ73"/>
    <mergeCell ref="RBR67:RBR73"/>
    <mergeCell ref="RBS67:RBS73"/>
    <mergeCell ref="RBT67:RBT73"/>
    <mergeCell ref="RBI67:RBI73"/>
    <mergeCell ref="RBJ67:RBJ73"/>
    <mergeCell ref="RBK67:RBK73"/>
    <mergeCell ref="RBL67:RBL73"/>
    <mergeCell ref="RBM67:RBM73"/>
    <mergeCell ref="RBN67:RBN73"/>
    <mergeCell ref="RBC67:RBC73"/>
    <mergeCell ref="RBD67:RBD73"/>
    <mergeCell ref="RBE67:RBE73"/>
    <mergeCell ref="RBF67:RBF73"/>
    <mergeCell ref="RBG67:RBG73"/>
    <mergeCell ref="RBH67:RBH73"/>
    <mergeCell ref="RAW67:RAW73"/>
    <mergeCell ref="RAX67:RAX73"/>
    <mergeCell ref="RAY67:RAY73"/>
    <mergeCell ref="RAZ67:RAZ73"/>
    <mergeCell ref="RBA67:RBA73"/>
    <mergeCell ref="RBB67:RBB73"/>
    <mergeCell ref="RAQ67:RAQ73"/>
    <mergeCell ref="RAR67:RAR73"/>
    <mergeCell ref="RAS67:RAS73"/>
    <mergeCell ref="RAT67:RAT73"/>
    <mergeCell ref="RAU67:RAU73"/>
    <mergeCell ref="RAV67:RAV73"/>
    <mergeCell ref="RDE67:RDE73"/>
    <mergeCell ref="RDF67:RDF73"/>
    <mergeCell ref="RDG67:RDG73"/>
    <mergeCell ref="RDH67:RDH73"/>
    <mergeCell ref="RDI67:RDI73"/>
    <mergeCell ref="RDJ67:RDJ73"/>
    <mergeCell ref="RCY67:RCY73"/>
    <mergeCell ref="RCZ67:RCZ73"/>
    <mergeCell ref="RDA67:RDA73"/>
    <mergeCell ref="RDB67:RDB73"/>
    <mergeCell ref="RDC67:RDC73"/>
    <mergeCell ref="RDD67:RDD73"/>
    <mergeCell ref="RCS67:RCS73"/>
    <mergeCell ref="RCT67:RCT73"/>
    <mergeCell ref="RCU67:RCU73"/>
    <mergeCell ref="RCV67:RCV73"/>
    <mergeCell ref="RCW67:RCW73"/>
    <mergeCell ref="RCX67:RCX73"/>
    <mergeCell ref="RCM67:RCM73"/>
    <mergeCell ref="RCN67:RCN73"/>
    <mergeCell ref="RCO67:RCO73"/>
    <mergeCell ref="RCP67:RCP73"/>
    <mergeCell ref="RCQ67:RCQ73"/>
    <mergeCell ref="RCR67:RCR73"/>
    <mergeCell ref="RCG67:RCG73"/>
    <mergeCell ref="RCH67:RCH73"/>
    <mergeCell ref="RCI67:RCI73"/>
    <mergeCell ref="RCJ67:RCJ73"/>
    <mergeCell ref="RCK67:RCK73"/>
    <mergeCell ref="RCL67:RCL73"/>
    <mergeCell ref="RCA67:RCA73"/>
    <mergeCell ref="RCB67:RCB73"/>
    <mergeCell ref="RCC67:RCC73"/>
    <mergeCell ref="RCD67:RCD73"/>
    <mergeCell ref="RCE67:RCE73"/>
    <mergeCell ref="RCF67:RCF73"/>
    <mergeCell ref="REO67:REO73"/>
    <mergeCell ref="REP67:REP73"/>
    <mergeCell ref="REQ67:REQ73"/>
    <mergeCell ref="RER67:RER73"/>
    <mergeCell ref="RES67:RES73"/>
    <mergeCell ref="RET67:RET73"/>
    <mergeCell ref="REI67:REI73"/>
    <mergeCell ref="REJ67:REJ73"/>
    <mergeCell ref="REK67:REK73"/>
    <mergeCell ref="REL67:REL73"/>
    <mergeCell ref="REM67:REM73"/>
    <mergeCell ref="REN67:REN73"/>
    <mergeCell ref="REC67:REC73"/>
    <mergeCell ref="RED67:RED73"/>
    <mergeCell ref="REE67:REE73"/>
    <mergeCell ref="REF67:REF73"/>
    <mergeCell ref="REG67:REG73"/>
    <mergeCell ref="REH67:REH73"/>
    <mergeCell ref="RDW67:RDW73"/>
    <mergeCell ref="RDX67:RDX73"/>
    <mergeCell ref="RDY67:RDY73"/>
    <mergeCell ref="RDZ67:RDZ73"/>
    <mergeCell ref="REA67:REA73"/>
    <mergeCell ref="REB67:REB73"/>
    <mergeCell ref="RDQ67:RDQ73"/>
    <mergeCell ref="RDR67:RDR73"/>
    <mergeCell ref="RDS67:RDS73"/>
    <mergeCell ref="RDT67:RDT73"/>
    <mergeCell ref="RDU67:RDU73"/>
    <mergeCell ref="RDV67:RDV73"/>
    <mergeCell ref="RDK67:RDK73"/>
    <mergeCell ref="RDL67:RDL73"/>
    <mergeCell ref="RDM67:RDM73"/>
    <mergeCell ref="RDN67:RDN73"/>
    <mergeCell ref="RDO67:RDO73"/>
    <mergeCell ref="RDP67:RDP73"/>
    <mergeCell ref="RFY67:RFY73"/>
    <mergeCell ref="RFZ67:RFZ73"/>
    <mergeCell ref="RGA67:RGA73"/>
    <mergeCell ref="RGB67:RGB73"/>
    <mergeCell ref="RGC67:RGC73"/>
    <mergeCell ref="RGD67:RGD73"/>
    <mergeCell ref="RFS67:RFS73"/>
    <mergeCell ref="RFT67:RFT73"/>
    <mergeCell ref="RFU67:RFU73"/>
    <mergeCell ref="RFV67:RFV73"/>
    <mergeCell ref="RFW67:RFW73"/>
    <mergeCell ref="RFX67:RFX73"/>
    <mergeCell ref="RFM67:RFM73"/>
    <mergeCell ref="RFN67:RFN73"/>
    <mergeCell ref="RFO67:RFO73"/>
    <mergeCell ref="RFP67:RFP73"/>
    <mergeCell ref="RFQ67:RFQ73"/>
    <mergeCell ref="RFR67:RFR73"/>
    <mergeCell ref="RFG67:RFG73"/>
    <mergeCell ref="RFH67:RFH73"/>
    <mergeCell ref="RFI67:RFI73"/>
    <mergeCell ref="RFJ67:RFJ73"/>
    <mergeCell ref="RFK67:RFK73"/>
    <mergeCell ref="RFL67:RFL73"/>
    <mergeCell ref="RFA67:RFA73"/>
    <mergeCell ref="RFB67:RFB73"/>
    <mergeCell ref="RFC67:RFC73"/>
    <mergeCell ref="RFD67:RFD73"/>
    <mergeCell ref="RFE67:RFE73"/>
    <mergeCell ref="RFF67:RFF73"/>
    <mergeCell ref="REU67:REU73"/>
    <mergeCell ref="REV67:REV73"/>
    <mergeCell ref="REW67:REW73"/>
    <mergeCell ref="REX67:REX73"/>
    <mergeCell ref="REY67:REY73"/>
    <mergeCell ref="REZ67:REZ73"/>
    <mergeCell ref="RHI67:RHI73"/>
    <mergeCell ref="RHJ67:RHJ73"/>
    <mergeCell ref="RHK67:RHK73"/>
    <mergeCell ref="RHL67:RHL73"/>
    <mergeCell ref="RHM67:RHM73"/>
    <mergeCell ref="RHN67:RHN73"/>
    <mergeCell ref="RHC67:RHC73"/>
    <mergeCell ref="RHD67:RHD73"/>
    <mergeCell ref="RHE67:RHE73"/>
    <mergeCell ref="RHF67:RHF73"/>
    <mergeCell ref="RHG67:RHG73"/>
    <mergeCell ref="RHH67:RHH73"/>
    <mergeCell ref="RGW67:RGW73"/>
    <mergeCell ref="RGX67:RGX73"/>
    <mergeCell ref="RGY67:RGY73"/>
    <mergeCell ref="RGZ67:RGZ73"/>
    <mergeCell ref="RHA67:RHA73"/>
    <mergeCell ref="RHB67:RHB73"/>
    <mergeCell ref="RGQ67:RGQ73"/>
    <mergeCell ref="RGR67:RGR73"/>
    <mergeCell ref="RGS67:RGS73"/>
    <mergeCell ref="RGT67:RGT73"/>
    <mergeCell ref="RGU67:RGU73"/>
    <mergeCell ref="RGV67:RGV73"/>
    <mergeCell ref="RGK67:RGK73"/>
    <mergeCell ref="RGL67:RGL73"/>
    <mergeCell ref="RGM67:RGM73"/>
    <mergeCell ref="RGN67:RGN73"/>
    <mergeCell ref="RGO67:RGO73"/>
    <mergeCell ref="RGP67:RGP73"/>
    <mergeCell ref="RGE67:RGE73"/>
    <mergeCell ref="RGF67:RGF73"/>
    <mergeCell ref="RGG67:RGG73"/>
    <mergeCell ref="RGH67:RGH73"/>
    <mergeCell ref="RGI67:RGI73"/>
    <mergeCell ref="RGJ67:RGJ73"/>
    <mergeCell ref="RIS67:RIS73"/>
    <mergeCell ref="RIT67:RIT73"/>
    <mergeCell ref="RIU67:RIU73"/>
    <mergeCell ref="RIV67:RIV73"/>
    <mergeCell ref="RIW67:RIW73"/>
    <mergeCell ref="RIX67:RIX73"/>
    <mergeCell ref="RIM67:RIM73"/>
    <mergeCell ref="RIN67:RIN73"/>
    <mergeCell ref="RIO67:RIO73"/>
    <mergeCell ref="RIP67:RIP73"/>
    <mergeCell ref="RIQ67:RIQ73"/>
    <mergeCell ref="RIR67:RIR73"/>
    <mergeCell ref="RIG67:RIG73"/>
    <mergeCell ref="RIH67:RIH73"/>
    <mergeCell ref="RII67:RII73"/>
    <mergeCell ref="RIJ67:RIJ73"/>
    <mergeCell ref="RIK67:RIK73"/>
    <mergeCell ref="RIL67:RIL73"/>
    <mergeCell ref="RIA67:RIA73"/>
    <mergeCell ref="RIB67:RIB73"/>
    <mergeCell ref="RIC67:RIC73"/>
    <mergeCell ref="RID67:RID73"/>
    <mergeCell ref="RIE67:RIE73"/>
    <mergeCell ref="RIF67:RIF73"/>
    <mergeCell ref="RHU67:RHU73"/>
    <mergeCell ref="RHV67:RHV73"/>
    <mergeCell ref="RHW67:RHW73"/>
    <mergeCell ref="RHX67:RHX73"/>
    <mergeCell ref="RHY67:RHY73"/>
    <mergeCell ref="RHZ67:RHZ73"/>
    <mergeCell ref="RHO67:RHO73"/>
    <mergeCell ref="RHP67:RHP73"/>
    <mergeCell ref="RHQ67:RHQ73"/>
    <mergeCell ref="RHR67:RHR73"/>
    <mergeCell ref="RHS67:RHS73"/>
    <mergeCell ref="RHT67:RHT73"/>
    <mergeCell ref="RKC67:RKC73"/>
    <mergeCell ref="RKD67:RKD73"/>
    <mergeCell ref="RKE67:RKE73"/>
    <mergeCell ref="RKF67:RKF73"/>
    <mergeCell ref="RKG67:RKG73"/>
    <mergeCell ref="RKH67:RKH73"/>
    <mergeCell ref="RJW67:RJW73"/>
    <mergeCell ref="RJX67:RJX73"/>
    <mergeCell ref="RJY67:RJY73"/>
    <mergeCell ref="RJZ67:RJZ73"/>
    <mergeCell ref="RKA67:RKA73"/>
    <mergeCell ref="RKB67:RKB73"/>
    <mergeCell ref="RJQ67:RJQ73"/>
    <mergeCell ref="RJR67:RJR73"/>
    <mergeCell ref="RJS67:RJS73"/>
    <mergeCell ref="RJT67:RJT73"/>
    <mergeCell ref="RJU67:RJU73"/>
    <mergeCell ref="RJV67:RJV73"/>
    <mergeCell ref="RJK67:RJK73"/>
    <mergeCell ref="RJL67:RJL73"/>
    <mergeCell ref="RJM67:RJM73"/>
    <mergeCell ref="RJN67:RJN73"/>
    <mergeCell ref="RJO67:RJO73"/>
    <mergeCell ref="RJP67:RJP73"/>
    <mergeCell ref="RJE67:RJE73"/>
    <mergeCell ref="RJF67:RJF73"/>
    <mergeCell ref="RJG67:RJG73"/>
    <mergeCell ref="RJH67:RJH73"/>
    <mergeCell ref="RJI67:RJI73"/>
    <mergeCell ref="RJJ67:RJJ73"/>
    <mergeCell ref="RIY67:RIY73"/>
    <mergeCell ref="RIZ67:RIZ73"/>
    <mergeCell ref="RJA67:RJA73"/>
    <mergeCell ref="RJB67:RJB73"/>
    <mergeCell ref="RJC67:RJC73"/>
    <mergeCell ref="RJD67:RJD73"/>
    <mergeCell ref="RLM67:RLM73"/>
    <mergeCell ref="RLN67:RLN73"/>
    <mergeCell ref="RLO67:RLO73"/>
    <mergeCell ref="RLP67:RLP73"/>
    <mergeCell ref="RLQ67:RLQ73"/>
    <mergeCell ref="RLR67:RLR73"/>
    <mergeCell ref="RLG67:RLG73"/>
    <mergeCell ref="RLH67:RLH73"/>
    <mergeCell ref="RLI67:RLI73"/>
    <mergeCell ref="RLJ67:RLJ73"/>
    <mergeCell ref="RLK67:RLK73"/>
    <mergeCell ref="RLL67:RLL73"/>
    <mergeCell ref="RLA67:RLA73"/>
    <mergeCell ref="RLB67:RLB73"/>
    <mergeCell ref="RLC67:RLC73"/>
    <mergeCell ref="RLD67:RLD73"/>
    <mergeCell ref="RLE67:RLE73"/>
    <mergeCell ref="RLF67:RLF73"/>
    <mergeCell ref="RKU67:RKU73"/>
    <mergeCell ref="RKV67:RKV73"/>
    <mergeCell ref="RKW67:RKW73"/>
    <mergeCell ref="RKX67:RKX73"/>
    <mergeCell ref="RKY67:RKY73"/>
    <mergeCell ref="RKZ67:RKZ73"/>
    <mergeCell ref="RKO67:RKO73"/>
    <mergeCell ref="RKP67:RKP73"/>
    <mergeCell ref="RKQ67:RKQ73"/>
    <mergeCell ref="RKR67:RKR73"/>
    <mergeCell ref="RKS67:RKS73"/>
    <mergeCell ref="RKT67:RKT73"/>
    <mergeCell ref="RKI67:RKI73"/>
    <mergeCell ref="RKJ67:RKJ73"/>
    <mergeCell ref="RKK67:RKK73"/>
    <mergeCell ref="RKL67:RKL73"/>
    <mergeCell ref="RKM67:RKM73"/>
    <mergeCell ref="RKN67:RKN73"/>
    <mergeCell ref="RMW67:RMW73"/>
    <mergeCell ref="RMX67:RMX73"/>
    <mergeCell ref="RMY67:RMY73"/>
    <mergeCell ref="RMZ67:RMZ73"/>
    <mergeCell ref="RNA67:RNA73"/>
    <mergeCell ref="RNB67:RNB73"/>
    <mergeCell ref="RMQ67:RMQ73"/>
    <mergeCell ref="RMR67:RMR73"/>
    <mergeCell ref="RMS67:RMS73"/>
    <mergeCell ref="RMT67:RMT73"/>
    <mergeCell ref="RMU67:RMU73"/>
    <mergeCell ref="RMV67:RMV73"/>
    <mergeCell ref="RMK67:RMK73"/>
    <mergeCell ref="RML67:RML73"/>
    <mergeCell ref="RMM67:RMM73"/>
    <mergeCell ref="RMN67:RMN73"/>
    <mergeCell ref="RMO67:RMO73"/>
    <mergeCell ref="RMP67:RMP73"/>
    <mergeCell ref="RME67:RME73"/>
    <mergeCell ref="RMF67:RMF73"/>
    <mergeCell ref="RMG67:RMG73"/>
    <mergeCell ref="RMH67:RMH73"/>
    <mergeCell ref="RMI67:RMI73"/>
    <mergeCell ref="RMJ67:RMJ73"/>
    <mergeCell ref="RLY67:RLY73"/>
    <mergeCell ref="RLZ67:RLZ73"/>
    <mergeCell ref="RMA67:RMA73"/>
    <mergeCell ref="RMB67:RMB73"/>
    <mergeCell ref="RMC67:RMC73"/>
    <mergeCell ref="RMD67:RMD73"/>
    <mergeCell ref="RLS67:RLS73"/>
    <mergeCell ref="RLT67:RLT73"/>
    <mergeCell ref="RLU67:RLU73"/>
    <mergeCell ref="RLV67:RLV73"/>
    <mergeCell ref="RLW67:RLW73"/>
    <mergeCell ref="RLX67:RLX73"/>
    <mergeCell ref="ROG67:ROG73"/>
    <mergeCell ref="ROH67:ROH73"/>
    <mergeCell ref="ROI67:ROI73"/>
    <mergeCell ref="ROJ67:ROJ73"/>
    <mergeCell ref="ROK67:ROK73"/>
    <mergeCell ref="ROL67:ROL73"/>
    <mergeCell ref="ROA67:ROA73"/>
    <mergeCell ref="ROB67:ROB73"/>
    <mergeCell ref="ROC67:ROC73"/>
    <mergeCell ref="ROD67:ROD73"/>
    <mergeCell ref="ROE67:ROE73"/>
    <mergeCell ref="ROF67:ROF73"/>
    <mergeCell ref="RNU67:RNU73"/>
    <mergeCell ref="RNV67:RNV73"/>
    <mergeCell ref="RNW67:RNW73"/>
    <mergeCell ref="RNX67:RNX73"/>
    <mergeCell ref="RNY67:RNY73"/>
    <mergeCell ref="RNZ67:RNZ73"/>
    <mergeCell ref="RNO67:RNO73"/>
    <mergeCell ref="RNP67:RNP73"/>
    <mergeCell ref="RNQ67:RNQ73"/>
    <mergeCell ref="RNR67:RNR73"/>
    <mergeCell ref="RNS67:RNS73"/>
    <mergeCell ref="RNT67:RNT73"/>
    <mergeCell ref="RNI67:RNI73"/>
    <mergeCell ref="RNJ67:RNJ73"/>
    <mergeCell ref="RNK67:RNK73"/>
    <mergeCell ref="RNL67:RNL73"/>
    <mergeCell ref="RNM67:RNM73"/>
    <mergeCell ref="RNN67:RNN73"/>
    <mergeCell ref="RNC67:RNC73"/>
    <mergeCell ref="RND67:RND73"/>
    <mergeCell ref="RNE67:RNE73"/>
    <mergeCell ref="RNF67:RNF73"/>
    <mergeCell ref="RNG67:RNG73"/>
    <mergeCell ref="RNH67:RNH73"/>
    <mergeCell ref="RPQ67:RPQ73"/>
    <mergeCell ref="RPR67:RPR73"/>
    <mergeCell ref="RPS67:RPS73"/>
    <mergeCell ref="RPT67:RPT73"/>
    <mergeCell ref="RPU67:RPU73"/>
    <mergeCell ref="RPV67:RPV73"/>
    <mergeCell ref="RPK67:RPK73"/>
    <mergeCell ref="RPL67:RPL73"/>
    <mergeCell ref="RPM67:RPM73"/>
    <mergeCell ref="RPN67:RPN73"/>
    <mergeCell ref="RPO67:RPO73"/>
    <mergeCell ref="RPP67:RPP73"/>
    <mergeCell ref="RPE67:RPE73"/>
    <mergeCell ref="RPF67:RPF73"/>
    <mergeCell ref="RPG67:RPG73"/>
    <mergeCell ref="RPH67:RPH73"/>
    <mergeCell ref="RPI67:RPI73"/>
    <mergeCell ref="RPJ67:RPJ73"/>
    <mergeCell ref="ROY67:ROY73"/>
    <mergeCell ref="ROZ67:ROZ73"/>
    <mergeCell ref="RPA67:RPA73"/>
    <mergeCell ref="RPB67:RPB73"/>
    <mergeCell ref="RPC67:RPC73"/>
    <mergeCell ref="RPD67:RPD73"/>
    <mergeCell ref="ROS67:ROS73"/>
    <mergeCell ref="ROT67:ROT73"/>
    <mergeCell ref="ROU67:ROU73"/>
    <mergeCell ref="ROV67:ROV73"/>
    <mergeCell ref="ROW67:ROW73"/>
    <mergeCell ref="ROX67:ROX73"/>
    <mergeCell ref="ROM67:ROM73"/>
    <mergeCell ref="RON67:RON73"/>
    <mergeCell ref="ROO67:ROO73"/>
    <mergeCell ref="ROP67:ROP73"/>
    <mergeCell ref="ROQ67:ROQ73"/>
    <mergeCell ref="ROR67:ROR73"/>
    <mergeCell ref="RRA67:RRA73"/>
    <mergeCell ref="RRB67:RRB73"/>
    <mergeCell ref="RRC67:RRC73"/>
    <mergeCell ref="RRD67:RRD73"/>
    <mergeCell ref="RRE67:RRE73"/>
    <mergeCell ref="RRF67:RRF73"/>
    <mergeCell ref="RQU67:RQU73"/>
    <mergeCell ref="RQV67:RQV73"/>
    <mergeCell ref="RQW67:RQW73"/>
    <mergeCell ref="RQX67:RQX73"/>
    <mergeCell ref="RQY67:RQY73"/>
    <mergeCell ref="RQZ67:RQZ73"/>
    <mergeCell ref="RQO67:RQO73"/>
    <mergeCell ref="RQP67:RQP73"/>
    <mergeCell ref="RQQ67:RQQ73"/>
    <mergeCell ref="RQR67:RQR73"/>
    <mergeCell ref="RQS67:RQS73"/>
    <mergeCell ref="RQT67:RQT73"/>
    <mergeCell ref="RQI67:RQI73"/>
    <mergeCell ref="RQJ67:RQJ73"/>
    <mergeCell ref="RQK67:RQK73"/>
    <mergeCell ref="RQL67:RQL73"/>
    <mergeCell ref="RQM67:RQM73"/>
    <mergeCell ref="RQN67:RQN73"/>
    <mergeCell ref="RQC67:RQC73"/>
    <mergeCell ref="RQD67:RQD73"/>
    <mergeCell ref="RQE67:RQE73"/>
    <mergeCell ref="RQF67:RQF73"/>
    <mergeCell ref="RQG67:RQG73"/>
    <mergeCell ref="RQH67:RQH73"/>
    <mergeCell ref="RPW67:RPW73"/>
    <mergeCell ref="RPX67:RPX73"/>
    <mergeCell ref="RPY67:RPY73"/>
    <mergeCell ref="RPZ67:RPZ73"/>
    <mergeCell ref="RQA67:RQA73"/>
    <mergeCell ref="RQB67:RQB73"/>
    <mergeCell ref="RSK67:RSK73"/>
    <mergeCell ref="RSL67:RSL73"/>
    <mergeCell ref="RSM67:RSM73"/>
    <mergeCell ref="RSN67:RSN73"/>
    <mergeCell ref="RSO67:RSO73"/>
    <mergeCell ref="RSP67:RSP73"/>
    <mergeCell ref="RSE67:RSE73"/>
    <mergeCell ref="RSF67:RSF73"/>
    <mergeCell ref="RSG67:RSG73"/>
    <mergeCell ref="RSH67:RSH73"/>
    <mergeCell ref="RSI67:RSI73"/>
    <mergeCell ref="RSJ67:RSJ73"/>
    <mergeCell ref="RRY67:RRY73"/>
    <mergeCell ref="RRZ67:RRZ73"/>
    <mergeCell ref="RSA67:RSA73"/>
    <mergeCell ref="RSB67:RSB73"/>
    <mergeCell ref="RSC67:RSC73"/>
    <mergeCell ref="RSD67:RSD73"/>
    <mergeCell ref="RRS67:RRS73"/>
    <mergeCell ref="RRT67:RRT73"/>
    <mergeCell ref="RRU67:RRU73"/>
    <mergeCell ref="RRV67:RRV73"/>
    <mergeCell ref="RRW67:RRW73"/>
    <mergeCell ref="RRX67:RRX73"/>
    <mergeCell ref="RRM67:RRM73"/>
    <mergeCell ref="RRN67:RRN73"/>
    <mergeCell ref="RRO67:RRO73"/>
    <mergeCell ref="RRP67:RRP73"/>
    <mergeCell ref="RRQ67:RRQ73"/>
    <mergeCell ref="RRR67:RRR73"/>
    <mergeCell ref="RRG67:RRG73"/>
    <mergeCell ref="RRH67:RRH73"/>
    <mergeCell ref="RRI67:RRI73"/>
    <mergeCell ref="RRJ67:RRJ73"/>
    <mergeCell ref="RRK67:RRK73"/>
    <mergeCell ref="RRL67:RRL73"/>
    <mergeCell ref="RTU67:RTU73"/>
    <mergeCell ref="RTV67:RTV73"/>
    <mergeCell ref="RTW67:RTW73"/>
    <mergeCell ref="RTX67:RTX73"/>
    <mergeCell ref="RTY67:RTY73"/>
    <mergeCell ref="RTZ67:RTZ73"/>
    <mergeCell ref="RTO67:RTO73"/>
    <mergeCell ref="RTP67:RTP73"/>
    <mergeCell ref="RTQ67:RTQ73"/>
    <mergeCell ref="RTR67:RTR73"/>
    <mergeCell ref="RTS67:RTS73"/>
    <mergeCell ref="RTT67:RTT73"/>
    <mergeCell ref="RTI67:RTI73"/>
    <mergeCell ref="RTJ67:RTJ73"/>
    <mergeCell ref="RTK67:RTK73"/>
    <mergeCell ref="RTL67:RTL73"/>
    <mergeCell ref="RTM67:RTM73"/>
    <mergeCell ref="RTN67:RTN73"/>
    <mergeCell ref="RTC67:RTC73"/>
    <mergeCell ref="RTD67:RTD73"/>
    <mergeCell ref="RTE67:RTE73"/>
    <mergeCell ref="RTF67:RTF73"/>
    <mergeCell ref="RTG67:RTG73"/>
    <mergeCell ref="RTH67:RTH73"/>
    <mergeCell ref="RSW67:RSW73"/>
    <mergeCell ref="RSX67:RSX73"/>
    <mergeCell ref="RSY67:RSY73"/>
    <mergeCell ref="RSZ67:RSZ73"/>
    <mergeCell ref="RTA67:RTA73"/>
    <mergeCell ref="RTB67:RTB73"/>
    <mergeCell ref="RSQ67:RSQ73"/>
    <mergeCell ref="RSR67:RSR73"/>
    <mergeCell ref="RSS67:RSS73"/>
    <mergeCell ref="RST67:RST73"/>
    <mergeCell ref="RSU67:RSU73"/>
    <mergeCell ref="RSV67:RSV73"/>
    <mergeCell ref="RVE67:RVE73"/>
    <mergeCell ref="RVF67:RVF73"/>
    <mergeCell ref="RVG67:RVG73"/>
    <mergeCell ref="RVH67:RVH73"/>
    <mergeCell ref="RVI67:RVI73"/>
    <mergeCell ref="RVJ67:RVJ73"/>
    <mergeCell ref="RUY67:RUY73"/>
    <mergeCell ref="RUZ67:RUZ73"/>
    <mergeCell ref="RVA67:RVA73"/>
    <mergeCell ref="RVB67:RVB73"/>
    <mergeCell ref="RVC67:RVC73"/>
    <mergeCell ref="RVD67:RVD73"/>
    <mergeCell ref="RUS67:RUS73"/>
    <mergeCell ref="RUT67:RUT73"/>
    <mergeCell ref="RUU67:RUU73"/>
    <mergeCell ref="RUV67:RUV73"/>
    <mergeCell ref="RUW67:RUW73"/>
    <mergeCell ref="RUX67:RUX73"/>
    <mergeCell ref="RUM67:RUM73"/>
    <mergeCell ref="RUN67:RUN73"/>
    <mergeCell ref="RUO67:RUO73"/>
    <mergeCell ref="RUP67:RUP73"/>
    <mergeCell ref="RUQ67:RUQ73"/>
    <mergeCell ref="RUR67:RUR73"/>
    <mergeCell ref="RUG67:RUG73"/>
    <mergeCell ref="RUH67:RUH73"/>
    <mergeCell ref="RUI67:RUI73"/>
    <mergeCell ref="RUJ67:RUJ73"/>
    <mergeCell ref="RUK67:RUK73"/>
    <mergeCell ref="RUL67:RUL73"/>
    <mergeCell ref="RUA67:RUA73"/>
    <mergeCell ref="RUB67:RUB73"/>
    <mergeCell ref="RUC67:RUC73"/>
    <mergeCell ref="RUD67:RUD73"/>
    <mergeCell ref="RUE67:RUE73"/>
    <mergeCell ref="RUF67:RUF73"/>
    <mergeCell ref="RWO67:RWO73"/>
    <mergeCell ref="RWP67:RWP73"/>
    <mergeCell ref="RWQ67:RWQ73"/>
    <mergeCell ref="RWR67:RWR73"/>
    <mergeCell ref="RWS67:RWS73"/>
    <mergeCell ref="RWT67:RWT73"/>
    <mergeCell ref="RWI67:RWI73"/>
    <mergeCell ref="RWJ67:RWJ73"/>
    <mergeCell ref="RWK67:RWK73"/>
    <mergeCell ref="RWL67:RWL73"/>
    <mergeCell ref="RWM67:RWM73"/>
    <mergeCell ref="RWN67:RWN73"/>
    <mergeCell ref="RWC67:RWC73"/>
    <mergeCell ref="RWD67:RWD73"/>
    <mergeCell ref="RWE67:RWE73"/>
    <mergeCell ref="RWF67:RWF73"/>
    <mergeCell ref="RWG67:RWG73"/>
    <mergeCell ref="RWH67:RWH73"/>
    <mergeCell ref="RVW67:RVW73"/>
    <mergeCell ref="RVX67:RVX73"/>
    <mergeCell ref="RVY67:RVY73"/>
    <mergeCell ref="RVZ67:RVZ73"/>
    <mergeCell ref="RWA67:RWA73"/>
    <mergeCell ref="RWB67:RWB73"/>
    <mergeCell ref="RVQ67:RVQ73"/>
    <mergeCell ref="RVR67:RVR73"/>
    <mergeCell ref="RVS67:RVS73"/>
    <mergeCell ref="RVT67:RVT73"/>
    <mergeCell ref="RVU67:RVU73"/>
    <mergeCell ref="RVV67:RVV73"/>
    <mergeCell ref="RVK67:RVK73"/>
    <mergeCell ref="RVL67:RVL73"/>
    <mergeCell ref="RVM67:RVM73"/>
    <mergeCell ref="RVN67:RVN73"/>
    <mergeCell ref="RVO67:RVO73"/>
    <mergeCell ref="RVP67:RVP73"/>
    <mergeCell ref="RXY67:RXY73"/>
    <mergeCell ref="RXZ67:RXZ73"/>
    <mergeCell ref="RYA67:RYA73"/>
    <mergeCell ref="RYB67:RYB73"/>
    <mergeCell ref="RYC67:RYC73"/>
    <mergeCell ref="RYD67:RYD73"/>
    <mergeCell ref="RXS67:RXS73"/>
    <mergeCell ref="RXT67:RXT73"/>
    <mergeCell ref="RXU67:RXU73"/>
    <mergeCell ref="RXV67:RXV73"/>
    <mergeCell ref="RXW67:RXW73"/>
    <mergeCell ref="RXX67:RXX73"/>
    <mergeCell ref="RXM67:RXM73"/>
    <mergeCell ref="RXN67:RXN73"/>
    <mergeCell ref="RXO67:RXO73"/>
    <mergeCell ref="RXP67:RXP73"/>
    <mergeCell ref="RXQ67:RXQ73"/>
    <mergeCell ref="RXR67:RXR73"/>
    <mergeCell ref="RXG67:RXG73"/>
    <mergeCell ref="RXH67:RXH73"/>
    <mergeCell ref="RXI67:RXI73"/>
    <mergeCell ref="RXJ67:RXJ73"/>
    <mergeCell ref="RXK67:RXK73"/>
    <mergeCell ref="RXL67:RXL73"/>
    <mergeCell ref="RXA67:RXA73"/>
    <mergeCell ref="RXB67:RXB73"/>
    <mergeCell ref="RXC67:RXC73"/>
    <mergeCell ref="RXD67:RXD73"/>
    <mergeCell ref="RXE67:RXE73"/>
    <mergeCell ref="RXF67:RXF73"/>
    <mergeCell ref="RWU67:RWU73"/>
    <mergeCell ref="RWV67:RWV73"/>
    <mergeCell ref="RWW67:RWW73"/>
    <mergeCell ref="RWX67:RWX73"/>
    <mergeCell ref="RWY67:RWY73"/>
    <mergeCell ref="RWZ67:RWZ73"/>
    <mergeCell ref="RZI67:RZI73"/>
    <mergeCell ref="RZJ67:RZJ73"/>
    <mergeCell ref="RZK67:RZK73"/>
    <mergeCell ref="RZL67:RZL73"/>
    <mergeCell ref="RZM67:RZM73"/>
    <mergeCell ref="RZN67:RZN73"/>
    <mergeCell ref="RZC67:RZC73"/>
    <mergeCell ref="RZD67:RZD73"/>
    <mergeCell ref="RZE67:RZE73"/>
    <mergeCell ref="RZF67:RZF73"/>
    <mergeCell ref="RZG67:RZG73"/>
    <mergeCell ref="RZH67:RZH73"/>
    <mergeCell ref="RYW67:RYW73"/>
    <mergeCell ref="RYX67:RYX73"/>
    <mergeCell ref="RYY67:RYY73"/>
    <mergeCell ref="RYZ67:RYZ73"/>
    <mergeCell ref="RZA67:RZA73"/>
    <mergeCell ref="RZB67:RZB73"/>
    <mergeCell ref="RYQ67:RYQ73"/>
    <mergeCell ref="RYR67:RYR73"/>
    <mergeCell ref="RYS67:RYS73"/>
    <mergeCell ref="RYT67:RYT73"/>
    <mergeCell ref="RYU67:RYU73"/>
    <mergeCell ref="RYV67:RYV73"/>
    <mergeCell ref="RYK67:RYK73"/>
    <mergeCell ref="RYL67:RYL73"/>
    <mergeCell ref="RYM67:RYM73"/>
    <mergeCell ref="RYN67:RYN73"/>
    <mergeCell ref="RYO67:RYO73"/>
    <mergeCell ref="RYP67:RYP73"/>
    <mergeCell ref="RYE67:RYE73"/>
    <mergeCell ref="RYF67:RYF73"/>
    <mergeCell ref="RYG67:RYG73"/>
    <mergeCell ref="RYH67:RYH73"/>
    <mergeCell ref="RYI67:RYI73"/>
    <mergeCell ref="RYJ67:RYJ73"/>
    <mergeCell ref="SAS67:SAS73"/>
    <mergeCell ref="SAT67:SAT73"/>
    <mergeCell ref="SAU67:SAU73"/>
    <mergeCell ref="SAV67:SAV73"/>
    <mergeCell ref="SAW67:SAW73"/>
    <mergeCell ref="SAX67:SAX73"/>
    <mergeCell ref="SAM67:SAM73"/>
    <mergeCell ref="SAN67:SAN73"/>
    <mergeCell ref="SAO67:SAO73"/>
    <mergeCell ref="SAP67:SAP73"/>
    <mergeCell ref="SAQ67:SAQ73"/>
    <mergeCell ref="SAR67:SAR73"/>
    <mergeCell ref="SAG67:SAG73"/>
    <mergeCell ref="SAH67:SAH73"/>
    <mergeCell ref="SAI67:SAI73"/>
    <mergeCell ref="SAJ67:SAJ73"/>
    <mergeCell ref="SAK67:SAK73"/>
    <mergeCell ref="SAL67:SAL73"/>
    <mergeCell ref="SAA67:SAA73"/>
    <mergeCell ref="SAB67:SAB73"/>
    <mergeCell ref="SAC67:SAC73"/>
    <mergeCell ref="SAD67:SAD73"/>
    <mergeCell ref="SAE67:SAE73"/>
    <mergeCell ref="SAF67:SAF73"/>
    <mergeCell ref="RZU67:RZU73"/>
    <mergeCell ref="RZV67:RZV73"/>
    <mergeCell ref="RZW67:RZW73"/>
    <mergeCell ref="RZX67:RZX73"/>
    <mergeCell ref="RZY67:RZY73"/>
    <mergeCell ref="RZZ67:RZZ73"/>
    <mergeCell ref="RZO67:RZO73"/>
    <mergeCell ref="RZP67:RZP73"/>
    <mergeCell ref="RZQ67:RZQ73"/>
    <mergeCell ref="RZR67:RZR73"/>
    <mergeCell ref="RZS67:RZS73"/>
    <mergeCell ref="RZT67:RZT73"/>
    <mergeCell ref="SCC67:SCC73"/>
    <mergeCell ref="SCD67:SCD73"/>
    <mergeCell ref="SCE67:SCE73"/>
    <mergeCell ref="SCF67:SCF73"/>
    <mergeCell ref="SCG67:SCG73"/>
    <mergeCell ref="SCH67:SCH73"/>
    <mergeCell ref="SBW67:SBW73"/>
    <mergeCell ref="SBX67:SBX73"/>
    <mergeCell ref="SBY67:SBY73"/>
    <mergeCell ref="SBZ67:SBZ73"/>
    <mergeCell ref="SCA67:SCA73"/>
    <mergeCell ref="SCB67:SCB73"/>
    <mergeCell ref="SBQ67:SBQ73"/>
    <mergeCell ref="SBR67:SBR73"/>
    <mergeCell ref="SBS67:SBS73"/>
    <mergeCell ref="SBT67:SBT73"/>
    <mergeCell ref="SBU67:SBU73"/>
    <mergeCell ref="SBV67:SBV73"/>
    <mergeCell ref="SBK67:SBK73"/>
    <mergeCell ref="SBL67:SBL73"/>
    <mergeCell ref="SBM67:SBM73"/>
    <mergeCell ref="SBN67:SBN73"/>
    <mergeCell ref="SBO67:SBO73"/>
    <mergeCell ref="SBP67:SBP73"/>
    <mergeCell ref="SBE67:SBE73"/>
    <mergeCell ref="SBF67:SBF73"/>
    <mergeCell ref="SBG67:SBG73"/>
    <mergeCell ref="SBH67:SBH73"/>
    <mergeCell ref="SBI67:SBI73"/>
    <mergeCell ref="SBJ67:SBJ73"/>
    <mergeCell ref="SAY67:SAY73"/>
    <mergeCell ref="SAZ67:SAZ73"/>
    <mergeCell ref="SBA67:SBA73"/>
    <mergeCell ref="SBB67:SBB73"/>
    <mergeCell ref="SBC67:SBC73"/>
    <mergeCell ref="SBD67:SBD73"/>
    <mergeCell ref="SDM67:SDM73"/>
    <mergeCell ref="SDN67:SDN73"/>
    <mergeCell ref="SDO67:SDO73"/>
    <mergeCell ref="SDP67:SDP73"/>
    <mergeCell ref="SDQ67:SDQ73"/>
    <mergeCell ref="SDR67:SDR73"/>
    <mergeCell ref="SDG67:SDG73"/>
    <mergeCell ref="SDH67:SDH73"/>
    <mergeCell ref="SDI67:SDI73"/>
    <mergeCell ref="SDJ67:SDJ73"/>
    <mergeCell ref="SDK67:SDK73"/>
    <mergeCell ref="SDL67:SDL73"/>
    <mergeCell ref="SDA67:SDA73"/>
    <mergeCell ref="SDB67:SDB73"/>
    <mergeCell ref="SDC67:SDC73"/>
    <mergeCell ref="SDD67:SDD73"/>
    <mergeCell ref="SDE67:SDE73"/>
    <mergeCell ref="SDF67:SDF73"/>
    <mergeCell ref="SCU67:SCU73"/>
    <mergeCell ref="SCV67:SCV73"/>
    <mergeCell ref="SCW67:SCW73"/>
    <mergeCell ref="SCX67:SCX73"/>
    <mergeCell ref="SCY67:SCY73"/>
    <mergeCell ref="SCZ67:SCZ73"/>
    <mergeCell ref="SCO67:SCO73"/>
    <mergeCell ref="SCP67:SCP73"/>
    <mergeCell ref="SCQ67:SCQ73"/>
    <mergeCell ref="SCR67:SCR73"/>
    <mergeCell ref="SCS67:SCS73"/>
    <mergeCell ref="SCT67:SCT73"/>
    <mergeCell ref="SCI67:SCI73"/>
    <mergeCell ref="SCJ67:SCJ73"/>
    <mergeCell ref="SCK67:SCK73"/>
    <mergeCell ref="SCL67:SCL73"/>
    <mergeCell ref="SCM67:SCM73"/>
    <mergeCell ref="SCN67:SCN73"/>
    <mergeCell ref="SEW67:SEW73"/>
    <mergeCell ref="SEX67:SEX73"/>
    <mergeCell ref="SEY67:SEY73"/>
    <mergeCell ref="SEZ67:SEZ73"/>
    <mergeCell ref="SFA67:SFA73"/>
    <mergeCell ref="SFB67:SFB73"/>
    <mergeCell ref="SEQ67:SEQ73"/>
    <mergeCell ref="SER67:SER73"/>
    <mergeCell ref="SES67:SES73"/>
    <mergeCell ref="SET67:SET73"/>
    <mergeCell ref="SEU67:SEU73"/>
    <mergeCell ref="SEV67:SEV73"/>
    <mergeCell ref="SEK67:SEK73"/>
    <mergeCell ref="SEL67:SEL73"/>
    <mergeCell ref="SEM67:SEM73"/>
    <mergeCell ref="SEN67:SEN73"/>
    <mergeCell ref="SEO67:SEO73"/>
    <mergeCell ref="SEP67:SEP73"/>
    <mergeCell ref="SEE67:SEE73"/>
    <mergeCell ref="SEF67:SEF73"/>
    <mergeCell ref="SEG67:SEG73"/>
    <mergeCell ref="SEH67:SEH73"/>
    <mergeCell ref="SEI67:SEI73"/>
    <mergeCell ref="SEJ67:SEJ73"/>
    <mergeCell ref="SDY67:SDY73"/>
    <mergeCell ref="SDZ67:SDZ73"/>
    <mergeCell ref="SEA67:SEA73"/>
    <mergeCell ref="SEB67:SEB73"/>
    <mergeCell ref="SEC67:SEC73"/>
    <mergeCell ref="SED67:SED73"/>
    <mergeCell ref="SDS67:SDS73"/>
    <mergeCell ref="SDT67:SDT73"/>
    <mergeCell ref="SDU67:SDU73"/>
    <mergeCell ref="SDV67:SDV73"/>
    <mergeCell ref="SDW67:SDW73"/>
    <mergeCell ref="SDX67:SDX73"/>
    <mergeCell ref="SGG67:SGG73"/>
    <mergeCell ref="SGH67:SGH73"/>
    <mergeCell ref="SGI67:SGI73"/>
    <mergeCell ref="SGJ67:SGJ73"/>
    <mergeCell ref="SGK67:SGK73"/>
    <mergeCell ref="SGL67:SGL73"/>
    <mergeCell ref="SGA67:SGA73"/>
    <mergeCell ref="SGB67:SGB73"/>
    <mergeCell ref="SGC67:SGC73"/>
    <mergeCell ref="SGD67:SGD73"/>
    <mergeCell ref="SGE67:SGE73"/>
    <mergeCell ref="SGF67:SGF73"/>
    <mergeCell ref="SFU67:SFU73"/>
    <mergeCell ref="SFV67:SFV73"/>
    <mergeCell ref="SFW67:SFW73"/>
    <mergeCell ref="SFX67:SFX73"/>
    <mergeCell ref="SFY67:SFY73"/>
    <mergeCell ref="SFZ67:SFZ73"/>
    <mergeCell ref="SFO67:SFO73"/>
    <mergeCell ref="SFP67:SFP73"/>
    <mergeCell ref="SFQ67:SFQ73"/>
    <mergeCell ref="SFR67:SFR73"/>
    <mergeCell ref="SFS67:SFS73"/>
    <mergeCell ref="SFT67:SFT73"/>
    <mergeCell ref="SFI67:SFI73"/>
    <mergeCell ref="SFJ67:SFJ73"/>
    <mergeCell ref="SFK67:SFK73"/>
    <mergeCell ref="SFL67:SFL73"/>
    <mergeCell ref="SFM67:SFM73"/>
    <mergeCell ref="SFN67:SFN73"/>
    <mergeCell ref="SFC67:SFC73"/>
    <mergeCell ref="SFD67:SFD73"/>
    <mergeCell ref="SFE67:SFE73"/>
    <mergeCell ref="SFF67:SFF73"/>
    <mergeCell ref="SFG67:SFG73"/>
    <mergeCell ref="SFH67:SFH73"/>
    <mergeCell ref="SHQ67:SHQ73"/>
    <mergeCell ref="SHR67:SHR73"/>
    <mergeCell ref="SHS67:SHS73"/>
    <mergeCell ref="SHT67:SHT73"/>
    <mergeCell ref="SHU67:SHU73"/>
    <mergeCell ref="SHV67:SHV73"/>
    <mergeCell ref="SHK67:SHK73"/>
    <mergeCell ref="SHL67:SHL73"/>
    <mergeCell ref="SHM67:SHM73"/>
    <mergeCell ref="SHN67:SHN73"/>
    <mergeCell ref="SHO67:SHO73"/>
    <mergeCell ref="SHP67:SHP73"/>
    <mergeCell ref="SHE67:SHE73"/>
    <mergeCell ref="SHF67:SHF73"/>
    <mergeCell ref="SHG67:SHG73"/>
    <mergeCell ref="SHH67:SHH73"/>
    <mergeCell ref="SHI67:SHI73"/>
    <mergeCell ref="SHJ67:SHJ73"/>
    <mergeCell ref="SGY67:SGY73"/>
    <mergeCell ref="SGZ67:SGZ73"/>
    <mergeCell ref="SHA67:SHA73"/>
    <mergeCell ref="SHB67:SHB73"/>
    <mergeCell ref="SHC67:SHC73"/>
    <mergeCell ref="SHD67:SHD73"/>
    <mergeCell ref="SGS67:SGS73"/>
    <mergeCell ref="SGT67:SGT73"/>
    <mergeCell ref="SGU67:SGU73"/>
    <mergeCell ref="SGV67:SGV73"/>
    <mergeCell ref="SGW67:SGW73"/>
    <mergeCell ref="SGX67:SGX73"/>
    <mergeCell ref="SGM67:SGM73"/>
    <mergeCell ref="SGN67:SGN73"/>
    <mergeCell ref="SGO67:SGO73"/>
    <mergeCell ref="SGP67:SGP73"/>
    <mergeCell ref="SGQ67:SGQ73"/>
    <mergeCell ref="SGR67:SGR73"/>
    <mergeCell ref="SJA67:SJA73"/>
    <mergeCell ref="SJB67:SJB73"/>
    <mergeCell ref="SJC67:SJC73"/>
    <mergeCell ref="SJD67:SJD73"/>
    <mergeCell ref="SJE67:SJE73"/>
    <mergeCell ref="SJF67:SJF73"/>
    <mergeCell ref="SIU67:SIU73"/>
    <mergeCell ref="SIV67:SIV73"/>
    <mergeCell ref="SIW67:SIW73"/>
    <mergeCell ref="SIX67:SIX73"/>
    <mergeCell ref="SIY67:SIY73"/>
    <mergeCell ref="SIZ67:SIZ73"/>
    <mergeCell ref="SIO67:SIO73"/>
    <mergeCell ref="SIP67:SIP73"/>
    <mergeCell ref="SIQ67:SIQ73"/>
    <mergeCell ref="SIR67:SIR73"/>
    <mergeCell ref="SIS67:SIS73"/>
    <mergeCell ref="SIT67:SIT73"/>
    <mergeCell ref="SII67:SII73"/>
    <mergeCell ref="SIJ67:SIJ73"/>
    <mergeCell ref="SIK67:SIK73"/>
    <mergeCell ref="SIL67:SIL73"/>
    <mergeCell ref="SIM67:SIM73"/>
    <mergeCell ref="SIN67:SIN73"/>
    <mergeCell ref="SIC67:SIC73"/>
    <mergeCell ref="SID67:SID73"/>
    <mergeCell ref="SIE67:SIE73"/>
    <mergeCell ref="SIF67:SIF73"/>
    <mergeCell ref="SIG67:SIG73"/>
    <mergeCell ref="SIH67:SIH73"/>
    <mergeCell ref="SHW67:SHW73"/>
    <mergeCell ref="SHX67:SHX73"/>
    <mergeCell ref="SHY67:SHY73"/>
    <mergeCell ref="SHZ67:SHZ73"/>
    <mergeCell ref="SIA67:SIA73"/>
    <mergeCell ref="SIB67:SIB73"/>
    <mergeCell ref="SKK67:SKK73"/>
    <mergeCell ref="SKL67:SKL73"/>
    <mergeCell ref="SKM67:SKM73"/>
    <mergeCell ref="SKN67:SKN73"/>
    <mergeCell ref="SKO67:SKO73"/>
    <mergeCell ref="SKP67:SKP73"/>
    <mergeCell ref="SKE67:SKE73"/>
    <mergeCell ref="SKF67:SKF73"/>
    <mergeCell ref="SKG67:SKG73"/>
    <mergeCell ref="SKH67:SKH73"/>
    <mergeCell ref="SKI67:SKI73"/>
    <mergeCell ref="SKJ67:SKJ73"/>
    <mergeCell ref="SJY67:SJY73"/>
    <mergeCell ref="SJZ67:SJZ73"/>
    <mergeCell ref="SKA67:SKA73"/>
    <mergeCell ref="SKB67:SKB73"/>
    <mergeCell ref="SKC67:SKC73"/>
    <mergeCell ref="SKD67:SKD73"/>
    <mergeCell ref="SJS67:SJS73"/>
    <mergeCell ref="SJT67:SJT73"/>
    <mergeCell ref="SJU67:SJU73"/>
    <mergeCell ref="SJV67:SJV73"/>
    <mergeCell ref="SJW67:SJW73"/>
    <mergeCell ref="SJX67:SJX73"/>
    <mergeCell ref="SJM67:SJM73"/>
    <mergeCell ref="SJN67:SJN73"/>
    <mergeCell ref="SJO67:SJO73"/>
    <mergeCell ref="SJP67:SJP73"/>
    <mergeCell ref="SJQ67:SJQ73"/>
    <mergeCell ref="SJR67:SJR73"/>
    <mergeCell ref="SJG67:SJG73"/>
    <mergeCell ref="SJH67:SJH73"/>
    <mergeCell ref="SJI67:SJI73"/>
    <mergeCell ref="SJJ67:SJJ73"/>
    <mergeCell ref="SJK67:SJK73"/>
    <mergeCell ref="SJL67:SJL73"/>
    <mergeCell ref="SLU67:SLU73"/>
    <mergeCell ref="SLV67:SLV73"/>
    <mergeCell ref="SLW67:SLW73"/>
    <mergeCell ref="SLX67:SLX73"/>
    <mergeCell ref="SLY67:SLY73"/>
    <mergeCell ref="SLZ67:SLZ73"/>
    <mergeCell ref="SLO67:SLO73"/>
    <mergeCell ref="SLP67:SLP73"/>
    <mergeCell ref="SLQ67:SLQ73"/>
    <mergeCell ref="SLR67:SLR73"/>
    <mergeCell ref="SLS67:SLS73"/>
    <mergeCell ref="SLT67:SLT73"/>
    <mergeCell ref="SLI67:SLI73"/>
    <mergeCell ref="SLJ67:SLJ73"/>
    <mergeCell ref="SLK67:SLK73"/>
    <mergeCell ref="SLL67:SLL73"/>
    <mergeCell ref="SLM67:SLM73"/>
    <mergeCell ref="SLN67:SLN73"/>
    <mergeCell ref="SLC67:SLC73"/>
    <mergeCell ref="SLD67:SLD73"/>
    <mergeCell ref="SLE67:SLE73"/>
    <mergeCell ref="SLF67:SLF73"/>
    <mergeCell ref="SLG67:SLG73"/>
    <mergeCell ref="SLH67:SLH73"/>
    <mergeCell ref="SKW67:SKW73"/>
    <mergeCell ref="SKX67:SKX73"/>
    <mergeCell ref="SKY67:SKY73"/>
    <mergeCell ref="SKZ67:SKZ73"/>
    <mergeCell ref="SLA67:SLA73"/>
    <mergeCell ref="SLB67:SLB73"/>
    <mergeCell ref="SKQ67:SKQ73"/>
    <mergeCell ref="SKR67:SKR73"/>
    <mergeCell ref="SKS67:SKS73"/>
    <mergeCell ref="SKT67:SKT73"/>
    <mergeCell ref="SKU67:SKU73"/>
    <mergeCell ref="SKV67:SKV73"/>
    <mergeCell ref="SNE67:SNE73"/>
    <mergeCell ref="SNF67:SNF73"/>
    <mergeCell ref="SNG67:SNG73"/>
    <mergeCell ref="SNH67:SNH73"/>
    <mergeCell ref="SNI67:SNI73"/>
    <mergeCell ref="SNJ67:SNJ73"/>
    <mergeCell ref="SMY67:SMY73"/>
    <mergeCell ref="SMZ67:SMZ73"/>
    <mergeCell ref="SNA67:SNA73"/>
    <mergeCell ref="SNB67:SNB73"/>
    <mergeCell ref="SNC67:SNC73"/>
    <mergeCell ref="SND67:SND73"/>
    <mergeCell ref="SMS67:SMS73"/>
    <mergeCell ref="SMT67:SMT73"/>
    <mergeCell ref="SMU67:SMU73"/>
    <mergeCell ref="SMV67:SMV73"/>
    <mergeCell ref="SMW67:SMW73"/>
    <mergeCell ref="SMX67:SMX73"/>
    <mergeCell ref="SMM67:SMM73"/>
    <mergeCell ref="SMN67:SMN73"/>
    <mergeCell ref="SMO67:SMO73"/>
    <mergeCell ref="SMP67:SMP73"/>
    <mergeCell ref="SMQ67:SMQ73"/>
    <mergeCell ref="SMR67:SMR73"/>
    <mergeCell ref="SMG67:SMG73"/>
    <mergeCell ref="SMH67:SMH73"/>
    <mergeCell ref="SMI67:SMI73"/>
    <mergeCell ref="SMJ67:SMJ73"/>
    <mergeCell ref="SMK67:SMK73"/>
    <mergeCell ref="SML67:SML73"/>
    <mergeCell ref="SMA67:SMA73"/>
    <mergeCell ref="SMB67:SMB73"/>
    <mergeCell ref="SMC67:SMC73"/>
    <mergeCell ref="SMD67:SMD73"/>
    <mergeCell ref="SME67:SME73"/>
    <mergeCell ref="SMF67:SMF73"/>
    <mergeCell ref="SOO67:SOO73"/>
    <mergeCell ref="SOP67:SOP73"/>
    <mergeCell ref="SOQ67:SOQ73"/>
    <mergeCell ref="SOR67:SOR73"/>
    <mergeCell ref="SOS67:SOS73"/>
    <mergeCell ref="SOT67:SOT73"/>
    <mergeCell ref="SOI67:SOI73"/>
    <mergeCell ref="SOJ67:SOJ73"/>
    <mergeCell ref="SOK67:SOK73"/>
    <mergeCell ref="SOL67:SOL73"/>
    <mergeCell ref="SOM67:SOM73"/>
    <mergeCell ref="SON67:SON73"/>
    <mergeCell ref="SOC67:SOC73"/>
    <mergeCell ref="SOD67:SOD73"/>
    <mergeCell ref="SOE67:SOE73"/>
    <mergeCell ref="SOF67:SOF73"/>
    <mergeCell ref="SOG67:SOG73"/>
    <mergeCell ref="SOH67:SOH73"/>
    <mergeCell ref="SNW67:SNW73"/>
    <mergeCell ref="SNX67:SNX73"/>
    <mergeCell ref="SNY67:SNY73"/>
    <mergeCell ref="SNZ67:SNZ73"/>
    <mergeCell ref="SOA67:SOA73"/>
    <mergeCell ref="SOB67:SOB73"/>
    <mergeCell ref="SNQ67:SNQ73"/>
    <mergeCell ref="SNR67:SNR73"/>
    <mergeCell ref="SNS67:SNS73"/>
    <mergeCell ref="SNT67:SNT73"/>
    <mergeCell ref="SNU67:SNU73"/>
    <mergeCell ref="SNV67:SNV73"/>
    <mergeCell ref="SNK67:SNK73"/>
    <mergeCell ref="SNL67:SNL73"/>
    <mergeCell ref="SNM67:SNM73"/>
    <mergeCell ref="SNN67:SNN73"/>
    <mergeCell ref="SNO67:SNO73"/>
    <mergeCell ref="SNP67:SNP73"/>
    <mergeCell ref="SPY67:SPY73"/>
    <mergeCell ref="SPZ67:SPZ73"/>
    <mergeCell ref="SQA67:SQA73"/>
    <mergeCell ref="SQB67:SQB73"/>
    <mergeCell ref="SQC67:SQC73"/>
    <mergeCell ref="SQD67:SQD73"/>
    <mergeCell ref="SPS67:SPS73"/>
    <mergeCell ref="SPT67:SPT73"/>
    <mergeCell ref="SPU67:SPU73"/>
    <mergeCell ref="SPV67:SPV73"/>
    <mergeCell ref="SPW67:SPW73"/>
    <mergeCell ref="SPX67:SPX73"/>
    <mergeCell ref="SPM67:SPM73"/>
    <mergeCell ref="SPN67:SPN73"/>
    <mergeCell ref="SPO67:SPO73"/>
    <mergeCell ref="SPP67:SPP73"/>
    <mergeCell ref="SPQ67:SPQ73"/>
    <mergeCell ref="SPR67:SPR73"/>
    <mergeCell ref="SPG67:SPG73"/>
    <mergeCell ref="SPH67:SPH73"/>
    <mergeCell ref="SPI67:SPI73"/>
    <mergeCell ref="SPJ67:SPJ73"/>
    <mergeCell ref="SPK67:SPK73"/>
    <mergeCell ref="SPL67:SPL73"/>
    <mergeCell ref="SPA67:SPA73"/>
    <mergeCell ref="SPB67:SPB73"/>
    <mergeCell ref="SPC67:SPC73"/>
    <mergeCell ref="SPD67:SPD73"/>
    <mergeCell ref="SPE67:SPE73"/>
    <mergeCell ref="SPF67:SPF73"/>
    <mergeCell ref="SOU67:SOU73"/>
    <mergeCell ref="SOV67:SOV73"/>
    <mergeCell ref="SOW67:SOW73"/>
    <mergeCell ref="SOX67:SOX73"/>
    <mergeCell ref="SOY67:SOY73"/>
    <mergeCell ref="SOZ67:SOZ73"/>
    <mergeCell ref="SRI67:SRI73"/>
    <mergeCell ref="SRJ67:SRJ73"/>
    <mergeCell ref="SRK67:SRK73"/>
    <mergeCell ref="SRL67:SRL73"/>
    <mergeCell ref="SRM67:SRM73"/>
    <mergeCell ref="SRN67:SRN73"/>
    <mergeCell ref="SRC67:SRC73"/>
    <mergeCell ref="SRD67:SRD73"/>
    <mergeCell ref="SRE67:SRE73"/>
    <mergeCell ref="SRF67:SRF73"/>
    <mergeCell ref="SRG67:SRG73"/>
    <mergeCell ref="SRH67:SRH73"/>
    <mergeCell ref="SQW67:SQW73"/>
    <mergeCell ref="SQX67:SQX73"/>
    <mergeCell ref="SQY67:SQY73"/>
    <mergeCell ref="SQZ67:SQZ73"/>
    <mergeCell ref="SRA67:SRA73"/>
    <mergeCell ref="SRB67:SRB73"/>
    <mergeCell ref="SQQ67:SQQ73"/>
    <mergeCell ref="SQR67:SQR73"/>
    <mergeCell ref="SQS67:SQS73"/>
    <mergeCell ref="SQT67:SQT73"/>
    <mergeCell ref="SQU67:SQU73"/>
    <mergeCell ref="SQV67:SQV73"/>
    <mergeCell ref="SQK67:SQK73"/>
    <mergeCell ref="SQL67:SQL73"/>
    <mergeCell ref="SQM67:SQM73"/>
    <mergeCell ref="SQN67:SQN73"/>
    <mergeCell ref="SQO67:SQO73"/>
    <mergeCell ref="SQP67:SQP73"/>
    <mergeCell ref="SQE67:SQE73"/>
    <mergeCell ref="SQF67:SQF73"/>
    <mergeCell ref="SQG67:SQG73"/>
    <mergeCell ref="SQH67:SQH73"/>
    <mergeCell ref="SQI67:SQI73"/>
    <mergeCell ref="SQJ67:SQJ73"/>
    <mergeCell ref="SSS67:SSS73"/>
    <mergeCell ref="SST67:SST73"/>
    <mergeCell ref="SSU67:SSU73"/>
    <mergeCell ref="SSV67:SSV73"/>
    <mergeCell ref="SSW67:SSW73"/>
    <mergeCell ref="SSX67:SSX73"/>
    <mergeCell ref="SSM67:SSM73"/>
    <mergeCell ref="SSN67:SSN73"/>
    <mergeCell ref="SSO67:SSO73"/>
    <mergeCell ref="SSP67:SSP73"/>
    <mergeCell ref="SSQ67:SSQ73"/>
    <mergeCell ref="SSR67:SSR73"/>
    <mergeCell ref="SSG67:SSG73"/>
    <mergeCell ref="SSH67:SSH73"/>
    <mergeCell ref="SSI67:SSI73"/>
    <mergeCell ref="SSJ67:SSJ73"/>
    <mergeCell ref="SSK67:SSK73"/>
    <mergeCell ref="SSL67:SSL73"/>
    <mergeCell ref="SSA67:SSA73"/>
    <mergeCell ref="SSB67:SSB73"/>
    <mergeCell ref="SSC67:SSC73"/>
    <mergeCell ref="SSD67:SSD73"/>
    <mergeCell ref="SSE67:SSE73"/>
    <mergeCell ref="SSF67:SSF73"/>
    <mergeCell ref="SRU67:SRU73"/>
    <mergeCell ref="SRV67:SRV73"/>
    <mergeCell ref="SRW67:SRW73"/>
    <mergeCell ref="SRX67:SRX73"/>
    <mergeCell ref="SRY67:SRY73"/>
    <mergeCell ref="SRZ67:SRZ73"/>
    <mergeCell ref="SRO67:SRO73"/>
    <mergeCell ref="SRP67:SRP73"/>
    <mergeCell ref="SRQ67:SRQ73"/>
    <mergeCell ref="SRR67:SRR73"/>
    <mergeCell ref="SRS67:SRS73"/>
    <mergeCell ref="SRT67:SRT73"/>
    <mergeCell ref="SUC67:SUC73"/>
    <mergeCell ref="SUD67:SUD73"/>
    <mergeCell ref="SUE67:SUE73"/>
    <mergeCell ref="SUF67:SUF73"/>
    <mergeCell ref="SUG67:SUG73"/>
    <mergeCell ref="SUH67:SUH73"/>
    <mergeCell ref="STW67:STW73"/>
    <mergeCell ref="STX67:STX73"/>
    <mergeCell ref="STY67:STY73"/>
    <mergeCell ref="STZ67:STZ73"/>
    <mergeCell ref="SUA67:SUA73"/>
    <mergeCell ref="SUB67:SUB73"/>
    <mergeCell ref="STQ67:STQ73"/>
    <mergeCell ref="STR67:STR73"/>
    <mergeCell ref="STS67:STS73"/>
    <mergeCell ref="STT67:STT73"/>
    <mergeCell ref="STU67:STU73"/>
    <mergeCell ref="STV67:STV73"/>
    <mergeCell ref="STK67:STK73"/>
    <mergeCell ref="STL67:STL73"/>
    <mergeCell ref="STM67:STM73"/>
    <mergeCell ref="STN67:STN73"/>
    <mergeCell ref="STO67:STO73"/>
    <mergeCell ref="STP67:STP73"/>
    <mergeCell ref="STE67:STE73"/>
    <mergeCell ref="STF67:STF73"/>
    <mergeCell ref="STG67:STG73"/>
    <mergeCell ref="STH67:STH73"/>
    <mergeCell ref="STI67:STI73"/>
    <mergeCell ref="STJ67:STJ73"/>
    <mergeCell ref="SSY67:SSY73"/>
    <mergeCell ref="SSZ67:SSZ73"/>
    <mergeCell ref="STA67:STA73"/>
    <mergeCell ref="STB67:STB73"/>
    <mergeCell ref="STC67:STC73"/>
    <mergeCell ref="STD67:STD73"/>
    <mergeCell ref="SVM67:SVM73"/>
    <mergeCell ref="SVN67:SVN73"/>
    <mergeCell ref="SVO67:SVO73"/>
    <mergeCell ref="SVP67:SVP73"/>
    <mergeCell ref="SVQ67:SVQ73"/>
    <mergeCell ref="SVR67:SVR73"/>
    <mergeCell ref="SVG67:SVG73"/>
    <mergeCell ref="SVH67:SVH73"/>
    <mergeCell ref="SVI67:SVI73"/>
    <mergeCell ref="SVJ67:SVJ73"/>
    <mergeCell ref="SVK67:SVK73"/>
    <mergeCell ref="SVL67:SVL73"/>
    <mergeCell ref="SVA67:SVA73"/>
    <mergeCell ref="SVB67:SVB73"/>
    <mergeCell ref="SVC67:SVC73"/>
    <mergeCell ref="SVD67:SVD73"/>
    <mergeCell ref="SVE67:SVE73"/>
    <mergeCell ref="SVF67:SVF73"/>
    <mergeCell ref="SUU67:SUU73"/>
    <mergeCell ref="SUV67:SUV73"/>
    <mergeCell ref="SUW67:SUW73"/>
    <mergeCell ref="SUX67:SUX73"/>
    <mergeCell ref="SUY67:SUY73"/>
    <mergeCell ref="SUZ67:SUZ73"/>
    <mergeCell ref="SUO67:SUO73"/>
    <mergeCell ref="SUP67:SUP73"/>
    <mergeCell ref="SUQ67:SUQ73"/>
    <mergeCell ref="SUR67:SUR73"/>
    <mergeCell ref="SUS67:SUS73"/>
    <mergeCell ref="SUT67:SUT73"/>
    <mergeCell ref="SUI67:SUI73"/>
    <mergeCell ref="SUJ67:SUJ73"/>
    <mergeCell ref="SUK67:SUK73"/>
    <mergeCell ref="SUL67:SUL73"/>
    <mergeCell ref="SUM67:SUM73"/>
    <mergeCell ref="SUN67:SUN73"/>
    <mergeCell ref="SWW67:SWW73"/>
    <mergeCell ref="SWX67:SWX73"/>
    <mergeCell ref="SWY67:SWY73"/>
    <mergeCell ref="SWZ67:SWZ73"/>
    <mergeCell ref="SXA67:SXA73"/>
    <mergeCell ref="SXB67:SXB73"/>
    <mergeCell ref="SWQ67:SWQ73"/>
    <mergeCell ref="SWR67:SWR73"/>
    <mergeCell ref="SWS67:SWS73"/>
    <mergeCell ref="SWT67:SWT73"/>
    <mergeCell ref="SWU67:SWU73"/>
    <mergeCell ref="SWV67:SWV73"/>
    <mergeCell ref="SWK67:SWK73"/>
    <mergeCell ref="SWL67:SWL73"/>
    <mergeCell ref="SWM67:SWM73"/>
    <mergeCell ref="SWN67:SWN73"/>
    <mergeCell ref="SWO67:SWO73"/>
    <mergeCell ref="SWP67:SWP73"/>
    <mergeCell ref="SWE67:SWE73"/>
    <mergeCell ref="SWF67:SWF73"/>
    <mergeCell ref="SWG67:SWG73"/>
    <mergeCell ref="SWH67:SWH73"/>
    <mergeCell ref="SWI67:SWI73"/>
    <mergeCell ref="SWJ67:SWJ73"/>
    <mergeCell ref="SVY67:SVY73"/>
    <mergeCell ref="SVZ67:SVZ73"/>
    <mergeCell ref="SWA67:SWA73"/>
    <mergeCell ref="SWB67:SWB73"/>
    <mergeCell ref="SWC67:SWC73"/>
    <mergeCell ref="SWD67:SWD73"/>
    <mergeCell ref="SVS67:SVS73"/>
    <mergeCell ref="SVT67:SVT73"/>
    <mergeCell ref="SVU67:SVU73"/>
    <mergeCell ref="SVV67:SVV73"/>
    <mergeCell ref="SVW67:SVW73"/>
    <mergeCell ref="SVX67:SVX73"/>
    <mergeCell ref="SYG67:SYG73"/>
    <mergeCell ref="SYH67:SYH73"/>
    <mergeCell ref="SYI67:SYI73"/>
    <mergeCell ref="SYJ67:SYJ73"/>
    <mergeCell ref="SYK67:SYK73"/>
    <mergeCell ref="SYL67:SYL73"/>
    <mergeCell ref="SYA67:SYA73"/>
    <mergeCell ref="SYB67:SYB73"/>
    <mergeCell ref="SYC67:SYC73"/>
    <mergeCell ref="SYD67:SYD73"/>
    <mergeCell ref="SYE67:SYE73"/>
    <mergeCell ref="SYF67:SYF73"/>
    <mergeCell ref="SXU67:SXU73"/>
    <mergeCell ref="SXV67:SXV73"/>
    <mergeCell ref="SXW67:SXW73"/>
    <mergeCell ref="SXX67:SXX73"/>
    <mergeCell ref="SXY67:SXY73"/>
    <mergeCell ref="SXZ67:SXZ73"/>
    <mergeCell ref="SXO67:SXO73"/>
    <mergeCell ref="SXP67:SXP73"/>
    <mergeCell ref="SXQ67:SXQ73"/>
    <mergeCell ref="SXR67:SXR73"/>
    <mergeCell ref="SXS67:SXS73"/>
    <mergeCell ref="SXT67:SXT73"/>
    <mergeCell ref="SXI67:SXI73"/>
    <mergeCell ref="SXJ67:SXJ73"/>
    <mergeCell ref="SXK67:SXK73"/>
    <mergeCell ref="SXL67:SXL73"/>
    <mergeCell ref="SXM67:SXM73"/>
    <mergeCell ref="SXN67:SXN73"/>
    <mergeCell ref="SXC67:SXC73"/>
    <mergeCell ref="SXD67:SXD73"/>
    <mergeCell ref="SXE67:SXE73"/>
    <mergeCell ref="SXF67:SXF73"/>
    <mergeCell ref="SXG67:SXG73"/>
    <mergeCell ref="SXH67:SXH73"/>
    <mergeCell ref="SZQ67:SZQ73"/>
    <mergeCell ref="SZR67:SZR73"/>
    <mergeCell ref="SZS67:SZS73"/>
    <mergeCell ref="SZT67:SZT73"/>
    <mergeCell ref="SZU67:SZU73"/>
    <mergeCell ref="SZV67:SZV73"/>
    <mergeCell ref="SZK67:SZK73"/>
    <mergeCell ref="SZL67:SZL73"/>
    <mergeCell ref="SZM67:SZM73"/>
    <mergeCell ref="SZN67:SZN73"/>
    <mergeCell ref="SZO67:SZO73"/>
    <mergeCell ref="SZP67:SZP73"/>
    <mergeCell ref="SZE67:SZE73"/>
    <mergeCell ref="SZF67:SZF73"/>
    <mergeCell ref="SZG67:SZG73"/>
    <mergeCell ref="SZH67:SZH73"/>
    <mergeCell ref="SZI67:SZI73"/>
    <mergeCell ref="SZJ67:SZJ73"/>
    <mergeCell ref="SYY67:SYY73"/>
    <mergeCell ref="SYZ67:SYZ73"/>
    <mergeCell ref="SZA67:SZA73"/>
    <mergeCell ref="SZB67:SZB73"/>
    <mergeCell ref="SZC67:SZC73"/>
    <mergeCell ref="SZD67:SZD73"/>
    <mergeCell ref="SYS67:SYS73"/>
    <mergeCell ref="SYT67:SYT73"/>
    <mergeCell ref="SYU67:SYU73"/>
    <mergeCell ref="SYV67:SYV73"/>
    <mergeCell ref="SYW67:SYW73"/>
    <mergeCell ref="SYX67:SYX73"/>
    <mergeCell ref="SYM67:SYM73"/>
    <mergeCell ref="SYN67:SYN73"/>
    <mergeCell ref="SYO67:SYO73"/>
    <mergeCell ref="SYP67:SYP73"/>
    <mergeCell ref="SYQ67:SYQ73"/>
    <mergeCell ref="SYR67:SYR73"/>
    <mergeCell ref="TBA67:TBA73"/>
    <mergeCell ref="TBB67:TBB73"/>
    <mergeCell ref="TBC67:TBC73"/>
    <mergeCell ref="TBD67:TBD73"/>
    <mergeCell ref="TBE67:TBE73"/>
    <mergeCell ref="TBF67:TBF73"/>
    <mergeCell ref="TAU67:TAU73"/>
    <mergeCell ref="TAV67:TAV73"/>
    <mergeCell ref="TAW67:TAW73"/>
    <mergeCell ref="TAX67:TAX73"/>
    <mergeCell ref="TAY67:TAY73"/>
    <mergeCell ref="TAZ67:TAZ73"/>
    <mergeCell ref="TAO67:TAO73"/>
    <mergeCell ref="TAP67:TAP73"/>
    <mergeCell ref="TAQ67:TAQ73"/>
    <mergeCell ref="TAR67:TAR73"/>
    <mergeCell ref="TAS67:TAS73"/>
    <mergeCell ref="TAT67:TAT73"/>
    <mergeCell ref="TAI67:TAI73"/>
    <mergeCell ref="TAJ67:TAJ73"/>
    <mergeCell ref="TAK67:TAK73"/>
    <mergeCell ref="TAL67:TAL73"/>
    <mergeCell ref="TAM67:TAM73"/>
    <mergeCell ref="TAN67:TAN73"/>
    <mergeCell ref="TAC67:TAC73"/>
    <mergeCell ref="TAD67:TAD73"/>
    <mergeCell ref="TAE67:TAE73"/>
    <mergeCell ref="TAF67:TAF73"/>
    <mergeCell ref="TAG67:TAG73"/>
    <mergeCell ref="TAH67:TAH73"/>
    <mergeCell ref="SZW67:SZW73"/>
    <mergeCell ref="SZX67:SZX73"/>
    <mergeCell ref="SZY67:SZY73"/>
    <mergeCell ref="SZZ67:SZZ73"/>
    <mergeCell ref="TAA67:TAA73"/>
    <mergeCell ref="TAB67:TAB73"/>
    <mergeCell ref="TCK67:TCK73"/>
    <mergeCell ref="TCL67:TCL73"/>
    <mergeCell ref="TCM67:TCM73"/>
    <mergeCell ref="TCN67:TCN73"/>
    <mergeCell ref="TCO67:TCO73"/>
    <mergeCell ref="TCP67:TCP73"/>
    <mergeCell ref="TCE67:TCE73"/>
    <mergeCell ref="TCF67:TCF73"/>
    <mergeCell ref="TCG67:TCG73"/>
    <mergeCell ref="TCH67:TCH73"/>
    <mergeCell ref="TCI67:TCI73"/>
    <mergeCell ref="TCJ67:TCJ73"/>
    <mergeCell ref="TBY67:TBY73"/>
    <mergeCell ref="TBZ67:TBZ73"/>
    <mergeCell ref="TCA67:TCA73"/>
    <mergeCell ref="TCB67:TCB73"/>
    <mergeCell ref="TCC67:TCC73"/>
    <mergeCell ref="TCD67:TCD73"/>
    <mergeCell ref="TBS67:TBS73"/>
    <mergeCell ref="TBT67:TBT73"/>
    <mergeCell ref="TBU67:TBU73"/>
    <mergeCell ref="TBV67:TBV73"/>
    <mergeCell ref="TBW67:TBW73"/>
    <mergeCell ref="TBX67:TBX73"/>
    <mergeCell ref="TBM67:TBM73"/>
    <mergeCell ref="TBN67:TBN73"/>
    <mergeCell ref="TBO67:TBO73"/>
    <mergeCell ref="TBP67:TBP73"/>
    <mergeCell ref="TBQ67:TBQ73"/>
    <mergeCell ref="TBR67:TBR73"/>
    <mergeCell ref="TBG67:TBG73"/>
    <mergeCell ref="TBH67:TBH73"/>
    <mergeCell ref="TBI67:TBI73"/>
    <mergeCell ref="TBJ67:TBJ73"/>
    <mergeCell ref="TBK67:TBK73"/>
    <mergeCell ref="TBL67:TBL73"/>
    <mergeCell ref="TDU67:TDU73"/>
    <mergeCell ref="TDV67:TDV73"/>
    <mergeCell ref="TDW67:TDW73"/>
    <mergeCell ref="TDX67:TDX73"/>
    <mergeCell ref="TDY67:TDY73"/>
    <mergeCell ref="TDZ67:TDZ73"/>
    <mergeCell ref="TDO67:TDO73"/>
    <mergeCell ref="TDP67:TDP73"/>
    <mergeCell ref="TDQ67:TDQ73"/>
    <mergeCell ref="TDR67:TDR73"/>
    <mergeCell ref="TDS67:TDS73"/>
    <mergeCell ref="TDT67:TDT73"/>
    <mergeCell ref="TDI67:TDI73"/>
    <mergeCell ref="TDJ67:TDJ73"/>
    <mergeCell ref="TDK67:TDK73"/>
    <mergeCell ref="TDL67:TDL73"/>
    <mergeCell ref="TDM67:TDM73"/>
    <mergeCell ref="TDN67:TDN73"/>
    <mergeCell ref="TDC67:TDC73"/>
    <mergeCell ref="TDD67:TDD73"/>
    <mergeCell ref="TDE67:TDE73"/>
    <mergeCell ref="TDF67:TDF73"/>
    <mergeCell ref="TDG67:TDG73"/>
    <mergeCell ref="TDH67:TDH73"/>
    <mergeCell ref="TCW67:TCW73"/>
    <mergeCell ref="TCX67:TCX73"/>
    <mergeCell ref="TCY67:TCY73"/>
    <mergeCell ref="TCZ67:TCZ73"/>
    <mergeCell ref="TDA67:TDA73"/>
    <mergeCell ref="TDB67:TDB73"/>
    <mergeCell ref="TCQ67:TCQ73"/>
    <mergeCell ref="TCR67:TCR73"/>
    <mergeCell ref="TCS67:TCS73"/>
    <mergeCell ref="TCT67:TCT73"/>
    <mergeCell ref="TCU67:TCU73"/>
    <mergeCell ref="TCV67:TCV73"/>
    <mergeCell ref="TFE67:TFE73"/>
    <mergeCell ref="TFF67:TFF73"/>
    <mergeCell ref="TFG67:TFG73"/>
    <mergeCell ref="TFH67:TFH73"/>
    <mergeCell ref="TFI67:TFI73"/>
    <mergeCell ref="TFJ67:TFJ73"/>
    <mergeCell ref="TEY67:TEY73"/>
    <mergeCell ref="TEZ67:TEZ73"/>
    <mergeCell ref="TFA67:TFA73"/>
    <mergeCell ref="TFB67:TFB73"/>
    <mergeCell ref="TFC67:TFC73"/>
    <mergeCell ref="TFD67:TFD73"/>
    <mergeCell ref="TES67:TES73"/>
    <mergeCell ref="TET67:TET73"/>
    <mergeCell ref="TEU67:TEU73"/>
    <mergeCell ref="TEV67:TEV73"/>
    <mergeCell ref="TEW67:TEW73"/>
    <mergeCell ref="TEX67:TEX73"/>
    <mergeCell ref="TEM67:TEM73"/>
    <mergeCell ref="TEN67:TEN73"/>
    <mergeCell ref="TEO67:TEO73"/>
    <mergeCell ref="TEP67:TEP73"/>
    <mergeCell ref="TEQ67:TEQ73"/>
    <mergeCell ref="TER67:TER73"/>
    <mergeCell ref="TEG67:TEG73"/>
    <mergeCell ref="TEH67:TEH73"/>
    <mergeCell ref="TEI67:TEI73"/>
    <mergeCell ref="TEJ67:TEJ73"/>
    <mergeCell ref="TEK67:TEK73"/>
    <mergeCell ref="TEL67:TEL73"/>
    <mergeCell ref="TEA67:TEA73"/>
    <mergeCell ref="TEB67:TEB73"/>
    <mergeCell ref="TEC67:TEC73"/>
    <mergeCell ref="TED67:TED73"/>
    <mergeCell ref="TEE67:TEE73"/>
    <mergeCell ref="TEF67:TEF73"/>
    <mergeCell ref="TGO67:TGO73"/>
    <mergeCell ref="TGP67:TGP73"/>
    <mergeCell ref="TGQ67:TGQ73"/>
    <mergeCell ref="TGR67:TGR73"/>
    <mergeCell ref="TGS67:TGS73"/>
    <mergeCell ref="TGT67:TGT73"/>
    <mergeCell ref="TGI67:TGI73"/>
    <mergeCell ref="TGJ67:TGJ73"/>
    <mergeCell ref="TGK67:TGK73"/>
    <mergeCell ref="TGL67:TGL73"/>
    <mergeCell ref="TGM67:TGM73"/>
    <mergeCell ref="TGN67:TGN73"/>
    <mergeCell ref="TGC67:TGC73"/>
    <mergeCell ref="TGD67:TGD73"/>
    <mergeCell ref="TGE67:TGE73"/>
    <mergeCell ref="TGF67:TGF73"/>
    <mergeCell ref="TGG67:TGG73"/>
    <mergeCell ref="TGH67:TGH73"/>
    <mergeCell ref="TFW67:TFW73"/>
    <mergeCell ref="TFX67:TFX73"/>
    <mergeCell ref="TFY67:TFY73"/>
    <mergeCell ref="TFZ67:TFZ73"/>
    <mergeCell ref="TGA67:TGA73"/>
    <mergeCell ref="TGB67:TGB73"/>
    <mergeCell ref="TFQ67:TFQ73"/>
    <mergeCell ref="TFR67:TFR73"/>
    <mergeCell ref="TFS67:TFS73"/>
    <mergeCell ref="TFT67:TFT73"/>
    <mergeCell ref="TFU67:TFU73"/>
    <mergeCell ref="TFV67:TFV73"/>
    <mergeCell ref="TFK67:TFK73"/>
    <mergeCell ref="TFL67:TFL73"/>
    <mergeCell ref="TFM67:TFM73"/>
    <mergeCell ref="TFN67:TFN73"/>
    <mergeCell ref="TFO67:TFO73"/>
    <mergeCell ref="TFP67:TFP73"/>
    <mergeCell ref="THY67:THY73"/>
    <mergeCell ref="THZ67:THZ73"/>
    <mergeCell ref="TIA67:TIA73"/>
    <mergeCell ref="TIB67:TIB73"/>
    <mergeCell ref="TIC67:TIC73"/>
    <mergeCell ref="TID67:TID73"/>
    <mergeCell ref="THS67:THS73"/>
    <mergeCell ref="THT67:THT73"/>
    <mergeCell ref="THU67:THU73"/>
    <mergeCell ref="THV67:THV73"/>
    <mergeCell ref="THW67:THW73"/>
    <mergeCell ref="THX67:THX73"/>
    <mergeCell ref="THM67:THM73"/>
    <mergeCell ref="THN67:THN73"/>
    <mergeCell ref="THO67:THO73"/>
    <mergeCell ref="THP67:THP73"/>
    <mergeCell ref="THQ67:THQ73"/>
    <mergeCell ref="THR67:THR73"/>
    <mergeCell ref="THG67:THG73"/>
    <mergeCell ref="THH67:THH73"/>
    <mergeCell ref="THI67:THI73"/>
    <mergeCell ref="THJ67:THJ73"/>
    <mergeCell ref="THK67:THK73"/>
    <mergeCell ref="THL67:THL73"/>
    <mergeCell ref="THA67:THA73"/>
    <mergeCell ref="THB67:THB73"/>
    <mergeCell ref="THC67:THC73"/>
    <mergeCell ref="THD67:THD73"/>
    <mergeCell ref="THE67:THE73"/>
    <mergeCell ref="THF67:THF73"/>
    <mergeCell ref="TGU67:TGU73"/>
    <mergeCell ref="TGV67:TGV73"/>
    <mergeCell ref="TGW67:TGW73"/>
    <mergeCell ref="TGX67:TGX73"/>
    <mergeCell ref="TGY67:TGY73"/>
    <mergeCell ref="TGZ67:TGZ73"/>
    <mergeCell ref="TJI67:TJI73"/>
    <mergeCell ref="TJJ67:TJJ73"/>
    <mergeCell ref="TJK67:TJK73"/>
    <mergeCell ref="TJL67:TJL73"/>
    <mergeCell ref="TJM67:TJM73"/>
    <mergeCell ref="TJN67:TJN73"/>
    <mergeCell ref="TJC67:TJC73"/>
    <mergeCell ref="TJD67:TJD73"/>
    <mergeCell ref="TJE67:TJE73"/>
    <mergeCell ref="TJF67:TJF73"/>
    <mergeCell ref="TJG67:TJG73"/>
    <mergeCell ref="TJH67:TJH73"/>
    <mergeCell ref="TIW67:TIW73"/>
    <mergeCell ref="TIX67:TIX73"/>
    <mergeCell ref="TIY67:TIY73"/>
    <mergeCell ref="TIZ67:TIZ73"/>
    <mergeCell ref="TJA67:TJA73"/>
    <mergeCell ref="TJB67:TJB73"/>
    <mergeCell ref="TIQ67:TIQ73"/>
    <mergeCell ref="TIR67:TIR73"/>
    <mergeCell ref="TIS67:TIS73"/>
    <mergeCell ref="TIT67:TIT73"/>
    <mergeCell ref="TIU67:TIU73"/>
    <mergeCell ref="TIV67:TIV73"/>
    <mergeCell ref="TIK67:TIK73"/>
    <mergeCell ref="TIL67:TIL73"/>
    <mergeCell ref="TIM67:TIM73"/>
    <mergeCell ref="TIN67:TIN73"/>
    <mergeCell ref="TIO67:TIO73"/>
    <mergeCell ref="TIP67:TIP73"/>
    <mergeCell ref="TIE67:TIE73"/>
    <mergeCell ref="TIF67:TIF73"/>
    <mergeCell ref="TIG67:TIG73"/>
    <mergeCell ref="TIH67:TIH73"/>
    <mergeCell ref="TII67:TII73"/>
    <mergeCell ref="TIJ67:TIJ73"/>
    <mergeCell ref="TKS67:TKS73"/>
    <mergeCell ref="TKT67:TKT73"/>
    <mergeCell ref="TKU67:TKU73"/>
    <mergeCell ref="TKV67:TKV73"/>
    <mergeCell ref="TKW67:TKW73"/>
    <mergeCell ref="TKX67:TKX73"/>
    <mergeCell ref="TKM67:TKM73"/>
    <mergeCell ref="TKN67:TKN73"/>
    <mergeCell ref="TKO67:TKO73"/>
    <mergeCell ref="TKP67:TKP73"/>
    <mergeCell ref="TKQ67:TKQ73"/>
    <mergeCell ref="TKR67:TKR73"/>
    <mergeCell ref="TKG67:TKG73"/>
    <mergeCell ref="TKH67:TKH73"/>
    <mergeCell ref="TKI67:TKI73"/>
    <mergeCell ref="TKJ67:TKJ73"/>
    <mergeCell ref="TKK67:TKK73"/>
    <mergeCell ref="TKL67:TKL73"/>
    <mergeCell ref="TKA67:TKA73"/>
    <mergeCell ref="TKB67:TKB73"/>
    <mergeCell ref="TKC67:TKC73"/>
    <mergeCell ref="TKD67:TKD73"/>
    <mergeCell ref="TKE67:TKE73"/>
    <mergeCell ref="TKF67:TKF73"/>
    <mergeCell ref="TJU67:TJU73"/>
    <mergeCell ref="TJV67:TJV73"/>
    <mergeCell ref="TJW67:TJW73"/>
    <mergeCell ref="TJX67:TJX73"/>
    <mergeCell ref="TJY67:TJY73"/>
    <mergeCell ref="TJZ67:TJZ73"/>
    <mergeCell ref="TJO67:TJO73"/>
    <mergeCell ref="TJP67:TJP73"/>
    <mergeCell ref="TJQ67:TJQ73"/>
    <mergeCell ref="TJR67:TJR73"/>
    <mergeCell ref="TJS67:TJS73"/>
    <mergeCell ref="TJT67:TJT73"/>
    <mergeCell ref="TMC67:TMC73"/>
    <mergeCell ref="TMD67:TMD73"/>
    <mergeCell ref="TME67:TME73"/>
    <mergeCell ref="TMF67:TMF73"/>
    <mergeCell ref="TMG67:TMG73"/>
    <mergeCell ref="TMH67:TMH73"/>
    <mergeCell ref="TLW67:TLW73"/>
    <mergeCell ref="TLX67:TLX73"/>
    <mergeCell ref="TLY67:TLY73"/>
    <mergeCell ref="TLZ67:TLZ73"/>
    <mergeCell ref="TMA67:TMA73"/>
    <mergeCell ref="TMB67:TMB73"/>
    <mergeCell ref="TLQ67:TLQ73"/>
    <mergeCell ref="TLR67:TLR73"/>
    <mergeCell ref="TLS67:TLS73"/>
    <mergeCell ref="TLT67:TLT73"/>
    <mergeCell ref="TLU67:TLU73"/>
    <mergeCell ref="TLV67:TLV73"/>
    <mergeCell ref="TLK67:TLK73"/>
    <mergeCell ref="TLL67:TLL73"/>
    <mergeCell ref="TLM67:TLM73"/>
    <mergeCell ref="TLN67:TLN73"/>
    <mergeCell ref="TLO67:TLO73"/>
    <mergeCell ref="TLP67:TLP73"/>
    <mergeCell ref="TLE67:TLE73"/>
    <mergeCell ref="TLF67:TLF73"/>
    <mergeCell ref="TLG67:TLG73"/>
    <mergeCell ref="TLH67:TLH73"/>
    <mergeCell ref="TLI67:TLI73"/>
    <mergeCell ref="TLJ67:TLJ73"/>
    <mergeCell ref="TKY67:TKY73"/>
    <mergeCell ref="TKZ67:TKZ73"/>
    <mergeCell ref="TLA67:TLA73"/>
    <mergeCell ref="TLB67:TLB73"/>
    <mergeCell ref="TLC67:TLC73"/>
    <mergeCell ref="TLD67:TLD73"/>
    <mergeCell ref="TNM67:TNM73"/>
    <mergeCell ref="TNN67:TNN73"/>
    <mergeCell ref="TNO67:TNO73"/>
    <mergeCell ref="TNP67:TNP73"/>
    <mergeCell ref="TNQ67:TNQ73"/>
    <mergeCell ref="TNR67:TNR73"/>
    <mergeCell ref="TNG67:TNG73"/>
    <mergeCell ref="TNH67:TNH73"/>
    <mergeCell ref="TNI67:TNI73"/>
    <mergeCell ref="TNJ67:TNJ73"/>
    <mergeCell ref="TNK67:TNK73"/>
    <mergeCell ref="TNL67:TNL73"/>
    <mergeCell ref="TNA67:TNA73"/>
    <mergeCell ref="TNB67:TNB73"/>
    <mergeCell ref="TNC67:TNC73"/>
    <mergeCell ref="TND67:TND73"/>
    <mergeCell ref="TNE67:TNE73"/>
    <mergeCell ref="TNF67:TNF73"/>
    <mergeCell ref="TMU67:TMU73"/>
    <mergeCell ref="TMV67:TMV73"/>
    <mergeCell ref="TMW67:TMW73"/>
    <mergeCell ref="TMX67:TMX73"/>
    <mergeCell ref="TMY67:TMY73"/>
    <mergeCell ref="TMZ67:TMZ73"/>
    <mergeCell ref="TMO67:TMO73"/>
    <mergeCell ref="TMP67:TMP73"/>
    <mergeCell ref="TMQ67:TMQ73"/>
    <mergeCell ref="TMR67:TMR73"/>
    <mergeCell ref="TMS67:TMS73"/>
    <mergeCell ref="TMT67:TMT73"/>
    <mergeCell ref="TMI67:TMI73"/>
    <mergeCell ref="TMJ67:TMJ73"/>
    <mergeCell ref="TMK67:TMK73"/>
    <mergeCell ref="TML67:TML73"/>
    <mergeCell ref="TMM67:TMM73"/>
    <mergeCell ref="TMN67:TMN73"/>
    <mergeCell ref="TOW67:TOW73"/>
    <mergeCell ref="TOX67:TOX73"/>
    <mergeCell ref="TOY67:TOY73"/>
    <mergeCell ref="TOZ67:TOZ73"/>
    <mergeCell ref="TPA67:TPA73"/>
    <mergeCell ref="TPB67:TPB73"/>
    <mergeCell ref="TOQ67:TOQ73"/>
    <mergeCell ref="TOR67:TOR73"/>
    <mergeCell ref="TOS67:TOS73"/>
    <mergeCell ref="TOT67:TOT73"/>
    <mergeCell ref="TOU67:TOU73"/>
    <mergeCell ref="TOV67:TOV73"/>
    <mergeCell ref="TOK67:TOK73"/>
    <mergeCell ref="TOL67:TOL73"/>
    <mergeCell ref="TOM67:TOM73"/>
    <mergeCell ref="TON67:TON73"/>
    <mergeCell ref="TOO67:TOO73"/>
    <mergeCell ref="TOP67:TOP73"/>
    <mergeCell ref="TOE67:TOE73"/>
    <mergeCell ref="TOF67:TOF73"/>
    <mergeCell ref="TOG67:TOG73"/>
    <mergeCell ref="TOH67:TOH73"/>
    <mergeCell ref="TOI67:TOI73"/>
    <mergeCell ref="TOJ67:TOJ73"/>
    <mergeCell ref="TNY67:TNY73"/>
    <mergeCell ref="TNZ67:TNZ73"/>
    <mergeCell ref="TOA67:TOA73"/>
    <mergeCell ref="TOB67:TOB73"/>
    <mergeCell ref="TOC67:TOC73"/>
    <mergeCell ref="TOD67:TOD73"/>
    <mergeCell ref="TNS67:TNS73"/>
    <mergeCell ref="TNT67:TNT73"/>
    <mergeCell ref="TNU67:TNU73"/>
    <mergeCell ref="TNV67:TNV73"/>
    <mergeCell ref="TNW67:TNW73"/>
    <mergeCell ref="TNX67:TNX73"/>
    <mergeCell ref="TQG67:TQG73"/>
    <mergeCell ref="TQH67:TQH73"/>
    <mergeCell ref="TQI67:TQI73"/>
    <mergeCell ref="TQJ67:TQJ73"/>
    <mergeCell ref="TQK67:TQK73"/>
    <mergeCell ref="TQL67:TQL73"/>
    <mergeCell ref="TQA67:TQA73"/>
    <mergeCell ref="TQB67:TQB73"/>
    <mergeCell ref="TQC67:TQC73"/>
    <mergeCell ref="TQD67:TQD73"/>
    <mergeCell ref="TQE67:TQE73"/>
    <mergeCell ref="TQF67:TQF73"/>
    <mergeCell ref="TPU67:TPU73"/>
    <mergeCell ref="TPV67:TPV73"/>
    <mergeCell ref="TPW67:TPW73"/>
    <mergeCell ref="TPX67:TPX73"/>
    <mergeCell ref="TPY67:TPY73"/>
    <mergeCell ref="TPZ67:TPZ73"/>
    <mergeCell ref="TPO67:TPO73"/>
    <mergeCell ref="TPP67:TPP73"/>
    <mergeCell ref="TPQ67:TPQ73"/>
    <mergeCell ref="TPR67:TPR73"/>
    <mergeCell ref="TPS67:TPS73"/>
    <mergeCell ref="TPT67:TPT73"/>
    <mergeCell ref="TPI67:TPI73"/>
    <mergeCell ref="TPJ67:TPJ73"/>
    <mergeCell ref="TPK67:TPK73"/>
    <mergeCell ref="TPL67:TPL73"/>
    <mergeCell ref="TPM67:TPM73"/>
    <mergeCell ref="TPN67:TPN73"/>
    <mergeCell ref="TPC67:TPC73"/>
    <mergeCell ref="TPD67:TPD73"/>
    <mergeCell ref="TPE67:TPE73"/>
    <mergeCell ref="TPF67:TPF73"/>
    <mergeCell ref="TPG67:TPG73"/>
    <mergeCell ref="TPH67:TPH73"/>
    <mergeCell ref="TRQ67:TRQ73"/>
    <mergeCell ref="TRR67:TRR73"/>
    <mergeCell ref="TRS67:TRS73"/>
    <mergeCell ref="TRT67:TRT73"/>
    <mergeCell ref="TRU67:TRU73"/>
    <mergeCell ref="TRV67:TRV73"/>
    <mergeCell ref="TRK67:TRK73"/>
    <mergeCell ref="TRL67:TRL73"/>
    <mergeCell ref="TRM67:TRM73"/>
    <mergeCell ref="TRN67:TRN73"/>
    <mergeCell ref="TRO67:TRO73"/>
    <mergeCell ref="TRP67:TRP73"/>
    <mergeCell ref="TRE67:TRE73"/>
    <mergeCell ref="TRF67:TRF73"/>
    <mergeCell ref="TRG67:TRG73"/>
    <mergeCell ref="TRH67:TRH73"/>
    <mergeCell ref="TRI67:TRI73"/>
    <mergeCell ref="TRJ67:TRJ73"/>
    <mergeCell ref="TQY67:TQY73"/>
    <mergeCell ref="TQZ67:TQZ73"/>
    <mergeCell ref="TRA67:TRA73"/>
    <mergeCell ref="TRB67:TRB73"/>
    <mergeCell ref="TRC67:TRC73"/>
    <mergeCell ref="TRD67:TRD73"/>
    <mergeCell ref="TQS67:TQS73"/>
    <mergeCell ref="TQT67:TQT73"/>
    <mergeCell ref="TQU67:TQU73"/>
    <mergeCell ref="TQV67:TQV73"/>
    <mergeCell ref="TQW67:TQW73"/>
    <mergeCell ref="TQX67:TQX73"/>
    <mergeCell ref="TQM67:TQM73"/>
    <mergeCell ref="TQN67:TQN73"/>
    <mergeCell ref="TQO67:TQO73"/>
    <mergeCell ref="TQP67:TQP73"/>
    <mergeCell ref="TQQ67:TQQ73"/>
    <mergeCell ref="TQR67:TQR73"/>
    <mergeCell ref="TTA67:TTA73"/>
    <mergeCell ref="TTB67:TTB73"/>
    <mergeCell ref="TTC67:TTC73"/>
    <mergeCell ref="TTD67:TTD73"/>
    <mergeCell ref="TTE67:TTE73"/>
    <mergeCell ref="TTF67:TTF73"/>
    <mergeCell ref="TSU67:TSU73"/>
    <mergeCell ref="TSV67:TSV73"/>
    <mergeCell ref="TSW67:TSW73"/>
    <mergeCell ref="TSX67:TSX73"/>
    <mergeCell ref="TSY67:TSY73"/>
    <mergeCell ref="TSZ67:TSZ73"/>
    <mergeCell ref="TSO67:TSO73"/>
    <mergeCell ref="TSP67:TSP73"/>
    <mergeCell ref="TSQ67:TSQ73"/>
    <mergeCell ref="TSR67:TSR73"/>
    <mergeCell ref="TSS67:TSS73"/>
    <mergeCell ref="TST67:TST73"/>
    <mergeCell ref="TSI67:TSI73"/>
    <mergeCell ref="TSJ67:TSJ73"/>
    <mergeCell ref="TSK67:TSK73"/>
    <mergeCell ref="TSL67:TSL73"/>
    <mergeCell ref="TSM67:TSM73"/>
    <mergeCell ref="TSN67:TSN73"/>
    <mergeCell ref="TSC67:TSC73"/>
    <mergeCell ref="TSD67:TSD73"/>
    <mergeCell ref="TSE67:TSE73"/>
    <mergeCell ref="TSF67:TSF73"/>
    <mergeCell ref="TSG67:TSG73"/>
    <mergeCell ref="TSH67:TSH73"/>
    <mergeCell ref="TRW67:TRW73"/>
    <mergeCell ref="TRX67:TRX73"/>
    <mergeCell ref="TRY67:TRY73"/>
    <mergeCell ref="TRZ67:TRZ73"/>
    <mergeCell ref="TSA67:TSA73"/>
    <mergeCell ref="TSB67:TSB73"/>
    <mergeCell ref="TUK67:TUK73"/>
    <mergeCell ref="TUL67:TUL73"/>
    <mergeCell ref="TUM67:TUM73"/>
    <mergeCell ref="TUN67:TUN73"/>
    <mergeCell ref="TUO67:TUO73"/>
    <mergeCell ref="TUP67:TUP73"/>
    <mergeCell ref="TUE67:TUE73"/>
    <mergeCell ref="TUF67:TUF73"/>
    <mergeCell ref="TUG67:TUG73"/>
    <mergeCell ref="TUH67:TUH73"/>
    <mergeCell ref="TUI67:TUI73"/>
    <mergeCell ref="TUJ67:TUJ73"/>
    <mergeCell ref="TTY67:TTY73"/>
    <mergeCell ref="TTZ67:TTZ73"/>
    <mergeCell ref="TUA67:TUA73"/>
    <mergeCell ref="TUB67:TUB73"/>
    <mergeCell ref="TUC67:TUC73"/>
    <mergeCell ref="TUD67:TUD73"/>
    <mergeCell ref="TTS67:TTS73"/>
    <mergeCell ref="TTT67:TTT73"/>
    <mergeCell ref="TTU67:TTU73"/>
    <mergeCell ref="TTV67:TTV73"/>
    <mergeCell ref="TTW67:TTW73"/>
    <mergeCell ref="TTX67:TTX73"/>
    <mergeCell ref="TTM67:TTM73"/>
    <mergeCell ref="TTN67:TTN73"/>
    <mergeCell ref="TTO67:TTO73"/>
    <mergeCell ref="TTP67:TTP73"/>
    <mergeCell ref="TTQ67:TTQ73"/>
    <mergeCell ref="TTR67:TTR73"/>
    <mergeCell ref="TTG67:TTG73"/>
    <mergeCell ref="TTH67:TTH73"/>
    <mergeCell ref="TTI67:TTI73"/>
    <mergeCell ref="TTJ67:TTJ73"/>
    <mergeCell ref="TTK67:TTK73"/>
    <mergeCell ref="TTL67:TTL73"/>
    <mergeCell ref="TVU67:TVU73"/>
    <mergeCell ref="TVV67:TVV73"/>
    <mergeCell ref="TVW67:TVW73"/>
    <mergeCell ref="TVX67:TVX73"/>
    <mergeCell ref="TVY67:TVY73"/>
    <mergeCell ref="TVZ67:TVZ73"/>
    <mergeCell ref="TVO67:TVO73"/>
    <mergeCell ref="TVP67:TVP73"/>
    <mergeCell ref="TVQ67:TVQ73"/>
    <mergeCell ref="TVR67:TVR73"/>
    <mergeCell ref="TVS67:TVS73"/>
    <mergeCell ref="TVT67:TVT73"/>
    <mergeCell ref="TVI67:TVI73"/>
    <mergeCell ref="TVJ67:TVJ73"/>
    <mergeCell ref="TVK67:TVK73"/>
    <mergeCell ref="TVL67:TVL73"/>
    <mergeCell ref="TVM67:TVM73"/>
    <mergeCell ref="TVN67:TVN73"/>
    <mergeCell ref="TVC67:TVC73"/>
    <mergeCell ref="TVD67:TVD73"/>
    <mergeCell ref="TVE67:TVE73"/>
    <mergeCell ref="TVF67:TVF73"/>
    <mergeCell ref="TVG67:TVG73"/>
    <mergeCell ref="TVH67:TVH73"/>
    <mergeCell ref="TUW67:TUW73"/>
    <mergeCell ref="TUX67:TUX73"/>
    <mergeCell ref="TUY67:TUY73"/>
    <mergeCell ref="TUZ67:TUZ73"/>
    <mergeCell ref="TVA67:TVA73"/>
    <mergeCell ref="TVB67:TVB73"/>
    <mergeCell ref="TUQ67:TUQ73"/>
    <mergeCell ref="TUR67:TUR73"/>
    <mergeCell ref="TUS67:TUS73"/>
    <mergeCell ref="TUT67:TUT73"/>
    <mergeCell ref="TUU67:TUU73"/>
    <mergeCell ref="TUV67:TUV73"/>
    <mergeCell ref="TXE67:TXE73"/>
    <mergeCell ref="TXF67:TXF73"/>
    <mergeCell ref="TXG67:TXG73"/>
    <mergeCell ref="TXH67:TXH73"/>
    <mergeCell ref="TXI67:TXI73"/>
    <mergeCell ref="TXJ67:TXJ73"/>
    <mergeCell ref="TWY67:TWY73"/>
    <mergeCell ref="TWZ67:TWZ73"/>
    <mergeCell ref="TXA67:TXA73"/>
    <mergeCell ref="TXB67:TXB73"/>
    <mergeCell ref="TXC67:TXC73"/>
    <mergeCell ref="TXD67:TXD73"/>
    <mergeCell ref="TWS67:TWS73"/>
    <mergeCell ref="TWT67:TWT73"/>
    <mergeCell ref="TWU67:TWU73"/>
    <mergeCell ref="TWV67:TWV73"/>
    <mergeCell ref="TWW67:TWW73"/>
    <mergeCell ref="TWX67:TWX73"/>
    <mergeCell ref="TWM67:TWM73"/>
    <mergeCell ref="TWN67:TWN73"/>
    <mergeCell ref="TWO67:TWO73"/>
    <mergeCell ref="TWP67:TWP73"/>
    <mergeCell ref="TWQ67:TWQ73"/>
    <mergeCell ref="TWR67:TWR73"/>
    <mergeCell ref="TWG67:TWG73"/>
    <mergeCell ref="TWH67:TWH73"/>
    <mergeCell ref="TWI67:TWI73"/>
    <mergeCell ref="TWJ67:TWJ73"/>
    <mergeCell ref="TWK67:TWK73"/>
    <mergeCell ref="TWL67:TWL73"/>
    <mergeCell ref="TWA67:TWA73"/>
    <mergeCell ref="TWB67:TWB73"/>
    <mergeCell ref="TWC67:TWC73"/>
    <mergeCell ref="TWD67:TWD73"/>
    <mergeCell ref="TWE67:TWE73"/>
    <mergeCell ref="TWF67:TWF73"/>
    <mergeCell ref="TYO67:TYO73"/>
    <mergeCell ref="TYP67:TYP73"/>
    <mergeCell ref="TYQ67:TYQ73"/>
    <mergeCell ref="TYR67:TYR73"/>
    <mergeCell ref="TYS67:TYS73"/>
    <mergeCell ref="TYT67:TYT73"/>
    <mergeCell ref="TYI67:TYI73"/>
    <mergeCell ref="TYJ67:TYJ73"/>
    <mergeCell ref="TYK67:TYK73"/>
    <mergeCell ref="TYL67:TYL73"/>
    <mergeCell ref="TYM67:TYM73"/>
    <mergeCell ref="TYN67:TYN73"/>
    <mergeCell ref="TYC67:TYC73"/>
    <mergeCell ref="TYD67:TYD73"/>
    <mergeCell ref="TYE67:TYE73"/>
    <mergeCell ref="TYF67:TYF73"/>
    <mergeCell ref="TYG67:TYG73"/>
    <mergeCell ref="TYH67:TYH73"/>
    <mergeCell ref="TXW67:TXW73"/>
    <mergeCell ref="TXX67:TXX73"/>
    <mergeCell ref="TXY67:TXY73"/>
    <mergeCell ref="TXZ67:TXZ73"/>
    <mergeCell ref="TYA67:TYA73"/>
    <mergeCell ref="TYB67:TYB73"/>
    <mergeCell ref="TXQ67:TXQ73"/>
    <mergeCell ref="TXR67:TXR73"/>
    <mergeCell ref="TXS67:TXS73"/>
    <mergeCell ref="TXT67:TXT73"/>
    <mergeCell ref="TXU67:TXU73"/>
    <mergeCell ref="TXV67:TXV73"/>
    <mergeCell ref="TXK67:TXK73"/>
    <mergeCell ref="TXL67:TXL73"/>
    <mergeCell ref="TXM67:TXM73"/>
    <mergeCell ref="TXN67:TXN73"/>
    <mergeCell ref="TXO67:TXO73"/>
    <mergeCell ref="TXP67:TXP73"/>
    <mergeCell ref="TZY67:TZY73"/>
    <mergeCell ref="TZZ67:TZZ73"/>
    <mergeCell ref="UAA67:UAA73"/>
    <mergeCell ref="UAB67:UAB73"/>
    <mergeCell ref="UAC67:UAC73"/>
    <mergeCell ref="UAD67:UAD73"/>
    <mergeCell ref="TZS67:TZS73"/>
    <mergeCell ref="TZT67:TZT73"/>
    <mergeCell ref="TZU67:TZU73"/>
    <mergeCell ref="TZV67:TZV73"/>
    <mergeCell ref="TZW67:TZW73"/>
    <mergeCell ref="TZX67:TZX73"/>
    <mergeCell ref="TZM67:TZM73"/>
    <mergeCell ref="TZN67:TZN73"/>
    <mergeCell ref="TZO67:TZO73"/>
    <mergeCell ref="TZP67:TZP73"/>
    <mergeCell ref="TZQ67:TZQ73"/>
    <mergeCell ref="TZR67:TZR73"/>
    <mergeCell ref="TZG67:TZG73"/>
    <mergeCell ref="TZH67:TZH73"/>
    <mergeCell ref="TZI67:TZI73"/>
    <mergeCell ref="TZJ67:TZJ73"/>
    <mergeCell ref="TZK67:TZK73"/>
    <mergeCell ref="TZL67:TZL73"/>
    <mergeCell ref="TZA67:TZA73"/>
    <mergeCell ref="TZB67:TZB73"/>
    <mergeCell ref="TZC67:TZC73"/>
    <mergeCell ref="TZD67:TZD73"/>
    <mergeCell ref="TZE67:TZE73"/>
    <mergeCell ref="TZF67:TZF73"/>
    <mergeCell ref="TYU67:TYU73"/>
    <mergeCell ref="TYV67:TYV73"/>
    <mergeCell ref="TYW67:TYW73"/>
    <mergeCell ref="TYX67:TYX73"/>
    <mergeCell ref="TYY67:TYY73"/>
    <mergeCell ref="TYZ67:TYZ73"/>
    <mergeCell ref="UBI67:UBI73"/>
    <mergeCell ref="UBJ67:UBJ73"/>
    <mergeCell ref="UBK67:UBK73"/>
    <mergeCell ref="UBL67:UBL73"/>
    <mergeCell ref="UBM67:UBM73"/>
    <mergeCell ref="UBN67:UBN73"/>
    <mergeCell ref="UBC67:UBC73"/>
    <mergeCell ref="UBD67:UBD73"/>
    <mergeCell ref="UBE67:UBE73"/>
    <mergeCell ref="UBF67:UBF73"/>
    <mergeCell ref="UBG67:UBG73"/>
    <mergeCell ref="UBH67:UBH73"/>
    <mergeCell ref="UAW67:UAW73"/>
    <mergeCell ref="UAX67:UAX73"/>
    <mergeCell ref="UAY67:UAY73"/>
    <mergeCell ref="UAZ67:UAZ73"/>
    <mergeCell ref="UBA67:UBA73"/>
    <mergeCell ref="UBB67:UBB73"/>
    <mergeCell ref="UAQ67:UAQ73"/>
    <mergeCell ref="UAR67:UAR73"/>
    <mergeCell ref="UAS67:UAS73"/>
    <mergeCell ref="UAT67:UAT73"/>
    <mergeCell ref="UAU67:UAU73"/>
    <mergeCell ref="UAV67:UAV73"/>
    <mergeCell ref="UAK67:UAK73"/>
    <mergeCell ref="UAL67:UAL73"/>
    <mergeCell ref="UAM67:UAM73"/>
    <mergeCell ref="UAN67:UAN73"/>
    <mergeCell ref="UAO67:UAO73"/>
    <mergeCell ref="UAP67:UAP73"/>
    <mergeCell ref="UAE67:UAE73"/>
    <mergeCell ref="UAF67:UAF73"/>
    <mergeCell ref="UAG67:UAG73"/>
    <mergeCell ref="UAH67:UAH73"/>
    <mergeCell ref="UAI67:UAI73"/>
    <mergeCell ref="UAJ67:UAJ73"/>
    <mergeCell ref="UCS67:UCS73"/>
    <mergeCell ref="UCT67:UCT73"/>
    <mergeCell ref="UCU67:UCU73"/>
    <mergeCell ref="UCV67:UCV73"/>
    <mergeCell ref="UCW67:UCW73"/>
    <mergeCell ref="UCX67:UCX73"/>
    <mergeCell ref="UCM67:UCM73"/>
    <mergeCell ref="UCN67:UCN73"/>
    <mergeCell ref="UCO67:UCO73"/>
    <mergeCell ref="UCP67:UCP73"/>
    <mergeCell ref="UCQ67:UCQ73"/>
    <mergeCell ref="UCR67:UCR73"/>
    <mergeCell ref="UCG67:UCG73"/>
    <mergeCell ref="UCH67:UCH73"/>
    <mergeCell ref="UCI67:UCI73"/>
    <mergeCell ref="UCJ67:UCJ73"/>
    <mergeCell ref="UCK67:UCK73"/>
    <mergeCell ref="UCL67:UCL73"/>
    <mergeCell ref="UCA67:UCA73"/>
    <mergeCell ref="UCB67:UCB73"/>
    <mergeCell ref="UCC67:UCC73"/>
    <mergeCell ref="UCD67:UCD73"/>
    <mergeCell ref="UCE67:UCE73"/>
    <mergeCell ref="UCF67:UCF73"/>
    <mergeCell ref="UBU67:UBU73"/>
    <mergeCell ref="UBV67:UBV73"/>
    <mergeCell ref="UBW67:UBW73"/>
    <mergeCell ref="UBX67:UBX73"/>
    <mergeCell ref="UBY67:UBY73"/>
    <mergeCell ref="UBZ67:UBZ73"/>
    <mergeCell ref="UBO67:UBO73"/>
    <mergeCell ref="UBP67:UBP73"/>
    <mergeCell ref="UBQ67:UBQ73"/>
    <mergeCell ref="UBR67:UBR73"/>
    <mergeCell ref="UBS67:UBS73"/>
    <mergeCell ref="UBT67:UBT73"/>
    <mergeCell ref="UEC67:UEC73"/>
    <mergeCell ref="UED67:UED73"/>
    <mergeCell ref="UEE67:UEE73"/>
    <mergeCell ref="UEF67:UEF73"/>
    <mergeCell ref="UEG67:UEG73"/>
    <mergeCell ref="UEH67:UEH73"/>
    <mergeCell ref="UDW67:UDW73"/>
    <mergeCell ref="UDX67:UDX73"/>
    <mergeCell ref="UDY67:UDY73"/>
    <mergeCell ref="UDZ67:UDZ73"/>
    <mergeCell ref="UEA67:UEA73"/>
    <mergeCell ref="UEB67:UEB73"/>
    <mergeCell ref="UDQ67:UDQ73"/>
    <mergeCell ref="UDR67:UDR73"/>
    <mergeCell ref="UDS67:UDS73"/>
    <mergeCell ref="UDT67:UDT73"/>
    <mergeCell ref="UDU67:UDU73"/>
    <mergeCell ref="UDV67:UDV73"/>
    <mergeCell ref="UDK67:UDK73"/>
    <mergeCell ref="UDL67:UDL73"/>
    <mergeCell ref="UDM67:UDM73"/>
    <mergeCell ref="UDN67:UDN73"/>
    <mergeCell ref="UDO67:UDO73"/>
    <mergeCell ref="UDP67:UDP73"/>
    <mergeCell ref="UDE67:UDE73"/>
    <mergeCell ref="UDF67:UDF73"/>
    <mergeCell ref="UDG67:UDG73"/>
    <mergeCell ref="UDH67:UDH73"/>
    <mergeCell ref="UDI67:UDI73"/>
    <mergeCell ref="UDJ67:UDJ73"/>
    <mergeCell ref="UCY67:UCY73"/>
    <mergeCell ref="UCZ67:UCZ73"/>
    <mergeCell ref="UDA67:UDA73"/>
    <mergeCell ref="UDB67:UDB73"/>
    <mergeCell ref="UDC67:UDC73"/>
    <mergeCell ref="UDD67:UDD73"/>
    <mergeCell ref="UFM67:UFM73"/>
    <mergeCell ref="UFN67:UFN73"/>
    <mergeCell ref="UFO67:UFO73"/>
    <mergeCell ref="UFP67:UFP73"/>
    <mergeCell ref="UFQ67:UFQ73"/>
    <mergeCell ref="UFR67:UFR73"/>
    <mergeCell ref="UFG67:UFG73"/>
    <mergeCell ref="UFH67:UFH73"/>
    <mergeCell ref="UFI67:UFI73"/>
    <mergeCell ref="UFJ67:UFJ73"/>
    <mergeCell ref="UFK67:UFK73"/>
    <mergeCell ref="UFL67:UFL73"/>
    <mergeCell ref="UFA67:UFA73"/>
    <mergeCell ref="UFB67:UFB73"/>
    <mergeCell ref="UFC67:UFC73"/>
    <mergeCell ref="UFD67:UFD73"/>
    <mergeCell ref="UFE67:UFE73"/>
    <mergeCell ref="UFF67:UFF73"/>
    <mergeCell ref="UEU67:UEU73"/>
    <mergeCell ref="UEV67:UEV73"/>
    <mergeCell ref="UEW67:UEW73"/>
    <mergeCell ref="UEX67:UEX73"/>
    <mergeCell ref="UEY67:UEY73"/>
    <mergeCell ref="UEZ67:UEZ73"/>
    <mergeCell ref="UEO67:UEO73"/>
    <mergeCell ref="UEP67:UEP73"/>
    <mergeCell ref="UEQ67:UEQ73"/>
    <mergeCell ref="UER67:UER73"/>
    <mergeCell ref="UES67:UES73"/>
    <mergeCell ref="UET67:UET73"/>
    <mergeCell ref="UEI67:UEI73"/>
    <mergeCell ref="UEJ67:UEJ73"/>
    <mergeCell ref="UEK67:UEK73"/>
    <mergeCell ref="UEL67:UEL73"/>
    <mergeCell ref="UEM67:UEM73"/>
    <mergeCell ref="UEN67:UEN73"/>
    <mergeCell ref="UGW67:UGW73"/>
    <mergeCell ref="UGX67:UGX73"/>
    <mergeCell ref="UGY67:UGY73"/>
    <mergeCell ref="UGZ67:UGZ73"/>
    <mergeCell ref="UHA67:UHA73"/>
    <mergeCell ref="UHB67:UHB73"/>
    <mergeCell ref="UGQ67:UGQ73"/>
    <mergeCell ref="UGR67:UGR73"/>
    <mergeCell ref="UGS67:UGS73"/>
    <mergeCell ref="UGT67:UGT73"/>
    <mergeCell ref="UGU67:UGU73"/>
    <mergeCell ref="UGV67:UGV73"/>
    <mergeCell ref="UGK67:UGK73"/>
    <mergeCell ref="UGL67:UGL73"/>
    <mergeCell ref="UGM67:UGM73"/>
    <mergeCell ref="UGN67:UGN73"/>
    <mergeCell ref="UGO67:UGO73"/>
    <mergeCell ref="UGP67:UGP73"/>
    <mergeCell ref="UGE67:UGE73"/>
    <mergeCell ref="UGF67:UGF73"/>
    <mergeCell ref="UGG67:UGG73"/>
    <mergeCell ref="UGH67:UGH73"/>
    <mergeCell ref="UGI67:UGI73"/>
    <mergeCell ref="UGJ67:UGJ73"/>
    <mergeCell ref="UFY67:UFY73"/>
    <mergeCell ref="UFZ67:UFZ73"/>
    <mergeCell ref="UGA67:UGA73"/>
    <mergeCell ref="UGB67:UGB73"/>
    <mergeCell ref="UGC67:UGC73"/>
    <mergeCell ref="UGD67:UGD73"/>
    <mergeCell ref="UFS67:UFS73"/>
    <mergeCell ref="UFT67:UFT73"/>
    <mergeCell ref="UFU67:UFU73"/>
    <mergeCell ref="UFV67:UFV73"/>
    <mergeCell ref="UFW67:UFW73"/>
    <mergeCell ref="UFX67:UFX73"/>
    <mergeCell ref="UIG67:UIG73"/>
    <mergeCell ref="UIH67:UIH73"/>
    <mergeCell ref="UII67:UII73"/>
    <mergeCell ref="UIJ67:UIJ73"/>
    <mergeCell ref="UIK67:UIK73"/>
    <mergeCell ref="UIL67:UIL73"/>
    <mergeCell ref="UIA67:UIA73"/>
    <mergeCell ref="UIB67:UIB73"/>
    <mergeCell ref="UIC67:UIC73"/>
    <mergeCell ref="UID67:UID73"/>
    <mergeCell ref="UIE67:UIE73"/>
    <mergeCell ref="UIF67:UIF73"/>
    <mergeCell ref="UHU67:UHU73"/>
    <mergeCell ref="UHV67:UHV73"/>
    <mergeCell ref="UHW67:UHW73"/>
    <mergeCell ref="UHX67:UHX73"/>
    <mergeCell ref="UHY67:UHY73"/>
    <mergeCell ref="UHZ67:UHZ73"/>
    <mergeCell ref="UHO67:UHO73"/>
    <mergeCell ref="UHP67:UHP73"/>
    <mergeCell ref="UHQ67:UHQ73"/>
    <mergeCell ref="UHR67:UHR73"/>
    <mergeCell ref="UHS67:UHS73"/>
    <mergeCell ref="UHT67:UHT73"/>
    <mergeCell ref="UHI67:UHI73"/>
    <mergeCell ref="UHJ67:UHJ73"/>
    <mergeCell ref="UHK67:UHK73"/>
    <mergeCell ref="UHL67:UHL73"/>
    <mergeCell ref="UHM67:UHM73"/>
    <mergeCell ref="UHN67:UHN73"/>
    <mergeCell ref="UHC67:UHC73"/>
    <mergeCell ref="UHD67:UHD73"/>
    <mergeCell ref="UHE67:UHE73"/>
    <mergeCell ref="UHF67:UHF73"/>
    <mergeCell ref="UHG67:UHG73"/>
    <mergeCell ref="UHH67:UHH73"/>
    <mergeCell ref="UJQ67:UJQ73"/>
    <mergeCell ref="UJR67:UJR73"/>
    <mergeCell ref="UJS67:UJS73"/>
    <mergeCell ref="UJT67:UJT73"/>
    <mergeCell ref="UJU67:UJU73"/>
    <mergeCell ref="UJV67:UJV73"/>
    <mergeCell ref="UJK67:UJK73"/>
    <mergeCell ref="UJL67:UJL73"/>
    <mergeCell ref="UJM67:UJM73"/>
    <mergeCell ref="UJN67:UJN73"/>
    <mergeCell ref="UJO67:UJO73"/>
    <mergeCell ref="UJP67:UJP73"/>
    <mergeCell ref="UJE67:UJE73"/>
    <mergeCell ref="UJF67:UJF73"/>
    <mergeCell ref="UJG67:UJG73"/>
    <mergeCell ref="UJH67:UJH73"/>
    <mergeCell ref="UJI67:UJI73"/>
    <mergeCell ref="UJJ67:UJJ73"/>
    <mergeCell ref="UIY67:UIY73"/>
    <mergeCell ref="UIZ67:UIZ73"/>
    <mergeCell ref="UJA67:UJA73"/>
    <mergeCell ref="UJB67:UJB73"/>
    <mergeCell ref="UJC67:UJC73"/>
    <mergeCell ref="UJD67:UJD73"/>
    <mergeCell ref="UIS67:UIS73"/>
    <mergeCell ref="UIT67:UIT73"/>
    <mergeCell ref="UIU67:UIU73"/>
    <mergeCell ref="UIV67:UIV73"/>
    <mergeCell ref="UIW67:UIW73"/>
    <mergeCell ref="UIX67:UIX73"/>
    <mergeCell ref="UIM67:UIM73"/>
    <mergeCell ref="UIN67:UIN73"/>
    <mergeCell ref="UIO67:UIO73"/>
    <mergeCell ref="UIP67:UIP73"/>
    <mergeCell ref="UIQ67:UIQ73"/>
    <mergeCell ref="UIR67:UIR73"/>
    <mergeCell ref="ULA67:ULA73"/>
    <mergeCell ref="ULB67:ULB73"/>
    <mergeCell ref="ULC67:ULC73"/>
    <mergeCell ref="ULD67:ULD73"/>
    <mergeCell ref="ULE67:ULE73"/>
    <mergeCell ref="ULF67:ULF73"/>
    <mergeCell ref="UKU67:UKU73"/>
    <mergeCell ref="UKV67:UKV73"/>
    <mergeCell ref="UKW67:UKW73"/>
    <mergeCell ref="UKX67:UKX73"/>
    <mergeCell ref="UKY67:UKY73"/>
    <mergeCell ref="UKZ67:UKZ73"/>
    <mergeCell ref="UKO67:UKO73"/>
    <mergeCell ref="UKP67:UKP73"/>
    <mergeCell ref="UKQ67:UKQ73"/>
    <mergeCell ref="UKR67:UKR73"/>
    <mergeCell ref="UKS67:UKS73"/>
    <mergeCell ref="UKT67:UKT73"/>
    <mergeCell ref="UKI67:UKI73"/>
    <mergeCell ref="UKJ67:UKJ73"/>
    <mergeCell ref="UKK67:UKK73"/>
    <mergeCell ref="UKL67:UKL73"/>
    <mergeCell ref="UKM67:UKM73"/>
    <mergeCell ref="UKN67:UKN73"/>
    <mergeCell ref="UKC67:UKC73"/>
    <mergeCell ref="UKD67:UKD73"/>
    <mergeCell ref="UKE67:UKE73"/>
    <mergeCell ref="UKF67:UKF73"/>
    <mergeCell ref="UKG67:UKG73"/>
    <mergeCell ref="UKH67:UKH73"/>
    <mergeCell ref="UJW67:UJW73"/>
    <mergeCell ref="UJX67:UJX73"/>
    <mergeCell ref="UJY67:UJY73"/>
    <mergeCell ref="UJZ67:UJZ73"/>
    <mergeCell ref="UKA67:UKA73"/>
    <mergeCell ref="UKB67:UKB73"/>
    <mergeCell ref="UMK67:UMK73"/>
    <mergeCell ref="UML67:UML73"/>
    <mergeCell ref="UMM67:UMM73"/>
    <mergeCell ref="UMN67:UMN73"/>
    <mergeCell ref="UMO67:UMO73"/>
    <mergeCell ref="UMP67:UMP73"/>
    <mergeCell ref="UME67:UME73"/>
    <mergeCell ref="UMF67:UMF73"/>
    <mergeCell ref="UMG67:UMG73"/>
    <mergeCell ref="UMH67:UMH73"/>
    <mergeCell ref="UMI67:UMI73"/>
    <mergeCell ref="UMJ67:UMJ73"/>
    <mergeCell ref="ULY67:ULY73"/>
    <mergeCell ref="ULZ67:ULZ73"/>
    <mergeCell ref="UMA67:UMA73"/>
    <mergeCell ref="UMB67:UMB73"/>
    <mergeCell ref="UMC67:UMC73"/>
    <mergeCell ref="UMD67:UMD73"/>
    <mergeCell ref="ULS67:ULS73"/>
    <mergeCell ref="ULT67:ULT73"/>
    <mergeCell ref="ULU67:ULU73"/>
    <mergeCell ref="ULV67:ULV73"/>
    <mergeCell ref="ULW67:ULW73"/>
    <mergeCell ref="ULX67:ULX73"/>
    <mergeCell ref="ULM67:ULM73"/>
    <mergeCell ref="ULN67:ULN73"/>
    <mergeCell ref="ULO67:ULO73"/>
    <mergeCell ref="ULP67:ULP73"/>
    <mergeCell ref="ULQ67:ULQ73"/>
    <mergeCell ref="ULR67:ULR73"/>
    <mergeCell ref="ULG67:ULG73"/>
    <mergeCell ref="ULH67:ULH73"/>
    <mergeCell ref="ULI67:ULI73"/>
    <mergeCell ref="ULJ67:ULJ73"/>
    <mergeCell ref="ULK67:ULK73"/>
    <mergeCell ref="ULL67:ULL73"/>
    <mergeCell ref="UNU67:UNU73"/>
    <mergeCell ref="UNV67:UNV73"/>
    <mergeCell ref="UNW67:UNW73"/>
    <mergeCell ref="UNX67:UNX73"/>
    <mergeCell ref="UNY67:UNY73"/>
    <mergeCell ref="UNZ67:UNZ73"/>
    <mergeCell ref="UNO67:UNO73"/>
    <mergeCell ref="UNP67:UNP73"/>
    <mergeCell ref="UNQ67:UNQ73"/>
    <mergeCell ref="UNR67:UNR73"/>
    <mergeCell ref="UNS67:UNS73"/>
    <mergeCell ref="UNT67:UNT73"/>
    <mergeCell ref="UNI67:UNI73"/>
    <mergeCell ref="UNJ67:UNJ73"/>
    <mergeCell ref="UNK67:UNK73"/>
    <mergeCell ref="UNL67:UNL73"/>
    <mergeCell ref="UNM67:UNM73"/>
    <mergeCell ref="UNN67:UNN73"/>
    <mergeCell ref="UNC67:UNC73"/>
    <mergeCell ref="UND67:UND73"/>
    <mergeCell ref="UNE67:UNE73"/>
    <mergeCell ref="UNF67:UNF73"/>
    <mergeCell ref="UNG67:UNG73"/>
    <mergeCell ref="UNH67:UNH73"/>
    <mergeCell ref="UMW67:UMW73"/>
    <mergeCell ref="UMX67:UMX73"/>
    <mergeCell ref="UMY67:UMY73"/>
    <mergeCell ref="UMZ67:UMZ73"/>
    <mergeCell ref="UNA67:UNA73"/>
    <mergeCell ref="UNB67:UNB73"/>
    <mergeCell ref="UMQ67:UMQ73"/>
    <mergeCell ref="UMR67:UMR73"/>
    <mergeCell ref="UMS67:UMS73"/>
    <mergeCell ref="UMT67:UMT73"/>
    <mergeCell ref="UMU67:UMU73"/>
    <mergeCell ref="UMV67:UMV73"/>
    <mergeCell ref="UPE67:UPE73"/>
    <mergeCell ref="UPF67:UPF73"/>
    <mergeCell ref="UPG67:UPG73"/>
    <mergeCell ref="UPH67:UPH73"/>
    <mergeCell ref="UPI67:UPI73"/>
    <mergeCell ref="UPJ67:UPJ73"/>
    <mergeCell ref="UOY67:UOY73"/>
    <mergeCell ref="UOZ67:UOZ73"/>
    <mergeCell ref="UPA67:UPA73"/>
    <mergeCell ref="UPB67:UPB73"/>
    <mergeCell ref="UPC67:UPC73"/>
    <mergeCell ref="UPD67:UPD73"/>
    <mergeCell ref="UOS67:UOS73"/>
    <mergeCell ref="UOT67:UOT73"/>
    <mergeCell ref="UOU67:UOU73"/>
    <mergeCell ref="UOV67:UOV73"/>
    <mergeCell ref="UOW67:UOW73"/>
    <mergeCell ref="UOX67:UOX73"/>
    <mergeCell ref="UOM67:UOM73"/>
    <mergeCell ref="UON67:UON73"/>
    <mergeCell ref="UOO67:UOO73"/>
    <mergeCell ref="UOP67:UOP73"/>
    <mergeCell ref="UOQ67:UOQ73"/>
    <mergeCell ref="UOR67:UOR73"/>
    <mergeCell ref="UOG67:UOG73"/>
    <mergeCell ref="UOH67:UOH73"/>
    <mergeCell ref="UOI67:UOI73"/>
    <mergeCell ref="UOJ67:UOJ73"/>
    <mergeCell ref="UOK67:UOK73"/>
    <mergeCell ref="UOL67:UOL73"/>
    <mergeCell ref="UOA67:UOA73"/>
    <mergeCell ref="UOB67:UOB73"/>
    <mergeCell ref="UOC67:UOC73"/>
    <mergeCell ref="UOD67:UOD73"/>
    <mergeCell ref="UOE67:UOE73"/>
    <mergeCell ref="UOF67:UOF73"/>
    <mergeCell ref="UQO67:UQO73"/>
    <mergeCell ref="UQP67:UQP73"/>
    <mergeCell ref="UQQ67:UQQ73"/>
    <mergeCell ref="UQR67:UQR73"/>
    <mergeCell ref="UQS67:UQS73"/>
    <mergeCell ref="UQT67:UQT73"/>
    <mergeCell ref="UQI67:UQI73"/>
    <mergeCell ref="UQJ67:UQJ73"/>
    <mergeCell ref="UQK67:UQK73"/>
    <mergeCell ref="UQL67:UQL73"/>
    <mergeCell ref="UQM67:UQM73"/>
    <mergeCell ref="UQN67:UQN73"/>
    <mergeCell ref="UQC67:UQC73"/>
    <mergeCell ref="UQD67:UQD73"/>
    <mergeCell ref="UQE67:UQE73"/>
    <mergeCell ref="UQF67:UQF73"/>
    <mergeCell ref="UQG67:UQG73"/>
    <mergeCell ref="UQH67:UQH73"/>
    <mergeCell ref="UPW67:UPW73"/>
    <mergeCell ref="UPX67:UPX73"/>
    <mergeCell ref="UPY67:UPY73"/>
    <mergeCell ref="UPZ67:UPZ73"/>
    <mergeCell ref="UQA67:UQA73"/>
    <mergeCell ref="UQB67:UQB73"/>
    <mergeCell ref="UPQ67:UPQ73"/>
    <mergeCell ref="UPR67:UPR73"/>
    <mergeCell ref="UPS67:UPS73"/>
    <mergeCell ref="UPT67:UPT73"/>
    <mergeCell ref="UPU67:UPU73"/>
    <mergeCell ref="UPV67:UPV73"/>
    <mergeCell ref="UPK67:UPK73"/>
    <mergeCell ref="UPL67:UPL73"/>
    <mergeCell ref="UPM67:UPM73"/>
    <mergeCell ref="UPN67:UPN73"/>
    <mergeCell ref="UPO67:UPO73"/>
    <mergeCell ref="UPP67:UPP73"/>
    <mergeCell ref="URY67:URY73"/>
    <mergeCell ref="URZ67:URZ73"/>
    <mergeCell ref="USA67:USA73"/>
    <mergeCell ref="USB67:USB73"/>
    <mergeCell ref="USC67:USC73"/>
    <mergeCell ref="USD67:USD73"/>
    <mergeCell ref="URS67:URS73"/>
    <mergeCell ref="URT67:URT73"/>
    <mergeCell ref="URU67:URU73"/>
    <mergeCell ref="URV67:URV73"/>
    <mergeCell ref="URW67:URW73"/>
    <mergeCell ref="URX67:URX73"/>
    <mergeCell ref="URM67:URM73"/>
    <mergeCell ref="URN67:URN73"/>
    <mergeCell ref="URO67:URO73"/>
    <mergeCell ref="URP67:URP73"/>
    <mergeCell ref="URQ67:URQ73"/>
    <mergeCell ref="URR67:URR73"/>
    <mergeCell ref="URG67:URG73"/>
    <mergeCell ref="URH67:URH73"/>
    <mergeCell ref="URI67:URI73"/>
    <mergeCell ref="URJ67:URJ73"/>
    <mergeCell ref="URK67:URK73"/>
    <mergeCell ref="URL67:URL73"/>
    <mergeCell ref="URA67:URA73"/>
    <mergeCell ref="URB67:URB73"/>
    <mergeCell ref="URC67:URC73"/>
    <mergeCell ref="URD67:URD73"/>
    <mergeCell ref="URE67:URE73"/>
    <mergeCell ref="URF67:URF73"/>
    <mergeCell ref="UQU67:UQU73"/>
    <mergeCell ref="UQV67:UQV73"/>
    <mergeCell ref="UQW67:UQW73"/>
    <mergeCell ref="UQX67:UQX73"/>
    <mergeCell ref="UQY67:UQY73"/>
    <mergeCell ref="UQZ67:UQZ73"/>
    <mergeCell ref="UTI67:UTI73"/>
    <mergeCell ref="UTJ67:UTJ73"/>
    <mergeCell ref="UTK67:UTK73"/>
    <mergeCell ref="UTL67:UTL73"/>
    <mergeCell ref="UTM67:UTM73"/>
    <mergeCell ref="UTN67:UTN73"/>
    <mergeCell ref="UTC67:UTC73"/>
    <mergeCell ref="UTD67:UTD73"/>
    <mergeCell ref="UTE67:UTE73"/>
    <mergeCell ref="UTF67:UTF73"/>
    <mergeCell ref="UTG67:UTG73"/>
    <mergeCell ref="UTH67:UTH73"/>
    <mergeCell ref="USW67:USW73"/>
    <mergeCell ref="USX67:USX73"/>
    <mergeCell ref="USY67:USY73"/>
    <mergeCell ref="USZ67:USZ73"/>
    <mergeCell ref="UTA67:UTA73"/>
    <mergeCell ref="UTB67:UTB73"/>
    <mergeCell ref="USQ67:USQ73"/>
    <mergeCell ref="USR67:USR73"/>
    <mergeCell ref="USS67:USS73"/>
    <mergeCell ref="UST67:UST73"/>
    <mergeCell ref="USU67:USU73"/>
    <mergeCell ref="USV67:USV73"/>
    <mergeCell ref="USK67:USK73"/>
    <mergeCell ref="USL67:USL73"/>
    <mergeCell ref="USM67:USM73"/>
    <mergeCell ref="USN67:USN73"/>
    <mergeCell ref="USO67:USO73"/>
    <mergeCell ref="USP67:USP73"/>
    <mergeCell ref="USE67:USE73"/>
    <mergeCell ref="USF67:USF73"/>
    <mergeCell ref="USG67:USG73"/>
    <mergeCell ref="USH67:USH73"/>
    <mergeCell ref="USI67:USI73"/>
    <mergeCell ref="USJ67:USJ73"/>
    <mergeCell ref="UUS67:UUS73"/>
    <mergeCell ref="UUT67:UUT73"/>
    <mergeCell ref="UUU67:UUU73"/>
    <mergeCell ref="UUV67:UUV73"/>
    <mergeCell ref="UUW67:UUW73"/>
    <mergeCell ref="UUX67:UUX73"/>
    <mergeCell ref="UUM67:UUM73"/>
    <mergeCell ref="UUN67:UUN73"/>
    <mergeCell ref="UUO67:UUO73"/>
    <mergeCell ref="UUP67:UUP73"/>
    <mergeCell ref="UUQ67:UUQ73"/>
    <mergeCell ref="UUR67:UUR73"/>
    <mergeCell ref="UUG67:UUG73"/>
    <mergeCell ref="UUH67:UUH73"/>
    <mergeCell ref="UUI67:UUI73"/>
    <mergeCell ref="UUJ67:UUJ73"/>
    <mergeCell ref="UUK67:UUK73"/>
    <mergeCell ref="UUL67:UUL73"/>
    <mergeCell ref="UUA67:UUA73"/>
    <mergeCell ref="UUB67:UUB73"/>
    <mergeCell ref="UUC67:UUC73"/>
    <mergeCell ref="UUD67:UUD73"/>
    <mergeCell ref="UUE67:UUE73"/>
    <mergeCell ref="UUF67:UUF73"/>
    <mergeCell ref="UTU67:UTU73"/>
    <mergeCell ref="UTV67:UTV73"/>
    <mergeCell ref="UTW67:UTW73"/>
    <mergeCell ref="UTX67:UTX73"/>
    <mergeCell ref="UTY67:UTY73"/>
    <mergeCell ref="UTZ67:UTZ73"/>
    <mergeCell ref="UTO67:UTO73"/>
    <mergeCell ref="UTP67:UTP73"/>
    <mergeCell ref="UTQ67:UTQ73"/>
    <mergeCell ref="UTR67:UTR73"/>
    <mergeCell ref="UTS67:UTS73"/>
    <mergeCell ref="UTT67:UTT73"/>
    <mergeCell ref="UWC67:UWC73"/>
    <mergeCell ref="UWD67:UWD73"/>
    <mergeCell ref="UWE67:UWE73"/>
    <mergeCell ref="UWF67:UWF73"/>
    <mergeCell ref="UWG67:UWG73"/>
    <mergeCell ref="UWH67:UWH73"/>
    <mergeCell ref="UVW67:UVW73"/>
    <mergeCell ref="UVX67:UVX73"/>
    <mergeCell ref="UVY67:UVY73"/>
    <mergeCell ref="UVZ67:UVZ73"/>
    <mergeCell ref="UWA67:UWA73"/>
    <mergeCell ref="UWB67:UWB73"/>
    <mergeCell ref="UVQ67:UVQ73"/>
    <mergeCell ref="UVR67:UVR73"/>
    <mergeCell ref="UVS67:UVS73"/>
    <mergeCell ref="UVT67:UVT73"/>
    <mergeCell ref="UVU67:UVU73"/>
    <mergeCell ref="UVV67:UVV73"/>
    <mergeCell ref="UVK67:UVK73"/>
    <mergeCell ref="UVL67:UVL73"/>
    <mergeCell ref="UVM67:UVM73"/>
    <mergeCell ref="UVN67:UVN73"/>
    <mergeCell ref="UVO67:UVO73"/>
    <mergeCell ref="UVP67:UVP73"/>
    <mergeCell ref="UVE67:UVE73"/>
    <mergeCell ref="UVF67:UVF73"/>
    <mergeCell ref="UVG67:UVG73"/>
    <mergeCell ref="UVH67:UVH73"/>
    <mergeCell ref="UVI67:UVI73"/>
    <mergeCell ref="UVJ67:UVJ73"/>
    <mergeCell ref="UUY67:UUY73"/>
    <mergeCell ref="UUZ67:UUZ73"/>
    <mergeCell ref="UVA67:UVA73"/>
    <mergeCell ref="UVB67:UVB73"/>
    <mergeCell ref="UVC67:UVC73"/>
    <mergeCell ref="UVD67:UVD73"/>
    <mergeCell ref="UXM67:UXM73"/>
    <mergeCell ref="UXN67:UXN73"/>
    <mergeCell ref="UXO67:UXO73"/>
    <mergeCell ref="UXP67:UXP73"/>
    <mergeCell ref="UXQ67:UXQ73"/>
    <mergeCell ref="UXR67:UXR73"/>
    <mergeCell ref="UXG67:UXG73"/>
    <mergeCell ref="UXH67:UXH73"/>
    <mergeCell ref="UXI67:UXI73"/>
    <mergeCell ref="UXJ67:UXJ73"/>
    <mergeCell ref="UXK67:UXK73"/>
    <mergeCell ref="UXL67:UXL73"/>
    <mergeCell ref="UXA67:UXA73"/>
    <mergeCell ref="UXB67:UXB73"/>
    <mergeCell ref="UXC67:UXC73"/>
    <mergeCell ref="UXD67:UXD73"/>
    <mergeCell ref="UXE67:UXE73"/>
    <mergeCell ref="UXF67:UXF73"/>
    <mergeCell ref="UWU67:UWU73"/>
    <mergeCell ref="UWV67:UWV73"/>
    <mergeCell ref="UWW67:UWW73"/>
    <mergeCell ref="UWX67:UWX73"/>
    <mergeCell ref="UWY67:UWY73"/>
    <mergeCell ref="UWZ67:UWZ73"/>
    <mergeCell ref="UWO67:UWO73"/>
    <mergeCell ref="UWP67:UWP73"/>
    <mergeCell ref="UWQ67:UWQ73"/>
    <mergeCell ref="UWR67:UWR73"/>
    <mergeCell ref="UWS67:UWS73"/>
    <mergeCell ref="UWT67:UWT73"/>
    <mergeCell ref="UWI67:UWI73"/>
    <mergeCell ref="UWJ67:UWJ73"/>
    <mergeCell ref="UWK67:UWK73"/>
    <mergeCell ref="UWL67:UWL73"/>
    <mergeCell ref="UWM67:UWM73"/>
    <mergeCell ref="UWN67:UWN73"/>
    <mergeCell ref="UYW67:UYW73"/>
    <mergeCell ref="UYX67:UYX73"/>
    <mergeCell ref="UYY67:UYY73"/>
    <mergeCell ref="UYZ67:UYZ73"/>
    <mergeCell ref="UZA67:UZA73"/>
    <mergeCell ref="UZB67:UZB73"/>
    <mergeCell ref="UYQ67:UYQ73"/>
    <mergeCell ref="UYR67:UYR73"/>
    <mergeCell ref="UYS67:UYS73"/>
    <mergeCell ref="UYT67:UYT73"/>
    <mergeCell ref="UYU67:UYU73"/>
    <mergeCell ref="UYV67:UYV73"/>
    <mergeCell ref="UYK67:UYK73"/>
    <mergeCell ref="UYL67:UYL73"/>
    <mergeCell ref="UYM67:UYM73"/>
    <mergeCell ref="UYN67:UYN73"/>
    <mergeCell ref="UYO67:UYO73"/>
    <mergeCell ref="UYP67:UYP73"/>
    <mergeCell ref="UYE67:UYE73"/>
    <mergeCell ref="UYF67:UYF73"/>
    <mergeCell ref="UYG67:UYG73"/>
    <mergeCell ref="UYH67:UYH73"/>
    <mergeCell ref="UYI67:UYI73"/>
    <mergeCell ref="UYJ67:UYJ73"/>
    <mergeCell ref="UXY67:UXY73"/>
    <mergeCell ref="UXZ67:UXZ73"/>
    <mergeCell ref="UYA67:UYA73"/>
    <mergeCell ref="UYB67:UYB73"/>
    <mergeCell ref="UYC67:UYC73"/>
    <mergeCell ref="UYD67:UYD73"/>
    <mergeCell ref="UXS67:UXS73"/>
    <mergeCell ref="UXT67:UXT73"/>
    <mergeCell ref="UXU67:UXU73"/>
    <mergeCell ref="UXV67:UXV73"/>
    <mergeCell ref="UXW67:UXW73"/>
    <mergeCell ref="UXX67:UXX73"/>
    <mergeCell ref="VAG67:VAG73"/>
    <mergeCell ref="VAH67:VAH73"/>
    <mergeCell ref="VAI67:VAI73"/>
    <mergeCell ref="VAJ67:VAJ73"/>
    <mergeCell ref="VAK67:VAK73"/>
    <mergeCell ref="VAL67:VAL73"/>
    <mergeCell ref="VAA67:VAA73"/>
    <mergeCell ref="VAB67:VAB73"/>
    <mergeCell ref="VAC67:VAC73"/>
    <mergeCell ref="VAD67:VAD73"/>
    <mergeCell ref="VAE67:VAE73"/>
    <mergeCell ref="VAF67:VAF73"/>
    <mergeCell ref="UZU67:UZU73"/>
    <mergeCell ref="UZV67:UZV73"/>
    <mergeCell ref="UZW67:UZW73"/>
    <mergeCell ref="UZX67:UZX73"/>
    <mergeCell ref="UZY67:UZY73"/>
    <mergeCell ref="UZZ67:UZZ73"/>
    <mergeCell ref="UZO67:UZO73"/>
    <mergeCell ref="UZP67:UZP73"/>
    <mergeCell ref="UZQ67:UZQ73"/>
    <mergeCell ref="UZR67:UZR73"/>
    <mergeCell ref="UZS67:UZS73"/>
    <mergeCell ref="UZT67:UZT73"/>
    <mergeCell ref="UZI67:UZI73"/>
    <mergeCell ref="UZJ67:UZJ73"/>
    <mergeCell ref="UZK67:UZK73"/>
    <mergeCell ref="UZL67:UZL73"/>
    <mergeCell ref="UZM67:UZM73"/>
    <mergeCell ref="UZN67:UZN73"/>
    <mergeCell ref="UZC67:UZC73"/>
    <mergeCell ref="UZD67:UZD73"/>
    <mergeCell ref="UZE67:UZE73"/>
    <mergeCell ref="UZF67:UZF73"/>
    <mergeCell ref="UZG67:UZG73"/>
    <mergeCell ref="UZH67:UZH73"/>
    <mergeCell ref="VBQ67:VBQ73"/>
    <mergeCell ref="VBR67:VBR73"/>
    <mergeCell ref="VBS67:VBS73"/>
    <mergeCell ref="VBT67:VBT73"/>
    <mergeCell ref="VBU67:VBU73"/>
    <mergeCell ref="VBV67:VBV73"/>
    <mergeCell ref="VBK67:VBK73"/>
    <mergeCell ref="VBL67:VBL73"/>
    <mergeCell ref="VBM67:VBM73"/>
    <mergeCell ref="VBN67:VBN73"/>
    <mergeCell ref="VBO67:VBO73"/>
    <mergeCell ref="VBP67:VBP73"/>
    <mergeCell ref="VBE67:VBE73"/>
    <mergeCell ref="VBF67:VBF73"/>
    <mergeCell ref="VBG67:VBG73"/>
    <mergeCell ref="VBH67:VBH73"/>
    <mergeCell ref="VBI67:VBI73"/>
    <mergeCell ref="VBJ67:VBJ73"/>
    <mergeCell ref="VAY67:VAY73"/>
    <mergeCell ref="VAZ67:VAZ73"/>
    <mergeCell ref="VBA67:VBA73"/>
    <mergeCell ref="VBB67:VBB73"/>
    <mergeCell ref="VBC67:VBC73"/>
    <mergeCell ref="VBD67:VBD73"/>
    <mergeCell ref="VAS67:VAS73"/>
    <mergeCell ref="VAT67:VAT73"/>
    <mergeCell ref="VAU67:VAU73"/>
    <mergeCell ref="VAV67:VAV73"/>
    <mergeCell ref="VAW67:VAW73"/>
    <mergeCell ref="VAX67:VAX73"/>
    <mergeCell ref="VAM67:VAM73"/>
    <mergeCell ref="VAN67:VAN73"/>
    <mergeCell ref="VAO67:VAO73"/>
    <mergeCell ref="VAP67:VAP73"/>
    <mergeCell ref="VAQ67:VAQ73"/>
    <mergeCell ref="VAR67:VAR73"/>
    <mergeCell ref="VDA67:VDA73"/>
    <mergeCell ref="VDB67:VDB73"/>
    <mergeCell ref="VDC67:VDC73"/>
    <mergeCell ref="VDD67:VDD73"/>
    <mergeCell ref="VDE67:VDE73"/>
    <mergeCell ref="VDF67:VDF73"/>
    <mergeCell ref="VCU67:VCU73"/>
    <mergeCell ref="VCV67:VCV73"/>
    <mergeCell ref="VCW67:VCW73"/>
    <mergeCell ref="VCX67:VCX73"/>
    <mergeCell ref="VCY67:VCY73"/>
    <mergeCell ref="VCZ67:VCZ73"/>
    <mergeCell ref="VCO67:VCO73"/>
    <mergeCell ref="VCP67:VCP73"/>
    <mergeCell ref="VCQ67:VCQ73"/>
    <mergeCell ref="VCR67:VCR73"/>
    <mergeCell ref="VCS67:VCS73"/>
    <mergeCell ref="VCT67:VCT73"/>
    <mergeCell ref="VCI67:VCI73"/>
    <mergeCell ref="VCJ67:VCJ73"/>
    <mergeCell ref="VCK67:VCK73"/>
    <mergeCell ref="VCL67:VCL73"/>
    <mergeCell ref="VCM67:VCM73"/>
    <mergeCell ref="VCN67:VCN73"/>
    <mergeCell ref="VCC67:VCC73"/>
    <mergeCell ref="VCD67:VCD73"/>
    <mergeCell ref="VCE67:VCE73"/>
    <mergeCell ref="VCF67:VCF73"/>
    <mergeCell ref="VCG67:VCG73"/>
    <mergeCell ref="VCH67:VCH73"/>
    <mergeCell ref="VBW67:VBW73"/>
    <mergeCell ref="VBX67:VBX73"/>
    <mergeCell ref="VBY67:VBY73"/>
    <mergeCell ref="VBZ67:VBZ73"/>
    <mergeCell ref="VCA67:VCA73"/>
    <mergeCell ref="VCB67:VCB73"/>
    <mergeCell ref="VEK67:VEK73"/>
    <mergeCell ref="VEL67:VEL73"/>
    <mergeCell ref="VEM67:VEM73"/>
    <mergeCell ref="VEN67:VEN73"/>
    <mergeCell ref="VEO67:VEO73"/>
    <mergeCell ref="VEP67:VEP73"/>
    <mergeCell ref="VEE67:VEE73"/>
    <mergeCell ref="VEF67:VEF73"/>
    <mergeCell ref="VEG67:VEG73"/>
    <mergeCell ref="VEH67:VEH73"/>
    <mergeCell ref="VEI67:VEI73"/>
    <mergeCell ref="VEJ67:VEJ73"/>
    <mergeCell ref="VDY67:VDY73"/>
    <mergeCell ref="VDZ67:VDZ73"/>
    <mergeCell ref="VEA67:VEA73"/>
    <mergeCell ref="VEB67:VEB73"/>
    <mergeCell ref="VEC67:VEC73"/>
    <mergeCell ref="VED67:VED73"/>
    <mergeCell ref="VDS67:VDS73"/>
    <mergeCell ref="VDT67:VDT73"/>
    <mergeCell ref="VDU67:VDU73"/>
    <mergeCell ref="VDV67:VDV73"/>
    <mergeCell ref="VDW67:VDW73"/>
    <mergeCell ref="VDX67:VDX73"/>
    <mergeCell ref="VDM67:VDM73"/>
    <mergeCell ref="VDN67:VDN73"/>
    <mergeCell ref="VDO67:VDO73"/>
    <mergeCell ref="VDP67:VDP73"/>
    <mergeCell ref="VDQ67:VDQ73"/>
    <mergeCell ref="VDR67:VDR73"/>
    <mergeCell ref="VDG67:VDG73"/>
    <mergeCell ref="VDH67:VDH73"/>
    <mergeCell ref="VDI67:VDI73"/>
    <mergeCell ref="VDJ67:VDJ73"/>
    <mergeCell ref="VDK67:VDK73"/>
    <mergeCell ref="VDL67:VDL73"/>
    <mergeCell ref="VFU67:VFU73"/>
    <mergeCell ref="VFV67:VFV73"/>
    <mergeCell ref="VFW67:VFW73"/>
    <mergeCell ref="VFX67:VFX73"/>
    <mergeCell ref="VFY67:VFY73"/>
    <mergeCell ref="VFZ67:VFZ73"/>
    <mergeCell ref="VFO67:VFO73"/>
    <mergeCell ref="VFP67:VFP73"/>
    <mergeCell ref="VFQ67:VFQ73"/>
    <mergeCell ref="VFR67:VFR73"/>
    <mergeCell ref="VFS67:VFS73"/>
    <mergeCell ref="VFT67:VFT73"/>
    <mergeCell ref="VFI67:VFI73"/>
    <mergeCell ref="VFJ67:VFJ73"/>
    <mergeCell ref="VFK67:VFK73"/>
    <mergeCell ref="VFL67:VFL73"/>
    <mergeCell ref="VFM67:VFM73"/>
    <mergeCell ref="VFN67:VFN73"/>
    <mergeCell ref="VFC67:VFC73"/>
    <mergeCell ref="VFD67:VFD73"/>
    <mergeCell ref="VFE67:VFE73"/>
    <mergeCell ref="VFF67:VFF73"/>
    <mergeCell ref="VFG67:VFG73"/>
    <mergeCell ref="VFH67:VFH73"/>
    <mergeCell ref="VEW67:VEW73"/>
    <mergeCell ref="VEX67:VEX73"/>
    <mergeCell ref="VEY67:VEY73"/>
    <mergeCell ref="VEZ67:VEZ73"/>
    <mergeCell ref="VFA67:VFA73"/>
    <mergeCell ref="VFB67:VFB73"/>
    <mergeCell ref="VEQ67:VEQ73"/>
    <mergeCell ref="VER67:VER73"/>
    <mergeCell ref="VES67:VES73"/>
    <mergeCell ref="VET67:VET73"/>
    <mergeCell ref="VEU67:VEU73"/>
    <mergeCell ref="VEV67:VEV73"/>
    <mergeCell ref="VHE67:VHE73"/>
    <mergeCell ref="VHF67:VHF73"/>
    <mergeCell ref="VHG67:VHG73"/>
    <mergeCell ref="VHH67:VHH73"/>
    <mergeCell ref="VHI67:VHI73"/>
    <mergeCell ref="VHJ67:VHJ73"/>
    <mergeCell ref="VGY67:VGY73"/>
    <mergeCell ref="VGZ67:VGZ73"/>
    <mergeCell ref="VHA67:VHA73"/>
    <mergeCell ref="VHB67:VHB73"/>
    <mergeCell ref="VHC67:VHC73"/>
    <mergeCell ref="VHD67:VHD73"/>
    <mergeCell ref="VGS67:VGS73"/>
    <mergeCell ref="VGT67:VGT73"/>
    <mergeCell ref="VGU67:VGU73"/>
    <mergeCell ref="VGV67:VGV73"/>
    <mergeCell ref="VGW67:VGW73"/>
    <mergeCell ref="VGX67:VGX73"/>
    <mergeCell ref="VGM67:VGM73"/>
    <mergeCell ref="VGN67:VGN73"/>
    <mergeCell ref="VGO67:VGO73"/>
    <mergeCell ref="VGP67:VGP73"/>
    <mergeCell ref="VGQ67:VGQ73"/>
    <mergeCell ref="VGR67:VGR73"/>
    <mergeCell ref="VGG67:VGG73"/>
    <mergeCell ref="VGH67:VGH73"/>
    <mergeCell ref="VGI67:VGI73"/>
    <mergeCell ref="VGJ67:VGJ73"/>
    <mergeCell ref="VGK67:VGK73"/>
    <mergeCell ref="VGL67:VGL73"/>
    <mergeCell ref="VGA67:VGA73"/>
    <mergeCell ref="VGB67:VGB73"/>
    <mergeCell ref="VGC67:VGC73"/>
    <mergeCell ref="VGD67:VGD73"/>
    <mergeCell ref="VGE67:VGE73"/>
    <mergeCell ref="VGF67:VGF73"/>
    <mergeCell ref="VIO67:VIO73"/>
    <mergeCell ref="VIP67:VIP73"/>
    <mergeCell ref="VIQ67:VIQ73"/>
    <mergeCell ref="VIR67:VIR73"/>
    <mergeCell ref="VIS67:VIS73"/>
    <mergeCell ref="VIT67:VIT73"/>
    <mergeCell ref="VII67:VII73"/>
    <mergeCell ref="VIJ67:VIJ73"/>
    <mergeCell ref="VIK67:VIK73"/>
    <mergeCell ref="VIL67:VIL73"/>
    <mergeCell ref="VIM67:VIM73"/>
    <mergeCell ref="VIN67:VIN73"/>
    <mergeCell ref="VIC67:VIC73"/>
    <mergeCell ref="VID67:VID73"/>
    <mergeCell ref="VIE67:VIE73"/>
    <mergeCell ref="VIF67:VIF73"/>
    <mergeCell ref="VIG67:VIG73"/>
    <mergeCell ref="VIH67:VIH73"/>
    <mergeCell ref="VHW67:VHW73"/>
    <mergeCell ref="VHX67:VHX73"/>
    <mergeCell ref="VHY67:VHY73"/>
    <mergeCell ref="VHZ67:VHZ73"/>
    <mergeCell ref="VIA67:VIA73"/>
    <mergeCell ref="VIB67:VIB73"/>
    <mergeCell ref="VHQ67:VHQ73"/>
    <mergeCell ref="VHR67:VHR73"/>
    <mergeCell ref="VHS67:VHS73"/>
    <mergeCell ref="VHT67:VHT73"/>
    <mergeCell ref="VHU67:VHU73"/>
    <mergeCell ref="VHV67:VHV73"/>
    <mergeCell ref="VHK67:VHK73"/>
    <mergeCell ref="VHL67:VHL73"/>
    <mergeCell ref="VHM67:VHM73"/>
    <mergeCell ref="VHN67:VHN73"/>
    <mergeCell ref="VHO67:VHO73"/>
    <mergeCell ref="VHP67:VHP73"/>
    <mergeCell ref="VJY67:VJY73"/>
    <mergeCell ref="VJZ67:VJZ73"/>
    <mergeCell ref="VKA67:VKA73"/>
    <mergeCell ref="VKB67:VKB73"/>
    <mergeCell ref="VKC67:VKC73"/>
    <mergeCell ref="VKD67:VKD73"/>
    <mergeCell ref="VJS67:VJS73"/>
    <mergeCell ref="VJT67:VJT73"/>
    <mergeCell ref="VJU67:VJU73"/>
    <mergeCell ref="VJV67:VJV73"/>
    <mergeCell ref="VJW67:VJW73"/>
    <mergeCell ref="VJX67:VJX73"/>
    <mergeCell ref="VJM67:VJM73"/>
    <mergeCell ref="VJN67:VJN73"/>
    <mergeCell ref="VJO67:VJO73"/>
    <mergeCell ref="VJP67:VJP73"/>
    <mergeCell ref="VJQ67:VJQ73"/>
    <mergeCell ref="VJR67:VJR73"/>
    <mergeCell ref="VJG67:VJG73"/>
    <mergeCell ref="VJH67:VJH73"/>
    <mergeCell ref="VJI67:VJI73"/>
    <mergeCell ref="VJJ67:VJJ73"/>
    <mergeCell ref="VJK67:VJK73"/>
    <mergeCell ref="VJL67:VJL73"/>
    <mergeCell ref="VJA67:VJA73"/>
    <mergeCell ref="VJB67:VJB73"/>
    <mergeCell ref="VJC67:VJC73"/>
    <mergeCell ref="VJD67:VJD73"/>
    <mergeCell ref="VJE67:VJE73"/>
    <mergeCell ref="VJF67:VJF73"/>
    <mergeCell ref="VIU67:VIU73"/>
    <mergeCell ref="VIV67:VIV73"/>
    <mergeCell ref="VIW67:VIW73"/>
    <mergeCell ref="VIX67:VIX73"/>
    <mergeCell ref="VIY67:VIY73"/>
    <mergeCell ref="VIZ67:VIZ73"/>
    <mergeCell ref="VLI67:VLI73"/>
    <mergeCell ref="VLJ67:VLJ73"/>
    <mergeCell ref="VLK67:VLK73"/>
    <mergeCell ref="VLL67:VLL73"/>
    <mergeCell ref="VLM67:VLM73"/>
    <mergeCell ref="VLN67:VLN73"/>
    <mergeCell ref="VLC67:VLC73"/>
    <mergeCell ref="VLD67:VLD73"/>
    <mergeCell ref="VLE67:VLE73"/>
    <mergeCell ref="VLF67:VLF73"/>
    <mergeCell ref="VLG67:VLG73"/>
    <mergeCell ref="VLH67:VLH73"/>
    <mergeCell ref="VKW67:VKW73"/>
    <mergeCell ref="VKX67:VKX73"/>
    <mergeCell ref="VKY67:VKY73"/>
    <mergeCell ref="VKZ67:VKZ73"/>
    <mergeCell ref="VLA67:VLA73"/>
    <mergeCell ref="VLB67:VLB73"/>
    <mergeCell ref="VKQ67:VKQ73"/>
    <mergeCell ref="VKR67:VKR73"/>
    <mergeCell ref="VKS67:VKS73"/>
    <mergeCell ref="VKT67:VKT73"/>
    <mergeCell ref="VKU67:VKU73"/>
    <mergeCell ref="VKV67:VKV73"/>
    <mergeCell ref="VKK67:VKK73"/>
    <mergeCell ref="VKL67:VKL73"/>
    <mergeCell ref="VKM67:VKM73"/>
    <mergeCell ref="VKN67:VKN73"/>
    <mergeCell ref="VKO67:VKO73"/>
    <mergeCell ref="VKP67:VKP73"/>
    <mergeCell ref="VKE67:VKE73"/>
    <mergeCell ref="VKF67:VKF73"/>
    <mergeCell ref="VKG67:VKG73"/>
    <mergeCell ref="VKH67:VKH73"/>
    <mergeCell ref="VKI67:VKI73"/>
    <mergeCell ref="VKJ67:VKJ73"/>
    <mergeCell ref="VMS67:VMS73"/>
    <mergeCell ref="VMT67:VMT73"/>
    <mergeCell ref="VMU67:VMU73"/>
    <mergeCell ref="VMV67:VMV73"/>
    <mergeCell ref="VMW67:VMW73"/>
    <mergeCell ref="VMX67:VMX73"/>
    <mergeCell ref="VMM67:VMM73"/>
    <mergeCell ref="VMN67:VMN73"/>
    <mergeCell ref="VMO67:VMO73"/>
    <mergeCell ref="VMP67:VMP73"/>
    <mergeCell ref="VMQ67:VMQ73"/>
    <mergeCell ref="VMR67:VMR73"/>
    <mergeCell ref="VMG67:VMG73"/>
    <mergeCell ref="VMH67:VMH73"/>
    <mergeCell ref="VMI67:VMI73"/>
    <mergeCell ref="VMJ67:VMJ73"/>
    <mergeCell ref="VMK67:VMK73"/>
    <mergeCell ref="VML67:VML73"/>
    <mergeCell ref="VMA67:VMA73"/>
    <mergeCell ref="VMB67:VMB73"/>
    <mergeCell ref="VMC67:VMC73"/>
    <mergeCell ref="VMD67:VMD73"/>
    <mergeCell ref="VME67:VME73"/>
    <mergeCell ref="VMF67:VMF73"/>
    <mergeCell ref="VLU67:VLU73"/>
    <mergeCell ref="VLV67:VLV73"/>
    <mergeCell ref="VLW67:VLW73"/>
    <mergeCell ref="VLX67:VLX73"/>
    <mergeCell ref="VLY67:VLY73"/>
    <mergeCell ref="VLZ67:VLZ73"/>
    <mergeCell ref="VLO67:VLO73"/>
    <mergeCell ref="VLP67:VLP73"/>
    <mergeCell ref="VLQ67:VLQ73"/>
    <mergeCell ref="VLR67:VLR73"/>
    <mergeCell ref="VLS67:VLS73"/>
    <mergeCell ref="VLT67:VLT73"/>
    <mergeCell ref="VOC67:VOC73"/>
    <mergeCell ref="VOD67:VOD73"/>
    <mergeCell ref="VOE67:VOE73"/>
    <mergeCell ref="VOF67:VOF73"/>
    <mergeCell ref="VOG67:VOG73"/>
    <mergeCell ref="VOH67:VOH73"/>
    <mergeCell ref="VNW67:VNW73"/>
    <mergeCell ref="VNX67:VNX73"/>
    <mergeCell ref="VNY67:VNY73"/>
    <mergeCell ref="VNZ67:VNZ73"/>
    <mergeCell ref="VOA67:VOA73"/>
    <mergeCell ref="VOB67:VOB73"/>
    <mergeCell ref="VNQ67:VNQ73"/>
    <mergeCell ref="VNR67:VNR73"/>
    <mergeCell ref="VNS67:VNS73"/>
    <mergeCell ref="VNT67:VNT73"/>
    <mergeCell ref="VNU67:VNU73"/>
    <mergeCell ref="VNV67:VNV73"/>
    <mergeCell ref="VNK67:VNK73"/>
    <mergeCell ref="VNL67:VNL73"/>
    <mergeCell ref="VNM67:VNM73"/>
    <mergeCell ref="VNN67:VNN73"/>
    <mergeCell ref="VNO67:VNO73"/>
    <mergeCell ref="VNP67:VNP73"/>
    <mergeCell ref="VNE67:VNE73"/>
    <mergeCell ref="VNF67:VNF73"/>
    <mergeCell ref="VNG67:VNG73"/>
    <mergeCell ref="VNH67:VNH73"/>
    <mergeCell ref="VNI67:VNI73"/>
    <mergeCell ref="VNJ67:VNJ73"/>
    <mergeCell ref="VMY67:VMY73"/>
    <mergeCell ref="VMZ67:VMZ73"/>
    <mergeCell ref="VNA67:VNA73"/>
    <mergeCell ref="VNB67:VNB73"/>
    <mergeCell ref="VNC67:VNC73"/>
    <mergeCell ref="VND67:VND73"/>
    <mergeCell ref="VPM67:VPM73"/>
    <mergeCell ref="VPN67:VPN73"/>
    <mergeCell ref="VPO67:VPO73"/>
    <mergeCell ref="VPP67:VPP73"/>
    <mergeCell ref="VPQ67:VPQ73"/>
    <mergeCell ref="VPR67:VPR73"/>
    <mergeCell ref="VPG67:VPG73"/>
    <mergeCell ref="VPH67:VPH73"/>
    <mergeCell ref="VPI67:VPI73"/>
    <mergeCell ref="VPJ67:VPJ73"/>
    <mergeCell ref="VPK67:VPK73"/>
    <mergeCell ref="VPL67:VPL73"/>
    <mergeCell ref="VPA67:VPA73"/>
    <mergeCell ref="VPB67:VPB73"/>
    <mergeCell ref="VPC67:VPC73"/>
    <mergeCell ref="VPD67:VPD73"/>
    <mergeCell ref="VPE67:VPE73"/>
    <mergeCell ref="VPF67:VPF73"/>
    <mergeCell ref="VOU67:VOU73"/>
    <mergeCell ref="VOV67:VOV73"/>
    <mergeCell ref="VOW67:VOW73"/>
    <mergeCell ref="VOX67:VOX73"/>
    <mergeCell ref="VOY67:VOY73"/>
    <mergeCell ref="VOZ67:VOZ73"/>
    <mergeCell ref="VOO67:VOO73"/>
    <mergeCell ref="VOP67:VOP73"/>
    <mergeCell ref="VOQ67:VOQ73"/>
    <mergeCell ref="VOR67:VOR73"/>
    <mergeCell ref="VOS67:VOS73"/>
    <mergeCell ref="VOT67:VOT73"/>
    <mergeCell ref="VOI67:VOI73"/>
    <mergeCell ref="VOJ67:VOJ73"/>
    <mergeCell ref="VOK67:VOK73"/>
    <mergeCell ref="VOL67:VOL73"/>
    <mergeCell ref="VOM67:VOM73"/>
    <mergeCell ref="VON67:VON73"/>
    <mergeCell ref="VQW67:VQW73"/>
    <mergeCell ref="VQX67:VQX73"/>
    <mergeCell ref="VQY67:VQY73"/>
    <mergeCell ref="VQZ67:VQZ73"/>
    <mergeCell ref="VRA67:VRA73"/>
    <mergeCell ref="VRB67:VRB73"/>
    <mergeCell ref="VQQ67:VQQ73"/>
    <mergeCell ref="VQR67:VQR73"/>
    <mergeCell ref="VQS67:VQS73"/>
    <mergeCell ref="VQT67:VQT73"/>
    <mergeCell ref="VQU67:VQU73"/>
    <mergeCell ref="VQV67:VQV73"/>
    <mergeCell ref="VQK67:VQK73"/>
    <mergeCell ref="VQL67:VQL73"/>
    <mergeCell ref="VQM67:VQM73"/>
    <mergeCell ref="VQN67:VQN73"/>
    <mergeCell ref="VQO67:VQO73"/>
    <mergeCell ref="VQP67:VQP73"/>
    <mergeCell ref="VQE67:VQE73"/>
    <mergeCell ref="VQF67:VQF73"/>
    <mergeCell ref="VQG67:VQG73"/>
    <mergeCell ref="VQH67:VQH73"/>
    <mergeCell ref="VQI67:VQI73"/>
    <mergeCell ref="VQJ67:VQJ73"/>
    <mergeCell ref="VPY67:VPY73"/>
    <mergeCell ref="VPZ67:VPZ73"/>
    <mergeCell ref="VQA67:VQA73"/>
    <mergeCell ref="VQB67:VQB73"/>
    <mergeCell ref="VQC67:VQC73"/>
    <mergeCell ref="VQD67:VQD73"/>
    <mergeCell ref="VPS67:VPS73"/>
    <mergeCell ref="VPT67:VPT73"/>
    <mergeCell ref="VPU67:VPU73"/>
    <mergeCell ref="VPV67:VPV73"/>
    <mergeCell ref="VPW67:VPW73"/>
    <mergeCell ref="VPX67:VPX73"/>
    <mergeCell ref="VSG67:VSG73"/>
    <mergeCell ref="VSH67:VSH73"/>
    <mergeCell ref="VSI67:VSI73"/>
    <mergeCell ref="VSJ67:VSJ73"/>
    <mergeCell ref="VSK67:VSK73"/>
    <mergeCell ref="VSL67:VSL73"/>
    <mergeCell ref="VSA67:VSA73"/>
    <mergeCell ref="VSB67:VSB73"/>
    <mergeCell ref="VSC67:VSC73"/>
    <mergeCell ref="VSD67:VSD73"/>
    <mergeCell ref="VSE67:VSE73"/>
    <mergeCell ref="VSF67:VSF73"/>
    <mergeCell ref="VRU67:VRU73"/>
    <mergeCell ref="VRV67:VRV73"/>
    <mergeCell ref="VRW67:VRW73"/>
    <mergeCell ref="VRX67:VRX73"/>
    <mergeCell ref="VRY67:VRY73"/>
    <mergeCell ref="VRZ67:VRZ73"/>
    <mergeCell ref="VRO67:VRO73"/>
    <mergeCell ref="VRP67:VRP73"/>
    <mergeCell ref="VRQ67:VRQ73"/>
    <mergeCell ref="VRR67:VRR73"/>
    <mergeCell ref="VRS67:VRS73"/>
    <mergeCell ref="VRT67:VRT73"/>
    <mergeCell ref="VRI67:VRI73"/>
    <mergeCell ref="VRJ67:VRJ73"/>
    <mergeCell ref="VRK67:VRK73"/>
    <mergeCell ref="VRL67:VRL73"/>
    <mergeCell ref="VRM67:VRM73"/>
    <mergeCell ref="VRN67:VRN73"/>
    <mergeCell ref="VRC67:VRC73"/>
    <mergeCell ref="VRD67:VRD73"/>
    <mergeCell ref="VRE67:VRE73"/>
    <mergeCell ref="VRF67:VRF73"/>
    <mergeCell ref="VRG67:VRG73"/>
    <mergeCell ref="VRH67:VRH73"/>
    <mergeCell ref="VTQ67:VTQ73"/>
    <mergeCell ref="VTR67:VTR73"/>
    <mergeCell ref="VTS67:VTS73"/>
    <mergeCell ref="VTT67:VTT73"/>
    <mergeCell ref="VTU67:VTU73"/>
    <mergeCell ref="VTV67:VTV73"/>
    <mergeCell ref="VTK67:VTK73"/>
    <mergeCell ref="VTL67:VTL73"/>
    <mergeCell ref="VTM67:VTM73"/>
    <mergeCell ref="VTN67:VTN73"/>
    <mergeCell ref="VTO67:VTO73"/>
    <mergeCell ref="VTP67:VTP73"/>
    <mergeCell ref="VTE67:VTE73"/>
    <mergeCell ref="VTF67:VTF73"/>
    <mergeCell ref="VTG67:VTG73"/>
    <mergeCell ref="VTH67:VTH73"/>
    <mergeCell ref="VTI67:VTI73"/>
    <mergeCell ref="VTJ67:VTJ73"/>
    <mergeCell ref="VSY67:VSY73"/>
    <mergeCell ref="VSZ67:VSZ73"/>
    <mergeCell ref="VTA67:VTA73"/>
    <mergeCell ref="VTB67:VTB73"/>
    <mergeCell ref="VTC67:VTC73"/>
    <mergeCell ref="VTD67:VTD73"/>
    <mergeCell ref="VSS67:VSS73"/>
    <mergeCell ref="VST67:VST73"/>
    <mergeCell ref="VSU67:VSU73"/>
    <mergeCell ref="VSV67:VSV73"/>
    <mergeCell ref="VSW67:VSW73"/>
    <mergeCell ref="VSX67:VSX73"/>
    <mergeCell ref="VSM67:VSM73"/>
    <mergeCell ref="VSN67:VSN73"/>
    <mergeCell ref="VSO67:VSO73"/>
    <mergeCell ref="VSP67:VSP73"/>
    <mergeCell ref="VSQ67:VSQ73"/>
    <mergeCell ref="VSR67:VSR73"/>
    <mergeCell ref="VVA67:VVA73"/>
    <mergeCell ref="VVB67:VVB73"/>
    <mergeCell ref="VVC67:VVC73"/>
    <mergeCell ref="VVD67:VVD73"/>
    <mergeCell ref="VVE67:VVE73"/>
    <mergeCell ref="VVF67:VVF73"/>
    <mergeCell ref="VUU67:VUU73"/>
    <mergeCell ref="VUV67:VUV73"/>
    <mergeCell ref="VUW67:VUW73"/>
    <mergeCell ref="VUX67:VUX73"/>
    <mergeCell ref="VUY67:VUY73"/>
    <mergeCell ref="VUZ67:VUZ73"/>
    <mergeCell ref="VUO67:VUO73"/>
    <mergeCell ref="VUP67:VUP73"/>
    <mergeCell ref="VUQ67:VUQ73"/>
    <mergeCell ref="VUR67:VUR73"/>
    <mergeCell ref="VUS67:VUS73"/>
    <mergeCell ref="VUT67:VUT73"/>
    <mergeCell ref="VUI67:VUI73"/>
    <mergeCell ref="VUJ67:VUJ73"/>
    <mergeCell ref="VUK67:VUK73"/>
    <mergeCell ref="VUL67:VUL73"/>
    <mergeCell ref="VUM67:VUM73"/>
    <mergeCell ref="VUN67:VUN73"/>
    <mergeCell ref="VUC67:VUC73"/>
    <mergeCell ref="VUD67:VUD73"/>
    <mergeCell ref="VUE67:VUE73"/>
    <mergeCell ref="VUF67:VUF73"/>
    <mergeCell ref="VUG67:VUG73"/>
    <mergeCell ref="VUH67:VUH73"/>
    <mergeCell ref="VTW67:VTW73"/>
    <mergeCell ref="VTX67:VTX73"/>
    <mergeCell ref="VTY67:VTY73"/>
    <mergeCell ref="VTZ67:VTZ73"/>
    <mergeCell ref="VUA67:VUA73"/>
    <mergeCell ref="VUB67:VUB73"/>
    <mergeCell ref="VWK67:VWK73"/>
    <mergeCell ref="VWL67:VWL73"/>
    <mergeCell ref="VWM67:VWM73"/>
    <mergeCell ref="VWN67:VWN73"/>
    <mergeCell ref="VWO67:VWO73"/>
    <mergeCell ref="VWP67:VWP73"/>
    <mergeCell ref="VWE67:VWE73"/>
    <mergeCell ref="VWF67:VWF73"/>
    <mergeCell ref="VWG67:VWG73"/>
    <mergeCell ref="VWH67:VWH73"/>
    <mergeCell ref="VWI67:VWI73"/>
    <mergeCell ref="VWJ67:VWJ73"/>
    <mergeCell ref="VVY67:VVY73"/>
    <mergeCell ref="VVZ67:VVZ73"/>
    <mergeCell ref="VWA67:VWA73"/>
    <mergeCell ref="VWB67:VWB73"/>
    <mergeCell ref="VWC67:VWC73"/>
    <mergeCell ref="VWD67:VWD73"/>
    <mergeCell ref="VVS67:VVS73"/>
    <mergeCell ref="VVT67:VVT73"/>
    <mergeCell ref="VVU67:VVU73"/>
    <mergeCell ref="VVV67:VVV73"/>
    <mergeCell ref="VVW67:VVW73"/>
    <mergeCell ref="VVX67:VVX73"/>
    <mergeCell ref="VVM67:VVM73"/>
    <mergeCell ref="VVN67:VVN73"/>
    <mergeCell ref="VVO67:VVO73"/>
    <mergeCell ref="VVP67:VVP73"/>
    <mergeCell ref="VVQ67:VVQ73"/>
    <mergeCell ref="VVR67:VVR73"/>
    <mergeCell ref="VVG67:VVG73"/>
    <mergeCell ref="VVH67:VVH73"/>
    <mergeCell ref="VVI67:VVI73"/>
    <mergeCell ref="VVJ67:VVJ73"/>
    <mergeCell ref="VVK67:VVK73"/>
    <mergeCell ref="VVL67:VVL73"/>
    <mergeCell ref="VXU67:VXU73"/>
    <mergeCell ref="VXV67:VXV73"/>
    <mergeCell ref="VXW67:VXW73"/>
    <mergeCell ref="VXX67:VXX73"/>
    <mergeCell ref="VXY67:VXY73"/>
    <mergeCell ref="VXZ67:VXZ73"/>
    <mergeCell ref="VXO67:VXO73"/>
    <mergeCell ref="VXP67:VXP73"/>
    <mergeCell ref="VXQ67:VXQ73"/>
    <mergeCell ref="VXR67:VXR73"/>
    <mergeCell ref="VXS67:VXS73"/>
    <mergeCell ref="VXT67:VXT73"/>
    <mergeCell ref="VXI67:VXI73"/>
    <mergeCell ref="VXJ67:VXJ73"/>
    <mergeCell ref="VXK67:VXK73"/>
    <mergeCell ref="VXL67:VXL73"/>
    <mergeCell ref="VXM67:VXM73"/>
    <mergeCell ref="VXN67:VXN73"/>
    <mergeCell ref="VXC67:VXC73"/>
    <mergeCell ref="VXD67:VXD73"/>
    <mergeCell ref="VXE67:VXE73"/>
    <mergeCell ref="VXF67:VXF73"/>
    <mergeCell ref="VXG67:VXG73"/>
    <mergeCell ref="VXH67:VXH73"/>
    <mergeCell ref="VWW67:VWW73"/>
    <mergeCell ref="VWX67:VWX73"/>
    <mergeCell ref="VWY67:VWY73"/>
    <mergeCell ref="VWZ67:VWZ73"/>
    <mergeCell ref="VXA67:VXA73"/>
    <mergeCell ref="VXB67:VXB73"/>
    <mergeCell ref="VWQ67:VWQ73"/>
    <mergeCell ref="VWR67:VWR73"/>
    <mergeCell ref="VWS67:VWS73"/>
    <mergeCell ref="VWT67:VWT73"/>
    <mergeCell ref="VWU67:VWU73"/>
    <mergeCell ref="VWV67:VWV73"/>
    <mergeCell ref="VZE67:VZE73"/>
    <mergeCell ref="VZF67:VZF73"/>
    <mergeCell ref="VZG67:VZG73"/>
    <mergeCell ref="VZH67:VZH73"/>
    <mergeCell ref="VZI67:VZI73"/>
    <mergeCell ref="VZJ67:VZJ73"/>
    <mergeCell ref="VYY67:VYY73"/>
    <mergeCell ref="VYZ67:VYZ73"/>
    <mergeCell ref="VZA67:VZA73"/>
    <mergeCell ref="VZB67:VZB73"/>
    <mergeCell ref="VZC67:VZC73"/>
    <mergeCell ref="VZD67:VZD73"/>
    <mergeCell ref="VYS67:VYS73"/>
    <mergeCell ref="VYT67:VYT73"/>
    <mergeCell ref="VYU67:VYU73"/>
    <mergeCell ref="VYV67:VYV73"/>
    <mergeCell ref="VYW67:VYW73"/>
    <mergeCell ref="VYX67:VYX73"/>
    <mergeCell ref="VYM67:VYM73"/>
    <mergeCell ref="VYN67:VYN73"/>
    <mergeCell ref="VYO67:VYO73"/>
    <mergeCell ref="VYP67:VYP73"/>
    <mergeCell ref="VYQ67:VYQ73"/>
    <mergeCell ref="VYR67:VYR73"/>
    <mergeCell ref="VYG67:VYG73"/>
    <mergeCell ref="VYH67:VYH73"/>
    <mergeCell ref="VYI67:VYI73"/>
    <mergeCell ref="VYJ67:VYJ73"/>
    <mergeCell ref="VYK67:VYK73"/>
    <mergeCell ref="VYL67:VYL73"/>
    <mergeCell ref="VYA67:VYA73"/>
    <mergeCell ref="VYB67:VYB73"/>
    <mergeCell ref="VYC67:VYC73"/>
    <mergeCell ref="VYD67:VYD73"/>
    <mergeCell ref="VYE67:VYE73"/>
    <mergeCell ref="VYF67:VYF73"/>
    <mergeCell ref="WAO67:WAO73"/>
    <mergeCell ref="WAP67:WAP73"/>
    <mergeCell ref="WAQ67:WAQ73"/>
    <mergeCell ref="WAR67:WAR73"/>
    <mergeCell ref="WAS67:WAS73"/>
    <mergeCell ref="WAT67:WAT73"/>
    <mergeCell ref="WAI67:WAI73"/>
    <mergeCell ref="WAJ67:WAJ73"/>
    <mergeCell ref="WAK67:WAK73"/>
    <mergeCell ref="WAL67:WAL73"/>
    <mergeCell ref="WAM67:WAM73"/>
    <mergeCell ref="WAN67:WAN73"/>
    <mergeCell ref="WAC67:WAC73"/>
    <mergeCell ref="WAD67:WAD73"/>
    <mergeCell ref="WAE67:WAE73"/>
    <mergeCell ref="WAF67:WAF73"/>
    <mergeCell ref="WAG67:WAG73"/>
    <mergeCell ref="WAH67:WAH73"/>
    <mergeCell ref="VZW67:VZW73"/>
    <mergeCell ref="VZX67:VZX73"/>
    <mergeCell ref="VZY67:VZY73"/>
    <mergeCell ref="VZZ67:VZZ73"/>
    <mergeCell ref="WAA67:WAA73"/>
    <mergeCell ref="WAB67:WAB73"/>
    <mergeCell ref="VZQ67:VZQ73"/>
    <mergeCell ref="VZR67:VZR73"/>
    <mergeCell ref="VZS67:VZS73"/>
    <mergeCell ref="VZT67:VZT73"/>
    <mergeCell ref="VZU67:VZU73"/>
    <mergeCell ref="VZV67:VZV73"/>
    <mergeCell ref="VZK67:VZK73"/>
    <mergeCell ref="VZL67:VZL73"/>
    <mergeCell ref="VZM67:VZM73"/>
    <mergeCell ref="VZN67:VZN73"/>
    <mergeCell ref="VZO67:VZO73"/>
    <mergeCell ref="VZP67:VZP73"/>
    <mergeCell ref="WBY67:WBY73"/>
    <mergeCell ref="WBZ67:WBZ73"/>
    <mergeCell ref="WCA67:WCA73"/>
    <mergeCell ref="WCB67:WCB73"/>
    <mergeCell ref="WCC67:WCC73"/>
    <mergeCell ref="WCD67:WCD73"/>
    <mergeCell ref="WBS67:WBS73"/>
    <mergeCell ref="WBT67:WBT73"/>
    <mergeCell ref="WBU67:WBU73"/>
    <mergeCell ref="WBV67:WBV73"/>
    <mergeCell ref="WBW67:WBW73"/>
    <mergeCell ref="WBX67:WBX73"/>
    <mergeCell ref="WBM67:WBM73"/>
    <mergeCell ref="WBN67:WBN73"/>
    <mergeCell ref="WBO67:WBO73"/>
    <mergeCell ref="WBP67:WBP73"/>
    <mergeCell ref="WBQ67:WBQ73"/>
    <mergeCell ref="WBR67:WBR73"/>
    <mergeCell ref="WBG67:WBG73"/>
    <mergeCell ref="WBH67:WBH73"/>
    <mergeCell ref="WBI67:WBI73"/>
    <mergeCell ref="WBJ67:WBJ73"/>
    <mergeCell ref="WBK67:WBK73"/>
    <mergeCell ref="WBL67:WBL73"/>
    <mergeCell ref="WBA67:WBA73"/>
    <mergeCell ref="WBB67:WBB73"/>
    <mergeCell ref="WBC67:WBC73"/>
    <mergeCell ref="WBD67:WBD73"/>
    <mergeCell ref="WBE67:WBE73"/>
    <mergeCell ref="WBF67:WBF73"/>
    <mergeCell ref="WAU67:WAU73"/>
    <mergeCell ref="WAV67:WAV73"/>
    <mergeCell ref="WAW67:WAW73"/>
    <mergeCell ref="WAX67:WAX73"/>
    <mergeCell ref="WAY67:WAY73"/>
    <mergeCell ref="WAZ67:WAZ73"/>
    <mergeCell ref="WDI67:WDI73"/>
    <mergeCell ref="WDJ67:WDJ73"/>
    <mergeCell ref="WDK67:WDK73"/>
    <mergeCell ref="WDL67:WDL73"/>
    <mergeCell ref="WDM67:WDM73"/>
    <mergeCell ref="WDN67:WDN73"/>
    <mergeCell ref="WDC67:WDC73"/>
    <mergeCell ref="WDD67:WDD73"/>
    <mergeCell ref="WDE67:WDE73"/>
    <mergeCell ref="WDF67:WDF73"/>
    <mergeCell ref="WDG67:WDG73"/>
    <mergeCell ref="WDH67:WDH73"/>
    <mergeCell ref="WCW67:WCW73"/>
    <mergeCell ref="WCX67:WCX73"/>
    <mergeCell ref="WCY67:WCY73"/>
    <mergeCell ref="WCZ67:WCZ73"/>
    <mergeCell ref="WDA67:WDA73"/>
    <mergeCell ref="WDB67:WDB73"/>
    <mergeCell ref="WCQ67:WCQ73"/>
    <mergeCell ref="WCR67:WCR73"/>
    <mergeCell ref="WCS67:WCS73"/>
    <mergeCell ref="WCT67:WCT73"/>
    <mergeCell ref="WCU67:WCU73"/>
    <mergeCell ref="WCV67:WCV73"/>
    <mergeCell ref="WCK67:WCK73"/>
    <mergeCell ref="WCL67:WCL73"/>
    <mergeCell ref="WCM67:WCM73"/>
    <mergeCell ref="WCN67:WCN73"/>
    <mergeCell ref="WCO67:WCO73"/>
    <mergeCell ref="WCP67:WCP73"/>
    <mergeCell ref="WCE67:WCE73"/>
    <mergeCell ref="WCF67:WCF73"/>
    <mergeCell ref="WCG67:WCG73"/>
    <mergeCell ref="WCH67:WCH73"/>
    <mergeCell ref="WCI67:WCI73"/>
    <mergeCell ref="WCJ67:WCJ73"/>
    <mergeCell ref="WES67:WES73"/>
    <mergeCell ref="WET67:WET73"/>
    <mergeCell ref="WEU67:WEU73"/>
    <mergeCell ref="WEV67:WEV73"/>
    <mergeCell ref="WEW67:WEW73"/>
    <mergeCell ref="WEX67:WEX73"/>
    <mergeCell ref="WEM67:WEM73"/>
    <mergeCell ref="WEN67:WEN73"/>
    <mergeCell ref="WEO67:WEO73"/>
    <mergeCell ref="WEP67:WEP73"/>
    <mergeCell ref="WEQ67:WEQ73"/>
    <mergeCell ref="WER67:WER73"/>
    <mergeCell ref="WEG67:WEG73"/>
    <mergeCell ref="WEH67:WEH73"/>
    <mergeCell ref="WEI67:WEI73"/>
    <mergeCell ref="WEJ67:WEJ73"/>
    <mergeCell ref="WEK67:WEK73"/>
    <mergeCell ref="WEL67:WEL73"/>
    <mergeCell ref="WEA67:WEA73"/>
    <mergeCell ref="WEB67:WEB73"/>
    <mergeCell ref="WEC67:WEC73"/>
    <mergeCell ref="WED67:WED73"/>
    <mergeCell ref="WEE67:WEE73"/>
    <mergeCell ref="WEF67:WEF73"/>
    <mergeCell ref="WDU67:WDU73"/>
    <mergeCell ref="WDV67:WDV73"/>
    <mergeCell ref="WDW67:WDW73"/>
    <mergeCell ref="WDX67:WDX73"/>
    <mergeCell ref="WDY67:WDY73"/>
    <mergeCell ref="WDZ67:WDZ73"/>
    <mergeCell ref="WDO67:WDO73"/>
    <mergeCell ref="WDP67:WDP73"/>
    <mergeCell ref="WDQ67:WDQ73"/>
    <mergeCell ref="WDR67:WDR73"/>
    <mergeCell ref="WDS67:WDS73"/>
    <mergeCell ref="WDT67:WDT73"/>
    <mergeCell ref="WGC67:WGC73"/>
    <mergeCell ref="WGD67:WGD73"/>
    <mergeCell ref="WGE67:WGE73"/>
    <mergeCell ref="WGF67:WGF73"/>
    <mergeCell ref="WGG67:WGG73"/>
    <mergeCell ref="WGH67:WGH73"/>
    <mergeCell ref="WFW67:WFW73"/>
    <mergeCell ref="WFX67:WFX73"/>
    <mergeCell ref="WFY67:WFY73"/>
    <mergeCell ref="WFZ67:WFZ73"/>
    <mergeCell ref="WGA67:WGA73"/>
    <mergeCell ref="WGB67:WGB73"/>
    <mergeCell ref="WFQ67:WFQ73"/>
    <mergeCell ref="WFR67:WFR73"/>
    <mergeCell ref="WFS67:WFS73"/>
    <mergeCell ref="WFT67:WFT73"/>
    <mergeCell ref="WFU67:WFU73"/>
    <mergeCell ref="WFV67:WFV73"/>
    <mergeCell ref="WFK67:WFK73"/>
    <mergeCell ref="WFL67:WFL73"/>
    <mergeCell ref="WFM67:WFM73"/>
    <mergeCell ref="WFN67:WFN73"/>
    <mergeCell ref="WFO67:WFO73"/>
    <mergeCell ref="WFP67:WFP73"/>
    <mergeCell ref="WFE67:WFE73"/>
    <mergeCell ref="WFF67:WFF73"/>
    <mergeCell ref="WFG67:WFG73"/>
    <mergeCell ref="WFH67:WFH73"/>
    <mergeCell ref="WFI67:WFI73"/>
    <mergeCell ref="WFJ67:WFJ73"/>
    <mergeCell ref="WEY67:WEY73"/>
    <mergeCell ref="WEZ67:WEZ73"/>
    <mergeCell ref="WFA67:WFA73"/>
    <mergeCell ref="WFB67:WFB73"/>
    <mergeCell ref="WFC67:WFC73"/>
    <mergeCell ref="WFD67:WFD73"/>
    <mergeCell ref="WHM67:WHM73"/>
    <mergeCell ref="WHN67:WHN73"/>
    <mergeCell ref="WHO67:WHO73"/>
    <mergeCell ref="WHP67:WHP73"/>
    <mergeCell ref="WHQ67:WHQ73"/>
    <mergeCell ref="WHR67:WHR73"/>
    <mergeCell ref="WHG67:WHG73"/>
    <mergeCell ref="WHH67:WHH73"/>
    <mergeCell ref="WHI67:WHI73"/>
    <mergeCell ref="WHJ67:WHJ73"/>
    <mergeCell ref="WHK67:WHK73"/>
    <mergeCell ref="WHL67:WHL73"/>
    <mergeCell ref="WHA67:WHA73"/>
    <mergeCell ref="WHB67:WHB73"/>
    <mergeCell ref="WHC67:WHC73"/>
    <mergeCell ref="WHD67:WHD73"/>
    <mergeCell ref="WHE67:WHE73"/>
    <mergeCell ref="WHF67:WHF73"/>
    <mergeCell ref="WGU67:WGU73"/>
    <mergeCell ref="WGV67:WGV73"/>
    <mergeCell ref="WGW67:WGW73"/>
    <mergeCell ref="WGX67:WGX73"/>
    <mergeCell ref="WGY67:WGY73"/>
    <mergeCell ref="WGZ67:WGZ73"/>
    <mergeCell ref="WGO67:WGO73"/>
    <mergeCell ref="WGP67:WGP73"/>
    <mergeCell ref="WGQ67:WGQ73"/>
    <mergeCell ref="WGR67:WGR73"/>
    <mergeCell ref="WGS67:WGS73"/>
    <mergeCell ref="WGT67:WGT73"/>
    <mergeCell ref="WGI67:WGI73"/>
    <mergeCell ref="WGJ67:WGJ73"/>
    <mergeCell ref="WGK67:WGK73"/>
    <mergeCell ref="WGL67:WGL73"/>
    <mergeCell ref="WGM67:WGM73"/>
    <mergeCell ref="WGN67:WGN73"/>
    <mergeCell ref="WIW67:WIW73"/>
    <mergeCell ref="WIX67:WIX73"/>
    <mergeCell ref="WIY67:WIY73"/>
    <mergeCell ref="WIZ67:WIZ73"/>
    <mergeCell ref="WJA67:WJA73"/>
    <mergeCell ref="WJB67:WJB73"/>
    <mergeCell ref="WIQ67:WIQ73"/>
    <mergeCell ref="WIR67:WIR73"/>
    <mergeCell ref="WIS67:WIS73"/>
    <mergeCell ref="WIT67:WIT73"/>
    <mergeCell ref="WIU67:WIU73"/>
    <mergeCell ref="WIV67:WIV73"/>
    <mergeCell ref="WIK67:WIK73"/>
    <mergeCell ref="WIL67:WIL73"/>
    <mergeCell ref="WIM67:WIM73"/>
    <mergeCell ref="WIN67:WIN73"/>
    <mergeCell ref="WIO67:WIO73"/>
    <mergeCell ref="WIP67:WIP73"/>
    <mergeCell ref="WIE67:WIE73"/>
    <mergeCell ref="WIF67:WIF73"/>
    <mergeCell ref="WIG67:WIG73"/>
    <mergeCell ref="WIH67:WIH73"/>
    <mergeCell ref="WII67:WII73"/>
    <mergeCell ref="WIJ67:WIJ73"/>
    <mergeCell ref="WHY67:WHY73"/>
    <mergeCell ref="WHZ67:WHZ73"/>
    <mergeCell ref="WIA67:WIA73"/>
    <mergeCell ref="WIB67:WIB73"/>
    <mergeCell ref="WIC67:WIC73"/>
    <mergeCell ref="WID67:WID73"/>
    <mergeCell ref="WHS67:WHS73"/>
    <mergeCell ref="WHT67:WHT73"/>
    <mergeCell ref="WHU67:WHU73"/>
    <mergeCell ref="WHV67:WHV73"/>
    <mergeCell ref="WHW67:WHW73"/>
    <mergeCell ref="WHX67:WHX73"/>
    <mergeCell ref="WKG67:WKG73"/>
    <mergeCell ref="WKH67:WKH73"/>
    <mergeCell ref="WKI67:WKI73"/>
    <mergeCell ref="WKJ67:WKJ73"/>
    <mergeCell ref="WKK67:WKK73"/>
    <mergeCell ref="WKL67:WKL73"/>
    <mergeCell ref="WKA67:WKA73"/>
    <mergeCell ref="WKB67:WKB73"/>
    <mergeCell ref="WKC67:WKC73"/>
    <mergeCell ref="WKD67:WKD73"/>
    <mergeCell ref="WKE67:WKE73"/>
    <mergeCell ref="WKF67:WKF73"/>
    <mergeCell ref="WJU67:WJU73"/>
    <mergeCell ref="WJV67:WJV73"/>
    <mergeCell ref="WJW67:WJW73"/>
    <mergeCell ref="WJX67:WJX73"/>
    <mergeCell ref="WJY67:WJY73"/>
    <mergeCell ref="WJZ67:WJZ73"/>
    <mergeCell ref="WJO67:WJO73"/>
    <mergeCell ref="WJP67:WJP73"/>
    <mergeCell ref="WJQ67:WJQ73"/>
    <mergeCell ref="WJR67:WJR73"/>
    <mergeCell ref="WJS67:WJS73"/>
    <mergeCell ref="WJT67:WJT73"/>
    <mergeCell ref="WJI67:WJI73"/>
    <mergeCell ref="WJJ67:WJJ73"/>
    <mergeCell ref="WJK67:WJK73"/>
    <mergeCell ref="WJL67:WJL73"/>
    <mergeCell ref="WJM67:WJM73"/>
    <mergeCell ref="WJN67:WJN73"/>
    <mergeCell ref="WJC67:WJC73"/>
    <mergeCell ref="WJD67:WJD73"/>
    <mergeCell ref="WJE67:WJE73"/>
    <mergeCell ref="WJF67:WJF73"/>
    <mergeCell ref="WJG67:WJG73"/>
    <mergeCell ref="WJH67:WJH73"/>
    <mergeCell ref="WLQ67:WLQ73"/>
    <mergeCell ref="WLR67:WLR73"/>
    <mergeCell ref="WLS67:WLS73"/>
    <mergeCell ref="WLT67:WLT73"/>
    <mergeCell ref="WLU67:WLU73"/>
    <mergeCell ref="WLV67:WLV73"/>
    <mergeCell ref="WLK67:WLK73"/>
    <mergeCell ref="WLL67:WLL73"/>
    <mergeCell ref="WLM67:WLM73"/>
    <mergeCell ref="WLN67:WLN73"/>
    <mergeCell ref="WLO67:WLO73"/>
    <mergeCell ref="WLP67:WLP73"/>
    <mergeCell ref="WLE67:WLE73"/>
    <mergeCell ref="WLF67:WLF73"/>
    <mergeCell ref="WLG67:WLG73"/>
    <mergeCell ref="WLH67:WLH73"/>
    <mergeCell ref="WLI67:WLI73"/>
    <mergeCell ref="WLJ67:WLJ73"/>
    <mergeCell ref="WKY67:WKY73"/>
    <mergeCell ref="WKZ67:WKZ73"/>
    <mergeCell ref="WLA67:WLA73"/>
    <mergeCell ref="WLB67:WLB73"/>
    <mergeCell ref="WLC67:WLC73"/>
    <mergeCell ref="WLD67:WLD73"/>
    <mergeCell ref="WKS67:WKS73"/>
    <mergeCell ref="WKT67:WKT73"/>
    <mergeCell ref="WKU67:WKU73"/>
    <mergeCell ref="WKV67:WKV73"/>
    <mergeCell ref="WKW67:WKW73"/>
    <mergeCell ref="WKX67:WKX73"/>
    <mergeCell ref="WKM67:WKM73"/>
    <mergeCell ref="WKN67:WKN73"/>
    <mergeCell ref="WKO67:WKO73"/>
    <mergeCell ref="WKP67:WKP73"/>
    <mergeCell ref="WKQ67:WKQ73"/>
    <mergeCell ref="WKR67:WKR73"/>
    <mergeCell ref="WNA67:WNA73"/>
    <mergeCell ref="WNB67:WNB73"/>
    <mergeCell ref="WNC67:WNC73"/>
    <mergeCell ref="WND67:WND73"/>
    <mergeCell ref="WNE67:WNE73"/>
    <mergeCell ref="WNF67:WNF73"/>
    <mergeCell ref="WMU67:WMU73"/>
    <mergeCell ref="WMV67:WMV73"/>
    <mergeCell ref="WMW67:WMW73"/>
    <mergeCell ref="WMX67:WMX73"/>
    <mergeCell ref="WMY67:WMY73"/>
    <mergeCell ref="WMZ67:WMZ73"/>
    <mergeCell ref="WMO67:WMO73"/>
    <mergeCell ref="WMP67:WMP73"/>
    <mergeCell ref="WMQ67:WMQ73"/>
    <mergeCell ref="WMR67:WMR73"/>
    <mergeCell ref="WMS67:WMS73"/>
    <mergeCell ref="WMT67:WMT73"/>
    <mergeCell ref="WMI67:WMI73"/>
    <mergeCell ref="WMJ67:WMJ73"/>
    <mergeCell ref="WMK67:WMK73"/>
    <mergeCell ref="WML67:WML73"/>
    <mergeCell ref="WMM67:WMM73"/>
    <mergeCell ref="WMN67:WMN73"/>
    <mergeCell ref="WMC67:WMC73"/>
    <mergeCell ref="WMD67:WMD73"/>
    <mergeCell ref="WME67:WME73"/>
    <mergeCell ref="WMF67:WMF73"/>
    <mergeCell ref="WMG67:WMG73"/>
    <mergeCell ref="WMH67:WMH73"/>
    <mergeCell ref="WLW67:WLW73"/>
    <mergeCell ref="WLX67:WLX73"/>
    <mergeCell ref="WLY67:WLY73"/>
    <mergeCell ref="WLZ67:WLZ73"/>
    <mergeCell ref="WMA67:WMA73"/>
    <mergeCell ref="WMB67:WMB73"/>
    <mergeCell ref="WOK67:WOK73"/>
    <mergeCell ref="WOL67:WOL73"/>
    <mergeCell ref="WOM67:WOM73"/>
    <mergeCell ref="WON67:WON73"/>
    <mergeCell ref="WOO67:WOO73"/>
    <mergeCell ref="WOP67:WOP73"/>
    <mergeCell ref="WOE67:WOE73"/>
    <mergeCell ref="WOF67:WOF73"/>
    <mergeCell ref="WOG67:WOG73"/>
    <mergeCell ref="WOH67:WOH73"/>
    <mergeCell ref="WOI67:WOI73"/>
    <mergeCell ref="WOJ67:WOJ73"/>
    <mergeCell ref="WNY67:WNY73"/>
    <mergeCell ref="WNZ67:WNZ73"/>
    <mergeCell ref="WOA67:WOA73"/>
    <mergeCell ref="WOB67:WOB73"/>
    <mergeCell ref="WOC67:WOC73"/>
    <mergeCell ref="WOD67:WOD73"/>
    <mergeCell ref="WNS67:WNS73"/>
    <mergeCell ref="WNT67:WNT73"/>
    <mergeCell ref="WNU67:WNU73"/>
    <mergeCell ref="WNV67:WNV73"/>
    <mergeCell ref="WNW67:WNW73"/>
    <mergeCell ref="WNX67:WNX73"/>
    <mergeCell ref="WNM67:WNM73"/>
    <mergeCell ref="WNN67:WNN73"/>
    <mergeCell ref="WNO67:WNO73"/>
    <mergeCell ref="WNP67:WNP73"/>
    <mergeCell ref="WNQ67:WNQ73"/>
    <mergeCell ref="WNR67:WNR73"/>
    <mergeCell ref="WNG67:WNG73"/>
    <mergeCell ref="WNH67:WNH73"/>
    <mergeCell ref="WNI67:WNI73"/>
    <mergeCell ref="WNJ67:WNJ73"/>
    <mergeCell ref="WNK67:WNK73"/>
    <mergeCell ref="WNL67:WNL73"/>
    <mergeCell ref="WPU67:WPU73"/>
    <mergeCell ref="WPV67:WPV73"/>
    <mergeCell ref="WPW67:WPW73"/>
    <mergeCell ref="WPX67:WPX73"/>
    <mergeCell ref="WPY67:WPY73"/>
    <mergeCell ref="WPZ67:WPZ73"/>
    <mergeCell ref="WPO67:WPO73"/>
    <mergeCell ref="WPP67:WPP73"/>
    <mergeCell ref="WPQ67:WPQ73"/>
    <mergeCell ref="WPR67:WPR73"/>
    <mergeCell ref="WPS67:WPS73"/>
    <mergeCell ref="WPT67:WPT73"/>
    <mergeCell ref="WPI67:WPI73"/>
    <mergeCell ref="WPJ67:WPJ73"/>
    <mergeCell ref="WPK67:WPK73"/>
    <mergeCell ref="WPL67:WPL73"/>
    <mergeCell ref="WPM67:WPM73"/>
    <mergeCell ref="WPN67:WPN73"/>
    <mergeCell ref="WPC67:WPC73"/>
    <mergeCell ref="WPD67:WPD73"/>
    <mergeCell ref="WPE67:WPE73"/>
    <mergeCell ref="WPF67:WPF73"/>
    <mergeCell ref="WPG67:WPG73"/>
    <mergeCell ref="WPH67:WPH73"/>
    <mergeCell ref="WOW67:WOW73"/>
    <mergeCell ref="WOX67:WOX73"/>
    <mergeCell ref="WOY67:WOY73"/>
    <mergeCell ref="WOZ67:WOZ73"/>
    <mergeCell ref="WPA67:WPA73"/>
    <mergeCell ref="WPB67:WPB73"/>
    <mergeCell ref="WOQ67:WOQ73"/>
    <mergeCell ref="WOR67:WOR73"/>
    <mergeCell ref="WOS67:WOS73"/>
    <mergeCell ref="WOT67:WOT73"/>
    <mergeCell ref="WOU67:WOU73"/>
    <mergeCell ref="WOV67:WOV73"/>
    <mergeCell ref="WRE67:WRE73"/>
    <mergeCell ref="WRF67:WRF73"/>
    <mergeCell ref="WRG67:WRG73"/>
    <mergeCell ref="WRH67:WRH73"/>
    <mergeCell ref="WRI67:WRI73"/>
    <mergeCell ref="WRJ67:WRJ73"/>
    <mergeCell ref="WQY67:WQY73"/>
    <mergeCell ref="WQZ67:WQZ73"/>
    <mergeCell ref="WRA67:WRA73"/>
    <mergeCell ref="WRB67:WRB73"/>
    <mergeCell ref="WRC67:WRC73"/>
    <mergeCell ref="WRD67:WRD73"/>
    <mergeCell ref="WQS67:WQS73"/>
    <mergeCell ref="WQT67:WQT73"/>
    <mergeCell ref="WQU67:WQU73"/>
    <mergeCell ref="WQV67:WQV73"/>
    <mergeCell ref="WQW67:WQW73"/>
    <mergeCell ref="WQX67:WQX73"/>
    <mergeCell ref="WQM67:WQM73"/>
    <mergeCell ref="WQN67:WQN73"/>
    <mergeCell ref="WQO67:WQO73"/>
    <mergeCell ref="WQP67:WQP73"/>
    <mergeCell ref="WQQ67:WQQ73"/>
    <mergeCell ref="WQR67:WQR73"/>
    <mergeCell ref="WQG67:WQG73"/>
    <mergeCell ref="WQH67:WQH73"/>
    <mergeCell ref="WQI67:WQI73"/>
    <mergeCell ref="WQJ67:WQJ73"/>
    <mergeCell ref="WQK67:WQK73"/>
    <mergeCell ref="WQL67:WQL73"/>
    <mergeCell ref="WQA67:WQA73"/>
    <mergeCell ref="WQB67:WQB73"/>
    <mergeCell ref="WQC67:WQC73"/>
    <mergeCell ref="WQD67:WQD73"/>
    <mergeCell ref="WQE67:WQE73"/>
    <mergeCell ref="WQF67:WQF73"/>
    <mergeCell ref="WSO67:WSO73"/>
    <mergeCell ref="WSP67:WSP73"/>
    <mergeCell ref="WSQ67:WSQ73"/>
    <mergeCell ref="WSR67:WSR73"/>
    <mergeCell ref="WSS67:WSS73"/>
    <mergeCell ref="WST67:WST73"/>
    <mergeCell ref="WSI67:WSI73"/>
    <mergeCell ref="WSJ67:WSJ73"/>
    <mergeCell ref="WSK67:WSK73"/>
    <mergeCell ref="WSL67:WSL73"/>
    <mergeCell ref="WSM67:WSM73"/>
    <mergeCell ref="WSN67:WSN73"/>
    <mergeCell ref="WSC67:WSC73"/>
    <mergeCell ref="WSD67:WSD73"/>
    <mergeCell ref="WSE67:WSE73"/>
    <mergeCell ref="WSF67:WSF73"/>
    <mergeCell ref="WSG67:WSG73"/>
    <mergeCell ref="WSH67:WSH73"/>
    <mergeCell ref="WRW67:WRW73"/>
    <mergeCell ref="WRX67:WRX73"/>
    <mergeCell ref="WRY67:WRY73"/>
    <mergeCell ref="WRZ67:WRZ73"/>
    <mergeCell ref="WSA67:WSA73"/>
    <mergeCell ref="WSB67:WSB73"/>
    <mergeCell ref="WRQ67:WRQ73"/>
    <mergeCell ref="WRR67:WRR73"/>
    <mergeCell ref="WRS67:WRS73"/>
    <mergeCell ref="WRT67:WRT73"/>
    <mergeCell ref="WRU67:WRU73"/>
    <mergeCell ref="WRV67:WRV73"/>
    <mergeCell ref="WRK67:WRK73"/>
    <mergeCell ref="WRL67:WRL73"/>
    <mergeCell ref="WRM67:WRM73"/>
    <mergeCell ref="WRN67:WRN73"/>
    <mergeCell ref="WRO67:WRO73"/>
    <mergeCell ref="WRP67:WRP73"/>
    <mergeCell ref="WTY67:WTY73"/>
    <mergeCell ref="WTZ67:WTZ73"/>
    <mergeCell ref="WUA67:WUA73"/>
    <mergeCell ref="WUB67:WUB73"/>
    <mergeCell ref="WUC67:WUC73"/>
    <mergeCell ref="WUD67:WUD73"/>
    <mergeCell ref="WTS67:WTS73"/>
    <mergeCell ref="WTT67:WTT73"/>
    <mergeCell ref="WTU67:WTU73"/>
    <mergeCell ref="WTV67:WTV73"/>
    <mergeCell ref="WTW67:WTW73"/>
    <mergeCell ref="WTX67:WTX73"/>
    <mergeCell ref="WTM67:WTM73"/>
    <mergeCell ref="WTN67:WTN73"/>
    <mergeCell ref="WTO67:WTO73"/>
    <mergeCell ref="WTP67:WTP73"/>
    <mergeCell ref="WTQ67:WTQ73"/>
    <mergeCell ref="WTR67:WTR73"/>
    <mergeCell ref="WTG67:WTG73"/>
    <mergeCell ref="WTH67:WTH73"/>
    <mergeCell ref="WTI67:WTI73"/>
    <mergeCell ref="WTJ67:WTJ73"/>
    <mergeCell ref="WTK67:WTK73"/>
    <mergeCell ref="WTL67:WTL73"/>
    <mergeCell ref="WTA67:WTA73"/>
    <mergeCell ref="WTB67:WTB73"/>
    <mergeCell ref="WTC67:WTC73"/>
    <mergeCell ref="WTD67:WTD73"/>
    <mergeCell ref="WTE67:WTE73"/>
    <mergeCell ref="WTF67:WTF73"/>
    <mergeCell ref="WSU67:WSU73"/>
    <mergeCell ref="WSV67:WSV73"/>
    <mergeCell ref="WSW67:WSW73"/>
    <mergeCell ref="WSX67:WSX73"/>
    <mergeCell ref="WSY67:WSY73"/>
    <mergeCell ref="WSZ67:WSZ73"/>
    <mergeCell ref="WVI67:WVI73"/>
    <mergeCell ref="WVJ67:WVJ73"/>
    <mergeCell ref="WVK67:WVK73"/>
    <mergeCell ref="WVL67:WVL73"/>
    <mergeCell ref="WVM67:WVM73"/>
    <mergeCell ref="WVN67:WVN73"/>
    <mergeCell ref="WVC67:WVC73"/>
    <mergeCell ref="WVD67:WVD73"/>
    <mergeCell ref="WVE67:WVE73"/>
    <mergeCell ref="WVF67:WVF73"/>
    <mergeCell ref="WVG67:WVG73"/>
    <mergeCell ref="WVH67:WVH73"/>
    <mergeCell ref="WUW67:WUW73"/>
    <mergeCell ref="WUX67:WUX73"/>
    <mergeCell ref="WUY67:WUY73"/>
    <mergeCell ref="WUZ67:WUZ73"/>
    <mergeCell ref="WVA67:WVA73"/>
    <mergeCell ref="WVB67:WVB73"/>
    <mergeCell ref="WUQ67:WUQ73"/>
    <mergeCell ref="WUR67:WUR73"/>
    <mergeCell ref="WUS67:WUS73"/>
    <mergeCell ref="WUT67:WUT73"/>
    <mergeCell ref="WUU67:WUU73"/>
    <mergeCell ref="WUV67:WUV73"/>
    <mergeCell ref="WUK67:WUK73"/>
    <mergeCell ref="WUL67:WUL73"/>
    <mergeCell ref="WUM67:WUM73"/>
    <mergeCell ref="WUN67:WUN73"/>
    <mergeCell ref="WUO67:WUO73"/>
    <mergeCell ref="WUP67:WUP73"/>
    <mergeCell ref="WUE67:WUE73"/>
    <mergeCell ref="WUF67:WUF73"/>
    <mergeCell ref="WUG67:WUG73"/>
    <mergeCell ref="WUH67:WUH73"/>
    <mergeCell ref="WUI67:WUI73"/>
    <mergeCell ref="WUJ67:WUJ73"/>
    <mergeCell ref="WWS67:WWS73"/>
    <mergeCell ref="WWT67:WWT73"/>
    <mergeCell ref="WWU67:WWU73"/>
    <mergeCell ref="WWV67:WWV73"/>
    <mergeCell ref="WWW67:WWW73"/>
    <mergeCell ref="WWX67:WWX73"/>
    <mergeCell ref="WWM67:WWM73"/>
    <mergeCell ref="WWN67:WWN73"/>
    <mergeCell ref="WWO67:WWO73"/>
    <mergeCell ref="WWP67:WWP73"/>
    <mergeCell ref="WWQ67:WWQ73"/>
    <mergeCell ref="WWR67:WWR73"/>
    <mergeCell ref="WWG67:WWG73"/>
    <mergeCell ref="WWH67:WWH73"/>
    <mergeCell ref="WWI67:WWI73"/>
    <mergeCell ref="WWJ67:WWJ73"/>
    <mergeCell ref="WWK67:WWK73"/>
    <mergeCell ref="WWL67:WWL73"/>
    <mergeCell ref="WWA67:WWA73"/>
    <mergeCell ref="WWB67:WWB73"/>
    <mergeCell ref="WWC67:WWC73"/>
    <mergeCell ref="WWD67:WWD73"/>
    <mergeCell ref="WWE67:WWE73"/>
    <mergeCell ref="WWF67:WWF73"/>
    <mergeCell ref="WVU67:WVU73"/>
    <mergeCell ref="WVV67:WVV73"/>
    <mergeCell ref="WVW67:WVW73"/>
    <mergeCell ref="WVX67:WVX73"/>
    <mergeCell ref="WVY67:WVY73"/>
    <mergeCell ref="WVZ67:WVZ73"/>
    <mergeCell ref="WVO67:WVO73"/>
    <mergeCell ref="WVP67:WVP73"/>
    <mergeCell ref="WVQ67:WVQ73"/>
    <mergeCell ref="WVR67:WVR73"/>
    <mergeCell ref="WVS67:WVS73"/>
    <mergeCell ref="WVT67:WVT73"/>
    <mergeCell ref="WYC67:WYC73"/>
    <mergeCell ref="WYD67:WYD73"/>
    <mergeCell ref="WYE67:WYE73"/>
    <mergeCell ref="WYF67:WYF73"/>
    <mergeCell ref="WYG67:WYG73"/>
    <mergeCell ref="WYH67:WYH73"/>
    <mergeCell ref="WXW67:WXW73"/>
    <mergeCell ref="WXX67:WXX73"/>
    <mergeCell ref="WXY67:WXY73"/>
    <mergeCell ref="WXZ67:WXZ73"/>
    <mergeCell ref="WYA67:WYA73"/>
    <mergeCell ref="WYB67:WYB73"/>
    <mergeCell ref="WXQ67:WXQ73"/>
    <mergeCell ref="WXR67:WXR73"/>
    <mergeCell ref="WXS67:WXS73"/>
    <mergeCell ref="WXT67:WXT73"/>
    <mergeCell ref="WXU67:WXU73"/>
    <mergeCell ref="WXV67:WXV73"/>
    <mergeCell ref="WXK67:WXK73"/>
    <mergeCell ref="WXL67:WXL73"/>
    <mergeCell ref="WXM67:WXM73"/>
    <mergeCell ref="WXN67:WXN73"/>
    <mergeCell ref="WXO67:WXO73"/>
    <mergeCell ref="WXP67:WXP73"/>
    <mergeCell ref="WXE67:WXE73"/>
    <mergeCell ref="WXF67:WXF73"/>
    <mergeCell ref="WXG67:WXG73"/>
    <mergeCell ref="WXH67:WXH73"/>
    <mergeCell ref="WXI67:WXI73"/>
    <mergeCell ref="WXJ67:WXJ73"/>
    <mergeCell ref="WWY67:WWY73"/>
    <mergeCell ref="WWZ67:WWZ73"/>
    <mergeCell ref="WXA67:WXA73"/>
    <mergeCell ref="WXB67:WXB73"/>
    <mergeCell ref="WXC67:WXC73"/>
    <mergeCell ref="WXD67:WXD73"/>
    <mergeCell ref="WZM67:WZM73"/>
    <mergeCell ref="WZN67:WZN73"/>
    <mergeCell ref="WZO67:WZO73"/>
    <mergeCell ref="WZP67:WZP73"/>
    <mergeCell ref="WZQ67:WZQ73"/>
    <mergeCell ref="WZR67:WZR73"/>
    <mergeCell ref="WZG67:WZG73"/>
    <mergeCell ref="WZH67:WZH73"/>
    <mergeCell ref="WZI67:WZI73"/>
    <mergeCell ref="WZJ67:WZJ73"/>
    <mergeCell ref="WZK67:WZK73"/>
    <mergeCell ref="WZL67:WZL73"/>
    <mergeCell ref="WZA67:WZA73"/>
    <mergeCell ref="WZB67:WZB73"/>
    <mergeCell ref="WZC67:WZC73"/>
    <mergeCell ref="WZD67:WZD73"/>
    <mergeCell ref="WZE67:WZE73"/>
    <mergeCell ref="WZF67:WZF73"/>
    <mergeCell ref="WYU67:WYU73"/>
    <mergeCell ref="WYV67:WYV73"/>
    <mergeCell ref="WYW67:WYW73"/>
    <mergeCell ref="WYX67:WYX73"/>
    <mergeCell ref="WYY67:WYY73"/>
    <mergeCell ref="WYZ67:WYZ73"/>
    <mergeCell ref="WYO67:WYO73"/>
    <mergeCell ref="WYP67:WYP73"/>
    <mergeCell ref="WYQ67:WYQ73"/>
    <mergeCell ref="WYR67:WYR73"/>
    <mergeCell ref="WYS67:WYS73"/>
    <mergeCell ref="WYT67:WYT73"/>
    <mergeCell ref="WYI67:WYI73"/>
    <mergeCell ref="WYJ67:WYJ73"/>
    <mergeCell ref="WYK67:WYK73"/>
    <mergeCell ref="WYL67:WYL73"/>
    <mergeCell ref="WYM67:WYM73"/>
    <mergeCell ref="WYN67:WYN73"/>
    <mergeCell ref="XAW67:XAW73"/>
    <mergeCell ref="XAX67:XAX73"/>
    <mergeCell ref="XAY67:XAY73"/>
    <mergeCell ref="XAZ67:XAZ73"/>
    <mergeCell ref="XBA67:XBA73"/>
    <mergeCell ref="XBB67:XBB73"/>
    <mergeCell ref="XAQ67:XAQ73"/>
    <mergeCell ref="XAR67:XAR73"/>
    <mergeCell ref="XAS67:XAS73"/>
    <mergeCell ref="XAT67:XAT73"/>
    <mergeCell ref="XAU67:XAU73"/>
    <mergeCell ref="XAV67:XAV73"/>
    <mergeCell ref="XAK67:XAK73"/>
    <mergeCell ref="XAL67:XAL73"/>
    <mergeCell ref="XAM67:XAM73"/>
    <mergeCell ref="XAN67:XAN73"/>
    <mergeCell ref="XAO67:XAO73"/>
    <mergeCell ref="XAP67:XAP73"/>
    <mergeCell ref="XAE67:XAE73"/>
    <mergeCell ref="XAF67:XAF73"/>
    <mergeCell ref="XAG67:XAG73"/>
    <mergeCell ref="XAH67:XAH73"/>
    <mergeCell ref="XAI67:XAI73"/>
    <mergeCell ref="XAJ67:XAJ73"/>
    <mergeCell ref="WZY67:WZY73"/>
    <mergeCell ref="WZZ67:WZZ73"/>
    <mergeCell ref="XAA67:XAA73"/>
    <mergeCell ref="XAB67:XAB73"/>
    <mergeCell ref="XAC67:XAC73"/>
    <mergeCell ref="XAD67:XAD73"/>
    <mergeCell ref="WZS67:WZS73"/>
    <mergeCell ref="WZT67:WZT73"/>
    <mergeCell ref="WZU67:WZU73"/>
    <mergeCell ref="WZV67:WZV73"/>
    <mergeCell ref="WZW67:WZW73"/>
    <mergeCell ref="WZX67:WZX73"/>
    <mergeCell ref="XCG67:XCG73"/>
    <mergeCell ref="XCH67:XCH73"/>
    <mergeCell ref="XCI67:XCI73"/>
    <mergeCell ref="XCJ67:XCJ73"/>
    <mergeCell ref="XCK67:XCK73"/>
    <mergeCell ref="XCL67:XCL73"/>
    <mergeCell ref="XCA67:XCA73"/>
    <mergeCell ref="XCB67:XCB73"/>
    <mergeCell ref="XCC67:XCC73"/>
    <mergeCell ref="XCD67:XCD73"/>
    <mergeCell ref="XCE67:XCE73"/>
    <mergeCell ref="XCF67:XCF73"/>
    <mergeCell ref="XBU67:XBU73"/>
    <mergeCell ref="XBV67:XBV73"/>
    <mergeCell ref="XBW67:XBW73"/>
    <mergeCell ref="XBX67:XBX73"/>
    <mergeCell ref="XBY67:XBY73"/>
    <mergeCell ref="XBZ67:XBZ73"/>
    <mergeCell ref="XBO67:XBO73"/>
    <mergeCell ref="XBP67:XBP73"/>
    <mergeCell ref="XBQ67:XBQ73"/>
    <mergeCell ref="XBR67:XBR73"/>
    <mergeCell ref="XBS67:XBS73"/>
    <mergeCell ref="XBT67:XBT73"/>
    <mergeCell ref="XBI67:XBI73"/>
    <mergeCell ref="XBJ67:XBJ73"/>
    <mergeCell ref="XBK67:XBK73"/>
    <mergeCell ref="XBL67:XBL73"/>
    <mergeCell ref="XBM67:XBM73"/>
    <mergeCell ref="XBN67:XBN73"/>
    <mergeCell ref="XBC67:XBC73"/>
    <mergeCell ref="XBD67:XBD73"/>
    <mergeCell ref="XBE67:XBE73"/>
    <mergeCell ref="XBF67:XBF73"/>
    <mergeCell ref="XBG67:XBG73"/>
    <mergeCell ref="XBH67:XBH73"/>
    <mergeCell ref="XDQ67:XDQ73"/>
    <mergeCell ref="XDR67:XDR73"/>
    <mergeCell ref="XDS67:XDS73"/>
    <mergeCell ref="XDT67:XDT73"/>
    <mergeCell ref="XDU67:XDU73"/>
    <mergeCell ref="XDV67:XDV73"/>
    <mergeCell ref="XDK67:XDK73"/>
    <mergeCell ref="XDL67:XDL73"/>
    <mergeCell ref="XDM67:XDM73"/>
    <mergeCell ref="XDN67:XDN73"/>
    <mergeCell ref="XDO67:XDO73"/>
    <mergeCell ref="XDP67:XDP73"/>
    <mergeCell ref="XDE67:XDE73"/>
    <mergeCell ref="XDF67:XDF73"/>
    <mergeCell ref="XDG67:XDG73"/>
    <mergeCell ref="XDH67:XDH73"/>
    <mergeCell ref="XDI67:XDI73"/>
    <mergeCell ref="XDJ67:XDJ73"/>
    <mergeCell ref="XCY67:XCY73"/>
    <mergeCell ref="XCZ67:XCZ73"/>
    <mergeCell ref="XDA67:XDA73"/>
    <mergeCell ref="XDB67:XDB73"/>
    <mergeCell ref="XDC67:XDC73"/>
    <mergeCell ref="XDD67:XDD73"/>
    <mergeCell ref="XCS67:XCS73"/>
    <mergeCell ref="XCT67:XCT73"/>
    <mergeCell ref="XCU67:XCU73"/>
    <mergeCell ref="XCV67:XCV73"/>
    <mergeCell ref="XCW67:XCW73"/>
    <mergeCell ref="XCX67:XCX73"/>
    <mergeCell ref="XCM67:XCM73"/>
    <mergeCell ref="XCN67:XCN73"/>
    <mergeCell ref="XCO67:XCO73"/>
    <mergeCell ref="XCP67:XCP73"/>
    <mergeCell ref="XCQ67:XCQ73"/>
    <mergeCell ref="XCR67:XCR73"/>
    <mergeCell ref="XFA67:XFA73"/>
    <mergeCell ref="XFB67:XFB73"/>
    <mergeCell ref="XFC67:XFC73"/>
    <mergeCell ref="XEU67:XEU73"/>
    <mergeCell ref="XEV67:XEV73"/>
    <mergeCell ref="XEW67:XEW73"/>
    <mergeCell ref="XEX67:XEX73"/>
    <mergeCell ref="XEY67:XEY73"/>
    <mergeCell ref="XEZ67:XEZ73"/>
    <mergeCell ref="XEO67:XEO73"/>
    <mergeCell ref="XEP67:XEP73"/>
    <mergeCell ref="XEQ67:XEQ73"/>
    <mergeCell ref="XER67:XER73"/>
    <mergeCell ref="XES67:XES73"/>
    <mergeCell ref="XET67:XET73"/>
    <mergeCell ref="XEI67:XEI73"/>
    <mergeCell ref="XEJ67:XEJ73"/>
    <mergeCell ref="XEK67:XEK73"/>
    <mergeCell ref="XEL67:XEL73"/>
    <mergeCell ref="XEM67:XEM73"/>
    <mergeCell ref="XEN67:XEN73"/>
    <mergeCell ref="XEC67:XEC73"/>
    <mergeCell ref="XED67:XED73"/>
    <mergeCell ref="XEE67:XEE73"/>
    <mergeCell ref="XEF67:XEF73"/>
    <mergeCell ref="XEG67:XEG73"/>
    <mergeCell ref="XEH67:XEH73"/>
    <mergeCell ref="XDW67:XDW73"/>
    <mergeCell ref="XDX67:XDX73"/>
    <mergeCell ref="XDY67:XDY73"/>
    <mergeCell ref="XDZ67:XDZ73"/>
    <mergeCell ref="XEA67:XEA73"/>
    <mergeCell ref="XEB67:XEB73"/>
  </mergeCells>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L324"/>
  <sheetViews>
    <sheetView view="pageBreakPreview" topLeftCell="A137" zoomScale="95" zoomScaleNormal="87" zoomScaleSheetLayoutView="95" zoomScalePageLayoutView="80" workbookViewId="0">
      <selection activeCell="Z285" sqref="Z285:AE285"/>
    </sheetView>
  </sheetViews>
  <sheetFormatPr baseColWidth="10" defaultColWidth="11.44140625" defaultRowHeight="13.2" x14ac:dyDescent="0.25"/>
  <cols>
    <col min="1" max="1" width="15.6640625" customWidth="1"/>
    <col min="2" max="30" width="3.6640625" customWidth="1"/>
    <col min="31" max="31" width="4" customWidth="1"/>
    <col min="32" max="32" width="9.109375" customWidth="1"/>
    <col min="33" max="33" width="2.88671875" customWidth="1"/>
    <col min="34" max="34" width="3" customWidth="1"/>
    <col min="35" max="45" width="2.88671875" customWidth="1"/>
    <col min="46" max="46" width="3.88671875" customWidth="1"/>
    <col min="47" max="47" width="3.5546875" customWidth="1"/>
    <col min="48" max="48" width="3.88671875" customWidth="1"/>
    <col min="49" max="49" width="3.44140625" customWidth="1"/>
    <col min="50" max="50" width="4.33203125" customWidth="1"/>
    <col min="51" max="51" width="4.44140625" customWidth="1"/>
    <col min="52" max="52" width="4.6640625" customWidth="1"/>
    <col min="53" max="53" width="3.6640625" customWidth="1"/>
    <col min="54" max="54" width="4" customWidth="1"/>
    <col min="55" max="55" width="3.88671875" customWidth="1"/>
    <col min="56" max="56" width="3" customWidth="1"/>
    <col min="57" max="57" width="2.5546875" customWidth="1"/>
    <col min="58" max="58" width="3.5546875" customWidth="1"/>
    <col min="59" max="59" width="4.33203125" customWidth="1"/>
    <col min="60" max="60" width="3.5546875" customWidth="1"/>
    <col min="61" max="61" width="2.5546875" customWidth="1"/>
    <col min="62" max="62" width="1.88671875" customWidth="1"/>
    <col min="63" max="63" width="4" customWidth="1"/>
    <col min="64" max="65" width="2.88671875" customWidth="1"/>
    <col min="66" max="218" width="9.109375" customWidth="1"/>
  </cols>
  <sheetData>
    <row r="1" spans="1:64" s="1" customFormat="1" ht="60.75" customHeight="1" x14ac:dyDescent="0.4">
      <c r="A1" s="974" t="s">
        <v>687</v>
      </c>
      <c r="B1" s="975"/>
      <c r="C1" s="975"/>
      <c r="D1" s="975"/>
      <c r="E1" s="975"/>
      <c r="F1" s="975"/>
      <c r="G1" s="975"/>
      <c r="H1" s="975"/>
      <c r="I1" s="975"/>
      <c r="J1" s="975"/>
      <c r="K1" s="975"/>
      <c r="L1" s="975"/>
      <c r="M1" s="975"/>
      <c r="N1" s="975"/>
      <c r="O1" s="975"/>
      <c r="P1" s="975"/>
      <c r="Q1" s="975"/>
      <c r="R1" s="975"/>
      <c r="S1" s="975"/>
      <c r="T1" s="975"/>
      <c r="U1" s="975"/>
      <c r="V1" s="975"/>
      <c r="W1" s="975"/>
      <c r="X1" s="975"/>
      <c r="Y1" s="976"/>
      <c r="Z1" s="988" t="str">
        <f>Aulas!G5</f>
        <v>Curso 2024-2025</v>
      </c>
      <c r="AA1" s="988"/>
      <c r="AB1" s="988"/>
      <c r="AC1" s="988"/>
      <c r="AD1" s="988"/>
      <c r="AE1" s="989"/>
    </row>
    <row r="2" spans="1:64" s="8" customFormat="1" ht="23.25" customHeight="1" x14ac:dyDescent="0.4">
      <c r="A2" s="960" t="s">
        <v>627</v>
      </c>
      <c r="B2" s="961"/>
      <c r="C2" s="961"/>
      <c r="D2" s="961"/>
      <c r="E2" s="961"/>
      <c r="F2" s="961"/>
      <c r="G2" s="961"/>
      <c r="H2" s="961"/>
      <c r="I2" s="961"/>
      <c r="J2" s="961"/>
      <c r="K2" s="961"/>
      <c r="L2" s="961"/>
      <c r="M2" s="961"/>
      <c r="N2" s="961"/>
      <c r="O2" s="961"/>
      <c r="P2" s="961"/>
      <c r="Q2" s="961"/>
      <c r="R2" s="961"/>
      <c r="S2" s="961"/>
      <c r="T2" s="961"/>
      <c r="U2" s="961"/>
      <c r="V2" s="961"/>
      <c r="W2" s="961"/>
      <c r="X2" s="961"/>
      <c r="Y2" s="962"/>
      <c r="Z2" s="2917" t="s">
        <v>152</v>
      </c>
      <c r="AA2" s="984"/>
      <c r="AB2" s="984"/>
      <c r="AC2" s="984"/>
      <c r="AD2" s="984"/>
      <c r="AE2" s="985"/>
    </row>
    <row r="3" spans="1:64" s="8" customFormat="1" ht="23.25" customHeight="1" x14ac:dyDescent="0.4">
      <c r="A3" s="963" t="s">
        <v>142</v>
      </c>
      <c r="B3" s="964"/>
      <c r="C3" s="964"/>
      <c r="D3" s="964"/>
      <c r="E3" s="964"/>
      <c r="F3" s="964"/>
      <c r="G3" s="964"/>
      <c r="H3" s="964"/>
      <c r="I3" s="964"/>
      <c r="J3" s="964"/>
      <c r="K3" s="964"/>
      <c r="L3" s="964"/>
      <c r="M3" s="964"/>
      <c r="N3" s="964"/>
      <c r="O3" s="964"/>
      <c r="P3" s="964"/>
      <c r="Q3" s="964"/>
      <c r="R3" s="964"/>
      <c r="S3" s="964"/>
      <c r="T3" s="964"/>
      <c r="U3" s="964"/>
      <c r="V3" s="964"/>
      <c r="W3" s="964"/>
      <c r="X3" s="964"/>
      <c r="Y3" s="965"/>
      <c r="Z3" s="986"/>
      <c r="AA3" s="986"/>
      <c r="AB3" s="986"/>
      <c r="AC3" s="986"/>
      <c r="AD3" s="986"/>
      <c r="AE3" s="987"/>
    </row>
    <row r="4" spans="1:64" ht="38.25" customHeight="1" thickBot="1" x14ac:dyDescent="0.3">
      <c r="A4" s="9" t="s">
        <v>714</v>
      </c>
    </row>
    <row r="5" spans="1:64" s="2" customFormat="1" ht="24" customHeight="1" thickBot="1" x14ac:dyDescent="0.3">
      <c r="A5" s="167" t="s">
        <v>1</v>
      </c>
      <c r="B5" s="1028" t="s">
        <v>2</v>
      </c>
      <c r="C5" s="1029"/>
      <c r="D5" s="1029"/>
      <c r="E5" s="1029"/>
      <c r="F5" s="1029"/>
      <c r="G5" s="1030"/>
      <c r="H5" s="1028" t="s">
        <v>3</v>
      </c>
      <c r="I5" s="1029"/>
      <c r="J5" s="1029"/>
      <c r="K5" s="1029"/>
      <c r="L5" s="1029"/>
      <c r="M5" s="1030"/>
      <c r="N5" s="1028" t="s">
        <v>139</v>
      </c>
      <c r="O5" s="1029"/>
      <c r="P5" s="1029"/>
      <c r="Q5" s="1029"/>
      <c r="R5" s="1029"/>
      <c r="S5" s="1030"/>
      <c r="T5" s="1028" t="s">
        <v>4</v>
      </c>
      <c r="U5" s="1029"/>
      <c r="V5" s="1029"/>
      <c r="W5" s="1029"/>
      <c r="X5" s="1029"/>
      <c r="Y5" s="1030"/>
      <c r="Z5" s="1042" t="s">
        <v>5</v>
      </c>
      <c r="AA5" s="1042"/>
      <c r="AB5" s="1042"/>
      <c r="AC5" s="1042"/>
      <c r="AD5" s="1042"/>
      <c r="AE5" s="1043"/>
    </row>
    <row r="6" spans="1:64" ht="30" customHeight="1" x14ac:dyDescent="0.3">
      <c r="A6" s="3008" t="s">
        <v>10</v>
      </c>
      <c r="B6" s="1288" t="s">
        <v>928</v>
      </c>
      <c r="C6" s="1295" t="s">
        <v>581</v>
      </c>
      <c r="D6" s="3017" t="s">
        <v>1094</v>
      </c>
      <c r="E6" s="3061"/>
      <c r="F6" s="1307"/>
      <c r="G6" s="3011"/>
      <c r="H6" s="1396" t="s">
        <v>1078</v>
      </c>
      <c r="I6" s="1153" t="s">
        <v>579</v>
      </c>
      <c r="J6" s="3017" t="s">
        <v>1095</v>
      </c>
      <c r="K6" s="2944" t="s">
        <v>949</v>
      </c>
      <c r="L6" s="1153" t="s">
        <v>580</v>
      </c>
      <c r="M6" s="3057" t="s">
        <v>752</v>
      </c>
      <c r="N6" s="1069" t="s">
        <v>928</v>
      </c>
      <c r="O6" s="940"/>
      <c r="P6" s="940"/>
      <c r="Q6" s="940"/>
      <c r="R6" s="940"/>
      <c r="S6" s="1070"/>
      <c r="T6" s="2944" t="s">
        <v>1036</v>
      </c>
      <c r="U6" s="1153" t="s">
        <v>581</v>
      </c>
      <c r="V6" s="1217" t="s">
        <v>1067</v>
      </c>
      <c r="W6" s="2944" t="s">
        <v>928</v>
      </c>
      <c r="X6" s="1153" t="s">
        <v>580</v>
      </c>
      <c r="Y6" s="2009" t="s">
        <v>1096</v>
      </c>
      <c r="Z6" s="1296" t="s">
        <v>689</v>
      </c>
      <c r="AA6" s="1295" t="s">
        <v>581</v>
      </c>
      <c r="AB6" s="1293" t="s">
        <v>711</v>
      </c>
      <c r="AC6" s="2518"/>
      <c r="AD6" s="2519"/>
      <c r="AE6" s="3022"/>
    </row>
    <row r="7" spans="1:64" ht="30" customHeight="1" x14ac:dyDescent="0.3">
      <c r="A7" s="3009"/>
      <c r="B7" s="1288"/>
      <c r="C7" s="1153"/>
      <c r="D7" s="3018"/>
      <c r="E7" s="3062"/>
      <c r="F7" s="1307"/>
      <c r="G7" s="3012"/>
      <c r="H7" s="1396"/>
      <c r="I7" s="1153"/>
      <c r="J7" s="3018"/>
      <c r="K7" s="1392"/>
      <c r="L7" s="1153"/>
      <c r="M7" s="2070"/>
      <c r="N7" s="3014" t="s">
        <v>829</v>
      </c>
      <c r="O7" s="3015"/>
      <c r="P7" s="3015"/>
      <c r="Q7" s="3015"/>
      <c r="R7" s="3015"/>
      <c r="S7" s="3016"/>
      <c r="T7" s="1392"/>
      <c r="U7" s="1153"/>
      <c r="V7" s="1342"/>
      <c r="W7" s="1392"/>
      <c r="X7" s="1153"/>
      <c r="Y7" s="1153"/>
      <c r="Z7" s="1118"/>
      <c r="AA7" s="1153"/>
      <c r="AB7" s="1137"/>
      <c r="AC7" s="1113"/>
      <c r="AD7" s="1126"/>
      <c r="AE7" s="1104"/>
      <c r="AI7" s="1396"/>
      <c r="AJ7" s="1153"/>
      <c r="AK7" s="3017"/>
      <c r="AL7" s="3052"/>
      <c r="AM7" s="1307"/>
      <c r="AN7" s="3053"/>
      <c r="AO7" s="383"/>
      <c r="AP7" s="3017"/>
      <c r="AQ7" s="383"/>
      <c r="AR7" s="1342"/>
      <c r="AS7" s="528"/>
      <c r="AT7" s="1342"/>
      <c r="AU7" s="939"/>
      <c r="AV7" s="939"/>
      <c r="AW7" s="939"/>
      <c r="AX7" s="939"/>
      <c r="AY7" s="939"/>
      <c r="AZ7" s="939"/>
      <c r="BA7" s="84"/>
      <c r="BB7" s="84"/>
      <c r="BC7" s="84"/>
      <c r="BD7" s="3052"/>
      <c r="BE7" s="1307"/>
      <c r="BF7" s="3053"/>
      <c r="BG7" s="1153"/>
      <c r="BH7" s="1153"/>
      <c r="BI7" s="1195"/>
      <c r="BJ7" s="1126"/>
      <c r="BK7" s="1126"/>
      <c r="BL7" s="1111"/>
    </row>
    <row r="8" spans="1:64" ht="30" customHeight="1" x14ac:dyDescent="0.3">
      <c r="A8" s="3008" t="s">
        <v>11</v>
      </c>
      <c r="B8" s="1288"/>
      <c r="C8" s="1153"/>
      <c r="D8" s="3018"/>
      <c r="E8" s="3062"/>
      <c r="F8" s="1307"/>
      <c r="G8" s="3012"/>
      <c r="H8" s="1396"/>
      <c r="I8" s="1153"/>
      <c r="J8" s="3018"/>
      <c r="K8" s="1392"/>
      <c r="L8" s="1153"/>
      <c r="M8" s="2070"/>
      <c r="N8" s="1069" t="s">
        <v>689</v>
      </c>
      <c r="O8" s="940"/>
      <c r="P8" s="940"/>
      <c r="Q8" s="940"/>
      <c r="R8" s="940"/>
      <c r="S8" s="1070"/>
      <c r="T8" s="1392"/>
      <c r="U8" s="1153"/>
      <c r="V8" s="1342"/>
      <c r="W8" s="1392"/>
      <c r="X8" s="1153"/>
      <c r="Y8" s="1153"/>
      <c r="Z8" s="1118"/>
      <c r="AA8" s="1153"/>
      <c r="AB8" s="1137"/>
      <c r="AC8" s="1113"/>
      <c r="AD8" s="1126"/>
      <c r="AE8" s="1104"/>
      <c r="AI8" s="1396"/>
      <c r="AJ8" s="1153"/>
      <c r="AK8" s="3018"/>
      <c r="AL8" s="3052"/>
      <c r="AM8" s="1307"/>
      <c r="AN8" s="3053"/>
      <c r="AO8" s="1153"/>
      <c r="AP8" s="3018"/>
      <c r="AQ8" s="1153"/>
      <c r="AR8" s="1342"/>
      <c r="AS8" s="1153"/>
      <c r="AT8" s="1342"/>
      <c r="AU8" s="1174"/>
      <c r="AV8" s="1174"/>
      <c r="AW8" s="1174"/>
      <c r="AX8" s="1174"/>
      <c r="AY8" s="1174"/>
      <c r="AZ8" s="1174"/>
      <c r="BA8" s="301"/>
      <c r="BB8" s="301"/>
      <c r="BC8" s="301"/>
      <c r="BD8" s="3052"/>
      <c r="BE8" s="1307"/>
      <c r="BF8" s="3053"/>
      <c r="BG8" s="1153"/>
      <c r="BH8" s="1153"/>
      <c r="BI8" s="1195"/>
      <c r="BJ8" s="1126"/>
      <c r="BK8" s="1126"/>
      <c r="BL8" s="1111"/>
    </row>
    <row r="9" spans="1:64" ht="30" customHeight="1" x14ac:dyDescent="0.3">
      <c r="A9" s="3009"/>
      <c r="B9" s="1288"/>
      <c r="C9" s="1153"/>
      <c r="D9" s="3018"/>
      <c r="E9" s="3062"/>
      <c r="F9" s="1307"/>
      <c r="G9" s="3013"/>
      <c r="H9" s="1396"/>
      <c r="I9" s="1153"/>
      <c r="J9" s="3018"/>
      <c r="K9" s="1393"/>
      <c r="L9" s="1153"/>
      <c r="M9" s="2070"/>
      <c r="N9" s="3014" t="s">
        <v>829</v>
      </c>
      <c r="O9" s="3015"/>
      <c r="P9" s="3015"/>
      <c r="Q9" s="3015"/>
      <c r="R9" s="3015"/>
      <c r="S9" s="3016"/>
      <c r="T9" s="1392"/>
      <c r="U9" s="1153"/>
      <c r="V9" s="1342"/>
      <c r="W9" s="1392"/>
      <c r="X9" s="1153"/>
      <c r="Y9" s="1153"/>
      <c r="Z9" s="1118"/>
      <c r="AA9" s="1153"/>
      <c r="AB9" s="1137"/>
      <c r="AC9" s="1113"/>
      <c r="AD9" s="1126"/>
      <c r="AE9" s="1104"/>
      <c r="AI9" s="1396"/>
      <c r="AJ9" s="1153"/>
      <c r="AK9" s="3018"/>
      <c r="AL9" s="3052"/>
      <c r="AM9" s="1307"/>
      <c r="AN9" s="3053"/>
      <c r="AO9" s="1153"/>
      <c r="AP9" s="3018"/>
      <c r="AQ9" s="1153"/>
      <c r="AR9" s="1342"/>
      <c r="AS9" s="1153"/>
      <c r="AT9" s="1342"/>
      <c r="AU9" s="939"/>
      <c r="AV9" s="939"/>
      <c r="AW9" s="939"/>
      <c r="AX9" s="939"/>
      <c r="AY9" s="939"/>
      <c r="AZ9" s="939"/>
      <c r="BA9" s="20"/>
      <c r="BB9" s="20"/>
      <c r="BC9" s="20"/>
      <c r="BD9" s="3052"/>
      <c r="BE9" s="1307"/>
      <c r="BF9" s="3053"/>
      <c r="BG9" s="1153"/>
      <c r="BH9" s="1153"/>
      <c r="BI9" s="1195"/>
      <c r="BJ9" s="1126"/>
      <c r="BK9" s="1126"/>
      <c r="BL9" s="1111"/>
    </row>
    <row r="10" spans="1:64" ht="30" customHeight="1" x14ac:dyDescent="0.3">
      <c r="A10" s="3008" t="s">
        <v>6</v>
      </c>
      <c r="B10" s="1069" t="s">
        <v>689</v>
      </c>
      <c r="C10" s="940"/>
      <c r="D10" s="940"/>
      <c r="E10" s="940"/>
      <c r="F10" s="940"/>
      <c r="G10" s="1070"/>
      <c r="H10" s="1069" t="s">
        <v>949</v>
      </c>
      <c r="I10" s="940"/>
      <c r="J10" s="940"/>
      <c r="K10" s="940"/>
      <c r="L10" s="940"/>
      <c r="M10" s="1070"/>
      <c r="N10" s="1069" t="s">
        <v>1078</v>
      </c>
      <c r="O10" s="940"/>
      <c r="P10" s="940"/>
      <c r="Q10" s="940"/>
      <c r="R10" s="940"/>
      <c r="S10" s="1070"/>
      <c r="T10" s="1069" t="s">
        <v>949</v>
      </c>
      <c r="U10" s="940"/>
      <c r="V10" s="940"/>
      <c r="W10" s="940"/>
      <c r="X10" s="940"/>
      <c r="Y10" s="1070"/>
      <c r="Z10" s="1118"/>
      <c r="AA10" s="1153"/>
      <c r="AB10" s="1137"/>
      <c r="AC10" s="1113"/>
      <c r="AD10" s="1126"/>
      <c r="AE10" s="1104"/>
      <c r="AI10" s="1396"/>
      <c r="AJ10" s="1153"/>
      <c r="AK10" s="3018"/>
      <c r="AL10" s="3052"/>
      <c r="AM10" s="1307"/>
      <c r="AN10" s="3053"/>
      <c r="AO10" s="1153"/>
      <c r="AP10" s="3018"/>
      <c r="AQ10" s="1153"/>
      <c r="AR10" s="1342"/>
      <c r="AS10" s="1153"/>
      <c r="AT10" s="1342"/>
      <c r="AU10" s="1174"/>
      <c r="AV10" s="1174"/>
      <c r="AW10" s="1174"/>
      <c r="AX10" s="1174"/>
      <c r="AY10" s="1174"/>
      <c r="AZ10" s="1174"/>
      <c r="BA10" s="20"/>
      <c r="BB10" s="20"/>
      <c r="BC10" s="20"/>
      <c r="BD10" s="3052"/>
      <c r="BE10" s="1307"/>
      <c r="BF10" s="3053"/>
      <c r="BG10" s="1153"/>
      <c r="BH10" s="1153"/>
      <c r="BI10" s="1195"/>
      <c r="BJ10" s="1126"/>
      <c r="BK10" s="1126"/>
      <c r="BL10" s="1111"/>
    </row>
    <row r="11" spans="1:64" ht="30" customHeight="1" x14ac:dyDescent="0.3">
      <c r="A11" s="3009"/>
      <c r="B11" s="1067" t="s">
        <v>152</v>
      </c>
      <c r="C11" s="944"/>
      <c r="D11" s="944"/>
      <c r="E11" s="944"/>
      <c r="F11" s="944"/>
      <c r="G11" s="1068"/>
      <c r="H11" s="1067" t="s">
        <v>152</v>
      </c>
      <c r="I11" s="944"/>
      <c r="J11" s="944"/>
      <c r="K11" s="944"/>
      <c r="L11" s="944"/>
      <c r="M11" s="1068"/>
      <c r="N11" s="1067" t="s">
        <v>152</v>
      </c>
      <c r="O11" s="944"/>
      <c r="P11" s="944"/>
      <c r="Q11" s="944"/>
      <c r="R11" s="944"/>
      <c r="S11" s="1068"/>
      <c r="T11" s="1067" t="s">
        <v>152</v>
      </c>
      <c r="U11" s="944"/>
      <c r="V11" s="944"/>
      <c r="W11" s="944"/>
      <c r="X11" s="944"/>
      <c r="Y11" s="1068"/>
      <c r="Z11" s="1119"/>
      <c r="AA11" s="1154"/>
      <c r="AB11" s="1138"/>
      <c r="AC11" s="1113"/>
      <c r="AD11" s="1126"/>
      <c r="AE11" s="1105"/>
      <c r="AI11" s="939"/>
      <c r="AJ11" s="939"/>
      <c r="AK11" s="939"/>
      <c r="AL11" s="939"/>
      <c r="AM11" s="939"/>
      <c r="AN11" s="939"/>
      <c r="AO11" s="939"/>
      <c r="AP11" s="939"/>
      <c r="AQ11" s="939"/>
      <c r="AR11" s="939"/>
      <c r="AS11" s="939"/>
      <c r="AT11" s="939"/>
      <c r="AU11" s="939"/>
      <c r="AV11" s="939"/>
      <c r="AW11" s="939"/>
      <c r="AX11" s="939"/>
      <c r="AY11" s="939"/>
      <c r="AZ11" s="939"/>
      <c r="BA11" s="939"/>
      <c r="BB11" s="939"/>
      <c r="BC11" s="939"/>
      <c r="BD11" s="939"/>
      <c r="BE11" s="939"/>
      <c r="BF11" s="939"/>
      <c r="BG11" s="1153"/>
      <c r="BH11" s="1153"/>
      <c r="BI11" s="1195"/>
      <c r="BJ11" s="1126"/>
      <c r="BK11" s="1126"/>
      <c r="BL11" s="1111"/>
    </row>
    <row r="12" spans="1:64" ht="30" customHeight="1" x14ac:dyDescent="0.3">
      <c r="A12" s="3008" t="s">
        <v>7</v>
      </c>
      <c r="B12" s="1069" t="s">
        <v>1036</v>
      </c>
      <c r="C12" s="940"/>
      <c r="D12" s="940"/>
      <c r="E12" s="940"/>
      <c r="F12" s="940"/>
      <c r="G12" s="1070"/>
      <c r="H12" s="1069" t="s">
        <v>1078</v>
      </c>
      <c r="I12" s="940"/>
      <c r="J12" s="940"/>
      <c r="K12" s="940"/>
      <c r="L12" s="940"/>
      <c r="M12" s="1070"/>
      <c r="N12" s="1069" t="s">
        <v>928</v>
      </c>
      <c r="O12" s="940"/>
      <c r="P12" s="940"/>
      <c r="Q12" s="940"/>
      <c r="R12" s="940"/>
      <c r="S12" s="1070"/>
      <c r="T12" s="1069" t="s">
        <v>1036</v>
      </c>
      <c r="U12" s="940"/>
      <c r="V12" s="940"/>
      <c r="W12" s="940"/>
      <c r="X12" s="940"/>
      <c r="Y12" s="1070"/>
      <c r="Z12" s="2063"/>
      <c r="AA12" s="1126"/>
      <c r="AB12" s="1133"/>
      <c r="AC12" s="1317" t="s">
        <v>689</v>
      </c>
      <c r="AD12" s="1182" t="s">
        <v>579</v>
      </c>
      <c r="AE12" s="3019" t="s">
        <v>711</v>
      </c>
      <c r="AI12" s="1174"/>
      <c r="AJ12" s="1174"/>
      <c r="AK12" s="1174"/>
      <c r="AL12" s="1174"/>
      <c r="AM12" s="1174"/>
      <c r="AN12" s="1174"/>
      <c r="AO12" s="1174"/>
      <c r="AP12" s="1174"/>
      <c r="AQ12" s="1174"/>
      <c r="AR12" s="1174"/>
      <c r="AS12" s="1174"/>
      <c r="AT12" s="1174"/>
      <c r="AU12" s="1174"/>
      <c r="AV12" s="1174"/>
      <c r="AW12" s="1174"/>
      <c r="AX12" s="1174"/>
      <c r="AY12" s="1174"/>
      <c r="AZ12" s="1174"/>
      <c r="BA12" s="1174"/>
      <c r="BB12" s="1174"/>
      <c r="BC12" s="1174"/>
      <c r="BD12" s="1174"/>
      <c r="BE12" s="1174"/>
      <c r="BF12" s="1174"/>
      <c r="BG12" s="1153"/>
      <c r="BH12" s="1153"/>
      <c r="BI12" s="1195"/>
      <c r="BJ12" s="1126"/>
      <c r="BK12" s="1126"/>
      <c r="BL12" s="1111"/>
    </row>
    <row r="13" spans="1:64" ht="30" customHeight="1" x14ac:dyDescent="0.3">
      <c r="A13" s="3009"/>
      <c r="B13" s="1067" t="s">
        <v>152</v>
      </c>
      <c r="C13" s="944"/>
      <c r="D13" s="944"/>
      <c r="E13" s="944"/>
      <c r="F13" s="944"/>
      <c r="G13" s="1068"/>
      <c r="H13" s="1067" t="s">
        <v>152</v>
      </c>
      <c r="I13" s="944"/>
      <c r="J13" s="944"/>
      <c r="K13" s="944"/>
      <c r="L13" s="944"/>
      <c r="M13" s="1068"/>
      <c r="N13" s="1067" t="s">
        <v>152</v>
      </c>
      <c r="O13" s="944"/>
      <c r="P13" s="944"/>
      <c r="Q13" s="944"/>
      <c r="R13" s="944"/>
      <c r="S13" s="1068"/>
      <c r="T13" s="1067" t="s">
        <v>152</v>
      </c>
      <c r="U13" s="944"/>
      <c r="V13" s="944"/>
      <c r="W13" s="944"/>
      <c r="X13" s="944"/>
      <c r="Y13" s="1068"/>
      <c r="Z13" s="1106"/>
      <c r="AA13" s="1126"/>
      <c r="AB13" s="1134"/>
      <c r="AC13" s="1109"/>
      <c r="AD13" s="1153"/>
      <c r="AE13" s="1188"/>
      <c r="AI13" s="939"/>
      <c r="AJ13" s="939"/>
      <c r="AK13" s="939"/>
      <c r="AL13" s="939"/>
      <c r="AM13" s="939"/>
      <c r="AN13" s="939"/>
      <c r="AO13" s="939"/>
      <c r="AP13" s="939"/>
      <c r="AQ13" s="939"/>
      <c r="AR13" s="939"/>
      <c r="AS13" s="939"/>
      <c r="AT13" s="939"/>
      <c r="AU13" s="939"/>
      <c r="AV13" s="939"/>
      <c r="AW13" s="939"/>
      <c r="AX13" s="939"/>
      <c r="AY13" s="939"/>
      <c r="AZ13" s="939"/>
      <c r="BA13" s="939"/>
      <c r="BB13" s="939"/>
      <c r="BC13" s="939"/>
      <c r="BD13" s="939"/>
      <c r="BE13" s="939"/>
      <c r="BF13" s="939"/>
      <c r="BG13" s="1126"/>
      <c r="BH13" s="1126"/>
      <c r="BI13" s="1111"/>
      <c r="BJ13" s="1153"/>
      <c r="BK13" s="1153"/>
      <c r="BL13" s="1195"/>
    </row>
    <row r="14" spans="1:64" ht="30" customHeight="1" x14ac:dyDescent="0.25">
      <c r="A14" s="3008" t="s">
        <v>8</v>
      </c>
      <c r="B14" s="1288" t="s">
        <v>928</v>
      </c>
      <c r="C14" s="1153" t="s">
        <v>579</v>
      </c>
      <c r="D14" s="3004" t="s">
        <v>1098</v>
      </c>
      <c r="E14" s="1396" t="s">
        <v>1036</v>
      </c>
      <c r="F14" s="1153" t="s">
        <v>580</v>
      </c>
      <c r="G14" s="1342" t="s">
        <v>156</v>
      </c>
      <c r="H14" s="1288" t="s">
        <v>949</v>
      </c>
      <c r="I14" s="1153" t="s">
        <v>579</v>
      </c>
      <c r="J14" s="1217" t="s">
        <v>752</v>
      </c>
      <c r="K14" s="1392" t="s">
        <v>1078</v>
      </c>
      <c r="L14" s="1153" t="s">
        <v>581</v>
      </c>
      <c r="M14" s="3058" t="s">
        <v>1097</v>
      </c>
      <c r="N14" s="69"/>
      <c r="O14" s="1350"/>
      <c r="P14" s="1243"/>
      <c r="Q14" s="1392" t="s">
        <v>1078</v>
      </c>
      <c r="R14" s="1153" t="s">
        <v>580</v>
      </c>
      <c r="S14" s="3007" t="s">
        <v>1097</v>
      </c>
      <c r="T14" s="1288" t="s">
        <v>1036</v>
      </c>
      <c r="U14" s="1153" t="s">
        <v>579</v>
      </c>
      <c r="V14" s="1342" t="s">
        <v>156</v>
      </c>
      <c r="W14" s="1392" t="s">
        <v>949</v>
      </c>
      <c r="X14" s="1153" t="s">
        <v>581</v>
      </c>
      <c r="Y14" s="1342" t="s">
        <v>751</v>
      </c>
      <c r="Z14" s="1106"/>
      <c r="AA14" s="1126"/>
      <c r="AB14" s="1134"/>
      <c r="AC14" s="1109"/>
      <c r="AD14" s="1153"/>
      <c r="AE14" s="1188"/>
      <c r="AI14" s="1174"/>
      <c r="AJ14" s="1174"/>
      <c r="AK14" s="1174"/>
      <c r="AL14" s="1174"/>
      <c r="AM14" s="1174"/>
      <c r="AN14" s="1174"/>
      <c r="AO14" s="1174"/>
      <c r="AP14" s="1174"/>
      <c r="AQ14" s="1174"/>
      <c r="AR14" s="1174"/>
      <c r="AS14" s="1174"/>
      <c r="AT14" s="1174"/>
      <c r="AU14" s="1174"/>
      <c r="AV14" s="1174"/>
      <c r="AW14" s="1174"/>
      <c r="AX14" s="1174"/>
      <c r="AY14" s="1174"/>
      <c r="AZ14" s="1174"/>
      <c r="BA14" s="1174"/>
      <c r="BB14" s="1174"/>
      <c r="BC14" s="1174"/>
      <c r="BD14" s="1174"/>
      <c r="BE14" s="1174"/>
      <c r="BF14" s="1174"/>
      <c r="BG14" s="1126"/>
      <c r="BH14" s="1126"/>
      <c r="BI14" s="1111"/>
      <c r="BJ14" s="1153"/>
      <c r="BK14" s="1153"/>
      <c r="BL14" s="1195"/>
    </row>
    <row r="15" spans="1:64" ht="30" customHeight="1" x14ac:dyDescent="0.25">
      <c r="A15" s="3009"/>
      <c r="B15" s="1288"/>
      <c r="C15" s="1153"/>
      <c r="D15" s="3005"/>
      <c r="E15" s="1396"/>
      <c r="F15" s="1153"/>
      <c r="G15" s="1342"/>
      <c r="H15" s="1288"/>
      <c r="I15" s="1153"/>
      <c r="J15" s="1217"/>
      <c r="K15" s="1392"/>
      <c r="L15" s="1153"/>
      <c r="M15" s="3059"/>
      <c r="N15" s="1126"/>
      <c r="O15" s="1350"/>
      <c r="P15" s="1243"/>
      <c r="Q15" s="1392"/>
      <c r="R15" s="1153"/>
      <c r="S15" s="3005"/>
      <c r="T15" s="1288"/>
      <c r="U15" s="1153"/>
      <c r="V15" s="1342"/>
      <c r="W15" s="1392"/>
      <c r="X15" s="1153"/>
      <c r="Y15" s="1342"/>
      <c r="Z15" s="1106"/>
      <c r="AA15" s="1126"/>
      <c r="AB15" s="1134"/>
      <c r="AC15" s="1109"/>
      <c r="AD15" s="1153"/>
      <c r="AE15" s="1188"/>
      <c r="AI15" s="383"/>
      <c r="AJ15" s="3017"/>
      <c r="AK15" s="383"/>
      <c r="AL15" s="1342"/>
      <c r="AM15" s="528"/>
      <c r="AN15" s="1342"/>
      <c r="AO15" s="1396"/>
      <c r="AP15" s="1153"/>
      <c r="AQ15" s="1342"/>
      <c r="AR15" s="3052"/>
      <c r="AS15" s="1307"/>
      <c r="AT15" s="3063"/>
      <c r="AU15" s="1396"/>
      <c r="AV15" s="1307"/>
      <c r="AW15" s="1342"/>
      <c r="AX15" s="1396"/>
      <c r="AY15" s="1153"/>
      <c r="AZ15" s="3017"/>
      <c r="BA15" s="1396"/>
      <c r="BB15" s="1153"/>
      <c r="BC15" s="1342"/>
      <c r="BD15" s="1396"/>
      <c r="BE15" s="1307"/>
      <c r="BF15" s="1342"/>
      <c r="BG15" s="1126"/>
      <c r="BH15" s="1126"/>
      <c r="BI15" s="1111"/>
      <c r="BJ15" s="1153"/>
      <c r="BK15" s="1153"/>
      <c r="BL15" s="1195"/>
    </row>
    <row r="16" spans="1:64" ht="30" customHeight="1" x14ac:dyDescent="0.25">
      <c r="A16" s="3008" t="s">
        <v>9</v>
      </c>
      <c r="B16" s="1288"/>
      <c r="C16" s="1153"/>
      <c r="D16" s="3005"/>
      <c r="E16" s="1396"/>
      <c r="F16" s="1153"/>
      <c r="G16" s="1342"/>
      <c r="H16" s="1288"/>
      <c r="I16" s="1153"/>
      <c r="J16" s="1217"/>
      <c r="K16" s="1392"/>
      <c r="L16" s="1153"/>
      <c r="M16" s="3059"/>
      <c r="N16" s="1126"/>
      <c r="O16" s="1350"/>
      <c r="P16" s="1243"/>
      <c r="Q16" s="1392"/>
      <c r="R16" s="1153"/>
      <c r="S16" s="3005"/>
      <c r="T16" s="1288"/>
      <c r="U16" s="1153"/>
      <c r="V16" s="1342"/>
      <c r="W16" s="1392"/>
      <c r="X16" s="1153"/>
      <c r="Y16" s="1342"/>
      <c r="Z16" s="1106"/>
      <c r="AA16" s="1126"/>
      <c r="AB16" s="1134"/>
      <c r="AC16" s="1109"/>
      <c r="AD16" s="1153"/>
      <c r="AE16" s="1188"/>
      <c r="AI16" s="1153"/>
      <c r="AJ16" s="3018"/>
      <c r="AK16" s="1153"/>
      <c r="AL16" s="1342"/>
      <c r="AM16" s="1153"/>
      <c r="AN16" s="1342"/>
      <c r="AO16" s="1396"/>
      <c r="AP16" s="1153"/>
      <c r="AQ16" s="1342"/>
      <c r="AR16" s="3052"/>
      <c r="AS16" s="1307"/>
      <c r="AT16" s="1307"/>
      <c r="AU16" s="1396"/>
      <c r="AV16" s="1307"/>
      <c r="AW16" s="1342"/>
      <c r="AX16" s="1396"/>
      <c r="AY16" s="1153"/>
      <c r="AZ16" s="3018"/>
      <c r="BA16" s="1396"/>
      <c r="BB16" s="1153"/>
      <c r="BC16" s="1342"/>
      <c r="BD16" s="1396"/>
      <c r="BE16" s="1307"/>
      <c r="BF16" s="1342"/>
      <c r="BG16" s="1126"/>
      <c r="BH16" s="1126"/>
      <c r="BI16" s="1111"/>
      <c r="BJ16" s="1153"/>
      <c r="BK16" s="1153"/>
      <c r="BL16" s="1195"/>
    </row>
    <row r="17" spans="1:64" ht="30" customHeight="1" thickBot="1" x14ac:dyDescent="0.3">
      <c r="A17" s="3009"/>
      <c r="B17" s="1288"/>
      <c r="C17" s="1153"/>
      <c r="D17" s="3006"/>
      <c r="E17" s="3021"/>
      <c r="F17" s="1153"/>
      <c r="G17" s="1354"/>
      <c r="H17" s="1288"/>
      <c r="I17" s="1153"/>
      <c r="J17" s="1254"/>
      <c r="K17" s="2187"/>
      <c r="L17" s="1153"/>
      <c r="M17" s="3060"/>
      <c r="N17" s="1127"/>
      <c r="O17" s="1350"/>
      <c r="P17" s="1257"/>
      <c r="Q17" s="2187"/>
      <c r="R17" s="1153"/>
      <c r="S17" s="3005"/>
      <c r="T17" s="1355"/>
      <c r="U17" s="1153"/>
      <c r="V17" s="1354"/>
      <c r="W17" s="1393"/>
      <c r="X17" s="1154"/>
      <c r="Y17" s="1342"/>
      <c r="Z17" s="1159"/>
      <c r="AA17" s="1127"/>
      <c r="AB17" s="1135"/>
      <c r="AC17" s="1110"/>
      <c r="AD17" s="1183"/>
      <c r="AE17" s="3020"/>
      <c r="AI17" s="1153"/>
      <c r="AJ17" s="3018"/>
      <c r="AK17" s="1153"/>
      <c r="AL17" s="1342"/>
      <c r="AM17" s="1153"/>
      <c r="AN17" s="1342"/>
      <c r="AO17" s="1396"/>
      <c r="AP17" s="1153"/>
      <c r="AQ17" s="1342"/>
      <c r="AR17" s="3052"/>
      <c r="AS17" s="1307"/>
      <c r="AT17" s="1307"/>
      <c r="AU17" s="1396"/>
      <c r="AV17" s="1307"/>
      <c r="AW17" s="1342"/>
      <c r="AX17" s="1396"/>
      <c r="AY17" s="1153"/>
      <c r="AZ17" s="3018"/>
      <c r="BA17" s="1396"/>
      <c r="BB17" s="1153"/>
      <c r="BC17" s="1342"/>
      <c r="BD17" s="1396"/>
      <c r="BE17" s="1307"/>
      <c r="BF17" s="1342"/>
      <c r="BG17" s="1126"/>
      <c r="BH17" s="1126"/>
      <c r="BI17" s="1111"/>
      <c r="BJ17" s="1153"/>
      <c r="BK17" s="1153"/>
      <c r="BL17" s="1195"/>
    </row>
    <row r="18" spans="1:64" s="2" customFormat="1" ht="24" customHeight="1" thickBot="1" x14ac:dyDescent="0.3">
      <c r="A18" s="19" t="s">
        <v>1</v>
      </c>
      <c r="B18" s="1076" t="s">
        <v>2</v>
      </c>
      <c r="C18" s="1077"/>
      <c r="D18" s="1077"/>
      <c r="E18" s="1077"/>
      <c r="F18" s="1077"/>
      <c r="G18" s="1078"/>
      <c r="H18" s="1076" t="s">
        <v>3</v>
      </c>
      <c r="I18" s="1077"/>
      <c r="J18" s="1077"/>
      <c r="K18" s="1077"/>
      <c r="L18" s="1077"/>
      <c r="M18" s="1078"/>
      <c r="N18" s="1091" t="s">
        <v>139</v>
      </c>
      <c r="O18" s="1092"/>
      <c r="P18" s="1092"/>
      <c r="Q18" s="1092"/>
      <c r="R18" s="1092"/>
      <c r="S18" s="1093"/>
      <c r="T18" s="1076" t="s">
        <v>4</v>
      </c>
      <c r="U18" s="1077"/>
      <c r="V18" s="1077"/>
      <c r="W18" s="1077"/>
      <c r="X18" s="1077"/>
      <c r="Y18" s="1078"/>
      <c r="Z18" s="1076" t="s">
        <v>5</v>
      </c>
      <c r="AA18" s="1077"/>
      <c r="AB18" s="1077"/>
      <c r="AC18" s="1077"/>
      <c r="AD18" s="1077"/>
      <c r="AE18" s="1078"/>
      <c r="AI18" s="1153"/>
      <c r="AJ18" s="3018"/>
      <c r="AK18" s="1153"/>
      <c r="AL18" s="1342"/>
      <c r="AM18" s="1153"/>
      <c r="AN18" s="1342"/>
      <c r="AO18" s="1396"/>
      <c r="AP18" s="1153"/>
      <c r="AQ18" s="1342"/>
      <c r="AR18" s="3052"/>
      <c r="AS18" s="1307"/>
      <c r="AT18" s="1307"/>
      <c r="AU18" s="1396"/>
      <c r="AV18" s="1307"/>
      <c r="AW18" s="1342"/>
      <c r="AX18" s="1396"/>
      <c r="AY18" s="1153"/>
      <c r="AZ18" s="3018"/>
      <c r="BA18" s="1396"/>
      <c r="BB18" s="1153"/>
      <c r="BC18" s="1342"/>
      <c r="BD18" s="1396"/>
      <c r="BE18" s="1307"/>
      <c r="BF18" s="1342"/>
      <c r="BG18" s="1126"/>
      <c r="BH18" s="1126"/>
      <c r="BI18" s="1111"/>
      <c r="BJ18" s="1153"/>
      <c r="BK18" s="1153"/>
      <c r="BL18" s="1195"/>
    </row>
    <row r="19" spans="1:64" s="2" customFormat="1" ht="24" customHeight="1" thickBot="1" x14ac:dyDescent="0.3">
      <c r="A19" s="533"/>
      <c r="B19" s="534"/>
      <c r="C19" s="535"/>
      <c r="D19" s="535"/>
      <c r="E19" s="535"/>
      <c r="F19" s="535"/>
      <c r="G19" s="536"/>
      <c r="H19" s="1296" t="s">
        <v>689</v>
      </c>
      <c r="I19" s="1295" t="s">
        <v>1080</v>
      </c>
      <c r="J19" s="1293" t="s">
        <v>711</v>
      </c>
      <c r="K19" s="554"/>
      <c r="L19" s="554"/>
      <c r="M19" s="555"/>
      <c r="N19" s="1296" t="s">
        <v>689</v>
      </c>
      <c r="O19" s="1295" t="s">
        <v>1080</v>
      </c>
      <c r="P19" s="1293" t="s">
        <v>711</v>
      </c>
      <c r="Q19" s="535"/>
      <c r="R19" s="537"/>
      <c r="S19" s="538"/>
      <c r="T19" s="1296" t="s">
        <v>689</v>
      </c>
      <c r="U19" s="1295" t="s">
        <v>1081</v>
      </c>
      <c r="V19" s="1293" t="s">
        <v>711</v>
      </c>
      <c r="W19" s="535"/>
      <c r="X19" s="543"/>
      <c r="Y19" s="545"/>
      <c r="Z19" s="534"/>
      <c r="AA19" s="535"/>
      <c r="AB19" s="535"/>
      <c r="AC19" s="535"/>
      <c r="AD19" s="535"/>
      <c r="AE19" s="536"/>
      <c r="AI19" s="456"/>
      <c r="AJ19" s="551"/>
      <c r="AK19" s="456"/>
      <c r="AL19" s="549"/>
      <c r="AM19" s="456"/>
      <c r="AN19" s="549"/>
      <c r="AO19" s="550"/>
      <c r="AP19" s="456"/>
      <c r="AQ19" s="549"/>
      <c r="AR19" s="532"/>
      <c r="AS19" s="457"/>
      <c r="AT19" s="457"/>
      <c r="AU19" s="550"/>
      <c r="AV19" s="457"/>
      <c r="AW19" s="549"/>
      <c r="AX19" s="550"/>
      <c r="AY19" s="456"/>
      <c r="AZ19" s="551"/>
      <c r="BA19" s="550"/>
      <c r="BB19" s="456"/>
      <c r="BC19" s="549"/>
      <c r="BD19" s="550"/>
      <c r="BE19" s="457"/>
      <c r="BF19" s="549"/>
      <c r="BG19" s="173"/>
      <c r="BH19" s="173"/>
      <c r="BI19" s="276"/>
      <c r="BJ19" s="456"/>
      <c r="BK19" s="456"/>
      <c r="BL19" s="548"/>
    </row>
    <row r="20" spans="1:64" ht="27" customHeight="1" x14ac:dyDescent="0.3">
      <c r="A20" s="2679" t="s">
        <v>187</v>
      </c>
      <c r="B20" s="2956"/>
      <c r="C20" s="2957"/>
      <c r="D20" s="2957"/>
      <c r="E20" s="2957"/>
      <c r="F20" s="2957"/>
      <c r="G20" s="2958"/>
      <c r="H20" s="1118"/>
      <c r="I20" s="1153"/>
      <c r="J20" s="1137"/>
      <c r="K20" s="556"/>
      <c r="L20" s="556"/>
      <c r="M20" s="557"/>
      <c r="N20" s="1118"/>
      <c r="O20" s="1153"/>
      <c r="P20" s="1137"/>
      <c r="Q20" s="558"/>
      <c r="R20" s="558"/>
      <c r="S20" s="559"/>
      <c r="T20" s="1118"/>
      <c r="U20" s="1153"/>
      <c r="V20" s="1137"/>
      <c r="W20" s="88"/>
      <c r="X20" s="87"/>
      <c r="Y20" s="544"/>
      <c r="Z20" s="2956"/>
      <c r="AA20" s="2957"/>
      <c r="AB20" s="2957"/>
      <c r="AC20" s="2957"/>
      <c r="AD20" s="2957"/>
      <c r="AE20" s="2958"/>
    </row>
    <row r="21" spans="1:64" ht="28.5" customHeight="1" x14ac:dyDescent="0.25">
      <c r="A21" s="1455"/>
      <c r="B21" s="1430"/>
      <c r="C21" s="1431"/>
      <c r="D21" s="1431"/>
      <c r="E21" s="1431"/>
      <c r="F21" s="1431"/>
      <c r="G21" s="1432"/>
      <c r="H21" s="1118"/>
      <c r="I21" s="1153"/>
      <c r="J21" s="1137"/>
      <c r="K21" s="556"/>
      <c r="L21" s="556"/>
      <c r="M21" s="557"/>
      <c r="N21" s="1118"/>
      <c r="O21" s="1153"/>
      <c r="P21" s="1137"/>
      <c r="Q21" s="560"/>
      <c r="R21" s="560"/>
      <c r="S21" s="561"/>
      <c r="T21" s="1118"/>
      <c r="U21" s="1153"/>
      <c r="V21" s="1137"/>
      <c r="W21" s="87"/>
      <c r="X21" s="87"/>
      <c r="Y21" s="291"/>
      <c r="Z21" s="1430"/>
      <c r="AA21" s="1431"/>
      <c r="AB21" s="1431"/>
      <c r="AC21" s="1431"/>
      <c r="AD21" s="1431"/>
      <c r="AE21" s="1432"/>
    </row>
    <row r="22" spans="1:64" ht="27" customHeight="1" x14ac:dyDescent="0.3">
      <c r="A22" s="997" t="s">
        <v>186</v>
      </c>
      <c r="B22" s="3023"/>
      <c r="C22" s="3024"/>
      <c r="D22" s="3024"/>
      <c r="E22" s="3024"/>
      <c r="F22" s="3024"/>
      <c r="G22" s="3025"/>
      <c r="H22" s="1118"/>
      <c r="I22" s="1153"/>
      <c r="J22" s="1137"/>
      <c r="K22" s="556"/>
      <c r="L22" s="556"/>
      <c r="M22" s="557"/>
      <c r="N22" s="1118"/>
      <c r="O22" s="1153"/>
      <c r="P22" s="1137"/>
      <c r="Q22" s="562"/>
      <c r="R22" s="562"/>
      <c r="S22" s="563"/>
      <c r="T22" s="1118"/>
      <c r="U22" s="1153"/>
      <c r="V22" s="1137"/>
      <c r="W22" s="88"/>
      <c r="X22" s="294"/>
      <c r="Y22" s="295"/>
      <c r="Z22" s="2956"/>
      <c r="AA22" s="2957"/>
      <c r="AB22" s="2957"/>
      <c r="AC22" s="2957"/>
      <c r="AD22" s="2957"/>
      <c r="AE22" s="2958"/>
    </row>
    <row r="23" spans="1:64" ht="30" customHeight="1" x14ac:dyDescent="0.25">
      <c r="A23" s="1455"/>
      <c r="B23" s="3026"/>
      <c r="C23" s="3027"/>
      <c r="D23" s="3027"/>
      <c r="E23" s="3027"/>
      <c r="F23" s="3027"/>
      <c r="G23" s="3028"/>
      <c r="H23" s="1118"/>
      <c r="I23" s="1153"/>
      <c r="J23" s="1137"/>
      <c r="K23" s="556"/>
      <c r="L23" s="556"/>
      <c r="M23" s="557"/>
      <c r="N23" s="1118"/>
      <c r="O23" s="1153"/>
      <c r="P23" s="1137"/>
      <c r="Q23" s="564"/>
      <c r="R23" s="564"/>
      <c r="S23" s="565"/>
      <c r="T23" s="1118"/>
      <c r="U23" s="1153"/>
      <c r="V23" s="1137"/>
      <c r="W23" s="290"/>
      <c r="X23" s="290"/>
      <c r="Y23" s="291"/>
      <c r="Z23" s="1430"/>
      <c r="AA23" s="1431"/>
      <c r="AB23" s="1431"/>
      <c r="AC23" s="1431"/>
      <c r="AD23" s="1431"/>
      <c r="AE23" s="1432"/>
    </row>
    <row r="24" spans="1:64" ht="27" customHeight="1" x14ac:dyDescent="0.3">
      <c r="A24" s="997" t="s">
        <v>188</v>
      </c>
      <c r="B24" s="1000"/>
      <c r="C24" s="967"/>
      <c r="D24" s="967"/>
      <c r="E24" s="967"/>
      <c r="F24" s="967"/>
      <c r="G24" s="1139"/>
      <c r="H24" s="1119"/>
      <c r="I24" s="1154"/>
      <c r="J24" s="1138"/>
      <c r="K24" s="556"/>
      <c r="L24" s="556"/>
      <c r="M24" s="557"/>
      <c r="N24" s="1119"/>
      <c r="O24" s="1154"/>
      <c r="P24" s="1138"/>
      <c r="Q24" s="428"/>
      <c r="R24" s="428"/>
      <c r="S24" s="396"/>
      <c r="T24" s="1119"/>
      <c r="U24" s="1154"/>
      <c r="V24" s="1138"/>
      <c r="W24" s="546"/>
      <c r="X24" s="10"/>
      <c r="Y24" s="547"/>
      <c r="Z24" s="173"/>
      <c r="AA24" s="173"/>
      <c r="AB24" s="276"/>
      <c r="AC24" s="203"/>
      <c r="AD24" s="173"/>
      <c r="AE24" s="292"/>
    </row>
    <row r="25" spans="1:64" ht="28.5" customHeight="1" x14ac:dyDescent="0.25">
      <c r="A25" s="1455"/>
      <c r="B25" s="1258"/>
      <c r="C25" s="1259"/>
      <c r="D25" s="1259"/>
      <c r="E25" s="1259"/>
      <c r="F25" s="1259"/>
      <c r="G25" s="1260"/>
      <c r="H25" s="1430"/>
      <c r="I25" s="1431"/>
      <c r="J25" s="1431"/>
      <c r="K25" s="1431"/>
      <c r="L25" s="1431"/>
      <c r="M25" s="1432"/>
      <c r="N25" s="1258"/>
      <c r="O25" s="1259"/>
      <c r="P25" s="1259"/>
      <c r="Q25" s="1259"/>
      <c r="R25" s="1259"/>
      <c r="S25" s="1260"/>
      <c r="V25" s="332"/>
      <c r="W25" s="1178"/>
      <c r="X25" s="1197"/>
      <c r="Y25" s="1103"/>
      <c r="Z25" s="280"/>
      <c r="AA25" s="280"/>
      <c r="AB25" s="276"/>
      <c r="AC25" s="203"/>
      <c r="AD25" s="173"/>
      <c r="AE25" s="277"/>
    </row>
    <row r="26" spans="1:64" ht="30" hidden="1" customHeight="1" x14ac:dyDescent="0.25">
      <c r="A26" s="997" t="s">
        <v>189</v>
      </c>
      <c r="B26" s="524"/>
      <c r="C26" s="525"/>
      <c r="D26" s="525"/>
      <c r="E26" s="525"/>
      <c r="F26" s="525"/>
      <c r="G26" s="526"/>
      <c r="H26" s="3049"/>
      <c r="I26" s="3050"/>
      <c r="J26" s="3050"/>
      <c r="K26" s="3050"/>
      <c r="L26" s="3050"/>
      <c r="M26" s="3051"/>
      <c r="N26" s="3049"/>
      <c r="O26" s="3050"/>
      <c r="P26" s="3050"/>
      <c r="Q26" s="3050"/>
      <c r="R26" s="3050"/>
      <c r="S26" s="3051"/>
      <c r="T26" s="539"/>
      <c r="U26" s="540"/>
      <c r="V26" s="540"/>
      <c r="W26" s="1113"/>
      <c r="X26" s="1126"/>
      <c r="Y26" s="1104"/>
      <c r="Z26" s="3050"/>
      <c r="AA26" s="3050"/>
      <c r="AB26" s="3050"/>
      <c r="AC26" s="3050"/>
      <c r="AD26" s="3050"/>
      <c r="AE26" s="3051"/>
    </row>
    <row r="27" spans="1:64" ht="30" hidden="1" customHeight="1" x14ac:dyDescent="0.25">
      <c r="A27" s="1455"/>
      <c r="B27" s="524"/>
      <c r="C27" s="525"/>
      <c r="D27" s="527"/>
      <c r="E27" s="525"/>
      <c r="F27" s="525"/>
      <c r="G27" s="526"/>
      <c r="H27" s="1430"/>
      <c r="I27" s="1431"/>
      <c r="J27" s="1431"/>
      <c r="K27" s="1431"/>
      <c r="L27" s="1431"/>
      <c r="M27" s="1432"/>
      <c r="N27" s="1430"/>
      <c r="O27" s="1431"/>
      <c r="P27" s="1431"/>
      <c r="Q27" s="1431"/>
      <c r="R27" s="1431"/>
      <c r="S27" s="1432"/>
      <c r="T27" s="541"/>
      <c r="U27" s="542"/>
      <c r="V27" s="542"/>
      <c r="W27" s="1113"/>
      <c r="X27" s="1126"/>
      <c r="Y27" s="1104"/>
      <c r="Z27" s="1431"/>
      <c r="AA27" s="1431"/>
      <c r="AB27" s="1431"/>
      <c r="AC27" s="1431"/>
      <c r="AD27" s="1431"/>
      <c r="AE27" s="1432"/>
    </row>
    <row r="28" spans="1:64" ht="30" hidden="1" customHeight="1" x14ac:dyDescent="0.25">
      <c r="A28" s="997" t="s">
        <v>190</v>
      </c>
      <c r="B28" s="529"/>
      <c r="C28" s="530"/>
      <c r="D28" s="525"/>
      <c r="E28" s="530"/>
      <c r="F28" s="530"/>
      <c r="G28" s="531"/>
      <c r="H28" s="435"/>
      <c r="I28" s="436"/>
      <c r="J28" s="436"/>
      <c r="K28" s="436"/>
      <c r="L28" s="436"/>
      <c r="M28" s="437"/>
      <c r="N28" s="524"/>
      <c r="O28" s="525"/>
      <c r="P28" s="525"/>
      <c r="Q28" s="525"/>
      <c r="R28" s="525"/>
      <c r="S28" s="526"/>
      <c r="T28" s="191"/>
      <c r="U28" s="173"/>
      <c r="V28" s="276"/>
      <c r="W28" s="1113"/>
      <c r="X28" s="1126"/>
      <c r="Y28" s="1104"/>
      <c r="Z28" s="173"/>
      <c r="AA28" s="173"/>
      <c r="AB28" s="276"/>
      <c r="AC28" s="203"/>
      <c r="AD28" s="173"/>
      <c r="AE28" s="277"/>
    </row>
    <row r="29" spans="1:64" ht="30" hidden="1" customHeight="1" x14ac:dyDescent="0.25">
      <c r="A29" s="1455"/>
      <c r="B29" s="524"/>
      <c r="C29" s="525"/>
      <c r="D29" s="525"/>
      <c r="E29" s="525"/>
      <c r="F29" s="525"/>
      <c r="G29" s="526"/>
      <c r="H29" s="435"/>
      <c r="I29" s="436"/>
      <c r="J29" s="436"/>
      <c r="K29" s="436"/>
      <c r="L29" s="436"/>
      <c r="M29" s="437"/>
      <c r="N29" s="524"/>
      <c r="O29" s="525"/>
      <c r="P29" s="525"/>
      <c r="Q29" s="525"/>
      <c r="R29" s="525"/>
      <c r="S29" s="526"/>
      <c r="T29" s="191"/>
      <c r="U29" s="280"/>
      <c r="V29" s="346"/>
      <c r="W29" s="1113"/>
      <c r="X29" s="1126"/>
      <c r="Y29" s="1104"/>
      <c r="Z29" s="280"/>
      <c r="AA29" s="173"/>
      <c r="AB29" s="276"/>
      <c r="AC29" s="203"/>
      <c r="AD29" s="173"/>
      <c r="AE29" s="277"/>
    </row>
    <row r="30" spans="1:64" ht="27" hidden="1" customHeight="1" x14ac:dyDescent="0.3">
      <c r="A30" s="997" t="s">
        <v>191</v>
      </c>
      <c r="B30" s="1000"/>
      <c r="C30" s="967"/>
      <c r="D30" s="967"/>
      <c r="E30" s="967"/>
      <c r="F30" s="967"/>
      <c r="G30" s="1139"/>
      <c r="H30" s="2956"/>
      <c r="I30" s="2957"/>
      <c r="J30" s="2957"/>
      <c r="K30" s="2957"/>
      <c r="L30" s="2957"/>
      <c r="M30" s="2958"/>
      <c r="N30" s="1000"/>
      <c r="O30" s="967"/>
      <c r="P30" s="967"/>
      <c r="Q30" s="967"/>
      <c r="R30" s="967"/>
      <c r="S30" s="1139"/>
      <c r="T30" s="197"/>
      <c r="W30" s="1114"/>
      <c r="X30" s="1142"/>
      <c r="Y30" s="1105"/>
      <c r="Z30" s="173"/>
      <c r="AA30" s="279"/>
      <c r="AB30" s="293"/>
      <c r="AC30" s="278"/>
      <c r="AD30" s="279"/>
      <c r="AE30" s="292"/>
      <c r="AF30" s="33"/>
    </row>
    <row r="31" spans="1:64" ht="2.25" hidden="1" customHeight="1" x14ac:dyDescent="0.25">
      <c r="A31" s="1455"/>
      <c r="B31" s="1258"/>
      <c r="C31" s="1259"/>
      <c r="D31" s="1259"/>
      <c r="E31" s="1259"/>
      <c r="F31" s="1259"/>
      <c r="G31" s="1260"/>
      <c r="H31" s="1430"/>
      <c r="I31" s="1431"/>
      <c r="J31" s="1431"/>
      <c r="K31" s="1431"/>
      <c r="L31" s="1431"/>
      <c r="M31" s="1432"/>
      <c r="N31" s="1258"/>
      <c r="O31" s="1259"/>
      <c r="P31" s="1259"/>
      <c r="Q31" s="1259"/>
      <c r="R31" s="1259"/>
      <c r="S31" s="1260"/>
      <c r="T31" s="345"/>
      <c r="U31" s="280"/>
      <c r="V31" s="346"/>
      <c r="W31" s="288"/>
      <c r="X31" s="288"/>
      <c r="Y31" s="289"/>
      <c r="Z31" s="173"/>
      <c r="AA31" s="280"/>
      <c r="AB31" s="276"/>
      <c r="AC31" s="203"/>
      <c r="AD31" s="173"/>
      <c r="AE31" s="277"/>
    </row>
    <row r="32" spans="1:64" ht="12" customHeight="1" x14ac:dyDescent="0.3">
      <c r="A32" s="3030"/>
      <c r="B32" s="3031"/>
      <c r="C32" s="3031"/>
      <c r="D32" s="3031"/>
      <c r="E32" s="3031"/>
      <c r="F32" s="3031"/>
      <c r="G32" s="3031"/>
      <c r="H32" s="3031"/>
      <c r="I32" s="3031"/>
      <c r="J32" s="3031"/>
      <c r="K32" s="3031"/>
      <c r="L32" s="3031"/>
      <c r="M32" s="3031"/>
      <c r="N32" s="3031"/>
      <c r="O32" s="3031"/>
      <c r="P32" s="3031"/>
      <c r="Q32" s="3031"/>
      <c r="R32" s="3031"/>
      <c r="S32" s="3031"/>
      <c r="T32" s="3031"/>
      <c r="U32" s="3031"/>
      <c r="V32" s="3031"/>
      <c r="W32" s="3031"/>
      <c r="X32" s="3031"/>
      <c r="Y32" s="3031"/>
      <c r="Z32" s="3031"/>
      <c r="AA32" s="3031"/>
      <c r="AB32" s="3031"/>
      <c r="AC32" s="3031"/>
      <c r="AD32" s="3031"/>
      <c r="AE32" s="3031"/>
      <c r="AF32" s="10"/>
      <c r="AG32" s="10"/>
      <c r="AH32" s="10"/>
      <c r="AI32" s="10"/>
      <c r="AJ32" s="10"/>
    </row>
    <row r="33" spans="1:50" ht="12" customHeight="1" x14ac:dyDescent="0.3">
      <c r="A33" s="3032"/>
      <c r="B33" s="3033"/>
      <c r="C33" s="3033"/>
      <c r="D33" s="3033"/>
      <c r="E33" s="3033"/>
      <c r="F33" s="3033"/>
      <c r="G33" s="3033"/>
      <c r="H33" s="3033"/>
      <c r="I33" s="3033"/>
      <c r="J33" s="3033"/>
      <c r="K33" s="3033"/>
      <c r="L33" s="3033"/>
      <c r="M33" s="3033"/>
      <c r="N33" s="3033"/>
      <c r="O33" s="3033"/>
      <c r="P33" s="3033"/>
      <c r="Q33" s="3033"/>
      <c r="R33" s="3033"/>
      <c r="S33" s="3033"/>
      <c r="T33" s="3033"/>
      <c r="U33" s="3033"/>
      <c r="V33" s="3033"/>
      <c r="W33" s="3033"/>
      <c r="X33" s="3033"/>
      <c r="Y33" s="3033"/>
      <c r="Z33" s="3033"/>
      <c r="AA33" s="3033"/>
      <c r="AB33" s="3033"/>
      <c r="AC33" s="3033"/>
      <c r="AD33" s="3033"/>
      <c r="AE33" s="3033"/>
      <c r="AF33" s="10"/>
      <c r="AG33" s="10"/>
      <c r="AH33" s="10"/>
      <c r="AI33" s="10"/>
      <c r="AJ33" s="10"/>
    </row>
    <row r="34" spans="1:50" ht="11.25" customHeight="1" x14ac:dyDescent="0.25">
      <c r="A34" s="426"/>
      <c r="AF34" s="10"/>
      <c r="AG34" s="10"/>
      <c r="AH34" s="10"/>
      <c r="AI34" s="10"/>
      <c r="AJ34" s="10"/>
    </row>
    <row r="35" spans="1:50" ht="20.25" customHeight="1" x14ac:dyDescent="0.25"/>
    <row r="36" spans="1:50" ht="18.75" customHeight="1" x14ac:dyDescent="0.25">
      <c r="A36" s="3029" t="s">
        <v>218</v>
      </c>
      <c r="B36" s="2991"/>
      <c r="C36" s="995" t="s">
        <v>219</v>
      </c>
      <c r="D36" s="952"/>
      <c r="E36" s="952"/>
      <c r="F36" s="952"/>
      <c r="G36" s="952"/>
      <c r="H36" s="952"/>
      <c r="I36" s="952"/>
      <c r="J36" s="952"/>
      <c r="K36" s="952"/>
      <c r="L36" s="168"/>
      <c r="M36" s="996" t="s">
        <v>629</v>
      </c>
      <c r="N36" s="951"/>
      <c r="O36" s="995" t="s">
        <v>143</v>
      </c>
      <c r="P36" s="953"/>
      <c r="Q36" s="995" t="s">
        <v>167</v>
      </c>
      <c r="R36" s="952"/>
      <c r="S36" s="952"/>
      <c r="T36" s="952"/>
      <c r="U36" s="952"/>
      <c r="V36" s="952"/>
      <c r="W36" s="952"/>
      <c r="X36" s="952"/>
      <c r="Y36" s="952"/>
      <c r="Z36" s="952"/>
      <c r="AA36" s="952"/>
      <c r="AB36" s="952"/>
      <c r="AC36" s="952"/>
      <c r="AD36" s="952"/>
      <c r="AE36" s="953"/>
    </row>
    <row r="37" spans="1:50" ht="15" customHeight="1" x14ac:dyDescent="0.25">
      <c r="A37" s="1063" t="s">
        <v>928</v>
      </c>
      <c r="B37" s="1064"/>
      <c r="C37" s="992" t="str">
        <f>ASIGNATURAS!I314</f>
        <v>Algebra</v>
      </c>
      <c r="D37" s="993"/>
      <c r="E37" s="993"/>
      <c r="F37" s="993"/>
      <c r="G37" s="993"/>
      <c r="H37" s="993"/>
      <c r="I37" s="993"/>
      <c r="J37" s="993"/>
      <c r="K37" s="993"/>
      <c r="L37" s="982"/>
      <c r="M37" s="994">
        <v>8213</v>
      </c>
      <c r="N37" s="981"/>
      <c r="O37" s="994">
        <v>6</v>
      </c>
      <c r="P37" s="981"/>
      <c r="Q37" s="992" t="str">
        <f>ASIGNATURAS!K314</f>
        <v>Antonio Manzano Rodríguez</v>
      </c>
      <c r="R37" s="993"/>
      <c r="S37" s="993"/>
      <c r="T37" s="993"/>
      <c r="U37" s="993"/>
      <c r="V37" s="993"/>
      <c r="W37" s="993"/>
      <c r="X37" s="993"/>
      <c r="Y37" s="993"/>
      <c r="Z37" s="993"/>
      <c r="AA37" s="993"/>
      <c r="AB37" s="993"/>
      <c r="AC37" s="993"/>
      <c r="AD37" s="993"/>
      <c r="AE37" s="982"/>
    </row>
    <row r="38" spans="1:50" ht="14.25" customHeight="1" x14ac:dyDescent="0.25">
      <c r="A38" s="1063" t="s">
        <v>1036</v>
      </c>
      <c r="B38" s="1064"/>
      <c r="C38" s="992" t="str">
        <f>ASIGNATURAS!I315</f>
        <v>Física Aplicada a la Salud</v>
      </c>
      <c r="D38" s="993"/>
      <c r="E38" s="993"/>
      <c r="F38" s="993"/>
      <c r="G38" s="993"/>
      <c r="H38" s="993"/>
      <c r="I38" s="993"/>
      <c r="J38" s="993"/>
      <c r="K38" s="993"/>
      <c r="L38" s="982"/>
      <c r="M38" s="994">
        <v>8214</v>
      </c>
      <c r="N38" s="981"/>
      <c r="O38" s="994">
        <v>6</v>
      </c>
      <c r="P38" s="981"/>
      <c r="Q38" s="992" t="str">
        <f>ASIGNATURAS!K315</f>
        <v>Flavio Mercati, Manuel Iván González</v>
      </c>
      <c r="R38" s="993"/>
      <c r="S38" s="993"/>
      <c r="T38" s="993"/>
      <c r="U38" s="993"/>
      <c r="V38" s="993"/>
      <c r="W38" s="993"/>
      <c r="X38" s="993"/>
      <c r="Y38" s="993"/>
      <c r="Z38" s="993"/>
      <c r="AA38" s="993"/>
      <c r="AB38" s="993"/>
      <c r="AC38" s="993"/>
      <c r="AD38" s="993"/>
      <c r="AE38" s="982"/>
      <c r="AK38" s="425"/>
      <c r="AL38" s="425"/>
      <c r="AM38" s="425"/>
      <c r="AN38" s="425"/>
      <c r="AO38" s="425"/>
      <c r="AP38" s="425"/>
      <c r="AQ38" s="425"/>
      <c r="AR38" s="425"/>
      <c r="AS38" s="425"/>
      <c r="AT38" s="425"/>
      <c r="AU38" s="425"/>
      <c r="AV38" s="425"/>
      <c r="AW38" s="425"/>
      <c r="AX38" s="425"/>
    </row>
    <row r="39" spans="1:50" ht="15" customHeight="1" x14ac:dyDescent="0.25">
      <c r="A39" s="1063" t="s">
        <v>1035</v>
      </c>
      <c r="B39" s="1064"/>
      <c r="C39" s="992" t="str">
        <f>ASIGNATURAS!I316</f>
        <v>F. Bioéticos, Deontológicos y Jurídicos de la Salud</v>
      </c>
      <c r="D39" s="993"/>
      <c r="E39" s="993"/>
      <c r="F39" s="993"/>
      <c r="G39" s="993"/>
      <c r="H39" s="993"/>
      <c r="I39" s="993"/>
      <c r="J39" s="993"/>
      <c r="K39" s="993"/>
      <c r="L39" s="982"/>
      <c r="M39" s="994">
        <v>8215</v>
      </c>
      <c r="N39" s="981"/>
      <c r="O39" s="994">
        <v>6</v>
      </c>
      <c r="P39" s="981"/>
      <c r="Q39" s="992" t="str">
        <f>ASIGNATURAS!K316</f>
        <v>Rosa María Sanchez, Juan Ayllon Barasoain</v>
      </c>
      <c r="R39" s="993"/>
      <c r="S39" s="993"/>
      <c r="T39" s="993"/>
      <c r="U39" s="993"/>
      <c r="V39" s="993"/>
      <c r="W39" s="993"/>
      <c r="X39" s="993"/>
      <c r="Y39" s="993"/>
      <c r="Z39" s="993"/>
      <c r="AA39" s="993"/>
      <c r="AB39" s="993"/>
      <c r="AC39" s="993"/>
      <c r="AD39" s="993"/>
      <c r="AE39" s="982"/>
      <c r="AK39" s="425"/>
      <c r="AL39" s="425"/>
      <c r="AM39" s="425"/>
      <c r="AN39" s="425"/>
      <c r="AO39" s="425"/>
      <c r="AP39" s="425"/>
      <c r="AQ39" s="425"/>
      <c r="AR39" s="425"/>
      <c r="AS39" s="425"/>
      <c r="AT39" s="425"/>
      <c r="AU39" s="425"/>
      <c r="AV39" s="425"/>
      <c r="AW39" s="425"/>
      <c r="AX39" s="425"/>
    </row>
    <row r="40" spans="1:50" ht="15" customHeight="1" x14ac:dyDescent="0.25">
      <c r="A40" s="1063" t="s">
        <v>949</v>
      </c>
      <c r="B40" s="1064"/>
      <c r="C40" s="982" t="str">
        <f>ASIGNATURAS!I317</f>
        <v>Informática Básica</v>
      </c>
      <c r="D40" s="983"/>
      <c r="E40" s="983"/>
      <c r="F40" s="983"/>
      <c r="G40" s="983"/>
      <c r="H40" s="983"/>
      <c r="I40" s="983"/>
      <c r="J40" s="983"/>
      <c r="K40" s="983"/>
      <c r="L40" s="983"/>
      <c r="M40" s="994">
        <v>8216</v>
      </c>
      <c r="N40" s="981"/>
      <c r="O40" s="981">
        <v>6</v>
      </c>
      <c r="P40" s="972"/>
      <c r="Q40" s="992" t="str">
        <f>ASIGNATURAS!K317</f>
        <v>Carlos Pardo Aguilar, Jose Francisco Díez</v>
      </c>
      <c r="R40" s="993"/>
      <c r="S40" s="993"/>
      <c r="T40" s="993"/>
      <c r="U40" s="993"/>
      <c r="V40" s="993"/>
      <c r="W40" s="993"/>
      <c r="X40" s="993"/>
      <c r="Y40" s="993"/>
      <c r="Z40" s="993"/>
      <c r="AA40" s="993"/>
      <c r="AB40" s="993"/>
      <c r="AC40" s="993"/>
      <c r="AD40" s="993"/>
      <c r="AE40" s="982"/>
      <c r="AK40" s="425"/>
      <c r="AL40" s="425"/>
      <c r="AM40" s="425"/>
      <c r="AN40" s="425"/>
      <c r="AO40" s="425"/>
      <c r="AP40" s="425"/>
      <c r="AQ40" s="425"/>
      <c r="AR40" s="425"/>
      <c r="AS40" s="425"/>
      <c r="AT40" s="425"/>
      <c r="AU40" s="425"/>
      <c r="AV40" s="425"/>
      <c r="AW40" s="425"/>
      <c r="AX40" s="425"/>
    </row>
    <row r="41" spans="1:50" ht="15" customHeight="1" x14ac:dyDescent="0.25">
      <c r="A41" s="1063" t="s">
        <v>689</v>
      </c>
      <c r="B41" s="1064"/>
      <c r="C41" s="982" t="str">
        <f>ASIGNATURAS!I318</f>
        <v>Biología Celular y Genética</v>
      </c>
      <c r="D41" s="983"/>
      <c r="E41" s="983"/>
      <c r="F41" s="983"/>
      <c r="G41" s="983"/>
      <c r="H41" s="983"/>
      <c r="I41" s="983"/>
      <c r="J41" s="983"/>
      <c r="K41" s="983"/>
      <c r="L41" s="983"/>
      <c r="M41" s="994">
        <v>8217</v>
      </c>
      <c r="N41" s="981"/>
      <c r="O41" s="981">
        <v>6</v>
      </c>
      <c r="P41" s="972"/>
      <c r="Q41" s="992" t="str">
        <f>ASIGNATURAS!K318</f>
        <v>Mª Concepción Pilar , Mónica Cavia , Silvia Sevillano</v>
      </c>
      <c r="R41" s="993"/>
      <c r="S41" s="993"/>
      <c r="T41" s="993"/>
      <c r="U41" s="993"/>
      <c r="V41" s="993"/>
      <c r="W41" s="993"/>
      <c r="X41" s="993"/>
      <c r="Y41" s="993"/>
      <c r="Z41" s="993"/>
      <c r="AA41" s="993"/>
      <c r="AB41" s="993"/>
      <c r="AC41" s="993"/>
      <c r="AD41" s="993"/>
      <c r="AE41" s="982"/>
      <c r="AK41" s="425"/>
      <c r="AL41" s="425"/>
      <c r="AM41" s="425"/>
      <c r="AN41" s="425"/>
      <c r="AO41" s="425"/>
      <c r="AP41" s="425"/>
      <c r="AQ41" s="425"/>
      <c r="AR41" s="425"/>
      <c r="AS41" s="425"/>
      <c r="AT41" s="425"/>
      <c r="AU41" s="425"/>
      <c r="AV41" s="425"/>
      <c r="AW41" s="425"/>
      <c r="AX41" s="425"/>
    </row>
    <row r="42" spans="1:50" ht="15" customHeight="1" x14ac:dyDescent="0.25">
      <c r="A42" s="567"/>
      <c r="B42" s="567"/>
      <c r="C42" s="520"/>
      <c r="D42" s="520"/>
      <c r="E42" s="520"/>
      <c r="F42" s="520"/>
      <c r="G42" s="520"/>
      <c r="H42" s="520"/>
      <c r="I42" s="520"/>
      <c r="J42" s="520"/>
      <c r="K42" s="520"/>
      <c r="L42" s="520"/>
      <c r="M42" s="521"/>
      <c r="N42" s="521"/>
      <c r="O42" s="521"/>
      <c r="P42" s="521"/>
      <c r="Q42" s="520"/>
      <c r="R42" s="520"/>
      <c r="S42" s="520"/>
      <c r="T42" s="520"/>
      <c r="U42" s="520"/>
      <c r="V42" s="520"/>
      <c r="W42" s="520"/>
      <c r="X42" s="520"/>
      <c r="Y42" s="520"/>
      <c r="Z42" s="520"/>
      <c r="AA42" s="520"/>
      <c r="AB42" s="520"/>
      <c r="AC42" s="520"/>
      <c r="AD42" s="520"/>
      <c r="AE42" s="520"/>
      <c r="AK42" s="425"/>
      <c r="AL42" s="425"/>
      <c r="AM42" s="425"/>
      <c r="AN42" s="425"/>
      <c r="AO42" s="425"/>
      <c r="AP42" s="425"/>
      <c r="AQ42" s="425"/>
      <c r="AR42" s="425"/>
      <c r="AS42" s="425"/>
      <c r="AT42" s="425"/>
      <c r="AU42" s="425"/>
      <c r="AV42" s="425"/>
      <c r="AW42" s="425"/>
      <c r="AX42" s="425"/>
    </row>
    <row r="43" spans="1:50" x14ac:dyDescent="0.25">
      <c r="A43" s="566" t="s">
        <v>1086</v>
      </c>
      <c r="B43" s="350"/>
      <c r="C43" s="350"/>
      <c r="D43" s="350"/>
      <c r="E43" s="350"/>
      <c r="F43" s="350"/>
      <c r="G43" s="350"/>
      <c r="H43" s="350"/>
      <c r="I43" s="350"/>
      <c r="J43" s="350"/>
      <c r="K43" s="350"/>
      <c r="L43" s="350"/>
      <c r="M43" s="350"/>
      <c r="N43" s="350"/>
      <c r="O43" s="350"/>
      <c r="P43" s="350"/>
      <c r="Q43" s="350"/>
      <c r="R43" s="350"/>
      <c r="S43" s="350"/>
      <c r="T43" s="350"/>
      <c r="U43" s="350"/>
      <c r="V43" s="350"/>
      <c r="W43" s="350"/>
      <c r="X43" s="350"/>
      <c r="Y43" s="350"/>
      <c r="AK43" s="10"/>
      <c r="AL43" s="10"/>
      <c r="AM43" s="10"/>
      <c r="AN43" s="10"/>
      <c r="AO43" s="10"/>
      <c r="AP43" s="10"/>
      <c r="AQ43" s="10"/>
      <c r="AR43" s="10"/>
      <c r="AS43" s="10"/>
    </row>
    <row r="44" spans="1:50" x14ac:dyDescent="0.25">
      <c r="A44" s="350" t="s">
        <v>1085</v>
      </c>
      <c r="B44" s="350"/>
      <c r="C44" s="350"/>
      <c r="D44" s="350"/>
      <c r="E44" s="350"/>
      <c r="F44" s="350"/>
      <c r="G44" s="350"/>
      <c r="H44" s="350"/>
      <c r="I44" s="350"/>
      <c r="J44" s="350"/>
      <c r="K44" s="350"/>
      <c r="L44" s="350"/>
      <c r="M44" s="350"/>
      <c r="N44" s="350"/>
      <c r="O44" s="350"/>
      <c r="P44" s="350"/>
      <c r="Q44" s="350"/>
      <c r="R44" s="350"/>
      <c r="S44" s="350"/>
      <c r="T44" s="350"/>
      <c r="U44" s="350"/>
      <c r="V44" s="350"/>
      <c r="W44" s="350"/>
      <c r="X44" s="350"/>
      <c r="Y44" s="350"/>
      <c r="AK44" s="10"/>
      <c r="AL44" s="10"/>
      <c r="AM44" s="10"/>
      <c r="AN44" s="10"/>
      <c r="AO44" s="10"/>
      <c r="AP44" s="10"/>
      <c r="AQ44" s="10"/>
      <c r="AR44" s="10"/>
      <c r="AS44" s="10"/>
    </row>
    <row r="45" spans="1:50" ht="15" customHeight="1" x14ac:dyDescent="0.25">
      <c r="A45" s="350" t="s">
        <v>1084</v>
      </c>
      <c r="B45" s="350"/>
      <c r="C45" s="350"/>
      <c r="D45" s="350"/>
      <c r="E45" s="350"/>
      <c r="F45" s="350"/>
      <c r="G45" s="350"/>
      <c r="H45" s="350"/>
      <c r="I45" s="350"/>
      <c r="J45" s="350"/>
      <c r="K45" s="350"/>
      <c r="L45" s="350"/>
      <c r="M45" s="350"/>
      <c r="N45" s="350"/>
      <c r="O45" s="350"/>
      <c r="P45" s="350"/>
      <c r="Q45" s="350"/>
      <c r="R45" s="350"/>
      <c r="S45" s="350"/>
      <c r="T45" s="350"/>
      <c r="U45" s="350"/>
      <c r="V45" s="350"/>
      <c r="W45" s="350"/>
      <c r="X45" s="350"/>
      <c r="Y45" s="350"/>
      <c r="AK45" s="10"/>
      <c r="AL45" s="10"/>
      <c r="AM45" s="10"/>
      <c r="AN45" s="10"/>
      <c r="AO45" s="10"/>
      <c r="AP45" s="10"/>
      <c r="AQ45" s="10"/>
      <c r="AR45" s="10"/>
      <c r="AS45" s="10"/>
    </row>
    <row r="46" spans="1:50" ht="16.5" customHeight="1" x14ac:dyDescent="0.25">
      <c r="A46" s="350" t="s">
        <v>1082</v>
      </c>
    </row>
    <row r="47" spans="1:50" ht="24" customHeight="1" x14ac:dyDescent="0.25">
      <c r="A47" s="570"/>
      <c r="B47" s="10"/>
      <c r="C47" s="10"/>
      <c r="D47" s="10"/>
      <c r="E47" s="10"/>
      <c r="F47" s="10"/>
      <c r="G47" s="10"/>
      <c r="H47" s="10"/>
      <c r="I47" s="10"/>
    </row>
    <row r="48" spans="1:50" ht="17.25" customHeight="1" x14ac:dyDescent="0.25">
      <c r="A48" s="2995" t="s">
        <v>169</v>
      </c>
      <c r="B48" s="2996"/>
      <c r="C48" s="2996"/>
      <c r="D48" s="2996"/>
      <c r="E48" s="2997"/>
    </row>
    <row r="49" spans="1:54" ht="24" customHeight="1" x14ac:dyDescent="0.25">
      <c r="A49" s="2999" t="s">
        <v>1083</v>
      </c>
      <c r="B49" s="3000"/>
      <c r="C49" s="3000"/>
      <c r="D49" s="3000"/>
      <c r="E49" s="3001"/>
      <c r="G49" s="25" t="s">
        <v>735</v>
      </c>
    </row>
    <row r="50" spans="1:54"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1" spans="1:54"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row>
    <row r="52" spans="1:54" s="1" customFormat="1" ht="60.75" customHeight="1" x14ac:dyDescent="0.4">
      <c r="A52" s="974" t="s">
        <v>687</v>
      </c>
      <c r="B52" s="975"/>
      <c r="C52" s="975"/>
      <c r="D52" s="975"/>
      <c r="E52" s="975"/>
      <c r="F52" s="975"/>
      <c r="G52" s="975"/>
      <c r="H52" s="975"/>
      <c r="I52" s="975"/>
      <c r="J52" s="975"/>
      <c r="K52" s="975"/>
      <c r="L52" s="975"/>
      <c r="M52" s="975"/>
      <c r="N52" s="975"/>
      <c r="O52" s="975"/>
      <c r="P52" s="975"/>
      <c r="Q52" s="975"/>
      <c r="R52" s="975"/>
      <c r="S52" s="975"/>
      <c r="T52" s="975"/>
      <c r="U52" s="975"/>
      <c r="V52" s="975"/>
      <c r="W52" s="975"/>
      <c r="X52" s="975"/>
      <c r="Y52" s="976"/>
      <c r="Z52" s="988" t="str">
        <f>Z1</f>
        <v>Curso 2024-2025</v>
      </c>
      <c r="AA52" s="988"/>
      <c r="AB52" s="988"/>
      <c r="AC52" s="988"/>
      <c r="AD52" s="988"/>
      <c r="AE52" s="989"/>
    </row>
    <row r="53" spans="1:54" s="8" customFormat="1" ht="23.25" customHeight="1" x14ac:dyDescent="0.4">
      <c r="A53" s="960" t="s">
        <v>1042</v>
      </c>
      <c r="B53" s="961"/>
      <c r="C53" s="961"/>
      <c r="D53" s="961"/>
      <c r="E53" s="961"/>
      <c r="F53" s="961"/>
      <c r="G53" s="961"/>
      <c r="H53" s="961"/>
      <c r="I53" s="961"/>
      <c r="J53" s="961"/>
      <c r="K53" s="961"/>
      <c r="L53" s="961"/>
      <c r="M53" s="961"/>
      <c r="N53" s="961"/>
      <c r="O53" s="961"/>
      <c r="P53" s="961"/>
      <c r="Q53" s="961"/>
      <c r="R53" s="961"/>
      <c r="S53" s="961"/>
      <c r="T53" s="961"/>
      <c r="U53" s="961"/>
      <c r="V53" s="961"/>
      <c r="W53" s="961"/>
      <c r="X53" s="961"/>
      <c r="Y53" s="962"/>
      <c r="Z53" s="984" t="s">
        <v>563</v>
      </c>
      <c r="AA53" s="984"/>
      <c r="AB53" s="984"/>
      <c r="AC53" s="984"/>
      <c r="AD53" s="984"/>
      <c r="AE53" s="985"/>
    </row>
    <row r="54" spans="1:54" s="8" customFormat="1" ht="23.25" customHeight="1" x14ac:dyDescent="0.4">
      <c r="A54" s="963" t="s">
        <v>142</v>
      </c>
      <c r="B54" s="964"/>
      <c r="C54" s="964"/>
      <c r="D54" s="964"/>
      <c r="E54" s="964"/>
      <c r="F54" s="964"/>
      <c r="G54" s="964"/>
      <c r="H54" s="964"/>
      <c r="I54" s="964"/>
      <c r="J54" s="964"/>
      <c r="K54" s="964"/>
      <c r="L54" s="964"/>
      <c r="M54" s="964"/>
      <c r="N54" s="964"/>
      <c r="O54" s="964"/>
      <c r="P54" s="964"/>
      <c r="Q54" s="964"/>
      <c r="R54" s="964"/>
      <c r="S54" s="964"/>
      <c r="T54" s="964"/>
      <c r="U54" s="964"/>
      <c r="V54" s="964"/>
      <c r="W54" s="964"/>
      <c r="X54" s="964"/>
      <c r="Y54" s="965"/>
      <c r="Z54" s="986"/>
      <c r="AA54" s="986"/>
      <c r="AB54" s="986"/>
      <c r="AC54" s="986"/>
      <c r="AD54" s="986"/>
      <c r="AE54" s="987"/>
    </row>
    <row r="55" spans="1:54" ht="38.25" customHeight="1" thickBot="1" x14ac:dyDescent="0.3">
      <c r="A55" s="9" t="s">
        <v>716</v>
      </c>
      <c r="B55" s="198"/>
    </row>
    <row r="56" spans="1:54" s="2" customFormat="1" ht="24" customHeight="1" thickBot="1" x14ac:dyDescent="0.3">
      <c r="A56" s="167" t="s">
        <v>1</v>
      </c>
      <c r="B56" s="2998" t="s">
        <v>2</v>
      </c>
      <c r="C56" s="1092"/>
      <c r="D56" s="1092"/>
      <c r="E56" s="1092"/>
      <c r="F56" s="1092"/>
      <c r="G56" s="2748"/>
      <c r="H56" s="2998" t="s">
        <v>3</v>
      </c>
      <c r="I56" s="1092"/>
      <c r="J56" s="1092"/>
      <c r="K56" s="1092"/>
      <c r="L56" s="1092"/>
      <c r="M56" s="2748"/>
      <c r="N56" s="2998" t="s">
        <v>139</v>
      </c>
      <c r="O56" s="1092"/>
      <c r="P56" s="1092"/>
      <c r="Q56" s="1092"/>
      <c r="R56" s="1092"/>
      <c r="S56" s="2748"/>
      <c r="T56" s="2998" t="s">
        <v>4</v>
      </c>
      <c r="U56" s="1092"/>
      <c r="V56" s="1092"/>
      <c r="W56" s="1092"/>
      <c r="X56" s="1092"/>
      <c r="Y56" s="2748"/>
      <c r="Z56" s="2998" t="s">
        <v>5</v>
      </c>
      <c r="AA56" s="1092"/>
      <c r="AB56" s="1092"/>
      <c r="AC56" s="1092"/>
      <c r="AD56" s="1092"/>
      <c r="AE56" s="1092"/>
      <c r="AF56" s="282"/>
      <c r="AG56" s="282"/>
      <c r="AH56" s="282"/>
      <c r="AI56" s="282"/>
      <c r="AJ56" s="282"/>
      <c r="AK56" s="282"/>
      <c r="AL56" s="282"/>
      <c r="AM56" s="282"/>
      <c r="AN56" s="282"/>
      <c r="AO56" s="282"/>
      <c r="AP56" s="282"/>
      <c r="AQ56" s="282"/>
      <c r="AR56" s="282"/>
      <c r="AS56" s="282"/>
      <c r="AT56" s="282"/>
      <c r="AU56" s="282"/>
    </row>
    <row r="57" spans="1:54" ht="30" customHeight="1" x14ac:dyDescent="0.3">
      <c r="A57" s="3034" t="s">
        <v>10</v>
      </c>
      <c r="B57" s="1079" t="s">
        <v>713</v>
      </c>
      <c r="C57" s="1039"/>
      <c r="D57" s="1039"/>
      <c r="E57" s="1039"/>
      <c r="F57" s="1039"/>
      <c r="G57" s="1080"/>
      <c r="H57" s="1261"/>
      <c r="I57" s="1050"/>
      <c r="J57" s="1050"/>
      <c r="K57" s="1050"/>
      <c r="L57" s="1050"/>
      <c r="M57" s="1262"/>
      <c r="N57" s="1261"/>
      <c r="O57" s="1050"/>
      <c r="P57" s="1050"/>
      <c r="Q57" s="1050"/>
      <c r="R57" s="1050"/>
      <c r="S57" s="1262"/>
      <c r="V57" s="518" t="s">
        <v>581</v>
      </c>
      <c r="W57" s="2016" t="s">
        <v>563</v>
      </c>
      <c r="X57" s="593"/>
      <c r="Y57" s="2197"/>
      <c r="Z57" s="387" t="s">
        <v>581</v>
      </c>
      <c r="AA57" s="1137" t="s">
        <v>711</v>
      </c>
      <c r="AB57" s="348" t="s">
        <v>580</v>
      </c>
      <c r="AC57" s="1217" t="s">
        <v>712</v>
      </c>
      <c r="AD57" s="266"/>
      <c r="AE57" s="1104"/>
      <c r="AF57" s="10"/>
      <c r="AG57" s="69"/>
      <c r="AH57" s="1111"/>
      <c r="AI57" s="10"/>
      <c r="AJ57" s="10"/>
      <c r="AK57" s="10"/>
      <c r="AL57" s="10"/>
      <c r="AM57" s="10"/>
      <c r="AN57" s="10"/>
      <c r="AO57" s="10"/>
      <c r="AP57" s="10"/>
      <c r="AQ57" s="10"/>
      <c r="AR57" s="10"/>
      <c r="AS57" s="10"/>
      <c r="AT57" s="10"/>
      <c r="AU57" s="10"/>
    </row>
    <row r="58" spans="1:54" ht="30" customHeight="1" x14ac:dyDescent="0.25">
      <c r="A58" s="3034"/>
      <c r="B58" s="1322" t="s">
        <v>563</v>
      </c>
      <c r="C58" s="1174"/>
      <c r="D58" s="1174"/>
      <c r="E58" s="1174"/>
      <c r="F58" s="1174"/>
      <c r="G58" s="1323"/>
      <c r="H58" s="1708"/>
      <c r="I58" s="1058"/>
      <c r="J58" s="1058"/>
      <c r="K58" s="1058"/>
      <c r="L58" s="1058"/>
      <c r="M58" s="1058"/>
      <c r="N58" s="999"/>
      <c r="O58" s="930"/>
      <c r="P58" s="930"/>
      <c r="Q58" s="930"/>
      <c r="R58" s="930"/>
      <c r="S58" s="1140"/>
      <c r="V58" s="1109" t="s">
        <v>713</v>
      </c>
      <c r="W58" s="1217"/>
      <c r="X58" s="1332"/>
      <c r="Y58" s="2972"/>
      <c r="Z58" s="1118" t="s">
        <v>1038</v>
      </c>
      <c r="AA58" s="1137"/>
      <c r="AB58" s="1109" t="s">
        <v>713</v>
      </c>
      <c r="AC58" s="1217"/>
      <c r="AD58" s="1113"/>
      <c r="AE58" s="1104"/>
      <c r="AF58" s="10"/>
      <c r="AG58" s="1126"/>
      <c r="AH58" s="1111"/>
      <c r="AI58" s="273"/>
      <c r="AJ58" s="10"/>
      <c r="AK58" s="10"/>
      <c r="AL58" s="10"/>
      <c r="AM58" s="10"/>
      <c r="AN58" s="10"/>
      <c r="AO58" s="10"/>
      <c r="AP58" s="10"/>
      <c r="AQ58" s="10"/>
      <c r="AR58" s="10"/>
      <c r="AS58" s="10"/>
      <c r="AT58" s="10"/>
      <c r="AU58" s="10"/>
    </row>
    <row r="59" spans="1:54" ht="30" customHeight="1" x14ac:dyDescent="0.3">
      <c r="A59" s="3008" t="s">
        <v>11</v>
      </c>
      <c r="B59" s="1069" t="s">
        <v>713</v>
      </c>
      <c r="C59" s="940"/>
      <c r="D59" s="940"/>
      <c r="E59" s="940"/>
      <c r="F59" s="940"/>
      <c r="G59" s="1070"/>
      <c r="H59" s="1069" t="s">
        <v>1038</v>
      </c>
      <c r="I59" s="940"/>
      <c r="J59" s="940"/>
      <c r="K59" s="940"/>
      <c r="L59" s="940"/>
      <c r="M59" s="1070"/>
      <c r="N59" s="1069" t="s">
        <v>1038</v>
      </c>
      <c r="O59" s="940"/>
      <c r="P59" s="940"/>
      <c r="Q59" s="940"/>
      <c r="R59" s="940"/>
      <c r="S59" s="1070"/>
      <c r="V59" s="1109"/>
      <c r="W59" s="1217"/>
      <c r="X59" s="1332"/>
      <c r="Y59" s="2972"/>
      <c r="Z59" s="1118"/>
      <c r="AA59" s="1137"/>
      <c r="AB59" s="1109"/>
      <c r="AC59" s="1217"/>
      <c r="AD59" s="1113"/>
      <c r="AE59" s="1104"/>
      <c r="AF59" s="10"/>
      <c r="AG59" s="1126"/>
      <c r="AH59" s="1111"/>
      <c r="AI59" s="273"/>
      <c r="AJ59" s="1126"/>
      <c r="AK59" s="1126"/>
      <c r="AL59" s="1111"/>
      <c r="AM59" s="10"/>
      <c r="AN59" s="10"/>
      <c r="AO59" s="10"/>
      <c r="AP59" s="10"/>
      <c r="AQ59" s="10"/>
      <c r="AR59" s="10"/>
      <c r="AS59" s="10"/>
      <c r="AT59" s="10"/>
      <c r="AU59" s="10"/>
    </row>
    <row r="60" spans="1:54" ht="30" customHeight="1" x14ac:dyDescent="0.25">
      <c r="A60" s="3009"/>
      <c r="B60" s="1067" t="s">
        <v>563</v>
      </c>
      <c r="C60" s="944"/>
      <c r="D60" s="944"/>
      <c r="E60" s="944"/>
      <c r="F60" s="944"/>
      <c r="G60" s="1068"/>
      <c r="H60" s="1322" t="s">
        <v>563</v>
      </c>
      <c r="I60" s="1174"/>
      <c r="J60" s="1174"/>
      <c r="K60" s="1174"/>
      <c r="L60" s="1174"/>
      <c r="M60" s="1323"/>
      <c r="N60" s="1067" t="s">
        <v>563</v>
      </c>
      <c r="O60" s="944"/>
      <c r="P60" s="944"/>
      <c r="Q60" s="944"/>
      <c r="R60" s="944"/>
      <c r="S60" s="1068"/>
      <c r="U60" s="202"/>
      <c r="V60" s="1184"/>
      <c r="W60" s="1218"/>
      <c r="X60" s="3010"/>
      <c r="Y60" s="2972"/>
      <c r="Z60" s="1118"/>
      <c r="AA60" s="1137"/>
      <c r="AB60" s="1184"/>
      <c r="AC60" s="1217"/>
      <c r="AD60" s="1114"/>
      <c r="AE60" s="1105"/>
      <c r="AF60" s="10"/>
      <c r="AG60" s="1126"/>
      <c r="AH60" s="1111"/>
      <c r="AI60" s="10"/>
      <c r="AJ60" s="1126"/>
      <c r="AK60" s="1126"/>
      <c r="AL60" s="1111"/>
      <c r="AM60" s="10"/>
      <c r="AN60" s="10"/>
      <c r="AO60" s="10"/>
      <c r="AP60" s="10"/>
      <c r="AQ60" s="10"/>
      <c r="AR60" s="10"/>
      <c r="AS60" s="10"/>
      <c r="AT60" s="10"/>
      <c r="AU60" s="10"/>
    </row>
    <row r="61" spans="1:54" ht="30" customHeight="1" x14ac:dyDescent="0.3">
      <c r="A61" s="3008" t="s">
        <v>6</v>
      </c>
      <c r="B61" s="1081" t="s">
        <v>696</v>
      </c>
      <c r="C61" s="939"/>
      <c r="D61" s="939"/>
      <c r="E61" s="939"/>
      <c r="F61" s="939"/>
      <c r="G61" s="1082"/>
      <c r="H61" s="1069" t="s">
        <v>934</v>
      </c>
      <c r="I61" s="940"/>
      <c r="J61" s="940"/>
      <c r="K61" s="940"/>
      <c r="L61" s="940"/>
      <c r="M61" s="1070"/>
      <c r="N61" s="1081" t="s">
        <v>1037</v>
      </c>
      <c r="O61" s="939"/>
      <c r="P61" s="939"/>
      <c r="Q61" s="939"/>
      <c r="R61" s="939"/>
      <c r="S61" s="1082"/>
      <c r="T61" s="508" t="s">
        <v>579</v>
      </c>
      <c r="U61" s="1217" t="s">
        <v>563</v>
      </c>
      <c r="W61" s="200"/>
      <c r="X61" s="348" t="s">
        <v>581</v>
      </c>
      <c r="Y61" s="2069" t="s">
        <v>684</v>
      </c>
      <c r="Z61" s="1118"/>
      <c r="AA61" s="1137"/>
      <c r="AB61" s="284"/>
      <c r="AC61" s="200"/>
      <c r="AD61" s="348" t="s">
        <v>579</v>
      </c>
      <c r="AE61" s="2069" t="s">
        <v>712</v>
      </c>
      <c r="AF61" s="10"/>
      <c r="AG61" s="10"/>
      <c r="AH61" s="10"/>
      <c r="AI61" s="10"/>
      <c r="AJ61" s="1126"/>
      <c r="AK61" s="1126"/>
      <c r="AL61" s="1111"/>
      <c r="AM61" s="10"/>
      <c r="AN61" s="10"/>
      <c r="AO61" s="10"/>
      <c r="AP61" s="10"/>
      <c r="AQ61" s="10"/>
      <c r="AR61" s="10"/>
      <c r="AS61" s="69"/>
      <c r="AT61" s="1111"/>
      <c r="AU61" s="10"/>
    </row>
    <row r="62" spans="1:54" ht="30" customHeight="1" x14ac:dyDescent="0.25">
      <c r="A62" s="3009"/>
      <c r="B62" s="1322" t="s">
        <v>563</v>
      </c>
      <c r="C62" s="1174"/>
      <c r="D62" s="1174"/>
      <c r="E62" s="1174"/>
      <c r="F62" s="1174"/>
      <c r="G62" s="1323"/>
      <c r="H62" s="1322" t="s">
        <v>563</v>
      </c>
      <c r="I62" s="1174"/>
      <c r="J62" s="1174"/>
      <c r="K62" s="1174"/>
      <c r="L62" s="1174"/>
      <c r="M62" s="1323"/>
      <c r="N62" s="1322" t="s">
        <v>563</v>
      </c>
      <c r="O62" s="1174"/>
      <c r="P62" s="1174"/>
      <c r="Q62" s="1174"/>
      <c r="R62" s="1174"/>
      <c r="S62" s="1323"/>
      <c r="T62" s="1109" t="s">
        <v>713</v>
      </c>
      <c r="U62" s="1217"/>
      <c r="X62" s="1109" t="s">
        <v>696</v>
      </c>
      <c r="Y62" s="2070"/>
      <c r="Z62" s="1118"/>
      <c r="AA62" s="1138"/>
      <c r="AB62" s="201"/>
      <c r="AD62" s="1109" t="s">
        <v>713</v>
      </c>
      <c r="AE62" s="2070"/>
      <c r="AF62" s="2959"/>
      <c r="AG62" s="10"/>
      <c r="AH62" s="10"/>
      <c r="AI62" s="10"/>
      <c r="AJ62" s="1126"/>
      <c r="AK62" s="1126"/>
      <c r="AL62" s="1111"/>
      <c r="AM62" s="10"/>
      <c r="AN62" s="10"/>
      <c r="AO62" s="10"/>
      <c r="AP62" s="10"/>
      <c r="AQ62" s="10"/>
      <c r="AR62" s="10"/>
      <c r="AS62" s="1126"/>
      <c r="AT62" s="1111"/>
      <c r="AU62" s="10"/>
    </row>
    <row r="63" spans="1:54" ht="30" customHeight="1" x14ac:dyDescent="0.3">
      <c r="A63" s="3008" t="s">
        <v>7</v>
      </c>
      <c r="B63" s="1069" t="s">
        <v>1037</v>
      </c>
      <c r="C63" s="940"/>
      <c r="D63" s="940"/>
      <c r="E63" s="940"/>
      <c r="F63" s="940"/>
      <c r="G63" s="1070"/>
      <c r="H63" s="1069" t="s">
        <v>696</v>
      </c>
      <c r="I63" s="940"/>
      <c r="J63" s="940"/>
      <c r="K63" s="940"/>
      <c r="L63" s="940"/>
      <c r="M63" s="1070"/>
      <c r="N63" s="1069" t="s">
        <v>934</v>
      </c>
      <c r="O63" s="940"/>
      <c r="P63" s="940"/>
      <c r="Q63" s="940"/>
      <c r="R63" s="940"/>
      <c r="S63" s="1070"/>
      <c r="T63" s="1109"/>
      <c r="U63" s="1217"/>
      <c r="X63" s="1109"/>
      <c r="Y63" s="2070"/>
      <c r="Z63" s="197"/>
      <c r="AA63" s="200"/>
      <c r="AB63" s="348" t="s">
        <v>580</v>
      </c>
      <c r="AC63" s="1136" t="s">
        <v>711</v>
      </c>
      <c r="AD63" s="1109"/>
      <c r="AE63" s="2070"/>
      <c r="AF63" s="2959"/>
      <c r="AG63" s="10"/>
      <c r="AH63" s="10"/>
      <c r="AI63" s="10"/>
      <c r="AJ63" s="10"/>
      <c r="AK63" s="10"/>
      <c r="AL63" s="10"/>
      <c r="AM63" s="10"/>
      <c r="AN63" s="10"/>
      <c r="AO63" s="10"/>
      <c r="AP63" s="10"/>
      <c r="AQ63" s="10"/>
      <c r="AR63" s="10"/>
      <c r="AS63" s="1126"/>
      <c r="AT63" s="1111"/>
      <c r="AU63" s="10"/>
      <c r="AW63" s="1396"/>
      <c r="AX63" s="1153"/>
      <c r="AY63" s="1342"/>
      <c r="AZ63" s="1153"/>
      <c r="BA63" s="1153"/>
      <c r="BB63" s="1342"/>
    </row>
    <row r="64" spans="1:54" ht="30" customHeight="1" x14ac:dyDescent="0.25">
      <c r="A64" s="3009"/>
      <c r="B64" s="1067" t="s">
        <v>563</v>
      </c>
      <c r="C64" s="944"/>
      <c r="D64" s="944"/>
      <c r="E64" s="944"/>
      <c r="F64" s="944"/>
      <c r="G64" s="1068"/>
      <c r="H64" s="1067" t="s">
        <v>563</v>
      </c>
      <c r="I64" s="944"/>
      <c r="J64" s="944"/>
      <c r="K64" s="944"/>
      <c r="L64" s="944"/>
      <c r="M64" s="1068"/>
      <c r="N64" s="1067" t="s">
        <v>563</v>
      </c>
      <c r="O64" s="944"/>
      <c r="P64" s="944"/>
      <c r="Q64" s="944"/>
      <c r="R64" s="944"/>
      <c r="S64" s="1068"/>
      <c r="T64" s="1184"/>
      <c r="U64" s="1218"/>
      <c r="X64" s="1184"/>
      <c r="Y64" s="2071"/>
      <c r="Z64" s="33"/>
      <c r="AA64" s="102"/>
      <c r="AB64" s="1109" t="s">
        <v>1038</v>
      </c>
      <c r="AC64" s="1137"/>
      <c r="AD64" s="1109"/>
      <c r="AE64" s="2071"/>
      <c r="AF64" s="2959"/>
      <c r="AG64" s="10"/>
      <c r="AH64" s="10"/>
      <c r="AI64" s="10"/>
      <c r="AJ64" s="1126"/>
      <c r="AK64" s="1126"/>
      <c r="AL64" s="1111"/>
      <c r="AM64" s="10"/>
      <c r="AN64" s="10"/>
      <c r="AO64" s="10"/>
      <c r="AP64" s="1126"/>
      <c r="AQ64" s="1126"/>
      <c r="AR64" s="1111"/>
      <c r="AS64" s="1126"/>
      <c r="AT64" s="1111"/>
      <c r="AU64" s="10"/>
      <c r="AW64" s="1396"/>
      <c r="AX64" s="1153"/>
      <c r="AY64" s="1342"/>
      <c r="AZ64" s="1153"/>
      <c r="BA64" s="1153"/>
      <c r="BB64" s="1342"/>
    </row>
    <row r="65" spans="1:54" ht="33.75" customHeight="1" x14ac:dyDescent="0.25">
      <c r="A65" s="3008" t="s">
        <v>8</v>
      </c>
      <c r="B65" s="596" t="s">
        <v>579</v>
      </c>
      <c r="C65" s="1217" t="s">
        <v>750</v>
      </c>
      <c r="D65" s="348" t="s">
        <v>580</v>
      </c>
      <c r="E65" s="1217" t="s">
        <v>684</v>
      </c>
      <c r="F65" s="597" t="s">
        <v>581</v>
      </c>
      <c r="G65" s="1217" t="s">
        <v>145</v>
      </c>
      <c r="H65" s="596" t="s">
        <v>579</v>
      </c>
      <c r="I65" s="1342" t="s">
        <v>684</v>
      </c>
      <c r="J65" s="597" t="s">
        <v>580</v>
      </c>
      <c r="K65" s="1217" t="s">
        <v>148</v>
      </c>
      <c r="L65" s="598"/>
      <c r="M65" s="2197"/>
      <c r="N65" s="596" t="s">
        <v>579</v>
      </c>
      <c r="O65" s="1217" t="s">
        <v>148</v>
      </c>
      <c r="P65" s="348" t="s">
        <v>580</v>
      </c>
      <c r="Q65" s="1217" t="s">
        <v>750</v>
      </c>
      <c r="R65" s="593"/>
      <c r="S65" s="3035"/>
      <c r="U65" s="200"/>
      <c r="V65" s="391" t="s">
        <v>580</v>
      </c>
      <c r="W65" s="1217" t="s">
        <v>563</v>
      </c>
      <c r="X65" s="599" t="s">
        <v>581</v>
      </c>
      <c r="Y65" s="1217" t="s">
        <v>750</v>
      </c>
      <c r="Z65" s="508" t="s">
        <v>581</v>
      </c>
      <c r="AA65" s="1353" t="s">
        <v>712</v>
      </c>
      <c r="AB65" s="1109"/>
      <c r="AC65" s="1137"/>
      <c r="AD65" s="196"/>
      <c r="AE65" s="303"/>
      <c r="AF65" s="2959"/>
      <c r="AG65" s="10"/>
      <c r="AH65" s="10"/>
      <c r="AI65" s="10"/>
      <c r="AJ65" s="1126"/>
      <c r="AK65" s="1126"/>
      <c r="AL65" s="1111"/>
      <c r="AM65" s="10"/>
      <c r="AN65" s="10"/>
      <c r="AO65" s="10"/>
      <c r="AP65" s="1126"/>
      <c r="AQ65" s="1126"/>
      <c r="AR65" s="1111"/>
      <c r="AS65" s="10"/>
      <c r="AT65" s="10"/>
      <c r="AU65" s="10"/>
      <c r="AW65" s="1396"/>
      <c r="AX65" s="1153"/>
      <c r="AY65" s="1342"/>
      <c r="AZ65" s="1153"/>
      <c r="BA65" s="1153"/>
      <c r="BB65" s="1342"/>
    </row>
    <row r="66" spans="1:54" ht="28.5" customHeight="1" x14ac:dyDescent="0.25">
      <c r="A66" s="3009"/>
      <c r="B66" s="1118" t="s">
        <v>1037</v>
      </c>
      <c r="C66" s="1342"/>
      <c r="D66" s="1109" t="s">
        <v>696</v>
      </c>
      <c r="E66" s="1217"/>
      <c r="F66" s="1153" t="s">
        <v>934</v>
      </c>
      <c r="G66" s="1342"/>
      <c r="H66" s="1118" t="s">
        <v>696</v>
      </c>
      <c r="I66" s="1342"/>
      <c r="J66" s="1109" t="s">
        <v>934</v>
      </c>
      <c r="K66" s="1342"/>
      <c r="L66" s="1626"/>
      <c r="M66" s="2972"/>
      <c r="N66" s="1118" t="s">
        <v>934</v>
      </c>
      <c r="O66" s="1342"/>
      <c r="P66" s="1109" t="s">
        <v>1037</v>
      </c>
      <c r="Q66" s="1342"/>
      <c r="R66" s="1626"/>
      <c r="S66" s="3035"/>
      <c r="V66" s="1109" t="s">
        <v>713</v>
      </c>
      <c r="W66" s="1217"/>
      <c r="X66" s="1153" t="s">
        <v>1037</v>
      </c>
      <c r="Y66" s="1342"/>
      <c r="Z66" s="1118" t="s">
        <v>713</v>
      </c>
      <c r="AA66" s="1342"/>
      <c r="AB66" s="1109"/>
      <c r="AC66" s="1137"/>
      <c r="AD66" s="69"/>
      <c r="AE66" s="285"/>
      <c r="AF66" s="283"/>
      <c r="AG66" s="10"/>
      <c r="AH66" s="10"/>
      <c r="AI66" s="10"/>
      <c r="AJ66" s="1126"/>
      <c r="AK66" s="1126"/>
      <c r="AL66" s="1111"/>
      <c r="AM66" s="10"/>
      <c r="AN66" s="10"/>
      <c r="AO66" s="10"/>
      <c r="AP66" s="1126"/>
      <c r="AQ66" s="1126"/>
      <c r="AR66" s="1111"/>
      <c r="AS66" s="10"/>
      <c r="AT66" s="10"/>
      <c r="AU66" s="10"/>
      <c r="AW66" s="1396"/>
      <c r="AX66" s="1153"/>
      <c r="AY66" s="1342"/>
      <c r="AZ66" s="1153"/>
      <c r="BA66" s="1153"/>
      <c r="BB66" s="1342"/>
    </row>
    <row r="67" spans="1:54" ht="30" customHeight="1" x14ac:dyDescent="0.25">
      <c r="A67" s="3008" t="s">
        <v>9</v>
      </c>
      <c r="B67" s="1118"/>
      <c r="C67" s="1342"/>
      <c r="D67" s="1109"/>
      <c r="E67" s="1217"/>
      <c r="F67" s="1153"/>
      <c r="G67" s="1342"/>
      <c r="H67" s="1118"/>
      <c r="I67" s="1342"/>
      <c r="J67" s="1109"/>
      <c r="K67" s="1342"/>
      <c r="L67" s="1626"/>
      <c r="M67" s="2972"/>
      <c r="N67" s="1118"/>
      <c r="O67" s="1342"/>
      <c r="P67" s="1109"/>
      <c r="Q67" s="1342"/>
      <c r="R67" s="1626"/>
      <c r="S67" s="3035"/>
      <c r="V67" s="1109"/>
      <c r="W67" s="1217"/>
      <c r="X67" s="1153"/>
      <c r="Y67" s="1342"/>
      <c r="Z67" s="1118"/>
      <c r="AA67" s="1342"/>
      <c r="AB67" s="1109"/>
      <c r="AC67" s="1137"/>
      <c r="AD67" s="69"/>
      <c r="AE67" s="285"/>
      <c r="AF67" s="283"/>
      <c r="AG67" s="10"/>
      <c r="AH67" s="10"/>
      <c r="AI67" s="10"/>
      <c r="AJ67" s="1126"/>
      <c r="AK67" s="1126"/>
      <c r="AL67" s="1111"/>
      <c r="AM67" s="1396"/>
      <c r="AN67" s="1153"/>
      <c r="AO67" s="1342"/>
      <c r="AP67" s="1126"/>
      <c r="AQ67" s="1126"/>
      <c r="AR67" s="1111"/>
      <c r="AS67" s="10"/>
      <c r="AT67" s="10"/>
      <c r="AU67" s="10"/>
    </row>
    <row r="68" spans="1:54" ht="30" customHeight="1" thickBot="1" x14ac:dyDescent="0.3">
      <c r="A68" s="3009"/>
      <c r="B68" s="1119"/>
      <c r="C68" s="1342"/>
      <c r="D68" s="1110"/>
      <c r="E68" s="1254"/>
      <c r="F68" s="1154"/>
      <c r="G68" s="1354"/>
      <c r="H68" s="1119"/>
      <c r="I68" s="1354"/>
      <c r="J68" s="1110"/>
      <c r="K68" s="1354"/>
      <c r="L68" s="1627"/>
      <c r="M68" s="2972"/>
      <c r="N68" s="1119"/>
      <c r="O68" s="1354"/>
      <c r="P68" s="1110"/>
      <c r="Q68" s="1342"/>
      <c r="R68" s="1627"/>
      <c r="S68" s="3036"/>
      <c r="V68" s="1110"/>
      <c r="W68" s="1218"/>
      <c r="X68" s="1183"/>
      <c r="Y68" s="1342"/>
      <c r="Z68" s="1177"/>
      <c r="AA68" s="1342"/>
      <c r="AB68" s="1110"/>
      <c r="AC68" s="1138"/>
      <c r="AD68" s="224"/>
      <c r="AE68" s="286"/>
      <c r="AM68" s="1396"/>
      <c r="AN68" s="1153"/>
      <c r="AO68" s="1342"/>
    </row>
    <row r="69" spans="1:54" ht="30" customHeight="1" thickBot="1" x14ac:dyDescent="0.3">
      <c r="A69" s="19" t="s">
        <v>1</v>
      </c>
      <c r="B69" s="1076" t="s">
        <v>2</v>
      </c>
      <c r="C69" s="1077"/>
      <c r="D69" s="1077"/>
      <c r="E69" s="1077"/>
      <c r="F69" s="1077"/>
      <c r="G69" s="1078"/>
      <c r="H69" s="1076" t="s">
        <v>3</v>
      </c>
      <c r="I69" s="1077"/>
      <c r="J69" s="1077"/>
      <c r="K69" s="1077"/>
      <c r="L69" s="1077"/>
      <c r="M69" s="1078"/>
      <c r="N69" s="1091" t="s">
        <v>139</v>
      </c>
      <c r="O69" s="1092"/>
      <c r="P69" s="1092"/>
      <c r="Q69" s="1092"/>
      <c r="R69" s="1092"/>
      <c r="S69" s="1093"/>
      <c r="T69" s="1091" t="s">
        <v>4</v>
      </c>
      <c r="U69" s="1092"/>
      <c r="V69" s="1092"/>
      <c r="W69" s="1092"/>
      <c r="X69" s="1092"/>
      <c r="Y69" s="1093"/>
      <c r="Z69" s="1076" t="s">
        <v>5</v>
      </c>
      <c r="AA69" s="1077"/>
      <c r="AB69" s="1077"/>
      <c r="AC69" s="1077"/>
      <c r="AD69" s="1077"/>
      <c r="AE69" s="1078"/>
      <c r="AF69" s="10"/>
      <c r="AM69" s="1396"/>
      <c r="AN69" s="1153"/>
      <c r="AO69" s="1342"/>
    </row>
    <row r="70" spans="1:54" ht="30" customHeight="1" x14ac:dyDescent="0.3">
      <c r="A70" s="2949" t="s">
        <v>186</v>
      </c>
      <c r="B70" s="1369"/>
      <c r="C70" s="1370"/>
      <c r="D70" s="1370"/>
      <c r="E70" s="1370"/>
      <c r="F70" s="1370"/>
      <c r="G70" s="1371"/>
      <c r="H70" s="1369"/>
      <c r="I70" s="1370"/>
      <c r="J70" s="1370"/>
      <c r="K70" s="1370"/>
      <c r="L70" s="1370"/>
      <c r="M70" s="1371"/>
      <c r="N70" s="574"/>
      <c r="O70" s="575"/>
      <c r="P70" s="575"/>
      <c r="Q70" s="575"/>
      <c r="R70" s="518" t="s">
        <v>582</v>
      </c>
      <c r="S70" s="3037" t="s">
        <v>711</v>
      </c>
      <c r="T70" s="476"/>
      <c r="U70" s="69"/>
      <c r="V70" s="518" t="s">
        <v>582</v>
      </c>
      <c r="W70" s="1353" t="s">
        <v>712</v>
      </c>
      <c r="X70" s="518" t="s">
        <v>579</v>
      </c>
      <c r="Y70" s="3037" t="s">
        <v>711</v>
      </c>
      <c r="Z70" s="1369"/>
      <c r="AA70" s="1370"/>
      <c r="AB70" s="1370"/>
      <c r="AC70" s="1370"/>
      <c r="AD70" s="1370"/>
      <c r="AE70" s="1371"/>
      <c r="AM70" s="1396"/>
      <c r="AN70" s="1153"/>
      <c r="AO70" s="1342"/>
    </row>
    <row r="71" spans="1:54" ht="29.25" customHeight="1" x14ac:dyDescent="0.3">
      <c r="A71" s="2950"/>
      <c r="B71" s="1430"/>
      <c r="C71" s="1431"/>
      <c r="D71" s="1431"/>
      <c r="E71" s="1431"/>
      <c r="F71" s="1431"/>
      <c r="G71" s="1432"/>
      <c r="H71" s="1430"/>
      <c r="I71" s="1431"/>
      <c r="J71" s="1431"/>
      <c r="K71" s="1431"/>
      <c r="L71" s="1431"/>
      <c r="M71" s="1432"/>
      <c r="N71" s="573"/>
      <c r="O71" s="562"/>
      <c r="P71" s="562"/>
      <c r="Q71" s="562"/>
      <c r="R71" s="1109" t="s">
        <v>1038</v>
      </c>
      <c r="S71" s="3037"/>
      <c r="T71" s="433"/>
      <c r="U71" s="434"/>
      <c r="V71" s="1109" t="s">
        <v>713</v>
      </c>
      <c r="W71" s="1342"/>
      <c r="X71" s="1109" t="s">
        <v>1038</v>
      </c>
      <c r="Y71" s="3037"/>
      <c r="Z71" s="1430"/>
      <c r="AA71" s="1431"/>
      <c r="AB71" s="1431"/>
      <c r="AC71" s="1431"/>
      <c r="AD71" s="1431"/>
      <c r="AE71" s="1432"/>
    </row>
    <row r="72" spans="1:54" ht="29.25" customHeight="1" x14ac:dyDescent="0.3">
      <c r="A72" s="2949" t="s">
        <v>188</v>
      </c>
      <c r="B72" s="435"/>
      <c r="C72" s="436"/>
      <c r="D72" s="436"/>
      <c r="E72" s="436"/>
      <c r="F72" s="436"/>
      <c r="G72" s="437"/>
      <c r="H72" s="435"/>
      <c r="I72" s="436"/>
      <c r="J72" s="436"/>
      <c r="K72" s="436"/>
      <c r="L72" s="436"/>
      <c r="M72" s="437"/>
      <c r="N72" s="573"/>
      <c r="O72" s="562"/>
      <c r="P72" s="562"/>
      <c r="Q72" s="562"/>
      <c r="R72" s="1109"/>
      <c r="S72" s="3037"/>
      <c r="T72" s="69"/>
      <c r="U72" s="69"/>
      <c r="V72" s="1109"/>
      <c r="W72" s="1342"/>
      <c r="X72" s="1109"/>
      <c r="Y72" s="3037"/>
      <c r="Z72" s="436"/>
      <c r="AA72" s="436"/>
      <c r="AB72" s="436"/>
      <c r="AC72" s="436"/>
      <c r="AD72" s="436"/>
      <c r="AE72" s="437"/>
    </row>
    <row r="73" spans="1:54" ht="29.25" customHeight="1" x14ac:dyDescent="0.3">
      <c r="A73" s="2950"/>
      <c r="B73" s="435"/>
      <c r="C73" s="436"/>
      <c r="D73" s="436"/>
      <c r="E73" s="436"/>
      <c r="F73" s="436"/>
      <c r="G73" s="437"/>
      <c r="H73" s="435"/>
      <c r="I73" s="436"/>
      <c r="J73" s="436"/>
      <c r="K73" s="436"/>
      <c r="L73" s="436"/>
      <c r="M73" s="437"/>
      <c r="N73" s="573"/>
      <c r="O73" s="562"/>
      <c r="P73" s="562"/>
      <c r="Q73" s="562"/>
      <c r="R73" s="1109"/>
      <c r="S73" s="3037"/>
      <c r="T73" s="69"/>
      <c r="U73" s="69"/>
      <c r="V73" s="1184"/>
      <c r="W73" s="1342"/>
      <c r="X73" s="1109"/>
      <c r="Y73" s="3037"/>
      <c r="Z73" s="436"/>
      <c r="AA73" s="436"/>
      <c r="AB73" s="436"/>
      <c r="AC73" s="436"/>
      <c r="AD73" s="436"/>
      <c r="AE73" s="437"/>
    </row>
    <row r="74" spans="1:54" ht="29.25" customHeight="1" x14ac:dyDescent="0.3">
      <c r="A74" s="2949" t="s">
        <v>189</v>
      </c>
      <c r="B74" s="3023"/>
      <c r="C74" s="3024"/>
      <c r="D74" s="3024"/>
      <c r="E74" s="3024"/>
      <c r="F74" s="3024"/>
      <c r="G74" s="3025"/>
      <c r="H74" s="3023"/>
      <c r="I74" s="3024"/>
      <c r="J74" s="3024"/>
      <c r="K74" s="3024"/>
      <c r="L74" s="3024"/>
      <c r="M74" s="3025"/>
      <c r="N74" s="573"/>
      <c r="O74" s="562"/>
      <c r="P74" s="562"/>
      <c r="Q74" s="562"/>
      <c r="R74" s="1109"/>
      <c r="S74" s="3037"/>
      <c r="T74" s="402"/>
      <c r="U74" s="2951"/>
      <c r="V74" s="589"/>
      <c r="W74" s="3002"/>
      <c r="X74" s="1109"/>
      <c r="Y74" s="3037"/>
      <c r="Z74" s="2957"/>
      <c r="AA74" s="2957"/>
      <c r="AB74" s="2957"/>
      <c r="AC74" s="2957"/>
      <c r="AD74" s="2957"/>
      <c r="AE74" s="2958"/>
      <c r="AK74" s="10"/>
      <c r="AL74" s="10"/>
      <c r="AM74" s="10"/>
      <c r="AN74" s="10"/>
      <c r="AO74" s="10"/>
      <c r="AP74" s="10"/>
      <c r="AQ74" s="10"/>
      <c r="AR74" s="10"/>
      <c r="AS74" s="10"/>
    </row>
    <row r="75" spans="1:54" ht="18.75" customHeight="1" x14ac:dyDescent="0.3">
      <c r="A75" s="2950"/>
      <c r="B75" s="3026"/>
      <c r="C75" s="3027"/>
      <c r="D75" s="3027"/>
      <c r="E75" s="3027"/>
      <c r="F75" s="3027"/>
      <c r="G75" s="3028"/>
      <c r="H75" s="3026"/>
      <c r="I75" s="3027"/>
      <c r="J75" s="3027"/>
      <c r="K75" s="3027"/>
      <c r="L75" s="3027"/>
      <c r="M75" s="3028"/>
      <c r="N75" s="576"/>
      <c r="O75" s="577"/>
      <c r="P75" s="577"/>
      <c r="Q75" s="577"/>
      <c r="R75" s="1184"/>
      <c r="S75" s="3038"/>
      <c r="T75" s="2954"/>
      <c r="U75" s="2952"/>
      <c r="V75" s="2954"/>
      <c r="W75" s="3003"/>
      <c r="X75" s="1184"/>
      <c r="Y75" s="3038"/>
      <c r="Z75" s="1431"/>
      <c r="AA75" s="1431"/>
      <c r="AB75" s="1431"/>
      <c r="AC75" s="1431"/>
      <c r="AD75" s="1431"/>
      <c r="AE75" s="1432"/>
      <c r="AK75" s="10"/>
      <c r="AL75" s="10"/>
      <c r="AM75" s="1332"/>
      <c r="AN75" s="1126"/>
      <c r="AO75" s="1111"/>
      <c r="AP75" s="10"/>
      <c r="AQ75" s="10"/>
      <c r="AR75" s="10"/>
      <c r="AS75" s="10"/>
    </row>
    <row r="76" spans="1:54" ht="30.75" customHeight="1" x14ac:dyDescent="0.3">
      <c r="A76" s="2949" t="s">
        <v>190</v>
      </c>
      <c r="B76" s="1000"/>
      <c r="C76" s="967"/>
      <c r="D76" s="967"/>
      <c r="E76" s="967"/>
      <c r="F76" s="967"/>
      <c r="G76" s="1139"/>
      <c r="H76" s="2956"/>
      <c r="I76" s="2957"/>
      <c r="J76" s="2957"/>
      <c r="K76" s="2957"/>
      <c r="L76" s="2957"/>
      <c r="M76" s="2958"/>
      <c r="N76" s="1000"/>
      <c r="O76" s="967"/>
      <c r="P76" s="967"/>
      <c r="Q76" s="967"/>
      <c r="R76" s="967"/>
      <c r="S76" s="1139"/>
      <c r="T76" s="2954"/>
      <c r="U76" s="2952"/>
      <c r="V76" s="2954"/>
      <c r="W76" s="2952"/>
      <c r="X76" s="266"/>
      <c r="Y76" s="438"/>
      <c r="Z76" s="173"/>
      <c r="AA76" s="173"/>
      <c r="AB76" s="276"/>
      <c r="AC76" s="278"/>
      <c r="AD76" s="173"/>
      <c r="AE76" s="292"/>
      <c r="AK76" s="10"/>
      <c r="AL76" s="10"/>
      <c r="AM76" s="1332"/>
      <c r="AN76" s="1126"/>
      <c r="AO76" s="1111"/>
      <c r="AP76" s="10"/>
      <c r="AQ76" s="10"/>
      <c r="AR76" s="10"/>
      <c r="AS76" s="10"/>
    </row>
    <row r="77" spans="1:54" ht="18.75" customHeight="1" x14ac:dyDescent="0.25">
      <c r="A77" s="2950"/>
      <c r="B77" s="1258"/>
      <c r="C77" s="1259"/>
      <c r="D77" s="1259"/>
      <c r="E77" s="1259"/>
      <c r="F77" s="1259"/>
      <c r="G77" s="1260"/>
      <c r="H77" s="1430"/>
      <c r="I77" s="1431"/>
      <c r="J77" s="1431"/>
      <c r="K77" s="1431"/>
      <c r="L77" s="1431"/>
      <c r="M77" s="1432"/>
      <c r="N77" s="1258"/>
      <c r="O77" s="1259"/>
      <c r="P77" s="1259"/>
      <c r="Q77" s="1259"/>
      <c r="R77" s="1259"/>
      <c r="S77" s="1260"/>
      <c r="T77" s="2954"/>
      <c r="U77" s="2952"/>
      <c r="V77" s="2954"/>
      <c r="W77" s="2952"/>
      <c r="X77" s="397"/>
      <c r="Y77" s="439"/>
      <c r="Z77" s="280"/>
      <c r="AA77" s="173"/>
      <c r="AB77" s="276"/>
      <c r="AC77" s="442"/>
      <c r="AD77" s="173"/>
      <c r="AE77" s="277"/>
      <c r="AK77" s="10"/>
      <c r="AL77" s="10"/>
      <c r="AM77" s="1332"/>
      <c r="AN77" s="1126"/>
      <c r="AO77" s="1111"/>
      <c r="AP77" s="10"/>
      <c r="AQ77" s="10"/>
      <c r="AR77" s="10"/>
      <c r="AS77" s="10"/>
    </row>
    <row r="78" spans="1:54" ht="30.75" customHeight="1" x14ac:dyDescent="0.3">
      <c r="A78" s="2949" t="s">
        <v>191</v>
      </c>
      <c r="B78" s="1000"/>
      <c r="C78" s="967"/>
      <c r="D78" s="967"/>
      <c r="E78" s="967"/>
      <c r="F78" s="967"/>
      <c r="G78" s="1139"/>
      <c r="H78" s="2956"/>
      <c r="I78" s="2957"/>
      <c r="J78" s="2957"/>
      <c r="K78" s="2957"/>
      <c r="L78" s="2957"/>
      <c r="M78" s="2958"/>
      <c r="N78" s="1000"/>
      <c r="O78" s="967"/>
      <c r="P78" s="967"/>
      <c r="Q78" s="967"/>
      <c r="R78" s="967"/>
      <c r="S78" s="1139"/>
      <c r="T78" s="2954"/>
      <c r="U78" s="2952"/>
      <c r="V78" s="2954"/>
      <c r="W78" s="2952"/>
      <c r="Z78" s="187"/>
      <c r="AA78" s="279"/>
      <c r="AB78" s="293"/>
      <c r="AC78" s="278"/>
      <c r="AD78" s="279"/>
      <c r="AE78" s="292"/>
      <c r="AK78" s="10"/>
      <c r="AL78" s="10"/>
      <c r="AM78" s="1332"/>
      <c r="AN78" s="1126"/>
      <c r="AO78" s="1111"/>
      <c r="AP78" s="10"/>
      <c r="AQ78" s="10"/>
      <c r="AR78" s="10"/>
      <c r="AS78" s="10"/>
    </row>
    <row r="79" spans="1:54" ht="18.75" customHeight="1" x14ac:dyDescent="0.25">
      <c r="A79" s="2950"/>
      <c r="B79" s="1258"/>
      <c r="C79" s="1259"/>
      <c r="D79" s="1259"/>
      <c r="E79" s="1259"/>
      <c r="F79" s="1259"/>
      <c r="G79" s="1260"/>
      <c r="H79" s="1430"/>
      <c r="I79" s="1431"/>
      <c r="J79" s="1431"/>
      <c r="K79" s="1431"/>
      <c r="L79" s="1431"/>
      <c r="M79" s="1432"/>
      <c r="N79" s="1258"/>
      <c r="O79" s="1259"/>
      <c r="P79" s="1259"/>
      <c r="Q79" s="1259"/>
      <c r="R79" s="1259"/>
      <c r="S79" s="1260"/>
      <c r="T79" s="2955"/>
      <c r="U79" s="2953"/>
      <c r="V79" s="2955"/>
      <c r="W79" s="2953"/>
      <c r="Y79" s="103"/>
      <c r="Z79" s="173"/>
      <c r="AA79" s="173"/>
      <c r="AB79" s="276"/>
      <c r="AC79" s="203"/>
      <c r="AD79" s="280"/>
      <c r="AE79" s="277"/>
      <c r="AK79" s="10"/>
      <c r="AL79" s="10"/>
      <c r="AM79" s="1332"/>
      <c r="AN79" s="1126"/>
      <c r="AO79" s="1111"/>
      <c r="AP79" s="10"/>
      <c r="AQ79" s="10"/>
      <c r="AR79" s="10"/>
      <c r="AS79" s="10"/>
    </row>
    <row r="80" spans="1:54" ht="6.75" customHeight="1" x14ac:dyDescent="0.25">
      <c r="A80" s="275"/>
      <c r="B80" s="272"/>
      <c r="C80" s="173"/>
      <c r="D80" s="176"/>
      <c r="E80" s="272"/>
      <c r="F80" s="173"/>
      <c r="G80" s="176"/>
      <c r="H80" s="272"/>
      <c r="I80" s="173"/>
      <c r="J80" s="176"/>
      <c r="K80" s="272"/>
      <c r="L80" s="173"/>
      <c r="M80" s="176"/>
      <c r="N80" s="272"/>
      <c r="O80" s="173"/>
      <c r="P80" s="176"/>
      <c r="Q80" s="272"/>
      <c r="R80" s="173"/>
      <c r="S80" s="176"/>
      <c r="T80" s="297"/>
      <c r="U80" s="274"/>
      <c r="V80" s="274"/>
      <c r="W80" s="297"/>
      <c r="X80" s="297"/>
      <c r="Y80" s="297"/>
      <c r="Z80" s="279"/>
      <c r="AA80" s="279"/>
      <c r="AB80" s="293"/>
      <c r="AC80" s="279"/>
      <c r="AD80" s="173"/>
      <c r="AE80" s="293"/>
      <c r="AK80" s="10"/>
      <c r="AL80" s="10"/>
      <c r="AM80" s="1332"/>
      <c r="AN80" s="1126"/>
      <c r="AO80" s="1111"/>
      <c r="AP80" s="10"/>
      <c r="AQ80" s="10"/>
      <c r="AR80" s="10"/>
      <c r="AS80" s="10"/>
    </row>
    <row r="81" spans="1:45" x14ac:dyDescent="0.25">
      <c r="A81" s="350" t="s">
        <v>1107</v>
      </c>
      <c r="B81" s="350"/>
      <c r="C81" s="350"/>
      <c r="D81" s="350"/>
      <c r="E81" s="350"/>
      <c r="F81" s="350"/>
      <c r="G81" s="350"/>
      <c r="H81" s="350"/>
      <c r="I81" s="350"/>
      <c r="J81" s="350"/>
      <c r="K81" s="350"/>
      <c r="L81" s="350"/>
      <c r="M81" s="350"/>
      <c r="N81" s="350"/>
      <c r="O81" s="350"/>
      <c r="P81" s="350"/>
      <c r="Q81" s="350"/>
      <c r="R81" s="350"/>
      <c r="S81" s="350"/>
      <c r="T81" s="350"/>
      <c r="U81" s="350"/>
      <c r="V81" s="350"/>
      <c r="W81" s="350"/>
      <c r="X81" s="350"/>
      <c r="Y81" s="350"/>
      <c r="AK81" s="10"/>
      <c r="AL81" s="10"/>
      <c r="AM81" s="10"/>
      <c r="AN81" s="10"/>
      <c r="AO81" s="10"/>
      <c r="AP81" s="10"/>
      <c r="AQ81" s="10"/>
      <c r="AR81" s="10"/>
      <c r="AS81" s="10"/>
    </row>
    <row r="82" spans="1:45" x14ac:dyDescent="0.25">
      <c r="A82" s="350" t="s">
        <v>1123</v>
      </c>
      <c r="B82" s="350"/>
      <c r="C82" s="350"/>
      <c r="D82" s="350"/>
      <c r="E82" s="350"/>
      <c r="F82" s="350"/>
      <c r="G82" s="350"/>
      <c r="H82" s="350"/>
      <c r="I82" s="350"/>
      <c r="J82" s="350"/>
      <c r="K82" s="350"/>
      <c r="L82" s="350"/>
      <c r="M82" s="350"/>
      <c r="N82" s="350"/>
      <c r="O82" s="350"/>
      <c r="P82" s="350"/>
      <c r="Q82" s="350"/>
      <c r="R82" s="350"/>
      <c r="S82" s="350"/>
      <c r="T82" s="350"/>
      <c r="U82" s="350"/>
      <c r="V82" s="350"/>
      <c r="W82" s="350"/>
      <c r="X82" s="350"/>
      <c r="Y82" s="350"/>
      <c r="AK82" s="10"/>
      <c r="AL82" s="10"/>
      <c r="AM82" s="10"/>
      <c r="AN82" s="10"/>
      <c r="AO82" s="10"/>
      <c r="AP82" s="10"/>
      <c r="AQ82" s="10"/>
      <c r="AR82" s="10"/>
      <c r="AS82" s="10"/>
    </row>
    <row r="83" spans="1:45" x14ac:dyDescent="0.25">
      <c r="A83" s="350" t="s">
        <v>1108</v>
      </c>
      <c r="B83" s="350"/>
      <c r="C83" s="350"/>
      <c r="D83" s="350"/>
      <c r="E83" s="350"/>
      <c r="F83" s="350"/>
      <c r="G83" s="350"/>
      <c r="H83" s="350"/>
      <c r="I83" s="350"/>
      <c r="J83" s="350"/>
      <c r="K83" s="350"/>
      <c r="L83" s="350"/>
      <c r="M83" s="350"/>
      <c r="N83" s="350"/>
      <c r="O83" s="350"/>
      <c r="P83" s="350"/>
      <c r="Q83" s="350"/>
      <c r="R83" s="350"/>
      <c r="S83" s="350"/>
      <c r="T83" s="350"/>
      <c r="U83" s="350"/>
      <c r="V83" s="350"/>
      <c r="W83" s="350"/>
      <c r="X83" s="350"/>
      <c r="Y83" s="350"/>
      <c r="AK83" s="10"/>
      <c r="AL83" s="10"/>
      <c r="AM83" s="10"/>
      <c r="AN83" s="10"/>
      <c r="AO83" s="10"/>
      <c r="AP83" s="10"/>
      <c r="AQ83" s="10"/>
      <c r="AR83" s="10"/>
      <c r="AS83" s="10"/>
    </row>
    <row r="84" spans="1:45" x14ac:dyDescent="0.25">
      <c r="A84" s="350" t="s">
        <v>1110</v>
      </c>
      <c r="B84" s="350"/>
      <c r="C84" s="350"/>
      <c r="D84" s="350"/>
      <c r="E84" s="350"/>
      <c r="F84" s="350"/>
      <c r="G84" s="350"/>
      <c r="H84" s="350"/>
      <c r="I84" s="350"/>
      <c r="J84" s="350"/>
      <c r="K84" s="350"/>
      <c r="L84" s="350"/>
      <c r="M84" s="350"/>
      <c r="N84" s="350"/>
      <c r="O84" s="350"/>
      <c r="P84" s="350"/>
      <c r="Q84" s="350"/>
      <c r="R84" s="350"/>
      <c r="S84" s="350"/>
      <c r="T84" s="350"/>
      <c r="U84" s="350"/>
      <c r="V84" s="350"/>
      <c r="W84" s="350"/>
      <c r="X84" s="350"/>
      <c r="Y84" s="350"/>
      <c r="AK84" s="10"/>
      <c r="AL84" s="10"/>
      <c r="AM84" s="10"/>
      <c r="AN84" s="10"/>
      <c r="AO84" s="10"/>
      <c r="AP84" s="10"/>
      <c r="AQ84" s="10"/>
      <c r="AR84" s="10"/>
      <c r="AS84" s="10"/>
    </row>
    <row r="85" spans="1:45" ht="11.25" customHeight="1" x14ac:dyDescent="0.25">
      <c r="A85" s="350" t="s">
        <v>1109</v>
      </c>
    </row>
    <row r="86" spans="1:45" ht="24" customHeight="1" x14ac:dyDescent="0.25">
      <c r="A86" s="995" t="s">
        <v>218</v>
      </c>
      <c r="B86" s="953"/>
      <c r="C86" s="952" t="str">
        <f>[1]ASIGNATURAS!I257</f>
        <v>Ampliación de Cálculo y Geometría</v>
      </c>
      <c r="D86" s="952"/>
      <c r="E86" s="952"/>
      <c r="F86" s="952"/>
      <c r="G86" s="952"/>
      <c r="H86" s="952"/>
      <c r="I86" s="952"/>
      <c r="J86" s="952"/>
      <c r="K86" s="952"/>
      <c r="L86" s="168"/>
      <c r="M86" s="950" t="s">
        <v>629</v>
      </c>
      <c r="N86" s="951"/>
      <c r="O86" s="952" t="s">
        <v>143</v>
      </c>
      <c r="P86" s="953"/>
      <c r="Q86" s="952" t="s">
        <v>167</v>
      </c>
      <c r="R86" s="952"/>
      <c r="S86" s="952"/>
      <c r="T86" s="952"/>
      <c r="U86" s="952"/>
      <c r="V86" s="952"/>
      <c r="W86" s="952"/>
      <c r="X86" s="952"/>
      <c r="Y86" s="952"/>
      <c r="Z86" s="952"/>
      <c r="AA86" s="952"/>
      <c r="AB86" s="952"/>
      <c r="AC86" s="952"/>
      <c r="AD86" s="952"/>
      <c r="AE86" s="953"/>
    </row>
    <row r="87" spans="1:45" ht="15" x14ac:dyDescent="0.25">
      <c r="A87" s="2974" t="s">
        <v>12</v>
      </c>
      <c r="B87" s="2974"/>
      <c r="C87" s="982" t="str">
        <f>ASIGNATURAS!I319</f>
        <v>Cálculo</v>
      </c>
      <c r="D87" s="983"/>
      <c r="E87" s="983"/>
      <c r="F87" s="983"/>
      <c r="G87" s="983"/>
      <c r="H87" s="983"/>
      <c r="I87" s="983"/>
      <c r="J87" s="983"/>
      <c r="K87" s="983"/>
      <c r="L87" s="983"/>
      <c r="M87" s="972">
        <v>8218</v>
      </c>
      <c r="N87" s="972"/>
      <c r="O87" s="1013">
        <v>6</v>
      </c>
      <c r="P87" s="1014"/>
      <c r="Q87" s="992" t="str">
        <f>ASIGNATURAS!K319</f>
        <v>Elena Cebrian de Barrio</v>
      </c>
      <c r="R87" s="993"/>
      <c r="S87" s="993"/>
      <c r="T87" s="993"/>
      <c r="U87" s="993"/>
      <c r="V87" s="993"/>
      <c r="W87" s="993"/>
      <c r="X87" s="993"/>
      <c r="Y87" s="993"/>
      <c r="Z87" s="993"/>
      <c r="AA87" s="993"/>
      <c r="AB87" s="993"/>
      <c r="AC87" s="993"/>
      <c r="AD87" s="993"/>
      <c r="AE87" s="982"/>
    </row>
    <row r="88" spans="1:45" ht="15" x14ac:dyDescent="0.25">
      <c r="A88" s="2974" t="s">
        <v>696</v>
      </c>
      <c r="B88" s="2974"/>
      <c r="C88" s="982" t="str">
        <f>ASIGNATURAS!I320</f>
        <v>Fundamentos de Electricdad en Medicina</v>
      </c>
      <c r="D88" s="983"/>
      <c r="E88" s="983"/>
      <c r="F88" s="983"/>
      <c r="G88" s="983"/>
      <c r="H88" s="983"/>
      <c r="I88" s="983"/>
      <c r="J88" s="983"/>
      <c r="K88" s="983"/>
      <c r="L88" s="983"/>
      <c r="M88" s="972">
        <v>8219</v>
      </c>
      <c r="N88" s="972"/>
      <c r="O88" s="981">
        <v>6</v>
      </c>
      <c r="P88" s="972"/>
      <c r="Q88" s="992" t="str">
        <f>ASIGNATURAS!K320</f>
        <v>Ricardo Martínez Rayón</v>
      </c>
      <c r="R88" s="993"/>
      <c r="S88" s="993"/>
      <c r="T88" s="993"/>
      <c r="U88" s="993"/>
      <c r="V88" s="993"/>
      <c r="W88" s="993"/>
      <c r="X88" s="993"/>
      <c r="Y88" s="993"/>
      <c r="Z88" s="993"/>
      <c r="AA88" s="993"/>
      <c r="AB88" s="993"/>
      <c r="AC88" s="993"/>
      <c r="AD88" s="993"/>
      <c r="AE88" s="982"/>
    </row>
    <row r="89" spans="1:45" ht="15" x14ac:dyDescent="0.25">
      <c r="A89" s="2974" t="s">
        <v>713</v>
      </c>
      <c r="B89" s="2974"/>
      <c r="C89" s="982" t="str">
        <f>ASIGNATURAS!I321</f>
        <v>Estructura y Función del Cuerpo Humano I</v>
      </c>
      <c r="D89" s="983"/>
      <c r="E89" s="983"/>
      <c r="F89" s="983"/>
      <c r="G89" s="983"/>
      <c r="H89" s="983"/>
      <c r="I89" s="983"/>
      <c r="J89" s="983"/>
      <c r="K89" s="983"/>
      <c r="L89" s="983"/>
      <c r="M89" s="972">
        <v>8220</v>
      </c>
      <c r="N89" s="972"/>
      <c r="O89" s="981">
        <v>6</v>
      </c>
      <c r="P89" s="972"/>
      <c r="Q89" s="992" t="str">
        <f>ASIGNATURAS!K321</f>
        <v>Idoya Rodríguez Alonso, Dario Fernández</v>
      </c>
      <c r="R89" s="993"/>
      <c r="S89" s="993"/>
      <c r="T89" s="993"/>
      <c r="U89" s="993"/>
      <c r="V89" s="993"/>
      <c r="W89" s="993"/>
      <c r="X89" s="993"/>
      <c r="Y89" s="993"/>
      <c r="Z89" s="993"/>
      <c r="AA89" s="993"/>
      <c r="AB89" s="993"/>
      <c r="AC89" s="993"/>
      <c r="AD89" s="993"/>
      <c r="AE89" s="982"/>
    </row>
    <row r="90" spans="1:45" ht="15" x14ac:dyDescent="0.25">
      <c r="A90" s="2974" t="s">
        <v>698</v>
      </c>
      <c r="B90" s="2974"/>
      <c r="C90" s="982" t="str">
        <f>ASIGNATURAS!I322</f>
        <v xml:space="preserve">Fundamentos de Programación </v>
      </c>
      <c r="D90" s="983"/>
      <c r="E90" s="983"/>
      <c r="F90" s="983"/>
      <c r="G90" s="983"/>
      <c r="H90" s="983"/>
      <c r="I90" s="983"/>
      <c r="J90" s="983"/>
      <c r="K90" s="983"/>
      <c r="L90" s="983"/>
      <c r="M90" s="972">
        <v>8221</v>
      </c>
      <c r="N90" s="972"/>
      <c r="O90" s="981">
        <v>6</v>
      </c>
      <c r="P90" s="972"/>
      <c r="Q90" s="992" t="str">
        <f>ASIGNATURAS!K322</f>
        <v>José Francisco Díez Pastor</v>
      </c>
      <c r="R90" s="993"/>
      <c r="S90" s="993"/>
      <c r="T90" s="993"/>
      <c r="U90" s="993"/>
      <c r="V90" s="993"/>
      <c r="W90" s="993"/>
      <c r="X90" s="993"/>
      <c r="Y90" s="993"/>
      <c r="Z90" s="993"/>
      <c r="AA90" s="993"/>
      <c r="AB90" s="993"/>
      <c r="AC90" s="993"/>
      <c r="AD90" s="993"/>
      <c r="AE90" s="982"/>
    </row>
    <row r="91" spans="1:45" ht="15" x14ac:dyDescent="0.25">
      <c r="A91" s="2974" t="s">
        <v>693</v>
      </c>
      <c r="B91" s="2974"/>
      <c r="C91" s="982" t="str">
        <f>ASIGNATURAS!I323</f>
        <v>Bioquímica Estructural y Metabólica</v>
      </c>
      <c r="D91" s="983"/>
      <c r="E91" s="983"/>
      <c r="F91" s="983"/>
      <c r="G91" s="983"/>
      <c r="H91" s="983"/>
      <c r="I91" s="983"/>
      <c r="J91" s="983"/>
      <c r="K91" s="983"/>
      <c r="L91" s="983"/>
      <c r="M91" s="972">
        <v>8222</v>
      </c>
      <c r="N91" s="972"/>
      <c r="O91" s="981">
        <v>6</v>
      </c>
      <c r="P91" s="972"/>
      <c r="Q91" s="992" t="str">
        <f>ASIGNATURAS!K323</f>
        <v>Natividad Ortega, David Palacios</v>
      </c>
      <c r="R91" s="993"/>
      <c r="S91" s="993"/>
      <c r="T91" s="993"/>
      <c r="U91" s="993"/>
      <c r="V91" s="993"/>
      <c r="W91" s="993"/>
      <c r="X91" s="993"/>
      <c r="Y91" s="993"/>
      <c r="Z91" s="993"/>
      <c r="AA91" s="993"/>
      <c r="AB91" s="993"/>
      <c r="AC91" s="993"/>
      <c r="AD91" s="993"/>
      <c r="AE91" s="982"/>
    </row>
    <row r="92" spans="1:45" ht="15" x14ac:dyDescent="0.25">
      <c r="A92" s="2973"/>
      <c r="B92" s="2973"/>
      <c r="C92" s="982"/>
      <c r="D92" s="983"/>
      <c r="E92" s="983"/>
      <c r="F92" s="983"/>
      <c r="G92" s="983"/>
      <c r="H92" s="983"/>
      <c r="I92" s="983"/>
      <c r="J92" s="983"/>
      <c r="K92" s="983"/>
      <c r="L92" s="983"/>
      <c r="M92" s="972"/>
      <c r="N92" s="972"/>
      <c r="O92" s="981"/>
      <c r="P92" s="972"/>
      <c r="Q92" s="992"/>
      <c r="R92" s="993"/>
      <c r="S92" s="993"/>
      <c r="T92" s="993"/>
      <c r="U92" s="993"/>
      <c r="V92" s="993"/>
      <c r="W92" s="993"/>
      <c r="X92" s="993"/>
      <c r="Y92" s="993"/>
      <c r="Z92" s="993"/>
      <c r="AA92" s="993"/>
      <c r="AB92" s="993"/>
      <c r="AC92" s="993"/>
      <c r="AD92" s="993"/>
      <c r="AE92" s="982"/>
    </row>
    <row r="93" spans="1:45" ht="19.5" customHeight="1" x14ac:dyDescent="0.25"/>
    <row r="94" spans="1:45" ht="18" customHeight="1" x14ac:dyDescent="0.25">
      <c r="A94" s="2995" t="s">
        <v>169</v>
      </c>
      <c r="B94" s="2996"/>
      <c r="C94" s="2996"/>
      <c r="D94" s="2996"/>
      <c r="E94" s="2997"/>
    </row>
    <row r="95" spans="1:45" ht="15" x14ac:dyDescent="0.25">
      <c r="A95" s="2999" t="s">
        <v>736</v>
      </c>
      <c r="B95" s="3000"/>
      <c r="C95" s="3000"/>
      <c r="D95" s="3000"/>
      <c r="E95" s="3001"/>
    </row>
    <row r="97" spans="1:47" x14ac:dyDescent="0.25">
      <c r="A97" s="25" t="s">
        <v>217</v>
      </c>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row>
    <row r="98" spans="1:47" ht="30" customHeight="1" x14ac:dyDescent="0.25">
      <c r="A98" s="25"/>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99" spans="1:47" s="1" customFormat="1" ht="60.75" customHeight="1" x14ac:dyDescent="0.4">
      <c r="A99" s="974" t="s">
        <v>700</v>
      </c>
      <c r="B99" s="975"/>
      <c r="C99" s="975"/>
      <c r="D99" s="975"/>
      <c r="E99" s="975"/>
      <c r="F99" s="975"/>
      <c r="G99" s="975"/>
      <c r="H99" s="975"/>
      <c r="I99" s="975"/>
      <c r="J99" s="975"/>
      <c r="K99" s="975"/>
      <c r="L99" s="975"/>
      <c r="M99" s="975"/>
      <c r="N99" s="975"/>
      <c r="O99" s="975"/>
      <c r="P99" s="975"/>
      <c r="Q99" s="975"/>
      <c r="R99" s="975"/>
      <c r="S99" s="975"/>
      <c r="T99" s="975"/>
      <c r="U99" s="975"/>
      <c r="V99" s="975"/>
      <c r="W99" s="975"/>
      <c r="X99" s="975"/>
      <c r="Y99" s="976"/>
      <c r="Z99" s="988" t="str">
        <f>Z1</f>
        <v>Curso 2024-2025</v>
      </c>
      <c r="AA99" s="988"/>
      <c r="AB99" s="988"/>
      <c r="AC99" s="988"/>
      <c r="AD99" s="988"/>
      <c r="AE99" s="989"/>
    </row>
    <row r="100" spans="1:47" s="8" customFormat="1" ht="23.25" customHeight="1" x14ac:dyDescent="0.4">
      <c r="A100" s="960" t="s">
        <v>775</v>
      </c>
      <c r="B100" s="961"/>
      <c r="C100" s="961"/>
      <c r="D100" s="961"/>
      <c r="E100" s="961"/>
      <c r="F100" s="961"/>
      <c r="G100" s="961"/>
      <c r="H100" s="961"/>
      <c r="I100" s="961"/>
      <c r="J100" s="961"/>
      <c r="K100" s="961"/>
      <c r="L100" s="961"/>
      <c r="M100" s="961"/>
      <c r="N100" s="961"/>
      <c r="O100" s="961"/>
      <c r="P100" s="961"/>
      <c r="Q100" s="961"/>
      <c r="R100" s="961"/>
      <c r="S100" s="961"/>
      <c r="T100" s="961"/>
      <c r="U100" s="961"/>
      <c r="V100" s="961"/>
      <c r="W100" s="961"/>
      <c r="X100" s="961"/>
      <c r="Y100" s="962"/>
      <c r="Z100" s="2917" t="s">
        <v>159</v>
      </c>
      <c r="AA100" s="984"/>
      <c r="AB100" s="984"/>
      <c r="AC100" s="984"/>
      <c r="AD100" s="984"/>
      <c r="AE100" s="985"/>
    </row>
    <row r="101" spans="1:47" s="8" customFormat="1" ht="23.25" customHeight="1" x14ac:dyDescent="0.4">
      <c r="A101" s="963" t="s">
        <v>181</v>
      </c>
      <c r="B101" s="964"/>
      <c r="C101" s="964"/>
      <c r="D101" s="964"/>
      <c r="E101" s="964"/>
      <c r="F101" s="964"/>
      <c r="G101" s="964"/>
      <c r="H101" s="964"/>
      <c r="I101" s="964"/>
      <c r="J101" s="964"/>
      <c r="K101" s="964"/>
      <c r="L101" s="964"/>
      <c r="M101" s="964"/>
      <c r="N101" s="964"/>
      <c r="O101" s="964"/>
      <c r="P101" s="964"/>
      <c r="Q101" s="964"/>
      <c r="R101" s="964"/>
      <c r="S101" s="964"/>
      <c r="T101" s="964"/>
      <c r="U101" s="964"/>
      <c r="V101" s="964"/>
      <c r="W101" s="964"/>
      <c r="X101" s="964"/>
      <c r="Y101" s="965"/>
      <c r="Z101" s="986"/>
      <c r="AA101" s="986"/>
      <c r="AB101" s="986"/>
      <c r="AC101" s="986"/>
      <c r="AD101" s="986"/>
      <c r="AE101" s="987"/>
    </row>
    <row r="102" spans="1:47" ht="26.25" customHeight="1" thickBot="1" x14ac:dyDescent="0.3">
      <c r="A102" s="9" t="s">
        <v>715</v>
      </c>
      <c r="AE102" s="372"/>
    </row>
    <row r="103" spans="1:47" ht="25.5" customHeight="1" thickBot="1" x14ac:dyDescent="0.3">
      <c r="A103" s="167" t="s">
        <v>1</v>
      </c>
      <c r="B103" s="1042" t="s">
        <v>2</v>
      </c>
      <c r="C103" s="1042"/>
      <c r="D103" s="1042"/>
      <c r="E103" s="1042"/>
      <c r="F103" s="1042"/>
      <c r="G103" s="1043"/>
      <c r="H103" s="1042" t="s">
        <v>3</v>
      </c>
      <c r="I103" s="1042"/>
      <c r="J103" s="1042"/>
      <c r="K103" s="1042"/>
      <c r="L103" s="1042"/>
      <c r="M103" s="1043"/>
      <c r="N103" s="1028" t="s">
        <v>139</v>
      </c>
      <c r="O103" s="1029"/>
      <c r="P103" s="1029"/>
      <c r="Q103" s="1029"/>
      <c r="R103" s="1029"/>
      <c r="S103" s="1030"/>
      <c r="T103" s="1042" t="s">
        <v>4</v>
      </c>
      <c r="U103" s="1042"/>
      <c r="V103" s="1042"/>
      <c r="W103" s="1042"/>
      <c r="X103" s="1042"/>
      <c r="Y103" s="1043"/>
      <c r="Z103" s="1028" t="s">
        <v>5</v>
      </c>
      <c r="AA103" s="1029"/>
      <c r="AB103" s="1029"/>
      <c r="AC103" s="1029"/>
      <c r="AD103" s="1029"/>
      <c r="AE103" s="1030"/>
    </row>
    <row r="104" spans="1:47" ht="12.75" hidden="1" customHeight="1" thickBot="1" x14ac:dyDescent="0.35">
      <c r="A104" s="2949" t="s">
        <v>10</v>
      </c>
      <c r="B104" s="2337"/>
      <c r="C104" s="1003"/>
      <c r="D104" s="1003"/>
      <c r="E104" s="1003"/>
      <c r="F104" s="1003"/>
      <c r="G104" s="2338"/>
      <c r="H104" s="2964"/>
      <c r="I104" s="2965"/>
      <c r="J104" s="2965"/>
      <c r="K104" s="2965"/>
      <c r="L104" s="2965"/>
      <c r="M104" s="2966"/>
      <c r="N104" s="2964"/>
      <c r="O104" s="2965"/>
      <c r="P104" s="2965"/>
      <c r="Q104" s="2965"/>
      <c r="R104" s="2965"/>
      <c r="S104" s="2966"/>
      <c r="T104" s="354"/>
      <c r="U104" s="355"/>
      <c r="V104" s="355"/>
      <c r="W104" s="355"/>
      <c r="X104" s="355"/>
      <c r="Y104" s="356"/>
      <c r="Z104" s="283"/>
      <c r="AA104" s="10"/>
      <c r="AB104" s="379"/>
      <c r="AC104" s="365"/>
      <c r="AD104" s="365"/>
      <c r="AE104" s="366"/>
      <c r="AG104" s="10"/>
      <c r="AH104" s="10"/>
      <c r="AI104" s="10"/>
      <c r="AJ104" s="10"/>
      <c r="AK104" s="10"/>
      <c r="AL104" s="10"/>
      <c r="AM104" s="10"/>
      <c r="AN104" s="10"/>
      <c r="AO104" s="10"/>
      <c r="AP104" s="10"/>
      <c r="AQ104" s="10"/>
      <c r="AR104" s="10"/>
      <c r="AU104" s="10"/>
    </row>
    <row r="105" spans="1:47" ht="12.75" hidden="1" customHeight="1" thickBot="1" x14ac:dyDescent="0.3">
      <c r="A105" s="2950"/>
      <c r="B105" s="2255"/>
      <c r="C105" s="2256"/>
      <c r="D105" s="2256"/>
      <c r="E105" s="2256"/>
      <c r="F105" s="2256"/>
      <c r="G105" s="2257"/>
      <c r="H105" s="2255"/>
      <c r="I105" s="2256"/>
      <c r="J105" s="2256"/>
      <c r="K105" s="2256"/>
      <c r="L105" s="2256"/>
      <c r="M105" s="2257"/>
      <c r="N105" s="2255"/>
      <c r="O105" s="2256"/>
      <c r="P105" s="2256"/>
      <c r="Q105" s="2256"/>
      <c r="R105" s="2256"/>
      <c r="S105" s="2257"/>
      <c r="T105" s="367"/>
      <c r="U105" s="353"/>
      <c r="V105" s="353"/>
      <c r="W105" s="370"/>
      <c r="X105" s="370"/>
      <c r="Y105" s="376"/>
      <c r="Z105" s="283"/>
      <c r="AA105" s="10"/>
      <c r="AB105" s="353"/>
      <c r="AC105" s="370"/>
      <c r="AD105" s="353"/>
      <c r="AE105" s="376"/>
      <c r="AG105" s="10"/>
      <c r="AH105" s="10"/>
      <c r="AI105" s="10"/>
      <c r="AM105" s="10"/>
      <c r="AN105" s="10"/>
      <c r="AO105" s="10"/>
      <c r="AU105" s="10"/>
    </row>
    <row r="106" spans="1:47" ht="12.75" hidden="1" customHeight="1" thickBot="1" x14ac:dyDescent="0.35">
      <c r="A106" s="2949" t="s">
        <v>11</v>
      </c>
      <c r="B106" s="374"/>
      <c r="C106" s="358"/>
      <c r="D106" s="358"/>
      <c r="E106" s="358"/>
      <c r="F106" s="358"/>
      <c r="G106" s="359"/>
      <c r="H106" s="374"/>
      <c r="I106" s="358"/>
      <c r="J106" s="358"/>
      <c r="K106" s="358"/>
      <c r="L106" s="358"/>
      <c r="M106" s="359"/>
      <c r="N106" s="210"/>
      <c r="O106" s="211"/>
      <c r="P106" s="211"/>
      <c r="Q106" s="211"/>
      <c r="R106" s="211"/>
      <c r="S106" s="212"/>
      <c r="T106" s="364"/>
      <c r="U106" s="365"/>
      <c r="V106" s="365"/>
      <c r="W106" s="362"/>
      <c r="X106" s="362"/>
      <c r="Y106" s="363"/>
      <c r="Z106" s="373"/>
      <c r="AA106" s="287"/>
      <c r="AB106" s="378"/>
      <c r="AC106" s="362"/>
      <c r="AD106" s="365"/>
      <c r="AE106" s="363"/>
      <c r="AG106" s="10"/>
      <c r="AH106" s="10"/>
      <c r="AI106" s="10"/>
      <c r="AJ106" s="10"/>
      <c r="AK106" s="10"/>
      <c r="AL106" s="10"/>
      <c r="AM106" s="10"/>
      <c r="AN106" s="10"/>
      <c r="AO106" s="10"/>
      <c r="AP106" s="10"/>
      <c r="AQ106" s="10"/>
      <c r="AR106" s="10"/>
      <c r="AU106" s="10"/>
    </row>
    <row r="107" spans="1:47" ht="12.75" hidden="1" customHeight="1" thickBot="1" x14ac:dyDescent="0.3">
      <c r="A107" s="2950"/>
      <c r="B107" s="375"/>
      <c r="C107" s="357"/>
      <c r="D107" s="357"/>
      <c r="E107" s="357"/>
      <c r="F107" s="357"/>
      <c r="G107" s="360"/>
      <c r="H107" s="375"/>
      <c r="I107" s="357"/>
      <c r="J107" s="357"/>
      <c r="K107" s="357"/>
      <c r="L107" s="357"/>
      <c r="M107" s="360"/>
      <c r="N107" s="371"/>
      <c r="O107" s="274"/>
      <c r="P107" s="274"/>
      <c r="Q107" s="274"/>
      <c r="R107" s="274"/>
      <c r="S107" s="377"/>
      <c r="T107" s="369"/>
      <c r="U107" s="370"/>
      <c r="V107" s="353"/>
      <c r="W107" s="370"/>
      <c r="X107" s="370"/>
      <c r="Y107" s="368"/>
      <c r="Z107" s="283"/>
      <c r="AA107" s="10"/>
      <c r="AB107" s="353"/>
      <c r="AC107" s="353"/>
      <c r="AD107" s="370"/>
      <c r="AE107" s="368"/>
      <c r="AG107" s="10"/>
      <c r="AH107" s="10"/>
      <c r="AI107" s="10"/>
      <c r="AM107" s="10"/>
      <c r="AN107" s="10"/>
      <c r="AO107" s="10"/>
      <c r="AU107" s="10"/>
    </row>
    <row r="108" spans="1:47" ht="12.75" hidden="1" customHeight="1" thickBot="1" x14ac:dyDescent="0.35">
      <c r="A108" s="2949" t="s">
        <v>6</v>
      </c>
      <c r="B108" s="2337"/>
      <c r="C108" s="1003"/>
      <c r="D108" s="1003"/>
      <c r="E108" s="1003"/>
      <c r="F108" s="1003"/>
      <c r="G108" s="2338"/>
      <c r="H108" s="2337"/>
      <c r="I108" s="1003"/>
      <c r="J108" s="1003"/>
      <c r="K108" s="1003"/>
      <c r="L108" s="1003"/>
      <c r="M108" s="2338"/>
      <c r="N108" s="2337"/>
      <c r="O108" s="1003"/>
      <c r="P108" s="1003"/>
      <c r="Q108" s="1003"/>
      <c r="R108" s="1003"/>
      <c r="S108" s="2338"/>
      <c r="T108" s="361"/>
      <c r="U108" s="362"/>
      <c r="V108" s="365"/>
      <c r="W108" s="362"/>
      <c r="X108" s="362"/>
      <c r="Y108" s="366"/>
      <c r="Z108" s="373"/>
      <c r="AA108" s="287"/>
      <c r="AB108" s="378"/>
      <c r="AC108" s="365"/>
      <c r="AD108" s="362"/>
      <c r="AE108" s="366"/>
      <c r="AG108" s="10"/>
      <c r="AH108" s="10"/>
      <c r="AI108" s="10"/>
      <c r="AJ108" s="10"/>
      <c r="AK108" s="10"/>
      <c r="AL108" s="10"/>
      <c r="AM108" s="10"/>
      <c r="AN108" s="10"/>
      <c r="AO108" s="10"/>
      <c r="AP108" s="10"/>
      <c r="AQ108" s="10"/>
      <c r="AR108" s="10"/>
      <c r="AU108" s="10"/>
    </row>
    <row r="109" spans="1:47" ht="12.75" hidden="1" customHeight="1" thickBot="1" x14ac:dyDescent="0.3">
      <c r="A109" s="2950"/>
      <c r="B109" s="2255"/>
      <c r="C109" s="2256"/>
      <c r="D109" s="2256"/>
      <c r="E109" s="2256"/>
      <c r="F109" s="2256"/>
      <c r="G109" s="2257"/>
      <c r="H109" s="2255"/>
      <c r="I109" s="2256"/>
      <c r="J109" s="2256"/>
      <c r="K109" s="2256"/>
      <c r="L109" s="2256"/>
      <c r="M109" s="2257"/>
      <c r="N109" s="2986"/>
      <c r="O109" s="2987"/>
      <c r="P109" s="2987"/>
      <c r="Q109" s="2987"/>
      <c r="R109" s="2987"/>
      <c r="S109" s="2988"/>
      <c r="T109" s="367"/>
      <c r="U109" s="370"/>
      <c r="V109" s="370"/>
      <c r="W109" s="353"/>
      <c r="X109" s="370"/>
      <c r="Y109" s="368"/>
      <c r="Z109" s="283"/>
      <c r="AA109" s="288"/>
      <c r="AB109" s="353"/>
      <c r="AC109" s="353"/>
      <c r="AD109" s="353"/>
      <c r="AE109" s="376"/>
      <c r="AG109" s="10"/>
      <c r="AH109" s="10"/>
      <c r="AI109" s="10"/>
      <c r="AM109" s="10"/>
      <c r="AN109" s="10"/>
      <c r="AO109" s="10"/>
      <c r="AU109" s="10"/>
    </row>
    <row r="110" spans="1:47" ht="12.75" hidden="1" customHeight="1" thickBot="1" x14ac:dyDescent="0.35">
      <c r="A110" s="2949" t="s">
        <v>7</v>
      </c>
      <c r="B110" s="2337"/>
      <c r="C110" s="1003"/>
      <c r="D110" s="1003"/>
      <c r="E110" s="1003"/>
      <c r="F110" s="1003"/>
      <c r="G110" s="2338"/>
      <c r="H110" s="2337"/>
      <c r="I110" s="1003"/>
      <c r="J110" s="1003"/>
      <c r="K110" s="1003"/>
      <c r="L110" s="1003"/>
      <c r="M110" s="2338"/>
      <c r="N110" s="2337"/>
      <c r="O110" s="1003"/>
      <c r="P110" s="1003"/>
      <c r="Q110" s="1003"/>
      <c r="R110" s="1003"/>
      <c r="S110" s="2338"/>
      <c r="T110" s="364"/>
      <c r="U110" s="362"/>
      <c r="V110" s="362"/>
      <c r="W110" s="365"/>
      <c r="X110" s="362"/>
      <c r="Y110" s="366"/>
      <c r="Z110" s="373"/>
      <c r="AA110" s="10"/>
      <c r="AB110" s="378"/>
      <c r="AC110" s="365"/>
      <c r="AD110" s="365"/>
      <c r="AE110" s="363"/>
      <c r="AG110" s="10"/>
      <c r="AH110" s="10"/>
      <c r="AI110" s="10"/>
      <c r="AJ110" s="10"/>
      <c r="AK110" s="10"/>
      <c r="AL110" s="10"/>
      <c r="AM110" s="10"/>
      <c r="AN110" s="10"/>
      <c r="AO110" s="10"/>
      <c r="AP110" s="10"/>
      <c r="AQ110" s="10"/>
      <c r="AR110" s="10"/>
      <c r="AU110" s="10"/>
    </row>
    <row r="111" spans="1:47" ht="12.75" hidden="1" customHeight="1" thickBot="1" x14ac:dyDescent="0.3">
      <c r="A111" s="2950"/>
      <c r="B111" s="2255"/>
      <c r="C111" s="2256"/>
      <c r="D111" s="2256"/>
      <c r="E111" s="2256"/>
      <c r="F111" s="2256"/>
      <c r="G111" s="2257"/>
      <c r="H111" s="2255"/>
      <c r="I111" s="2256"/>
      <c r="J111" s="2256"/>
      <c r="K111" s="2256"/>
      <c r="L111" s="2256"/>
      <c r="M111" s="2257"/>
      <c r="N111" s="2255"/>
      <c r="O111" s="2256"/>
      <c r="P111" s="2256"/>
      <c r="Q111" s="2256"/>
      <c r="R111" s="2256"/>
      <c r="S111" s="2257"/>
      <c r="T111" s="367"/>
      <c r="U111" s="353"/>
      <c r="V111" s="353"/>
      <c r="W111" s="353"/>
      <c r="X111" s="353"/>
      <c r="Y111" s="376"/>
      <c r="Z111" s="283"/>
      <c r="AA111" s="10"/>
      <c r="AB111" s="353"/>
      <c r="AC111" s="370"/>
      <c r="AD111" s="370"/>
      <c r="AE111" s="368"/>
      <c r="AG111" s="10"/>
      <c r="AH111" s="10"/>
      <c r="AI111" s="10"/>
      <c r="AM111" s="10"/>
      <c r="AN111" s="10"/>
      <c r="AO111" s="10"/>
      <c r="AU111" s="10"/>
    </row>
    <row r="112" spans="1:47" ht="12.75" hidden="1" customHeight="1" thickBot="1" x14ac:dyDescent="0.35">
      <c r="A112" s="2949" t="s">
        <v>8</v>
      </c>
      <c r="B112" s="2337"/>
      <c r="C112" s="1003"/>
      <c r="D112" s="1003"/>
      <c r="E112" s="1003"/>
      <c r="F112" s="1003"/>
      <c r="G112" s="2338"/>
      <c r="H112" s="2337"/>
      <c r="I112" s="1003"/>
      <c r="J112" s="1003"/>
      <c r="K112" s="1003"/>
      <c r="L112" s="1003"/>
      <c r="M112" s="2338"/>
      <c r="N112" s="2981"/>
      <c r="O112" s="1002"/>
      <c r="P112" s="1002"/>
      <c r="Q112" s="1002"/>
      <c r="R112" s="1002"/>
      <c r="S112" s="2982"/>
      <c r="T112" s="364"/>
      <c r="U112" s="365"/>
      <c r="V112" s="365"/>
      <c r="W112" s="365"/>
      <c r="X112" s="365"/>
      <c r="Y112" s="363"/>
      <c r="Z112" s="373"/>
      <c r="AA112" s="287"/>
      <c r="AB112" s="378"/>
      <c r="AC112" s="362"/>
      <c r="AD112" s="362"/>
      <c r="AE112" s="366"/>
      <c r="AG112" s="10"/>
      <c r="AH112" s="10"/>
      <c r="AI112" s="10"/>
      <c r="AJ112" s="10"/>
      <c r="AK112" s="10"/>
      <c r="AL112" s="10"/>
      <c r="AM112" s="10"/>
      <c r="AN112" s="10"/>
      <c r="AO112" s="10"/>
      <c r="AP112" s="10"/>
      <c r="AQ112" s="10"/>
      <c r="AR112" s="10"/>
      <c r="AU112" s="10"/>
    </row>
    <row r="113" spans="1:47" ht="12.75" hidden="1" customHeight="1" thickBot="1" x14ac:dyDescent="0.3">
      <c r="A113" s="2950"/>
      <c r="B113" s="2255"/>
      <c r="C113" s="2256"/>
      <c r="D113" s="2256"/>
      <c r="E113" s="2256"/>
      <c r="F113" s="2256"/>
      <c r="G113" s="2257"/>
      <c r="H113" s="2255"/>
      <c r="I113" s="2256"/>
      <c r="J113" s="2256"/>
      <c r="K113" s="2256"/>
      <c r="L113" s="2256"/>
      <c r="M113" s="2257"/>
      <c r="N113" s="2255"/>
      <c r="O113" s="2256"/>
      <c r="P113" s="2256"/>
      <c r="Q113" s="2256"/>
      <c r="R113" s="2256"/>
      <c r="S113" s="2257"/>
      <c r="T113" s="369"/>
      <c r="U113" s="370"/>
      <c r="V113" s="353"/>
      <c r="W113" s="370"/>
      <c r="X113" s="353"/>
      <c r="Y113" s="376"/>
      <c r="Z113" s="283"/>
      <c r="AA113" s="10"/>
      <c r="AB113" s="353"/>
      <c r="AC113" s="353"/>
      <c r="AD113" s="353"/>
      <c r="AE113" s="376"/>
      <c r="AG113" s="10"/>
      <c r="AH113" s="10"/>
      <c r="AI113" s="10"/>
      <c r="AM113" s="10"/>
      <c r="AN113" s="10"/>
      <c r="AO113" s="10"/>
      <c r="AU113" s="10"/>
    </row>
    <row r="114" spans="1:47" ht="12.75" hidden="1" customHeight="1" thickBot="1" x14ac:dyDescent="0.35">
      <c r="A114" s="2949" t="s">
        <v>9</v>
      </c>
      <c r="B114" s="2337"/>
      <c r="C114" s="1003"/>
      <c r="D114" s="1003"/>
      <c r="E114" s="1003"/>
      <c r="F114" s="1003"/>
      <c r="G114" s="2338"/>
      <c r="H114" s="2337"/>
      <c r="I114" s="1003"/>
      <c r="J114" s="1003"/>
      <c r="K114" s="1003"/>
      <c r="L114" s="1003"/>
      <c r="M114" s="2338"/>
      <c r="N114" s="2981"/>
      <c r="O114" s="1002"/>
      <c r="P114" s="1002"/>
      <c r="Q114" s="1002"/>
      <c r="R114" s="1002"/>
      <c r="S114" s="2982"/>
      <c r="T114" s="361"/>
      <c r="U114" s="362"/>
      <c r="V114" s="365"/>
      <c r="W114" s="362"/>
      <c r="X114" s="365"/>
      <c r="Y114" s="363"/>
      <c r="Z114" s="373"/>
      <c r="AA114" s="287"/>
      <c r="AB114" s="378"/>
      <c r="AC114" s="365"/>
      <c r="AD114" s="365"/>
      <c r="AE114" s="363"/>
      <c r="AG114" s="10"/>
      <c r="AH114" s="10"/>
      <c r="AI114" s="10"/>
      <c r="AJ114" s="10"/>
      <c r="AK114" s="10"/>
      <c r="AL114" s="10"/>
      <c r="AM114" s="10"/>
      <c r="AN114" s="10"/>
      <c r="AO114" s="10"/>
      <c r="AP114" s="10"/>
      <c r="AQ114" s="10"/>
      <c r="AR114" s="10"/>
      <c r="AU114" s="10"/>
    </row>
    <row r="115" spans="1:47" ht="12.75" hidden="1" customHeight="1" thickBot="1" x14ac:dyDescent="0.3">
      <c r="A115" s="2950"/>
      <c r="B115" s="2255"/>
      <c r="C115" s="2256"/>
      <c r="D115" s="2256"/>
      <c r="E115" s="2256"/>
      <c r="F115" s="2256"/>
      <c r="G115" s="2257"/>
      <c r="H115" s="2255"/>
      <c r="I115" s="2256"/>
      <c r="J115" s="2256"/>
      <c r="K115" s="2256"/>
      <c r="L115" s="2256"/>
      <c r="M115" s="2257"/>
      <c r="N115" s="2255"/>
      <c r="O115" s="2256"/>
      <c r="P115" s="2256"/>
      <c r="Q115" s="2256"/>
      <c r="R115" s="2256"/>
      <c r="S115" s="2257"/>
      <c r="T115" s="367"/>
      <c r="U115" s="353"/>
      <c r="V115" s="353"/>
      <c r="W115" s="353"/>
      <c r="X115" s="353"/>
      <c r="Y115" s="368"/>
      <c r="Z115" s="283"/>
      <c r="AA115" s="10"/>
      <c r="AB115" s="353"/>
      <c r="AC115" s="353"/>
      <c r="AD115" s="353"/>
      <c r="AE115" s="368"/>
      <c r="AG115" s="10"/>
      <c r="AH115" s="10"/>
      <c r="AI115" s="10"/>
      <c r="AM115" s="10"/>
      <c r="AN115" s="10"/>
      <c r="AO115" s="10"/>
      <c r="AU115" s="10"/>
    </row>
    <row r="116" spans="1:47" ht="15" hidden="1" customHeight="1" thickBot="1" x14ac:dyDescent="0.3">
      <c r="A116" s="19" t="s">
        <v>1</v>
      </c>
      <c r="B116" s="1076" t="s">
        <v>2</v>
      </c>
      <c r="C116" s="1077"/>
      <c r="D116" s="1077"/>
      <c r="E116" s="1077"/>
      <c r="F116" s="1077"/>
      <c r="G116" s="1078"/>
      <c r="H116" s="1091" t="s">
        <v>3</v>
      </c>
      <c r="I116" s="1092"/>
      <c r="J116" s="1092"/>
      <c r="K116" s="1092"/>
      <c r="L116" s="1092"/>
      <c r="M116" s="1093"/>
      <c r="N116" s="1076" t="s">
        <v>139</v>
      </c>
      <c r="O116" s="1077"/>
      <c r="P116" s="1077"/>
      <c r="Q116" s="1092"/>
      <c r="R116" s="1092"/>
      <c r="S116" s="1093"/>
      <c r="T116" s="1076" t="s">
        <v>4</v>
      </c>
      <c r="U116" s="1077"/>
      <c r="V116" s="1077"/>
      <c r="W116" s="1077"/>
      <c r="X116" s="1077"/>
      <c r="Y116" s="1078"/>
      <c r="Z116" s="1091" t="s">
        <v>5</v>
      </c>
      <c r="AA116" s="1092"/>
      <c r="AB116" s="1092"/>
      <c r="AC116" s="1092"/>
      <c r="AD116" s="1092"/>
      <c r="AE116" s="1093"/>
    </row>
    <row r="117" spans="1:47" ht="30" customHeight="1" x14ac:dyDescent="0.3">
      <c r="A117" s="2975" t="s">
        <v>807</v>
      </c>
      <c r="B117" s="2964"/>
      <c r="C117" s="2965"/>
      <c r="D117" s="2965"/>
      <c r="E117" s="2965"/>
      <c r="F117" s="2965"/>
      <c r="G117" s="2966"/>
      <c r="H117" s="2964"/>
      <c r="I117" s="2965"/>
      <c r="J117" s="2965"/>
      <c r="K117" s="2965"/>
      <c r="L117" s="2965"/>
      <c r="M117" s="2966"/>
      <c r="T117" s="2337"/>
      <c r="U117" s="1003"/>
      <c r="V117" s="1003"/>
      <c r="W117" s="1003"/>
      <c r="X117" s="1003"/>
      <c r="Y117" s="2338"/>
      <c r="Z117" s="283"/>
      <c r="AA117" s="10"/>
      <c r="AB117" s="379"/>
      <c r="AC117" s="365"/>
      <c r="AD117" s="365"/>
      <c r="AE117" s="366"/>
      <c r="AG117" s="10"/>
      <c r="AH117" s="10"/>
      <c r="AI117" s="10"/>
      <c r="AJ117" s="10"/>
      <c r="AK117" s="10"/>
      <c r="AL117" s="10"/>
      <c r="AM117" s="10"/>
      <c r="AN117" s="10"/>
      <c r="AO117" s="10"/>
      <c r="AP117" s="10"/>
      <c r="AQ117" s="10"/>
      <c r="AR117" s="10"/>
      <c r="AU117" s="10"/>
    </row>
    <row r="118" spans="1:47" ht="30" customHeight="1" x14ac:dyDescent="0.25">
      <c r="A118" s="2937"/>
      <c r="B118" s="999"/>
      <c r="C118" s="930"/>
      <c r="D118" s="930"/>
      <c r="E118" s="930"/>
      <c r="F118" s="930"/>
      <c r="G118" s="1140"/>
      <c r="H118" s="999"/>
      <c r="I118" s="930"/>
      <c r="J118" s="930"/>
      <c r="K118" s="930"/>
      <c r="L118" s="930"/>
      <c r="M118" s="930"/>
      <c r="N118" s="3043" t="s">
        <v>579</v>
      </c>
      <c r="O118" s="1136" t="s">
        <v>808</v>
      </c>
      <c r="P118" s="20"/>
      <c r="Q118" s="20"/>
      <c r="R118" s="20"/>
      <c r="S118" s="20"/>
      <c r="T118" s="999"/>
      <c r="U118" s="930"/>
      <c r="V118" s="930"/>
      <c r="W118" s="930"/>
      <c r="X118" s="930"/>
      <c r="Y118" s="1140"/>
      <c r="Z118" s="499"/>
      <c r="AA118" s="20"/>
      <c r="AB118" s="370"/>
      <c r="AC118" s="370"/>
      <c r="AD118" s="370"/>
      <c r="AE118" s="376"/>
      <c r="AG118" s="10"/>
      <c r="AH118" s="10"/>
      <c r="AI118" s="10"/>
      <c r="AN118" s="10"/>
      <c r="AO118" s="10"/>
      <c r="AU118" s="10"/>
    </row>
    <row r="119" spans="1:47" ht="30" customHeight="1" x14ac:dyDescent="0.3">
      <c r="A119" s="2949" t="s">
        <v>187</v>
      </c>
      <c r="B119" s="1081" t="s">
        <v>1039</v>
      </c>
      <c r="C119" s="939"/>
      <c r="D119" s="939"/>
      <c r="E119" s="939"/>
      <c r="F119" s="939"/>
      <c r="G119" s="1082"/>
      <c r="H119" s="1069" t="s">
        <v>780</v>
      </c>
      <c r="I119" s="940"/>
      <c r="J119" s="940"/>
      <c r="K119" s="940"/>
      <c r="L119" s="940"/>
      <c r="M119" s="940"/>
      <c r="N119" s="3044"/>
      <c r="O119" s="1137"/>
      <c r="P119" s="391" t="s">
        <v>580</v>
      </c>
      <c r="Q119" s="3039" t="s">
        <v>809</v>
      </c>
      <c r="R119" s="1317" t="s">
        <v>1075</v>
      </c>
      <c r="S119" s="3040" t="s">
        <v>1100</v>
      </c>
      <c r="T119" s="1069" t="s">
        <v>782</v>
      </c>
      <c r="U119" s="940"/>
      <c r="V119" s="940"/>
      <c r="W119" s="940"/>
      <c r="X119" s="940"/>
      <c r="Y119" s="1070"/>
      <c r="Z119" s="1069" t="s">
        <v>1040</v>
      </c>
      <c r="AA119" s="940"/>
      <c r="AB119" s="940"/>
      <c r="AC119" s="940"/>
      <c r="AD119" s="940"/>
      <c r="AE119" s="1070"/>
      <c r="AG119" s="10"/>
      <c r="AH119" s="10"/>
      <c r="AI119" s="10"/>
      <c r="AJ119" s="10"/>
      <c r="AK119" s="10"/>
      <c r="AO119" s="10"/>
      <c r="AP119" s="10"/>
      <c r="AQ119" s="10"/>
      <c r="AR119" s="10"/>
      <c r="AU119" s="10"/>
    </row>
    <row r="120" spans="1:47" ht="30" customHeight="1" x14ac:dyDescent="0.25">
      <c r="A120" s="2950"/>
      <c r="B120" s="1067" t="s">
        <v>159</v>
      </c>
      <c r="C120" s="944"/>
      <c r="D120" s="944"/>
      <c r="E120" s="944"/>
      <c r="F120" s="944"/>
      <c r="G120" s="1068"/>
      <c r="H120" s="1067" t="s">
        <v>159</v>
      </c>
      <c r="I120" s="944"/>
      <c r="J120" s="944"/>
      <c r="K120" s="944"/>
      <c r="L120" s="944"/>
      <c r="M120" s="1068"/>
      <c r="N120" s="1118" t="s">
        <v>1039</v>
      </c>
      <c r="O120" s="1137"/>
      <c r="P120" s="1109" t="s">
        <v>778</v>
      </c>
      <c r="Q120" s="1195"/>
      <c r="R120" s="1109"/>
      <c r="S120" s="3041"/>
      <c r="T120" s="1067" t="s">
        <v>159</v>
      </c>
      <c r="U120" s="944"/>
      <c r="V120" s="944"/>
      <c r="W120" s="944"/>
      <c r="X120" s="944"/>
      <c r="Y120" s="1068"/>
      <c r="Z120" s="1067" t="s">
        <v>159</v>
      </c>
      <c r="AA120" s="944"/>
      <c r="AB120" s="944"/>
      <c r="AC120" s="944"/>
      <c r="AD120" s="944"/>
      <c r="AE120" s="1068"/>
      <c r="AF120" s="33"/>
      <c r="AG120" s="383"/>
      <c r="AH120" s="10"/>
      <c r="AI120" s="10"/>
      <c r="AO120" s="10"/>
      <c r="AU120" s="10"/>
    </row>
    <row r="121" spans="1:47" ht="30" customHeight="1" x14ac:dyDescent="0.3">
      <c r="A121" s="2949" t="s">
        <v>186</v>
      </c>
      <c r="B121" s="1081" t="s">
        <v>1039</v>
      </c>
      <c r="C121" s="939"/>
      <c r="D121" s="939"/>
      <c r="E121" s="939"/>
      <c r="F121" s="939"/>
      <c r="G121" s="1082"/>
      <c r="H121" s="1081" t="s">
        <v>782</v>
      </c>
      <c r="I121" s="939"/>
      <c r="J121" s="939"/>
      <c r="K121" s="939"/>
      <c r="L121" s="939"/>
      <c r="M121" s="1082"/>
      <c r="N121" s="1118"/>
      <c r="O121" s="1137"/>
      <c r="P121" s="1109"/>
      <c r="Q121" s="1195"/>
      <c r="R121" s="1109"/>
      <c r="S121" s="3041"/>
      <c r="T121" s="1081" t="s">
        <v>1040</v>
      </c>
      <c r="U121" s="939"/>
      <c r="V121" s="939"/>
      <c r="W121" s="939"/>
      <c r="X121" s="939"/>
      <c r="Y121" s="1082"/>
      <c r="Z121" s="1069" t="s">
        <v>780</v>
      </c>
      <c r="AA121" s="940"/>
      <c r="AB121" s="940"/>
      <c r="AC121" s="940"/>
      <c r="AD121" s="940"/>
      <c r="AE121" s="1070"/>
      <c r="AH121" s="10"/>
      <c r="AI121" s="10"/>
      <c r="AJ121" s="10"/>
      <c r="AK121" s="10"/>
      <c r="AO121" s="10"/>
      <c r="AP121" s="10"/>
      <c r="AQ121" s="10"/>
      <c r="AR121" s="10"/>
      <c r="AU121" s="10"/>
    </row>
    <row r="122" spans="1:47" ht="30" customHeight="1" x14ac:dyDescent="0.25">
      <c r="A122" s="2950"/>
      <c r="B122" s="1067" t="s">
        <v>159</v>
      </c>
      <c r="C122" s="944"/>
      <c r="D122" s="944"/>
      <c r="E122" s="944"/>
      <c r="F122" s="944"/>
      <c r="G122" s="1068"/>
      <c r="H122" s="1067" t="s">
        <v>159</v>
      </c>
      <c r="I122" s="944"/>
      <c r="J122" s="944"/>
      <c r="K122" s="944"/>
      <c r="L122" s="944"/>
      <c r="M122" s="1068"/>
      <c r="N122" s="1118"/>
      <c r="O122" s="1137"/>
      <c r="P122" s="1184"/>
      <c r="Q122" s="1196"/>
      <c r="R122" s="1184"/>
      <c r="S122" s="3042"/>
      <c r="T122" s="1067" t="s">
        <v>159</v>
      </c>
      <c r="U122" s="944"/>
      <c r="V122" s="944"/>
      <c r="W122" s="944"/>
      <c r="X122" s="944"/>
      <c r="Y122" s="1068"/>
      <c r="Z122" s="1067" t="s">
        <v>159</v>
      </c>
      <c r="AA122" s="944"/>
      <c r="AB122" s="944"/>
      <c r="AC122" s="944"/>
      <c r="AD122" s="944"/>
      <c r="AE122" s="1068"/>
      <c r="AF122" s="33"/>
      <c r="AH122" s="10"/>
      <c r="AI122" s="10"/>
      <c r="AJ122" s="1195"/>
      <c r="AO122" s="10"/>
      <c r="AU122" s="10"/>
    </row>
    <row r="123" spans="1:47" ht="30" customHeight="1" x14ac:dyDescent="0.3">
      <c r="A123" s="2949" t="s">
        <v>188</v>
      </c>
      <c r="B123" s="1081" t="s">
        <v>778</v>
      </c>
      <c r="C123" s="939"/>
      <c r="D123" s="939"/>
      <c r="E123" s="939"/>
      <c r="F123" s="939"/>
      <c r="G123" s="1082"/>
      <c r="H123" s="1287" t="s">
        <v>782</v>
      </c>
      <c r="I123" s="1182" t="s">
        <v>579</v>
      </c>
      <c r="J123" s="1216" t="s">
        <v>752</v>
      </c>
      <c r="K123" s="1391" t="s">
        <v>780</v>
      </c>
      <c r="L123" s="1182" t="s">
        <v>580</v>
      </c>
      <c r="M123" s="1353" t="s">
        <v>567</v>
      </c>
      <c r="N123" s="1119"/>
      <c r="O123" s="1138"/>
      <c r="P123" s="397"/>
      <c r="Q123" s="506"/>
      <c r="R123" s="3054" t="s">
        <v>1101</v>
      </c>
      <c r="S123" s="3040" t="s">
        <v>1076</v>
      </c>
      <c r="T123" s="1391" t="s">
        <v>1040</v>
      </c>
      <c r="U123" s="1182" t="s">
        <v>579</v>
      </c>
      <c r="V123" s="1216" t="s">
        <v>752</v>
      </c>
      <c r="W123" s="2146" t="s">
        <v>782</v>
      </c>
      <c r="X123" s="1182" t="s">
        <v>580</v>
      </c>
      <c r="Y123" s="2069" t="s">
        <v>145</v>
      </c>
      <c r="Z123" s="1287" t="s">
        <v>780</v>
      </c>
      <c r="AA123" s="1182" t="s">
        <v>579</v>
      </c>
      <c r="AB123" s="1216" t="s">
        <v>567</v>
      </c>
      <c r="AC123" s="1391" t="s">
        <v>1040</v>
      </c>
      <c r="AD123" s="1182" t="s">
        <v>580</v>
      </c>
      <c r="AE123" s="2069" t="s">
        <v>752</v>
      </c>
      <c r="AH123" s="10"/>
      <c r="AI123" s="10"/>
      <c r="AJ123" s="1195"/>
      <c r="AK123" s="10"/>
      <c r="AN123" s="10"/>
      <c r="AO123" s="10"/>
      <c r="AP123" s="10"/>
      <c r="AQ123" s="10"/>
      <c r="AR123" s="10"/>
      <c r="AU123" s="10"/>
    </row>
    <row r="124" spans="1:47" ht="30" customHeight="1" x14ac:dyDescent="0.25">
      <c r="A124" s="2950"/>
      <c r="B124" s="1067" t="s">
        <v>159</v>
      </c>
      <c r="C124" s="944"/>
      <c r="D124" s="944"/>
      <c r="E124" s="944"/>
      <c r="F124" s="944"/>
      <c r="G124" s="1068"/>
      <c r="H124" s="1288"/>
      <c r="I124" s="1153"/>
      <c r="J124" s="1217"/>
      <c r="K124" s="1392"/>
      <c r="L124" s="1153"/>
      <c r="M124" s="1342"/>
      <c r="N124" s="507"/>
      <c r="O124" s="20"/>
      <c r="P124" s="3045" t="s">
        <v>580</v>
      </c>
      <c r="Q124" s="1136" t="s">
        <v>808</v>
      </c>
      <c r="R124" s="3055"/>
      <c r="S124" s="3041"/>
      <c r="T124" s="1392"/>
      <c r="U124" s="1153"/>
      <c r="V124" s="1217"/>
      <c r="W124" s="1396"/>
      <c r="X124" s="1153"/>
      <c r="Y124" s="2070"/>
      <c r="Z124" s="1288"/>
      <c r="AA124" s="1153"/>
      <c r="AB124" s="1217"/>
      <c r="AC124" s="1392"/>
      <c r="AD124" s="1153"/>
      <c r="AE124" s="2070"/>
      <c r="AG124" s="1153"/>
      <c r="AH124" s="3047"/>
      <c r="AI124" s="1195"/>
      <c r="AJ124" s="1195"/>
      <c r="AM124" s="10"/>
      <c r="AN124" s="10"/>
      <c r="AO124" s="10"/>
      <c r="AU124" s="10"/>
    </row>
    <row r="125" spans="1:47" ht="30" customHeight="1" x14ac:dyDescent="0.3">
      <c r="A125" s="2949" t="s">
        <v>189</v>
      </c>
      <c r="B125" s="1069" t="s">
        <v>778</v>
      </c>
      <c r="C125" s="940"/>
      <c r="D125" s="940"/>
      <c r="E125" s="940"/>
      <c r="F125" s="940"/>
      <c r="G125" s="1070"/>
      <c r="H125" s="1288"/>
      <c r="I125" s="1153"/>
      <c r="J125" s="1217"/>
      <c r="K125" s="1392"/>
      <c r="L125" s="1153"/>
      <c r="M125" s="1342"/>
      <c r="N125" s="508" t="s">
        <v>579</v>
      </c>
      <c r="O125" s="3039" t="s">
        <v>809</v>
      </c>
      <c r="P125" s="3046"/>
      <c r="Q125" s="1137"/>
      <c r="R125" s="3055"/>
      <c r="S125" s="3041"/>
      <c r="T125" s="1392"/>
      <c r="U125" s="1153"/>
      <c r="V125" s="1217"/>
      <c r="W125" s="1396"/>
      <c r="X125" s="1153"/>
      <c r="Y125" s="2070"/>
      <c r="Z125" s="1288"/>
      <c r="AA125" s="1153"/>
      <c r="AB125" s="1217"/>
      <c r="AC125" s="1392"/>
      <c r="AD125" s="1153"/>
      <c r="AE125" s="2070"/>
      <c r="AG125" s="1153"/>
      <c r="AH125" s="3047"/>
      <c r="AI125" s="1195"/>
      <c r="AJ125" s="1195"/>
      <c r="AK125" s="10"/>
      <c r="AL125" s="10"/>
      <c r="AM125" s="383"/>
      <c r="AN125" s="1195"/>
      <c r="AO125" s="10"/>
      <c r="AP125" s="10"/>
      <c r="AQ125" s="10"/>
      <c r="AR125" s="10"/>
      <c r="AU125" s="10"/>
    </row>
    <row r="126" spans="1:47" ht="30" customHeight="1" x14ac:dyDescent="0.25">
      <c r="A126" s="2950"/>
      <c r="B126" s="1067" t="s">
        <v>159</v>
      </c>
      <c r="C126" s="944"/>
      <c r="D126" s="944"/>
      <c r="E126" s="944"/>
      <c r="F126" s="944"/>
      <c r="G126" s="1068"/>
      <c r="H126" s="1335"/>
      <c r="I126" s="1154"/>
      <c r="J126" s="1218"/>
      <c r="K126" s="1393"/>
      <c r="L126" s="1154"/>
      <c r="M126" s="1343"/>
      <c r="N126" s="1118" t="s">
        <v>778</v>
      </c>
      <c r="O126" s="1195"/>
      <c r="P126" s="1109" t="s">
        <v>1039</v>
      </c>
      <c r="Q126" s="1137"/>
      <c r="R126" s="3056"/>
      <c r="S126" s="3042"/>
      <c r="T126" s="1393"/>
      <c r="U126" s="1154"/>
      <c r="V126" s="1218"/>
      <c r="W126" s="2147"/>
      <c r="X126" s="1153"/>
      <c r="Y126" s="2071"/>
      <c r="Z126" s="1335"/>
      <c r="AA126" s="1154"/>
      <c r="AB126" s="1218"/>
      <c r="AC126" s="1393"/>
      <c r="AD126" s="1154"/>
      <c r="AE126" s="2071"/>
      <c r="AG126" s="1153"/>
      <c r="AH126" s="3047"/>
      <c r="AI126" s="1195"/>
      <c r="AM126" s="1153"/>
      <c r="AN126" s="1195"/>
      <c r="AO126" s="10"/>
      <c r="AU126" s="10"/>
    </row>
    <row r="127" spans="1:47" ht="30" customHeight="1" x14ac:dyDescent="0.3">
      <c r="A127" s="2949" t="s">
        <v>190</v>
      </c>
      <c r="B127" s="20"/>
      <c r="C127" s="20"/>
      <c r="D127" s="20"/>
      <c r="E127" s="20"/>
      <c r="F127" s="20"/>
      <c r="G127" s="20"/>
      <c r="H127" s="479"/>
      <c r="I127" s="428"/>
      <c r="J127" s="84"/>
      <c r="K127" s="20"/>
      <c r="L127" s="20"/>
      <c r="M127" s="498"/>
      <c r="N127" s="1153"/>
      <c r="O127" s="1195"/>
      <c r="P127" s="1109"/>
      <c r="Q127" s="1137"/>
      <c r="R127" s="20"/>
      <c r="S127" s="20"/>
      <c r="T127" s="509"/>
      <c r="U127" s="20"/>
      <c r="V127" s="20"/>
      <c r="W127" s="428"/>
      <c r="X127" s="428"/>
      <c r="Y127" s="396"/>
      <c r="Z127" s="499"/>
      <c r="AA127" s="20"/>
      <c r="AB127" s="20"/>
      <c r="AC127" s="20"/>
      <c r="AD127" s="20"/>
      <c r="AE127" s="498"/>
      <c r="AF127" s="33"/>
      <c r="AG127" s="1153"/>
      <c r="AH127" s="3047"/>
      <c r="AI127" s="1195"/>
      <c r="AM127" s="1153"/>
      <c r="AN127" s="1195"/>
      <c r="AO127" s="10"/>
      <c r="AP127" s="10"/>
      <c r="AQ127" s="10"/>
      <c r="AR127" s="10"/>
      <c r="AU127" s="10"/>
    </row>
    <row r="128" spans="1:47" ht="30" customHeight="1" x14ac:dyDescent="0.25">
      <c r="A128" s="2950"/>
      <c r="B128" s="496"/>
      <c r="C128" s="20"/>
      <c r="D128" s="20"/>
      <c r="E128" s="20"/>
      <c r="F128" s="20"/>
      <c r="G128" s="20"/>
      <c r="H128" s="504"/>
      <c r="I128" s="380"/>
      <c r="J128" s="380"/>
      <c r="K128" s="20"/>
      <c r="L128" s="497"/>
      <c r="M128" s="205"/>
      <c r="N128" s="1154"/>
      <c r="O128" s="1196"/>
      <c r="P128" s="1109"/>
      <c r="Q128" s="1137"/>
      <c r="R128" s="20"/>
      <c r="S128" s="205"/>
      <c r="T128" s="496"/>
      <c r="U128" s="20"/>
      <c r="V128" s="20"/>
      <c r="W128" s="380"/>
      <c r="X128" s="380"/>
      <c r="Y128" s="381"/>
      <c r="Z128" s="499"/>
      <c r="AA128" s="20"/>
      <c r="AB128" s="20"/>
      <c r="AC128" s="20"/>
      <c r="AD128" s="20"/>
      <c r="AE128" s="475"/>
      <c r="AF128" s="33"/>
      <c r="AG128" s="1153"/>
      <c r="AH128" s="3047"/>
      <c r="AI128" s="1195"/>
      <c r="AM128" s="1153"/>
      <c r="AN128" s="1195"/>
      <c r="AO128" s="10"/>
      <c r="AU128" s="10"/>
    </row>
    <row r="129" spans="1:49" ht="30" customHeight="1" x14ac:dyDescent="0.3">
      <c r="A129" s="2949" t="s">
        <v>191</v>
      </c>
      <c r="B129" s="20"/>
      <c r="C129" s="510"/>
      <c r="D129" s="510"/>
      <c r="E129" s="428"/>
      <c r="F129" s="428"/>
      <c r="G129" s="396"/>
      <c r="H129" s="479"/>
      <c r="I129" s="428"/>
      <c r="J129" s="428"/>
      <c r="K129" s="510"/>
      <c r="L129" s="20"/>
      <c r="M129" s="498"/>
      <c r="N129" s="20"/>
      <c r="O129" s="20"/>
      <c r="P129" s="1184"/>
      <c r="Q129" s="1138"/>
      <c r="R129" s="20"/>
      <c r="S129" s="205"/>
      <c r="T129" s="20"/>
      <c r="U129" s="510"/>
      <c r="V129" s="510"/>
      <c r="W129" s="428"/>
      <c r="X129" s="428"/>
      <c r="Y129" s="396"/>
      <c r="Z129" s="1000"/>
      <c r="AA129" s="967"/>
      <c r="AB129" s="967"/>
      <c r="AC129" s="967"/>
      <c r="AD129" s="967"/>
      <c r="AE129" s="1139"/>
      <c r="AG129" s="1153"/>
      <c r="AH129" s="3047"/>
      <c r="AI129" s="1195"/>
      <c r="AN129" s="10"/>
      <c r="AO129" s="10"/>
      <c r="AP129" s="10"/>
      <c r="AQ129" s="10"/>
      <c r="AR129" s="10"/>
      <c r="AU129" s="10"/>
    </row>
    <row r="130" spans="1:49" ht="30" customHeight="1" x14ac:dyDescent="0.25">
      <c r="A130" s="2950"/>
      <c r="B130" s="101"/>
      <c r="C130" s="102"/>
      <c r="E130" s="400"/>
      <c r="F130" s="400"/>
      <c r="G130" s="401"/>
      <c r="H130" s="451"/>
      <c r="I130" s="400"/>
      <c r="J130" s="400"/>
      <c r="M130" s="32"/>
      <c r="N130" s="102"/>
      <c r="O130" s="102"/>
      <c r="P130" s="332"/>
      <c r="S130" s="103"/>
      <c r="W130" s="400"/>
      <c r="X130" s="400"/>
      <c r="Y130" s="401"/>
      <c r="Z130" s="2255"/>
      <c r="AA130" s="2256"/>
      <c r="AB130" s="2256"/>
      <c r="AC130" s="2256"/>
      <c r="AD130" s="2256"/>
      <c r="AE130" s="2257"/>
      <c r="AM130" s="10"/>
      <c r="AN130" s="10"/>
      <c r="AO130" s="255"/>
      <c r="AU130" s="10"/>
    </row>
    <row r="131" spans="1:49" ht="15" x14ac:dyDescent="0.25">
      <c r="A131" s="110"/>
      <c r="B131" s="272"/>
      <c r="C131" s="173"/>
      <c r="D131" s="382"/>
      <c r="E131" s="272"/>
      <c r="F131" s="173"/>
      <c r="G131" s="176"/>
      <c r="H131" s="351"/>
      <c r="I131" s="173"/>
      <c r="J131" s="176"/>
      <c r="K131" s="351"/>
      <c r="L131" s="279"/>
      <c r="M131" s="382"/>
      <c r="N131" s="272"/>
      <c r="O131" s="173"/>
      <c r="P131" s="176"/>
      <c r="Q131" s="351"/>
      <c r="R131" s="279"/>
      <c r="S131" s="382"/>
      <c r="T131" s="351"/>
      <c r="U131" s="279"/>
      <c r="V131" s="382"/>
      <c r="W131" s="272"/>
      <c r="X131" s="173"/>
      <c r="Y131" s="176"/>
      <c r="Z131" s="279"/>
      <c r="AA131" s="279"/>
      <c r="AB131" s="293"/>
      <c r="AC131" s="279"/>
      <c r="AD131" s="279"/>
      <c r="AE131" s="293"/>
    </row>
    <row r="132" spans="1:49" x14ac:dyDescent="0.25">
      <c r="A132" s="350" t="s">
        <v>1016</v>
      </c>
      <c r="B132" s="272"/>
      <c r="C132" s="173"/>
      <c r="D132" s="176"/>
      <c r="E132" s="272"/>
      <c r="F132" s="173"/>
      <c r="G132" s="176"/>
      <c r="H132" s="272"/>
      <c r="I132" s="173"/>
      <c r="J132" s="176"/>
      <c r="K132" s="272"/>
      <c r="L132" s="173"/>
      <c r="M132" s="176"/>
      <c r="N132" s="272"/>
      <c r="O132" s="173"/>
      <c r="P132" s="176"/>
      <c r="Q132" s="272"/>
      <c r="R132" s="173"/>
      <c r="S132" s="176"/>
      <c r="T132" s="272"/>
      <c r="U132" s="173"/>
      <c r="V132" s="176"/>
      <c r="W132" s="272"/>
      <c r="X132" s="173"/>
      <c r="Y132" s="176"/>
      <c r="Z132" s="173"/>
      <c r="AA132" s="173"/>
      <c r="AB132" s="276"/>
      <c r="AC132" s="173"/>
      <c r="AD132" s="173"/>
      <c r="AE132" s="276"/>
    </row>
    <row r="133" spans="1:49" ht="14.4" x14ac:dyDescent="0.25">
      <c r="A133" s="350" t="s">
        <v>1015</v>
      </c>
      <c r="B133" s="272"/>
      <c r="C133" s="173"/>
      <c r="D133" s="176"/>
      <c r="E133" s="272"/>
      <c r="F133" s="173"/>
      <c r="G133" s="176"/>
      <c r="H133" s="272"/>
      <c r="I133" s="173"/>
      <c r="J133" s="176"/>
      <c r="K133" s="272"/>
      <c r="L133" s="173"/>
      <c r="M133" s="176"/>
      <c r="N133" s="272"/>
      <c r="O133" s="173"/>
      <c r="P133" s="176"/>
      <c r="Q133" s="272"/>
      <c r="R133" s="173"/>
      <c r="S133" s="176"/>
      <c r="T133" s="272"/>
      <c r="U133" s="173"/>
      <c r="V133" s="176"/>
      <c r="W133" s="272"/>
      <c r="X133" s="173"/>
      <c r="Y133" s="176"/>
      <c r="Z133" s="173"/>
      <c r="AA133" s="173"/>
      <c r="AB133" s="276"/>
      <c r="AC133" s="173"/>
      <c r="AD133" s="173"/>
      <c r="AE133" s="276"/>
      <c r="AS133" s="452" t="s">
        <v>1011</v>
      </c>
    </row>
    <row r="134" spans="1:49" ht="14.4" x14ac:dyDescent="0.25">
      <c r="A134" s="350" t="s">
        <v>1017</v>
      </c>
      <c r="B134" s="447"/>
      <c r="C134" s="203"/>
      <c r="D134" s="448"/>
      <c r="E134" s="447"/>
      <c r="F134" s="203"/>
      <c r="G134" s="448"/>
      <c r="H134" s="447"/>
      <c r="I134" s="203"/>
      <c r="J134" s="448"/>
      <c r="K134" s="447"/>
      <c r="L134" s="203"/>
      <c r="M134" s="448"/>
      <c r="N134" s="447"/>
      <c r="O134" s="203"/>
      <c r="P134" s="448"/>
      <c r="Q134" s="447"/>
      <c r="R134" s="203"/>
      <c r="S134" s="448"/>
      <c r="T134" s="447"/>
      <c r="U134" s="203"/>
      <c r="V134" s="448"/>
      <c r="W134" s="447"/>
      <c r="X134" s="203"/>
      <c r="Y134" s="448"/>
      <c r="Z134" s="203"/>
      <c r="AA134" s="203"/>
      <c r="AB134" s="454"/>
      <c r="AC134" s="203"/>
      <c r="AD134" s="203"/>
      <c r="AE134" s="454"/>
      <c r="AF134" s="350"/>
      <c r="AS134" s="452" t="s">
        <v>1012</v>
      </c>
    </row>
    <row r="135" spans="1:49" x14ac:dyDescent="0.25">
      <c r="A135" s="350" t="s">
        <v>1014</v>
      </c>
      <c r="B135" s="447"/>
      <c r="C135" s="203"/>
      <c r="D135" s="448"/>
      <c r="E135" s="447"/>
      <c r="F135" s="203"/>
      <c r="G135" s="448"/>
      <c r="H135" s="447"/>
      <c r="I135" s="203"/>
      <c r="J135" s="448"/>
      <c r="K135" s="447"/>
      <c r="L135" s="203"/>
      <c r="M135" s="448"/>
      <c r="N135" s="447"/>
      <c r="O135" s="203"/>
      <c r="P135" s="448"/>
      <c r="Q135" s="447"/>
      <c r="R135" s="203"/>
      <c r="S135" s="448"/>
      <c r="T135" s="447"/>
      <c r="U135" s="203"/>
      <c r="V135" s="448"/>
      <c r="W135" s="447"/>
      <c r="X135" s="203"/>
      <c r="Y135" s="448"/>
      <c r="Z135" s="203"/>
      <c r="AA135" s="203"/>
      <c r="AB135" s="454"/>
      <c r="AC135" s="203"/>
      <c r="AD135" s="203"/>
      <c r="AE135" s="454"/>
      <c r="AF135" s="350"/>
    </row>
    <row r="137" spans="1:49" ht="15" x14ac:dyDescent="0.25">
      <c r="A137" s="2990" t="s">
        <v>218</v>
      </c>
      <c r="B137" s="2991"/>
      <c r="C137" s="995" t="s">
        <v>219</v>
      </c>
      <c r="D137" s="952"/>
      <c r="E137" s="952"/>
      <c r="F137" s="952"/>
      <c r="G137" s="952"/>
      <c r="H137" s="952"/>
      <c r="I137" s="952"/>
      <c r="J137" s="952"/>
      <c r="K137" s="952"/>
      <c r="L137" s="168"/>
      <c r="M137" s="996" t="s">
        <v>629</v>
      </c>
      <c r="N137" s="951"/>
      <c r="O137" s="995" t="s">
        <v>143</v>
      </c>
      <c r="P137" s="953"/>
      <c r="Q137" s="995" t="s">
        <v>167</v>
      </c>
      <c r="R137" s="952"/>
      <c r="S137" s="952"/>
      <c r="T137" s="952"/>
      <c r="U137" s="952"/>
      <c r="V137" s="952"/>
      <c r="W137" s="952"/>
      <c r="X137" s="952"/>
      <c r="Y137" s="952"/>
      <c r="Z137" s="952"/>
      <c r="AA137" s="952"/>
      <c r="AB137" s="952"/>
      <c r="AC137" s="952"/>
      <c r="AD137" s="952"/>
      <c r="AE137" s="953"/>
    </row>
    <row r="138" spans="1:49" ht="13.8" x14ac:dyDescent="0.25">
      <c r="A138" s="1063" t="s">
        <v>776</v>
      </c>
      <c r="B138" s="1064"/>
      <c r="C138" s="992" t="str">
        <f>ASIGNATURAS!I324</f>
        <v>Genética Molecular</v>
      </c>
      <c r="D138" s="993"/>
      <c r="E138" s="993"/>
      <c r="F138" s="993"/>
      <c r="G138" s="993"/>
      <c r="H138" s="993"/>
      <c r="I138" s="993"/>
      <c r="J138" s="993"/>
      <c r="K138" s="993"/>
      <c r="L138" s="982"/>
      <c r="M138" s="994">
        <v>8223</v>
      </c>
      <c r="N138" s="981"/>
      <c r="O138" s="994">
        <v>6</v>
      </c>
      <c r="P138" s="981"/>
      <c r="Q138" s="992" t="str">
        <f>ASIGNATURAS!K324</f>
        <v>Sonia Ramos Gómez, Alfredo Marcos Reguero</v>
      </c>
      <c r="R138" s="993"/>
      <c r="S138" s="993"/>
      <c r="T138" s="993"/>
      <c r="U138" s="993"/>
      <c r="V138" s="993"/>
      <c r="W138" s="993"/>
      <c r="X138" s="993"/>
      <c r="Y138" s="993"/>
      <c r="Z138" s="993"/>
      <c r="AA138" s="993"/>
      <c r="AB138" s="993"/>
      <c r="AC138" s="993"/>
      <c r="AD138" s="993"/>
      <c r="AE138" s="982"/>
    </row>
    <row r="139" spans="1:49" ht="13.8" x14ac:dyDescent="0.25">
      <c r="A139" s="1063" t="s">
        <v>778</v>
      </c>
      <c r="B139" s="1064"/>
      <c r="C139" s="992" t="str">
        <f>ASIGNATURAS!I325</f>
        <v>Estructura y Función del Cuerpo Humano II</v>
      </c>
      <c r="D139" s="993"/>
      <c r="E139" s="993"/>
      <c r="F139" s="993"/>
      <c r="G139" s="993"/>
      <c r="H139" s="993"/>
      <c r="I139" s="993"/>
      <c r="J139" s="993"/>
      <c r="K139" s="993"/>
      <c r="L139" s="982"/>
      <c r="M139" s="994">
        <v>8224</v>
      </c>
      <c r="N139" s="981"/>
      <c r="O139" s="994">
        <v>6</v>
      </c>
      <c r="P139" s="981"/>
      <c r="Q139" s="992" t="str">
        <f>ASIGNATURAS!K325</f>
        <v>Jonatan Rojo, Miriam Saíz, Juan Valencia</v>
      </c>
      <c r="R139" s="993"/>
      <c r="S139" s="993"/>
      <c r="T139" s="993"/>
      <c r="U139" s="993"/>
      <c r="V139" s="993"/>
      <c r="W139" s="993"/>
      <c r="X139" s="993"/>
      <c r="Y139" s="993"/>
      <c r="Z139" s="993"/>
      <c r="AA139" s="993"/>
      <c r="AB139" s="993"/>
      <c r="AC139" s="993"/>
      <c r="AD139" s="993"/>
      <c r="AE139" s="982"/>
    </row>
    <row r="140" spans="1:49" ht="14.25" customHeight="1" x14ac:dyDescent="0.25">
      <c r="A140" s="1063" t="s">
        <v>780</v>
      </c>
      <c r="B140" s="1064"/>
      <c r="C140" s="992" t="str">
        <f>ASIGNATURAS!I326</f>
        <v>Bioestadística</v>
      </c>
      <c r="D140" s="993"/>
      <c r="E140" s="993"/>
      <c r="F140" s="993"/>
      <c r="G140" s="993"/>
      <c r="H140" s="993"/>
      <c r="I140" s="993"/>
      <c r="J140" s="993"/>
      <c r="K140" s="993"/>
      <c r="L140" s="982"/>
      <c r="M140" s="994">
        <v>8225</v>
      </c>
      <c r="N140" s="981"/>
      <c r="O140" s="994">
        <v>6</v>
      </c>
      <c r="P140" s="981"/>
      <c r="Q140" s="992" t="str">
        <f>ASIGNATURAS!K326</f>
        <v>Olga Valencia García</v>
      </c>
      <c r="R140" s="993"/>
      <c r="S140" s="993"/>
      <c r="T140" s="993"/>
      <c r="U140" s="993"/>
      <c r="V140" s="993"/>
      <c r="W140" s="993"/>
      <c r="X140" s="993"/>
      <c r="Y140" s="993"/>
      <c r="Z140" s="993"/>
      <c r="AA140" s="993"/>
      <c r="AB140" s="993"/>
      <c r="AC140" s="993"/>
      <c r="AD140" s="993"/>
      <c r="AE140" s="982"/>
    </row>
    <row r="141" spans="1:49" ht="14.25" customHeight="1" x14ac:dyDescent="0.25">
      <c r="A141" s="1063" t="s">
        <v>782</v>
      </c>
      <c r="B141" s="1064"/>
      <c r="C141" s="992" t="str">
        <f>ASIGNATURAS!I327</f>
        <v>Bases de datos</v>
      </c>
      <c r="D141" s="993"/>
      <c r="E141" s="993"/>
      <c r="F141" s="993"/>
      <c r="G141" s="993"/>
      <c r="H141" s="993"/>
      <c r="I141" s="993"/>
      <c r="J141" s="993"/>
      <c r="K141" s="993"/>
      <c r="L141" s="982"/>
      <c r="M141" s="994">
        <v>8226</v>
      </c>
      <c r="N141" s="981"/>
      <c r="O141" s="981">
        <v>6</v>
      </c>
      <c r="P141" s="972"/>
      <c r="Q141" s="992" t="str">
        <f>ASIGNATURAS!K327</f>
        <v>Jesús Manuel Maudes, Antonio Jesús Canepa</v>
      </c>
      <c r="R141" s="993"/>
      <c r="S141" s="993"/>
      <c r="T141" s="993"/>
      <c r="U141" s="993"/>
      <c r="V141" s="993"/>
      <c r="W141" s="993"/>
      <c r="X141" s="993"/>
      <c r="Y141" s="993"/>
      <c r="Z141" s="993"/>
      <c r="AA141" s="993"/>
      <c r="AB141" s="993"/>
      <c r="AC141" s="993"/>
      <c r="AD141" s="993"/>
      <c r="AE141" s="982"/>
      <c r="AW141" s="455"/>
    </row>
    <row r="142" spans="1:49" ht="13.8" x14ac:dyDescent="0.25">
      <c r="A142" s="1063" t="s">
        <v>790</v>
      </c>
      <c r="B142" s="1064"/>
      <c r="C142" s="992" t="str">
        <f>ASIGNATURAS!I328</f>
        <v>Metodología de la Programación</v>
      </c>
      <c r="D142" s="993"/>
      <c r="E142" s="993"/>
      <c r="F142" s="993"/>
      <c r="G142" s="993"/>
      <c r="H142" s="993"/>
      <c r="I142" s="993"/>
      <c r="J142" s="993"/>
      <c r="K142" s="993"/>
      <c r="L142" s="982"/>
      <c r="M142" s="994">
        <v>8227</v>
      </c>
      <c r="N142" s="981"/>
      <c r="O142" s="981">
        <v>6</v>
      </c>
      <c r="P142" s="972"/>
      <c r="Q142" s="992" t="str">
        <f>ASIGNATURAS!K328</f>
        <v>Daniel Urda Muñoz</v>
      </c>
      <c r="R142" s="993"/>
      <c r="S142" s="993"/>
      <c r="T142" s="993"/>
      <c r="U142" s="993"/>
      <c r="V142" s="993"/>
      <c r="W142" s="993"/>
      <c r="X142" s="993"/>
      <c r="Y142" s="993"/>
      <c r="Z142" s="993"/>
      <c r="AA142" s="993"/>
      <c r="AB142" s="993"/>
      <c r="AC142" s="993"/>
      <c r="AD142" s="993"/>
      <c r="AE142" s="982"/>
    </row>
    <row r="145" spans="1:31" ht="15" x14ac:dyDescent="0.25">
      <c r="A145" s="2995" t="s">
        <v>169</v>
      </c>
      <c r="B145" s="2996"/>
      <c r="C145" s="2996"/>
      <c r="D145" s="2996"/>
      <c r="E145" s="2997"/>
    </row>
    <row r="146" spans="1:31" ht="15" x14ac:dyDescent="0.25">
      <c r="A146" s="2999" t="s">
        <v>736</v>
      </c>
      <c r="B146" s="3000"/>
      <c r="C146" s="3000"/>
      <c r="D146" s="3000"/>
      <c r="E146" s="3001"/>
      <c r="G146" s="25" t="s">
        <v>735</v>
      </c>
    </row>
    <row r="147" spans="1:3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spans="1:3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row>
    <row r="149" spans="1:31" s="1" customFormat="1" ht="60.75" customHeight="1" x14ac:dyDescent="0.4">
      <c r="A149" s="974" t="s">
        <v>700</v>
      </c>
      <c r="B149" s="975"/>
      <c r="C149" s="975"/>
      <c r="D149" s="975"/>
      <c r="E149" s="975"/>
      <c r="F149" s="975"/>
      <c r="G149" s="975"/>
      <c r="H149" s="975"/>
      <c r="I149" s="975"/>
      <c r="J149" s="975"/>
      <c r="K149" s="975"/>
      <c r="L149" s="975"/>
      <c r="M149" s="975"/>
      <c r="N149" s="975"/>
      <c r="O149" s="975"/>
      <c r="P149" s="975"/>
      <c r="Q149" s="975"/>
      <c r="R149" s="975"/>
      <c r="S149" s="975"/>
      <c r="T149" s="975"/>
      <c r="U149" s="975"/>
      <c r="V149" s="975"/>
      <c r="W149" s="975"/>
      <c r="X149" s="975"/>
      <c r="Y149" s="976"/>
      <c r="Z149" s="988" t="str">
        <f>Z1</f>
        <v>Curso 2024-2025</v>
      </c>
      <c r="AA149" s="988"/>
      <c r="AB149" s="988"/>
      <c r="AC149" s="988"/>
      <c r="AD149" s="988"/>
      <c r="AE149" s="989"/>
    </row>
    <row r="150" spans="1:31" s="8" customFormat="1" ht="23.25" customHeight="1" x14ac:dyDescent="0.4">
      <c r="A150" s="960" t="s">
        <v>789</v>
      </c>
      <c r="B150" s="961"/>
      <c r="C150" s="961"/>
      <c r="D150" s="961"/>
      <c r="E150" s="961"/>
      <c r="F150" s="961"/>
      <c r="G150" s="961"/>
      <c r="H150" s="961"/>
      <c r="I150" s="961"/>
      <c r="J150" s="961"/>
      <c r="K150" s="961"/>
      <c r="L150" s="961"/>
      <c r="M150" s="961"/>
      <c r="N150" s="961"/>
      <c r="O150" s="961"/>
      <c r="P150" s="961"/>
      <c r="Q150" s="961"/>
      <c r="R150" s="961"/>
      <c r="S150" s="961"/>
      <c r="T150" s="961"/>
      <c r="U150" s="961"/>
      <c r="V150" s="961"/>
      <c r="W150" s="961"/>
      <c r="X150" s="961"/>
      <c r="Y150" s="962"/>
      <c r="Z150" s="2917" t="s">
        <v>563</v>
      </c>
      <c r="AA150" s="2917"/>
      <c r="AB150" s="2917"/>
      <c r="AC150" s="2917"/>
      <c r="AD150" s="2917"/>
      <c r="AE150" s="2992"/>
    </row>
    <row r="151" spans="1:31" s="8" customFormat="1" ht="23.25" customHeight="1" x14ac:dyDescent="0.4">
      <c r="A151" s="963" t="s">
        <v>181</v>
      </c>
      <c r="B151" s="964"/>
      <c r="C151" s="964"/>
      <c r="D151" s="964"/>
      <c r="E151" s="964"/>
      <c r="F151" s="964"/>
      <c r="G151" s="964"/>
      <c r="H151" s="964"/>
      <c r="I151" s="964"/>
      <c r="J151" s="964"/>
      <c r="K151" s="964"/>
      <c r="L151" s="964"/>
      <c r="M151" s="964"/>
      <c r="N151" s="964"/>
      <c r="O151" s="964"/>
      <c r="P151" s="964"/>
      <c r="Q151" s="964"/>
      <c r="R151" s="964"/>
      <c r="S151" s="964"/>
      <c r="T151" s="964"/>
      <c r="U151" s="964"/>
      <c r="V151" s="964"/>
      <c r="W151" s="964"/>
      <c r="X151" s="964"/>
      <c r="Y151" s="965"/>
      <c r="Z151" s="2993"/>
      <c r="AA151" s="2993"/>
      <c r="AB151" s="2993"/>
      <c r="AC151" s="2993"/>
      <c r="AD151" s="2993"/>
      <c r="AE151" s="2994"/>
    </row>
    <row r="152" spans="1:31" ht="26.25" customHeight="1" thickBot="1" x14ac:dyDescent="0.3">
      <c r="A152" s="9" t="s">
        <v>717</v>
      </c>
      <c r="AE152" s="372"/>
    </row>
    <row r="153" spans="1:31" ht="1.5" customHeight="1" thickBot="1" x14ac:dyDescent="0.3">
      <c r="A153" s="167" t="s">
        <v>1</v>
      </c>
      <c r="B153" s="1042" t="s">
        <v>2</v>
      </c>
      <c r="C153" s="1042"/>
      <c r="D153" s="1042"/>
      <c r="E153" s="1042"/>
      <c r="F153" s="1042"/>
      <c r="G153" s="1043"/>
      <c r="H153" s="1042" t="s">
        <v>3</v>
      </c>
      <c r="I153" s="1042"/>
      <c r="J153" s="1042"/>
      <c r="K153" s="1042"/>
      <c r="L153" s="1042"/>
      <c r="M153" s="1043"/>
      <c r="N153" s="1028" t="s">
        <v>139</v>
      </c>
      <c r="O153" s="1029"/>
      <c r="P153" s="1029"/>
      <c r="Q153" s="1029"/>
      <c r="R153" s="1029"/>
      <c r="S153" s="1030"/>
      <c r="T153" s="1042" t="s">
        <v>4</v>
      </c>
      <c r="U153" s="1042"/>
      <c r="V153" s="1042"/>
      <c r="W153" s="1042"/>
      <c r="X153" s="1042"/>
      <c r="Y153" s="1043"/>
      <c r="Z153" s="1028" t="s">
        <v>5</v>
      </c>
      <c r="AA153" s="1029"/>
      <c r="AB153" s="1029"/>
      <c r="AC153" s="1029"/>
      <c r="AD153" s="1029"/>
      <c r="AE153" s="1030"/>
    </row>
    <row r="154" spans="1:31" ht="16.2" hidden="1" thickBot="1" x14ac:dyDescent="0.35">
      <c r="A154" s="2949" t="s">
        <v>10</v>
      </c>
      <c r="B154" s="2337"/>
      <c r="C154" s="1003"/>
      <c r="D154" s="1003"/>
      <c r="E154" s="1003"/>
      <c r="F154" s="1003"/>
      <c r="G154" s="2338"/>
      <c r="H154" s="2964"/>
      <c r="I154" s="2965"/>
      <c r="J154" s="2965"/>
      <c r="K154" s="2965"/>
      <c r="L154" s="2965"/>
      <c r="M154" s="2966"/>
      <c r="N154" s="2964"/>
      <c r="O154" s="2965"/>
      <c r="P154" s="2965"/>
      <c r="Q154" s="2965"/>
      <c r="R154" s="2965"/>
      <c r="S154" s="2966"/>
      <c r="T154" s="354"/>
      <c r="U154" s="355"/>
      <c r="V154" s="355"/>
      <c r="W154" s="355"/>
      <c r="X154" s="355"/>
      <c r="Y154" s="356"/>
      <c r="Z154" s="283"/>
      <c r="AA154" s="10"/>
      <c r="AB154" s="379"/>
      <c r="AC154" s="365"/>
      <c r="AD154" s="365"/>
      <c r="AE154" s="366"/>
    </row>
    <row r="155" spans="1:31" ht="12.75" hidden="1" customHeight="1" thickBot="1" x14ac:dyDescent="0.3">
      <c r="A155" s="2950"/>
      <c r="B155" s="2255"/>
      <c r="C155" s="2256"/>
      <c r="D155" s="2256"/>
      <c r="E155" s="2256"/>
      <c r="F155" s="2256"/>
      <c r="G155" s="2257"/>
      <c r="H155" s="2255"/>
      <c r="I155" s="2256"/>
      <c r="J155" s="2256"/>
      <c r="K155" s="2256"/>
      <c r="L155" s="2256"/>
      <c r="M155" s="2257"/>
      <c r="N155" s="2255"/>
      <c r="O155" s="2256"/>
      <c r="P155" s="2256"/>
      <c r="Q155" s="2256"/>
      <c r="R155" s="2256"/>
      <c r="S155" s="2257"/>
      <c r="T155" s="367"/>
      <c r="U155" s="353"/>
      <c r="V155" s="353"/>
      <c r="W155" s="370"/>
      <c r="X155" s="370"/>
      <c r="Y155" s="376"/>
      <c r="Z155" s="283"/>
      <c r="AA155" s="10"/>
      <c r="AB155" s="353"/>
      <c r="AC155" s="370"/>
      <c r="AD155" s="353"/>
      <c r="AE155" s="376"/>
    </row>
    <row r="156" spans="1:31" ht="16.2" hidden="1" thickBot="1" x14ac:dyDescent="0.35">
      <c r="A156" s="2949" t="s">
        <v>11</v>
      </c>
      <c r="B156" s="374"/>
      <c r="C156" s="358"/>
      <c r="D156" s="358"/>
      <c r="E156" s="358"/>
      <c r="F156" s="358"/>
      <c r="G156" s="359"/>
      <c r="H156" s="374"/>
      <c r="I156" s="358"/>
      <c r="J156" s="358"/>
      <c r="K156" s="358"/>
      <c r="L156" s="358"/>
      <c r="M156" s="359"/>
      <c r="N156" s="210"/>
      <c r="O156" s="211"/>
      <c r="P156" s="211"/>
      <c r="Q156" s="211"/>
      <c r="R156" s="211"/>
      <c r="S156" s="212"/>
      <c r="T156" s="364"/>
      <c r="U156" s="365"/>
      <c r="V156" s="365"/>
      <c r="W156" s="362"/>
      <c r="X156" s="362"/>
      <c r="Y156" s="363"/>
      <c r="Z156" s="373"/>
      <c r="AA156" s="287"/>
      <c r="AB156" s="378"/>
      <c r="AC156" s="362"/>
      <c r="AD156" s="365"/>
      <c r="AE156" s="363"/>
    </row>
    <row r="157" spans="1:31" ht="15" hidden="1" customHeight="1" thickBot="1" x14ac:dyDescent="0.3">
      <c r="A157" s="2950"/>
      <c r="B157" s="375"/>
      <c r="C157" s="357"/>
      <c r="D157" s="357"/>
      <c r="E157" s="357"/>
      <c r="F157" s="357"/>
      <c r="G157" s="360"/>
      <c r="H157" s="375"/>
      <c r="I157" s="357"/>
      <c r="J157" s="357"/>
      <c r="K157" s="357"/>
      <c r="L157" s="357"/>
      <c r="M157" s="360"/>
      <c r="N157" s="371"/>
      <c r="O157" s="274"/>
      <c r="P157" s="274"/>
      <c r="Q157" s="274"/>
      <c r="R157" s="274"/>
      <c r="S157" s="377"/>
      <c r="T157" s="369"/>
      <c r="U157" s="370"/>
      <c r="V157" s="353"/>
      <c r="W157" s="370"/>
      <c r="X157" s="370"/>
      <c r="Y157" s="368"/>
      <c r="Z157" s="283"/>
      <c r="AA157" s="10"/>
      <c r="AB157" s="353"/>
      <c r="AC157" s="353"/>
      <c r="AD157" s="370"/>
      <c r="AE157" s="368"/>
    </row>
    <row r="158" spans="1:31" ht="16.2" hidden="1" thickBot="1" x14ac:dyDescent="0.35">
      <c r="A158" s="2949" t="s">
        <v>6</v>
      </c>
      <c r="B158" s="2337"/>
      <c r="C158" s="1003"/>
      <c r="D158" s="1003"/>
      <c r="E158" s="1003"/>
      <c r="F158" s="1003"/>
      <c r="G158" s="2338"/>
      <c r="H158" s="2337"/>
      <c r="I158" s="1003"/>
      <c r="J158" s="1003"/>
      <c r="K158" s="1003"/>
      <c r="L158" s="1003"/>
      <c r="M158" s="2338"/>
      <c r="N158" s="2337"/>
      <c r="O158" s="1003"/>
      <c r="P158" s="1003"/>
      <c r="Q158" s="1003"/>
      <c r="R158" s="1003"/>
      <c r="S158" s="2338"/>
      <c r="T158" s="361"/>
      <c r="U158" s="362"/>
      <c r="V158" s="365"/>
      <c r="W158" s="362"/>
      <c r="X158" s="362"/>
      <c r="Y158" s="366"/>
      <c r="Z158" s="373"/>
      <c r="AA158" s="287"/>
      <c r="AB158" s="378"/>
      <c r="AC158" s="365"/>
      <c r="AD158" s="362"/>
      <c r="AE158" s="366"/>
    </row>
    <row r="159" spans="1:31" ht="12.75" hidden="1" customHeight="1" thickBot="1" x14ac:dyDescent="0.3">
      <c r="A159" s="2950"/>
      <c r="B159" s="2255"/>
      <c r="C159" s="2256"/>
      <c r="D159" s="2256"/>
      <c r="E159" s="2256"/>
      <c r="F159" s="2256"/>
      <c r="G159" s="2257"/>
      <c r="H159" s="2255"/>
      <c r="I159" s="2256"/>
      <c r="J159" s="2256"/>
      <c r="K159" s="2256"/>
      <c r="L159" s="2256"/>
      <c r="M159" s="2257"/>
      <c r="N159" s="2986"/>
      <c r="O159" s="2987"/>
      <c r="P159" s="2987"/>
      <c r="Q159" s="2987"/>
      <c r="R159" s="2987"/>
      <c r="S159" s="2988"/>
      <c r="T159" s="367"/>
      <c r="U159" s="370"/>
      <c r="V159" s="370"/>
      <c r="W159" s="353"/>
      <c r="X159" s="370"/>
      <c r="Y159" s="368"/>
      <c r="Z159" s="283"/>
      <c r="AA159" s="288"/>
      <c r="AB159" s="353"/>
      <c r="AC159" s="353"/>
      <c r="AD159" s="353"/>
      <c r="AE159" s="376"/>
    </row>
    <row r="160" spans="1:31" ht="15.75" hidden="1" customHeight="1" thickBot="1" x14ac:dyDescent="0.35">
      <c r="A160" s="2949" t="s">
        <v>7</v>
      </c>
      <c r="B160" s="2337"/>
      <c r="C160" s="1003"/>
      <c r="D160" s="1003"/>
      <c r="E160" s="1003"/>
      <c r="F160" s="1003"/>
      <c r="G160" s="2338"/>
      <c r="H160" s="2337"/>
      <c r="I160" s="1003"/>
      <c r="J160" s="1003"/>
      <c r="K160" s="1003"/>
      <c r="L160" s="1003"/>
      <c r="M160" s="2338"/>
      <c r="N160" s="2337"/>
      <c r="O160" s="1003"/>
      <c r="P160" s="1003"/>
      <c r="Q160" s="1003"/>
      <c r="R160" s="1003"/>
      <c r="S160" s="2338"/>
      <c r="T160" s="364"/>
      <c r="U160" s="362"/>
      <c r="V160" s="362"/>
      <c r="W160" s="365"/>
      <c r="X160" s="362"/>
      <c r="Y160" s="366"/>
      <c r="Z160" s="373"/>
      <c r="AA160" s="10"/>
      <c r="AB160" s="378"/>
      <c r="AC160" s="365"/>
      <c r="AD160" s="365"/>
      <c r="AE160" s="363"/>
    </row>
    <row r="161" spans="1:32" ht="12.75" hidden="1" customHeight="1" thickBot="1" x14ac:dyDescent="0.3">
      <c r="A161" s="2950"/>
      <c r="B161" s="2255"/>
      <c r="C161" s="2256"/>
      <c r="D161" s="2256"/>
      <c r="E161" s="2256"/>
      <c r="F161" s="2256"/>
      <c r="G161" s="2257"/>
      <c r="H161" s="2255"/>
      <c r="I161" s="2256"/>
      <c r="J161" s="2256"/>
      <c r="K161" s="2256"/>
      <c r="L161" s="2256"/>
      <c r="M161" s="2257"/>
      <c r="N161" s="2255"/>
      <c r="O161" s="2256"/>
      <c r="P161" s="2256"/>
      <c r="Q161" s="2256"/>
      <c r="R161" s="2256"/>
      <c r="S161" s="2257"/>
      <c r="T161" s="367"/>
      <c r="U161" s="353"/>
      <c r="V161" s="353"/>
      <c r="W161" s="353"/>
      <c r="X161" s="353"/>
      <c r="Y161" s="376"/>
      <c r="Z161" s="283"/>
      <c r="AA161" s="10"/>
      <c r="AB161" s="353"/>
      <c r="AC161" s="370"/>
      <c r="AD161" s="370"/>
      <c r="AE161" s="368"/>
    </row>
    <row r="162" spans="1:32" ht="15.75" hidden="1" customHeight="1" thickBot="1" x14ac:dyDescent="0.35">
      <c r="A162" s="2949" t="s">
        <v>8</v>
      </c>
      <c r="B162" s="2337"/>
      <c r="C162" s="1003"/>
      <c r="D162" s="1003"/>
      <c r="E162" s="1003"/>
      <c r="F162" s="1003"/>
      <c r="G162" s="2338"/>
      <c r="H162" s="2337"/>
      <c r="I162" s="1003"/>
      <c r="J162" s="1003"/>
      <c r="K162" s="1003"/>
      <c r="L162" s="1003"/>
      <c r="M162" s="2338"/>
      <c r="N162" s="2981"/>
      <c r="O162" s="1002"/>
      <c r="P162" s="1002"/>
      <c r="Q162" s="1002"/>
      <c r="R162" s="1002"/>
      <c r="S162" s="2982"/>
      <c r="T162" s="364"/>
      <c r="U162" s="365"/>
      <c r="V162" s="365"/>
      <c r="W162" s="365"/>
      <c r="X162" s="365"/>
      <c r="Y162" s="363"/>
      <c r="Z162" s="373"/>
      <c r="AA162" s="287"/>
      <c r="AB162" s="378"/>
      <c r="AC162" s="362"/>
      <c r="AD162" s="362"/>
      <c r="AE162" s="366"/>
    </row>
    <row r="163" spans="1:32" ht="9" hidden="1" customHeight="1" thickBot="1" x14ac:dyDescent="0.3">
      <c r="A163" s="2950"/>
      <c r="B163" s="2255"/>
      <c r="C163" s="2256"/>
      <c r="D163" s="2256"/>
      <c r="E163" s="2256"/>
      <c r="F163" s="2256"/>
      <c r="G163" s="2257"/>
      <c r="H163" s="2255"/>
      <c r="I163" s="2256"/>
      <c r="J163" s="2256"/>
      <c r="K163" s="2256"/>
      <c r="L163" s="2256"/>
      <c r="M163" s="2257"/>
      <c r="N163" s="2255"/>
      <c r="O163" s="2256"/>
      <c r="P163" s="2256"/>
      <c r="Q163" s="2256"/>
      <c r="R163" s="2256"/>
      <c r="S163" s="2257"/>
      <c r="T163" s="369"/>
      <c r="U163" s="370"/>
      <c r="V163" s="353"/>
      <c r="W163" s="370"/>
      <c r="X163" s="353"/>
      <c r="Y163" s="376"/>
      <c r="Z163" s="283"/>
      <c r="AA163" s="10"/>
      <c r="AB163" s="353"/>
      <c r="AC163" s="353"/>
      <c r="AD163" s="353"/>
      <c r="AE163" s="376"/>
    </row>
    <row r="164" spans="1:32" ht="15.75" hidden="1" customHeight="1" thickBot="1" x14ac:dyDescent="0.35">
      <c r="A164" s="2949" t="s">
        <v>9</v>
      </c>
      <c r="B164" s="2337"/>
      <c r="C164" s="1003"/>
      <c r="D164" s="1003"/>
      <c r="E164" s="1003"/>
      <c r="F164" s="1003"/>
      <c r="G164" s="2338"/>
      <c r="H164" s="2337"/>
      <c r="I164" s="1003"/>
      <c r="J164" s="1003"/>
      <c r="K164" s="1003"/>
      <c r="L164" s="1003"/>
      <c r="M164" s="2338"/>
      <c r="N164" s="2981"/>
      <c r="O164" s="1002"/>
      <c r="P164" s="1002"/>
      <c r="Q164" s="1002"/>
      <c r="R164" s="1002"/>
      <c r="S164" s="2982"/>
      <c r="T164" s="361"/>
      <c r="U164" s="362"/>
      <c r="V164" s="365"/>
      <c r="W164" s="362"/>
      <c r="X164" s="365"/>
      <c r="Y164" s="363"/>
      <c r="Z164" s="373"/>
      <c r="AA164" s="287"/>
      <c r="AB164" s="378"/>
      <c r="AC164" s="365"/>
      <c r="AD164" s="365"/>
      <c r="AE164" s="363"/>
    </row>
    <row r="165" spans="1:32" ht="10.5" hidden="1" customHeight="1" thickBot="1" x14ac:dyDescent="0.3">
      <c r="A165" s="2950"/>
      <c r="B165" s="2255"/>
      <c r="C165" s="2256"/>
      <c r="D165" s="2256"/>
      <c r="E165" s="2256"/>
      <c r="F165" s="2256"/>
      <c r="G165" s="2257"/>
      <c r="H165" s="2255"/>
      <c r="I165" s="2256"/>
      <c r="J165" s="2256"/>
      <c r="K165" s="2256"/>
      <c r="L165" s="2256"/>
      <c r="M165" s="2257"/>
      <c r="N165" s="2255"/>
      <c r="O165" s="2256"/>
      <c r="P165" s="2256"/>
      <c r="Q165" s="2256"/>
      <c r="R165" s="2256"/>
      <c r="S165" s="2257"/>
      <c r="T165" s="367"/>
      <c r="U165" s="353"/>
      <c r="V165" s="353"/>
      <c r="W165" s="353"/>
      <c r="X165" s="353"/>
      <c r="Y165" s="368"/>
      <c r="Z165" s="283"/>
      <c r="AA165" s="10"/>
      <c r="AB165" s="353"/>
      <c r="AC165" s="353"/>
      <c r="AD165" s="353"/>
      <c r="AE165" s="368"/>
    </row>
    <row r="166" spans="1:32" ht="15.75" customHeight="1" thickBot="1" x14ac:dyDescent="0.3">
      <c r="A166" s="19" t="s">
        <v>1</v>
      </c>
      <c r="B166" s="1076" t="s">
        <v>2</v>
      </c>
      <c r="C166" s="1077"/>
      <c r="D166" s="1077"/>
      <c r="E166" s="1077"/>
      <c r="F166" s="1077"/>
      <c r="G166" s="1078"/>
      <c r="H166" s="1091" t="s">
        <v>3</v>
      </c>
      <c r="I166" s="1092"/>
      <c r="J166" s="1092"/>
      <c r="K166" s="1092"/>
      <c r="L166" s="1092"/>
      <c r="M166" s="1093"/>
      <c r="N166" s="1091" t="s">
        <v>139</v>
      </c>
      <c r="O166" s="1092"/>
      <c r="P166" s="1092"/>
      <c r="Q166" s="1092"/>
      <c r="R166" s="1092"/>
      <c r="S166" s="1093"/>
      <c r="T166" s="1076" t="s">
        <v>4</v>
      </c>
      <c r="U166" s="1077"/>
      <c r="V166" s="1077"/>
      <c r="W166" s="1077"/>
      <c r="X166" s="1077"/>
      <c r="Y166" s="1078"/>
      <c r="Z166" s="1091" t="s">
        <v>5</v>
      </c>
      <c r="AA166" s="1092"/>
      <c r="AB166" s="1092"/>
      <c r="AC166" s="1092"/>
      <c r="AD166" s="1092"/>
      <c r="AE166" s="1093"/>
    </row>
    <row r="167" spans="1:32" ht="30" customHeight="1" x14ac:dyDescent="0.3">
      <c r="A167" s="2975" t="s">
        <v>187</v>
      </c>
      <c r="B167" s="1079" t="s">
        <v>106</v>
      </c>
      <c r="C167" s="1039"/>
      <c r="D167" s="1039"/>
      <c r="E167" s="1039"/>
      <c r="F167" s="1039"/>
      <c r="G167" s="1080"/>
      <c r="H167" s="1079" t="s">
        <v>810</v>
      </c>
      <c r="I167" s="1039"/>
      <c r="J167" s="1039"/>
      <c r="K167" s="1039"/>
      <c r="L167" s="1039"/>
      <c r="M167" s="1080"/>
      <c r="N167" s="82"/>
      <c r="O167" s="83"/>
      <c r="P167" s="296"/>
      <c r="Q167" s="1391" t="s">
        <v>811</v>
      </c>
      <c r="R167" s="1182" t="s">
        <v>580</v>
      </c>
      <c r="S167" s="2001" t="s">
        <v>563</v>
      </c>
      <c r="T167" s="1079" t="s">
        <v>810</v>
      </c>
      <c r="U167" s="1039"/>
      <c r="V167" s="1039"/>
      <c r="W167" s="1039"/>
      <c r="X167" s="1039"/>
      <c r="Y167" s="1080"/>
      <c r="Z167" s="1079" t="s">
        <v>792</v>
      </c>
      <c r="AA167" s="1039"/>
      <c r="AB167" s="1039"/>
      <c r="AC167" s="1039"/>
      <c r="AD167" s="1039"/>
      <c r="AE167" s="1080"/>
    </row>
    <row r="168" spans="1:32" ht="30" customHeight="1" x14ac:dyDescent="0.25">
      <c r="A168" s="2937"/>
      <c r="B168" s="1067" t="s">
        <v>563</v>
      </c>
      <c r="C168" s="944"/>
      <c r="D168" s="944"/>
      <c r="E168" s="944"/>
      <c r="F168" s="944"/>
      <c r="G168" s="1068"/>
      <c r="H168" s="1067" t="s">
        <v>563</v>
      </c>
      <c r="I168" s="944"/>
      <c r="J168" s="944"/>
      <c r="K168" s="944"/>
      <c r="L168" s="944"/>
      <c r="M168" s="1068"/>
      <c r="N168" s="476"/>
      <c r="O168" s="69"/>
      <c r="P168" s="273"/>
      <c r="Q168" s="1392"/>
      <c r="R168" s="1153"/>
      <c r="S168" s="2001"/>
      <c r="T168" s="1067" t="s">
        <v>563</v>
      </c>
      <c r="U168" s="944"/>
      <c r="V168" s="944"/>
      <c r="W168" s="944"/>
      <c r="X168" s="944"/>
      <c r="Y168" s="1068"/>
      <c r="Z168" s="1067" t="s">
        <v>563</v>
      </c>
      <c r="AA168" s="944"/>
      <c r="AB168" s="944"/>
      <c r="AC168" s="944"/>
      <c r="AD168" s="944"/>
      <c r="AE168" s="1068"/>
      <c r="AF168" s="33"/>
    </row>
    <row r="169" spans="1:32" ht="30" customHeight="1" x14ac:dyDescent="0.3">
      <c r="A169" s="2949" t="s">
        <v>186</v>
      </c>
      <c r="B169" s="1081" t="s">
        <v>792</v>
      </c>
      <c r="C169" s="939"/>
      <c r="D169" s="939"/>
      <c r="E169" s="939"/>
      <c r="F169" s="939"/>
      <c r="G169" s="1082"/>
      <c r="H169" s="1069" t="s">
        <v>102</v>
      </c>
      <c r="I169" s="940"/>
      <c r="J169" s="940"/>
      <c r="K169" s="940"/>
      <c r="L169" s="940"/>
      <c r="M169" s="1070"/>
      <c r="N169" s="255"/>
      <c r="O169" s="255"/>
      <c r="P169" s="255"/>
      <c r="Q169" s="1392"/>
      <c r="R169" s="1153"/>
      <c r="S169" s="2001"/>
      <c r="T169" s="1069" t="s">
        <v>106</v>
      </c>
      <c r="U169" s="940"/>
      <c r="V169" s="940"/>
      <c r="W169" s="940"/>
      <c r="X169" s="940"/>
      <c r="Y169" s="1070"/>
      <c r="Z169" s="1069" t="s">
        <v>102</v>
      </c>
      <c r="AA169" s="940"/>
      <c r="AB169" s="940"/>
      <c r="AC169" s="940"/>
      <c r="AD169" s="940"/>
      <c r="AE169" s="1070"/>
    </row>
    <row r="170" spans="1:32" ht="30" customHeight="1" x14ac:dyDescent="0.25">
      <c r="A170" s="2950"/>
      <c r="B170" s="1067" t="s">
        <v>563</v>
      </c>
      <c r="C170" s="944"/>
      <c r="D170" s="944"/>
      <c r="E170" s="944"/>
      <c r="F170" s="944"/>
      <c r="G170" s="1068"/>
      <c r="H170" s="1067" t="s">
        <v>563</v>
      </c>
      <c r="I170" s="944"/>
      <c r="J170" s="944"/>
      <c r="K170" s="944"/>
      <c r="L170" s="944"/>
      <c r="M170" s="1068"/>
      <c r="N170" s="20"/>
      <c r="O170" s="20"/>
      <c r="P170" s="422"/>
      <c r="Q170" s="1392"/>
      <c r="R170" s="1153"/>
      <c r="S170" s="2001"/>
      <c r="T170" s="1067" t="s">
        <v>563</v>
      </c>
      <c r="U170" s="944"/>
      <c r="V170" s="944"/>
      <c r="W170" s="944"/>
      <c r="X170" s="944"/>
      <c r="Y170" s="1068"/>
      <c r="Z170" s="1067" t="s">
        <v>563</v>
      </c>
      <c r="AA170" s="944"/>
      <c r="AB170" s="944"/>
      <c r="AC170" s="944"/>
      <c r="AD170" s="944"/>
      <c r="AE170" s="1068"/>
    </row>
    <row r="171" spans="1:32" ht="30" customHeight="1" x14ac:dyDescent="0.25">
      <c r="A171" s="2937" t="s">
        <v>188</v>
      </c>
      <c r="B171" s="1287" t="s">
        <v>106</v>
      </c>
      <c r="C171" s="1182" t="s">
        <v>579</v>
      </c>
      <c r="D171" s="1216" t="s">
        <v>972</v>
      </c>
      <c r="E171" s="2146" t="s">
        <v>792</v>
      </c>
      <c r="F171" s="1182" t="s">
        <v>580</v>
      </c>
      <c r="G171" s="1216" t="s">
        <v>682</v>
      </c>
      <c r="H171" s="1287" t="s">
        <v>102</v>
      </c>
      <c r="I171" s="1182" t="s">
        <v>579</v>
      </c>
      <c r="J171" s="1216" t="s">
        <v>752</v>
      </c>
      <c r="K171" s="1391" t="s">
        <v>810</v>
      </c>
      <c r="L171" s="1182" t="s">
        <v>580</v>
      </c>
      <c r="M171" s="2069" t="s">
        <v>750</v>
      </c>
      <c r="N171" s="2146" t="s">
        <v>811</v>
      </c>
      <c r="O171" s="1182" t="s">
        <v>579</v>
      </c>
      <c r="P171" s="1802" t="s">
        <v>563</v>
      </c>
      <c r="Q171" s="125"/>
      <c r="R171" s="125"/>
      <c r="S171" s="303"/>
      <c r="T171" s="1287" t="s">
        <v>810</v>
      </c>
      <c r="U171" s="1182" t="s">
        <v>579</v>
      </c>
      <c r="V171" s="1216" t="s">
        <v>750</v>
      </c>
      <c r="W171" s="1391" t="s">
        <v>106</v>
      </c>
      <c r="X171" s="1182" t="s">
        <v>580</v>
      </c>
      <c r="Y171" s="1216" t="s">
        <v>1120</v>
      </c>
      <c r="Z171" s="1287" t="s">
        <v>792</v>
      </c>
      <c r="AA171" s="1182" t="s">
        <v>579</v>
      </c>
      <c r="AB171" s="1216" t="s">
        <v>682</v>
      </c>
      <c r="AC171" s="1391" t="s">
        <v>102</v>
      </c>
      <c r="AD171" s="1182" t="s">
        <v>580</v>
      </c>
      <c r="AE171" s="2069" t="s">
        <v>752</v>
      </c>
      <c r="AF171" s="33"/>
    </row>
    <row r="172" spans="1:32" ht="30" customHeight="1" x14ac:dyDescent="0.25">
      <c r="A172" s="2937"/>
      <c r="B172" s="1288"/>
      <c r="C172" s="1153"/>
      <c r="D172" s="1217"/>
      <c r="E172" s="1396"/>
      <c r="F172" s="1153"/>
      <c r="G172" s="1217"/>
      <c r="H172" s="1288"/>
      <c r="I172" s="1153"/>
      <c r="J172" s="1217"/>
      <c r="K172" s="1392"/>
      <c r="L172" s="1153"/>
      <c r="M172" s="2070"/>
      <c r="N172" s="1396"/>
      <c r="O172" s="1153"/>
      <c r="P172" s="1661"/>
      <c r="Q172" s="69"/>
      <c r="R172" s="69"/>
      <c r="S172" s="285"/>
      <c r="T172" s="1288"/>
      <c r="U172" s="1153"/>
      <c r="V172" s="1217"/>
      <c r="W172" s="1392"/>
      <c r="X172" s="1153"/>
      <c r="Y172" s="1217"/>
      <c r="Z172" s="1288"/>
      <c r="AA172" s="1153"/>
      <c r="AB172" s="1217"/>
      <c r="AC172" s="1392"/>
      <c r="AD172" s="1153"/>
      <c r="AE172" s="2070"/>
      <c r="AF172" s="33"/>
    </row>
    <row r="173" spans="1:32" ht="30" customHeight="1" x14ac:dyDescent="0.25">
      <c r="A173" s="2949" t="s">
        <v>189</v>
      </c>
      <c r="B173" s="1288"/>
      <c r="C173" s="1153"/>
      <c r="D173" s="1217"/>
      <c r="E173" s="1396"/>
      <c r="F173" s="1153"/>
      <c r="G173" s="1217"/>
      <c r="H173" s="1288"/>
      <c r="I173" s="1153"/>
      <c r="J173" s="1217"/>
      <c r="K173" s="1392"/>
      <c r="L173" s="1153"/>
      <c r="M173" s="2070"/>
      <c r="N173" s="1396"/>
      <c r="O173" s="1153"/>
      <c r="P173" s="1661"/>
      <c r="Q173" s="20"/>
      <c r="R173" s="20"/>
      <c r="S173" s="20"/>
      <c r="T173" s="1288"/>
      <c r="U173" s="1153"/>
      <c r="V173" s="1217"/>
      <c r="W173" s="1392"/>
      <c r="X173" s="1153"/>
      <c r="Y173" s="1217"/>
      <c r="Z173" s="1288"/>
      <c r="AA173" s="1153"/>
      <c r="AB173" s="1217"/>
      <c r="AC173" s="1392"/>
      <c r="AD173" s="1153"/>
      <c r="AE173" s="2070"/>
      <c r="AF173" s="33"/>
    </row>
    <row r="174" spans="1:32" ht="30" customHeight="1" x14ac:dyDescent="0.25">
      <c r="A174" s="2937"/>
      <c r="B174" s="1288"/>
      <c r="C174" s="1153"/>
      <c r="D174" s="1217"/>
      <c r="E174" s="1396"/>
      <c r="F174" s="1153"/>
      <c r="G174" s="1218"/>
      <c r="H174" s="1288"/>
      <c r="I174" s="1153"/>
      <c r="J174" s="1217"/>
      <c r="K174" s="1393"/>
      <c r="L174" s="1153"/>
      <c r="M174" s="2071"/>
      <c r="N174" s="1396"/>
      <c r="O174" s="1154"/>
      <c r="P174" s="1662"/>
      <c r="Q174" s="497"/>
      <c r="R174" s="497"/>
      <c r="S174" s="475"/>
      <c r="T174" s="1335"/>
      <c r="U174" s="1154"/>
      <c r="V174" s="1217"/>
      <c r="W174" s="1393"/>
      <c r="X174" s="1154"/>
      <c r="Y174" s="1217"/>
      <c r="Z174" s="1288"/>
      <c r="AA174" s="1154"/>
      <c r="AB174" s="1218"/>
      <c r="AC174" s="1393"/>
      <c r="AD174" s="1154"/>
      <c r="AE174" s="2071"/>
      <c r="AF174" s="33"/>
    </row>
    <row r="175" spans="1:32" ht="30" customHeight="1" x14ac:dyDescent="0.3">
      <c r="A175" s="2949" t="s">
        <v>190</v>
      </c>
      <c r="B175" s="1069" t="s">
        <v>811</v>
      </c>
      <c r="C175" s="940"/>
      <c r="D175" s="940"/>
      <c r="E175" s="940"/>
      <c r="F175" s="940"/>
      <c r="G175" s="1070"/>
      <c r="H175" s="1069" t="s">
        <v>811</v>
      </c>
      <c r="I175" s="940"/>
      <c r="J175" s="940"/>
      <c r="K175" s="940"/>
      <c r="L175" s="940"/>
      <c r="M175" s="1070"/>
      <c r="N175" s="385"/>
      <c r="O175" s="69"/>
      <c r="P175" s="386"/>
      <c r="Q175" s="510"/>
      <c r="R175" s="20"/>
      <c r="S175" s="20"/>
      <c r="T175" s="1352"/>
      <c r="U175" s="1197"/>
      <c r="V175" s="1256"/>
      <c r="W175" s="1358"/>
      <c r="X175" s="1126"/>
      <c r="Y175" s="1251"/>
      <c r="Z175" s="511"/>
      <c r="AA175" s="255"/>
      <c r="AB175" s="379"/>
      <c r="AC175" s="362"/>
      <c r="AD175" s="365"/>
      <c r="AE175" s="366"/>
    </row>
    <row r="176" spans="1:32" ht="30" customHeight="1" x14ac:dyDescent="0.25">
      <c r="A176" s="2937"/>
      <c r="B176" s="1067" t="s">
        <v>563</v>
      </c>
      <c r="C176" s="944"/>
      <c r="D176" s="944"/>
      <c r="E176" s="944"/>
      <c r="F176" s="944"/>
      <c r="G176" s="1068"/>
      <c r="H176" s="1067" t="s">
        <v>563</v>
      </c>
      <c r="I176" s="944"/>
      <c r="J176" s="944"/>
      <c r="K176" s="944"/>
      <c r="L176" s="944"/>
      <c r="M176" s="1068"/>
      <c r="N176" s="476"/>
      <c r="O176" s="69"/>
      <c r="P176" s="273"/>
      <c r="Q176" s="20"/>
      <c r="R176" s="20"/>
      <c r="S176" s="20"/>
      <c r="T176" s="1346"/>
      <c r="U176" s="1126"/>
      <c r="V176" s="1243"/>
      <c r="W176" s="1348"/>
      <c r="X176" s="1126"/>
      <c r="Y176" s="1252"/>
      <c r="Z176" s="512"/>
      <c r="AA176" s="255"/>
      <c r="AB176" s="353"/>
      <c r="AC176" s="353"/>
      <c r="AD176" s="353"/>
      <c r="AE176" s="368"/>
      <c r="AF176" s="33"/>
    </row>
    <row r="177" spans="1:31" ht="30" customHeight="1" x14ac:dyDescent="0.3">
      <c r="A177" s="2949" t="s">
        <v>191</v>
      </c>
      <c r="B177" s="20"/>
      <c r="C177" s="20"/>
      <c r="D177" s="20"/>
      <c r="E177" s="20"/>
      <c r="F177" s="20"/>
      <c r="G177" s="20"/>
      <c r="H177" s="509"/>
      <c r="I177" s="20"/>
      <c r="J177" s="20"/>
      <c r="K177" s="20"/>
      <c r="L177" s="20"/>
      <c r="M177" s="20"/>
      <c r="N177" s="476"/>
      <c r="O177" s="69"/>
      <c r="P177" s="273"/>
      <c r="Q177" s="20"/>
      <c r="R177" s="20"/>
      <c r="S177" s="20"/>
      <c r="T177" s="1346"/>
      <c r="U177" s="1126"/>
      <c r="V177" s="1243"/>
      <c r="W177" s="1348"/>
      <c r="X177" s="1126"/>
      <c r="Y177" s="1252"/>
      <c r="Z177" s="513"/>
      <c r="AA177" s="514"/>
      <c r="AB177" s="379"/>
      <c r="AC177" s="365"/>
      <c r="AD177" s="365"/>
      <c r="AE177" s="363"/>
    </row>
    <row r="178" spans="1:31" ht="30" customHeight="1" x14ac:dyDescent="0.25">
      <c r="A178" s="2950"/>
      <c r="B178" s="496"/>
      <c r="C178" s="497"/>
      <c r="D178" s="20"/>
      <c r="E178" s="497"/>
      <c r="F178" s="20"/>
      <c r="G178" s="475"/>
      <c r="H178" s="20"/>
      <c r="I178" s="497"/>
      <c r="J178" s="20"/>
      <c r="K178" s="20"/>
      <c r="L178" s="20"/>
      <c r="M178" s="475"/>
      <c r="N178" s="476"/>
      <c r="O178" s="69"/>
      <c r="P178" s="273"/>
      <c r="Q178" s="497"/>
      <c r="R178" s="20"/>
      <c r="S178" s="475"/>
      <c r="T178" s="1390"/>
      <c r="U178" s="1142"/>
      <c r="V178" s="1244"/>
      <c r="W178" s="1348"/>
      <c r="X178" s="1126"/>
      <c r="Y178" s="1253"/>
      <c r="Z178" s="513"/>
      <c r="AA178" s="255"/>
      <c r="AB178" s="353"/>
      <c r="AC178" s="353"/>
      <c r="AD178" s="353"/>
      <c r="AE178" s="368"/>
    </row>
    <row r="179" spans="1:31" ht="15" customHeight="1" x14ac:dyDescent="0.25">
      <c r="A179" s="110"/>
      <c r="B179" s="272"/>
      <c r="C179" s="173"/>
      <c r="D179" s="382"/>
      <c r="E179" s="272"/>
      <c r="F179" s="279"/>
      <c r="G179" s="176"/>
      <c r="H179" s="351"/>
      <c r="I179" s="173"/>
      <c r="J179" s="382"/>
      <c r="K179" s="351"/>
      <c r="L179" s="279"/>
      <c r="M179" s="176"/>
      <c r="N179" s="351"/>
      <c r="O179" s="279"/>
      <c r="P179" s="382"/>
      <c r="Q179" s="272"/>
      <c r="R179" s="279"/>
      <c r="S179" s="176"/>
      <c r="T179" s="272"/>
      <c r="U179" s="173"/>
      <c r="V179" s="176"/>
      <c r="W179" s="351"/>
      <c r="X179" s="279"/>
      <c r="Y179" s="382"/>
      <c r="Z179" s="279"/>
      <c r="AA179" s="279"/>
      <c r="AB179" s="293"/>
      <c r="AC179" s="279"/>
      <c r="AD179" s="279"/>
      <c r="AE179" s="293"/>
    </row>
    <row r="180" spans="1:31" ht="15" customHeight="1" x14ac:dyDescent="0.25">
      <c r="A180" s="20"/>
      <c r="B180" s="272"/>
      <c r="C180" s="173"/>
      <c r="D180" s="176"/>
      <c r="E180" s="272"/>
      <c r="F180" s="173"/>
      <c r="G180" s="176"/>
      <c r="H180" s="272"/>
      <c r="I180" s="173"/>
      <c r="J180" s="176"/>
      <c r="K180" s="272"/>
      <c r="L180" s="173"/>
      <c r="M180" s="176"/>
      <c r="N180" s="272"/>
      <c r="O180" s="173"/>
      <c r="P180" s="176"/>
      <c r="Q180" s="272"/>
      <c r="R180" s="173"/>
      <c r="S180" s="176"/>
      <c r="T180" s="272"/>
      <c r="U180" s="173"/>
      <c r="V180" s="176"/>
      <c r="W180" s="272"/>
      <c r="X180" s="173"/>
      <c r="Y180" s="176"/>
      <c r="Z180" s="173"/>
      <c r="AA180" s="173"/>
      <c r="AB180" s="276"/>
      <c r="AC180" s="173"/>
      <c r="AD180" s="173"/>
      <c r="AE180" s="276"/>
    </row>
    <row r="182" spans="1:31" ht="12.75" customHeight="1" x14ac:dyDescent="0.25">
      <c r="A182" s="2990" t="s">
        <v>218</v>
      </c>
      <c r="B182" s="2991"/>
      <c r="C182" s="995" t="s">
        <v>219</v>
      </c>
      <c r="D182" s="952"/>
      <c r="E182" s="952"/>
      <c r="F182" s="952"/>
      <c r="G182" s="952"/>
      <c r="H182" s="952"/>
      <c r="I182" s="952"/>
      <c r="J182" s="952"/>
      <c r="K182" s="952"/>
      <c r="L182" s="168"/>
      <c r="M182" s="996" t="s">
        <v>629</v>
      </c>
      <c r="N182" s="951"/>
      <c r="O182" s="995" t="s">
        <v>143</v>
      </c>
      <c r="P182" s="953"/>
      <c r="Q182" s="995" t="s">
        <v>167</v>
      </c>
      <c r="R182" s="952"/>
      <c r="S182" s="952"/>
      <c r="T182" s="952"/>
      <c r="U182" s="952"/>
      <c r="V182" s="952"/>
      <c r="W182" s="952"/>
      <c r="X182" s="952"/>
      <c r="Y182" s="952"/>
      <c r="Z182" s="952"/>
      <c r="AA182" s="952"/>
      <c r="AB182" s="952"/>
      <c r="AC182" s="952"/>
      <c r="AD182" s="952"/>
      <c r="AE182" s="953"/>
    </row>
    <row r="183" spans="1:31" ht="13.8" x14ac:dyDescent="0.25">
      <c r="A183" s="1063" t="s">
        <v>811</v>
      </c>
      <c r="B183" s="1064"/>
      <c r="C183" s="992" t="str">
        <f>ASIGNATURAS!I329</f>
        <v>Fisiopatología Humana</v>
      </c>
      <c r="D183" s="993"/>
      <c r="E183" s="993"/>
      <c r="F183" s="993"/>
      <c r="G183" s="993"/>
      <c r="H183" s="993"/>
      <c r="I183" s="993"/>
      <c r="J183" s="993"/>
      <c r="K183" s="993"/>
      <c r="L183" s="982"/>
      <c r="M183" s="994">
        <v>8228</v>
      </c>
      <c r="N183" s="981"/>
      <c r="O183" s="994">
        <v>6</v>
      </c>
      <c r="P183" s="981"/>
      <c r="Q183" s="992" t="str">
        <f>ASIGNATURAS!K329</f>
        <v>Jonatan Rojo, Miriam Saíz, Juan Valencia</v>
      </c>
      <c r="R183" s="993"/>
      <c r="S183" s="993"/>
      <c r="T183" s="993"/>
      <c r="U183" s="993"/>
      <c r="V183" s="993"/>
      <c r="W183" s="993"/>
      <c r="X183" s="993"/>
      <c r="Y183" s="993"/>
      <c r="Z183" s="993"/>
      <c r="AA183" s="993"/>
      <c r="AB183" s="993"/>
      <c r="AC183" s="993"/>
      <c r="AD183" s="993"/>
      <c r="AE183" s="982"/>
    </row>
    <row r="184" spans="1:31" ht="13.8" x14ac:dyDescent="0.25">
      <c r="A184" s="1063" t="s">
        <v>106</v>
      </c>
      <c r="B184" s="1064"/>
      <c r="C184" s="992" t="str">
        <f>ASIGNATURAS!I330</f>
        <v>Pipios de Comunicaciones y Redes</v>
      </c>
      <c r="D184" s="993"/>
      <c r="E184" s="993"/>
      <c r="F184" s="993"/>
      <c r="G184" s="993"/>
      <c r="H184" s="993"/>
      <c r="I184" s="993"/>
      <c r="J184" s="993"/>
      <c r="K184" s="993"/>
      <c r="L184" s="982"/>
      <c r="M184" s="994">
        <v>8229</v>
      </c>
      <c r="N184" s="981"/>
      <c r="O184" s="994">
        <v>6</v>
      </c>
      <c r="P184" s="981"/>
      <c r="Q184" s="992" t="str">
        <f>ASIGNATURAS!K330</f>
        <v>Alejandro Merino Gómez</v>
      </c>
      <c r="R184" s="993"/>
      <c r="S184" s="993"/>
      <c r="T184" s="993"/>
      <c r="U184" s="993"/>
      <c r="V184" s="993"/>
      <c r="W184" s="993"/>
      <c r="X184" s="993"/>
      <c r="Y184" s="993"/>
      <c r="Z184" s="993"/>
      <c r="AA184" s="993"/>
      <c r="AB184" s="993"/>
      <c r="AC184" s="993"/>
      <c r="AD184" s="993"/>
      <c r="AE184" s="982"/>
    </row>
    <row r="185" spans="1:31" ht="14.25" customHeight="1" x14ac:dyDescent="0.25">
      <c r="A185" s="1063" t="s">
        <v>792</v>
      </c>
      <c r="B185" s="1064"/>
      <c r="C185" s="992" t="str">
        <f>ASIGNATURAS!I331</f>
        <v>Electrónica</v>
      </c>
      <c r="D185" s="993"/>
      <c r="E185" s="993"/>
      <c r="F185" s="993"/>
      <c r="G185" s="993"/>
      <c r="H185" s="993"/>
      <c r="I185" s="993"/>
      <c r="J185" s="993"/>
      <c r="K185" s="993"/>
      <c r="L185" s="982"/>
      <c r="M185" s="994">
        <v>8230</v>
      </c>
      <c r="N185" s="981"/>
      <c r="O185" s="994">
        <v>6</v>
      </c>
      <c r="P185" s="981"/>
      <c r="Q185" s="992" t="str">
        <f>ASIGNATURAS!K331</f>
        <v>Mª Isabel Dieste Velasco</v>
      </c>
      <c r="R185" s="993"/>
      <c r="S185" s="993"/>
      <c r="T185" s="993"/>
      <c r="U185" s="993"/>
      <c r="V185" s="993"/>
      <c r="W185" s="993"/>
      <c r="X185" s="993"/>
      <c r="Y185" s="993"/>
      <c r="Z185" s="993"/>
      <c r="AA185" s="993"/>
      <c r="AB185" s="993"/>
      <c r="AC185" s="993"/>
      <c r="AD185" s="993"/>
      <c r="AE185" s="982"/>
    </row>
    <row r="186" spans="1:31" ht="14.25" customHeight="1" x14ac:dyDescent="0.25">
      <c r="A186" s="1063" t="s">
        <v>810</v>
      </c>
      <c r="B186" s="1064"/>
      <c r="C186" s="992" t="str">
        <f>ASIGNATURAS!I332</f>
        <v>Estructura de Datos y Algoritmos</v>
      </c>
      <c r="D186" s="993"/>
      <c r="E186" s="993"/>
      <c r="F186" s="993"/>
      <c r="G186" s="993"/>
      <c r="H186" s="993"/>
      <c r="I186" s="993"/>
      <c r="J186" s="993"/>
      <c r="K186" s="993"/>
      <c r="L186" s="982"/>
      <c r="M186" s="994">
        <v>8231</v>
      </c>
      <c r="N186" s="981"/>
      <c r="O186" s="981">
        <v>6</v>
      </c>
      <c r="P186" s="972"/>
      <c r="Q186" s="992" t="str">
        <f>ASIGNATURAS!K332</f>
        <v>Juan José Rodríguez Díez</v>
      </c>
      <c r="R186" s="993"/>
      <c r="S186" s="993"/>
      <c r="T186" s="993"/>
      <c r="U186" s="993"/>
      <c r="V186" s="993"/>
      <c r="W186" s="993"/>
      <c r="X186" s="993"/>
      <c r="Y186" s="993"/>
      <c r="Z186" s="993"/>
      <c r="AA186" s="993"/>
      <c r="AB186" s="993"/>
      <c r="AC186" s="993"/>
      <c r="AD186" s="993"/>
      <c r="AE186" s="982"/>
    </row>
    <row r="187" spans="1:31" ht="14.25" customHeight="1" x14ac:dyDescent="0.25">
      <c r="A187" s="1063" t="s">
        <v>102</v>
      </c>
      <c r="B187" s="1064"/>
      <c r="C187" s="992" t="str">
        <f>ASIGNATURAS!I333</f>
        <v>Ing. Y Gestión de Proyectos de Software Clínico</v>
      </c>
      <c r="D187" s="993"/>
      <c r="E187" s="993"/>
      <c r="F187" s="993"/>
      <c r="G187" s="993"/>
      <c r="H187" s="993"/>
      <c r="I187" s="993"/>
      <c r="J187" s="993"/>
      <c r="K187" s="993"/>
      <c r="L187" s="982"/>
      <c r="M187" s="994">
        <v>8232</v>
      </c>
      <c r="N187" s="981"/>
      <c r="O187" s="981">
        <v>6</v>
      </c>
      <c r="P187" s="972"/>
      <c r="Q187" s="992" t="str">
        <f>ASIGNATURAS!K333</f>
        <v/>
      </c>
      <c r="R187" s="993"/>
      <c r="S187" s="993"/>
      <c r="T187" s="993"/>
      <c r="U187" s="993"/>
      <c r="V187" s="993"/>
      <c r="W187" s="993"/>
      <c r="X187" s="993"/>
      <c r="Y187" s="993"/>
      <c r="Z187" s="993"/>
      <c r="AA187" s="993"/>
      <c r="AB187" s="993"/>
      <c r="AC187" s="993"/>
      <c r="AD187" s="993"/>
      <c r="AE187" s="982"/>
    </row>
    <row r="190" spans="1:31" ht="15" x14ac:dyDescent="0.25">
      <c r="A190" s="2995" t="s">
        <v>169</v>
      </c>
      <c r="B190" s="2996"/>
      <c r="C190" s="2996"/>
      <c r="D190" s="2996"/>
      <c r="E190" s="2997"/>
    </row>
    <row r="191" spans="1:31" ht="15" x14ac:dyDescent="0.25">
      <c r="A191" s="2999" t="s">
        <v>736</v>
      </c>
      <c r="B191" s="3000"/>
      <c r="C191" s="3000"/>
      <c r="D191" s="3000"/>
      <c r="E191" s="3001"/>
      <c r="G191" s="25" t="s">
        <v>735</v>
      </c>
    </row>
    <row r="192" spans="1:3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193" spans="1:56"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row>
    <row r="194" spans="1:56" ht="15.6" x14ac:dyDescent="0.3">
      <c r="AY194" s="2961" t="s">
        <v>585</v>
      </c>
      <c r="AZ194" s="2962"/>
      <c r="BA194" s="2962"/>
      <c r="BB194" s="2962"/>
      <c r="BC194" s="2962"/>
      <c r="BD194" s="2963"/>
    </row>
    <row r="195" spans="1:56" ht="60.75" customHeight="1" x14ac:dyDescent="0.25">
      <c r="A195" s="974" t="s">
        <v>1005</v>
      </c>
      <c r="B195" s="975"/>
      <c r="C195" s="975"/>
      <c r="D195" s="975"/>
      <c r="E195" s="975"/>
      <c r="F195" s="975"/>
      <c r="G195" s="975"/>
      <c r="H195" s="975"/>
      <c r="I195" s="975"/>
      <c r="J195" s="975"/>
      <c r="K195" s="975"/>
      <c r="L195" s="975"/>
      <c r="M195" s="975"/>
      <c r="N195" s="975"/>
      <c r="O195" s="975"/>
      <c r="P195" s="975"/>
      <c r="Q195" s="975"/>
      <c r="R195" s="975"/>
      <c r="S195" s="975"/>
      <c r="T195" s="975"/>
      <c r="U195" s="975"/>
      <c r="V195" s="975"/>
      <c r="W195" s="975"/>
      <c r="X195" s="975"/>
      <c r="Y195" s="976"/>
      <c r="Z195" s="988" t="str">
        <f>Z1</f>
        <v>Curso 2024-2025</v>
      </c>
      <c r="AA195" s="988"/>
      <c r="AB195" s="988"/>
      <c r="AC195" s="988"/>
      <c r="AD195" s="988"/>
      <c r="AE195" s="989"/>
      <c r="AY195" s="2907" t="s">
        <v>831</v>
      </c>
      <c r="AZ195" s="2908"/>
      <c r="BA195" s="2908"/>
      <c r="BB195" s="2908"/>
      <c r="BC195" s="2908"/>
      <c r="BD195" s="2909"/>
    </row>
    <row r="196" spans="1:56" ht="23.25" customHeight="1" x14ac:dyDescent="0.25">
      <c r="A196" s="960" t="s">
        <v>1006</v>
      </c>
      <c r="B196" s="961"/>
      <c r="C196" s="961"/>
      <c r="D196" s="961"/>
      <c r="E196" s="961"/>
      <c r="F196" s="961"/>
      <c r="G196" s="961"/>
      <c r="H196" s="961"/>
      <c r="I196" s="961"/>
      <c r="J196" s="961"/>
      <c r="K196" s="961"/>
      <c r="L196" s="961"/>
      <c r="M196" s="961"/>
      <c r="N196" s="961"/>
      <c r="O196" s="961"/>
      <c r="P196" s="961"/>
      <c r="Q196" s="961"/>
      <c r="R196" s="961"/>
      <c r="S196" s="961"/>
      <c r="T196" s="961"/>
      <c r="U196" s="961"/>
      <c r="V196" s="961"/>
      <c r="W196" s="961"/>
      <c r="X196" s="961"/>
      <c r="Y196" s="962"/>
      <c r="Z196" s="2917" t="s">
        <v>156</v>
      </c>
      <c r="AA196" s="2917"/>
      <c r="AB196" s="2917"/>
      <c r="AC196" s="2917"/>
      <c r="AD196" s="2917"/>
      <c r="AE196" s="2992"/>
    </row>
    <row r="197" spans="1:56" ht="23.25" customHeight="1" x14ac:dyDescent="0.25">
      <c r="A197" s="963" t="s">
        <v>1063</v>
      </c>
      <c r="B197" s="964"/>
      <c r="C197" s="964"/>
      <c r="D197" s="964"/>
      <c r="E197" s="964"/>
      <c r="F197" s="964"/>
      <c r="G197" s="964"/>
      <c r="H197" s="964"/>
      <c r="I197" s="964"/>
      <c r="J197" s="964"/>
      <c r="K197" s="964"/>
      <c r="L197" s="964"/>
      <c r="M197" s="964"/>
      <c r="N197" s="964"/>
      <c r="O197" s="964"/>
      <c r="P197" s="964"/>
      <c r="Q197" s="964"/>
      <c r="R197" s="964"/>
      <c r="S197" s="964"/>
      <c r="T197" s="964"/>
      <c r="U197" s="964"/>
      <c r="V197" s="964"/>
      <c r="W197" s="964"/>
      <c r="X197" s="964"/>
      <c r="Y197" s="965"/>
      <c r="Z197" s="2993"/>
      <c r="AA197" s="2993"/>
      <c r="AB197" s="2993"/>
      <c r="AC197" s="2993"/>
      <c r="AD197" s="2993"/>
      <c r="AE197" s="2994"/>
    </row>
    <row r="198" spans="1:56" ht="15.75" customHeight="1" thickBot="1" x14ac:dyDescent="0.3">
      <c r="A198" s="9" t="s">
        <v>718</v>
      </c>
      <c r="AE198" s="372"/>
    </row>
    <row r="199" spans="1:56" ht="8.25" hidden="1" customHeight="1" thickBot="1" x14ac:dyDescent="0.3">
      <c r="A199" s="167" t="s">
        <v>1</v>
      </c>
      <c r="B199" s="1042" t="s">
        <v>2</v>
      </c>
      <c r="C199" s="1042"/>
      <c r="D199" s="1042"/>
      <c r="E199" s="1042"/>
      <c r="F199" s="1042"/>
      <c r="G199" s="1043"/>
      <c r="H199" s="1042" t="s">
        <v>3</v>
      </c>
      <c r="I199" s="1042"/>
      <c r="J199" s="1042"/>
      <c r="K199" s="1042"/>
      <c r="L199" s="1042"/>
      <c r="M199" s="1043"/>
      <c r="N199" s="1028" t="s">
        <v>139</v>
      </c>
      <c r="O199" s="1029"/>
      <c r="P199" s="1029"/>
      <c r="Q199" s="1029"/>
      <c r="R199" s="1029"/>
      <c r="S199" s="1030"/>
      <c r="T199" s="1042" t="s">
        <v>4</v>
      </c>
      <c r="U199" s="1042"/>
      <c r="V199" s="1042"/>
      <c r="W199" s="1042"/>
      <c r="X199" s="1042"/>
      <c r="Y199" s="1043"/>
      <c r="Z199" s="1028" t="s">
        <v>5</v>
      </c>
      <c r="AA199" s="1029"/>
      <c r="AB199" s="1029"/>
      <c r="AC199" s="1029"/>
      <c r="AD199" s="1029"/>
      <c r="AE199" s="1030"/>
    </row>
    <row r="200" spans="1:56" ht="16.2" hidden="1" thickBot="1" x14ac:dyDescent="0.35">
      <c r="A200" s="2949" t="s">
        <v>10</v>
      </c>
      <c r="B200" s="2337"/>
      <c r="C200" s="1003"/>
      <c r="D200" s="1003"/>
      <c r="E200" s="1003"/>
      <c r="F200" s="1003"/>
      <c r="G200" s="2338"/>
      <c r="H200" s="2964"/>
      <c r="I200" s="2965"/>
      <c r="J200" s="2965"/>
      <c r="K200" s="2965"/>
      <c r="L200" s="2965"/>
      <c r="M200" s="2966"/>
      <c r="N200" s="2964"/>
      <c r="O200" s="2965"/>
      <c r="P200" s="2965"/>
      <c r="Q200" s="2965"/>
      <c r="R200" s="2965"/>
      <c r="S200" s="2966"/>
      <c r="T200" s="354"/>
      <c r="U200" s="355"/>
      <c r="V200" s="355"/>
      <c r="W200" s="355"/>
      <c r="X200" s="355"/>
      <c r="Y200" s="356"/>
      <c r="Z200" s="283"/>
      <c r="AA200" s="10"/>
      <c r="AB200" s="379"/>
      <c r="AC200" s="365"/>
      <c r="AD200" s="365"/>
      <c r="AE200" s="366"/>
    </row>
    <row r="201" spans="1:56" ht="13.8" hidden="1" thickBot="1" x14ac:dyDescent="0.3">
      <c r="A201" s="2950"/>
      <c r="B201" s="2255"/>
      <c r="C201" s="2256"/>
      <c r="D201" s="2256"/>
      <c r="E201" s="2256"/>
      <c r="F201" s="2256"/>
      <c r="G201" s="2257"/>
      <c r="H201" s="2255"/>
      <c r="I201" s="2256"/>
      <c r="J201" s="2256"/>
      <c r="K201" s="2256"/>
      <c r="L201" s="2256"/>
      <c r="M201" s="2257"/>
      <c r="N201" s="2255"/>
      <c r="O201" s="2256"/>
      <c r="P201" s="2256"/>
      <c r="Q201" s="2256"/>
      <c r="R201" s="2256"/>
      <c r="S201" s="2257"/>
      <c r="T201" s="367"/>
      <c r="U201" s="353"/>
      <c r="V201" s="353"/>
      <c r="W201" s="370"/>
      <c r="X201" s="370"/>
      <c r="Y201" s="376"/>
      <c r="Z201" s="283"/>
      <c r="AA201" s="10"/>
      <c r="AB201" s="353"/>
      <c r="AC201" s="370"/>
      <c r="AD201" s="353"/>
      <c r="AE201" s="376"/>
    </row>
    <row r="202" spans="1:56" ht="16.2" hidden="1" thickBot="1" x14ac:dyDescent="0.35">
      <c r="A202" s="2949" t="s">
        <v>11</v>
      </c>
      <c r="B202" s="374"/>
      <c r="C202" s="358"/>
      <c r="D202" s="358"/>
      <c r="E202" s="358"/>
      <c r="F202" s="358"/>
      <c r="G202" s="359"/>
      <c r="H202" s="374"/>
      <c r="I202" s="358"/>
      <c r="J202" s="358"/>
      <c r="K202" s="358"/>
      <c r="L202" s="358"/>
      <c r="M202" s="359"/>
      <c r="N202" s="210"/>
      <c r="O202" s="211"/>
      <c r="P202" s="211"/>
      <c r="Q202" s="211"/>
      <c r="R202" s="211"/>
      <c r="S202" s="212"/>
      <c r="T202" s="364"/>
      <c r="U202" s="365"/>
      <c r="V202" s="365"/>
      <c r="W202" s="362"/>
      <c r="X202" s="362"/>
      <c r="Y202" s="363"/>
      <c r="Z202" s="373"/>
      <c r="AA202" s="287"/>
      <c r="AB202" s="378"/>
      <c r="AC202" s="362"/>
      <c r="AD202" s="365"/>
      <c r="AE202" s="363"/>
      <c r="AG202" s="441" t="s">
        <v>1009</v>
      </c>
      <c r="AH202" s="441"/>
      <c r="AI202" s="441"/>
      <c r="AJ202" s="441"/>
      <c r="AK202" s="441"/>
      <c r="AL202" s="441"/>
      <c r="AM202" s="441"/>
      <c r="AN202" s="441"/>
      <c r="AO202" s="441"/>
      <c r="AP202" s="441"/>
      <c r="AQ202" s="441"/>
    </row>
    <row r="203" spans="1:56" ht="13.8" hidden="1" thickBot="1" x14ac:dyDescent="0.3">
      <c r="A203" s="2950"/>
      <c r="B203" s="375"/>
      <c r="C203" s="357"/>
      <c r="D203" s="357"/>
      <c r="E203" s="357"/>
      <c r="F203" s="357"/>
      <c r="G203" s="360"/>
      <c r="H203" s="375"/>
      <c r="I203" s="357"/>
      <c r="J203" s="357"/>
      <c r="K203" s="357"/>
      <c r="L203" s="357"/>
      <c r="M203" s="360"/>
      <c r="N203" s="371"/>
      <c r="O203" s="274"/>
      <c r="P203" s="274"/>
      <c r="Q203" s="274"/>
      <c r="R203" s="274"/>
      <c r="S203" s="377"/>
      <c r="T203" s="369"/>
      <c r="U203" s="370"/>
      <c r="V203" s="353"/>
      <c r="W203" s="370"/>
      <c r="X203" s="370"/>
      <c r="Y203" s="368"/>
      <c r="Z203" s="283"/>
      <c r="AA203" s="10"/>
      <c r="AB203" s="353"/>
      <c r="AC203" s="353"/>
      <c r="AD203" s="370"/>
      <c r="AE203" s="368"/>
      <c r="AG203" s="441" t="s">
        <v>1010</v>
      </c>
      <c r="AH203" s="441"/>
      <c r="AI203" s="441"/>
      <c r="AJ203" s="441"/>
      <c r="AK203" s="441"/>
      <c r="AL203" s="441"/>
      <c r="AM203" s="441"/>
      <c r="AN203" s="441"/>
      <c r="AO203" s="441"/>
      <c r="AP203" s="441"/>
      <c r="AQ203" s="441"/>
    </row>
    <row r="204" spans="1:56" ht="16.2" hidden="1" thickBot="1" x14ac:dyDescent="0.35">
      <c r="A204" s="2949" t="s">
        <v>6</v>
      </c>
      <c r="B204" s="2337"/>
      <c r="C204" s="1003"/>
      <c r="D204" s="1003"/>
      <c r="E204" s="1003"/>
      <c r="F204" s="1003"/>
      <c r="G204" s="2338"/>
      <c r="H204" s="2337"/>
      <c r="I204" s="1003"/>
      <c r="J204" s="1003"/>
      <c r="K204" s="1003"/>
      <c r="L204" s="1003"/>
      <c r="M204" s="2338"/>
      <c r="N204" s="2337"/>
      <c r="O204" s="1003"/>
      <c r="P204" s="1003"/>
      <c r="Q204" s="1003"/>
      <c r="R204" s="1003"/>
      <c r="S204" s="2338"/>
      <c r="T204" s="361"/>
      <c r="U204" s="362"/>
      <c r="V204" s="365"/>
      <c r="W204" s="362"/>
      <c r="X204" s="362"/>
      <c r="Y204" s="366"/>
      <c r="Z204" s="373"/>
      <c r="AA204" s="287"/>
      <c r="AB204" s="378"/>
      <c r="AC204" s="365"/>
      <c r="AD204" s="362"/>
      <c r="AE204" s="366"/>
      <c r="AG204" s="441"/>
      <c r="AH204" s="441"/>
      <c r="AI204" s="441"/>
      <c r="AJ204" s="441"/>
      <c r="AK204" s="441"/>
      <c r="AL204" s="441"/>
      <c r="AM204" s="441"/>
      <c r="AN204" s="441"/>
      <c r="AO204" s="441"/>
      <c r="AP204" s="441"/>
      <c r="AQ204" s="441"/>
    </row>
    <row r="205" spans="1:56" ht="13.8" hidden="1" thickBot="1" x14ac:dyDescent="0.3">
      <c r="A205" s="2950"/>
      <c r="B205" s="2255"/>
      <c r="C205" s="2256"/>
      <c r="D205" s="2256"/>
      <c r="E205" s="2256"/>
      <c r="F205" s="2256"/>
      <c r="G205" s="2257"/>
      <c r="H205" s="2255"/>
      <c r="I205" s="2256"/>
      <c r="J205" s="2256"/>
      <c r="K205" s="2256"/>
      <c r="L205" s="2256"/>
      <c r="M205" s="2257"/>
      <c r="N205" s="2986"/>
      <c r="O205" s="2987"/>
      <c r="P205" s="2987"/>
      <c r="Q205" s="2987"/>
      <c r="R205" s="2987"/>
      <c r="S205" s="2988"/>
      <c r="T205" s="367"/>
      <c r="U205" s="370"/>
      <c r="V205" s="370"/>
      <c r="W205" s="353"/>
      <c r="X205" s="370"/>
      <c r="Y205" s="368"/>
      <c r="Z205" s="283"/>
      <c r="AA205" s="288"/>
      <c r="AB205" s="353"/>
      <c r="AC205" s="353"/>
      <c r="AD205" s="353"/>
      <c r="AE205" s="376"/>
    </row>
    <row r="206" spans="1:56" ht="16.2" hidden="1" thickBot="1" x14ac:dyDescent="0.35">
      <c r="A206" s="2949" t="s">
        <v>7</v>
      </c>
      <c r="B206" s="2337"/>
      <c r="C206" s="1003"/>
      <c r="D206" s="1003"/>
      <c r="E206" s="1003"/>
      <c r="F206" s="1003"/>
      <c r="G206" s="2338"/>
      <c r="H206" s="2337"/>
      <c r="I206" s="1003"/>
      <c r="J206" s="1003"/>
      <c r="K206" s="1003"/>
      <c r="L206" s="1003"/>
      <c r="M206" s="2338"/>
      <c r="N206" s="2337"/>
      <c r="O206" s="1003"/>
      <c r="P206" s="1003"/>
      <c r="Q206" s="1003"/>
      <c r="R206" s="1003"/>
      <c r="S206" s="2338"/>
      <c r="T206" s="364"/>
      <c r="U206" s="362"/>
      <c r="V206" s="362"/>
      <c r="W206" s="365"/>
      <c r="X206" s="362"/>
      <c r="Y206" s="366"/>
      <c r="Z206" s="373"/>
      <c r="AA206" s="10"/>
      <c r="AB206" s="378"/>
      <c r="AC206" s="365"/>
      <c r="AD206" s="365"/>
      <c r="AE206" s="363"/>
    </row>
    <row r="207" spans="1:56" ht="13.8" hidden="1" thickBot="1" x14ac:dyDescent="0.3">
      <c r="A207" s="2950"/>
      <c r="B207" s="2255"/>
      <c r="C207" s="2256"/>
      <c r="D207" s="2256"/>
      <c r="E207" s="2256"/>
      <c r="F207" s="2256"/>
      <c r="G207" s="2257"/>
      <c r="H207" s="2255"/>
      <c r="I207" s="2256"/>
      <c r="J207" s="2256"/>
      <c r="K207" s="2256"/>
      <c r="L207" s="2256"/>
      <c r="M207" s="2257"/>
      <c r="N207" s="2255"/>
      <c r="O207" s="2256"/>
      <c r="P207" s="2256"/>
      <c r="Q207" s="2256"/>
      <c r="R207" s="2256"/>
      <c r="S207" s="2257"/>
      <c r="T207" s="367"/>
      <c r="U207" s="353"/>
      <c r="V207" s="353"/>
      <c r="W207" s="353"/>
      <c r="X207" s="353"/>
      <c r="Y207" s="376"/>
      <c r="Z207" s="283"/>
      <c r="AA207" s="10"/>
      <c r="AB207" s="353"/>
      <c r="AC207" s="370"/>
      <c r="AD207" s="370"/>
      <c r="AE207" s="368"/>
    </row>
    <row r="208" spans="1:56" ht="16.2" hidden="1" thickBot="1" x14ac:dyDescent="0.35">
      <c r="A208" s="2949" t="s">
        <v>8</v>
      </c>
      <c r="B208" s="2337"/>
      <c r="C208" s="1003"/>
      <c r="D208" s="1003"/>
      <c r="E208" s="1003"/>
      <c r="F208" s="1003"/>
      <c r="G208" s="2338"/>
      <c r="H208" s="2337"/>
      <c r="I208" s="1003"/>
      <c r="J208" s="1003"/>
      <c r="K208" s="1003"/>
      <c r="L208" s="1003"/>
      <c r="M208" s="2338"/>
      <c r="N208" s="2981"/>
      <c r="O208" s="1002"/>
      <c r="P208" s="1002"/>
      <c r="Q208" s="1002"/>
      <c r="R208" s="1002"/>
      <c r="S208" s="2982"/>
      <c r="T208" s="364"/>
      <c r="U208" s="365"/>
      <c r="V208" s="365"/>
      <c r="W208" s="365"/>
      <c r="X208" s="365"/>
      <c r="Y208" s="363"/>
      <c r="Z208" s="373"/>
      <c r="AA208" s="287"/>
      <c r="AB208" s="378"/>
      <c r="AC208" s="362"/>
      <c r="AD208" s="362"/>
      <c r="AE208" s="366"/>
    </row>
    <row r="209" spans="1:63" ht="13.8" hidden="1" thickBot="1" x14ac:dyDescent="0.3">
      <c r="A209" s="2950"/>
      <c r="B209" s="2255"/>
      <c r="C209" s="2256"/>
      <c r="D209" s="2256"/>
      <c r="E209" s="2256"/>
      <c r="F209" s="2256"/>
      <c r="G209" s="2257"/>
      <c r="H209" s="2255"/>
      <c r="I209" s="2256"/>
      <c r="J209" s="2256"/>
      <c r="K209" s="2256"/>
      <c r="L209" s="2256"/>
      <c r="M209" s="2257"/>
      <c r="N209" s="2255"/>
      <c r="O209" s="2256"/>
      <c r="P209" s="2256"/>
      <c r="Q209" s="2256"/>
      <c r="R209" s="2256"/>
      <c r="S209" s="2257"/>
      <c r="T209" s="369"/>
      <c r="U209" s="370"/>
      <c r="V209" s="353"/>
      <c r="W209" s="370"/>
      <c r="X209" s="353"/>
      <c r="Y209" s="376"/>
      <c r="Z209" s="283"/>
      <c r="AA209" s="10"/>
      <c r="AB209" s="353"/>
      <c r="AC209" s="353"/>
      <c r="AD209" s="353"/>
      <c r="AE209" s="376"/>
    </row>
    <row r="210" spans="1:63" ht="16.2" hidden="1" thickBot="1" x14ac:dyDescent="0.35">
      <c r="A210" s="2949" t="s">
        <v>9</v>
      </c>
      <c r="B210" s="2337"/>
      <c r="C210" s="1003"/>
      <c r="D210" s="1003"/>
      <c r="E210" s="1003"/>
      <c r="F210" s="1003"/>
      <c r="G210" s="2338"/>
      <c r="H210" s="2337"/>
      <c r="I210" s="1003"/>
      <c r="J210" s="1003"/>
      <c r="K210" s="1003"/>
      <c r="L210" s="1003"/>
      <c r="M210" s="2338"/>
      <c r="N210" s="2981"/>
      <c r="O210" s="1002"/>
      <c r="P210" s="1002"/>
      <c r="Q210" s="1002"/>
      <c r="R210" s="1002"/>
      <c r="S210" s="2982"/>
      <c r="T210" s="361"/>
      <c r="U210" s="362"/>
      <c r="V210" s="365"/>
      <c r="W210" s="362"/>
      <c r="X210" s="365"/>
      <c r="Y210" s="363"/>
      <c r="Z210" s="373"/>
      <c r="AA210" s="287"/>
      <c r="AB210" s="378"/>
      <c r="AC210" s="365"/>
      <c r="AD210" s="365"/>
      <c r="AE210" s="363"/>
    </row>
    <row r="211" spans="1:63" ht="13.8" hidden="1" thickBot="1" x14ac:dyDescent="0.3">
      <c r="A211" s="2950"/>
      <c r="B211" s="2255"/>
      <c r="C211" s="2256"/>
      <c r="D211" s="2256"/>
      <c r="E211" s="2256"/>
      <c r="F211" s="2256"/>
      <c r="G211" s="2257"/>
      <c r="H211" s="2255"/>
      <c r="I211" s="2256"/>
      <c r="J211" s="2256"/>
      <c r="K211" s="2256"/>
      <c r="L211" s="2256"/>
      <c r="M211" s="2257"/>
      <c r="N211" s="2255"/>
      <c r="O211" s="2256"/>
      <c r="P211" s="2256"/>
      <c r="Q211" s="2256"/>
      <c r="R211" s="2256"/>
      <c r="S211" s="2257"/>
      <c r="T211" s="367"/>
      <c r="U211" s="353"/>
      <c r="V211" s="353"/>
      <c r="W211" s="353"/>
      <c r="X211" s="353"/>
      <c r="Y211" s="368"/>
      <c r="Z211" s="283"/>
      <c r="AA211" s="10"/>
      <c r="AB211" s="353"/>
      <c r="AC211" s="353"/>
      <c r="AD211" s="353"/>
      <c r="AE211" s="368"/>
    </row>
    <row r="212" spans="1:63" ht="18" thickBot="1" x14ac:dyDescent="0.3">
      <c r="A212" s="19" t="s">
        <v>1</v>
      </c>
      <c r="B212" s="1091" t="s">
        <v>2</v>
      </c>
      <c r="C212" s="1092"/>
      <c r="D212" s="1092"/>
      <c r="E212" s="1092"/>
      <c r="F212" s="1092"/>
      <c r="G212" s="1093"/>
      <c r="H212" s="1091" t="s">
        <v>3</v>
      </c>
      <c r="I212" s="1092"/>
      <c r="J212" s="1092"/>
      <c r="K212" s="1092"/>
      <c r="L212" s="1092"/>
      <c r="M212" s="1093"/>
      <c r="N212" s="1091" t="s">
        <v>139</v>
      </c>
      <c r="O212" s="1092"/>
      <c r="P212" s="1092"/>
      <c r="Q212" s="1092"/>
      <c r="R212" s="1092"/>
      <c r="S212" s="1093"/>
      <c r="T212" s="1091" t="s">
        <v>4</v>
      </c>
      <c r="U212" s="1092"/>
      <c r="V212" s="1092"/>
      <c r="W212" s="1092"/>
      <c r="X212" s="1092"/>
      <c r="Y212" s="1093"/>
      <c r="Z212" s="1091" t="s">
        <v>5</v>
      </c>
      <c r="AA212" s="1092"/>
      <c r="AB212" s="1092"/>
      <c r="AC212" s="1092"/>
      <c r="AD212" s="1092"/>
      <c r="AE212" s="1093"/>
    </row>
    <row r="213" spans="1:63" ht="30" hidden="1" customHeight="1" x14ac:dyDescent="0.25">
      <c r="A213" s="2975" t="s">
        <v>807</v>
      </c>
      <c r="H213" s="68"/>
      <c r="L213" s="125"/>
      <c r="M213" s="449"/>
    </row>
    <row r="214" spans="1:63" ht="24.75" hidden="1" customHeight="1" x14ac:dyDescent="0.25">
      <c r="A214" s="2937"/>
      <c r="H214" s="468"/>
      <c r="I214" s="411"/>
      <c r="J214" s="411"/>
      <c r="K214" s="411"/>
      <c r="L214" s="411"/>
      <c r="M214" s="469"/>
      <c r="X214" s="102"/>
      <c r="AP214" s="383"/>
      <c r="AQ214" s="1153"/>
      <c r="AT214" s="10"/>
      <c r="AU214" s="10"/>
      <c r="AV214" s="273"/>
      <c r="AW214" s="69"/>
      <c r="AX214" s="69"/>
      <c r="AY214" s="458"/>
      <c r="AZ214" s="69"/>
      <c r="BA214" s="69"/>
      <c r="BB214" s="273"/>
      <c r="BC214" s="69"/>
      <c r="BD214" s="69"/>
      <c r="BE214" s="458"/>
      <c r="BF214" s="69"/>
      <c r="BG214" s="69"/>
      <c r="BH214" s="273"/>
      <c r="BI214" s="69"/>
      <c r="BJ214" s="69"/>
      <c r="BK214" s="458"/>
    </row>
    <row r="215" spans="1:63" ht="30" customHeight="1" x14ac:dyDescent="0.3">
      <c r="A215" s="2975" t="s">
        <v>10</v>
      </c>
      <c r="B215" s="1182" t="s">
        <v>978</v>
      </c>
      <c r="C215" s="1182" t="s">
        <v>579</v>
      </c>
      <c r="D215" s="2967" t="s">
        <v>750</v>
      </c>
      <c r="E215" s="125"/>
      <c r="F215" s="1197"/>
      <c r="G215" s="510"/>
      <c r="H215" s="1025" t="s">
        <v>1041</v>
      </c>
      <c r="I215" s="956"/>
      <c r="J215" s="956"/>
      <c r="K215" s="956"/>
      <c r="L215" s="956"/>
      <c r="M215" s="2029"/>
      <c r="N215" s="1069" t="s">
        <v>978</v>
      </c>
      <c r="O215" s="940"/>
      <c r="P215" s="940"/>
      <c r="Q215" s="940"/>
      <c r="R215" s="940"/>
      <c r="S215" s="1070"/>
      <c r="T215" s="1176" t="s">
        <v>973</v>
      </c>
      <c r="U215" s="1182" t="s">
        <v>580</v>
      </c>
      <c r="V215" s="2967" t="s">
        <v>145</v>
      </c>
      <c r="W215" s="510"/>
      <c r="X215" s="20"/>
      <c r="Y215" s="510"/>
      <c r="Z215" s="1176" t="s">
        <v>981</v>
      </c>
      <c r="AA215" s="1182" t="s">
        <v>579</v>
      </c>
      <c r="AB215" s="1182" t="s">
        <v>145</v>
      </c>
      <c r="AC215" s="1317" t="s">
        <v>976</v>
      </c>
      <c r="AD215" s="1182" t="s">
        <v>580</v>
      </c>
      <c r="AE215" s="2945" t="s">
        <v>577</v>
      </c>
      <c r="AH215" s="1153"/>
      <c r="AP215" s="1153"/>
      <c r="AQ215" s="1153"/>
      <c r="AW215" s="450"/>
      <c r="AX215" s="450"/>
      <c r="AY215" s="450"/>
      <c r="BA215" s="383"/>
      <c r="BB215" s="1153"/>
      <c r="BF215" s="2948"/>
      <c r="BG215" s="2948"/>
      <c r="BH215" s="2948"/>
      <c r="BI215" s="2948"/>
      <c r="BJ215" s="2948"/>
      <c r="BK215" s="2948"/>
    </row>
    <row r="216" spans="1:63" ht="30" customHeight="1" x14ac:dyDescent="0.25">
      <c r="A216" s="2950"/>
      <c r="B216" s="1153"/>
      <c r="C216" s="1153"/>
      <c r="D216" s="2968"/>
      <c r="E216" s="1113"/>
      <c r="F216" s="1126"/>
      <c r="G216" s="205"/>
      <c r="H216" s="2970" t="s">
        <v>1023</v>
      </c>
      <c r="I216" s="1027"/>
      <c r="J216" s="1027"/>
      <c r="K216" s="1027"/>
      <c r="L216" s="1027"/>
      <c r="M216" s="2971"/>
      <c r="N216" s="1067" t="s">
        <v>156</v>
      </c>
      <c r="O216" s="944"/>
      <c r="P216" s="944"/>
      <c r="Q216" s="944"/>
      <c r="R216" s="944"/>
      <c r="S216" s="944"/>
      <c r="T216" s="1118"/>
      <c r="U216" s="1153"/>
      <c r="V216" s="2968"/>
      <c r="W216" s="20"/>
      <c r="X216" s="20"/>
      <c r="Y216" s="20"/>
      <c r="Z216" s="1118"/>
      <c r="AA216" s="1153"/>
      <c r="AB216" s="1153"/>
      <c r="AC216" s="1109"/>
      <c r="AD216" s="1153"/>
      <c r="AE216" s="2946"/>
      <c r="AH216" s="1153"/>
      <c r="AP216" s="1153"/>
      <c r="AQ216" s="1153"/>
      <c r="AW216" s="450"/>
      <c r="AX216" s="450"/>
      <c r="AY216" s="450"/>
      <c r="BA216" s="1153"/>
      <c r="BB216" s="1153"/>
      <c r="BF216" s="1062"/>
      <c r="BG216" s="1062"/>
      <c r="BH216" s="1062"/>
      <c r="BI216" s="1062"/>
      <c r="BJ216" s="1062"/>
      <c r="BK216" s="1062"/>
    </row>
    <row r="217" spans="1:63" ht="30" customHeight="1" x14ac:dyDescent="0.3">
      <c r="A217" s="2937" t="s">
        <v>1019</v>
      </c>
      <c r="B217" s="1109"/>
      <c r="C217" s="1153"/>
      <c r="D217" s="2968"/>
      <c r="E217" s="1113"/>
      <c r="F217" s="1126"/>
      <c r="G217" s="20"/>
      <c r="H217" s="1025" t="s">
        <v>1041</v>
      </c>
      <c r="I217" s="956"/>
      <c r="J217" s="956"/>
      <c r="K217" s="956"/>
      <c r="L217" s="956"/>
      <c r="M217" s="2029"/>
      <c r="N217" s="1069" t="s">
        <v>585</v>
      </c>
      <c r="O217" s="940"/>
      <c r="P217" s="940"/>
      <c r="Q217" s="940"/>
      <c r="R217" s="940"/>
      <c r="S217" s="1070"/>
      <c r="T217" s="1118"/>
      <c r="U217" s="1153"/>
      <c r="V217" s="2968"/>
      <c r="W217" s="20"/>
      <c r="X217" s="20"/>
      <c r="Y217" s="20"/>
      <c r="Z217" s="1118"/>
      <c r="AA217" s="1153"/>
      <c r="AB217" s="1153"/>
      <c r="AC217" s="1109"/>
      <c r="AD217" s="1153"/>
      <c r="AE217" s="2946"/>
      <c r="AH217" s="1153"/>
      <c r="AP217" s="1153"/>
      <c r="AQ217" s="1153"/>
      <c r="AT217" s="2948"/>
      <c r="AU217" s="2948"/>
      <c r="AV217" s="2948"/>
      <c r="AW217" s="2948"/>
      <c r="AX217" s="2948"/>
      <c r="AY217" s="2948"/>
      <c r="BA217" s="1153"/>
      <c r="BB217" s="1153"/>
      <c r="BF217" s="2948"/>
      <c r="BG217" s="2948"/>
      <c r="BH217" s="2948"/>
      <c r="BI217" s="2948"/>
      <c r="BJ217" s="2948"/>
      <c r="BK217" s="2948"/>
    </row>
    <row r="218" spans="1:63" ht="30" customHeight="1" x14ac:dyDescent="0.25">
      <c r="A218" s="2937"/>
      <c r="B218" s="1184"/>
      <c r="C218" s="1153"/>
      <c r="D218" s="2969"/>
      <c r="E218" s="1114"/>
      <c r="F218" s="1142"/>
      <c r="G218" s="475"/>
      <c r="H218" s="2970" t="s">
        <v>1023</v>
      </c>
      <c r="I218" s="1027"/>
      <c r="J218" s="1027"/>
      <c r="K218" s="1027"/>
      <c r="L218" s="1027"/>
      <c r="M218" s="2971"/>
      <c r="N218" s="1067" t="s">
        <v>156</v>
      </c>
      <c r="O218" s="944"/>
      <c r="P218" s="944"/>
      <c r="Q218" s="944"/>
      <c r="R218" s="944"/>
      <c r="S218" s="944"/>
      <c r="T218" s="1119"/>
      <c r="U218" s="1153"/>
      <c r="V218" s="2969"/>
      <c r="W218" s="20"/>
      <c r="X218" s="20"/>
      <c r="Y218" s="20"/>
      <c r="Z218" s="1119"/>
      <c r="AA218" s="1153"/>
      <c r="AB218" s="1154"/>
      <c r="AC218" s="1184"/>
      <c r="AD218" s="1153"/>
      <c r="AE218" s="2947"/>
      <c r="AH218" s="1153"/>
      <c r="AP218" s="1153"/>
      <c r="AQ218" s="1153"/>
      <c r="AT218" s="1062"/>
      <c r="AU218" s="1062"/>
      <c r="AV218" s="1062"/>
      <c r="AW218" s="1062"/>
      <c r="AX218" s="1062"/>
      <c r="AY218" s="1062"/>
      <c r="BA218" s="1153"/>
      <c r="BB218" s="1153"/>
      <c r="BF218" s="1062"/>
      <c r="BG218" s="1062"/>
      <c r="BH218" s="1062"/>
      <c r="BI218" s="1062"/>
      <c r="BJ218" s="1062"/>
      <c r="BK218" s="1062"/>
    </row>
    <row r="219" spans="1:63" ht="30" customHeight="1" x14ac:dyDescent="0.3">
      <c r="A219" s="2949" t="s">
        <v>1020</v>
      </c>
      <c r="B219" s="1069" t="s">
        <v>585</v>
      </c>
      <c r="C219" s="940"/>
      <c r="D219" s="940"/>
      <c r="E219" s="940"/>
      <c r="F219" s="940"/>
      <c r="G219" s="940"/>
      <c r="H219" s="1025" t="s">
        <v>1041</v>
      </c>
      <c r="I219" s="956"/>
      <c r="J219" s="956"/>
      <c r="K219" s="956"/>
      <c r="L219" s="956"/>
      <c r="M219" s="2029"/>
      <c r="N219" s="2063"/>
      <c r="O219" s="1197"/>
      <c r="P219" s="2983"/>
      <c r="Q219" s="1317" t="s">
        <v>978</v>
      </c>
      <c r="R219" s="1182" t="s">
        <v>580</v>
      </c>
      <c r="S219" s="1182" t="s">
        <v>752</v>
      </c>
      <c r="T219" s="1069" t="s">
        <v>981</v>
      </c>
      <c r="U219" s="940"/>
      <c r="V219" s="940"/>
      <c r="W219" s="940"/>
      <c r="X219" s="940"/>
      <c r="Y219" s="1070"/>
      <c r="Z219" s="1069" t="s">
        <v>981</v>
      </c>
      <c r="AA219" s="940"/>
      <c r="AB219" s="940"/>
      <c r="AC219" s="940"/>
      <c r="AD219" s="940"/>
      <c r="AE219" s="1070"/>
      <c r="AH219" s="2948"/>
      <c r="AI219" s="2948"/>
      <c r="AJ219" s="2948"/>
      <c r="AK219" s="2948"/>
      <c r="AL219" s="2948"/>
      <c r="AM219" s="2948"/>
      <c r="AN219" s="383"/>
      <c r="AO219" s="1153"/>
      <c r="AP219" s="1153"/>
      <c r="AQ219" s="1153"/>
      <c r="AT219" s="1153"/>
      <c r="AU219" s="1153"/>
      <c r="AV219" s="1307"/>
      <c r="AW219" s="1153"/>
      <c r="AX219" s="1153"/>
      <c r="AY219" s="1153"/>
      <c r="AZ219" s="1153"/>
      <c r="BA219" s="1153"/>
      <c r="BB219" s="1153"/>
      <c r="BC219" s="1153"/>
      <c r="BD219" s="1153"/>
      <c r="BE219" s="1307"/>
      <c r="BF219" s="2948"/>
      <c r="BG219" s="2948"/>
      <c r="BH219" s="2948"/>
      <c r="BI219" s="2948"/>
      <c r="BJ219" s="2948"/>
      <c r="BK219" s="2948"/>
    </row>
    <row r="220" spans="1:63" ht="30" customHeight="1" x14ac:dyDescent="0.25">
      <c r="A220" s="2937"/>
      <c r="B220" s="1067" t="s">
        <v>156</v>
      </c>
      <c r="C220" s="944"/>
      <c r="D220" s="944"/>
      <c r="E220" s="944"/>
      <c r="F220" s="944"/>
      <c r="G220" s="944"/>
      <c r="H220" s="2970" t="s">
        <v>1023</v>
      </c>
      <c r="I220" s="1027"/>
      <c r="J220" s="1027"/>
      <c r="K220" s="1027"/>
      <c r="L220" s="1027"/>
      <c r="M220" s="2971"/>
      <c r="N220" s="1106"/>
      <c r="O220" s="1126"/>
      <c r="P220" s="2984"/>
      <c r="Q220" s="1109"/>
      <c r="R220" s="1153"/>
      <c r="S220" s="1153"/>
      <c r="T220" s="1067" t="s">
        <v>156</v>
      </c>
      <c r="U220" s="944"/>
      <c r="V220" s="944"/>
      <c r="W220" s="944"/>
      <c r="X220" s="944"/>
      <c r="Y220" s="944"/>
      <c r="Z220" s="1067" t="s">
        <v>156</v>
      </c>
      <c r="AA220" s="944"/>
      <c r="AB220" s="944"/>
      <c r="AC220" s="944"/>
      <c r="AD220" s="944"/>
      <c r="AE220" s="1068"/>
      <c r="AH220" s="1062"/>
      <c r="AI220" s="1062"/>
      <c r="AJ220" s="1062"/>
      <c r="AK220" s="1062"/>
      <c r="AL220" s="1062"/>
      <c r="AM220" s="1062"/>
      <c r="AN220" s="1153"/>
      <c r="AO220" s="1153"/>
      <c r="AT220" s="1153"/>
      <c r="AU220" s="1153"/>
      <c r="AV220" s="1307"/>
      <c r="AW220" s="1153"/>
      <c r="AX220" s="1153"/>
      <c r="AY220" s="1153"/>
      <c r="AZ220" s="1153"/>
      <c r="BA220" s="1153"/>
      <c r="BB220" s="1153"/>
      <c r="BC220" s="1153"/>
      <c r="BD220" s="1153"/>
      <c r="BE220" s="1307"/>
      <c r="BF220" s="1062"/>
      <c r="BG220" s="1062"/>
      <c r="BH220" s="1062"/>
      <c r="BI220" s="1062"/>
      <c r="BJ220" s="1062"/>
      <c r="BK220" s="1062"/>
    </row>
    <row r="221" spans="1:63" ht="30" customHeight="1" x14ac:dyDescent="0.3">
      <c r="A221" s="2949" t="s">
        <v>7</v>
      </c>
      <c r="B221" s="1069" t="s">
        <v>978</v>
      </c>
      <c r="C221" s="940"/>
      <c r="D221" s="940"/>
      <c r="E221" s="940"/>
      <c r="F221" s="940"/>
      <c r="G221" s="940"/>
      <c r="H221" s="1025" t="s">
        <v>1041</v>
      </c>
      <c r="I221" s="956"/>
      <c r="J221" s="956"/>
      <c r="K221" s="956"/>
      <c r="L221" s="956"/>
      <c r="M221" s="2029"/>
      <c r="N221" s="1106"/>
      <c r="O221" s="1126"/>
      <c r="P221" s="2984"/>
      <c r="Q221" s="1109"/>
      <c r="R221" s="1153"/>
      <c r="S221" s="1153"/>
      <c r="T221" s="1069" t="s">
        <v>973</v>
      </c>
      <c r="U221" s="940"/>
      <c r="V221" s="940"/>
      <c r="W221" s="940"/>
      <c r="X221" s="940"/>
      <c r="Y221" s="1070"/>
      <c r="Z221" s="1069" t="s">
        <v>973</v>
      </c>
      <c r="AA221" s="940"/>
      <c r="AB221" s="940"/>
      <c r="AC221" s="940"/>
      <c r="AD221" s="940"/>
      <c r="AE221" s="1070"/>
      <c r="AH221" s="2948"/>
      <c r="AI221" s="2948"/>
      <c r="AJ221" s="2948"/>
      <c r="AK221" s="2948"/>
      <c r="AL221" s="2948"/>
      <c r="AM221" s="2948"/>
      <c r="AN221" s="1153"/>
      <c r="AO221" s="1153"/>
      <c r="AT221" s="1153"/>
      <c r="AU221" s="1153"/>
      <c r="AV221" s="1307"/>
      <c r="AW221" s="1153"/>
      <c r="AX221" s="1153"/>
      <c r="AY221" s="1153"/>
      <c r="AZ221" s="1153"/>
      <c r="BA221" s="1153"/>
      <c r="BB221" s="1153"/>
      <c r="BC221" s="1153"/>
      <c r="BD221" s="1153"/>
      <c r="BE221" s="1307"/>
      <c r="BF221" s="2948"/>
      <c r="BG221" s="2948"/>
      <c r="BH221" s="2948"/>
      <c r="BI221" s="2948"/>
      <c r="BJ221" s="2948"/>
      <c r="BK221" s="2948"/>
    </row>
    <row r="222" spans="1:63" ht="30" customHeight="1" x14ac:dyDescent="0.25">
      <c r="A222" s="2950"/>
      <c r="B222" s="1067" t="s">
        <v>156</v>
      </c>
      <c r="C222" s="944"/>
      <c r="D222" s="944"/>
      <c r="E222" s="944"/>
      <c r="F222" s="944"/>
      <c r="G222" s="1068"/>
      <c r="H222" s="2970" t="s">
        <v>1023</v>
      </c>
      <c r="I222" s="1027"/>
      <c r="J222" s="1027"/>
      <c r="K222" s="1027"/>
      <c r="L222" s="1027"/>
      <c r="M222" s="2971"/>
      <c r="N222" s="1107"/>
      <c r="O222" s="1126"/>
      <c r="P222" s="2985"/>
      <c r="Q222" s="1184"/>
      <c r="R222" s="1153"/>
      <c r="S222" s="1154"/>
      <c r="T222" s="1067" t="s">
        <v>156</v>
      </c>
      <c r="U222" s="944"/>
      <c r="V222" s="944"/>
      <c r="W222" s="944"/>
      <c r="X222" s="944"/>
      <c r="Y222" s="944"/>
      <c r="Z222" s="1067" t="s">
        <v>156</v>
      </c>
      <c r="AA222" s="944"/>
      <c r="AB222" s="944"/>
      <c r="AC222" s="944"/>
      <c r="AD222" s="944"/>
      <c r="AE222" s="1068"/>
      <c r="AH222" s="1062"/>
      <c r="AI222" s="1062"/>
      <c r="AJ222" s="1062"/>
      <c r="AK222" s="1062"/>
      <c r="AL222" s="1062"/>
      <c r="AM222" s="1062"/>
      <c r="AN222" s="1153"/>
      <c r="AO222" s="1153"/>
      <c r="AT222" s="1153"/>
      <c r="AU222" s="1153"/>
      <c r="AV222" s="1307"/>
      <c r="AW222" s="1153"/>
      <c r="AX222" s="1153"/>
      <c r="AY222" s="1153"/>
      <c r="AZ222" s="1153"/>
      <c r="BA222" s="1153"/>
      <c r="BB222" s="1153"/>
      <c r="BC222" s="1153"/>
      <c r="BD222" s="1153"/>
      <c r="BE222" s="1307"/>
      <c r="BF222" s="1062"/>
      <c r="BG222" s="1062"/>
      <c r="BH222" s="1062"/>
      <c r="BI222" s="1062"/>
      <c r="BJ222" s="1062"/>
      <c r="BK222" s="1062"/>
    </row>
    <row r="223" spans="1:63" ht="30" customHeight="1" x14ac:dyDescent="0.3">
      <c r="A223" s="2937" t="s">
        <v>8</v>
      </c>
      <c r="B223" s="1178"/>
      <c r="C223" s="1197"/>
      <c r="D223" s="2983"/>
      <c r="E223" s="1317" t="s">
        <v>585</v>
      </c>
      <c r="F223" s="1182" t="s">
        <v>773</v>
      </c>
      <c r="G223" s="2967" t="s">
        <v>752</v>
      </c>
      <c r="H223" s="1025" t="s">
        <v>1041</v>
      </c>
      <c r="I223" s="956"/>
      <c r="J223" s="956"/>
      <c r="K223" s="956"/>
      <c r="L223" s="956"/>
      <c r="M223" s="2029"/>
      <c r="N223" s="1069" t="s">
        <v>976</v>
      </c>
      <c r="O223" s="940"/>
      <c r="P223" s="940"/>
      <c r="Q223" s="940"/>
      <c r="R223" s="940"/>
      <c r="S223" s="1070"/>
      <c r="T223" s="1176" t="s">
        <v>973</v>
      </c>
      <c r="U223" s="1182" t="s">
        <v>579</v>
      </c>
      <c r="V223" s="2967" t="s">
        <v>145</v>
      </c>
      <c r="W223" s="20"/>
      <c r="X223" s="20"/>
      <c r="Y223" s="20"/>
      <c r="Z223" s="1176" t="s">
        <v>976</v>
      </c>
      <c r="AA223" s="1182" t="s">
        <v>579</v>
      </c>
      <c r="AB223" s="2967" t="s">
        <v>577</v>
      </c>
      <c r="AC223" s="1317" t="s">
        <v>981</v>
      </c>
      <c r="AD223" s="1182" t="s">
        <v>580</v>
      </c>
      <c r="AE223" s="2945" t="s">
        <v>145</v>
      </c>
      <c r="AN223" s="1153"/>
      <c r="AO223" s="1153"/>
      <c r="AR223" s="2948"/>
      <c r="AS223" s="2948"/>
      <c r="AT223" s="2948"/>
      <c r="AU223" s="2948"/>
      <c r="AV223" s="2948"/>
      <c r="AW223" s="2948"/>
      <c r="BD223" s="383"/>
      <c r="BE223" s="1153"/>
      <c r="BF223" s="1153"/>
      <c r="BG223" s="1153"/>
      <c r="BH223" s="1153"/>
      <c r="BI223" s="1153"/>
      <c r="BJ223" s="1153"/>
      <c r="BK223" s="1307"/>
    </row>
    <row r="224" spans="1:63" ht="30" customHeight="1" x14ac:dyDescent="0.25">
      <c r="A224" s="2937"/>
      <c r="B224" s="1113"/>
      <c r="C224" s="1126"/>
      <c r="D224" s="2984"/>
      <c r="E224" s="1109"/>
      <c r="F224" s="1153"/>
      <c r="G224" s="2968"/>
      <c r="H224" s="2970" t="s">
        <v>1023</v>
      </c>
      <c r="I224" s="1027"/>
      <c r="J224" s="1027"/>
      <c r="K224" s="1027"/>
      <c r="L224" s="1027"/>
      <c r="M224" s="2971"/>
      <c r="N224" s="1067" t="s">
        <v>156</v>
      </c>
      <c r="O224" s="944"/>
      <c r="P224" s="944"/>
      <c r="Q224" s="944"/>
      <c r="R224" s="944"/>
      <c r="S224" s="944"/>
      <c r="T224" s="1118"/>
      <c r="U224" s="1153"/>
      <c r="V224" s="2968"/>
      <c r="W224" s="20"/>
      <c r="X224" s="20"/>
      <c r="Y224" s="20"/>
      <c r="Z224" s="1118"/>
      <c r="AA224" s="1153"/>
      <c r="AB224" s="2968"/>
      <c r="AC224" s="1109"/>
      <c r="AD224" s="1153"/>
      <c r="AE224" s="2946"/>
      <c r="AN224" s="1153"/>
      <c r="AO224" s="1153"/>
      <c r="AR224" s="1062"/>
      <c r="AS224" s="1062"/>
      <c r="AT224" s="1062"/>
      <c r="AU224" s="1062"/>
      <c r="AV224" s="1062"/>
      <c r="AW224" s="1062"/>
      <c r="BD224" s="1153"/>
      <c r="BE224" s="1153"/>
      <c r="BF224" s="1153"/>
      <c r="BG224" s="1153"/>
      <c r="BH224" s="1153"/>
      <c r="BI224" s="1153"/>
      <c r="BJ224" s="1153"/>
      <c r="BK224" s="1307"/>
    </row>
    <row r="225" spans="1:63" ht="30" customHeight="1" x14ac:dyDescent="0.3">
      <c r="A225" s="2949" t="s">
        <v>9</v>
      </c>
      <c r="B225" s="1113"/>
      <c r="C225" s="1126"/>
      <c r="D225" s="2984"/>
      <c r="E225" s="1109"/>
      <c r="F225" s="1153"/>
      <c r="G225" s="2968"/>
      <c r="H225" s="1000"/>
      <c r="I225" s="967"/>
      <c r="J225" s="967"/>
      <c r="K225" s="967"/>
      <c r="L225" s="967"/>
      <c r="M225" s="1139"/>
      <c r="N225" s="1069" t="s">
        <v>976</v>
      </c>
      <c r="O225" s="940"/>
      <c r="P225" s="940"/>
      <c r="Q225" s="940"/>
      <c r="R225" s="940"/>
      <c r="S225" s="1070"/>
      <c r="T225" s="1118"/>
      <c r="U225" s="1153"/>
      <c r="V225" s="2968"/>
      <c r="W225" s="20"/>
      <c r="X225" s="20"/>
      <c r="Y225" s="20"/>
      <c r="Z225" s="1118"/>
      <c r="AA225" s="1153"/>
      <c r="AB225" s="2968"/>
      <c r="AC225" s="1109"/>
      <c r="AD225" s="1153"/>
      <c r="AE225" s="2946"/>
      <c r="AR225" s="2948"/>
      <c r="AS225" s="2948"/>
      <c r="AT225" s="2948"/>
      <c r="AU225" s="2948"/>
      <c r="AV225" s="2948"/>
      <c r="AW225" s="2948"/>
      <c r="BD225" s="1153"/>
      <c r="BE225" s="1153"/>
      <c r="BF225" s="1153"/>
      <c r="BG225" s="1153"/>
      <c r="BH225" s="1153"/>
      <c r="BI225" s="1153"/>
      <c r="BJ225" s="1153"/>
      <c r="BK225" s="1307"/>
    </row>
    <row r="226" spans="1:63" ht="30" customHeight="1" thickBot="1" x14ac:dyDescent="0.3">
      <c r="A226" s="2989"/>
      <c r="B226" s="1114"/>
      <c r="C226" s="1142"/>
      <c r="D226" s="2985"/>
      <c r="E226" s="1184"/>
      <c r="F226" s="1154"/>
      <c r="G226" s="2969"/>
      <c r="H226" s="1708"/>
      <c r="I226" s="1058"/>
      <c r="J226" s="1058"/>
      <c r="K226" s="1058"/>
      <c r="L226" s="1058"/>
      <c r="M226" s="2317"/>
      <c r="N226" s="1067" t="s">
        <v>156</v>
      </c>
      <c r="O226" s="944"/>
      <c r="P226" s="944"/>
      <c r="Q226" s="944"/>
      <c r="R226" s="944"/>
      <c r="S226" s="944"/>
      <c r="T226" s="1119"/>
      <c r="U226" s="1153"/>
      <c r="V226" s="2969"/>
      <c r="W226" s="20"/>
      <c r="X226" s="20"/>
      <c r="Y226" s="20"/>
      <c r="Z226" s="1119"/>
      <c r="AA226" s="1153"/>
      <c r="AB226" s="2969"/>
      <c r="AC226" s="1184"/>
      <c r="AD226" s="1153"/>
      <c r="AE226" s="3048"/>
      <c r="AR226" s="1062"/>
      <c r="AS226" s="1062"/>
      <c r="AT226" s="1062"/>
      <c r="AU226" s="1062"/>
      <c r="AV226" s="1062"/>
      <c r="AW226" s="1062"/>
      <c r="BD226" s="1153"/>
      <c r="BE226" s="1153"/>
      <c r="BF226" s="1153"/>
      <c r="BG226" s="1153"/>
      <c r="BH226" s="1153"/>
      <c r="BI226" s="1153"/>
      <c r="BJ226" s="1153"/>
      <c r="BK226" s="1307"/>
    </row>
    <row r="227" spans="1:63" ht="18" thickBot="1" x14ac:dyDescent="0.3">
      <c r="A227" s="19" t="s">
        <v>1</v>
      </c>
      <c r="B227" s="1091" t="s">
        <v>2</v>
      </c>
      <c r="C227" s="1092"/>
      <c r="D227" s="1092"/>
      <c r="E227" s="1092"/>
      <c r="F227" s="1092"/>
      <c r="G227" s="1093"/>
      <c r="H227" s="1091" t="s">
        <v>3</v>
      </c>
      <c r="I227" s="1092"/>
      <c r="J227" s="1092"/>
      <c r="K227" s="1092"/>
      <c r="L227" s="1092"/>
      <c r="M227" s="1093"/>
      <c r="N227" s="1091" t="s">
        <v>139</v>
      </c>
      <c r="O227" s="1092"/>
      <c r="P227" s="1092"/>
      <c r="Q227" s="1092"/>
      <c r="R227" s="1092"/>
      <c r="S227" s="1093"/>
      <c r="T227" s="1091" t="s">
        <v>4</v>
      </c>
      <c r="U227" s="1092"/>
      <c r="V227" s="1092"/>
      <c r="W227" s="1092"/>
      <c r="X227" s="1092"/>
      <c r="Y227" s="1093"/>
      <c r="Z227" s="1091" t="s">
        <v>5</v>
      </c>
      <c r="AA227" s="1092"/>
      <c r="AB227" s="1092"/>
      <c r="AC227" s="1092"/>
      <c r="AD227" s="1092"/>
      <c r="AE227" s="1093"/>
    </row>
    <row r="228" spans="1:63" ht="30" customHeight="1" x14ac:dyDescent="0.3">
      <c r="A228" s="2975" t="s">
        <v>1021</v>
      </c>
      <c r="B228" s="2119"/>
      <c r="C228" s="2120"/>
      <c r="D228" s="2120"/>
      <c r="E228" s="2120"/>
      <c r="F228" s="2120"/>
      <c r="G228" s="2120"/>
      <c r="H228" s="461"/>
      <c r="I228" s="462"/>
      <c r="J228" s="462"/>
      <c r="K228" s="462"/>
      <c r="L228" s="462"/>
      <c r="M228" s="463"/>
      <c r="N228" s="2119"/>
      <c r="O228" s="2120"/>
      <c r="P228" s="2120"/>
      <c r="Q228" s="2120"/>
      <c r="R228" s="2120"/>
      <c r="S228" s="2121"/>
      <c r="T228" s="2119"/>
      <c r="U228" s="2120"/>
      <c r="V228" s="2120"/>
      <c r="W228" s="2120"/>
      <c r="X228" s="2120"/>
      <c r="Y228" s="2121"/>
      <c r="Z228" s="2119"/>
      <c r="AA228" s="2120"/>
      <c r="AB228" s="2120"/>
      <c r="AC228" s="2120"/>
      <c r="AD228" s="2120"/>
      <c r="AE228" s="2121"/>
      <c r="AH228" s="2948"/>
      <c r="AI228" s="2948"/>
      <c r="AJ228" s="2948"/>
      <c r="AK228" s="2948"/>
      <c r="AL228" s="2948"/>
      <c r="AM228" s="2948"/>
      <c r="AN228" s="383"/>
      <c r="AT228" s="1153"/>
      <c r="AU228" s="1153"/>
      <c r="AV228" s="1307"/>
      <c r="AW228" s="1153"/>
      <c r="AX228" s="1153"/>
      <c r="AY228" s="1153"/>
      <c r="AZ228" s="1153"/>
      <c r="BA228" s="1153"/>
      <c r="BB228" s="1153"/>
      <c r="BC228" s="1153"/>
      <c r="BD228" s="1153"/>
      <c r="BE228" s="1307"/>
      <c r="BF228" s="2948"/>
      <c r="BG228" s="2948"/>
      <c r="BH228" s="2948"/>
      <c r="BI228" s="2948"/>
      <c r="BJ228" s="2948"/>
      <c r="BK228" s="2948"/>
    </row>
    <row r="229" spans="1:63" ht="30" customHeight="1" x14ac:dyDescent="0.25">
      <c r="A229" s="2937"/>
      <c r="B229" s="2309"/>
      <c r="C229" s="1032"/>
      <c r="D229" s="1032"/>
      <c r="E229" s="1032"/>
      <c r="F229" s="1032"/>
      <c r="G229" s="1032"/>
      <c r="H229" s="1176" t="s">
        <v>973</v>
      </c>
      <c r="I229" s="1182" t="s">
        <v>580</v>
      </c>
      <c r="J229" s="2967" t="s">
        <v>808</v>
      </c>
      <c r="K229" s="139"/>
      <c r="L229" s="139"/>
      <c r="M229" s="464"/>
      <c r="N229" s="2309"/>
      <c r="O229" s="1032"/>
      <c r="P229" s="1032"/>
      <c r="Q229" s="1032"/>
      <c r="R229" s="1032"/>
      <c r="S229" s="2943"/>
      <c r="T229" s="2309"/>
      <c r="U229" s="1032"/>
      <c r="V229" s="1032"/>
      <c r="W229" s="1032"/>
      <c r="X229" s="1032"/>
      <c r="Y229" s="2943"/>
      <c r="Z229" s="2309"/>
      <c r="AA229" s="1032"/>
      <c r="AB229" s="1032"/>
      <c r="AC229" s="1032"/>
      <c r="AD229" s="1032"/>
      <c r="AE229" s="2943"/>
      <c r="AH229" s="1062"/>
      <c r="AI229" s="1062"/>
      <c r="AJ229" s="1062"/>
      <c r="AK229" s="1062"/>
      <c r="AL229" s="1062"/>
      <c r="AM229" s="1062"/>
      <c r="AT229" s="1153"/>
      <c r="AU229" s="1153"/>
      <c r="AV229" s="1307"/>
      <c r="AW229" s="1153"/>
      <c r="AX229" s="1153"/>
      <c r="AY229" s="1153"/>
      <c r="AZ229" s="1153"/>
      <c r="BA229" s="1153"/>
      <c r="BB229" s="1153"/>
      <c r="BC229" s="1153"/>
      <c r="BD229" s="1153"/>
      <c r="BE229" s="1307"/>
      <c r="BF229" s="1062"/>
      <c r="BG229" s="1062"/>
      <c r="BH229" s="1062"/>
      <c r="BI229" s="1062"/>
      <c r="BJ229" s="1062"/>
      <c r="BK229" s="1062"/>
    </row>
    <row r="230" spans="1:63" ht="30" customHeight="1" x14ac:dyDescent="0.3">
      <c r="A230" s="2949" t="s">
        <v>187</v>
      </c>
      <c r="B230" s="2119"/>
      <c r="C230" s="2120"/>
      <c r="D230" s="2120"/>
      <c r="E230" s="2120"/>
      <c r="F230" s="2120"/>
      <c r="G230" s="2120"/>
      <c r="H230" s="1118"/>
      <c r="I230" s="1153"/>
      <c r="J230" s="2968"/>
      <c r="K230" s="139"/>
      <c r="L230" s="139"/>
      <c r="M230" s="464"/>
      <c r="N230" s="2119"/>
      <c r="O230" s="2120"/>
      <c r="P230" s="2120"/>
      <c r="Q230" s="2120"/>
      <c r="R230" s="2120"/>
      <c r="S230" s="2121"/>
      <c r="T230" s="2119"/>
      <c r="U230" s="2120"/>
      <c r="V230" s="2120"/>
      <c r="W230" s="2120"/>
      <c r="X230" s="2120"/>
      <c r="Y230" s="2121"/>
      <c r="Z230" s="2119"/>
      <c r="AA230" s="2120"/>
      <c r="AB230" s="2120"/>
      <c r="AC230" s="2120"/>
      <c r="AD230" s="2120"/>
      <c r="AE230" s="2121"/>
      <c r="AH230" s="2948"/>
      <c r="AI230" s="2948"/>
      <c r="AJ230" s="2948"/>
      <c r="AK230" s="2948"/>
      <c r="AL230" s="2948"/>
      <c r="AM230" s="2948"/>
      <c r="AT230" s="1153"/>
      <c r="AU230" s="1153"/>
      <c r="AV230" s="1307"/>
      <c r="AW230" s="1153"/>
      <c r="AX230" s="1153"/>
      <c r="AY230" s="1153"/>
      <c r="AZ230" s="1153"/>
      <c r="BA230" s="1153"/>
      <c r="BB230" s="1153"/>
      <c r="BC230" s="1153"/>
      <c r="BD230" s="1153"/>
      <c r="BE230" s="1307"/>
      <c r="BF230" s="2948"/>
      <c r="BG230" s="2948"/>
      <c r="BH230" s="2948"/>
      <c r="BI230" s="2948"/>
      <c r="BJ230" s="2948"/>
      <c r="BK230" s="2948"/>
    </row>
    <row r="231" spans="1:63" ht="30" customHeight="1" x14ac:dyDescent="0.25">
      <c r="A231" s="2950"/>
      <c r="B231" s="2309"/>
      <c r="C231" s="1032"/>
      <c r="D231" s="1032"/>
      <c r="E231" s="1032"/>
      <c r="F231" s="1032"/>
      <c r="G231" s="1032"/>
      <c r="H231" s="1118"/>
      <c r="I231" s="1153"/>
      <c r="J231" s="2968"/>
      <c r="K231" s="139"/>
      <c r="L231" s="139"/>
      <c r="M231" s="464"/>
      <c r="N231" s="2309"/>
      <c r="O231" s="1032"/>
      <c r="P231" s="1032"/>
      <c r="Q231" s="1032"/>
      <c r="R231" s="1032"/>
      <c r="S231" s="2943"/>
      <c r="T231" s="2309"/>
      <c r="U231" s="1032"/>
      <c r="V231" s="1032"/>
      <c r="W231" s="1032"/>
      <c r="X231" s="1032"/>
      <c r="Y231" s="2943"/>
      <c r="Z231" s="2309"/>
      <c r="AA231" s="1032"/>
      <c r="AB231" s="1032"/>
      <c r="AC231" s="1032"/>
      <c r="AD231" s="1032"/>
      <c r="AE231" s="2943"/>
      <c r="AH231" s="1062"/>
      <c r="AI231" s="1062"/>
      <c r="AJ231" s="1062"/>
      <c r="AK231" s="1062"/>
      <c r="AL231" s="1062"/>
      <c r="AM231" s="1062"/>
      <c r="AT231" s="1153"/>
      <c r="AU231" s="1153"/>
      <c r="AV231" s="1307"/>
      <c r="AW231" s="1153"/>
      <c r="AX231" s="1153"/>
      <c r="AY231" s="1153"/>
      <c r="AZ231" s="1153"/>
      <c r="BA231" s="1153"/>
      <c r="BB231" s="1153"/>
      <c r="BC231" s="1153"/>
      <c r="BD231" s="1153"/>
      <c r="BE231" s="1307"/>
      <c r="BF231" s="1062"/>
      <c r="BG231" s="1062"/>
      <c r="BH231" s="1062"/>
      <c r="BI231" s="1062"/>
      <c r="BJ231" s="1062"/>
      <c r="BK231" s="1062"/>
    </row>
    <row r="232" spans="1:63" ht="30" customHeight="1" x14ac:dyDescent="0.3">
      <c r="A232" s="2937" t="s">
        <v>186</v>
      </c>
      <c r="B232" s="2119"/>
      <c r="C232" s="2120"/>
      <c r="D232" s="2120"/>
      <c r="E232" s="2120"/>
      <c r="F232" s="2120"/>
      <c r="G232" s="2120"/>
      <c r="H232" s="1118"/>
      <c r="I232" s="1153"/>
      <c r="J232" s="2968"/>
      <c r="K232" s="139"/>
      <c r="L232" s="139"/>
      <c r="M232" s="464"/>
      <c r="N232" s="2119"/>
      <c r="O232" s="2120"/>
      <c r="P232" s="2120"/>
      <c r="Q232" s="2120"/>
      <c r="R232" s="2120"/>
      <c r="S232" s="2121"/>
      <c r="T232" s="2119"/>
      <c r="U232" s="2120"/>
      <c r="V232" s="2120"/>
      <c r="W232" s="2120"/>
      <c r="X232" s="2120"/>
      <c r="Y232" s="2121"/>
      <c r="Z232" s="2119"/>
      <c r="AA232" s="2120"/>
      <c r="AB232" s="2120"/>
      <c r="AC232" s="2120"/>
      <c r="AD232" s="2120"/>
      <c r="AE232" s="2121"/>
      <c r="AH232" s="2948"/>
      <c r="AI232" s="2948"/>
      <c r="AJ232" s="2948"/>
      <c r="AK232" s="2948"/>
      <c r="AL232" s="2948"/>
      <c r="AM232" s="2948"/>
      <c r="AN232" s="383"/>
      <c r="AO232" s="1153"/>
      <c r="AT232" s="1153"/>
      <c r="AU232" s="1153"/>
      <c r="AV232" s="1307"/>
      <c r="AW232" s="1153"/>
      <c r="AX232" s="1153"/>
      <c r="AY232" s="1153"/>
      <c r="AZ232" s="1153"/>
      <c r="BA232" s="1153"/>
      <c r="BB232" s="1153"/>
      <c r="BC232" s="1153"/>
      <c r="BD232" s="1153"/>
      <c r="BE232" s="1307"/>
      <c r="BF232" s="2948"/>
      <c r="BG232" s="2948"/>
      <c r="BH232" s="2948"/>
      <c r="BI232" s="2948"/>
      <c r="BJ232" s="2948"/>
      <c r="BK232" s="2948"/>
    </row>
    <row r="233" spans="1:63" ht="30" customHeight="1" x14ac:dyDescent="0.25">
      <c r="A233" s="2937"/>
      <c r="B233" s="2309"/>
      <c r="C233" s="1032"/>
      <c r="D233" s="1032"/>
      <c r="E233" s="1032"/>
      <c r="F233" s="1032"/>
      <c r="G233" s="1032"/>
      <c r="H233" s="1118"/>
      <c r="I233" s="1153"/>
      <c r="J233" s="2968"/>
      <c r="K233" s="139"/>
      <c r="L233" s="139"/>
      <c r="M233" s="464"/>
      <c r="N233" s="2309"/>
      <c r="O233" s="1032"/>
      <c r="P233" s="1032"/>
      <c r="Q233" s="1032"/>
      <c r="R233" s="1032"/>
      <c r="S233" s="2943"/>
      <c r="T233" s="2309"/>
      <c r="U233" s="1032"/>
      <c r="V233" s="1032"/>
      <c r="W233" s="1032"/>
      <c r="X233" s="1032"/>
      <c r="Y233" s="2943"/>
      <c r="Z233" s="2309"/>
      <c r="AA233" s="1032"/>
      <c r="AB233" s="1032"/>
      <c r="AC233" s="1032"/>
      <c r="AD233" s="1032"/>
      <c r="AE233" s="2943"/>
      <c r="AH233" s="1062"/>
      <c r="AI233" s="1062"/>
      <c r="AJ233" s="1062"/>
      <c r="AK233" s="1062"/>
      <c r="AL233" s="1062"/>
      <c r="AM233" s="1062"/>
      <c r="AN233" s="1153"/>
      <c r="AO233" s="1153"/>
      <c r="AT233" s="1153"/>
      <c r="AU233" s="1153"/>
      <c r="AV233" s="1307"/>
      <c r="AW233" s="1153"/>
      <c r="AX233" s="1153"/>
      <c r="AY233" s="1153"/>
      <c r="AZ233" s="1153"/>
      <c r="BA233" s="1153"/>
      <c r="BB233" s="1153"/>
      <c r="BC233" s="1153"/>
      <c r="BD233" s="1153"/>
      <c r="BE233" s="1307"/>
      <c r="BF233" s="1062"/>
      <c r="BG233" s="1062"/>
      <c r="BH233" s="1062"/>
      <c r="BI233" s="1062"/>
      <c r="BJ233" s="1062"/>
      <c r="BK233" s="1062"/>
    </row>
    <row r="234" spans="1:63" ht="30" customHeight="1" x14ac:dyDescent="0.3">
      <c r="A234" s="2949" t="s">
        <v>188</v>
      </c>
      <c r="B234" s="2119"/>
      <c r="C234" s="2120"/>
      <c r="D234" s="2120"/>
      <c r="E234" s="2120"/>
      <c r="F234" s="2120"/>
      <c r="G234" s="2120"/>
      <c r="H234" s="1119"/>
      <c r="I234" s="1154"/>
      <c r="J234" s="2968"/>
      <c r="K234" s="139"/>
      <c r="L234" s="139"/>
      <c r="M234" s="464"/>
      <c r="N234" s="2119"/>
      <c r="O234" s="2120"/>
      <c r="P234" s="2120"/>
      <c r="Q234" s="2120"/>
      <c r="R234" s="2120"/>
      <c r="S234" s="2121"/>
      <c r="T234" s="2119"/>
      <c r="U234" s="2120"/>
      <c r="V234" s="2120"/>
      <c r="W234" s="2120"/>
      <c r="X234" s="2120"/>
      <c r="Y234" s="2121"/>
      <c r="Z234" s="2119"/>
      <c r="AA234" s="2120"/>
      <c r="AB234" s="2120"/>
      <c r="AC234" s="2120"/>
      <c r="AD234" s="2120"/>
      <c r="AE234" s="2121"/>
      <c r="AH234" s="2948"/>
      <c r="AI234" s="2948"/>
      <c r="AJ234" s="2948"/>
      <c r="AK234" s="2948"/>
      <c r="AL234" s="2948"/>
      <c r="AM234" s="2948"/>
      <c r="AN234" s="1153"/>
      <c r="AO234" s="1153"/>
      <c r="AT234" s="1153"/>
      <c r="AU234" s="1153"/>
      <c r="AV234" s="1307"/>
      <c r="AW234" s="1153"/>
      <c r="AX234" s="1153"/>
      <c r="AY234" s="1153"/>
      <c r="AZ234" s="1153"/>
      <c r="BA234" s="1153"/>
      <c r="BB234" s="1153"/>
      <c r="BC234" s="1153"/>
      <c r="BD234" s="1153"/>
      <c r="BE234" s="1307"/>
      <c r="BF234" s="2948"/>
      <c r="BG234" s="2948"/>
      <c r="BH234" s="2948"/>
      <c r="BI234" s="2948"/>
      <c r="BJ234" s="2948"/>
      <c r="BK234" s="2948"/>
    </row>
    <row r="235" spans="1:63" ht="30" customHeight="1" x14ac:dyDescent="0.25">
      <c r="A235" s="2937"/>
      <c r="B235" s="2309"/>
      <c r="C235" s="1032"/>
      <c r="D235" s="1032"/>
      <c r="E235" s="1032"/>
      <c r="F235" s="1032"/>
      <c r="G235" s="1032"/>
      <c r="H235" s="138"/>
      <c r="I235" s="139"/>
      <c r="J235" s="159"/>
      <c r="K235" s="1317" t="s">
        <v>973</v>
      </c>
      <c r="L235" s="1182" t="s">
        <v>579</v>
      </c>
      <c r="M235" s="1182" t="s">
        <v>808</v>
      </c>
      <c r="N235" s="2309"/>
      <c r="O235" s="1032"/>
      <c r="P235" s="1032"/>
      <c r="Q235" s="1032"/>
      <c r="R235" s="1032"/>
      <c r="S235" s="2943"/>
      <c r="T235" s="2309"/>
      <c r="U235" s="1032"/>
      <c r="V235" s="1032"/>
      <c r="W235" s="1032"/>
      <c r="X235" s="1032"/>
      <c r="Y235" s="2943"/>
      <c r="Z235" s="2309"/>
      <c r="AA235" s="1032"/>
      <c r="AB235" s="1032"/>
      <c r="AC235" s="1032"/>
      <c r="AD235" s="1032"/>
      <c r="AE235" s="2943"/>
      <c r="AH235" s="1062"/>
      <c r="AI235" s="1062"/>
      <c r="AJ235" s="1062"/>
      <c r="AK235" s="1062"/>
      <c r="AL235" s="1062"/>
      <c r="AM235" s="1062"/>
      <c r="AN235" s="1153"/>
      <c r="AO235" s="1153"/>
      <c r="AT235" s="1153"/>
      <c r="AU235" s="1153"/>
      <c r="AV235" s="1307"/>
      <c r="AW235" s="1153"/>
      <c r="AX235" s="1153"/>
      <c r="AY235" s="1153"/>
      <c r="AZ235" s="1153"/>
      <c r="BA235" s="1153"/>
      <c r="BB235" s="1153"/>
      <c r="BC235" s="1153"/>
      <c r="BD235" s="1153"/>
      <c r="BE235" s="1307"/>
      <c r="BF235" s="1062"/>
      <c r="BG235" s="1062"/>
      <c r="BH235" s="1062"/>
      <c r="BI235" s="1062"/>
      <c r="BJ235" s="1062"/>
      <c r="BK235" s="1062"/>
    </row>
    <row r="236" spans="1:63" ht="30" customHeight="1" x14ac:dyDescent="0.3">
      <c r="A236" s="2949" t="s">
        <v>189</v>
      </c>
      <c r="B236" s="2119"/>
      <c r="C236" s="2120"/>
      <c r="D236" s="2120"/>
      <c r="E236" s="2120"/>
      <c r="F236" s="2120"/>
      <c r="G236" s="2120"/>
      <c r="H236" s="138"/>
      <c r="I236" s="139"/>
      <c r="J236" s="139"/>
      <c r="K236" s="1109"/>
      <c r="L236" s="1153"/>
      <c r="M236" s="1153"/>
      <c r="N236" s="2119"/>
      <c r="O236" s="2120"/>
      <c r="P236" s="2120"/>
      <c r="Q236" s="2120"/>
      <c r="R236" s="2120"/>
      <c r="S236" s="2121"/>
      <c r="T236" s="2119"/>
      <c r="U236" s="2120"/>
      <c r="V236" s="2120"/>
      <c r="W236" s="2120"/>
      <c r="X236" s="2120"/>
      <c r="Y236" s="2121"/>
      <c r="Z236" s="2119"/>
      <c r="AA236" s="2120"/>
      <c r="AB236" s="2120"/>
      <c r="AC236" s="2120"/>
      <c r="AD236" s="2120"/>
      <c r="AE236" s="2121"/>
      <c r="AN236" s="1153"/>
      <c r="AO236" s="1153"/>
      <c r="AR236" s="2948"/>
      <c r="AS236" s="2948"/>
      <c r="AT236" s="2948"/>
      <c r="AU236" s="2948"/>
      <c r="AV236" s="2948"/>
      <c r="AW236" s="2948"/>
      <c r="BD236" s="383"/>
      <c r="BE236" s="1153"/>
      <c r="BF236" s="1153"/>
      <c r="BG236" s="1153"/>
      <c r="BH236" s="1153"/>
      <c r="BI236" s="1153"/>
      <c r="BJ236" s="1153"/>
      <c r="BK236" s="1307"/>
    </row>
    <row r="237" spans="1:63" ht="30" customHeight="1" x14ac:dyDescent="0.25">
      <c r="A237" s="2937"/>
      <c r="B237" s="2309"/>
      <c r="C237" s="1032"/>
      <c r="D237" s="1032"/>
      <c r="E237" s="1032"/>
      <c r="F237" s="1032"/>
      <c r="G237" s="1032"/>
      <c r="H237" s="138"/>
      <c r="I237" s="139"/>
      <c r="J237" s="139"/>
      <c r="K237" s="1109"/>
      <c r="L237" s="1153"/>
      <c r="M237" s="1153"/>
      <c r="N237" s="2309"/>
      <c r="O237" s="1032"/>
      <c r="P237" s="1032"/>
      <c r="Q237" s="1032"/>
      <c r="R237" s="1032"/>
      <c r="S237" s="2943"/>
      <c r="T237" s="2309"/>
      <c r="U237" s="1032"/>
      <c r="V237" s="1032"/>
      <c r="W237" s="1032"/>
      <c r="X237" s="1032"/>
      <c r="Y237" s="2943"/>
      <c r="Z237" s="2309"/>
      <c r="AA237" s="1032"/>
      <c r="AB237" s="1032"/>
      <c r="AC237" s="1032"/>
      <c r="AD237" s="1032"/>
      <c r="AE237" s="2943"/>
      <c r="AN237" s="1153"/>
      <c r="AO237" s="1153"/>
      <c r="AR237" s="1062"/>
      <c r="AS237" s="1062"/>
      <c r="AT237" s="1062"/>
      <c r="AU237" s="1062"/>
      <c r="AV237" s="1062"/>
      <c r="AW237" s="1062"/>
      <c r="BD237" s="1153"/>
      <c r="BE237" s="1153"/>
      <c r="BF237" s="1153"/>
      <c r="BG237" s="1153"/>
      <c r="BH237" s="1153"/>
      <c r="BI237" s="1153"/>
      <c r="BJ237" s="1153"/>
      <c r="BK237" s="1307"/>
    </row>
    <row r="238" spans="1:63" ht="30" customHeight="1" x14ac:dyDescent="0.3">
      <c r="A238" s="2949" t="s">
        <v>190</v>
      </c>
      <c r="B238" s="2119"/>
      <c r="C238" s="2120"/>
      <c r="D238" s="2120"/>
      <c r="E238" s="2120"/>
      <c r="F238" s="2120"/>
      <c r="G238" s="2121"/>
      <c r="H238" s="138"/>
      <c r="I238" s="139"/>
      <c r="J238" s="139"/>
      <c r="K238" s="1109"/>
      <c r="L238" s="1153"/>
      <c r="M238" s="1153"/>
      <c r="N238" s="2119"/>
      <c r="O238" s="2120"/>
      <c r="P238" s="2120"/>
      <c r="Q238" s="2120"/>
      <c r="R238" s="2120"/>
      <c r="S238" s="2121"/>
      <c r="T238" s="2119"/>
      <c r="U238" s="2120"/>
      <c r="V238" s="2120"/>
      <c r="W238" s="2120"/>
      <c r="X238" s="2120"/>
      <c r="Y238" s="2121"/>
      <c r="Z238" s="2119"/>
      <c r="AA238" s="2120"/>
      <c r="AB238" s="2120"/>
      <c r="AC238" s="2120"/>
      <c r="AD238" s="2120"/>
      <c r="AE238" s="2121"/>
      <c r="AR238" s="2948"/>
      <c r="AS238" s="2948"/>
      <c r="AT238" s="2948"/>
      <c r="AU238" s="2948"/>
      <c r="AV238" s="2948"/>
      <c r="AW238" s="2948"/>
      <c r="BD238" s="1153"/>
      <c r="BE238" s="1153"/>
      <c r="BF238" s="1153"/>
      <c r="BG238" s="1153"/>
      <c r="BH238" s="1153"/>
      <c r="BI238" s="1153"/>
      <c r="BJ238" s="1153"/>
      <c r="BK238" s="1307"/>
    </row>
    <row r="239" spans="1:63" ht="30" customHeight="1" x14ac:dyDescent="0.25">
      <c r="A239" s="2937"/>
      <c r="B239" s="2309"/>
      <c r="C239" s="1032"/>
      <c r="D239" s="1032"/>
      <c r="E239" s="1032"/>
      <c r="F239" s="1032"/>
      <c r="G239" s="1032"/>
      <c r="H239" s="138"/>
      <c r="I239" s="139"/>
      <c r="J239" s="139"/>
      <c r="K239" s="1109"/>
      <c r="L239" s="1153"/>
      <c r="M239" s="1153"/>
      <c r="N239" s="2309"/>
      <c r="O239" s="1032"/>
      <c r="P239" s="1032"/>
      <c r="Q239" s="1032"/>
      <c r="R239" s="1032"/>
      <c r="S239" s="2943"/>
      <c r="T239" s="2309"/>
      <c r="U239" s="1032"/>
      <c r="V239" s="1032"/>
      <c r="W239" s="1032"/>
      <c r="X239" s="1032"/>
      <c r="Y239" s="2943"/>
      <c r="Z239" s="2309"/>
      <c r="AA239" s="1032"/>
      <c r="AB239" s="1032"/>
      <c r="AC239" s="1032"/>
      <c r="AD239" s="1032"/>
      <c r="AE239" s="2943"/>
      <c r="AR239" s="1062"/>
      <c r="AS239" s="1062"/>
      <c r="AT239" s="1062"/>
      <c r="AU239" s="1062"/>
      <c r="AV239" s="1062"/>
      <c r="AW239" s="1062"/>
      <c r="BD239" s="1153"/>
      <c r="BE239" s="1153"/>
      <c r="BF239" s="1153"/>
      <c r="BG239" s="1153"/>
      <c r="BH239" s="1153"/>
      <c r="BI239" s="1153"/>
      <c r="BJ239" s="1153"/>
      <c r="BK239" s="1307"/>
    </row>
    <row r="240" spans="1:63" ht="30" customHeight="1" x14ac:dyDescent="0.3">
      <c r="A240" s="2949" t="s">
        <v>191</v>
      </c>
      <c r="B240" s="2119"/>
      <c r="C240" s="2120"/>
      <c r="D240" s="2120"/>
      <c r="E240" s="2120"/>
      <c r="F240" s="2120"/>
      <c r="G240" s="2121"/>
      <c r="H240" s="138"/>
      <c r="I240" s="139"/>
      <c r="J240" s="139"/>
      <c r="K240" s="1109"/>
      <c r="L240" s="1153"/>
      <c r="M240" s="1153"/>
      <c r="N240" s="2119"/>
      <c r="O240" s="2120"/>
      <c r="P240" s="2120"/>
      <c r="Q240" s="2120"/>
      <c r="R240" s="2120"/>
      <c r="S240" s="2121"/>
      <c r="T240" s="2119"/>
      <c r="U240" s="2120"/>
      <c r="V240" s="2120"/>
      <c r="W240" s="2120"/>
      <c r="X240" s="2120"/>
      <c r="Y240" s="2121"/>
      <c r="Z240" s="2119"/>
      <c r="AA240" s="2120"/>
      <c r="AB240" s="2120"/>
      <c r="AC240" s="2120"/>
      <c r="AD240" s="2120"/>
      <c r="AE240" s="2121"/>
      <c r="AR240" s="2948"/>
      <c r="AS240" s="2948"/>
      <c r="AT240" s="2948"/>
      <c r="AU240" s="2948"/>
      <c r="AV240" s="2948"/>
      <c r="AW240" s="2948"/>
      <c r="BD240" s="456"/>
      <c r="BE240" s="456"/>
      <c r="BF240" s="456"/>
      <c r="BG240" s="456"/>
      <c r="BH240" s="456"/>
      <c r="BI240" s="456"/>
      <c r="BJ240" s="456"/>
      <c r="BK240" s="457"/>
    </row>
    <row r="241" spans="1:63" ht="30" customHeight="1" x14ac:dyDescent="0.25">
      <c r="A241" s="2950"/>
      <c r="B241" s="2309"/>
      <c r="C241" s="1032"/>
      <c r="D241" s="1032"/>
      <c r="E241" s="1032"/>
      <c r="F241" s="1032"/>
      <c r="G241" s="1032"/>
      <c r="H241" s="465"/>
      <c r="I241" s="459"/>
      <c r="J241" s="459"/>
      <c r="K241" s="466"/>
      <c r="L241" s="466"/>
      <c r="M241" s="467"/>
      <c r="N241" s="2309"/>
      <c r="O241" s="1032"/>
      <c r="P241" s="1032"/>
      <c r="Q241" s="1032"/>
      <c r="R241" s="1032"/>
      <c r="S241" s="2943"/>
      <c r="T241" s="2309"/>
      <c r="U241" s="1032"/>
      <c r="V241" s="1032"/>
      <c r="W241" s="1032"/>
      <c r="X241" s="1032"/>
      <c r="Y241" s="2943"/>
      <c r="Z241" s="2309"/>
      <c r="AA241" s="1032"/>
      <c r="AB241" s="1032"/>
      <c r="AC241" s="1032"/>
      <c r="AD241" s="1032"/>
      <c r="AE241" s="2943"/>
      <c r="AR241" s="1062"/>
      <c r="AS241" s="1062"/>
      <c r="AT241" s="1062"/>
      <c r="AU241" s="1062"/>
      <c r="AV241" s="1062"/>
      <c r="AW241" s="1062"/>
      <c r="BD241" s="456"/>
      <c r="BE241" s="456"/>
      <c r="BF241" s="456"/>
      <c r="BG241" s="456"/>
      <c r="BH241" s="456"/>
      <c r="BI241" s="456"/>
      <c r="BJ241" s="456"/>
      <c r="BK241" s="457"/>
    </row>
    <row r="242" spans="1:63" ht="15" x14ac:dyDescent="0.25">
      <c r="A242" s="110"/>
      <c r="B242" s="272"/>
      <c r="C242" s="173"/>
      <c r="D242" s="382"/>
      <c r="E242" s="272"/>
      <c r="F242" s="279"/>
      <c r="G242" s="382"/>
      <c r="H242" s="351"/>
      <c r="I242" s="173"/>
      <c r="J242" s="382"/>
      <c r="K242" s="351"/>
      <c r="L242" s="279"/>
      <c r="M242" s="382"/>
      <c r="N242" s="351"/>
      <c r="O242" s="279"/>
      <c r="P242" s="382"/>
      <c r="Q242" s="272"/>
      <c r="R242" s="279"/>
      <c r="S242" s="176"/>
      <c r="T242" s="351"/>
      <c r="U242" s="279"/>
      <c r="V242" s="176"/>
      <c r="W242" s="351"/>
      <c r="X242" s="279"/>
      <c r="Y242" s="382"/>
      <c r="Z242" s="279"/>
      <c r="AA242" s="279"/>
      <c r="AB242" s="293"/>
      <c r="AC242" s="279"/>
      <c r="AD242" s="279"/>
      <c r="AE242" s="293"/>
    </row>
    <row r="243" spans="1:63" x14ac:dyDescent="0.25">
      <c r="A243" s="350" t="s">
        <v>1089</v>
      </c>
      <c r="B243" s="447"/>
      <c r="C243" s="203"/>
      <c r="D243" s="448"/>
      <c r="E243" s="447"/>
      <c r="F243" s="203"/>
      <c r="G243" s="448"/>
      <c r="H243" s="447"/>
      <c r="I243" s="203"/>
      <c r="J243" s="448"/>
      <c r="K243" s="447"/>
      <c r="L243" s="203"/>
      <c r="M243" s="448"/>
      <c r="N243" s="447"/>
      <c r="O243" s="203"/>
      <c r="P243" s="448"/>
      <c r="Q243" s="447"/>
      <c r="R243" s="203"/>
      <c r="S243" s="448"/>
      <c r="T243" s="447"/>
      <c r="U243" s="203"/>
      <c r="V243" s="448"/>
      <c r="W243" s="272"/>
      <c r="X243" s="173"/>
      <c r="Y243" s="176"/>
      <c r="Z243" s="173"/>
      <c r="AA243" s="173"/>
      <c r="AB243" s="276"/>
      <c r="AC243" s="173"/>
      <c r="AD243" s="173"/>
      <c r="AE243" s="276"/>
    </row>
    <row r="244" spans="1:63" x14ac:dyDescent="0.25">
      <c r="A244" s="553" t="s">
        <v>1079</v>
      </c>
      <c r="B244" s="447"/>
      <c r="C244" s="203"/>
      <c r="D244" s="448"/>
      <c r="E244" s="447"/>
      <c r="F244" s="203"/>
      <c r="G244" s="448"/>
      <c r="H244" s="447"/>
      <c r="I244" s="203"/>
      <c r="J244" s="448"/>
      <c r="K244" s="447"/>
      <c r="L244" s="203"/>
      <c r="M244" s="448"/>
      <c r="N244" s="447"/>
      <c r="O244" s="203"/>
      <c r="P244" s="448"/>
      <c r="Q244" s="447"/>
      <c r="R244" s="203"/>
      <c r="S244" s="448"/>
      <c r="T244" s="447"/>
      <c r="U244" s="203"/>
      <c r="V244" s="448"/>
      <c r="W244" s="272"/>
      <c r="X244" s="173"/>
      <c r="Y244" s="176"/>
      <c r="Z244" s="173"/>
      <c r="AA244" s="173"/>
      <c r="AB244" s="276"/>
      <c r="AC244" s="173"/>
      <c r="AD244" s="173"/>
      <c r="AE244" s="276"/>
    </row>
    <row r="245" spans="1:63" x14ac:dyDescent="0.25">
      <c r="A245" s="411"/>
      <c r="B245" s="447"/>
      <c r="C245" s="203"/>
      <c r="D245" s="448"/>
      <c r="E245" s="447"/>
      <c r="F245" s="203"/>
      <c r="G245" s="448"/>
      <c r="H245" s="447"/>
      <c r="I245" s="203"/>
      <c r="J245" s="448"/>
      <c r="K245" s="447"/>
      <c r="L245" s="203"/>
      <c r="M245" s="448"/>
      <c r="N245" s="447"/>
      <c r="O245" s="203"/>
      <c r="P245" s="448"/>
      <c r="Q245" s="447"/>
      <c r="R245" s="203"/>
      <c r="S245" s="448"/>
      <c r="T245" s="447"/>
      <c r="U245" s="203"/>
      <c r="V245" s="448"/>
      <c r="W245" s="272"/>
      <c r="X245" s="173"/>
      <c r="Y245" s="176"/>
      <c r="Z245" s="173"/>
      <c r="AA245" s="173"/>
      <c r="AB245" s="276"/>
      <c r="AC245" s="173"/>
      <c r="AD245" s="173"/>
      <c r="AE245" s="276"/>
    </row>
    <row r="246" spans="1:63" ht="14.4" x14ac:dyDescent="0.25">
      <c r="AM246" s="452"/>
    </row>
    <row r="247" spans="1:63" ht="15" x14ac:dyDescent="0.25">
      <c r="A247" s="2990" t="s">
        <v>218</v>
      </c>
      <c r="B247" s="2991"/>
      <c r="C247" s="995" t="s">
        <v>219</v>
      </c>
      <c r="D247" s="952"/>
      <c r="E247" s="952"/>
      <c r="F247" s="952"/>
      <c r="G247" s="952"/>
      <c r="H247" s="952"/>
      <c r="I247" s="952"/>
      <c r="J247" s="952"/>
      <c r="K247" s="952"/>
      <c r="L247" s="168"/>
      <c r="M247" s="996" t="s">
        <v>629</v>
      </c>
      <c r="N247" s="951"/>
      <c r="O247" s="995" t="s">
        <v>143</v>
      </c>
      <c r="P247" s="953"/>
      <c r="Q247" s="995" t="s">
        <v>167</v>
      </c>
      <c r="R247" s="952"/>
      <c r="S247" s="952"/>
      <c r="T247" s="952"/>
      <c r="U247" s="952"/>
      <c r="V247" s="952"/>
      <c r="W247" s="952"/>
      <c r="X247" s="952"/>
      <c r="Y247" s="952"/>
      <c r="Z247" s="952"/>
      <c r="AA247" s="952"/>
      <c r="AB247" s="952"/>
      <c r="AC247" s="952"/>
      <c r="AD247" s="952"/>
      <c r="AE247" s="953"/>
      <c r="AM247" s="452"/>
    </row>
    <row r="248" spans="1:63" ht="13.8" x14ac:dyDescent="0.25">
      <c r="A248" s="1063" t="s">
        <v>973</v>
      </c>
      <c r="B248" s="1064"/>
      <c r="C248" s="992" t="str">
        <f>ASIGNATURAS!I334</f>
        <v>Ing. Genética y Terapia Genética</v>
      </c>
      <c r="D248" s="993"/>
      <c r="E248" s="993"/>
      <c r="F248" s="993"/>
      <c r="G248" s="993"/>
      <c r="H248" s="993"/>
      <c r="I248" s="993"/>
      <c r="J248" s="993"/>
      <c r="K248" s="993"/>
      <c r="L248" s="982"/>
      <c r="M248" s="994">
        <v>8233</v>
      </c>
      <c r="N248" s="981"/>
      <c r="O248" s="994">
        <v>6</v>
      </c>
      <c r="P248" s="981"/>
      <c r="Q248" s="992" t="str">
        <f>ASIGNATURAS!K334</f>
        <v>Sonia Ramos Gómez</v>
      </c>
      <c r="R248" s="993"/>
      <c r="S248" s="993"/>
      <c r="T248" s="993"/>
      <c r="U248" s="993"/>
      <c r="V248" s="993"/>
      <c r="W248" s="993"/>
      <c r="X248" s="993"/>
      <c r="Y248" s="993"/>
      <c r="Z248" s="993"/>
      <c r="AA248" s="993"/>
      <c r="AB248" s="993"/>
      <c r="AC248" s="993"/>
      <c r="AD248" s="993"/>
      <c r="AE248" s="982"/>
    </row>
    <row r="249" spans="1:63" ht="13.8" x14ac:dyDescent="0.25">
      <c r="A249" s="1063" t="s">
        <v>976</v>
      </c>
      <c r="B249" s="1064"/>
      <c r="C249" s="992" t="str">
        <f>ASIGNATURAS!I335</f>
        <v>Ing. De Control</v>
      </c>
      <c r="D249" s="993"/>
      <c r="E249" s="993"/>
      <c r="F249" s="993"/>
      <c r="G249" s="993"/>
      <c r="H249" s="993"/>
      <c r="I249" s="993"/>
      <c r="J249" s="993"/>
      <c r="K249" s="993"/>
      <c r="L249" s="982"/>
      <c r="M249" s="994">
        <v>8234</v>
      </c>
      <c r="N249" s="981"/>
      <c r="O249" s="994">
        <v>6</v>
      </c>
      <c r="P249" s="981"/>
      <c r="Q249" s="992" t="str">
        <f>ASIGNATURAS!K335</f>
        <v>Daniel Sarabia</v>
      </c>
      <c r="R249" s="993"/>
      <c r="S249" s="993"/>
      <c r="T249" s="993"/>
      <c r="U249" s="993"/>
      <c r="V249" s="993"/>
      <c r="W249" s="993"/>
      <c r="X249" s="993"/>
      <c r="Y249" s="993"/>
      <c r="Z249" s="993"/>
      <c r="AA249" s="993"/>
      <c r="AB249" s="993"/>
      <c r="AC249" s="993"/>
      <c r="AD249" s="993"/>
      <c r="AE249" s="982"/>
    </row>
    <row r="250" spans="1:63" ht="14.25" customHeight="1" x14ac:dyDescent="0.25">
      <c r="A250" s="1063" t="s">
        <v>978</v>
      </c>
      <c r="B250" s="1064"/>
      <c r="C250" s="992" t="str">
        <f>ASIGNATURAS!I336</f>
        <v>Fuentes de Datos Biomédicas y Web Semánficas</v>
      </c>
      <c r="D250" s="993"/>
      <c r="E250" s="993"/>
      <c r="F250" s="993"/>
      <c r="G250" s="993"/>
      <c r="H250" s="993"/>
      <c r="I250" s="993"/>
      <c r="J250" s="993"/>
      <c r="K250" s="993"/>
      <c r="L250" s="982"/>
      <c r="M250" s="994">
        <v>8235</v>
      </c>
      <c r="N250" s="981"/>
      <c r="O250" s="994">
        <v>6</v>
      </c>
      <c r="P250" s="981"/>
      <c r="Q250" s="992" t="str">
        <f>ASIGNATURAS!K336</f>
        <v>Antonio Canepa</v>
      </c>
      <c r="R250" s="993"/>
      <c r="S250" s="993"/>
      <c r="T250" s="993"/>
      <c r="U250" s="993"/>
      <c r="V250" s="993"/>
      <c r="W250" s="993"/>
      <c r="X250" s="993"/>
      <c r="Y250" s="993"/>
      <c r="Z250" s="993"/>
      <c r="AA250" s="993"/>
      <c r="AB250" s="993"/>
      <c r="AC250" s="993"/>
      <c r="AD250" s="993"/>
      <c r="AE250" s="982"/>
    </row>
    <row r="251" spans="1:63" ht="13.8" x14ac:dyDescent="0.25">
      <c r="A251" s="1063" t="s">
        <v>585</v>
      </c>
      <c r="B251" s="1064"/>
      <c r="C251" s="992" t="str">
        <f>ASIGNATURAS!I337</f>
        <v>Sistemas Inteligentes Aplicados a Salud</v>
      </c>
      <c r="D251" s="993"/>
      <c r="E251" s="993"/>
      <c r="F251" s="993"/>
      <c r="G251" s="993"/>
      <c r="H251" s="993"/>
      <c r="I251" s="993"/>
      <c r="J251" s="993"/>
      <c r="K251" s="993"/>
      <c r="L251" s="982"/>
      <c r="M251" s="994">
        <v>8236</v>
      </c>
      <c r="N251" s="981"/>
      <c r="O251" s="981">
        <v>6</v>
      </c>
      <c r="P251" s="972"/>
      <c r="Q251" s="992" t="str">
        <f>ASIGNATURAS!L337</f>
        <v>Alberto Maestro</v>
      </c>
      <c r="R251" s="993"/>
      <c r="S251" s="993"/>
      <c r="T251" s="993"/>
      <c r="U251" s="993"/>
      <c r="V251" s="993"/>
      <c r="W251" s="993"/>
      <c r="X251" s="993"/>
      <c r="Y251" s="993"/>
      <c r="Z251" s="993"/>
      <c r="AA251" s="993"/>
      <c r="AB251" s="993"/>
      <c r="AC251" s="993"/>
      <c r="AD251" s="993"/>
      <c r="AE251" s="982"/>
    </row>
    <row r="252" spans="1:63" ht="13.8" x14ac:dyDescent="0.25">
      <c r="A252" s="1063" t="s">
        <v>981</v>
      </c>
      <c r="B252" s="1064"/>
      <c r="C252" s="992" t="str">
        <f>ASIGNATURAS!I338</f>
        <v>Bioinformática</v>
      </c>
      <c r="D252" s="993"/>
      <c r="E252" s="993"/>
      <c r="F252" s="993"/>
      <c r="G252" s="993"/>
      <c r="H252" s="993"/>
      <c r="I252" s="993"/>
      <c r="J252" s="993"/>
      <c r="K252" s="993"/>
      <c r="L252" s="982"/>
      <c r="M252" s="994">
        <v>8237</v>
      </c>
      <c r="N252" s="981"/>
      <c r="O252" s="981">
        <v>6</v>
      </c>
      <c r="P252" s="972"/>
      <c r="Q252" s="992" t="str">
        <f>ASIGNATURAS!L338</f>
        <v>David Palacios</v>
      </c>
      <c r="R252" s="993"/>
      <c r="S252" s="993"/>
      <c r="T252" s="993"/>
      <c r="U252" s="993"/>
      <c r="V252" s="993"/>
      <c r="W252" s="993"/>
      <c r="X252" s="993"/>
      <c r="Y252" s="993"/>
      <c r="Z252" s="993"/>
      <c r="AA252" s="993"/>
      <c r="AB252" s="993"/>
      <c r="AC252" s="993"/>
      <c r="AD252" s="993"/>
      <c r="AE252" s="982"/>
    </row>
    <row r="253" spans="1:63" ht="13.8" x14ac:dyDescent="0.25">
      <c r="A253" s="1063" t="s">
        <v>1041</v>
      </c>
      <c r="B253" s="1064"/>
      <c r="C253" s="992" t="s">
        <v>1092</v>
      </c>
      <c r="D253" s="993"/>
      <c r="E253" s="993"/>
      <c r="F253" s="993"/>
      <c r="G253" s="993"/>
      <c r="H253" s="993"/>
      <c r="I253" s="993"/>
      <c r="J253" s="993"/>
      <c r="K253" s="993"/>
      <c r="L253" s="982"/>
      <c r="M253" s="994">
        <v>8243</v>
      </c>
      <c r="N253" s="981"/>
      <c r="O253" s="994">
        <v>6</v>
      </c>
      <c r="P253" s="981"/>
      <c r="Q253" s="992"/>
      <c r="R253" s="993"/>
      <c r="S253" s="993"/>
      <c r="T253" s="993"/>
      <c r="U253" s="993"/>
      <c r="V253" s="993"/>
      <c r="W253" s="993"/>
      <c r="X253" s="993"/>
      <c r="Y253" s="993"/>
      <c r="Z253" s="993"/>
      <c r="AA253" s="993"/>
      <c r="AB253" s="993"/>
      <c r="AC253" s="993"/>
      <c r="AD253" s="993"/>
      <c r="AE253" s="982"/>
    </row>
    <row r="256" spans="1:63" ht="15" x14ac:dyDescent="0.25">
      <c r="A256" s="2995" t="s">
        <v>169</v>
      </c>
      <c r="B256" s="2996"/>
      <c r="C256" s="2996"/>
      <c r="D256" s="2996"/>
      <c r="E256" s="2997"/>
    </row>
    <row r="257" spans="1:31" ht="15" x14ac:dyDescent="0.25">
      <c r="A257" s="2999" t="s">
        <v>736</v>
      </c>
      <c r="B257" s="3000"/>
      <c r="C257" s="3000"/>
      <c r="D257" s="3000"/>
      <c r="E257" s="3001"/>
      <c r="G257" s="25" t="s">
        <v>735</v>
      </c>
    </row>
    <row r="258" spans="1:31"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row>
    <row r="259" spans="1:31"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row>
    <row r="260" spans="1:31" ht="12" customHeight="1"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1" spans="1:31" ht="6" customHeight="1"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row>
    <row r="262" spans="1:31" ht="60.75" customHeight="1" x14ac:dyDescent="0.25">
      <c r="A262" s="974" t="s">
        <v>1005</v>
      </c>
      <c r="B262" s="975"/>
      <c r="C262" s="975"/>
      <c r="D262" s="975"/>
      <c r="E262" s="975"/>
      <c r="F262" s="975"/>
      <c r="G262" s="975"/>
      <c r="H262" s="975"/>
      <c r="I262" s="975"/>
      <c r="J262" s="975"/>
      <c r="K262" s="975"/>
      <c r="L262" s="975"/>
      <c r="M262" s="975"/>
      <c r="N262" s="975"/>
      <c r="O262" s="975"/>
      <c r="P262" s="975"/>
      <c r="Q262" s="975"/>
      <c r="R262" s="975"/>
      <c r="S262" s="975"/>
      <c r="T262" s="975"/>
      <c r="U262" s="975"/>
      <c r="V262" s="975"/>
      <c r="W262" s="975"/>
      <c r="X262" s="975"/>
      <c r="Y262" s="976"/>
      <c r="Z262" s="988" t="str">
        <f>Z149</f>
        <v>Curso 2024-2025</v>
      </c>
      <c r="AA262" s="988"/>
      <c r="AB262" s="988"/>
      <c r="AC262" s="988"/>
      <c r="AD262" s="988"/>
      <c r="AE262" s="989"/>
    </row>
    <row r="263" spans="1:31" ht="23.25" customHeight="1" x14ac:dyDescent="0.25">
      <c r="A263" s="960" t="s">
        <v>1007</v>
      </c>
      <c r="B263" s="961"/>
      <c r="C263" s="961"/>
      <c r="D263" s="961"/>
      <c r="E263" s="961"/>
      <c r="F263" s="961"/>
      <c r="G263" s="961"/>
      <c r="H263" s="961"/>
      <c r="I263" s="961"/>
      <c r="J263" s="961"/>
      <c r="K263" s="961"/>
      <c r="L263" s="961"/>
      <c r="M263" s="961"/>
      <c r="N263" s="961"/>
      <c r="O263" s="961"/>
      <c r="P263" s="961"/>
      <c r="Q263" s="961"/>
      <c r="R263" s="961"/>
      <c r="S263" s="961"/>
      <c r="T263" s="961"/>
      <c r="U263" s="961"/>
      <c r="V263" s="961"/>
      <c r="W263" s="961"/>
      <c r="X263" s="961"/>
      <c r="Y263" s="962"/>
      <c r="Z263" s="984" t="s">
        <v>159</v>
      </c>
      <c r="AA263" s="984"/>
      <c r="AB263" s="984"/>
      <c r="AC263" s="984"/>
      <c r="AD263" s="984"/>
      <c r="AE263" s="985"/>
    </row>
    <row r="264" spans="1:31" ht="23.25" customHeight="1" x14ac:dyDescent="0.25">
      <c r="A264" s="963" t="s">
        <v>1063</v>
      </c>
      <c r="B264" s="964"/>
      <c r="C264" s="964"/>
      <c r="D264" s="964"/>
      <c r="E264" s="964"/>
      <c r="F264" s="964"/>
      <c r="G264" s="964"/>
      <c r="H264" s="964"/>
      <c r="I264" s="964"/>
      <c r="J264" s="964"/>
      <c r="K264" s="964"/>
      <c r="L264" s="964"/>
      <c r="M264" s="964"/>
      <c r="N264" s="964"/>
      <c r="O264" s="964"/>
      <c r="P264" s="964"/>
      <c r="Q264" s="964"/>
      <c r="R264" s="964"/>
      <c r="S264" s="964"/>
      <c r="T264" s="964"/>
      <c r="U264" s="964"/>
      <c r="V264" s="964"/>
      <c r="W264" s="964"/>
      <c r="X264" s="964"/>
      <c r="Y264" s="965"/>
      <c r="Z264" s="986"/>
      <c r="AA264" s="986"/>
      <c r="AB264" s="986"/>
      <c r="AC264" s="986"/>
      <c r="AD264" s="986"/>
      <c r="AE264" s="987"/>
    </row>
    <row r="265" spans="1:31" ht="18" customHeight="1" thickBot="1" x14ac:dyDescent="0.3">
      <c r="A265" s="9" t="s">
        <v>719</v>
      </c>
      <c r="AE265" s="372"/>
    </row>
    <row r="266" spans="1:31" ht="9" hidden="1" customHeight="1" thickBot="1" x14ac:dyDescent="0.3">
      <c r="A266" s="167" t="s">
        <v>1</v>
      </c>
      <c r="B266" s="1042" t="s">
        <v>2</v>
      </c>
      <c r="C266" s="1042"/>
      <c r="D266" s="1042"/>
      <c r="E266" s="1042"/>
      <c r="F266" s="1042"/>
      <c r="G266" s="1043"/>
      <c r="H266" s="1042" t="s">
        <v>3</v>
      </c>
      <c r="I266" s="1042"/>
      <c r="J266" s="1042"/>
      <c r="K266" s="1042"/>
      <c r="L266" s="1042"/>
      <c r="M266" s="1043"/>
      <c r="N266" s="1028" t="s">
        <v>139</v>
      </c>
      <c r="O266" s="1029"/>
      <c r="P266" s="1029"/>
      <c r="Q266" s="1029"/>
      <c r="R266" s="1029"/>
      <c r="S266" s="1030"/>
      <c r="T266" s="1042" t="s">
        <v>4</v>
      </c>
      <c r="U266" s="1042"/>
      <c r="V266" s="1042"/>
      <c r="W266" s="1042"/>
      <c r="X266" s="1042"/>
      <c r="Y266" s="1043"/>
      <c r="Z266" s="1028" t="s">
        <v>5</v>
      </c>
      <c r="AA266" s="1029"/>
      <c r="AB266" s="1029"/>
      <c r="AC266" s="1029"/>
      <c r="AD266" s="1029"/>
      <c r="AE266" s="1030"/>
    </row>
    <row r="267" spans="1:31" ht="16.2" hidden="1" thickBot="1" x14ac:dyDescent="0.35">
      <c r="A267" s="2949" t="s">
        <v>10</v>
      </c>
      <c r="B267" s="2337"/>
      <c r="C267" s="1003"/>
      <c r="D267" s="1003"/>
      <c r="E267" s="1003"/>
      <c r="F267" s="1003"/>
      <c r="G267" s="2338"/>
      <c r="H267" s="2964"/>
      <c r="I267" s="2965"/>
      <c r="J267" s="2965"/>
      <c r="K267" s="2965"/>
      <c r="L267" s="2965"/>
      <c r="M267" s="2966"/>
      <c r="N267" s="2964"/>
      <c r="O267" s="2965"/>
      <c r="P267" s="2965"/>
      <c r="Q267" s="2965"/>
      <c r="R267" s="2965"/>
      <c r="S267" s="2966"/>
      <c r="T267" s="354"/>
      <c r="U267" s="355"/>
      <c r="V267" s="355"/>
      <c r="W267" s="355"/>
      <c r="X267" s="355"/>
      <c r="Y267" s="356"/>
      <c r="Z267" s="283"/>
      <c r="AA267" s="10"/>
      <c r="AB267" s="379"/>
      <c r="AC267" s="365"/>
      <c r="AD267" s="365"/>
      <c r="AE267" s="366"/>
    </row>
    <row r="268" spans="1:31" ht="13.8" hidden="1" thickBot="1" x14ac:dyDescent="0.3">
      <c r="A268" s="2950"/>
      <c r="B268" s="2255"/>
      <c r="C268" s="2256"/>
      <c r="D268" s="2256"/>
      <c r="E268" s="2256"/>
      <c r="F268" s="2256"/>
      <c r="G268" s="2257"/>
      <c r="H268" s="2255"/>
      <c r="I268" s="2256"/>
      <c r="J268" s="2256"/>
      <c r="K268" s="2256"/>
      <c r="L268" s="2256"/>
      <c r="M268" s="2257"/>
      <c r="N268" s="2255"/>
      <c r="O268" s="2256"/>
      <c r="P268" s="2256"/>
      <c r="Q268" s="2256"/>
      <c r="R268" s="2256"/>
      <c r="S268" s="2257"/>
      <c r="T268" s="367"/>
      <c r="U268" s="353"/>
      <c r="V268" s="353"/>
      <c r="W268" s="370"/>
      <c r="X268" s="370"/>
      <c r="Y268" s="376"/>
      <c r="Z268" s="283"/>
      <c r="AA268" s="10"/>
      <c r="AB268" s="353"/>
      <c r="AC268" s="370"/>
      <c r="AD268" s="353"/>
      <c r="AE268" s="376"/>
    </row>
    <row r="269" spans="1:31" ht="16.2" hidden="1" thickBot="1" x14ac:dyDescent="0.35">
      <c r="A269" s="2949" t="s">
        <v>11</v>
      </c>
      <c r="B269" s="374"/>
      <c r="C269" s="358"/>
      <c r="D269" s="358"/>
      <c r="E269" s="358"/>
      <c r="F269" s="358"/>
      <c r="G269" s="359"/>
      <c r="H269" s="374"/>
      <c r="I269" s="358"/>
      <c r="J269" s="358"/>
      <c r="K269" s="358"/>
      <c r="L269" s="358"/>
      <c r="M269" s="359"/>
      <c r="N269" s="210"/>
      <c r="O269" s="211"/>
      <c r="P269" s="211"/>
      <c r="Q269" s="211"/>
      <c r="R269" s="211"/>
      <c r="S269" s="212"/>
      <c r="T269" s="364"/>
      <c r="U269" s="365"/>
      <c r="V269" s="365"/>
      <c r="W269" s="362"/>
      <c r="X269" s="362"/>
      <c r="Y269" s="363"/>
      <c r="Z269" s="373"/>
      <c r="AA269" s="287"/>
      <c r="AB269" s="378"/>
      <c r="AC269" s="362"/>
      <c r="AD269" s="365"/>
      <c r="AE269" s="363"/>
    </row>
    <row r="270" spans="1:31" ht="13.8" hidden="1" thickBot="1" x14ac:dyDescent="0.3">
      <c r="A270" s="2950"/>
      <c r="B270" s="375"/>
      <c r="C270" s="357"/>
      <c r="D270" s="357"/>
      <c r="E270" s="357"/>
      <c r="F270" s="357"/>
      <c r="G270" s="360"/>
      <c r="H270" s="375"/>
      <c r="I270" s="357"/>
      <c r="J270" s="357"/>
      <c r="K270" s="357"/>
      <c r="L270" s="357"/>
      <c r="M270" s="360"/>
      <c r="N270" s="371"/>
      <c r="O270" s="274"/>
      <c r="P270" s="274"/>
      <c r="Q270" s="274"/>
      <c r="R270" s="274"/>
      <c r="S270" s="377"/>
      <c r="T270" s="369"/>
      <c r="U270" s="370"/>
      <c r="V270" s="353"/>
      <c r="W270" s="370"/>
      <c r="X270" s="370"/>
      <c r="Y270" s="368"/>
      <c r="Z270" s="283"/>
      <c r="AA270" s="10"/>
      <c r="AB270" s="353"/>
      <c r="AC270" s="353"/>
      <c r="AD270" s="370"/>
      <c r="AE270" s="368"/>
    </row>
    <row r="271" spans="1:31" ht="16.2" hidden="1" thickBot="1" x14ac:dyDescent="0.35">
      <c r="A271" s="2949" t="s">
        <v>6</v>
      </c>
      <c r="B271" s="2337"/>
      <c r="C271" s="1003"/>
      <c r="D271" s="1003"/>
      <c r="E271" s="1003"/>
      <c r="F271" s="1003"/>
      <c r="G271" s="2338"/>
      <c r="H271" s="2337"/>
      <c r="I271" s="1003"/>
      <c r="J271" s="1003"/>
      <c r="K271" s="1003"/>
      <c r="L271" s="1003"/>
      <c r="M271" s="2338"/>
      <c r="N271" s="2337"/>
      <c r="O271" s="1003"/>
      <c r="P271" s="1003"/>
      <c r="Q271" s="1003"/>
      <c r="R271" s="1003"/>
      <c r="S271" s="2338"/>
      <c r="T271" s="361"/>
      <c r="U271" s="362"/>
      <c r="V271" s="365"/>
      <c r="W271" s="362"/>
      <c r="X271" s="362"/>
      <c r="Y271" s="366"/>
      <c r="Z271" s="373"/>
      <c r="AA271" s="287"/>
      <c r="AB271" s="378"/>
      <c r="AC271" s="365"/>
      <c r="AD271" s="362"/>
      <c r="AE271" s="366"/>
    </row>
    <row r="272" spans="1:31" ht="13.8" hidden="1" thickBot="1" x14ac:dyDescent="0.3">
      <c r="A272" s="2950"/>
      <c r="B272" s="2255"/>
      <c r="C272" s="2256"/>
      <c r="D272" s="2256"/>
      <c r="E272" s="2256"/>
      <c r="F272" s="2256"/>
      <c r="G272" s="2257"/>
      <c r="H272" s="2255"/>
      <c r="I272" s="2256"/>
      <c r="J272" s="2256"/>
      <c r="K272" s="2256"/>
      <c r="L272" s="2256"/>
      <c r="M272" s="2257"/>
      <c r="N272" s="2986"/>
      <c r="O272" s="2987"/>
      <c r="P272" s="2987"/>
      <c r="Q272" s="2987"/>
      <c r="R272" s="2987"/>
      <c r="S272" s="2988"/>
      <c r="T272" s="367"/>
      <c r="U272" s="370"/>
      <c r="V272" s="370"/>
      <c r="W272" s="353"/>
      <c r="X272" s="370"/>
      <c r="Y272" s="368"/>
      <c r="Z272" s="283"/>
      <c r="AA272" s="288"/>
      <c r="AB272" s="353"/>
      <c r="AC272" s="353"/>
      <c r="AD272" s="353"/>
      <c r="AE272" s="376"/>
    </row>
    <row r="273" spans="1:45" ht="16.2" hidden="1" thickBot="1" x14ac:dyDescent="0.35">
      <c r="A273" s="2949" t="s">
        <v>7</v>
      </c>
      <c r="B273" s="2337"/>
      <c r="C273" s="1003"/>
      <c r="D273" s="1003"/>
      <c r="E273" s="1003"/>
      <c r="F273" s="1003"/>
      <c r="G273" s="2338"/>
      <c r="H273" s="2337"/>
      <c r="I273" s="1003"/>
      <c r="J273" s="1003"/>
      <c r="K273" s="1003"/>
      <c r="L273" s="1003"/>
      <c r="M273" s="2338"/>
      <c r="N273" s="2337"/>
      <c r="O273" s="1003"/>
      <c r="P273" s="1003"/>
      <c r="Q273" s="1003"/>
      <c r="R273" s="1003"/>
      <c r="S273" s="2338"/>
      <c r="T273" s="364"/>
      <c r="U273" s="362"/>
      <c r="V273" s="362"/>
      <c r="W273" s="365"/>
      <c r="X273" s="362"/>
      <c r="Y273" s="366"/>
      <c r="Z273" s="373"/>
      <c r="AA273" s="10"/>
      <c r="AB273" s="378"/>
      <c r="AC273" s="365"/>
      <c r="AD273" s="365"/>
      <c r="AE273" s="363"/>
    </row>
    <row r="274" spans="1:45" ht="13.8" hidden="1" thickBot="1" x14ac:dyDescent="0.3">
      <c r="A274" s="2950"/>
      <c r="B274" s="2255"/>
      <c r="C274" s="2256"/>
      <c r="D274" s="2256"/>
      <c r="E274" s="2256"/>
      <c r="F274" s="2256"/>
      <c r="G274" s="2257"/>
      <c r="H274" s="2255"/>
      <c r="I274" s="2256"/>
      <c r="J274" s="2256"/>
      <c r="K274" s="2256"/>
      <c r="L274" s="2256"/>
      <c r="M274" s="2257"/>
      <c r="N274" s="2255"/>
      <c r="O274" s="2256"/>
      <c r="P274" s="2256"/>
      <c r="Q274" s="2256"/>
      <c r="R274" s="2256"/>
      <c r="S274" s="2257"/>
      <c r="T274" s="367"/>
      <c r="U274" s="353"/>
      <c r="V274" s="353"/>
      <c r="W274" s="353"/>
      <c r="X274" s="353"/>
      <c r="Y274" s="376"/>
      <c r="Z274" s="283"/>
      <c r="AA274" s="10"/>
      <c r="AB274" s="353"/>
      <c r="AC274" s="370"/>
      <c r="AD274" s="370"/>
      <c r="AE274" s="368"/>
    </row>
    <row r="275" spans="1:45" ht="16.2" hidden="1" thickBot="1" x14ac:dyDescent="0.35">
      <c r="A275" s="2949" t="s">
        <v>8</v>
      </c>
      <c r="B275" s="2337"/>
      <c r="C275" s="1003"/>
      <c r="D275" s="1003"/>
      <c r="E275" s="1003"/>
      <c r="F275" s="1003"/>
      <c r="G275" s="2338"/>
      <c r="H275" s="2337"/>
      <c r="I275" s="1003"/>
      <c r="J275" s="1003"/>
      <c r="K275" s="1003"/>
      <c r="L275" s="1003"/>
      <c r="M275" s="2338"/>
      <c r="N275" s="2981"/>
      <c r="O275" s="1002"/>
      <c r="P275" s="1002"/>
      <c r="Q275" s="1002"/>
      <c r="R275" s="1002"/>
      <c r="S275" s="2982"/>
      <c r="T275" s="364"/>
      <c r="U275" s="365"/>
      <c r="V275" s="365"/>
      <c r="W275" s="365"/>
      <c r="X275" s="365"/>
      <c r="Y275" s="363"/>
      <c r="Z275" s="373"/>
      <c r="AA275" s="287"/>
      <c r="AB275" s="378"/>
      <c r="AC275" s="362"/>
      <c r="AD275" s="362"/>
      <c r="AE275" s="366"/>
    </row>
    <row r="276" spans="1:45" ht="13.8" hidden="1" thickBot="1" x14ac:dyDescent="0.3">
      <c r="A276" s="2950"/>
      <c r="B276" s="2255"/>
      <c r="C276" s="2256"/>
      <c r="D276" s="2256"/>
      <c r="E276" s="2256"/>
      <c r="F276" s="2256"/>
      <c r="G276" s="2257"/>
      <c r="H276" s="2255"/>
      <c r="I276" s="2256"/>
      <c r="J276" s="2256"/>
      <c r="K276" s="2256"/>
      <c r="L276" s="2256"/>
      <c r="M276" s="2257"/>
      <c r="N276" s="2255"/>
      <c r="O276" s="2256"/>
      <c r="P276" s="2256"/>
      <c r="Q276" s="2256"/>
      <c r="R276" s="2256"/>
      <c r="S276" s="2257"/>
      <c r="T276" s="369"/>
      <c r="U276" s="370"/>
      <c r="V276" s="353"/>
      <c r="W276" s="370"/>
      <c r="X276" s="353"/>
      <c r="Y276" s="376"/>
      <c r="Z276" s="283"/>
      <c r="AA276" s="10"/>
      <c r="AB276" s="353"/>
      <c r="AC276" s="353"/>
      <c r="AD276" s="353"/>
      <c r="AE276" s="376"/>
    </row>
    <row r="277" spans="1:45" ht="16.2" hidden="1" thickBot="1" x14ac:dyDescent="0.35">
      <c r="A277" s="2949" t="s">
        <v>9</v>
      </c>
      <c r="B277" s="2337"/>
      <c r="C277" s="1003"/>
      <c r="D277" s="1003"/>
      <c r="E277" s="1003"/>
      <c r="F277" s="1003"/>
      <c r="G277" s="2338"/>
      <c r="H277" s="2337"/>
      <c r="I277" s="1003"/>
      <c r="J277" s="1003"/>
      <c r="K277" s="1003"/>
      <c r="L277" s="1003"/>
      <c r="M277" s="2338"/>
      <c r="N277" s="2981"/>
      <c r="O277" s="1002"/>
      <c r="P277" s="1002"/>
      <c r="Q277" s="1002"/>
      <c r="R277" s="1002"/>
      <c r="S277" s="2982"/>
      <c r="T277" s="361"/>
      <c r="U277" s="362"/>
      <c r="V277" s="365"/>
      <c r="W277" s="362"/>
      <c r="X277" s="365"/>
      <c r="Y277" s="363"/>
      <c r="Z277" s="373"/>
      <c r="AA277" s="287"/>
      <c r="AB277" s="378"/>
      <c r="AC277" s="365"/>
      <c r="AD277" s="365"/>
      <c r="AE277" s="363"/>
    </row>
    <row r="278" spans="1:45" ht="13.8" hidden="1" thickBot="1" x14ac:dyDescent="0.3">
      <c r="A278" s="2950"/>
      <c r="B278" s="2255"/>
      <c r="C278" s="2256"/>
      <c r="D278" s="2256"/>
      <c r="E278" s="2256"/>
      <c r="F278" s="2256"/>
      <c r="G278" s="2257"/>
      <c r="H278" s="2255"/>
      <c r="I278" s="2256"/>
      <c r="J278" s="2256"/>
      <c r="K278" s="2256"/>
      <c r="L278" s="2256"/>
      <c r="M278" s="2257"/>
      <c r="N278" s="2255"/>
      <c r="O278" s="2256"/>
      <c r="P278" s="2256"/>
      <c r="Q278" s="2256"/>
      <c r="R278" s="2256"/>
      <c r="S278" s="2257"/>
      <c r="T278" s="367"/>
      <c r="U278" s="353"/>
      <c r="V278" s="353"/>
      <c r="W278" s="353"/>
      <c r="X278" s="353"/>
      <c r="Y278" s="368"/>
      <c r="Z278" s="283"/>
      <c r="AA278" s="10"/>
      <c r="AB278" s="353"/>
      <c r="AC278" s="353"/>
      <c r="AD278" s="353"/>
      <c r="AE278" s="368"/>
    </row>
    <row r="279" spans="1:45" ht="18" thickBot="1" x14ac:dyDescent="0.3">
      <c r="A279" s="19" t="s">
        <v>1</v>
      </c>
      <c r="B279" s="1091" t="s">
        <v>2</v>
      </c>
      <c r="C279" s="1092"/>
      <c r="D279" s="1092"/>
      <c r="E279" s="1092"/>
      <c r="F279" s="1092"/>
      <c r="G279" s="1093"/>
      <c r="H279" s="1091" t="s">
        <v>3</v>
      </c>
      <c r="I279" s="1092"/>
      <c r="J279" s="1092"/>
      <c r="K279" s="1092"/>
      <c r="L279" s="1092"/>
      <c r="M279" s="1093"/>
      <c r="N279" s="1091" t="s">
        <v>139</v>
      </c>
      <c r="O279" s="1092"/>
      <c r="P279" s="1092"/>
      <c r="Q279" s="1092"/>
      <c r="R279" s="1092"/>
      <c r="S279" s="1093"/>
      <c r="T279" s="1076" t="s">
        <v>4</v>
      </c>
      <c r="U279" s="1077"/>
      <c r="V279" s="1077"/>
      <c r="W279" s="1077"/>
      <c r="X279" s="1077"/>
      <c r="Y279" s="1078"/>
      <c r="Z279" s="1091" t="s">
        <v>5</v>
      </c>
      <c r="AA279" s="1092"/>
      <c r="AB279" s="1092"/>
      <c r="AC279" s="1092"/>
      <c r="AD279" s="1092"/>
      <c r="AE279" s="1093"/>
    </row>
    <row r="280" spans="1:45" ht="30" customHeight="1" x14ac:dyDescent="0.3">
      <c r="A280" s="2975" t="s">
        <v>10</v>
      </c>
      <c r="B280" s="1288" t="s">
        <v>954</v>
      </c>
      <c r="C280" s="1153" t="s">
        <v>579</v>
      </c>
      <c r="D280" s="1217" t="s">
        <v>682</v>
      </c>
      <c r="E280" s="1202"/>
      <c r="F280" s="1126"/>
      <c r="G280" s="1252"/>
      <c r="H280" s="20"/>
      <c r="I280" s="20"/>
      <c r="J280" s="20"/>
      <c r="K280" s="2944" t="s">
        <v>954</v>
      </c>
      <c r="L280" s="1153" t="s">
        <v>580</v>
      </c>
      <c r="M280" s="1217" t="s">
        <v>682</v>
      </c>
      <c r="N280" s="2938" t="s">
        <v>1113</v>
      </c>
      <c r="O280" s="1022"/>
      <c r="P280" s="1022"/>
      <c r="Q280" s="1022"/>
      <c r="R280" s="1022"/>
      <c r="S280" s="2939"/>
      <c r="T280" s="1079" t="s">
        <v>985</v>
      </c>
      <c r="U280" s="1039"/>
      <c r="V280" s="1039"/>
      <c r="W280" s="1039"/>
      <c r="X280" s="1039"/>
      <c r="Y280" s="1080"/>
      <c r="Z280" s="1025" t="s">
        <v>987</v>
      </c>
      <c r="AA280" s="956"/>
      <c r="AB280" s="956"/>
      <c r="AC280" s="956"/>
      <c r="AD280" s="956"/>
      <c r="AE280" s="2029"/>
    </row>
    <row r="281" spans="1:45" ht="35.25" customHeight="1" x14ac:dyDescent="0.25">
      <c r="A281" s="2937"/>
      <c r="B281" s="1288"/>
      <c r="C281" s="1153"/>
      <c r="D281" s="1217"/>
      <c r="E281" s="1202"/>
      <c r="F281" s="1126"/>
      <c r="G281" s="1252"/>
      <c r="H281" s="20"/>
      <c r="I281" s="20"/>
      <c r="J281" s="20"/>
      <c r="K281" s="1392"/>
      <c r="L281" s="1153"/>
      <c r="M281" s="1217"/>
      <c r="N281" s="2312" t="s">
        <v>1022</v>
      </c>
      <c r="O281" s="1055"/>
      <c r="P281" s="1055"/>
      <c r="Q281" s="1055"/>
      <c r="R281" s="1055"/>
      <c r="S281" s="2313"/>
      <c r="T281" s="1067" t="s">
        <v>159</v>
      </c>
      <c r="U281" s="944"/>
      <c r="V281" s="944"/>
      <c r="W281" s="944"/>
      <c r="X281" s="944"/>
      <c r="Y281" s="1068"/>
      <c r="Z281" s="2312" t="s">
        <v>1022</v>
      </c>
      <c r="AA281" s="1055"/>
      <c r="AB281" s="1055"/>
      <c r="AC281" s="1055"/>
      <c r="AD281" s="1055"/>
      <c r="AE281" s="2313"/>
    </row>
    <row r="282" spans="1:45" ht="30" customHeight="1" x14ac:dyDescent="0.3">
      <c r="A282" s="2949" t="s">
        <v>1019</v>
      </c>
      <c r="B282" s="1288"/>
      <c r="C282" s="1153"/>
      <c r="D282" s="1217"/>
      <c r="E282" s="1202"/>
      <c r="F282" s="1126"/>
      <c r="G282" s="1252"/>
      <c r="H282" s="20"/>
      <c r="I282" s="2960"/>
      <c r="J282" s="503"/>
      <c r="K282" s="1392"/>
      <c r="L282" s="1153"/>
      <c r="M282" s="1217"/>
      <c r="N282" s="2938" t="s">
        <v>1113</v>
      </c>
      <c r="O282" s="1022"/>
      <c r="P282" s="1022"/>
      <c r="Q282" s="1022"/>
      <c r="R282" s="1022"/>
      <c r="S282" s="2939"/>
      <c r="T282" s="1069" t="s">
        <v>985</v>
      </c>
      <c r="U282" s="940"/>
      <c r="V282" s="940"/>
      <c r="W282" s="940"/>
      <c r="X282" s="940"/>
      <c r="Y282" s="1070"/>
      <c r="Z282" s="1069" t="s">
        <v>1115</v>
      </c>
      <c r="AA282" s="940"/>
      <c r="AB282" s="940"/>
      <c r="AC282" s="940"/>
      <c r="AD282" s="940"/>
      <c r="AE282" s="1070"/>
    </row>
    <row r="283" spans="1:45" ht="33" customHeight="1" x14ac:dyDescent="0.25">
      <c r="A283" s="2950"/>
      <c r="B283" s="1288"/>
      <c r="C283" s="1153"/>
      <c r="D283" s="1217"/>
      <c r="E283" s="1202"/>
      <c r="F283" s="1126"/>
      <c r="G283" s="1252"/>
      <c r="H283" s="20"/>
      <c r="I283" s="2960"/>
      <c r="J283" s="503"/>
      <c r="K283" s="1392"/>
      <c r="L283" s="1153"/>
      <c r="M283" s="1342"/>
      <c r="N283" s="2312" t="s">
        <v>1022</v>
      </c>
      <c r="O283" s="1055"/>
      <c r="P283" s="1055"/>
      <c r="Q283" s="1055"/>
      <c r="R283" s="1055"/>
      <c r="S283" s="2313"/>
      <c r="T283" s="1067" t="s">
        <v>159</v>
      </c>
      <c r="U283" s="944"/>
      <c r="V283" s="944"/>
      <c r="W283" s="944"/>
      <c r="X283" s="944"/>
      <c r="Y283" s="1068"/>
      <c r="Z283" s="1322" t="s">
        <v>1022</v>
      </c>
      <c r="AA283" s="1174"/>
      <c r="AB283" s="1174"/>
      <c r="AC283" s="1174"/>
      <c r="AD283" s="1174"/>
      <c r="AE283" s="1323"/>
    </row>
    <row r="284" spans="1:45" ht="30" customHeight="1" x14ac:dyDescent="0.3">
      <c r="A284" s="2937" t="s">
        <v>1020</v>
      </c>
      <c r="B284" s="1069" t="s">
        <v>987</v>
      </c>
      <c r="C284" s="940"/>
      <c r="D284" s="940"/>
      <c r="E284" s="940"/>
      <c r="F284" s="940"/>
      <c r="G284" s="1070"/>
      <c r="H284" s="2979" t="s">
        <v>954</v>
      </c>
      <c r="I284" s="1019"/>
      <c r="J284" s="1019"/>
      <c r="K284" s="1019"/>
      <c r="L284" s="1019"/>
      <c r="M284" s="2980"/>
      <c r="N284" s="2979" t="s">
        <v>954</v>
      </c>
      <c r="O284" s="1019"/>
      <c r="P284" s="1019"/>
      <c r="Q284" s="1019"/>
      <c r="R284" s="1019"/>
      <c r="S284" s="2980"/>
      <c r="T284" s="2791" t="s">
        <v>954</v>
      </c>
      <c r="U284" s="2792"/>
      <c r="V284" s="2792"/>
      <c r="W284" s="2792"/>
      <c r="X284" s="2792"/>
      <c r="Y284" s="2793"/>
      <c r="Z284" s="1025" t="s">
        <v>988</v>
      </c>
      <c r="AA284" s="956"/>
      <c r="AB284" s="956"/>
      <c r="AC284" s="956"/>
      <c r="AD284" s="956"/>
      <c r="AE284" s="2029"/>
    </row>
    <row r="285" spans="1:45" ht="30" customHeight="1" x14ac:dyDescent="0.25">
      <c r="A285" s="2937"/>
      <c r="B285" s="1067" t="s">
        <v>159</v>
      </c>
      <c r="C285" s="944"/>
      <c r="D285" s="944"/>
      <c r="E285" s="944"/>
      <c r="F285" s="944"/>
      <c r="G285" s="1068"/>
      <c r="H285" s="1067" t="s">
        <v>159</v>
      </c>
      <c r="I285" s="944"/>
      <c r="J285" s="944"/>
      <c r="K285" s="944"/>
      <c r="L285" s="944"/>
      <c r="M285" s="1068"/>
      <c r="N285" s="1322" t="s">
        <v>159</v>
      </c>
      <c r="O285" s="1174"/>
      <c r="P285" s="1174"/>
      <c r="Q285" s="1174"/>
      <c r="R285" s="1174"/>
      <c r="S285" s="1323"/>
      <c r="T285" s="1067" t="s">
        <v>159</v>
      </c>
      <c r="U285" s="944"/>
      <c r="V285" s="944"/>
      <c r="W285" s="944"/>
      <c r="X285" s="944"/>
      <c r="Y285" s="1068"/>
      <c r="Z285" s="2312" t="s">
        <v>159</v>
      </c>
      <c r="AA285" s="1055"/>
      <c r="AB285" s="1055"/>
      <c r="AC285" s="1055"/>
      <c r="AD285" s="1055"/>
      <c r="AE285" s="2313"/>
    </row>
    <row r="286" spans="1:45" ht="30" customHeight="1" x14ac:dyDescent="0.3">
      <c r="A286" s="2949" t="s">
        <v>7</v>
      </c>
      <c r="B286" s="1081" t="s">
        <v>221</v>
      </c>
      <c r="C286" s="939"/>
      <c r="D286" s="939"/>
      <c r="E286" s="939"/>
      <c r="F286" s="939"/>
      <c r="G286" s="1082"/>
      <c r="H286" s="1069" t="s">
        <v>988</v>
      </c>
      <c r="I286" s="940"/>
      <c r="J286" s="940"/>
      <c r="K286" s="940"/>
      <c r="L286" s="940"/>
      <c r="M286" s="1070"/>
      <c r="N286" s="1069" t="s">
        <v>221</v>
      </c>
      <c r="O286" s="940"/>
      <c r="P286" s="940"/>
      <c r="Q286" s="940"/>
      <c r="R286" s="940"/>
      <c r="S286" s="1070"/>
      <c r="T286" s="1081" t="s">
        <v>221</v>
      </c>
      <c r="U286" s="939"/>
      <c r="V286" s="939"/>
      <c r="W286" s="939"/>
      <c r="X286" s="939"/>
      <c r="Y286" s="1082"/>
      <c r="Z286" s="1069" t="s">
        <v>985</v>
      </c>
      <c r="AA286" s="940"/>
      <c r="AB286" s="940"/>
      <c r="AC286" s="940"/>
      <c r="AD286" s="940"/>
      <c r="AE286" s="1070"/>
      <c r="AQ286" s="1118"/>
      <c r="AR286" s="1153"/>
      <c r="AS286" s="1773"/>
    </row>
    <row r="287" spans="1:45" ht="30" customHeight="1" x14ac:dyDescent="0.25">
      <c r="A287" s="2950"/>
      <c r="B287" s="1067" t="s">
        <v>159</v>
      </c>
      <c r="C287" s="944"/>
      <c r="D287" s="944"/>
      <c r="E287" s="944"/>
      <c r="F287" s="944"/>
      <c r="G287" s="1068"/>
      <c r="H287" s="1067" t="s">
        <v>159</v>
      </c>
      <c r="I287" s="944"/>
      <c r="J287" s="944"/>
      <c r="K287" s="944"/>
      <c r="L287" s="944"/>
      <c r="M287" s="1068"/>
      <c r="N287" s="1322" t="s">
        <v>159</v>
      </c>
      <c r="O287" s="1174"/>
      <c r="P287" s="1174"/>
      <c r="Q287" s="1174"/>
      <c r="R287" s="1174"/>
      <c r="S287" s="1323"/>
      <c r="T287" s="1067" t="s">
        <v>159</v>
      </c>
      <c r="U287" s="1174"/>
      <c r="V287" s="944"/>
      <c r="W287" s="944"/>
      <c r="X287" s="944"/>
      <c r="Y287" s="1068"/>
      <c r="Z287" s="1067" t="s">
        <v>159</v>
      </c>
      <c r="AA287" s="1174"/>
      <c r="AB287" s="944"/>
      <c r="AC287" s="944"/>
      <c r="AD287" s="944"/>
      <c r="AE287" s="1068"/>
      <c r="AQ287" s="1118"/>
      <c r="AR287" s="1153"/>
      <c r="AS287" s="1560"/>
    </row>
    <row r="288" spans="1:45" ht="30" customHeight="1" x14ac:dyDescent="0.3">
      <c r="A288" s="2937" t="s">
        <v>8</v>
      </c>
      <c r="B288" s="1025" t="s">
        <v>987</v>
      </c>
      <c r="C288" s="956"/>
      <c r="D288" s="956"/>
      <c r="E288" s="956"/>
      <c r="F288" s="956"/>
      <c r="G288" s="2029"/>
      <c r="H288" s="1288" t="s">
        <v>985</v>
      </c>
      <c r="I288" s="1153"/>
      <c r="J288" s="2967" t="s">
        <v>750</v>
      </c>
      <c r="K288" s="20"/>
      <c r="L288" s="20"/>
      <c r="M288" s="20"/>
      <c r="N288" s="1025" t="s">
        <v>221</v>
      </c>
      <c r="O288" s="956"/>
      <c r="P288" s="956"/>
      <c r="Q288" s="956"/>
      <c r="R288" s="956"/>
      <c r="S288" s="2029"/>
      <c r="T288" s="1025" t="s">
        <v>221</v>
      </c>
      <c r="U288" s="956"/>
      <c r="V288" s="956"/>
      <c r="W288" s="956"/>
      <c r="X288" s="956"/>
      <c r="Y288" s="2029"/>
      <c r="Z288" s="1025" t="s">
        <v>985</v>
      </c>
      <c r="AA288" s="956"/>
      <c r="AB288" s="956"/>
      <c r="AC288" s="956"/>
      <c r="AD288" s="956"/>
      <c r="AE288" s="2029"/>
      <c r="AQ288" s="1176"/>
      <c r="AR288" s="1182"/>
      <c r="AS288" s="1560"/>
    </row>
    <row r="289" spans="1:45" ht="30" customHeight="1" thickBot="1" x14ac:dyDescent="0.3">
      <c r="A289" s="2937"/>
      <c r="B289" s="2312" t="s">
        <v>1022</v>
      </c>
      <c r="C289" s="1055"/>
      <c r="D289" s="1055"/>
      <c r="E289" s="1055"/>
      <c r="F289" s="1055"/>
      <c r="G289" s="2313"/>
      <c r="H289" s="1288"/>
      <c r="I289" s="1153"/>
      <c r="J289" s="2968"/>
      <c r="K289" s="20"/>
      <c r="L289" s="20"/>
      <c r="M289" s="20"/>
      <c r="N289" s="2312" t="s">
        <v>159</v>
      </c>
      <c r="O289" s="1055"/>
      <c r="P289" s="1055"/>
      <c r="Q289" s="1055"/>
      <c r="R289" s="1055"/>
      <c r="S289" s="2313"/>
      <c r="T289" s="2312" t="s">
        <v>159</v>
      </c>
      <c r="U289" s="1055"/>
      <c r="V289" s="1055"/>
      <c r="W289" s="1055"/>
      <c r="X289" s="1055"/>
      <c r="Y289" s="2313"/>
      <c r="Z289" s="2312" t="s">
        <v>752</v>
      </c>
      <c r="AA289" s="1055"/>
      <c r="AB289" s="1055"/>
      <c r="AC289" s="1055"/>
      <c r="AD289" s="1055"/>
      <c r="AE289" s="2313"/>
      <c r="AQ289" s="1118"/>
      <c r="AR289" s="1153"/>
      <c r="AS289" s="1561"/>
    </row>
    <row r="290" spans="1:45" ht="30" customHeight="1" x14ac:dyDescent="0.3">
      <c r="A290" s="2949" t="s">
        <v>9</v>
      </c>
      <c r="B290" s="1025" t="s">
        <v>988</v>
      </c>
      <c r="C290" s="956"/>
      <c r="D290" s="956"/>
      <c r="E290" s="956"/>
      <c r="F290" s="956"/>
      <c r="G290" s="604" t="s">
        <v>580</v>
      </c>
      <c r="H290" s="1288"/>
      <c r="I290" s="1153"/>
      <c r="J290" s="2968"/>
      <c r="K290" s="20"/>
      <c r="L290" s="20"/>
      <c r="M290" s="20"/>
      <c r="N290" s="1025" t="s">
        <v>221</v>
      </c>
      <c r="O290" s="956"/>
      <c r="P290" s="956"/>
      <c r="Q290" s="956"/>
      <c r="R290" s="956"/>
      <c r="S290" s="2029"/>
      <c r="T290" s="1025" t="s">
        <v>221</v>
      </c>
      <c r="U290" s="956"/>
      <c r="V290" s="956"/>
      <c r="W290" s="956"/>
      <c r="X290" s="956"/>
      <c r="Y290" s="2029"/>
      <c r="Z290" s="1025" t="s">
        <v>985</v>
      </c>
      <c r="AA290" s="956"/>
      <c r="AB290" s="956"/>
      <c r="AC290" s="956"/>
      <c r="AD290" s="956"/>
      <c r="AE290" s="2029"/>
    </row>
    <row r="291" spans="1:45" ht="30" customHeight="1" thickBot="1" x14ac:dyDescent="0.3">
      <c r="A291" s="2950"/>
      <c r="B291" s="2312" t="s">
        <v>1022</v>
      </c>
      <c r="C291" s="1055"/>
      <c r="D291" s="1055"/>
      <c r="E291" s="1055"/>
      <c r="F291" s="1055"/>
      <c r="G291" s="2313"/>
      <c r="H291" s="1288"/>
      <c r="I291" s="1154"/>
      <c r="J291" s="2969"/>
      <c r="K291" s="20"/>
      <c r="L291" s="20"/>
      <c r="M291" s="20"/>
      <c r="N291" s="1026" t="s">
        <v>159</v>
      </c>
      <c r="O291" s="1055"/>
      <c r="P291" s="937"/>
      <c r="Q291" s="937"/>
      <c r="R291" s="937"/>
      <c r="S291" s="2041"/>
      <c r="T291" s="1026" t="s">
        <v>159</v>
      </c>
      <c r="U291" s="1055"/>
      <c r="V291" s="937"/>
      <c r="W291" s="937"/>
      <c r="X291" s="937"/>
      <c r="Y291" s="2041"/>
      <c r="Z291" s="2312" t="s">
        <v>752</v>
      </c>
      <c r="AA291" s="1055"/>
      <c r="AB291" s="1055"/>
      <c r="AC291" s="1055"/>
      <c r="AD291" s="1055"/>
      <c r="AE291" s="2313"/>
    </row>
    <row r="292" spans="1:45" ht="18" thickBot="1" x14ac:dyDescent="0.3">
      <c r="A292" s="19" t="s">
        <v>1</v>
      </c>
      <c r="B292" s="1091" t="s">
        <v>2</v>
      </c>
      <c r="C292" s="1092"/>
      <c r="D292" s="1092"/>
      <c r="E292" s="1092"/>
      <c r="F292" s="1092"/>
      <c r="G292" s="1093"/>
      <c r="H292" s="1091" t="s">
        <v>3</v>
      </c>
      <c r="I292" s="1092"/>
      <c r="J292" s="1092"/>
      <c r="K292" s="1092"/>
      <c r="L292" s="1092"/>
      <c r="M292" s="1093"/>
      <c r="N292" s="1091" t="s">
        <v>139</v>
      </c>
      <c r="O292" s="1092"/>
      <c r="P292" s="1092"/>
      <c r="Q292" s="1092"/>
      <c r="R292" s="1092"/>
      <c r="S292" s="1093"/>
      <c r="T292" s="1076" t="s">
        <v>4</v>
      </c>
      <c r="U292" s="1077"/>
      <c r="V292" s="1077"/>
      <c r="W292" s="1077"/>
      <c r="X292" s="1077"/>
      <c r="Y292" s="1078"/>
      <c r="Z292" s="1091" t="s">
        <v>5</v>
      </c>
      <c r="AA292" s="1092"/>
      <c r="AB292" s="1092"/>
      <c r="AC292" s="1092"/>
      <c r="AD292" s="1092"/>
      <c r="AE292" s="1093"/>
    </row>
    <row r="293" spans="1:45" ht="30" customHeight="1" x14ac:dyDescent="0.3">
      <c r="A293" s="2975" t="s">
        <v>187</v>
      </c>
      <c r="B293" s="1261"/>
      <c r="C293" s="1050"/>
      <c r="D293" s="1050"/>
      <c r="E293" s="1050"/>
      <c r="F293" s="1050"/>
      <c r="G293" s="1262"/>
      <c r="H293" s="1000"/>
      <c r="I293" s="967"/>
      <c r="J293" s="967"/>
      <c r="K293" s="967"/>
      <c r="L293" s="967"/>
      <c r="M293" s="1139"/>
      <c r="N293" s="2976"/>
      <c r="O293" s="2977"/>
      <c r="P293" s="2977"/>
      <c r="Q293" s="2977"/>
      <c r="R293" s="2977"/>
      <c r="S293" s="2978"/>
      <c r="T293" s="1261"/>
      <c r="U293" s="1050"/>
      <c r="V293" s="1050"/>
      <c r="W293" s="1050"/>
      <c r="X293" s="1050"/>
      <c r="Y293" s="1262"/>
      <c r="Z293" s="1000"/>
      <c r="AA293" s="967"/>
      <c r="AB293" s="967"/>
      <c r="AC293" s="967"/>
      <c r="AD293" s="967"/>
      <c r="AE293" s="1139"/>
    </row>
    <row r="294" spans="1:45" ht="35.25" customHeight="1" x14ac:dyDescent="0.25">
      <c r="A294" s="2937"/>
      <c r="B294" s="999"/>
      <c r="C294" s="930"/>
      <c r="D294" s="930"/>
      <c r="E294" s="930"/>
      <c r="F294" s="930"/>
      <c r="G294" s="1140"/>
      <c r="H294" s="2106"/>
      <c r="I294" s="1061"/>
      <c r="J294" s="1061"/>
      <c r="K294" s="1061"/>
      <c r="L294" s="1061"/>
      <c r="M294" s="2107"/>
      <c r="N294" s="999"/>
      <c r="O294" s="930"/>
      <c r="P294" s="930"/>
      <c r="Q294" s="930"/>
      <c r="R294" s="930"/>
      <c r="S294" s="1140"/>
      <c r="T294" s="999"/>
      <c r="U294" s="930"/>
      <c r="V294" s="930"/>
      <c r="W294" s="930"/>
      <c r="X294" s="930"/>
      <c r="Y294" s="1140"/>
      <c r="Z294" s="2106"/>
      <c r="AA294" s="1061"/>
      <c r="AB294" s="1061"/>
      <c r="AC294" s="1061"/>
      <c r="AD294" s="1061"/>
      <c r="AE294" s="2107"/>
    </row>
    <row r="295" spans="1:45" ht="30" customHeight="1" x14ac:dyDescent="0.3">
      <c r="A295" s="2949" t="s">
        <v>186</v>
      </c>
      <c r="B295" s="1000"/>
      <c r="C295" s="967"/>
      <c r="D295" s="967"/>
      <c r="E295" s="967"/>
      <c r="F295" s="967"/>
      <c r="G295" s="1139"/>
      <c r="H295" s="1000"/>
      <c r="I295" s="967"/>
      <c r="J295" s="967"/>
      <c r="K295" s="967"/>
      <c r="L295" s="967"/>
      <c r="M295" s="1139"/>
      <c r="N295" s="2976"/>
      <c r="O295" s="2977"/>
      <c r="P295" s="2977"/>
      <c r="Q295" s="2977"/>
      <c r="R295" s="2977"/>
      <c r="S295" s="2978"/>
      <c r="T295" s="1000"/>
      <c r="U295" s="967"/>
      <c r="V295" s="967"/>
      <c r="W295" s="967"/>
      <c r="X295" s="967"/>
      <c r="Y295" s="1139"/>
      <c r="Z295" s="1000"/>
      <c r="AA295" s="967"/>
      <c r="AB295" s="967"/>
      <c r="AC295" s="967"/>
      <c r="AD295" s="967"/>
      <c r="AE295" s="1139"/>
    </row>
    <row r="296" spans="1:45" ht="33" customHeight="1" x14ac:dyDescent="0.25">
      <c r="A296" s="2950"/>
      <c r="B296" s="999"/>
      <c r="C296" s="930"/>
      <c r="D296" s="930"/>
      <c r="E296" s="930"/>
      <c r="F296" s="930"/>
      <c r="G296" s="1140"/>
      <c r="H296" s="2106"/>
      <c r="I296" s="1061"/>
      <c r="J296" s="1061"/>
      <c r="K296" s="1061"/>
      <c r="L296" s="1061"/>
      <c r="M296" s="2107"/>
      <c r="N296" s="1708"/>
      <c r="O296" s="1058"/>
      <c r="P296" s="1058"/>
      <c r="Q296" s="1058"/>
      <c r="R296" s="1058"/>
      <c r="S296" s="2317"/>
      <c r="T296" s="999"/>
      <c r="U296" s="930"/>
      <c r="V296" s="930"/>
      <c r="W296" s="930"/>
      <c r="X296" s="930"/>
      <c r="Y296" s="1140"/>
      <c r="Z296" s="999"/>
      <c r="AA296" s="930"/>
      <c r="AB296" s="930"/>
      <c r="AC296" s="930"/>
      <c r="AD296" s="930"/>
      <c r="AE296" s="1140"/>
    </row>
    <row r="297" spans="1:45" ht="33" customHeight="1" x14ac:dyDescent="0.3">
      <c r="A297" s="2937" t="s">
        <v>188</v>
      </c>
      <c r="B297" s="1000"/>
      <c r="C297" s="967"/>
      <c r="D297" s="967"/>
      <c r="E297" s="967"/>
      <c r="F297" s="967"/>
      <c r="G297" s="1139"/>
      <c r="H297" s="1000"/>
      <c r="I297" s="967"/>
      <c r="J297" s="967"/>
      <c r="K297" s="967"/>
      <c r="L297" s="967"/>
      <c r="M297" s="1139"/>
      <c r="N297" s="2938" t="s">
        <v>1114</v>
      </c>
      <c r="O297" s="1022"/>
      <c r="P297" s="1022"/>
      <c r="Q297" s="1022"/>
      <c r="R297" s="1022"/>
      <c r="S297" s="2939"/>
      <c r="T297" s="369"/>
      <c r="U297" s="370"/>
      <c r="V297" s="370"/>
      <c r="W297" s="370"/>
      <c r="X297" s="370"/>
      <c r="Y297" s="376"/>
      <c r="Z297" s="369"/>
      <c r="AA297" s="370"/>
      <c r="AB297" s="370"/>
      <c r="AC297" s="370"/>
      <c r="AD297" s="370"/>
      <c r="AE297" s="376"/>
    </row>
    <row r="298" spans="1:45" ht="33" customHeight="1" x14ac:dyDescent="0.25">
      <c r="A298" s="2937"/>
      <c r="B298" s="999"/>
      <c r="C298" s="930"/>
      <c r="D298" s="930"/>
      <c r="E298" s="930"/>
      <c r="F298" s="930"/>
      <c r="G298" s="1140"/>
      <c r="H298" s="2309"/>
      <c r="I298" s="1032"/>
      <c r="J298" s="1032"/>
      <c r="K298" s="1032"/>
      <c r="L298" s="1032"/>
      <c r="M298" s="2943"/>
      <c r="N298" s="1026" t="s">
        <v>1022</v>
      </c>
      <c r="O298" s="937"/>
      <c r="P298" s="937"/>
      <c r="Q298" s="937"/>
      <c r="R298" s="937"/>
      <c r="S298" s="2041"/>
      <c r="T298" s="369"/>
      <c r="U298" s="370"/>
      <c r="V298" s="370"/>
      <c r="W298" s="370"/>
      <c r="X298" s="370"/>
      <c r="Y298" s="376"/>
      <c r="Z298" s="369"/>
      <c r="AA298" s="370"/>
      <c r="AB298" s="370"/>
      <c r="AC298" s="370"/>
      <c r="AD298" s="370"/>
      <c r="AE298" s="376"/>
    </row>
    <row r="299" spans="1:45" ht="33" customHeight="1" x14ac:dyDescent="0.3">
      <c r="A299" s="2937" t="s">
        <v>189</v>
      </c>
      <c r="B299" s="1000"/>
      <c r="C299" s="967"/>
      <c r="D299" s="967"/>
      <c r="E299" s="967"/>
      <c r="F299" s="967"/>
      <c r="G299" s="1139"/>
      <c r="H299" s="1000"/>
      <c r="I299" s="967"/>
      <c r="J299" s="967"/>
      <c r="K299" s="967"/>
      <c r="L299" s="967"/>
      <c r="M299" s="1139"/>
      <c r="N299" s="2938" t="s">
        <v>1114</v>
      </c>
      <c r="O299" s="1022"/>
      <c r="P299" s="1022"/>
      <c r="Q299" s="1022"/>
      <c r="R299" s="1022"/>
      <c r="S299" s="2939"/>
      <c r="T299" s="1000"/>
      <c r="U299" s="967"/>
      <c r="V299" s="967"/>
      <c r="W299" s="967"/>
      <c r="X299" s="967"/>
      <c r="Y299" s="1139"/>
      <c r="Z299" s="1000"/>
      <c r="AA299" s="967"/>
      <c r="AB299" s="967"/>
      <c r="AC299" s="967"/>
      <c r="AD299" s="967"/>
      <c r="AE299" s="1139"/>
    </row>
    <row r="300" spans="1:45" ht="33" customHeight="1" x14ac:dyDescent="0.25">
      <c r="A300" s="2937"/>
      <c r="B300" s="2309"/>
      <c r="C300" s="1032"/>
      <c r="D300" s="1032"/>
      <c r="E300" s="1032"/>
      <c r="F300" s="1032"/>
      <c r="G300" s="2943"/>
      <c r="H300" s="2309"/>
      <c r="I300" s="1032"/>
      <c r="J300" s="1032"/>
      <c r="K300" s="1032"/>
      <c r="L300" s="1032"/>
      <c r="M300" s="2943"/>
      <c r="N300" s="1026" t="s">
        <v>1022</v>
      </c>
      <c r="O300" s="937"/>
      <c r="P300" s="937"/>
      <c r="Q300" s="937"/>
      <c r="R300" s="937"/>
      <c r="S300" s="2041"/>
      <c r="T300" s="999"/>
      <c r="U300" s="930"/>
      <c r="V300" s="930"/>
      <c r="W300" s="930"/>
      <c r="X300" s="930"/>
      <c r="Y300" s="1140"/>
      <c r="Z300" s="2309"/>
      <c r="AA300" s="1032"/>
      <c r="AB300" s="1032"/>
      <c r="AC300" s="1032"/>
      <c r="AD300" s="1032"/>
      <c r="AE300" s="2943"/>
    </row>
    <row r="301" spans="1:45" ht="33" customHeight="1" x14ac:dyDescent="0.3">
      <c r="A301" s="2937" t="s">
        <v>190</v>
      </c>
      <c r="B301" s="2938" t="s">
        <v>988</v>
      </c>
      <c r="C301" s="1022"/>
      <c r="D301" s="1022"/>
      <c r="E301" s="1022"/>
      <c r="F301" s="1022"/>
      <c r="G301" s="2939"/>
      <c r="H301" s="1000"/>
      <c r="I301" s="967"/>
      <c r="J301" s="967"/>
      <c r="K301" s="967"/>
      <c r="L301" s="967"/>
      <c r="M301" s="1139"/>
      <c r="N301" s="1000"/>
      <c r="O301" s="967"/>
      <c r="P301" s="967"/>
      <c r="Q301" s="967"/>
      <c r="R301" s="967"/>
      <c r="S301" s="1139"/>
      <c r="T301" s="369"/>
      <c r="U301" s="370"/>
      <c r="V301" s="370"/>
      <c r="W301" s="370"/>
      <c r="X301" s="370"/>
      <c r="Y301" s="376"/>
      <c r="Z301" s="369"/>
      <c r="AA301" s="370"/>
      <c r="AB301" s="370"/>
      <c r="AC301" s="370"/>
      <c r="AD301" s="370"/>
      <c r="AE301" s="376"/>
    </row>
    <row r="302" spans="1:45" ht="33" customHeight="1" x14ac:dyDescent="0.25">
      <c r="A302" s="2937"/>
      <c r="B302" s="2940" t="s">
        <v>579</v>
      </c>
      <c r="C302" s="2941"/>
      <c r="D302" s="2941"/>
      <c r="E302" s="2941"/>
      <c r="F302" s="2941"/>
      <c r="G302" s="2942"/>
      <c r="H302" s="2309"/>
      <c r="I302" s="1032"/>
      <c r="J302" s="1032"/>
      <c r="K302" s="1032"/>
      <c r="L302" s="1032"/>
      <c r="M302" s="2943"/>
      <c r="N302" s="999"/>
      <c r="O302" s="930"/>
      <c r="P302" s="930"/>
      <c r="Q302" s="930"/>
      <c r="R302" s="930"/>
      <c r="S302" s="1140"/>
      <c r="T302" s="369"/>
      <c r="U302" s="370"/>
      <c r="V302" s="370"/>
      <c r="W302" s="370"/>
      <c r="X302" s="370"/>
      <c r="Y302" s="376"/>
      <c r="Z302" s="369"/>
      <c r="AA302" s="370"/>
      <c r="AB302" s="370"/>
      <c r="AC302" s="370"/>
      <c r="AD302" s="370"/>
      <c r="AE302" s="376"/>
    </row>
    <row r="303" spans="1:45" ht="30" customHeight="1" x14ac:dyDescent="0.3">
      <c r="A303" s="2937" t="s">
        <v>191</v>
      </c>
      <c r="B303" s="2312" t="s">
        <v>1022</v>
      </c>
      <c r="C303" s="1055"/>
      <c r="D303" s="1055"/>
      <c r="E303" s="1055"/>
      <c r="F303" s="1055"/>
      <c r="G303" s="2313"/>
      <c r="H303" s="1000"/>
      <c r="I303" s="967"/>
      <c r="J303" s="967"/>
      <c r="K303" s="967"/>
      <c r="L303" s="967"/>
      <c r="M303" s="1139"/>
      <c r="N303" s="1000"/>
      <c r="O303" s="967"/>
      <c r="P303" s="967"/>
      <c r="Q303" s="967"/>
      <c r="R303" s="967"/>
      <c r="S303" s="1139"/>
      <c r="T303" s="1000"/>
      <c r="U303" s="967"/>
      <c r="V303" s="967"/>
      <c r="W303" s="967"/>
      <c r="X303" s="967"/>
      <c r="Y303" s="1139"/>
      <c r="Z303" s="1000"/>
      <c r="AA303" s="967"/>
      <c r="AB303" s="967"/>
      <c r="AC303" s="967"/>
      <c r="AD303" s="967"/>
      <c r="AE303" s="1139"/>
    </row>
    <row r="304" spans="1:45" ht="30" customHeight="1" x14ac:dyDescent="0.25">
      <c r="A304" s="2937"/>
      <c r="B304" s="3066"/>
      <c r="C304" s="3067"/>
      <c r="D304" s="3067"/>
      <c r="E304" s="3067"/>
      <c r="F304" s="3067"/>
      <c r="G304" s="3068"/>
      <c r="H304" s="2309"/>
      <c r="I304" s="1032"/>
      <c r="J304" s="1032"/>
      <c r="K304" s="1032"/>
      <c r="L304" s="1032"/>
      <c r="M304" s="2943"/>
      <c r="N304" s="2309"/>
      <c r="O304" s="1032"/>
      <c r="P304" s="1032"/>
      <c r="Q304" s="1032"/>
      <c r="R304" s="1032"/>
      <c r="S304" s="2943"/>
      <c r="T304" s="999"/>
      <c r="U304" s="930"/>
      <c r="V304" s="930"/>
      <c r="W304" s="930"/>
      <c r="X304" s="930"/>
      <c r="Y304" s="1140"/>
      <c r="Z304" s="2309"/>
      <c r="AA304" s="1032"/>
      <c r="AB304" s="1032"/>
      <c r="AC304" s="1032"/>
      <c r="AD304" s="1032"/>
      <c r="AE304" s="2943"/>
    </row>
    <row r="305" spans="1:31" ht="15" x14ac:dyDescent="0.25">
      <c r="A305" s="2999" t="s">
        <v>1116</v>
      </c>
      <c r="B305" s="3064"/>
      <c r="C305" s="3064"/>
      <c r="D305" s="3064"/>
      <c r="E305" s="3065"/>
      <c r="G305" s="25" t="s">
        <v>735</v>
      </c>
    </row>
    <row r="306" spans="1:31" x14ac:dyDescent="0.25">
      <c r="A306" s="441" t="s">
        <v>1127</v>
      </c>
      <c r="B306" s="441"/>
      <c r="C306" s="441"/>
      <c r="D306" s="441"/>
      <c r="E306" s="441"/>
      <c r="F306" s="441"/>
      <c r="G306" s="441"/>
      <c r="H306" s="441"/>
      <c r="I306" s="441"/>
      <c r="J306" s="441"/>
      <c r="K306" s="441"/>
      <c r="L306" s="441"/>
      <c r="M306" s="441"/>
      <c r="N306" s="441"/>
      <c r="O306" s="441"/>
      <c r="P306" s="441"/>
      <c r="Q306" s="441"/>
      <c r="R306" s="441"/>
      <c r="S306" s="441"/>
      <c r="T306" s="441"/>
      <c r="U306" s="10"/>
      <c r="V306" s="10"/>
      <c r="W306" s="10"/>
      <c r="X306" s="10"/>
      <c r="Y306" s="10"/>
      <c r="Z306" s="10"/>
      <c r="AA306" s="10"/>
      <c r="AB306" s="10"/>
      <c r="AC306" s="10"/>
      <c r="AD306" s="10"/>
      <c r="AE306" s="10"/>
    </row>
    <row r="307" spans="1:31" s="10" customFormat="1" x14ac:dyDescent="0.25">
      <c r="A307" s="411"/>
      <c r="B307" s="411"/>
      <c r="C307" s="411"/>
      <c r="D307" s="411"/>
      <c r="E307" s="411"/>
      <c r="F307" s="411"/>
      <c r="G307" s="411"/>
      <c r="H307" s="411"/>
      <c r="I307" s="411"/>
      <c r="J307" s="411"/>
      <c r="K307" s="411"/>
      <c r="L307" s="411"/>
      <c r="M307" s="411"/>
      <c r="N307" s="411"/>
      <c r="O307" s="411"/>
      <c r="P307" s="411"/>
      <c r="Q307" s="411"/>
      <c r="R307" s="411"/>
      <c r="S307" s="411"/>
      <c r="T307" s="411"/>
    </row>
    <row r="308" spans="1:31" ht="15" x14ac:dyDescent="0.25">
      <c r="A308" s="2990" t="s">
        <v>218</v>
      </c>
      <c r="B308" s="2991"/>
      <c r="C308" s="995" t="s">
        <v>219</v>
      </c>
      <c r="D308" s="952"/>
      <c r="E308" s="952"/>
      <c r="F308" s="952"/>
      <c r="G308" s="952"/>
      <c r="H308" s="952"/>
      <c r="I308" s="952"/>
      <c r="J308" s="952"/>
      <c r="K308" s="952"/>
      <c r="L308" s="168"/>
      <c r="M308" s="996" t="s">
        <v>629</v>
      </c>
      <c r="N308" s="951"/>
      <c r="O308" s="995" t="s">
        <v>143</v>
      </c>
      <c r="P308" s="953"/>
      <c r="Q308" s="995" t="s">
        <v>167</v>
      </c>
      <c r="R308" s="952"/>
      <c r="S308" s="952"/>
      <c r="T308" s="952"/>
      <c r="U308" s="952"/>
      <c r="V308" s="952"/>
      <c r="W308" s="952"/>
      <c r="X308" s="952"/>
      <c r="Y308" s="952"/>
      <c r="Z308" s="952"/>
      <c r="AA308" s="952"/>
      <c r="AB308" s="952"/>
      <c r="AC308" s="952"/>
      <c r="AD308" s="952"/>
      <c r="AE308" s="953"/>
    </row>
    <row r="309" spans="1:31" ht="13.8" x14ac:dyDescent="0.25">
      <c r="A309" s="1063" t="s">
        <v>221</v>
      </c>
      <c r="B309" s="1064"/>
      <c r="C309" s="992" t="str">
        <f>ASIGNATURAS!I339</f>
        <v>Diseño Mecánico</v>
      </c>
      <c r="D309" s="993"/>
      <c r="E309" s="993"/>
      <c r="F309" s="993"/>
      <c r="G309" s="993"/>
      <c r="H309" s="993"/>
      <c r="I309" s="993"/>
      <c r="J309" s="993"/>
      <c r="K309" s="993"/>
      <c r="L309" s="982"/>
      <c r="M309" s="994">
        <v>8238</v>
      </c>
      <c r="N309" s="981"/>
      <c r="O309" s="994">
        <v>6</v>
      </c>
      <c r="P309" s="981"/>
      <c r="Q309" s="992" t="str">
        <f>ASIGNATURAS!K339</f>
        <v>María José García</v>
      </c>
      <c r="R309" s="993"/>
      <c r="S309" s="993"/>
      <c r="T309" s="993"/>
      <c r="U309" s="993"/>
      <c r="V309" s="993"/>
      <c r="W309" s="993"/>
      <c r="X309" s="993"/>
      <c r="Y309" s="993"/>
      <c r="Z309" s="993"/>
      <c r="AA309" s="993"/>
      <c r="AB309" s="993"/>
      <c r="AC309" s="993"/>
      <c r="AD309" s="993"/>
      <c r="AE309" s="982"/>
    </row>
    <row r="310" spans="1:31" ht="13.8" x14ac:dyDescent="0.25">
      <c r="A310" s="1063" t="s">
        <v>954</v>
      </c>
      <c r="B310" s="1064"/>
      <c r="C310" s="992" t="str">
        <f>ASIGNATURAS!I340</f>
        <v>Instrumentación y Señales Biomédicas</v>
      </c>
      <c r="D310" s="993"/>
      <c r="E310" s="993"/>
      <c r="F310" s="993"/>
      <c r="G310" s="993"/>
      <c r="H310" s="993"/>
      <c r="I310" s="993"/>
      <c r="J310" s="993"/>
      <c r="K310" s="993"/>
      <c r="L310" s="982"/>
      <c r="M310" s="994">
        <v>8239</v>
      </c>
      <c r="N310" s="981"/>
      <c r="O310" s="994">
        <v>6</v>
      </c>
      <c r="P310" s="981"/>
      <c r="Q310" s="992" t="str">
        <f>ASIGNATURAS!K340</f>
        <v>GuirguisZaqui</v>
      </c>
      <c r="R310" s="993"/>
      <c r="S310" s="993"/>
      <c r="T310" s="993"/>
      <c r="U310" s="993"/>
      <c r="V310" s="993"/>
      <c r="W310" s="993"/>
      <c r="X310" s="993"/>
      <c r="Y310" s="993"/>
      <c r="Z310" s="993"/>
      <c r="AA310" s="993"/>
      <c r="AB310" s="993"/>
      <c r="AC310" s="993"/>
      <c r="AD310" s="993"/>
      <c r="AE310" s="982"/>
    </row>
    <row r="311" spans="1:31" ht="14.25" customHeight="1" x14ac:dyDescent="0.25">
      <c r="A311" s="1063" t="s">
        <v>985</v>
      </c>
      <c r="B311" s="1064"/>
      <c r="C311" s="992" t="str">
        <f>ASIGNATURAS!I341</f>
        <v>Minería de Datos Clínicos y Biológicos</v>
      </c>
      <c r="D311" s="993"/>
      <c r="E311" s="993"/>
      <c r="F311" s="993"/>
      <c r="G311" s="993"/>
      <c r="H311" s="993"/>
      <c r="I311" s="993"/>
      <c r="J311" s="993"/>
      <c r="K311" s="993"/>
      <c r="L311" s="982"/>
      <c r="M311" s="994">
        <v>8240</v>
      </c>
      <c r="N311" s="981"/>
      <c r="O311" s="994">
        <v>6</v>
      </c>
      <c r="P311" s="981"/>
      <c r="Q311" s="992" t="str">
        <f>ASIGNATURAS!K341</f>
        <v xml:space="preserve">José Francisco Díez Juan José Rodríguez, </v>
      </c>
      <c r="R311" s="993"/>
      <c r="S311" s="993"/>
      <c r="T311" s="993"/>
      <c r="U311" s="993"/>
      <c r="V311" s="993"/>
      <c r="W311" s="993"/>
      <c r="X311" s="993"/>
      <c r="Y311" s="993"/>
      <c r="Z311" s="993"/>
      <c r="AA311" s="993"/>
      <c r="AB311" s="993"/>
      <c r="AC311" s="993"/>
      <c r="AD311" s="993"/>
      <c r="AE311" s="982"/>
    </row>
    <row r="312" spans="1:31" ht="13.8" x14ac:dyDescent="0.25">
      <c r="A312" s="1063" t="s">
        <v>987</v>
      </c>
      <c r="B312" s="1064"/>
      <c r="C312" s="992" t="str">
        <f>ASIGNATURAS!I342</f>
        <v>Arquitectura de Computadores</v>
      </c>
      <c r="D312" s="993"/>
      <c r="E312" s="993"/>
      <c r="F312" s="993"/>
      <c r="G312" s="993"/>
      <c r="H312" s="993"/>
      <c r="I312" s="993"/>
      <c r="J312" s="993"/>
      <c r="K312" s="993"/>
      <c r="L312" s="982"/>
      <c r="M312" s="994">
        <v>8241</v>
      </c>
      <c r="N312" s="981"/>
      <c r="O312" s="981">
        <v>3</v>
      </c>
      <c r="P312" s="972"/>
      <c r="Q312" s="992" t="str">
        <f>ASIGNATURAS!K342</f>
        <v>Pedro Luis Sánchez</v>
      </c>
      <c r="R312" s="993"/>
      <c r="S312" s="993"/>
      <c r="T312" s="993"/>
      <c r="U312" s="993"/>
      <c r="V312" s="993"/>
      <c r="W312" s="993"/>
      <c r="X312" s="993"/>
      <c r="Y312" s="993"/>
      <c r="Z312" s="993"/>
      <c r="AA312" s="993"/>
      <c r="AB312" s="993"/>
      <c r="AC312" s="993"/>
      <c r="AD312" s="993"/>
      <c r="AE312" s="982"/>
    </row>
    <row r="313" spans="1:31" ht="13.8" x14ac:dyDescent="0.25">
      <c r="A313" s="1063" t="s">
        <v>988</v>
      </c>
      <c r="B313" s="1064"/>
      <c r="C313" s="992" t="str">
        <f>ASIGNATURAS!I343</f>
        <v>Telemedicina</v>
      </c>
      <c r="D313" s="993"/>
      <c r="E313" s="993"/>
      <c r="F313" s="993"/>
      <c r="G313" s="993"/>
      <c r="H313" s="993"/>
      <c r="I313" s="993"/>
      <c r="J313" s="993"/>
      <c r="K313" s="993"/>
      <c r="L313" s="982"/>
      <c r="M313" s="994">
        <v>8242</v>
      </c>
      <c r="N313" s="981"/>
      <c r="O313" s="981">
        <v>3</v>
      </c>
      <c r="P313" s="972"/>
      <c r="Q313" s="992" t="str">
        <f>ASIGNATURAS!K343</f>
        <v>GuirguisZaqui</v>
      </c>
      <c r="R313" s="993"/>
      <c r="S313" s="993"/>
      <c r="T313" s="993"/>
      <c r="U313" s="993"/>
      <c r="V313" s="993"/>
      <c r="W313" s="993"/>
      <c r="X313" s="993"/>
      <c r="Y313" s="993"/>
      <c r="Z313" s="993"/>
      <c r="AA313" s="993"/>
      <c r="AB313" s="993"/>
      <c r="AC313" s="993"/>
      <c r="AD313" s="993"/>
      <c r="AE313" s="982"/>
    </row>
    <row r="314" spans="1:31" ht="13.8" x14ac:dyDescent="0.25">
      <c r="A314" s="1063" t="s">
        <v>1041</v>
      </c>
      <c r="B314" s="1064"/>
      <c r="C314" s="992" t="str">
        <f>ASIGNATURAS!I344</f>
        <v>Prácticas en Hospitales /Empresas</v>
      </c>
      <c r="D314" s="993"/>
      <c r="E314" s="993"/>
      <c r="F314" s="993"/>
      <c r="G314" s="993"/>
      <c r="H314" s="993"/>
      <c r="I314" s="993"/>
      <c r="J314" s="993"/>
      <c r="K314" s="993"/>
      <c r="L314" s="982"/>
      <c r="M314" s="994">
        <v>8243</v>
      </c>
      <c r="N314" s="981"/>
      <c r="O314" s="994">
        <v>6</v>
      </c>
      <c r="P314" s="981"/>
      <c r="Q314" s="992">
        <f>ASIGNATURAS!K344</f>
        <v>0</v>
      </c>
      <c r="R314" s="993"/>
      <c r="S314" s="993"/>
      <c r="T314" s="993"/>
      <c r="U314" s="993"/>
      <c r="V314" s="993"/>
      <c r="W314" s="993"/>
      <c r="X314" s="993"/>
      <c r="Y314" s="993"/>
      <c r="Z314" s="993"/>
      <c r="AA314" s="993"/>
      <c r="AB314" s="993"/>
      <c r="AC314" s="993"/>
      <c r="AD314" s="993"/>
      <c r="AE314" s="982"/>
    </row>
    <row r="324" spans="22:22" x14ac:dyDescent="0.25">
      <c r="V324">
        <v>33</v>
      </c>
    </row>
  </sheetData>
  <dataConsolidate>
    <dataRefs count="1">
      <dataRef ref="H263:H268" sheet="ASIGNATURAS" r:id="rId1"/>
    </dataRefs>
  </dataConsolidate>
  <mergeCells count="1290">
    <mergeCell ref="A297:A298"/>
    <mergeCell ref="B297:G297"/>
    <mergeCell ref="H297:M297"/>
    <mergeCell ref="N297:S297"/>
    <mergeCell ref="B298:G298"/>
    <mergeCell ref="H298:M298"/>
    <mergeCell ref="N298:S298"/>
    <mergeCell ref="A299:A300"/>
    <mergeCell ref="H299:M299"/>
    <mergeCell ref="N299:S299"/>
    <mergeCell ref="T299:Y299"/>
    <mergeCell ref="Z299:AE299"/>
    <mergeCell ref="B300:G300"/>
    <mergeCell ref="H300:M300"/>
    <mergeCell ref="N300:S300"/>
    <mergeCell ref="T300:Y300"/>
    <mergeCell ref="Z300:AE300"/>
    <mergeCell ref="B299:G299"/>
    <mergeCell ref="B303:G303"/>
    <mergeCell ref="A303:A304"/>
    <mergeCell ref="A314:B314"/>
    <mergeCell ref="C314:L314"/>
    <mergeCell ref="M314:N314"/>
    <mergeCell ref="O314:P314"/>
    <mergeCell ref="Q314:AE314"/>
    <mergeCell ref="A310:B310"/>
    <mergeCell ref="C310:L310"/>
    <mergeCell ref="M310:N310"/>
    <mergeCell ref="O310:P310"/>
    <mergeCell ref="Q310:AE310"/>
    <mergeCell ref="A311:B311"/>
    <mergeCell ref="C311:L311"/>
    <mergeCell ref="M311:N311"/>
    <mergeCell ref="O311:P311"/>
    <mergeCell ref="Q311:AE311"/>
    <mergeCell ref="A312:B312"/>
    <mergeCell ref="C312:L312"/>
    <mergeCell ref="M312:N312"/>
    <mergeCell ref="O312:P312"/>
    <mergeCell ref="Q312:AE312"/>
    <mergeCell ref="A313:B313"/>
    <mergeCell ref="C313:L313"/>
    <mergeCell ref="M313:N313"/>
    <mergeCell ref="O313:P313"/>
    <mergeCell ref="Q313:AE313"/>
    <mergeCell ref="H303:M303"/>
    <mergeCell ref="N303:S303"/>
    <mergeCell ref="B304:G304"/>
    <mergeCell ref="H304:M304"/>
    <mergeCell ref="N304:S304"/>
    <mergeCell ref="AS286:AS289"/>
    <mergeCell ref="A308:B308"/>
    <mergeCell ref="C308:K308"/>
    <mergeCell ref="M308:N308"/>
    <mergeCell ref="O308:P308"/>
    <mergeCell ref="Q308:AE308"/>
    <mergeCell ref="A309:B309"/>
    <mergeCell ref="C309:L309"/>
    <mergeCell ref="M309:N309"/>
    <mergeCell ref="O309:P309"/>
    <mergeCell ref="Q309:AE309"/>
    <mergeCell ref="T294:Y294"/>
    <mergeCell ref="Z294:AE294"/>
    <mergeCell ref="A295:A296"/>
    <mergeCell ref="N295:S295"/>
    <mergeCell ref="T295:Y295"/>
    <mergeCell ref="Z295:AE295"/>
    <mergeCell ref="N296:S296"/>
    <mergeCell ref="T296:Y296"/>
    <mergeCell ref="Z296:AE296"/>
    <mergeCell ref="B293:G293"/>
    <mergeCell ref="H293:M293"/>
    <mergeCell ref="B288:G288"/>
    <mergeCell ref="B289:G289"/>
    <mergeCell ref="A305:E305"/>
    <mergeCell ref="Z288:AE288"/>
    <mergeCell ref="H288:H291"/>
    <mergeCell ref="B292:G292"/>
    <mergeCell ref="H292:M292"/>
    <mergeCell ref="N292:S292"/>
    <mergeCell ref="T292:Y292"/>
    <mergeCell ref="Z292:AE292"/>
    <mergeCell ref="BA13:BF13"/>
    <mergeCell ref="BG13:BG18"/>
    <mergeCell ref="BH13:BH18"/>
    <mergeCell ref="BI13:BI18"/>
    <mergeCell ref="BJ13:BJ18"/>
    <mergeCell ref="BK13:BK18"/>
    <mergeCell ref="BL13:BL18"/>
    <mergeCell ref="AI14:AN14"/>
    <mergeCell ref="AO14:AT14"/>
    <mergeCell ref="AU14:AZ14"/>
    <mergeCell ref="BA14:BF14"/>
    <mergeCell ref="AJ15:AJ18"/>
    <mergeCell ref="AL15:AL18"/>
    <mergeCell ref="AN15:AN18"/>
    <mergeCell ref="AO15:AO18"/>
    <mergeCell ref="AP15:AP18"/>
    <mergeCell ref="AQ15:AQ18"/>
    <mergeCell ref="AR15:AR18"/>
    <mergeCell ref="AS15:AS18"/>
    <mergeCell ref="AT15:AT18"/>
    <mergeCell ref="AU15:AU18"/>
    <mergeCell ref="AV15:AV18"/>
    <mergeCell ref="AW15:AW18"/>
    <mergeCell ref="AX15:AX18"/>
    <mergeCell ref="AY15:AY18"/>
    <mergeCell ref="AZ15:AZ18"/>
    <mergeCell ref="BA15:BA18"/>
    <mergeCell ref="BB15:BB18"/>
    <mergeCell ref="BC15:BC18"/>
    <mergeCell ref="BD15:BD18"/>
    <mergeCell ref="BE15:BE18"/>
    <mergeCell ref="BF15:BF18"/>
    <mergeCell ref="BD7:BD10"/>
    <mergeCell ref="BE7:BE10"/>
    <mergeCell ref="BF7:BF10"/>
    <mergeCell ref="BG7:BG12"/>
    <mergeCell ref="BH7:BH12"/>
    <mergeCell ref="BI7:BI12"/>
    <mergeCell ref="BJ7:BJ12"/>
    <mergeCell ref="BK7:BK12"/>
    <mergeCell ref="BL7:BL12"/>
    <mergeCell ref="AO8:AO10"/>
    <mergeCell ref="AQ8:AQ10"/>
    <mergeCell ref="AS8:AS10"/>
    <mergeCell ref="AU8:AZ8"/>
    <mergeCell ref="AU9:AZ9"/>
    <mergeCell ref="AU10:AZ10"/>
    <mergeCell ref="AI11:AN11"/>
    <mergeCell ref="AO11:AT11"/>
    <mergeCell ref="AU11:AZ11"/>
    <mergeCell ref="BA11:BF11"/>
    <mergeCell ref="AI12:AN12"/>
    <mergeCell ref="AO12:AT12"/>
    <mergeCell ref="AU12:AZ12"/>
    <mergeCell ref="BA12:BF12"/>
    <mergeCell ref="AU7:AZ7"/>
    <mergeCell ref="AO13:AT13"/>
    <mergeCell ref="AU13:AZ13"/>
    <mergeCell ref="AI16:AI18"/>
    <mergeCell ref="AK16:AK18"/>
    <mergeCell ref="AM16:AM18"/>
    <mergeCell ref="W25:W30"/>
    <mergeCell ref="X25:X30"/>
    <mergeCell ref="Y25:Y30"/>
    <mergeCell ref="M6:M9"/>
    <mergeCell ref="N15:N17"/>
    <mergeCell ref="K14:K17"/>
    <mergeCell ref="L14:L17"/>
    <mergeCell ref="M14:M17"/>
    <mergeCell ref="E6:E9"/>
    <mergeCell ref="F6:F9"/>
    <mergeCell ref="K6:K9"/>
    <mergeCell ref="L6:L9"/>
    <mergeCell ref="N6:S6"/>
    <mergeCell ref="AB6:AB11"/>
    <mergeCell ref="N9:S9"/>
    <mergeCell ref="T10:Y10"/>
    <mergeCell ref="B11:G11"/>
    <mergeCell ref="AD6:AD11"/>
    <mergeCell ref="B6:B9"/>
    <mergeCell ref="C6:C9"/>
    <mergeCell ref="D6:D9"/>
    <mergeCell ref="W6:W9"/>
    <mergeCell ref="X6:X9"/>
    <mergeCell ref="V19:V24"/>
    <mergeCell ref="B20:G20"/>
    <mergeCell ref="B18:G18"/>
    <mergeCell ref="T6:T9"/>
    <mergeCell ref="Z168:AE168"/>
    <mergeCell ref="Z169:AE169"/>
    <mergeCell ref="Z170:AE170"/>
    <mergeCell ref="A28:A29"/>
    <mergeCell ref="H26:M27"/>
    <mergeCell ref="N26:S27"/>
    <mergeCell ref="Z26:AE27"/>
    <mergeCell ref="AI7:AI10"/>
    <mergeCell ref="AJ7:AJ10"/>
    <mergeCell ref="AK7:AK10"/>
    <mergeCell ref="AL7:AL10"/>
    <mergeCell ref="AM7:AM10"/>
    <mergeCell ref="AN7:AN10"/>
    <mergeCell ref="AP7:AP10"/>
    <mergeCell ref="AR7:AR10"/>
    <mergeCell ref="AT7:AT10"/>
    <mergeCell ref="T168:Y168"/>
    <mergeCell ref="T167:Y167"/>
    <mergeCell ref="AN125:AN128"/>
    <mergeCell ref="AM126:AM128"/>
    <mergeCell ref="R119:R122"/>
    <mergeCell ref="R123:R126"/>
    <mergeCell ref="S123:S126"/>
    <mergeCell ref="Z166:AE166"/>
    <mergeCell ref="M137:N137"/>
    <mergeCell ref="O137:P137"/>
    <mergeCell ref="Q137:AE137"/>
    <mergeCell ref="N160:S160"/>
    <mergeCell ref="Z150:AE151"/>
    <mergeCell ref="A151:Y151"/>
    <mergeCell ref="O139:P139"/>
    <mergeCell ref="AI13:AN13"/>
    <mergeCell ref="M171:M174"/>
    <mergeCell ref="N171:N174"/>
    <mergeCell ref="O171:O174"/>
    <mergeCell ref="P171:P174"/>
    <mergeCell ref="Y171:Y174"/>
    <mergeCell ref="A177:A178"/>
    <mergeCell ref="D171:D174"/>
    <mergeCell ref="AC171:AC174"/>
    <mergeCell ref="AD171:AD174"/>
    <mergeCell ref="N218:S218"/>
    <mergeCell ref="A247:B247"/>
    <mergeCell ref="C247:K247"/>
    <mergeCell ref="AB215:AB218"/>
    <mergeCell ref="A171:A172"/>
    <mergeCell ref="A173:A174"/>
    <mergeCell ref="AE171:AE174"/>
    <mergeCell ref="B175:G175"/>
    <mergeCell ref="B176:G176"/>
    <mergeCell ref="A175:A176"/>
    <mergeCell ref="B171:B174"/>
    <mergeCell ref="C171:C174"/>
    <mergeCell ref="A208:A209"/>
    <mergeCell ref="B208:G208"/>
    <mergeCell ref="H208:M208"/>
    <mergeCell ref="N208:S208"/>
    <mergeCell ref="B209:G209"/>
    <mergeCell ref="H209:M209"/>
    <mergeCell ref="N209:S209"/>
    <mergeCell ref="A210:A211"/>
    <mergeCell ref="B210:G210"/>
    <mergeCell ref="H210:M210"/>
    <mergeCell ref="N210:S210"/>
    <mergeCell ref="AE223:AE226"/>
    <mergeCell ref="T219:Y219"/>
    <mergeCell ref="A263:Y263"/>
    <mergeCell ref="Z263:AE264"/>
    <mergeCell ref="A264:Y264"/>
    <mergeCell ref="N281:S281"/>
    <mergeCell ref="O253:P253"/>
    <mergeCell ref="Q253:AE253"/>
    <mergeCell ref="N234:S234"/>
    <mergeCell ref="T234:Y234"/>
    <mergeCell ref="Z234:AE234"/>
    <mergeCell ref="L235:L240"/>
    <mergeCell ref="M235:M240"/>
    <mergeCell ref="A240:A241"/>
    <mergeCell ref="O250:P250"/>
    <mergeCell ref="N266:S266"/>
    <mergeCell ref="T266:Y266"/>
    <mergeCell ref="Z266:AE266"/>
    <mergeCell ref="A267:A268"/>
    <mergeCell ref="B267:G267"/>
    <mergeCell ref="H267:M267"/>
    <mergeCell ref="N267:S267"/>
    <mergeCell ref="B268:G268"/>
    <mergeCell ref="H268:M268"/>
    <mergeCell ref="N268:S268"/>
    <mergeCell ref="A269:A270"/>
    <mergeCell ref="A271:A272"/>
    <mergeCell ref="B271:G271"/>
    <mergeCell ref="H271:M271"/>
    <mergeCell ref="N271:S271"/>
    <mergeCell ref="B272:G272"/>
    <mergeCell ref="H272:M272"/>
    <mergeCell ref="N272:S272"/>
    <mergeCell ref="B266:G266"/>
    <mergeCell ref="H266:M266"/>
    <mergeCell ref="Q252:AE252"/>
    <mergeCell ref="C250:L250"/>
    <mergeCell ref="C251:L251"/>
    <mergeCell ref="C253:L253"/>
    <mergeCell ref="C252:L252"/>
    <mergeCell ref="M253:N253"/>
    <mergeCell ref="Q250:AE250"/>
    <mergeCell ref="A256:E256"/>
    <mergeCell ref="A257:E257"/>
    <mergeCell ref="A262:Y262"/>
    <mergeCell ref="A253:B253"/>
    <mergeCell ref="Z262:AE262"/>
    <mergeCell ref="M252:N252"/>
    <mergeCell ref="O252:P252"/>
    <mergeCell ref="A252:B252"/>
    <mergeCell ref="BE228:BE231"/>
    <mergeCell ref="BF228:BK228"/>
    <mergeCell ref="B229:G229"/>
    <mergeCell ref="N229:S229"/>
    <mergeCell ref="T229:Y229"/>
    <mergeCell ref="Z229:AE229"/>
    <mergeCell ref="AH229:AM229"/>
    <mergeCell ref="BF229:BK229"/>
    <mergeCell ref="A230:A231"/>
    <mergeCell ref="B230:G230"/>
    <mergeCell ref="N230:S230"/>
    <mergeCell ref="T230:Y230"/>
    <mergeCell ref="Z230:AE230"/>
    <mergeCell ref="AH230:AM230"/>
    <mergeCell ref="BF230:BK230"/>
    <mergeCell ref="B231:G231"/>
    <mergeCell ref="N231:S231"/>
    <mergeCell ref="T231:Y231"/>
    <mergeCell ref="Z231:AE231"/>
    <mergeCell ref="AH231:AM231"/>
    <mergeCell ref="BF231:BK231"/>
    <mergeCell ref="I229:I234"/>
    <mergeCell ref="AU232:AU235"/>
    <mergeCell ref="AV232:AV235"/>
    <mergeCell ref="AW232:AW235"/>
    <mergeCell ref="AH234:AM234"/>
    <mergeCell ref="BF234:BK234"/>
    <mergeCell ref="B235:G235"/>
    <mergeCell ref="N235:S235"/>
    <mergeCell ref="BD237:BD239"/>
    <mergeCell ref="AR238:AW238"/>
    <mergeCell ref="N239:S239"/>
    <mergeCell ref="AR239:AW239"/>
    <mergeCell ref="A228:A229"/>
    <mergeCell ref="B228:G228"/>
    <mergeCell ref="AH228:AM228"/>
    <mergeCell ref="AT228:AT231"/>
    <mergeCell ref="AU228:AU231"/>
    <mergeCell ref="AV228:AV231"/>
    <mergeCell ref="AW228:AW231"/>
    <mergeCell ref="AX228:AX231"/>
    <mergeCell ref="AY228:AY231"/>
    <mergeCell ref="AZ228:AZ231"/>
    <mergeCell ref="BA228:BA231"/>
    <mergeCell ref="BB228:BB231"/>
    <mergeCell ref="B233:G233"/>
    <mergeCell ref="N233:S233"/>
    <mergeCell ref="T233:Y233"/>
    <mergeCell ref="Z233:AE233"/>
    <mergeCell ref="AH233:AM233"/>
    <mergeCell ref="AN233:AN237"/>
    <mergeCell ref="AX232:AX235"/>
    <mergeCell ref="AY232:AY235"/>
    <mergeCell ref="AZ232:AZ235"/>
    <mergeCell ref="AH235:AM235"/>
    <mergeCell ref="AR237:AW237"/>
    <mergeCell ref="BC228:BC231"/>
    <mergeCell ref="BD228:BD231"/>
    <mergeCell ref="AH232:AM232"/>
    <mergeCell ref="AO232:AO237"/>
    <mergeCell ref="AT232:AT235"/>
    <mergeCell ref="K171:K174"/>
    <mergeCell ref="W171:W174"/>
    <mergeCell ref="X171:X174"/>
    <mergeCell ref="T171:T174"/>
    <mergeCell ref="U171:U174"/>
    <mergeCell ref="V171:V174"/>
    <mergeCell ref="H175:M175"/>
    <mergeCell ref="H176:M176"/>
    <mergeCell ref="Z171:Z174"/>
    <mergeCell ref="AA171:AA174"/>
    <mergeCell ref="L171:L174"/>
    <mergeCell ref="BF235:BK235"/>
    <mergeCell ref="A236:A237"/>
    <mergeCell ref="N236:S236"/>
    <mergeCell ref="AR236:AW236"/>
    <mergeCell ref="BE236:BE239"/>
    <mergeCell ref="BF236:BF239"/>
    <mergeCell ref="BG236:BG239"/>
    <mergeCell ref="BH236:BH239"/>
    <mergeCell ref="BI236:BI239"/>
    <mergeCell ref="BJ236:BJ239"/>
    <mergeCell ref="BK236:BK239"/>
    <mergeCell ref="BA232:BA235"/>
    <mergeCell ref="BB232:BB235"/>
    <mergeCell ref="BC232:BC235"/>
    <mergeCell ref="BD232:BD235"/>
    <mergeCell ref="BE232:BE235"/>
    <mergeCell ref="BF232:BK232"/>
    <mergeCell ref="BF233:BK233"/>
    <mergeCell ref="B234:G234"/>
    <mergeCell ref="A232:A233"/>
    <mergeCell ref="A234:A235"/>
    <mergeCell ref="AC123:AC126"/>
    <mergeCell ref="AH124:AH129"/>
    <mergeCell ref="AI124:AI129"/>
    <mergeCell ref="AD123:AD126"/>
    <mergeCell ref="Z121:AE121"/>
    <mergeCell ref="Z120:AE120"/>
    <mergeCell ref="T123:T126"/>
    <mergeCell ref="U123:U126"/>
    <mergeCell ref="Z123:Z126"/>
    <mergeCell ref="AA123:AA126"/>
    <mergeCell ref="AB123:AB126"/>
    <mergeCell ref="AR240:AW240"/>
    <mergeCell ref="N241:S241"/>
    <mergeCell ref="AR241:AW241"/>
    <mergeCell ref="B236:G236"/>
    <mergeCell ref="B237:G237"/>
    <mergeCell ref="B238:G238"/>
    <mergeCell ref="B239:G239"/>
    <mergeCell ref="B240:G240"/>
    <mergeCell ref="AB171:AB174"/>
    <mergeCell ref="E171:E174"/>
    <mergeCell ref="F171:F174"/>
    <mergeCell ref="G171:G174"/>
    <mergeCell ref="T175:T178"/>
    <mergeCell ref="U175:U178"/>
    <mergeCell ref="V175:V178"/>
    <mergeCell ref="W175:W178"/>
    <mergeCell ref="X175:X178"/>
    <mergeCell ref="Y175:Y178"/>
    <mergeCell ref="H171:H174"/>
    <mergeCell ref="I171:I174"/>
    <mergeCell ref="J171:J174"/>
    <mergeCell ref="B170:G170"/>
    <mergeCell ref="H169:M169"/>
    <mergeCell ref="H168:M168"/>
    <mergeCell ref="B168:G168"/>
    <mergeCell ref="B167:G167"/>
    <mergeCell ref="H164:M164"/>
    <mergeCell ref="H165:M165"/>
    <mergeCell ref="H170:M170"/>
    <mergeCell ref="Q167:Q170"/>
    <mergeCell ref="S167:S170"/>
    <mergeCell ref="B164:G164"/>
    <mergeCell ref="N164:S164"/>
    <mergeCell ref="B165:G165"/>
    <mergeCell ref="N165:S165"/>
    <mergeCell ref="R167:R170"/>
    <mergeCell ref="T166:Y166"/>
    <mergeCell ref="H166:M166"/>
    <mergeCell ref="N166:S166"/>
    <mergeCell ref="T169:Y169"/>
    <mergeCell ref="B169:G169"/>
    <mergeCell ref="B160:G160"/>
    <mergeCell ref="H161:M161"/>
    <mergeCell ref="N161:S161"/>
    <mergeCell ref="A160:A161"/>
    <mergeCell ref="A138:B138"/>
    <mergeCell ref="A162:A163"/>
    <mergeCell ref="H162:M162"/>
    <mergeCell ref="B162:G162"/>
    <mergeCell ref="B154:G154"/>
    <mergeCell ref="H154:M154"/>
    <mergeCell ref="N154:S154"/>
    <mergeCell ref="B155:G155"/>
    <mergeCell ref="H155:M155"/>
    <mergeCell ref="N155:S155"/>
    <mergeCell ref="B158:G158"/>
    <mergeCell ref="B159:G159"/>
    <mergeCell ref="H163:M163"/>
    <mergeCell ref="N163:S163"/>
    <mergeCell ref="B161:G161"/>
    <mergeCell ref="H160:M160"/>
    <mergeCell ref="N158:S158"/>
    <mergeCell ref="H159:M159"/>
    <mergeCell ref="N159:S159"/>
    <mergeCell ref="A154:A155"/>
    <mergeCell ref="Q138:AE138"/>
    <mergeCell ref="A142:B142"/>
    <mergeCell ref="Q139:AE139"/>
    <mergeCell ref="C138:L138"/>
    <mergeCell ref="B118:G118"/>
    <mergeCell ref="T120:Y120"/>
    <mergeCell ref="B122:G122"/>
    <mergeCell ref="T121:Y121"/>
    <mergeCell ref="H120:M120"/>
    <mergeCell ref="T122:Y122"/>
    <mergeCell ref="Z130:AE130"/>
    <mergeCell ref="N162:S162"/>
    <mergeCell ref="B163:G163"/>
    <mergeCell ref="A158:A159"/>
    <mergeCell ref="H158:M158"/>
    <mergeCell ref="A164:A165"/>
    <mergeCell ref="B166:G166"/>
    <mergeCell ref="A129:A130"/>
    <mergeCell ref="C137:K137"/>
    <mergeCell ref="B153:G153"/>
    <mergeCell ref="H153:M153"/>
    <mergeCell ref="N153:S153"/>
    <mergeCell ref="T153:Y153"/>
    <mergeCell ref="M142:N142"/>
    <mergeCell ref="O142:P142"/>
    <mergeCell ref="Q142:AE142"/>
    <mergeCell ref="M138:N138"/>
    <mergeCell ref="C139:L139"/>
    <mergeCell ref="M139:N139"/>
    <mergeCell ref="C142:L142"/>
    <mergeCell ref="Q141:AE141"/>
    <mergeCell ref="Y123:Y126"/>
    <mergeCell ref="O125:O128"/>
    <mergeCell ref="A125:A126"/>
    <mergeCell ref="Z153:AE153"/>
    <mergeCell ref="A156:A157"/>
    <mergeCell ref="A127:A128"/>
    <mergeCell ref="P124:P125"/>
    <mergeCell ref="O118:O123"/>
    <mergeCell ref="A137:B137"/>
    <mergeCell ref="B126:G126"/>
    <mergeCell ref="B116:G116"/>
    <mergeCell ref="H116:M116"/>
    <mergeCell ref="Z116:AE116"/>
    <mergeCell ref="H108:M108"/>
    <mergeCell ref="H114:M114"/>
    <mergeCell ref="N113:S113"/>
    <mergeCell ref="H112:M112"/>
    <mergeCell ref="H113:M113"/>
    <mergeCell ref="T119:Y119"/>
    <mergeCell ref="N115:S115"/>
    <mergeCell ref="N116:S116"/>
    <mergeCell ref="A108:A109"/>
    <mergeCell ref="T116:Y116"/>
    <mergeCell ref="T118:Y118"/>
    <mergeCell ref="H119:M119"/>
    <mergeCell ref="A117:A118"/>
    <mergeCell ref="B117:G117"/>
    <mergeCell ref="H117:M117"/>
    <mergeCell ref="H122:M122"/>
    <mergeCell ref="H121:M121"/>
    <mergeCell ref="B121:G121"/>
    <mergeCell ref="A119:A120"/>
    <mergeCell ref="A121:A122"/>
    <mergeCell ref="H118:M118"/>
    <mergeCell ref="B125:G125"/>
    <mergeCell ref="H115:M115"/>
    <mergeCell ref="A112:A113"/>
    <mergeCell ref="J123:J126"/>
    <mergeCell ref="K123:K126"/>
    <mergeCell ref="Q119:Q122"/>
    <mergeCell ref="S119:S122"/>
    <mergeCell ref="H104:M104"/>
    <mergeCell ref="B124:G124"/>
    <mergeCell ref="L123:L126"/>
    <mergeCell ref="M123:M126"/>
    <mergeCell ref="Z103:AE103"/>
    <mergeCell ref="Z119:AE119"/>
    <mergeCell ref="AE123:AE126"/>
    <mergeCell ref="B123:G123"/>
    <mergeCell ref="A114:A115"/>
    <mergeCell ref="N104:S104"/>
    <mergeCell ref="B113:G113"/>
    <mergeCell ref="B114:G114"/>
    <mergeCell ref="N112:S112"/>
    <mergeCell ref="T117:Y117"/>
    <mergeCell ref="B115:G115"/>
    <mergeCell ref="A123:A124"/>
    <mergeCell ref="H123:H126"/>
    <mergeCell ref="I123:I126"/>
    <mergeCell ref="N114:S114"/>
    <mergeCell ref="B109:G109"/>
    <mergeCell ref="B110:G110"/>
    <mergeCell ref="H110:M110"/>
    <mergeCell ref="N110:S110"/>
    <mergeCell ref="B112:G112"/>
    <mergeCell ref="B119:G119"/>
    <mergeCell ref="N118:N119"/>
    <mergeCell ref="H105:M105"/>
    <mergeCell ref="B120:G120"/>
    <mergeCell ref="A110:A111"/>
    <mergeCell ref="B104:G104"/>
    <mergeCell ref="A106:A107"/>
    <mergeCell ref="B111:G111"/>
    <mergeCell ref="H111:M111"/>
    <mergeCell ref="N111:S111"/>
    <mergeCell ref="B105:G105"/>
    <mergeCell ref="O90:P90"/>
    <mergeCell ref="Q90:AE90"/>
    <mergeCell ref="A91:B91"/>
    <mergeCell ref="A100:Y100"/>
    <mergeCell ref="A101:Y101"/>
    <mergeCell ref="Z100:AE101"/>
    <mergeCell ref="A90:B90"/>
    <mergeCell ref="M92:N92"/>
    <mergeCell ref="B103:G103"/>
    <mergeCell ref="H103:M103"/>
    <mergeCell ref="A94:E94"/>
    <mergeCell ref="A95:E95"/>
    <mergeCell ref="O92:P92"/>
    <mergeCell ref="O91:P91"/>
    <mergeCell ref="T103:Y103"/>
    <mergeCell ref="Z99:AE99"/>
    <mergeCell ref="C88:L88"/>
    <mergeCell ref="I65:I68"/>
    <mergeCell ref="H75:M75"/>
    <mergeCell ref="L66:L68"/>
    <mergeCell ref="N69:S69"/>
    <mergeCell ref="B78:G78"/>
    <mergeCell ref="M91:N91"/>
    <mergeCell ref="Q91:AE91"/>
    <mergeCell ref="H109:M109"/>
    <mergeCell ref="N109:S109"/>
    <mergeCell ref="N103:S103"/>
    <mergeCell ref="C90:L90"/>
    <mergeCell ref="M90:N90"/>
    <mergeCell ref="N105:S105"/>
    <mergeCell ref="N108:S108"/>
    <mergeCell ref="A104:A105"/>
    <mergeCell ref="B108:G108"/>
    <mergeCell ref="B77:G77"/>
    <mergeCell ref="B74:G74"/>
    <mergeCell ref="H76:M76"/>
    <mergeCell ref="H77:M77"/>
    <mergeCell ref="B70:G70"/>
    <mergeCell ref="E65:E68"/>
    <mergeCell ref="H70:M70"/>
    <mergeCell ref="K65:K68"/>
    <mergeCell ref="H79:M79"/>
    <mergeCell ref="A67:A68"/>
    <mergeCell ref="A76:A77"/>
    <mergeCell ref="A74:A75"/>
    <mergeCell ref="A70:A71"/>
    <mergeCell ref="H74:M74"/>
    <mergeCell ref="O86:P86"/>
    <mergeCell ref="B79:G79"/>
    <mergeCell ref="C86:K86"/>
    <mergeCell ref="Q86:AE86"/>
    <mergeCell ref="S65:S68"/>
    <mergeCell ref="R66:R68"/>
    <mergeCell ref="Z71:AE71"/>
    <mergeCell ref="H71:M71"/>
    <mergeCell ref="B75:G75"/>
    <mergeCell ref="A78:A79"/>
    <mergeCell ref="X71:X75"/>
    <mergeCell ref="W70:W73"/>
    <mergeCell ref="V71:V73"/>
    <mergeCell ref="Y70:Y75"/>
    <mergeCell ref="Z66:Z68"/>
    <mergeCell ref="G65:G68"/>
    <mergeCell ref="S70:S75"/>
    <mergeCell ref="Z69:AE69"/>
    <mergeCell ref="M86:N86"/>
    <mergeCell ref="Z75:AE75"/>
    <mergeCell ref="Z70:AE70"/>
    <mergeCell ref="M40:N40"/>
    <mergeCell ref="O40:P40"/>
    <mergeCell ref="Q40:AE40"/>
    <mergeCell ref="U61:U64"/>
    <mergeCell ref="Z58:Z62"/>
    <mergeCell ref="T62:T64"/>
    <mergeCell ref="B61:G61"/>
    <mergeCell ref="AC63:AC68"/>
    <mergeCell ref="AB64:AB68"/>
    <mergeCell ref="W65:W68"/>
    <mergeCell ref="A65:A66"/>
    <mergeCell ref="N59:S59"/>
    <mergeCell ref="N60:S60"/>
    <mergeCell ref="C65:C68"/>
    <mergeCell ref="A59:A60"/>
    <mergeCell ref="Z56:AE56"/>
    <mergeCell ref="A63:A64"/>
    <mergeCell ref="Y65:Y68"/>
    <mergeCell ref="N62:S62"/>
    <mergeCell ref="B62:G62"/>
    <mergeCell ref="O65:O68"/>
    <mergeCell ref="N66:N68"/>
    <mergeCell ref="Q65:Q68"/>
    <mergeCell ref="P66:P68"/>
    <mergeCell ref="N56:S56"/>
    <mergeCell ref="T56:Y56"/>
    <mergeCell ref="A52:Y52"/>
    <mergeCell ref="H62:M62"/>
    <mergeCell ref="V58:V60"/>
    <mergeCell ref="O41:P41"/>
    <mergeCell ref="AD58:AD60"/>
    <mergeCell ref="Q41:AE41"/>
    <mergeCell ref="A36:B36"/>
    <mergeCell ref="M36:N36"/>
    <mergeCell ref="Q36:AE36"/>
    <mergeCell ref="A37:B37"/>
    <mergeCell ref="C37:L37"/>
    <mergeCell ref="M37:N37"/>
    <mergeCell ref="O37:P37"/>
    <mergeCell ref="Q37:AE37"/>
    <mergeCell ref="O36:P36"/>
    <mergeCell ref="C36:K36"/>
    <mergeCell ref="A38:B38"/>
    <mergeCell ref="A32:AE32"/>
    <mergeCell ref="A33:AE33"/>
    <mergeCell ref="O39:P39"/>
    <mergeCell ref="B66:B68"/>
    <mergeCell ref="D66:D68"/>
    <mergeCell ref="F66:F68"/>
    <mergeCell ref="V66:V68"/>
    <mergeCell ref="C38:L38"/>
    <mergeCell ref="Z52:AE52"/>
    <mergeCell ref="A53:Y53"/>
    <mergeCell ref="Z53:AE54"/>
    <mergeCell ref="A54:Y54"/>
    <mergeCell ref="H59:M59"/>
    <mergeCell ref="N57:S57"/>
    <mergeCell ref="AA57:AA62"/>
    <mergeCell ref="AB58:AB60"/>
    <mergeCell ref="A61:A62"/>
    <mergeCell ref="B60:G60"/>
    <mergeCell ref="N61:S61"/>
    <mergeCell ref="B59:G59"/>
    <mergeCell ref="A57:A58"/>
    <mergeCell ref="W14:W17"/>
    <mergeCell ref="X14:X17"/>
    <mergeCell ref="Y14:Y17"/>
    <mergeCell ref="Z18:AE18"/>
    <mergeCell ref="Z20:AE20"/>
    <mergeCell ref="A30:A31"/>
    <mergeCell ref="B30:G30"/>
    <mergeCell ref="H30:M30"/>
    <mergeCell ref="N30:S30"/>
    <mergeCell ref="B31:G31"/>
    <mergeCell ref="H31:M31"/>
    <mergeCell ref="N31:S31"/>
    <mergeCell ref="A26:A27"/>
    <mergeCell ref="B25:G25"/>
    <mergeCell ref="H25:M25"/>
    <mergeCell ref="B21:G21"/>
    <mergeCell ref="B22:G22"/>
    <mergeCell ref="B23:G23"/>
    <mergeCell ref="N25:S25"/>
    <mergeCell ref="H18:M18"/>
    <mergeCell ref="N18:S18"/>
    <mergeCell ref="T18:Y18"/>
    <mergeCell ref="U19:U24"/>
    <mergeCell ref="A1:Y1"/>
    <mergeCell ref="Z1:AE1"/>
    <mergeCell ref="A2:Y2"/>
    <mergeCell ref="A3:Y3"/>
    <mergeCell ref="B5:G5"/>
    <mergeCell ref="H5:M5"/>
    <mergeCell ref="T11:Y11"/>
    <mergeCell ref="N8:S8"/>
    <mergeCell ref="Z5:AE5"/>
    <mergeCell ref="Z6:Z11"/>
    <mergeCell ref="AA6:AA11"/>
    <mergeCell ref="U6:U9"/>
    <mergeCell ref="N11:S11"/>
    <mergeCell ref="H11:M11"/>
    <mergeCell ref="T5:Y5"/>
    <mergeCell ref="N5:S5"/>
    <mergeCell ref="T13:Y13"/>
    <mergeCell ref="A6:A7"/>
    <mergeCell ref="A10:A11"/>
    <mergeCell ref="B12:G12"/>
    <mergeCell ref="B10:G10"/>
    <mergeCell ref="H12:M12"/>
    <mergeCell ref="T12:Y12"/>
    <mergeCell ref="H13:M13"/>
    <mergeCell ref="V6:V9"/>
    <mergeCell ref="N12:S12"/>
    <mergeCell ref="I6:I9"/>
    <mergeCell ref="AE6:AE11"/>
    <mergeCell ref="AC6:AC11"/>
    <mergeCell ref="N10:S10"/>
    <mergeCell ref="Y6:Y9"/>
    <mergeCell ref="AD12:AD17"/>
    <mergeCell ref="Z2:AE3"/>
    <mergeCell ref="G6:G9"/>
    <mergeCell ref="H6:H9"/>
    <mergeCell ref="N7:S7"/>
    <mergeCell ref="N13:S13"/>
    <mergeCell ref="J6:J9"/>
    <mergeCell ref="AC12:AC17"/>
    <mergeCell ref="A12:A13"/>
    <mergeCell ref="B13:G13"/>
    <mergeCell ref="H10:M10"/>
    <mergeCell ref="A8:A9"/>
    <mergeCell ref="U14:U17"/>
    <mergeCell ref="AE12:AE17"/>
    <mergeCell ref="B64:G64"/>
    <mergeCell ref="A41:B41"/>
    <mergeCell ref="C41:L41"/>
    <mergeCell ref="M41:N41"/>
    <mergeCell ref="A16:A17"/>
    <mergeCell ref="A20:A21"/>
    <mergeCell ref="H14:H17"/>
    <mergeCell ref="A24:A25"/>
    <mergeCell ref="E14:E17"/>
    <mergeCell ref="Z12:Z17"/>
    <mergeCell ref="AB12:AB17"/>
    <mergeCell ref="AA12:AA17"/>
    <mergeCell ref="B24:G24"/>
    <mergeCell ref="V14:V17"/>
    <mergeCell ref="A22:A23"/>
    <mergeCell ref="B14:B17"/>
    <mergeCell ref="H19:H24"/>
    <mergeCell ref="T19:T24"/>
    <mergeCell ref="I14:I17"/>
    <mergeCell ref="A40:B40"/>
    <mergeCell ref="C40:L40"/>
    <mergeCell ref="A167:A168"/>
    <mergeCell ref="A87:B87"/>
    <mergeCell ref="F14:F17"/>
    <mergeCell ref="D14:D17"/>
    <mergeCell ref="Q14:Q17"/>
    <mergeCell ref="R14:R17"/>
    <mergeCell ref="S14:S17"/>
    <mergeCell ref="M38:N38"/>
    <mergeCell ref="O38:P38"/>
    <mergeCell ref="Q38:AE38"/>
    <mergeCell ref="O14:O17"/>
    <mergeCell ref="C14:C17"/>
    <mergeCell ref="G14:G17"/>
    <mergeCell ref="A14:A15"/>
    <mergeCell ref="O88:P88"/>
    <mergeCell ref="M88:N88"/>
    <mergeCell ref="N78:S78"/>
    <mergeCell ref="J14:J17"/>
    <mergeCell ref="T14:T17"/>
    <mergeCell ref="I19:I24"/>
    <mergeCell ref="J19:J24"/>
    <mergeCell ref="N19:N24"/>
    <mergeCell ref="O19:O24"/>
    <mergeCell ref="P19:P24"/>
    <mergeCell ref="Z21:AE21"/>
    <mergeCell ref="Z22:AE22"/>
    <mergeCell ref="Z23:AE23"/>
    <mergeCell ref="P14:P17"/>
    <mergeCell ref="O141:P141"/>
    <mergeCell ref="X58:X60"/>
    <mergeCell ref="C185:L185"/>
    <mergeCell ref="M185:N185"/>
    <mergeCell ref="B71:G71"/>
    <mergeCell ref="B76:G76"/>
    <mergeCell ref="A39:B39"/>
    <mergeCell ref="C39:L39"/>
    <mergeCell ref="M39:N39"/>
    <mergeCell ref="W57:W60"/>
    <mergeCell ref="A49:E49"/>
    <mergeCell ref="H58:M58"/>
    <mergeCell ref="B63:G63"/>
    <mergeCell ref="B69:G69"/>
    <mergeCell ref="H69:M69"/>
    <mergeCell ref="A191:E191"/>
    <mergeCell ref="C182:K182"/>
    <mergeCell ref="A186:B186"/>
    <mergeCell ref="C186:L186"/>
    <mergeCell ref="M186:N186"/>
    <mergeCell ref="O186:P186"/>
    <mergeCell ref="Q186:AE186"/>
    <mergeCell ref="A187:B187"/>
    <mergeCell ref="C187:L187"/>
    <mergeCell ref="M187:N187"/>
    <mergeCell ref="O187:P187"/>
    <mergeCell ref="Q187:AE187"/>
    <mergeCell ref="A184:B184"/>
    <mergeCell ref="C184:L184"/>
    <mergeCell ref="M184:N184"/>
    <mergeCell ref="O184:P184"/>
    <mergeCell ref="W74:W79"/>
    <mergeCell ref="H64:M64"/>
    <mergeCell ref="H60:M60"/>
    <mergeCell ref="H199:M199"/>
    <mergeCell ref="N199:S199"/>
    <mergeCell ref="T199:Y199"/>
    <mergeCell ref="A200:A201"/>
    <mergeCell ref="B200:G200"/>
    <mergeCell ref="C87:L87"/>
    <mergeCell ref="B201:G201"/>
    <mergeCell ref="H201:M201"/>
    <mergeCell ref="Q89:AE89"/>
    <mergeCell ref="O87:P87"/>
    <mergeCell ref="AC57:AC60"/>
    <mergeCell ref="B58:G58"/>
    <mergeCell ref="A48:E48"/>
    <mergeCell ref="B56:G56"/>
    <mergeCell ref="H56:M56"/>
    <mergeCell ref="A72:A73"/>
    <mergeCell ref="B57:G57"/>
    <mergeCell ref="A190:E190"/>
    <mergeCell ref="A140:B140"/>
    <mergeCell ref="M140:N140"/>
    <mergeCell ref="O140:P140"/>
    <mergeCell ref="Q140:AE140"/>
    <mergeCell ref="C140:L140"/>
    <mergeCell ref="O138:P138"/>
    <mergeCell ref="A146:E146"/>
    <mergeCell ref="A150:Y150"/>
    <mergeCell ref="A145:E145"/>
    <mergeCell ref="A149:Y149"/>
    <mergeCell ref="Z149:AE149"/>
    <mergeCell ref="A141:B141"/>
    <mergeCell ref="C141:L141"/>
    <mergeCell ref="M141:N141"/>
    <mergeCell ref="N223:S223"/>
    <mergeCell ref="N224:S224"/>
    <mergeCell ref="B212:G212"/>
    <mergeCell ref="H212:M212"/>
    <mergeCell ref="T220:Y220"/>
    <mergeCell ref="H225:M225"/>
    <mergeCell ref="D223:D226"/>
    <mergeCell ref="H57:M57"/>
    <mergeCell ref="C223:C226"/>
    <mergeCell ref="H222:M222"/>
    <mergeCell ref="H223:M223"/>
    <mergeCell ref="H224:M224"/>
    <mergeCell ref="A182:B182"/>
    <mergeCell ref="M182:N182"/>
    <mergeCell ref="Q184:AE184"/>
    <mergeCell ref="A185:B185"/>
    <mergeCell ref="A183:B183"/>
    <mergeCell ref="C183:L183"/>
    <mergeCell ref="M183:N183"/>
    <mergeCell ref="O183:P183"/>
    <mergeCell ref="A169:A170"/>
    <mergeCell ref="H167:M167"/>
    <mergeCell ref="T170:Y170"/>
    <mergeCell ref="A139:B139"/>
    <mergeCell ref="A206:A207"/>
    <mergeCell ref="B206:G206"/>
    <mergeCell ref="H206:M206"/>
    <mergeCell ref="A195:Y195"/>
    <mergeCell ref="Z195:AE195"/>
    <mergeCell ref="A196:Y196"/>
    <mergeCell ref="Z196:AE197"/>
    <mergeCell ref="A197:Y197"/>
    <mergeCell ref="T223:T226"/>
    <mergeCell ref="U223:U226"/>
    <mergeCell ref="V223:V226"/>
    <mergeCell ref="AC223:AC226"/>
    <mergeCell ref="AD223:AD226"/>
    <mergeCell ref="H215:M215"/>
    <mergeCell ref="H216:M216"/>
    <mergeCell ref="H200:M200"/>
    <mergeCell ref="H218:M218"/>
    <mergeCell ref="Z221:AE221"/>
    <mergeCell ref="Z222:AE222"/>
    <mergeCell ref="N226:S226"/>
    <mergeCell ref="A202:A203"/>
    <mergeCell ref="A204:A205"/>
    <mergeCell ref="B204:G204"/>
    <mergeCell ref="H204:M204"/>
    <mergeCell ref="B205:G205"/>
    <mergeCell ref="H205:M205"/>
    <mergeCell ref="N205:S205"/>
    <mergeCell ref="N206:S206"/>
    <mergeCell ref="B207:G207"/>
    <mergeCell ref="H207:M207"/>
    <mergeCell ref="N207:S207"/>
    <mergeCell ref="B211:G211"/>
    <mergeCell ref="H211:M211"/>
    <mergeCell ref="N211:S211"/>
    <mergeCell ref="A223:A224"/>
    <mergeCell ref="A225:A226"/>
    <mergeCell ref="B222:G222"/>
    <mergeCell ref="S219:S222"/>
    <mergeCell ref="N215:S215"/>
    <mergeCell ref="N216:S216"/>
    <mergeCell ref="B223:B226"/>
    <mergeCell ref="P219:P222"/>
    <mergeCell ref="AA215:AA218"/>
    <mergeCell ref="N225:S225"/>
    <mergeCell ref="B227:G227"/>
    <mergeCell ref="H219:M219"/>
    <mergeCell ref="T215:T218"/>
    <mergeCell ref="E223:E226"/>
    <mergeCell ref="G223:G226"/>
    <mergeCell ref="B215:B218"/>
    <mergeCell ref="T212:Y212"/>
    <mergeCell ref="Z212:AE212"/>
    <mergeCell ref="A215:A216"/>
    <mergeCell ref="T221:Y221"/>
    <mergeCell ref="B219:G219"/>
    <mergeCell ref="A213:A214"/>
    <mergeCell ref="A217:A218"/>
    <mergeCell ref="N217:S217"/>
    <mergeCell ref="B221:G221"/>
    <mergeCell ref="Q219:Q222"/>
    <mergeCell ref="A221:A222"/>
    <mergeCell ref="B220:G220"/>
    <mergeCell ref="F223:F226"/>
    <mergeCell ref="F215:F218"/>
    <mergeCell ref="E216:E218"/>
    <mergeCell ref="Z219:AE219"/>
    <mergeCell ref="Z220:AE220"/>
    <mergeCell ref="A219:A220"/>
    <mergeCell ref="AC215:AC218"/>
    <mergeCell ref="AB223:AB226"/>
    <mergeCell ref="AD215:AD218"/>
    <mergeCell ref="AA223:AA226"/>
    <mergeCell ref="H227:M227"/>
    <mergeCell ref="N227:S227"/>
    <mergeCell ref="T227:Y227"/>
    <mergeCell ref="Z227:AE227"/>
    <mergeCell ref="B232:G232"/>
    <mergeCell ref="N232:S232"/>
    <mergeCell ref="T232:Y232"/>
    <mergeCell ref="Z232:AE232"/>
    <mergeCell ref="N237:S237"/>
    <mergeCell ref="H229:H234"/>
    <mergeCell ref="N228:S228"/>
    <mergeCell ref="T228:Y228"/>
    <mergeCell ref="Z228:AE228"/>
    <mergeCell ref="J229:J234"/>
    <mergeCell ref="K235:K240"/>
    <mergeCell ref="N240:S240"/>
    <mergeCell ref="Z238:AE238"/>
    <mergeCell ref="Z239:AE239"/>
    <mergeCell ref="Z236:AE236"/>
    <mergeCell ref="Z237:AE237"/>
    <mergeCell ref="Z240:AE240"/>
    <mergeCell ref="T235:Y235"/>
    <mergeCell ref="Z235:AE235"/>
    <mergeCell ref="B241:G241"/>
    <mergeCell ref="T236:Y236"/>
    <mergeCell ref="T237:Y237"/>
    <mergeCell ref="T238:Y238"/>
    <mergeCell ref="T239:Y239"/>
    <mergeCell ref="T240:Y240"/>
    <mergeCell ref="T241:Y241"/>
    <mergeCell ref="M247:N247"/>
    <mergeCell ref="O247:P247"/>
    <mergeCell ref="Q247:AE247"/>
    <mergeCell ref="A248:B248"/>
    <mergeCell ref="C248:L248"/>
    <mergeCell ref="M248:N248"/>
    <mergeCell ref="O248:P248"/>
    <mergeCell ref="Q248:AE248"/>
    <mergeCell ref="A251:B251"/>
    <mergeCell ref="M251:N251"/>
    <mergeCell ref="O251:P251"/>
    <mergeCell ref="Q251:AE251"/>
    <mergeCell ref="Z241:AE241"/>
    <mergeCell ref="M250:N250"/>
    <mergeCell ref="A238:A239"/>
    <mergeCell ref="N238:S238"/>
    <mergeCell ref="O249:P249"/>
    <mergeCell ref="Q249:AE249"/>
    <mergeCell ref="A250:B250"/>
    <mergeCell ref="A249:B249"/>
    <mergeCell ref="C249:L249"/>
    <mergeCell ref="M249:N249"/>
    <mergeCell ref="A273:A274"/>
    <mergeCell ref="B273:G273"/>
    <mergeCell ref="H273:M273"/>
    <mergeCell ref="N273:S273"/>
    <mergeCell ref="B274:G274"/>
    <mergeCell ref="H274:M274"/>
    <mergeCell ref="N274:S274"/>
    <mergeCell ref="A275:A276"/>
    <mergeCell ref="B275:G275"/>
    <mergeCell ref="H275:M275"/>
    <mergeCell ref="N275:S275"/>
    <mergeCell ref="B276:G276"/>
    <mergeCell ref="H276:M276"/>
    <mergeCell ref="N276:S276"/>
    <mergeCell ref="H278:M278"/>
    <mergeCell ref="N287:S287"/>
    <mergeCell ref="T279:Y279"/>
    <mergeCell ref="N278:S278"/>
    <mergeCell ref="A277:A278"/>
    <mergeCell ref="B277:G277"/>
    <mergeCell ref="H277:M277"/>
    <mergeCell ref="N277:S277"/>
    <mergeCell ref="B278:G278"/>
    <mergeCell ref="B287:G287"/>
    <mergeCell ref="H287:M287"/>
    <mergeCell ref="T287:Y287"/>
    <mergeCell ref="B279:G279"/>
    <mergeCell ref="Z279:AE279"/>
    <mergeCell ref="A280:A281"/>
    <mergeCell ref="Z280:AE280"/>
    <mergeCell ref="Z281:AE281"/>
    <mergeCell ref="A282:A283"/>
    <mergeCell ref="F280:F283"/>
    <mergeCell ref="G280:G283"/>
    <mergeCell ref="AQ288:AQ289"/>
    <mergeCell ref="AR288:AR289"/>
    <mergeCell ref="Z282:AE282"/>
    <mergeCell ref="T285:Y285"/>
    <mergeCell ref="T284:Y284"/>
    <mergeCell ref="T282:Y282"/>
    <mergeCell ref="T283:Y283"/>
    <mergeCell ref="I288:I291"/>
    <mergeCell ref="J288:J291"/>
    <mergeCell ref="N288:S288"/>
    <mergeCell ref="N284:S284"/>
    <mergeCell ref="Z291:AE291"/>
    <mergeCell ref="T280:Y280"/>
    <mergeCell ref="T281:Y281"/>
    <mergeCell ref="N282:S282"/>
    <mergeCell ref="B280:B283"/>
    <mergeCell ref="C280:C283"/>
    <mergeCell ref="N285:S285"/>
    <mergeCell ref="N286:S286"/>
    <mergeCell ref="T286:Y286"/>
    <mergeCell ref="Z286:AE286"/>
    <mergeCell ref="Z290:AE290"/>
    <mergeCell ref="D280:D283"/>
    <mergeCell ref="N283:S283"/>
    <mergeCell ref="N280:S280"/>
    <mergeCell ref="A293:A294"/>
    <mergeCell ref="N293:S293"/>
    <mergeCell ref="T293:Y293"/>
    <mergeCell ref="Z293:AE293"/>
    <mergeCell ref="N294:S294"/>
    <mergeCell ref="H286:M286"/>
    <mergeCell ref="B285:G285"/>
    <mergeCell ref="H285:M285"/>
    <mergeCell ref="B284:G284"/>
    <mergeCell ref="H284:M284"/>
    <mergeCell ref="B294:G294"/>
    <mergeCell ref="H294:M294"/>
    <mergeCell ref="B291:G291"/>
    <mergeCell ref="T288:Y288"/>
    <mergeCell ref="T289:Y289"/>
    <mergeCell ref="T290:Y290"/>
    <mergeCell ref="T291:Y291"/>
    <mergeCell ref="Z287:AE287"/>
    <mergeCell ref="N290:S290"/>
    <mergeCell ref="A286:A287"/>
    <mergeCell ref="A288:A289"/>
    <mergeCell ref="B290:F290"/>
    <mergeCell ref="BH223:BH226"/>
    <mergeCell ref="BI223:BI226"/>
    <mergeCell ref="AN75:AN80"/>
    <mergeCell ref="AM75:AM80"/>
    <mergeCell ref="BC219:BC222"/>
    <mergeCell ref="BD219:BD222"/>
    <mergeCell ref="BE219:BE222"/>
    <mergeCell ref="AZ219:AZ222"/>
    <mergeCell ref="BB215:BB218"/>
    <mergeCell ref="BF219:BK219"/>
    <mergeCell ref="BJ223:BJ226"/>
    <mergeCell ref="BK223:BK226"/>
    <mergeCell ref="AH220:AM220"/>
    <mergeCell ref="AN220:AN224"/>
    <mergeCell ref="BA216:BA218"/>
    <mergeCell ref="BF220:BK220"/>
    <mergeCell ref="BF222:BK222"/>
    <mergeCell ref="AT218:AY218"/>
    <mergeCell ref="BD224:BD226"/>
    <mergeCell ref="AT219:AT222"/>
    <mergeCell ref="AU219:AU222"/>
    <mergeCell ref="AX219:AX222"/>
    <mergeCell ref="AY219:AY222"/>
    <mergeCell ref="AP215:AP219"/>
    <mergeCell ref="AH219:AM219"/>
    <mergeCell ref="AW219:AW222"/>
    <mergeCell ref="A88:B88"/>
    <mergeCell ref="N212:S212"/>
    <mergeCell ref="Z199:AE199"/>
    <mergeCell ref="Q183:AE183"/>
    <mergeCell ref="N201:S201"/>
    <mergeCell ref="BF221:BK221"/>
    <mergeCell ref="AT217:AY217"/>
    <mergeCell ref="AH222:AM222"/>
    <mergeCell ref="Q39:AE39"/>
    <mergeCell ref="H63:M63"/>
    <mergeCell ref="N64:S64"/>
    <mergeCell ref="N63:S63"/>
    <mergeCell ref="N58:S58"/>
    <mergeCell ref="H66:H68"/>
    <mergeCell ref="M65:M68"/>
    <mergeCell ref="T222:Y222"/>
    <mergeCell ref="BE223:BE226"/>
    <mergeCell ref="AV219:AV222"/>
    <mergeCell ref="AR223:AW223"/>
    <mergeCell ref="AO219:AO224"/>
    <mergeCell ref="AQ214:AQ219"/>
    <mergeCell ref="BA219:BA222"/>
    <mergeCell ref="BB219:BB222"/>
    <mergeCell ref="AR224:AW224"/>
    <mergeCell ref="AR225:AW225"/>
    <mergeCell ref="AR226:AW226"/>
    <mergeCell ref="BF215:BK215"/>
    <mergeCell ref="BF217:BK217"/>
    <mergeCell ref="BF216:BK216"/>
    <mergeCell ref="BF218:BK218"/>
    <mergeCell ref="BF223:BF226"/>
    <mergeCell ref="BG223:BG226"/>
    <mergeCell ref="V215:V218"/>
    <mergeCell ref="Z215:Z218"/>
    <mergeCell ref="H217:M217"/>
    <mergeCell ref="H220:M220"/>
    <mergeCell ref="C215:C218"/>
    <mergeCell ref="D215:D218"/>
    <mergeCell ref="B199:G199"/>
    <mergeCell ref="AK59:AK62"/>
    <mergeCell ref="AL59:AL62"/>
    <mergeCell ref="AH57:AH60"/>
    <mergeCell ref="AG58:AG60"/>
    <mergeCell ref="AP64:AP67"/>
    <mergeCell ref="Y57:Y60"/>
    <mergeCell ref="AA65:AA68"/>
    <mergeCell ref="N204:S204"/>
    <mergeCell ref="O182:P182"/>
    <mergeCell ref="Q182:AE182"/>
    <mergeCell ref="U215:U218"/>
    <mergeCell ref="Q88:AE88"/>
    <mergeCell ref="Q87:AE87"/>
    <mergeCell ref="R71:R75"/>
    <mergeCell ref="T69:Y69"/>
    <mergeCell ref="V75:V79"/>
    <mergeCell ref="A99:Y99"/>
    <mergeCell ref="A92:B92"/>
    <mergeCell ref="C92:L92"/>
    <mergeCell ref="C91:L91"/>
    <mergeCell ref="A89:B89"/>
    <mergeCell ref="C89:L89"/>
    <mergeCell ref="M89:N89"/>
    <mergeCell ref="A86:B86"/>
    <mergeCell ref="M87:N87"/>
    <mergeCell ref="AW63:AW66"/>
    <mergeCell ref="AX63:AX66"/>
    <mergeCell ref="AY63:AY66"/>
    <mergeCell ref="AJ64:AJ67"/>
    <mergeCell ref="AK64:AK67"/>
    <mergeCell ref="AL64:AL67"/>
    <mergeCell ref="AJ59:AJ62"/>
    <mergeCell ref="AR64:AR67"/>
    <mergeCell ref="X66:X68"/>
    <mergeCell ref="AM67:AM70"/>
    <mergeCell ref="N76:S76"/>
    <mergeCell ref="N77:S77"/>
    <mergeCell ref="AY194:BD194"/>
    <mergeCell ref="AY195:BD195"/>
    <mergeCell ref="O185:P185"/>
    <mergeCell ref="N200:S200"/>
    <mergeCell ref="O89:P89"/>
    <mergeCell ref="Z167:AE167"/>
    <mergeCell ref="AJ122:AJ125"/>
    <mergeCell ref="P126:P129"/>
    <mergeCell ref="N126:N128"/>
    <mergeCell ref="P120:P122"/>
    <mergeCell ref="AE57:AE60"/>
    <mergeCell ref="N79:S79"/>
    <mergeCell ref="N120:N123"/>
    <mergeCell ref="AG124:AG129"/>
    <mergeCell ref="Z122:AE122"/>
    <mergeCell ref="Z129:AE129"/>
    <mergeCell ref="V123:V126"/>
    <mergeCell ref="W123:W126"/>
    <mergeCell ref="X123:X126"/>
    <mergeCell ref="Q124:Q129"/>
    <mergeCell ref="T304:Y304"/>
    <mergeCell ref="Z304:AE304"/>
    <mergeCell ref="AH215:AH218"/>
    <mergeCell ref="H279:M279"/>
    <mergeCell ref="N279:S279"/>
    <mergeCell ref="Z283:AE283"/>
    <mergeCell ref="E280:E283"/>
    <mergeCell ref="A290:A291"/>
    <mergeCell ref="A284:A285"/>
    <mergeCell ref="AZ63:AZ66"/>
    <mergeCell ref="BA63:BA66"/>
    <mergeCell ref="BB63:BB66"/>
    <mergeCell ref="J66:J68"/>
    <mergeCell ref="AT61:AT64"/>
    <mergeCell ref="AS62:AS64"/>
    <mergeCell ref="AE61:AE64"/>
    <mergeCell ref="AD62:AD64"/>
    <mergeCell ref="Y61:Y64"/>
    <mergeCell ref="X62:X64"/>
    <mergeCell ref="H61:M61"/>
    <mergeCell ref="U74:U79"/>
    <mergeCell ref="T75:T79"/>
    <mergeCell ref="AN67:AN70"/>
    <mergeCell ref="AO67:AO70"/>
    <mergeCell ref="H78:M78"/>
    <mergeCell ref="AF62:AF65"/>
    <mergeCell ref="Z74:AE74"/>
    <mergeCell ref="AQ64:AQ67"/>
    <mergeCell ref="AQ286:AQ287"/>
    <mergeCell ref="AR286:AR287"/>
    <mergeCell ref="I282:I283"/>
    <mergeCell ref="B295:G295"/>
    <mergeCell ref="H295:M295"/>
    <mergeCell ref="B296:G296"/>
    <mergeCell ref="H296:M296"/>
    <mergeCell ref="AO75:AO80"/>
    <mergeCell ref="A301:A302"/>
    <mergeCell ref="B301:G301"/>
    <mergeCell ref="H301:M301"/>
    <mergeCell ref="N301:S301"/>
    <mergeCell ref="T303:Y303"/>
    <mergeCell ref="Z303:AE303"/>
    <mergeCell ref="B302:G302"/>
    <mergeCell ref="H302:M302"/>
    <mergeCell ref="N302:S302"/>
    <mergeCell ref="Q185:AE185"/>
    <mergeCell ref="Q92:AE92"/>
    <mergeCell ref="Z289:AE289"/>
    <mergeCell ref="N289:S289"/>
    <mergeCell ref="Z285:AE285"/>
    <mergeCell ref="B286:G286"/>
    <mergeCell ref="N291:S291"/>
    <mergeCell ref="K280:K283"/>
    <mergeCell ref="L280:L283"/>
    <mergeCell ref="M280:M283"/>
    <mergeCell ref="AE215:AE218"/>
    <mergeCell ref="Z223:Z226"/>
    <mergeCell ref="AH221:AM221"/>
    <mergeCell ref="H226:M226"/>
    <mergeCell ref="N219:N222"/>
    <mergeCell ref="O219:O222"/>
    <mergeCell ref="R219:R222"/>
    <mergeCell ref="H221:M221"/>
    <mergeCell ref="Z284:AE284"/>
  </mergeCells>
  <dataValidations count="46">
    <dataValidation type="list" allowBlank="1" showInputMessage="1" showErrorMessage="1" sqref="A92" xr:uid="{00000000-0002-0000-0C00-000000000000}">
      <formula1>DGME_2</formula1>
    </dataValidation>
    <dataValidation type="list" allowBlank="1" showInputMessage="1" showErrorMessage="1" sqref="G49 A97:A98 G146 G191 G257 G305" xr:uid="{00000000-0002-0000-0C00-000001000000}">
      <formula1>notas</formula1>
    </dataValidation>
    <dataValidation type="list" allowBlank="1" showInputMessage="1" showErrorMessage="1" sqref="A6:A17 A80 A57:A68 A179 A131 A20:A25 A242" xr:uid="{00000000-0002-0000-0C00-000002000000}">
      <formula1>HORARIO</formula1>
    </dataValidation>
    <dataValidation type="list" allowBlank="1" showInputMessage="1" showErrorMessage="1" sqref="AE6 AB12 T80:Y80 Z21:AE21 Q23:S23 Z23:AE23 B79:S79 Y20:Y23 AN15:AN19 B23:G23 B31:S31 Z71:AE73 B71:M73 Z75:AE75 V6:V9 B77:S77 B21:G21 Q21:S21 G6:G9 I25:M25 B25:G29 H25:H26 O25:S25 H28:S29 N25:N26 T26 Z26 AN7:AN10 BL7 BI13 AT7:AT10 BC15:BC19 AL15:AL19 B75:M75" xr:uid="{00000000-0002-0000-0C00-000003000000}">
      <formula1>AULAS</formula1>
    </dataValidation>
    <dataValidation type="list" allowBlank="1" showInputMessage="1" showErrorMessage="1" sqref="A3:Y3 A54:Y54 A101:Y101 A151:Y151 A197:Y197 A264:Y264" xr:uid="{00000000-0002-0000-0C00-000004000000}">
      <formula1>GRUPO</formula1>
    </dataValidation>
    <dataValidation type="list" allowBlank="1" showInputMessage="1" showErrorMessage="1" sqref="M36:N36 M86:N86 M137:N137 M182:N182 M247:N247 M308:N308" xr:uid="{00000000-0002-0000-0C00-000005000000}">
      <formula1>Asignaturas2</formula1>
    </dataValidation>
    <dataValidation type="list" allowBlank="1" showInputMessage="1" showErrorMessage="1" sqref="W20:W23 T70" xr:uid="{00000000-0002-0000-0C00-000006000000}">
      <formula1>GIE_7</formula1>
    </dataValidation>
    <dataValidation type="list" allowBlank="1" showInputMessage="1" showErrorMessage="1" sqref="X20:X23" xr:uid="{00000000-0002-0000-0C00-000007000000}">
      <formula1>GIS_11</formula1>
    </dataValidation>
    <dataValidation type="list" allowBlank="1" showInputMessage="1" showErrorMessage="1" sqref="Z20:AE20 B74:M74 B78:S78 Z70:AE70 Q24:S24 Q22:S22 Z74:AE74 Z22:AE22 B30:S30 B70:N70 B76:S76 Z117:AE118 B24:G24 B20:G20 B22:G22 Q20:S20" xr:uid="{00000000-0002-0000-0C00-000008000000}">
      <formula1>INDIRECT($A$247)</formula1>
    </dataValidation>
    <dataValidation type="list" allowBlank="1" showInputMessage="1" showErrorMessage="1" sqref="N162:AE162 B273:AE273 N269:AE269 H267 H271:AE271 B275:G275 H269 B267 N277:AE277 B277:G277 T267:AE267 N275:AE275 T242:T245 E242:E245 B202 W242:W245 H242:H245 K242:K245 B242:B245 T200:AE200 Q242:Q245 B206:AE206 N202:AE202 H200 H204:AE204 B208:G208 H202 B200 N210:AE210 B210:G210 N242:N245 N208:AE208 T154:AE154 AC6 Z12 B179:B180 AM75 N156:AE156 N164:AE164 B154 H158:AE158 B164:G164 B162:G162 H154 H156 N179:N180 Q179:Q180 B160:AE160 T131:T135 E131:E135 B106 W131:W135 H131:H135 K131:K135 B131:B135 T104:AE104 Q131:Q135 B110:AE110 N106:AE106 H104 H108:AE108 B112:G112 H106 B104 N114:AE114 B114:G114 N131:N135 N112:AE112 T179:T180 E179:E180 B156 W179:W180 H179:H180 K179:K180 B269 BJ7 BG13 BA7:BC7" xr:uid="{00000000-0002-0000-0C00-000009000000}">
      <formula1>$H$335:$H$339</formula1>
    </dataValidation>
    <dataValidation type="list" allowBlank="1" showInputMessage="1" showErrorMessage="1" sqref="H57:S57" xr:uid="{00000000-0002-0000-0C00-00000A000000}">
      <formula1>$H$340:$H$344</formula1>
    </dataValidation>
    <dataValidation type="list" allowBlank="1" showInputMessage="1" showErrorMessage="1" sqref="AD58 B80 AJ64 AS62 AP64 AJ59 Q80 T75 AG58 AC80 V75 AD62 Z80 N80 K80 H80 E80" xr:uid="{00000000-0002-0000-0C00-00000B000000}">
      <formula1>$H$340:$H$345</formula1>
    </dataValidation>
    <dataValidation type="list" allowBlank="1" showInputMessage="1" showErrorMessage="1" sqref="H129 B271 B204 Z129 B117:B118 T117:T118 H117:H118 B158 A138:B142 H127" xr:uid="{00000000-0002-0000-0C00-00000C000000}">
      <formula1>$H$345:$H$350</formula1>
    </dataValidation>
    <dataValidation type="list" allowBlank="1" showInputMessage="1" showErrorMessage="1" sqref="AG124 Z123:Z126 AM126" xr:uid="{00000000-0002-0000-0C00-00000D000000}">
      <formula1>$H$345:$H$349</formula1>
    </dataValidation>
    <dataValidation type="list" allowBlank="1" showInputMessage="1" showErrorMessage="1" sqref="N167 T175:T178 W175:W178" xr:uid="{00000000-0002-0000-0C00-00000E000000}">
      <formula1>$H$350:$H$354</formula1>
    </dataValidation>
    <dataValidation type="list" allowBlank="1" showInputMessage="1" showErrorMessage="1" sqref="T155:AE155 T268:AE268 T201:AE201 T105:AE105 BA8:BC8" xr:uid="{00000000-0002-0000-0C00-00000F000000}">
      <formula1>$A$2:$A$98</formula1>
    </dataValidation>
    <dataValidation type="list" allowBlank="1" showInputMessage="1" showErrorMessage="1" sqref="J179:J180 M131:M135 P131:P135 S131:S135 Y131:Y135 V131:V135 D131:D135 J131:J135 M179:M180 P179:P180 S179:S180 Y179:Y180 V179:V180 D179:D180 P80 M80 J80 D80 S80 G80 J242:J245 M242:M245 P242:P245 S242:S245 Y242:Y245 V242:V245 D242:D245" xr:uid="{00000000-0002-0000-0C00-000010000000}">
      <formula1>$A$2:$A$110</formula1>
    </dataValidation>
    <dataValidation type="list" allowBlank="1" showInputMessage="1" showErrorMessage="1" sqref="AL59 AE131:AE135 AR64 AH57 AI58:AI59 AL64 AB80 AT61 AE179:AE180 AE80 AE65:AE68 AO75:AO80 AE242:AE245 AE57" xr:uid="{00000000-0002-0000-0C00-000011000000}">
      <formula1>$A$2:$A$112</formula1>
    </dataValidation>
    <dataValidation type="list" allowBlank="1" showInputMessage="1" showErrorMessage="1" sqref="H58:S58" xr:uid="{00000000-0002-0000-0C00-000012000000}">
      <formula1>$A$2:$A$136</formula1>
    </dataValidation>
    <dataValidation type="list" allowBlank="1" showInputMessage="1" showErrorMessage="1" sqref="O65:O68 P19 J19 Y25 AF62:AF65 V19 AB6 AE12 BB63:BB66 BI7 BL13 K65:K68" xr:uid="{00000000-0002-0000-0C00-000013000000}">
      <formula1>$A$2:$A$115</formula1>
    </dataValidation>
    <dataValidation type="list" allowBlank="1" showInputMessage="1" showErrorMessage="1" sqref="E65:E68 N115:AE115 N113:AE113 B111:AE111 N107:AE107 B113:G113 AY63:AY66 B165:G165 N165:AE165 N163:AE163 B161:AE161 N157:AE157 B163:G163 B115:G115 B211:G211 N211:AE211 N209:AE209 B207:AE207 N203:AE203 B209:G209 B278:G278 N278:AE278 N276:AE276 B274:AE274 N270:AE270 B276:G276 Y61:Y64 S65:S68 I65:I68" xr:uid="{00000000-0002-0000-0C00-000014000000}">
      <formula1>$A$2:$A$119</formula1>
    </dataValidation>
    <dataValidation type="list" allowBlank="1" showInputMessage="1" showErrorMessage="1" sqref="AA57:AA62 U74:U79 AC63:AC68 W74:W79 Y70 Y76:Y77 S70" xr:uid="{00000000-0002-0000-0C00-000015000000}">
      <formula1>$A$2:$A$121</formula1>
    </dataValidation>
    <dataValidation type="list" allowBlank="1" showInputMessage="1" showErrorMessage="1" sqref="AE61:AE64 AC57:AC60 AA65:AA68 W70:W73" xr:uid="{00000000-0002-0000-0C00-000016000000}">
      <formula1>$A$2:$A$178</formula1>
    </dataValidation>
    <dataValidation type="list" allowBlank="1" showInputMessage="1" showErrorMessage="1" sqref="AB123:AB126 Y175:Y178 P167 M123:M126 V175:V178" xr:uid="{00000000-0002-0000-0C00-000017000000}">
      <formula1>$A$2:$A$126</formula1>
    </dataValidation>
    <dataValidation type="list" allowBlank="1" showInputMessage="1" showErrorMessage="1" sqref="B109 H130 H272:AE272 H128 B159 Z130 H159:AE159 H109:AE109 B205 H205:AE205 B272" xr:uid="{00000000-0002-0000-0C00-000018000000}">
      <formula1>$A$2:$A$124</formula1>
    </dataValidation>
    <dataValidation type="list" allowBlank="1" showInputMessage="1" showErrorMessage="1" sqref="AI124:AI129 AN125 O125 AJ122 Q124:Q129" xr:uid="{00000000-0002-0000-0C00-000019000000}">
      <formula1>$A$1:$A$130</formula1>
    </dataValidation>
    <dataValidation type="list" allowBlank="1" showInputMessage="1" showErrorMessage="1" sqref="J14:J17 M6:M9 P14:P17 J123:J126 AQ15:AQ19 AW15:AW19 BF15:BF19" xr:uid="{00000000-0002-0000-0C00-00001A000000}">
      <formula1>$A$1:$A$133</formula1>
    </dataValidation>
    <dataValidation type="list" allowBlank="1" showInputMessage="1" showErrorMessage="1" sqref="G179:G180 G131:G135 G242:G245" xr:uid="{00000000-0002-0000-0C00-00001B000000}">
      <formula1>$A$2:$A$120</formula1>
    </dataValidation>
    <dataValidation type="list" allowBlank="1" showInputMessage="1" showErrorMessage="1" sqref="AI14:BF14 AI12:BF12 AU10:AZ10" xr:uid="{00000000-0002-0000-0C00-00001C000000}">
      <formula1>$A$2:$A$125</formula1>
    </dataValidation>
    <dataValidation type="list" allowBlank="1" showInputMessage="1" showErrorMessage="1" sqref="Z100:AE101" xr:uid="{00000000-0002-0000-0C00-00001D000000}">
      <formula1>$A$1:$A$127</formula1>
    </dataValidation>
    <dataValidation type="list" allowBlank="1" showInputMessage="1" showErrorMessage="1" sqref="D280:D283 M171:M174 AB171:AB174 BB214 M280:M283 BH214 AV214 G171:G174" xr:uid="{00000000-0002-0000-0C00-00001E000000}">
      <formula1>$A$1:$A$136</formula1>
    </dataValidation>
    <dataValidation type="list" allowBlank="1" showInputMessage="1" showErrorMessage="1" sqref="U175:U178" xr:uid="{00000000-0002-0000-0C00-00001F000000}">
      <formula1>$B$15:$B$25</formula1>
    </dataValidation>
    <dataValidation type="list" allowBlank="1" showInputMessage="1" showErrorMessage="1" sqref="AN75:AN80" xr:uid="{00000000-0002-0000-0C00-000020000000}">
      <formula1>$B$15:$B$16</formula1>
    </dataValidation>
    <dataValidation type="list" allowBlank="1" showInputMessage="1" showErrorMessage="1" sqref="BA63:BA66 AN67:AN70" xr:uid="{00000000-0002-0000-0C00-000021000000}">
      <formula1>$B$15:$B$30</formula1>
    </dataValidation>
    <dataValidation type="list" allowBlank="1" showInputMessage="1" showErrorMessage="1" sqref="AG57 V74 AS61 AD57 T74" xr:uid="{00000000-0002-0000-0C00-000022000000}">
      <formula1>$B$13:$B$30</formula1>
    </dataValidation>
    <dataValidation type="list" allowBlank="1" showInputMessage="1" showErrorMessage="1" sqref="AD6 C179:C180 L179:L180 U179:U180 R131:R135 R80 O131:O135 BK7 O242:O245 BH13 X242:X245 F242:F245 R242:R245 I242:I245 C242:C245 L242:L245 U242:U245 AQ64 C131:C135 O80 AK59 U131:U135 O179:O180 X175:X180 C80 X131:X135 I80 O167 F131:F135 F179:F180 R179:R180 AA12 L80 I131:I135 F80 L131:L135 I179:I180" xr:uid="{00000000-0002-0000-0C00-000023000000}">
      <formula1>$B$14:$B$15</formula1>
    </dataValidation>
    <dataValidation type="list" allowBlank="1" showInputMessage="1" showErrorMessage="1" sqref="AM125 AA123:AA126 L123:L126 X123:X126 AD123:AD126 U123:U126 N125 R167:R170 O171:O174 P119 AH124 P124 N118 AG120" xr:uid="{00000000-0002-0000-0C00-000024000000}">
      <formula1>$B$2:$B$32</formula1>
    </dataValidation>
    <dataValidation type="list" allowBlank="1" showInputMessage="1" showErrorMessage="1" sqref="AD171:AD174 BG214 BJ214 AX214 BA214 L213 BD214 F171:F174 AA171:AA174 I171:I174 L171:L174 U171:U174 X171:X174" xr:uid="{00000000-0002-0000-0C00-000025000000}">
      <formula1>$B$2:$B$31</formula1>
    </dataValidation>
    <dataValidation type="list" allowBlank="1" showInputMessage="1" showErrorMessage="1" sqref="B57:G57 V71 F66 D66 J66 H66 R66 P66 X66 X62 X58 R71:R75 X71:X75 AB64:AB68 Z58:Z62 Z66 AB58 V58 T62 AZ63 B66 AW63:AW66 V66 N66 AM67:AM70 L66 B63:S63 B61:S61 B59:S59" xr:uid="{00000000-0002-0000-0C00-000026000000}">
      <formula1>$H$314:$H$318</formula1>
    </dataValidation>
    <dataValidation type="list" allowBlank="1" showInputMessage="1" showErrorMessage="1" sqref="B125:G125 AC123:AC126 T119:AE119 W123:W126 N126 P126 N120 P123 P120 T123:T126 T121:AE121 B121:M121 B123:G123 K123:K126 B119:M119" xr:uid="{00000000-0002-0000-0C00-000027000000}">
      <formula1>$H$319:$H$323</formula1>
    </dataValidation>
    <dataValidation type="list" allowBlank="1" showInputMessage="1" showErrorMessage="1" sqref="T167:AE167 Z171:Z174 Q167:Q170 N171:N174 H171:H174 T171:T174 W171:W174 B175:M175 K171:K174 AC171:AC174 B169:M169 B171:B174 B167:M167 E171:E174 T169:AE169" xr:uid="{00000000-0002-0000-0C00-000028000000}">
      <formula1>$H$324:$H$328</formula1>
    </dataValidation>
    <dataValidation type="list" allowBlank="1" showInputMessage="1" showErrorMessage="1" sqref="N290:AE290 B284:AE284 T299:AE299 H301:S301 H303:AE303 B288:G288 B286:AE286 B297:M297 B299:M299 B295:M295 B293:M293 T295:AE295 T293:AE293 T282:Y282 N288:AE288 B290 H225:M225 H219:M219 H215:M215 H221:M221 H217:M217 T280:AE280" xr:uid="{00000000-0002-0000-0C00-000029000000}">
      <formula1>$H$334:$H$340</formula1>
    </dataValidation>
    <dataValidation type="list" allowBlank="1" showInputMessage="1" showErrorMessage="1" sqref="AQ288 E280:E283 H288:H291 K280:K283 B280:B283 A253:B253" xr:uid="{00000000-0002-0000-0C00-00002A000000}">
      <formula1>$H$334:$H$339</formula1>
    </dataValidation>
    <dataValidation type="list" allowBlank="1" showInputMessage="1" showErrorMessage="1" sqref="E216 E223 N217:S217 B219:G219 N215:T215 T219:AE219 T221:AE221 B236:G236 N230:AE230 B228:G228 N228:AE228 B230:G230 BC228 BF230:BK230 AT228 AW228 AZ228 AH228:AM228 BF228:BK228 AH230:AM230 AN229 B238:G238 N236:AE236 B240:G240 N238:AE238 N234:AE234 B232:G232 N232:AE232 B234:G234 AR236:AW236 BC232 BF234:BK234 AR238:AW238 AT232 AW232 AZ232 AH232:AM232 BI236 BF232:BK232 BD237 AH234:AM234 AN233 BF236 AR240:AW240 N240:AE240 AC223 N223:T223 N225:S225 AR223:AW223 BF215:BK215 AY194:BD194 BF217:BK217 AT217:AY217 BI214 BC219 BF221:BK221 BC214 AR225:AW225 BF214 AW214:AW215 AH215 AT219 AZ214 AW219 AZ219 AH219:AM219 BI223 BF219:BK219 AP215 BD224 AH221:AM221 BA216 AN220 BF223 Z223 B223 B215 Z215 AC215 Q219 N219 K235 B221:G221 A248:B252" xr:uid="{00000000-0002-0000-0C00-00002B000000}">
      <formula1>$H$329:$H$333</formula1>
    </dataValidation>
    <dataValidation type="list" allowBlank="1" showInputMessage="1" showErrorMessage="1" sqref="N8:S8 N19:N24 H19:H24 Q14:Q17 AU15:AU19 AL7:AL10 AS8 AQ8 AO8 AM16 AK16 BD7:BD10 BJ13:BJ19 BG7:BG12 AX15:AX19 BA15:BA19 AI16 AO15:AO19 AR15:AR19 AI7:AI10 AI13:BF13 AI11:BF11 AU9:AZ9 AU7:AZ7 W6:W9 T6:T9 W25:W30 T28:T29 BD15:BD19 N15 K6:K9 B6:B9 E14:E17 K14:K17 AC12:AC17 Z6:Z11 H6:H9 T14:T17 A37:B42 B14:B17 H14:H17 E6:E9 T19:T24 W14:W17 B12:Y12 B10:Y10" xr:uid="{00000000-0002-0000-0C00-00002C000000}">
      <formula1>$H$309:$H$313</formula1>
    </dataValidation>
    <dataValidation type="list" allowBlank="1" showInputMessage="1" showErrorMessage="1" sqref="N299:S299 B301:G301 N297:S297 N295:S295 N293:S293 N282:S282" xr:uid="{00000000-0002-0000-0C00-00002D000000}">
      <formula1>$H$334:$H$341</formula1>
    </dataValidation>
  </dataValidations>
  <pageMargins left="0.45" right="0.24" top="0.94" bottom="0.86614173228346458" header="0.27559055118110237" footer="0"/>
  <pageSetup paperSize="9" scale="60" orientation="portrait" r:id="rId2"/>
  <headerFooter alignWithMargins="0">
    <oddHeader>&amp;C&amp;"Arial Narrow,Negrita"&amp;18ESCUELA POLITECNICA SUPERIOR&amp;"Arial,Normal"&amp;10
&amp;"Arial Narrow,Negrita"&amp;16Campus Vena&amp;R&amp;"Chiller,Normal"&amp;24&amp;K05-044&amp;A</oddHeader>
    <oddFooter>&amp;L&amp;12ESCUELA POLITECNICA SUPERIOR - Campus Vena&amp;11
&amp;9SUBDIRECCION  DE  ORDENACION  ACADEMICA Y PROFESORADO&amp;R&amp;12&amp;D</oddFooter>
  </headerFooter>
  <rowBreaks count="5" manualBreakCount="5">
    <brk id="51" max="16383" man="1"/>
    <brk id="98" max="30" man="1"/>
    <brk id="148" max="30" man="1"/>
    <brk id="194" max="30" man="1"/>
    <brk id="261" max="30" man="1"/>
  </rowBreaks>
  <extLst>
    <ext xmlns:x14="http://schemas.microsoft.com/office/spreadsheetml/2009/9/main" uri="{CCE6A557-97BC-4b89-ADB6-D9C93CAAB3DF}">
      <x14:dataValidations xmlns:xm="http://schemas.microsoft.com/office/excel/2006/main" count="48">
        <x14:dataValidation type="list" allowBlank="1" showInputMessage="1" showErrorMessage="1" xr:uid="{00000000-0002-0000-0C00-00002E000000}">
          <x14:formula1>
            <xm:f>ASIGNATURAS!$H$319:$H$323</xm:f>
          </x14:formula1>
          <xm:sqref>A87:B91</xm:sqref>
        </x14:dataValidation>
        <x14:dataValidation type="list" allowBlank="1" showInputMessage="1" showErrorMessage="1" xr:uid="{00000000-0002-0000-0C00-00002F000000}">
          <x14:formula1>
            <xm:f>Aulas!$B$14:$B$15</xm:f>
          </x14:formula1>
          <xm:sqref>AK64</xm:sqref>
        </x14:dataValidation>
        <x14:dataValidation type="list" allowBlank="1" showInputMessage="1" showErrorMessage="1" xr:uid="{00000000-0002-0000-0C00-000030000000}">
          <x14:formula1>
            <xm:f>Aulas!$B$14:$B$17</xm:f>
          </x14:formula1>
          <xm:sqref>AA6:AA11 AD12:AD17 X25:X30 U28:U29 BH7:BH12 BK13:BK19</xm:sqref>
        </x14:dataValidation>
        <x14:dataValidation type="list" allowBlank="1" showInputMessage="1" showErrorMessage="1" xr:uid="{00000000-0002-0000-0C00-000031000000}">
          <x14:formula1>
            <xm:f>ASIGNATURAS!$A$60:$A$67</xm:f>
          </x14:formula1>
          <xm:sqref>A4 A55 A102 A152 A198 A265</xm:sqref>
        </x14:dataValidation>
        <x14:dataValidation type="list" allowBlank="1" showInputMessage="1" showErrorMessage="1" xr:uid="{00000000-0002-0000-0C00-000032000000}">
          <x14:formula1>
            <xm:f>ASIGNATURAS!$F$314:$F$318</xm:f>
          </x14:formula1>
          <xm:sqref>M37:N42</xm:sqref>
        </x14:dataValidation>
        <x14:dataValidation type="list" allowBlank="1" showInputMessage="1" showErrorMessage="1" xr:uid="{00000000-0002-0000-0C00-000033000000}">
          <x14:formula1>
            <xm:f>ASIGNATURAS!$F$319:$F$323</xm:f>
          </x14:formula1>
          <xm:sqref>M87:N92</xm:sqref>
        </x14:dataValidation>
        <x14:dataValidation type="list" allowBlank="1" showInputMessage="1" showErrorMessage="1" xr:uid="{00000000-0002-0000-0C00-000034000000}">
          <x14:formula1>
            <xm:f>Aulas!$B$14:$B$27</xm:f>
          </x14:formula1>
          <xm:sqref>V57 T61 V65 X70 Z57 AB63 AB57 AD61 Z65 R70 X57 X61 X65 N65 P65 R65 H65 J65 L65 B65 D65 F65 V70</xm:sqref>
        </x14:dataValidation>
        <x14:dataValidation type="list" allowBlank="1" showInputMessage="1" showErrorMessage="1" xr:uid="{00000000-0002-0000-0C00-000035000000}">
          <x14:formula1>
            <xm:f>ASIGNATURAS!$H$324:$H$329</xm:f>
          </x14:formula1>
          <xm:sqref>B108</xm:sqref>
        </x14:dataValidation>
        <x14:dataValidation type="list" allowBlank="1" showInputMessage="1" showErrorMessage="1" xr:uid="{00000000-0002-0000-0C00-000036000000}">
          <x14:formula1>
            <xm:f>ASIGNATURAS!$F$324:$F$329</xm:f>
          </x14:formula1>
          <xm:sqref>M138:N142</xm:sqref>
        </x14:dataValidation>
        <x14:dataValidation type="list" allowBlank="1" showInputMessage="1" showErrorMessage="1" xr:uid="{00000000-0002-0000-0C00-000037000000}">
          <x14:formula1>
            <xm:f>ASIGNATURAS!$H$324:$H$328</xm:f>
          </x14:formula1>
          <xm:sqref>H123:H126</xm:sqref>
        </x14:dataValidation>
        <x14:dataValidation type="list" allowBlank="1" showInputMessage="1" showErrorMessage="1" xr:uid="{00000000-0002-0000-0C00-000038000000}">
          <x14:formula1>
            <xm:f>ASIGNATURAS!$H$329:$H$333</xm:f>
          </x14:formula1>
          <xm:sqref>A183:B187</xm:sqref>
        </x14:dataValidation>
        <x14:dataValidation type="list" allowBlank="1" showInputMessage="1" showErrorMessage="1" xr:uid="{00000000-0002-0000-0C00-000039000000}">
          <x14:formula1>
            <xm:f>Aulas!$B$2:$B$27</xm:f>
          </x14:formula1>
          <xm:sqref>I123:I126 I19:I24 O19:O24 U19:U24</xm:sqref>
        </x14:dataValidation>
        <x14:dataValidation type="list" allowBlank="1" showInputMessage="1" showErrorMessage="1" xr:uid="{00000000-0002-0000-0C00-00003A000000}">
          <x14:formula1>
            <xm:f>ASIGNATURAS!$F$329:$F$333</xm:f>
          </x14:formula1>
          <xm:sqref>M183:N187</xm:sqref>
        </x14:dataValidation>
        <x14:dataValidation type="list" allowBlank="1" showInputMessage="1" showErrorMessage="1" xr:uid="{00000000-0002-0000-0C00-00003B000000}">
          <x14:formula1>
            <xm:f>Aulas!$B$2:$B$26</xm:f>
          </x14:formula1>
          <xm:sqref>C171:C174</xm:sqref>
        </x14:dataValidation>
        <x14:dataValidation type="list" allowBlank="1" showInputMessage="1" showErrorMessage="1" xr:uid="{00000000-0002-0000-0C00-00003C000000}">
          <x14:formula1>
            <xm:f>Aulas!$A$1:$A$124</xm:f>
          </x14:formula1>
          <xm:sqref>O118:O123</xm:sqref>
        </x14:dataValidation>
        <x14:dataValidation type="list" allowBlank="1" showInputMessage="1" showErrorMessage="1" xr:uid="{00000000-0002-0000-0C00-00003D000000}">
          <x14:formula1>
            <xm:f>Aulas!$A$1:$A$125</xm:f>
          </x14:formula1>
          <xm:sqref>O14:O17 BF7:BF10 AR7:AR10 Y14:Y17</xm:sqref>
        </x14:dataValidation>
        <x14:dataValidation type="list" allowBlank="1" showInputMessage="1" showErrorMessage="1" xr:uid="{00000000-0002-0000-0C00-00003E000000}">
          <x14:formula1>
            <xm:f>Aulas!$A$2:$A$115</xm:f>
          </x14:formula1>
          <xm:sqref>AU8:AZ8</xm:sqref>
        </x14:dataValidation>
        <x14:dataValidation type="list" allowBlank="1" showInputMessage="1" showErrorMessage="1" xr:uid="{00000000-0002-0000-0C00-00003F000000}">
          <x14:formula1>
            <xm:f>Aulas!$A$2:$A$169</xm:f>
          </x14:formula1>
          <xm:sqref>W57:W60 AO67:AO70 M65:M68 C65:C68 Q65:Q68 Y57:Y60 Y65:Y68 U61:U64 W65:W68</xm:sqref>
        </x14:dataValidation>
        <x14:dataValidation type="list" allowBlank="1" showInputMessage="1" showErrorMessage="1" xr:uid="{00000000-0002-0000-0C00-000040000000}">
          <x14:formula1>
            <xm:f>Aulas!$A$1:$A$123</xm:f>
          </x14:formula1>
          <xm:sqref>Q119</xm:sqref>
        </x14:dataValidation>
        <x14:dataValidation type="list" allowBlank="1" showInputMessage="1" showErrorMessage="1" xr:uid="{00000000-0002-0000-0C00-000041000000}">
          <x14:formula1>
            <xm:f>Aulas!$A$2:$A$131</xm:f>
          </x14:formula1>
          <xm:sqref>Z150:AE151 Z196:AE197 Z263:AE264</xm:sqref>
        </x14:dataValidation>
        <x14:dataValidation type="list" allowBlank="1" showInputMessage="1" showErrorMessage="1" xr:uid="{00000000-0002-0000-0C00-000042000000}">
          <x14:formula1>
            <xm:f>Aulas!$A$2:$A$135</xm:f>
          </x14:formula1>
          <xm:sqref>B58:G58 B60:S60 B62:S62 B64:S64</xm:sqref>
        </x14:dataValidation>
        <x14:dataValidation type="list" allowBlank="1" showInputMessage="1" showErrorMessage="1" xr:uid="{00000000-0002-0000-0C00-000043000000}">
          <x14:formula1>
            <xm:f>Aulas!$A$1:$A$128</xm:f>
          </x14:formula1>
          <xm:sqref>V171:V174</xm:sqref>
        </x14:dataValidation>
        <x14:dataValidation type="list" allowBlank="1" showInputMessage="1" showErrorMessage="1" xr:uid="{00000000-0002-0000-0C00-000044000000}">
          <x14:formula1>
            <xm:f>Aulas!$A$1:$A$131</xm:f>
          </x14:formula1>
          <xm:sqref>AS286 AE171:AE174 J171:J174 D171:D174 Y171:Y174 M213 AY214 BK214 BE214 I282 G280:G283</xm:sqref>
        </x14:dataValidation>
        <x14:dataValidation type="list" allowBlank="1" showInputMessage="1" showErrorMessage="1" xr:uid="{00000000-0002-0000-0C00-000045000000}">
          <x14:formula1>
            <xm:f>Aulas!$A$1:$A$135</xm:f>
          </x14:formula1>
          <xm:sqref>S167:S170 P171:P174</xm:sqref>
        </x14:dataValidation>
        <x14:dataValidation type="list" allowBlank="1" showInputMessage="1" showErrorMessage="1" xr:uid="{00000000-0002-0000-0C00-000046000000}">
          <x14:formula1>
            <xm:f>Aulas!$A$1:$A$136</xm:f>
          </x14:formula1>
          <xm:sqref>T170:AE170 T168:AE168 B168:M168 B170:M170 B176:M176 T122:AE122 T120:AE120 B122:M122 B120:M120 B124:G124 B126:G126 B296:S296 BF216:BK216 H226:S226 N283:AE283 B291:G291 B222:M222 AH220:AM220 H224:S224 AH222:AM222 BF222:BK222 AR224:AW224 BF220:BK220 AT218:AY218 BF218:BK218 AY195:BD195 T220:AE220 AR226:AW226 AH233:AM233 AR239:AW239 AH235:AM235 BF235:BK235 AR237:AW237 BF233:BK233 N235:AE235 N233:AE233 B233:G233 B235:G235 N237:AE237 B231:G231 AH229:AM229 AH231:AM231 BF231:BK231 BF229:BK229 N231:AE231 N229:AE229 B229:G229 N239:AE239 AR241:AW241 B237:G237 B239:G239 B241:G241 N241:AE241 H218:S218 T222:AE222 B220:M220 H216:S216 N281:AE281 N289:AE289 B294:AE294 N291:AE291 B287:AE287 B300:AE300 B285:AE285 B289:G289 T296:AE298 T301:AE302 B298:S298 B304:AE304 B303:G303 H302:S302</xm:sqref>
        </x14:dataValidation>
        <x14:dataValidation type="list" allowBlank="1" showInputMessage="1" showErrorMessage="1" xr:uid="{00000000-0002-0000-0C00-000047000000}">
          <x14:formula1>
            <xm:f>ASIGNATURAS!$H$339:$H$345</xm:f>
          </x14:formula1>
          <xm:sqref>H223:M223</xm:sqref>
        </x14:dataValidation>
        <x14:dataValidation type="list" allowBlank="1" showInputMessage="1" showErrorMessage="1" xr:uid="{00000000-0002-0000-0C00-000048000000}">
          <x14:formula1>
            <xm:f>ASIGNATURAS!$H$339:$H$344</xm:f>
          </x14:formula1>
          <xm:sqref>AQ286</xm:sqref>
        </x14:dataValidation>
        <x14:dataValidation type="list" allowBlank="1" showInputMessage="1" showErrorMessage="1" xr:uid="{00000000-0002-0000-0C00-000049000000}">
          <x14:formula1>
            <xm:f>ASIGNATURAS!$H$334:$H$338</xm:f>
          </x14:formula1>
          <xm:sqref>H229</xm:sqref>
        </x14:dataValidation>
        <x14:dataValidation type="list" allowBlank="1" showInputMessage="1" showErrorMessage="1" xr:uid="{00000000-0002-0000-0C00-00004A000000}">
          <x14:formula1>
            <xm:f>Aulas!$B$2:$B$32</xm:f>
          </x14:formula1>
          <xm:sqref>AN228 I229 L235 C215 E215 AA215 BA219 R219 O219 BG223 AX215 AD215 AA223 C223 BJ223 U215 I288 L280 C280 F280 AX232 BD232 AR286 AR288 AU228 F223 BD223 AN219 AP214 AU219 BA215 AX219 BD219 U223 AD223 AX228 H228 BA232 BG236 BA228 BD228 BJ236 BD236 AN232 AU232</xm:sqref>
        </x14:dataValidation>
        <x14:dataValidation type="list" allowBlank="1" showInputMessage="1" showErrorMessage="1" xr:uid="{00000000-0002-0000-0C00-00004B000000}">
          <x14:formula1>
            <xm:f>Aulas!$A$1:$A$132</xm:f>
          </x14:formula1>
          <xm:sqref>J229 M235 AB223 P219 F215 S219 BH223 AE215 AV232 AY215 AY219 BB219 AB215 D215 D223 V215 AO219:AO224 AQ214:AQ219 BE223 BE219 BB215 BK223 AV219 J288 G65:G68 V223 AE223 AQ228 BB228 BE228 BH236 AY228 AY232 BB232 AV228 AO228:AO237 AQ232 BE236 BE232 BK236 G223</xm:sqref>
        </x14:dataValidation>
        <x14:dataValidation type="list" allowBlank="1" showInputMessage="1" showErrorMessage="1" xr:uid="{00000000-0002-0000-0C00-00004C000000}">
          <x14:formula1>
            <xm:f>ASIGNATURAS!$F$339:$F$344</xm:f>
          </x14:formula1>
          <xm:sqref>M253:N253</xm:sqref>
        </x14:dataValidation>
        <x14:dataValidation type="list" allowBlank="1" showInputMessage="1" showErrorMessage="1" xr:uid="{00000000-0002-0000-0C00-00004D000000}">
          <x14:formula1>
            <xm:f>Aulas!$A$2:$A$133</xm:f>
          </x14:formula1>
          <xm:sqref>Y123:Y126 AE123:AE126 V123:V126</xm:sqref>
        </x14:dataValidation>
        <x14:dataValidation type="list" allowBlank="1" showInputMessage="1" showErrorMessage="1" xr:uid="{00000000-0002-0000-0C00-00004E000000}">
          <x14:formula1>
            <xm:f>ASIGNATURAS!$H$314:$H$318</xm:f>
          </x14:formula1>
          <xm:sqref>N6:S6</xm:sqref>
        </x14:dataValidation>
        <x14:dataValidation type="list" allowBlank="1" showInputMessage="1" showErrorMessage="1" xr:uid="{00000000-0002-0000-0C00-00004F000000}">
          <x14:formula1>
            <xm:f>Aulas!$B$2:$B$76</xm:f>
          </x14:formula1>
          <xm:sqref>X14:X17 R14:R17 AS15:AS19 AS7 AQ7 AO7 AM15 AK15 AY15:AY19 AP15:AP19 AI15 BB15:BB19 BE7:BE10 BE15:BE19 AJ7:AJ10 U6:U9 AV15:AV19 F6:F9 AM7:AM10 N14 L6:L9 C6:C9 F14:F17 I6:I9 I14:I17 C14:C17 U14:U17 L14:L17 X6:X9</xm:sqref>
        </x14:dataValidation>
        <x14:dataValidation type="list" allowBlank="1" showInputMessage="1" showErrorMessage="1" xr:uid="{00000000-0002-0000-0C00-000050000000}">
          <x14:formula1>
            <xm:f>Aulas!$A$2:$A$140</xm:f>
          </x14:formula1>
          <xm:sqref>N7:S7 B13:Y13 B11:Y11 N9:S9</xm:sqref>
        </x14:dataValidation>
        <x14:dataValidation type="list" allowBlank="1" showInputMessage="1" showErrorMessage="1" xr:uid="{00000000-0002-0000-0C00-000051000000}">
          <x14:formula1>
            <xm:f>Aulas!$A$1:$A$127</xm:f>
          </x14:formula1>
          <xm:sqref>Z2:AE3 Z53:AE54</xm:sqref>
        </x14:dataValidation>
        <x14:dataValidation type="list" allowBlank="1" showInputMessage="1" showErrorMessage="1" xr:uid="{00000000-0002-0000-0C00-000052000000}">
          <x14:formula1>
            <xm:f>Aulas!$A$1:$A$137</xm:f>
          </x14:formula1>
          <xm:sqref>G14:G17 V14:V17</xm:sqref>
        </x14:dataValidation>
        <x14:dataValidation type="list" allowBlank="1" showInputMessage="1" showErrorMessage="1" xr:uid="{00000000-0002-0000-0C00-000053000000}">
          <x14:formula1>
            <xm:f>Aulas!$B$2:$B$30</xm:f>
          </x14:formula1>
          <xm:sqref>AX63:AX66</xm:sqref>
        </x14:dataValidation>
        <x14:dataValidation type="list" allowBlank="1" showInputMessage="1" showErrorMessage="1" xr:uid="{00000000-0002-0000-0C00-000054000000}">
          <x14:formula1>
            <xm:f>ASIGNATURAS!$F$334:$F$338</xm:f>
          </x14:formula1>
          <xm:sqref>M248:N252</xm:sqref>
        </x14:dataValidation>
        <x14:dataValidation type="list" allowBlank="1" showInputMessage="1" showErrorMessage="1" xr:uid="{00000000-0002-0000-0C00-000055000000}">
          <x14:formula1>
            <xm:f>ASIGNATURAS!$H$339:$H$346</xm:f>
          </x14:formula1>
          <xm:sqref>N280:S280</xm:sqref>
        </x14:dataValidation>
        <x14:dataValidation type="list" allowBlank="1" showInputMessage="1" showErrorMessage="1" xr:uid="{00000000-0002-0000-0C00-000056000000}">
          <x14:formula1>
            <xm:f>ASIGNATURAS!$H$339:$H$348</xm:f>
          </x14:formula1>
          <xm:sqref>Z282:AE282</xm:sqref>
        </x14:dataValidation>
        <x14:dataValidation type="list" allowBlank="1" showInputMessage="1" showErrorMessage="1" xr:uid="{00000000-0002-0000-0C00-000057000000}">
          <x14:formula1>
            <xm:f>'Y:\COMUN\DIRECCION EPS\SUBDIRECCIÓN DE ORDENACIÓN ACADEM\CURSO 21-22\COVID HORARIOS Y OCUPACION VENA\copia seguridad\[HORARIOS VENACOVID(Curso 21-22)v6.xlsx]ASIGNATURAS'!#REF!</xm:f>
          </x14:formula1>
          <xm:sqref>M309:N314 A309:B314</xm:sqref>
        </x14:dataValidation>
        <x14:dataValidation type="list" allowBlank="1" showInputMessage="1" showErrorMessage="1" xr:uid="{00000000-0002-0000-0C00-000058000000}">
          <x14:formula1>
            <xm:f>Aulas!$B$2:$B$4</xm:f>
          </x14:formula1>
          <xm:sqref>B302:G302 G290</xm:sqref>
        </x14:dataValidation>
        <x14:dataValidation type="list" allowBlank="1" showInputMessage="1" showErrorMessage="1" xr:uid="{00000000-0002-0000-0C00-000059000000}">
          <x14:formula1>
            <xm:f>Aulas!$E$2:$E$14</xm:f>
          </x14:formula1>
          <xm:sqref>A104:A115 A293:A304 A230:A241 A217:A226 A213:A214 A280:A291 A200:A211 A267:A278 A70:A79 A154:A165 A119:A130 A167:A178</xm:sqref>
        </x14:dataValidation>
        <x14:dataValidation type="list" allowBlank="1" showInputMessage="1" showErrorMessage="1" xr:uid="{00000000-0002-0000-0C00-00005A000000}">
          <x14:formula1>
            <xm:f>Aulas!$E$2:$E$28</xm:f>
          </x14:formula1>
          <xm:sqref>A117:A118</xm:sqref>
        </x14:dataValidation>
        <x14:dataValidation type="list" allowBlank="1" showInputMessage="1" showErrorMessage="1" xr:uid="{00000000-0002-0000-0C00-00005B000000}">
          <x14:formula1>
            <xm:f>Aulas!$E$2:$E$57</xm:f>
          </x14:formula1>
          <xm:sqref>A215:A216</xm:sqref>
        </x14:dataValidation>
        <x14:dataValidation type="list" allowBlank="1" showInputMessage="1" showErrorMessage="1" xr:uid="{00000000-0002-0000-0C00-00005C000000}">
          <x14:formula1>
            <xm:f>Aulas!$E$2:$E$46</xm:f>
          </x14:formula1>
          <xm:sqref>A228:A229</xm:sqref>
        </x14:dataValidation>
        <x14:dataValidation type="list" allowBlank="1" showInputMessage="1" showErrorMessage="1" xr:uid="{00000000-0002-0000-0C00-00005D000000}">
          <x14:formula1>
            <xm:f>Aulas!$E$2:$E$45</xm:f>
          </x14:formula1>
          <xm:sqref>A26:A31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7:K29"/>
  <sheetViews>
    <sheetView topLeftCell="A54" workbookViewId="0">
      <selection activeCell="K22" sqref="K22"/>
    </sheetView>
  </sheetViews>
  <sheetFormatPr baseColWidth="10" defaultRowHeight="13.2" x14ac:dyDescent="0.25"/>
  <cols>
    <col min="1" max="1" width="14.5546875" bestFit="1" customWidth="1"/>
    <col min="2" max="11" width="12.109375" customWidth="1"/>
  </cols>
  <sheetData>
    <row r="7" spans="1:11" ht="13.8" thickBot="1" x14ac:dyDescent="0.3"/>
    <row r="8" spans="1:11" ht="24" customHeight="1" thickBot="1" x14ac:dyDescent="0.3">
      <c r="B8" s="1076" t="s">
        <v>2</v>
      </c>
      <c r="C8" s="1078"/>
      <c r="D8" s="1076" t="s">
        <v>3</v>
      </c>
      <c r="E8" s="1078"/>
      <c r="F8" s="1076" t="s">
        <v>139</v>
      </c>
      <c r="G8" s="1078"/>
      <c r="H8" s="1076" t="s">
        <v>4</v>
      </c>
      <c r="I8" s="1078"/>
      <c r="J8" s="1076" t="s">
        <v>5</v>
      </c>
      <c r="K8" s="1078"/>
    </row>
    <row r="9" spans="1:11" ht="12.75" customHeight="1" x14ac:dyDescent="0.25">
      <c r="A9" s="2679" t="s">
        <v>611</v>
      </c>
      <c r="B9" s="114" t="s">
        <v>600</v>
      </c>
      <c r="C9" s="115" t="s">
        <v>604</v>
      </c>
      <c r="D9" s="114" t="s">
        <v>600</v>
      </c>
      <c r="E9" s="115" t="s">
        <v>604</v>
      </c>
      <c r="F9" s="114" t="s">
        <v>600</v>
      </c>
      <c r="G9" s="115" t="s">
        <v>604</v>
      </c>
      <c r="H9" s="114" t="s">
        <v>600</v>
      </c>
      <c r="I9" s="115" t="s">
        <v>604</v>
      </c>
      <c r="J9" s="114" t="s">
        <v>600</v>
      </c>
      <c r="K9" s="115" t="s">
        <v>604</v>
      </c>
    </row>
    <row r="10" spans="1:11" ht="15" customHeight="1" x14ac:dyDescent="0.25">
      <c r="A10" s="1455"/>
      <c r="B10" s="116" t="s">
        <v>598</v>
      </c>
      <c r="C10" s="117" t="s">
        <v>599</v>
      </c>
      <c r="D10" s="116" t="s">
        <v>598</v>
      </c>
      <c r="E10" s="117" t="s">
        <v>599</v>
      </c>
      <c r="F10" s="116" t="s">
        <v>598</v>
      </c>
      <c r="G10" s="117" t="s">
        <v>599</v>
      </c>
      <c r="H10" s="116" t="s">
        <v>598</v>
      </c>
      <c r="I10" s="117" t="s">
        <v>599</v>
      </c>
      <c r="J10" s="116" t="s">
        <v>598</v>
      </c>
      <c r="K10" s="117" t="s">
        <v>599</v>
      </c>
    </row>
    <row r="11" spans="1:11" ht="12.75" customHeight="1" x14ac:dyDescent="0.25">
      <c r="A11" s="1455"/>
      <c r="B11" s="118" t="s">
        <v>601</v>
      </c>
      <c r="C11" s="119" t="s">
        <v>597</v>
      </c>
      <c r="D11" s="118" t="s">
        <v>601</v>
      </c>
      <c r="E11" s="119" t="s">
        <v>597</v>
      </c>
      <c r="F11" s="118" t="s">
        <v>601</v>
      </c>
      <c r="G11" s="119" t="s">
        <v>597</v>
      </c>
      <c r="H11" s="118" t="s">
        <v>601</v>
      </c>
      <c r="I11" s="119" t="s">
        <v>597</v>
      </c>
      <c r="J11" s="118" t="s">
        <v>601</v>
      </c>
      <c r="K11" s="119" t="s">
        <v>597</v>
      </c>
    </row>
    <row r="12" spans="1:11" ht="12.75" customHeight="1" thickBot="1" x14ac:dyDescent="0.3">
      <c r="A12" s="1456"/>
      <c r="B12" s="120" t="s">
        <v>602</v>
      </c>
      <c r="C12" s="121" t="s">
        <v>603</v>
      </c>
      <c r="D12" s="120" t="s">
        <v>602</v>
      </c>
      <c r="E12" s="121" t="s">
        <v>605</v>
      </c>
      <c r="F12" s="120" t="s">
        <v>602</v>
      </c>
      <c r="G12" s="121" t="s">
        <v>606</v>
      </c>
      <c r="H12" s="120" t="s">
        <v>602</v>
      </c>
      <c r="I12" s="121" t="s">
        <v>607</v>
      </c>
      <c r="J12" s="120" t="s">
        <v>602</v>
      </c>
      <c r="K12" s="121" t="s">
        <v>608</v>
      </c>
    </row>
    <row r="13" spans="1:11" x14ac:dyDescent="0.25">
      <c r="A13" s="2679" t="s">
        <v>612</v>
      </c>
      <c r="B13" s="114" t="s">
        <v>600</v>
      </c>
      <c r="C13" s="115" t="s">
        <v>604</v>
      </c>
      <c r="D13" s="114" t="s">
        <v>600</v>
      </c>
      <c r="E13" s="115" t="s">
        <v>604</v>
      </c>
      <c r="F13" s="114" t="s">
        <v>600</v>
      </c>
      <c r="G13" s="115" t="s">
        <v>604</v>
      </c>
      <c r="H13" s="114" t="s">
        <v>600</v>
      </c>
      <c r="I13" s="115" t="s">
        <v>604</v>
      </c>
      <c r="J13" s="114" t="s">
        <v>600</v>
      </c>
      <c r="K13" s="115" t="s">
        <v>604</v>
      </c>
    </row>
    <row r="14" spans="1:11" x14ac:dyDescent="0.25">
      <c r="A14" s="1455"/>
      <c r="B14" s="116" t="s">
        <v>598</v>
      </c>
      <c r="C14" s="117" t="s">
        <v>599</v>
      </c>
      <c r="D14" s="116" t="s">
        <v>598</v>
      </c>
      <c r="E14" s="117" t="s">
        <v>599</v>
      </c>
      <c r="F14" s="116" t="s">
        <v>598</v>
      </c>
      <c r="G14" s="117" t="s">
        <v>599</v>
      </c>
      <c r="H14" s="116" t="s">
        <v>598</v>
      </c>
      <c r="I14" s="117" t="s">
        <v>599</v>
      </c>
      <c r="J14" s="116" t="s">
        <v>598</v>
      </c>
      <c r="K14" s="117" t="s">
        <v>599</v>
      </c>
    </row>
    <row r="15" spans="1:11" x14ac:dyDescent="0.25">
      <c r="A15" s="1455"/>
      <c r="B15" s="118" t="s">
        <v>601</v>
      </c>
      <c r="C15" s="119" t="s">
        <v>597</v>
      </c>
      <c r="D15" s="118" t="s">
        <v>601</v>
      </c>
      <c r="E15" s="119" t="s">
        <v>597</v>
      </c>
      <c r="F15" s="118" t="s">
        <v>601</v>
      </c>
      <c r="G15" s="119" t="s">
        <v>597</v>
      </c>
      <c r="H15" s="118" t="s">
        <v>601</v>
      </c>
      <c r="I15" s="119" t="s">
        <v>597</v>
      </c>
      <c r="J15" s="118" t="s">
        <v>601</v>
      </c>
      <c r="K15" s="119" t="s">
        <v>597</v>
      </c>
    </row>
    <row r="16" spans="1:11" ht="13.8" thickBot="1" x14ac:dyDescent="0.3">
      <c r="A16" s="1456"/>
      <c r="B16" s="120" t="s">
        <v>602</v>
      </c>
      <c r="C16" s="121" t="s">
        <v>603</v>
      </c>
      <c r="D16" s="120" t="s">
        <v>602</v>
      </c>
      <c r="E16" s="121" t="s">
        <v>605</v>
      </c>
      <c r="F16" s="120" t="s">
        <v>602</v>
      </c>
      <c r="G16" s="121" t="s">
        <v>606</v>
      </c>
      <c r="H16" s="120" t="s">
        <v>602</v>
      </c>
      <c r="I16" s="121" t="s">
        <v>607</v>
      </c>
      <c r="J16" s="120" t="s">
        <v>602</v>
      </c>
      <c r="K16" s="121" t="s">
        <v>608</v>
      </c>
    </row>
    <row r="17" spans="1:11" x14ac:dyDescent="0.25">
      <c r="A17" s="2679" t="s">
        <v>10</v>
      </c>
      <c r="B17" s="114" t="s">
        <v>600</v>
      </c>
      <c r="C17" s="115" t="s">
        <v>604</v>
      </c>
      <c r="D17" s="3069" t="s">
        <v>609</v>
      </c>
      <c r="E17" s="3071" t="s">
        <v>604</v>
      </c>
      <c r="F17" s="114" t="s">
        <v>600</v>
      </c>
      <c r="G17" s="115" t="s">
        <v>604</v>
      </c>
      <c r="H17" s="114" t="s">
        <v>600</v>
      </c>
      <c r="I17" s="115" t="s">
        <v>604</v>
      </c>
      <c r="J17" s="114" t="s">
        <v>600</v>
      </c>
      <c r="K17" s="115" t="s">
        <v>604</v>
      </c>
    </row>
    <row r="18" spans="1:11" x14ac:dyDescent="0.25">
      <c r="A18" s="1455"/>
      <c r="B18" s="116" t="s">
        <v>598</v>
      </c>
      <c r="C18" s="117" t="s">
        <v>599</v>
      </c>
      <c r="D18" s="3070"/>
      <c r="E18" s="3072"/>
      <c r="F18" s="116" t="s">
        <v>598</v>
      </c>
      <c r="G18" s="117" t="s">
        <v>599</v>
      </c>
      <c r="H18" s="116" t="s">
        <v>598</v>
      </c>
      <c r="I18" s="117" t="s">
        <v>599</v>
      </c>
      <c r="J18" s="116" t="s">
        <v>598</v>
      </c>
      <c r="K18" s="117" t="s">
        <v>599</v>
      </c>
    </row>
    <row r="19" spans="1:11" x14ac:dyDescent="0.25">
      <c r="A19" s="1455"/>
      <c r="B19" s="118" t="s">
        <v>601</v>
      </c>
      <c r="C19" s="119" t="s">
        <v>597</v>
      </c>
      <c r="D19" s="3073" t="s">
        <v>610</v>
      </c>
      <c r="E19" s="3075" t="s">
        <v>597</v>
      </c>
      <c r="F19" s="118" t="s">
        <v>601</v>
      </c>
      <c r="G19" s="119" t="s">
        <v>597</v>
      </c>
      <c r="H19" s="118" t="s">
        <v>601</v>
      </c>
      <c r="I19" s="119" t="s">
        <v>597</v>
      </c>
      <c r="J19" s="118" t="s">
        <v>601</v>
      </c>
      <c r="K19" s="119" t="s">
        <v>597</v>
      </c>
    </row>
    <row r="20" spans="1:11" ht="13.8" thickBot="1" x14ac:dyDescent="0.3">
      <c r="A20" s="1456"/>
      <c r="B20" s="120" t="s">
        <v>602</v>
      </c>
      <c r="C20" s="121" t="s">
        <v>603</v>
      </c>
      <c r="D20" s="3074"/>
      <c r="E20" s="3076"/>
      <c r="F20" s="120" t="s">
        <v>602</v>
      </c>
      <c r="G20" s="121" t="s">
        <v>606</v>
      </c>
      <c r="H20" s="120" t="s">
        <v>602</v>
      </c>
      <c r="I20" s="121" t="s">
        <v>607</v>
      </c>
      <c r="J20" s="120" t="s">
        <v>602</v>
      </c>
      <c r="K20" s="121" t="s">
        <v>608</v>
      </c>
    </row>
    <row r="23" spans="1:11" x14ac:dyDescent="0.25">
      <c r="A23" s="122" t="s">
        <v>613</v>
      </c>
      <c r="B23">
        <v>2</v>
      </c>
      <c r="C23" s="122">
        <v>12</v>
      </c>
      <c r="D23">
        <f>C23*B23</f>
        <v>24</v>
      </c>
      <c r="F23" s="122" t="s">
        <v>615</v>
      </c>
      <c r="G23">
        <f>B23*5</f>
        <v>10</v>
      </c>
    </row>
    <row r="24" spans="1:11" x14ac:dyDescent="0.25">
      <c r="A24" s="122" t="s">
        <v>614</v>
      </c>
      <c r="B24">
        <v>2</v>
      </c>
      <c r="C24" s="122">
        <v>12</v>
      </c>
      <c r="D24">
        <f>B24*C24</f>
        <v>24</v>
      </c>
      <c r="F24" s="122" t="s">
        <v>616</v>
      </c>
      <c r="G24">
        <f>B24*5</f>
        <v>10</v>
      </c>
    </row>
    <row r="25" spans="1:11" x14ac:dyDescent="0.25">
      <c r="A25" s="122" t="s">
        <v>617</v>
      </c>
      <c r="D25">
        <v>6</v>
      </c>
    </row>
    <row r="27" spans="1:11" x14ac:dyDescent="0.25">
      <c r="A27" s="122" t="s">
        <v>618</v>
      </c>
      <c r="B27">
        <v>3</v>
      </c>
      <c r="C27">
        <v>8</v>
      </c>
      <c r="D27">
        <f>B27*C27</f>
        <v>24</v>
      </c>
      <c r="F27" s="20" t="s">
        <v>615</v>
      </c>
      <c r="G27">
        <f>B27*5</f>
        <v>15</v>
      </c>
    </row>
    <row r="28" spans="1:11" x14ac:dyDescent="0.25">
      <c r="A28" s="122" t="s">
        <v>619</v>
      </c>
      <c r="B28" s="20">
        <v>2</v>
      </c>
      <c r="C28">
        <v>8</v>
      </c>
      <c r="D28">
        <f>B28*C28</f>
        <v>16</v>
      </c>
      <c r="F28" s="20" t="s">
        <v>620</v>
      </c>
      <c r="G28">
        <f>B28*5</f>
        <v>10</v>
      </c>
    </row>
    <row r="29" spans="1:11" x14ac:dyDescent="0.25">
      <c r="B29" s="20"/>
    </row>
  </sheetData>
  <mergeCells count="12">
    <mergeCell ref="J8:K8"/>
    <mergeCell ref="A17:A20"/>
    <mergeCell ref="D17:D18"/>
    <mergeCell ref="E17:E18"/>
    <mergeCell ref="D19:D20"/>
    <mergeCell ref="E19:E20"/>
    <mergeCell ref="B8:C8"/>
    <mergeCell ref="A9:A12"/>
    <mergeCell ref="A13:A16"/>
    <mergeCell ref="D8:E8"/>
    <mergeCell ref="F8:G8"/>
    <mergeCell ref="H8:I8"/>
  </mergeCells>
  <dataValidations count="1">
    <dataValidation type="list" allowBlank="1" showInputMessage="1" showErrorMessage="1" sqref="A9 A13 A17" xr:uid="{00000000-0002-0000-0D00-000000000000}">
      <formula1>HORARIO</formula1>
    </dataValidation>
  </dataValidations>
  <pageMargins left="0.7" right="0.7" top="0.75" bottom="0.75" header="0.3" footer="0.3"/>
  <pageSetup paperSize="9"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85536-4C7C-432B-A5E4-B6C95666F395}">
  <dimension ref="B1:P23"/>
  <sheetViews>
    <sheetView workbookViewId="0">
      <selection activeCell="B23" sqref="B23"/>
    </sheetView>
  </sheetViews>
  <sheetFormatPr baseColWidth="10" defaultRowHeight="13.2" x14ac:dyDescent="0.25"/>
  <cols>
    <col min="2" max="2" width="12.44140625" bestFit="1" customWidth="1"/>
    <col min="3" max="3" width="23.109375" bestFit="1" customWidth="1"/>
    <col min="6" max="6" width="22.109375" bestFit="1" customWidth="1"/>
    <col min="7" max="7" width="12.44140625" bestFit="1" customWidth="1"/>
    <col min="8" max="8" width="7.33203125" bestFit="1" customWidth="1"/>
    <col min="9" max="9" width="7.33203125" customWidth="1"/>
    <col min="10" max="10" width="12.6640625" customWidth="1"/>
    <col min="11" max="11" width="12.44140625" bestFit="1" customWidth="1"/>
    <col min="12" max="12" width="7.33203125" bestFit="1" customWidth="1"/>
    <col min="14" max="14" width="5.44140625" customWidth="1"/>
    <col min="15" max="15" width="4.33203125" customWidth="1"/>
    <col min="16" max="16" width="3.5546875" customWidth="1"/>
  </cols>
  <sheetData>
    <row r="1" spans="2:16" ht="13.8" thickBot="1" x14ac:dyDescent="0.3"/>
    <row r="2" spans="2:16" x14ac:dyDescent="0.25">
      <c r="B2" s="3086" t="s">
        <v>1282</v>
      </c>
      <c r="C2" s="3087"/>
      <c r="D2" s="3087"/>
      <c r="E2" s="3087"/>
      <c r="F2" s="3088"/>
      <c r="J2" s="20" t="s">
        <v>1364</v>
      </c>
      <c r="K2" s="20"/>
      <c r="L2" s="20"/>
    </row>
    <row r="3" spans="2:16" x14ac:dyDescent="0.25">
      <c r="B3" s="3089"/>
      <c r="C3" s="3090"/>
      <c r="D3" s="3090"/>
      <c r="E3" s="3090"/>
      <c r="F3" s="3091"/>
    </row>
    <row r="4" spans="2:16" x14ac:dyDescent="0.25">
      <c r="B4" s="908"/>
      <c r="C4" s="20" t="s">
        <v>1279</v>
      </c>
      <c r="E4" s="334"/>
      <c r="F4" s="205" t="s">
        <v>1281</v>
      </c>
      <c r="K4" s="919" t="s">
        <v>1366</v>
      </c>
    </row>
    <row r="5" spans="2:16" x14ac:dyDescent="0.25">
      <c r="B5" s="909"/>
      <c r="C5" s="20" t="s">
        <v>1278</v>
      </c>
      <c r="E5" s="910"/>
      <c r="F5" s="205" t="s">
        <v>1283</v>
      </c>
      <c r="K5" s="920" t="s">
        <v>1367</v>
      </c>
    </row>
    <row r="6" spans="2:16" ht="13.8" thickBot="1" x14ac:dyDescent="0.3">
      <c r="B6" s="911"/>
      <c r="C6" s="419" t="s">
        <v>1280</v>
      </c>
      <c r="D6" s="35"/>
      <c r="E6" s="912"/>
      <c r="F6" s="500" t="s">
        <v>1277</v>
      </c>
      <c r="K6" s="921"/>
    </row>
    <row r="9" spans="2:16" x14ac:dyDescent="0.25">
      <c r="J9" s="922" t="s">
        <v>1366</v>
      </c>
      <c r="K9" s="923" t="s">
        <v>1367</v>
      </c>
      <c r="L9" s="924" t="s">
        <v>182</v>
      </c>
    </row>
    <row r="10" spans="2:16" x14ac:dyDescent="0.25">
      <c r="B10" s="20" t="s">
        <v>1369</v>
      </c>
    </row>
    <row r="12" spans="2:16" x14ac:dyDescent="0.25">
      <c r="B12" s="20" t="s">
        <v>1370</v>
      </c>
      <c r="J12" s="20" t="s">
        <v>1365</v>
      </c>
      <c r="K12" s="20"/>
      <c r="L12" s="20"/>
    </row>
    <row r="14" spans="2:16" x14ac:dyDescent="0.25">
      <c r="B14" s="20" t="s">
        <v>1371</v>
      </c>
      <c r="K14" s="925" t="s">
        <v>1366</v>
      </c>
      <c r="L14" s="926" t="s">
        <v>182</v>
      </c>
    </row>
    <row r="15" spans="2:16" x14ac:dyDescent="0.25">
      <c r="K15" s="927" t="s">
        <v>1367</v>
      </c>
      <c r="L15" s="928"/>
    </row>
    <row r="16" spans="2:16" x14ac:dyDescent="0.25">
      <c r="B16" s="20" t="s">
        <v>1372</v>
      </c>
      <c r="N16" s="3077" t="s">
        <v>1366</v>
      </c>
      <c r="O16" s="3080" t="s">
        <v>182</v>
      </c>
      <c r="P16" s="3083" t="s">
        <v>1367</v>
      </c>
    </row>
    <row r="17" spans="2:16" x14ac:dyDescent="0.25">
      <c r="B17" s="20" t="s">
        <v>1373</v>
      </c>
      <c r="K17" s="929" t="s">
        <v>1368</v>
      </c>
      <c r="L17" s="3083" t="s">
        <v>1367</v>
      </c>
      <c r="N17" s="3078"/>
      <c r="O17" s="3081"/>
      <c r="P17" s="3084"/>
    </row>
    <row r="18" spans="2:16" x14ac:dyDescent="0.25">
      <c r="K18" s="3092" t="s">
        <v>1366</v>
      </c>
      <c r="L18" s="3084"/>
      <c r="N18" s="3078"/>
      <c r="O18" s="3081"/>
      <c r="P18" s="3084"/>
    </row>
    <row r="19" spans="2:16" x14ac:dyDescent="0.25">
      <c r="B19" s="20" t="s">
        <v>1374</v>
      </c>
      <c r="K19" s="3078"/>
      <c r="L19" s="3084"/>
      <c r="N19" s="3078"/>
      <c r="O19" s="3081"/>
      <c r="P19" s="3084"/>
    </row>
    <row r="20" spans="2:16" x14ac:dyDescent="0.25">
      <c r="B20" t="s">
        <v>1375</v>
      </c>
      <c r="K20" s="3078"/>
      <c r="L20" s="3084"/>
      <c r="N20" s="3078"/>
      <c r="O20" s="3081"/>
      <c r="P20" s="3084"/>
    </row>
    <row r="21" spans="2:16" x14ac:dyDescent="0.25">
      <c r="K21" s="3078"/>
      <c r="L21" s="3084"/>
      <c r="N21" s="3078"/>
      <c r="O21" s="3081"/>
      <c r="P21" s="3084"/>
    </row>
    <row r="22" spans="2:16" x14ac:dyDescent="0.25">
      <c r="B22" s="20" t="s">
        <v>1376</v>
      </c>
      <c r="K22" s="3078"/>
      <c r="L22" s="3084"/>
      <c r="N22" s="3079"/>
      <c r="O22" s="3082"/>
      <c r="P22" s="3085"/>
    </row>
    <row r="23" spans="2:16" x14ac:dyDescent="0.25">
      <c r="K23" s="3079"/>
      <c r="L23" s="3085"/>
    </row>
  </sheetData>
  <mergeCells count="6">
    <mergeCell ref="N16:N22"/>
    <mergeCell ref="O16:O22"/>
    <mergeCell ref="P16:P22"/>
    <mergeCell ref="B2:F3"/>
    <mergeCell ref="K18:K23"/>
    <mergeCell ref="L17:L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136</vt:i4>
      </vt:variant>
    </vt:vector>
  </HeadingPairs>
  <TitlesOfParts>
    <vt:vector size="151" baseType="lpstr">
      <vt:lpstr>GIEIA</vt:lpstr>
      <vt:lpstr>GIM</vt:lpstr>
      <vt:lpstr>GIOI</vt:lpstr>
      <vt:lpstr>D_GIM-GIEIA </vt:lpstr>
      <vt:lpstr>GII (primero)</vt:lpstr>
      <vt:lpstr>GII </vt:lpstr>
      <vt:lpstr>MINFORM</vt:lpstr>
      <vt:lpstr>MINDUST</vt:lpstr>
      <vt:lpstr>MDURAB</vt:lpstr>
      <vt:lpstr>MESO</vt:lpstr>
      <vt:lpstr>ASIGNATURAS</vt:lpstr>
      <vt:lpstr>Aulas</vt:lpstr>
      <vt:lpstr>GIS</vt:lpstr>
      <vt:lpstr>Hoja1</vt:lpstr>
      <vt:lpstr>Reglas</vt:lpstr>
      <vt:lpstr>'D_GIM-GIEIA '!Área_de_impresión</vt:lpstr>
      <vt:lpstr>GIEIA!Área_de_impresión</vt:lpstr>
      <vt:lpstr>'GII '!Área_de_impresión</vt:lpstr>
      <vt:lpstr>'GII (primero)'!Área_de_impresión</vt:lpstr>
      <vt:lpstr>GIM!Área_de_impresión</vt:lpstr>
      <vt:lpstr>GIOI!Área_de_impresión</vt:lpstr>
      <vt:lpstr>GIS!Área_de_impresión</vt:lpstr>
      <vt:lpstr>MDURAB!Área_de_impresión</vt:lpstr>
      <vt:lpstr>MESO!Área_de_impresión</vt:lpstr>
      <vt:lpstr>MINDUST!Área_de_impresión</vt:lpstr>
      <vt:lpstr>MINFORM!Área_de_impresión</vt:lpstr>
      <vt:lpstr>Asignaturas2</vt:lpstr>
      <vt:lpstr>AULAS</vt:lpstr>
      <vt:lpstr>Aulas_C</vt:lpstr>
      <vt:lpstr>CAGIE__1</vt:lpstr>
      <vt:lpstr>CAGIE__2</vt:lpstr>
      <vt:lpstr>CAGIE_1</vt:lpstr>
      <vt:lpstr>CAGIE_2</vt:lpstr>
      <vt:lpstr>CAGII__1</vt:lpstr>
      <vt:lpstr>CAGII__2</vt:lpstr>
      <vt:lpstr>CAGII_1</vt:lpstr>
      <vt:lpstr>CAGII_2</vt:lpstr>
      <vt:lpstr>CAGIM__1</vt:lpstr>
      <vt:lpstr>CAGIM__2</vt:lpstr>
      <vt:lpstr>CAGIM_1</vt:lpstr>
      <vt:lpstr>CAGIM_2</vt:lpstr>
      <vt:lpstr>dg_3</vt:lpstr>
      <vt:lpstr>dg_4</vt:lpstr>
      <vt:lpstr>DGME</vt:lpstr>
      <vt:lpstr>DGME_1</vt:lpstr>
      <vt:lpstr>DGME_10</vt:lpstr>
      <vt:lpstr>DGME_2</vt:lpstr>
      <vt:lpstr>DGME_3</vt:lpstr>
      <vt:lpstr>DGME_4</vt:lpstr>
      <vt:lpstr>DGME_5</vt:lpstr>
      <vt:lpstr>DGME_6</vt:lpstr>
      <vt:lpstr>DGME_7</vt:lpstr>
      <vt:lpstr>DGME_8</vt:lpstr>
      <vt:lpstr>DGME_9</vt:lpstr>
      <vt:lpstr>e</vt:lpstr>
      <vt:lpstr>GIE</vt:lpstr>
      <vt:lpstr>GIE__1</vt:lpstr>
      <vt:lpstr>GIE__2</vt:lpstr>
      <vt:lpstr>GIE__3</vt:lpstr>
      <vt:lpstr>GIE__4</vt:lpstr>
      <vt:lpstr>GIE__5</vt:lpstr>
      <vt:lpstr>GIE__6</vt:lpstr>
      <vt:lpstr>GIE__7</vt:lpstr>
      <vt:lpstr>GIE__8</vt:lpstr>
      <vt:lpstr>GIE_1</vt:lpstr>
      <vt:lpstr>GIE_2</vt:lpstr>
      <vt:lpstr>GIE_3</vt:lpstr>
      <vt:lpstr>GIE_4</vt:lpstr>
      <vt:lpstr>GIE_5</vt:lpstr>
      <vt:lpstr>GIE_6</vt:lpstr>
      <vt:lpstr>GIE_7</vt:lpstr>
      <vt:lpstr>GIE_8</vt:lpstr>
      <vt:lpstr>GII</vt:lpstr>
      <vt:lpstr>GII__1</vt:lpstr>
      <vt:lpstr>GII__2</vt:lpstr>
      <vt:lpstr>GII__3</vt:lpstr>
      <vt:lpstr>GII__4</vt:lpstr>
      <vt:lpstr>GII__5</vt:lpstr>
      <vt:lpstr>GII__6</vt:lpstr>
      <vt:lpstr>GII__7</vt:lpstr>
      <vt:lpstr>GII__8</vt:lpstr>
      <vt:lpstr>GII_1</vt:lpstr>
      <vt:lpstr>GII_2</vt:lpstr>
      <vt:lpstr>GII_3</vt:lpstr>
      <vt:lpstr>GII_4</vt:lpstr>
      <vt:lpstr>GII_5</vt:lpstr>
      <vt:lpstr>GII_6</vt:lpstr>
      <vt:lpstr>GII_7</vt:lpstr>
      <vt:lpstr>GII_8</vt:lpstr>
      <vt:lpstr>GIM</vt:lpstr>
      <vt:lpstr>GIM__1</vt:lpstr>
      <vt:lpstr>GIM__2</vt:lpstr>
      <vt:lpstr>GIM__3</vt:lpstr>
      <vt:lpstr>GIM__4</vt:lpstr>
      <vt:lpstr>GIM__5</vt:lpstr>
      <vt:lpstr>GIM__6</vt:lpstr>
      <vt:lpstr>GIM__7</vt:lpstr>
      <vt:lpstr>GIM__8</vt:lpstr>
      <vt:lpstr>GIM_1</vt:lpstr>
      <vt:lpstr>GIM_2</vt:lpstr>
      <vt:lpstr>GIM_3</vt:lpstr>
      <vt:lpstr>GIM_4</vt:lpstr>
      <vt:lpstr>GIM_5</vt:lpstr>
      <vt:lpstr>GIM_6</vt:lpstr>
      <vt:lpstr>GIM_7</vt:lpstr>
      <vt:lpstr>GIM_8</vt:lpstr>
      <vt:lpstr>GIO__1</vt:lpstr>
      <vt:lpstr>GIO__2</vt:lpstr>
      <vt:lpstr>GIO__3</vt:lpstr>
      <vt:lpstr>GIO__4</vt:lpstr>
      <vt:lpstr>GIO__5</vt:lpstr>
      <vt:lpstr>GIO__6</vt:lpstr>
      <vt:lpstr>GIO__7</vt:lpstr>
      <vt:lpstr>GIO__8</vt:lpstr>
      <vt:lpstr>GIO_1</vt:lpstr>
      <vt:lpstr>GIO_2</vt:lpstr>
      <vt:lpstr>GIO_3</vt:lpstr>
      <vt:lpstr>GIO_4</vt:lpstr>
      <vt:lpstr>GIO_5</vt:lpstr>
      <vt:lpstr>GIO_6</vt:lpstr>
      <vt:lpstr>GIO_7</vt:lpstr>
      <vt:lpstr>GIO_8</vt:lpstr>
      <vt:lpstr>gis_1</vt:lpstr>
      <vt:lpstr>GIS_11</vt:lpstr>
      <vt:lpstr>GRUPO</vt:lpstr>
      <vt:lpstr>grupos</vt:lpstr>
      <vt:lpstr>HORARIO</vt:lpstr>
      <vt:lpstr>MDUR__1</vt:lpstr>
      <vt:lpstr>MDUR__2</vt:lpstr>
      <vt:lpstr>MDURAB_1</vt:lpstr>
      <vt:lpstr>MDURAB_2</vt:lpstr>
      <vt:lpstr>MII__1</vt:lpstr>
      <vt:lpstr>MII__2</vt:lpstr>
      <vt:lpstr>MII__3</vt:lpstr>
      <vt:lpstr>MIND__1</vt:lpstr>
      <vt:lpstr>MIND__2</vt:lpstr>
      <vt:lpstr>MIND__3</vt:lpstr>
      <vt:lpstr>MIND_1</vt:lpstr>
      <vt:lpstr>MIND_2</vt:lpstr>
      <vt:lpstr>MIND_3</vt:lpstr>
      <vt:lpstr>MINF_1</vt:lpstr>
      <vt:lpstr>MINF_2</vt:lpstr>
      <vt:lpstr>MINF_3</vt:lpstr>
      <vt:lpstr>notas</vt:lpstr>
      <vt:lpstr>'GII '!Print_Area</vt:lpstr>
      <vt:lpstr>'GII (primero)'!Print_Area</vt:lpstr>
      <vt:lpstr>GIM!Print_Area</vt:lpstr>
      <vt:lpstr>MDURAB!Print_Area</vt:lpstr>
      <vt:lpstr>MESO!Print_Area</vt:lpstr>
      <vt:lpstr>MINDUST!Print_Area</vt:lpstr>
      <vt:lpstr>MINFORM!Print_Area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Rebeca Cuesta Estépar</cp:lastModifiedBy>
  <cp:lastPrinted>2025-01-23T09:11:01Z</cp:lastPrinted>
  <dcterms:created xsi:type="dcterms:W3CDTF">1996-11-27T10:00:04Z</dcterms:created>
  <dcterms:modified xsi:type="dcterms:W3CDTF">2026-04-24T11:33:59Z</dcterms:modified>
</cp:coreProperties>
</file>