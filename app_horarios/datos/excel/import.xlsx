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esktop\Ingeniería informática\4º Trabajo de Fin de Grado\Material TFG\"/>
    </mc:Choice>
  </mc:AlternateContent>
  <xr:revisionPtr revIDLastSave="0" documentId="13_ncr:2001_{3017ED77-2F17-4B0C-9184-641C590491F5}" xr6:coauthVersionLast="47" xr6:coauthVersionMax="47" xr10:uidLastSave="{00000000-0000-0000-0000-000000000000}"/>
  <bookViews>
    <workbookView xWindow="28680" yWindow="-120" windowWidth="29040" windowHeight="15720" firstSheet="7" activeTab="13" xr2:uid="{A94C5715-B1A2-4C5E-A79C-F50E817DAD22}"/>
  </bookViews>
  <sheets>
    <sheet name="AULA" sheetId="1" r:id="rId1"/>
    <sheet name="RESPONSABLE" sheetId="2" r:id="rId2"/>
    <sheet name="RESERVA" sheetId="3" r:id="rId3"/>
    <sheet name="RESERVA_PUNTUAL" sheetId="4" r:id="rId4"/>
    <sheet name="RESERVA_PERIODICA" sheetId="5" r:id="rId5"/>
    <sheet name="DOCENTE" sheetId="6" r:id="rId6"/>
    <sheet name="ASIGNATURAS" sheetId="7" r:id="rId7"/>
    <sheet name="IMPARTE" sheetId="8" r:id="rId8"/>
    <sheet name="GRADO" sheetId="9" r:id="rId9"/>
    <sheet name="GRUPO" sheetId="10" r:id="rId10"/>
    <sheet name="CURSO" sheetId="11" r:id="rId11"/>
    <sheet name="SEMESTRE" sheetId="12" r:id="rId12"/>
    <sheet name="DIA" sheetId="13" r:id="rId13"/>
    <sheet name="LECTIVO" sheetId="14" r:id="rId14"/>
    <sheet name="CAMBIO_DOCENCIA" sheetId="18" r:id="rId15"/>
    <sheet name="EXAMEN" sheetId="15" r:id="rId16"/>
    <sheet name="FESTIVO" sheetId="16" r:id="rId17"/>
    <sheet name="TFG" sheetId="17" r:id="rId18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1" i="13" l="1"/>
  <c r="B162" i="13"/>
  <c r="B163" i="13"/>
  <c r="B164" i="13"/>
  <c r="B165" i="13"/>
  <c r="B166" i="13"/>
  <c r="B167" i="13"/>
  <c r="B168" i="13"/>
  <c r="B169" i="13"/>
  <c r="B170" i="13"/>
  <c r="B171" i="13"/>
  <c r="B172" i="13"/>
  <c r="B173" i="13"/>
  <c r="B174" i="13"/>
  <c r="B175" i="13"/>
  <c r="B176" i="13"/>
  <c r="B177" i="13"/>
  <c r="B178" i="13"/>
  <c r="B179" i="13"/>
  <c r="B180" i="13"/>
  <c r="B181" i="13"/>
  <c r="B182" i="13"/>
  <c r="B183" i="13"/>
  <c r="B184" i="13"/>
  <c r="B185" i="13"/>
  <c r="B186" i="13"/>
  <c r="B187" i="13"/>
  <c r="B188" i="13"/>
  <c r="B189" i="13"/>
  <c r="B190" i="13"/>
  <c r="B191" i="13"/>
  <c r="B192" i="13"/>
  <c r="B193" i="13"/>
  <c r="B194" i="13"/>
  <c r="B195" i="13"/>
  <c r="B196" i="13"/>
  <c r="B197" i="13"/>
  <c r="B198" i="13"/>
  <c r="B199" i="13"/>
  <c r="B200" i="13"/>
  <c r="B201" i="13"/>
  <c r="B202" i="13"/>
  <c r="B203" i="13"/>
  <c r="B204" i="13"/>
  <c r="B205" i="13"/>
  <c r="B206" i="13"/>
  <c r="B207" i="13"/>
  <c r="B208" i="13"/>
  <c r="B209" i="13"/>
  <c r="B210" i="13"/>
  <c r="B211" i="13"/>
  <c r="B212" i="13"/>
  <c r="B213" i="13"/>
  <c r="B214" i="13"/>
  <c r="B215" i="13"/>
  <c r="B216" i="13"/>
  <c r="B217" i="13"/>
  <c r="B218" i="13"/>
  <c r="B219" i="13"/>
  <c r="B220" i="13"/>
  <c r="B221" i="13"/>
  <c r="B222" i="13"/>
  <c r="B223" i="13"/>
  <c r="B224" i="13"/>
  <c r="B225" i="13"/>
  <c r="B226" i="13"/>
  <c r="B227" i="13"/>
  <c r="B228" i="13"/>
  <c r="B229" i="13"/>
  <c r="B230" i="13"/>
  <c r="B231" i="13"/>
  <c r="B232" i="13"/>
  <c r="B233" i="13"/>
  <c r="B234" i="13"/>
  <c r="B235" i="13"/>
  <c r="B236" i="13"/>
  <c r="B237" i="13"/>
  <c r="B238" i="13"/>
  <c r="B239" i="13"/>
  <c r="B240" i="13"/>
  <c r="B241" i="13"/>
  <c r="B242" i="13"/>
  <c r="B243" i="13"/>
  <c r="B244" i="13"/>
  <c r="B245" i="13"/>
  <c r="B246" i="13"/>
  <c r="B247" i="13"/>
  <c r="B248" i="13"/>
  <c r="B249" i="13"/>
  <c r="B250" i="13"/>
  <c r="B251" i="13"/>
  <c r="B252" i="13"/>
  <c r="B253" i="13"/>
  <c r="B254" i="13"/>
  <c r="B255" i="13"/>
  <c r="B256" i="13"/>
  <c r="B257" i="13"/>
  <c r="B258" i="13"/>
  <c r="B259" i="13"/>
  <c r="B260" i="13"/>
  <c r="B261" i="13"/>
  <c r="B262" i="13"/>
  <c r="B263" i="13"/>
  <c r="B264" i="13"/>
  <c r="B265" i="13"/>
  <c r="B266" i="13"/>
  <c r="B267" i="13"/>
  <c r="B268" i="13"/>
  <c r="B269" i="13"/>
  <c r="B270" i="13"/>
  <c r="B271" i="13"/>
  <c r="B272" i="13"/>
  <c r="B273" i="13"/>
  <c r="B274" i="13"/>
  <c r="B275" i="13"/>
  <c r="B276" i="13"/>
  <c r="B277" i="13"/>
  <c r="B278" i="13"/>
  <c r="B279" i="13"/>
  <c r="B280" i="13"/>
  <c r="B281" i="13"/>
  <c r="B282" i="13"/>
  <c r="B283" i="13"/>
  <c r="B284" i="13"/>
  <c r="B285" i="13"/>
  <c r="B286" i="13"/>
  <c r="B287" i="13"/>
  <c r="B288" i="13"/>
  <c r="B289" i="13"/>
  <c r="B290" i="13"/>
  <c r="B291" i="13"/>
  <c r="B292" i="13"/>
  <c r="B293" i="13"/>
  <c r="B294" i="13"/>
  <c r="B295" i="13"/>
  <c r="B296" i="13"/>
  <c r="B297" i="13"/>
  <c r="B298" i="13"/>
  <c r="B299" i="13"/>
  <c r="B300" i="13"/>
  <c r="B301" i="13"/>
  <c r="B302" i="13"/>
  <c r="B303" i="13"/>
  <c r="B304" i="13"/>
  <c r="B305" i="13"/>
  <c r="B306" i="13"/>
  <c r="B307" i="13"/>
  <c r="B308" i="13"/>
  <c r="B309" i="13"/>
  <c r="B310" i="13"/>
  <c r="B311" i="13"/>
  <c r="B312" i="13"/>
  <c r="B313" i="13"/>
  <c r="B314" i="13"/>
  <c r="B315" i="13"/>
  <c r="B316" i="13"/>
  <c r="B317" i="13"/>
  <c r="B318" i="13"/>
  <c r="B319" i="13"/>
  <c r="B320" i="13"/>
  <c r="B321" i="13"/>
  <c r="B322" i="13"/>
  <c r="B323" i="13"/>
  <c r="B324" i="13"/>
  <c r="B325" i="13"/>
  <c r="B326" i="13"/>
  <c r="B327" i="13"/>
  <c r="B328" i="13"/>
  <c r="B329" i="13"/>
  <c r="B330" i="13"/>
  <c r="B331" i="13"/>
  <c r="B332" i="13"/>
  <c r="B333" i="13"/>
  <c r="B334" i="13"/>
  <c r="B335" i="13"/>
  <c r="B160" i="13"/>
  <c r="B4" i="13"/>
  <c r="B5" i="13"/>
  <c r="B6" i="13"/>
  <c r="B7" i="13"/>
  <c r="B8" i="13"/>
  <c r="B9" i="13"/>
  <c r="B10" i="13"/>
  <c r="B11" i="13"/>
  <c r="B12" i="13"/>
  <c r="B13" i="13"/>
  <c r="B14" i="13"/>
  <c r="B15" i="13"/>
  <c r="B16" i="13"/>
  <c r="B17" i="13"/>
  <c r="B18" i="13"/>
  <c r="B19" i="13"/>
  <c r="B20" i="13"/>
  <c r="B21" i="13"/>
  <c r="B22" i="13"/>
  <c r="B23" i="13"/>
  <c r="B24" i="13"/>
  <c r="B25" i="13"/>
  <c r="B26" i="13"/>
  <c r="B27" i="13"/>
  <c r="B28" i="13"/>
  <c r="B29" i="13"/>
  <c r="B30" i="13"/>
  <c r="B31" i="13"/>
  <c r="B32" i="13"/>
  <c r="B33" i="13"/>
  <c r="B34" i="13"/>
  <c r="B35" i="13"/>
  <c r="B36" i="13"/>
  <c r="B37" i="13"/>
  <c r="B38" i="13"/>
  <c r="B39" i="13"/>
  <c r="B40" i="13"/>
  <c r="B41" i="13"/>
  <c r="B42" i="13"/>
  <c r="B43" i="13"/>
  <c r="B44" i="13"/>
  <c r="B45" i="13"/>
  <c r="B46" i="13"/>
  <c r="B47" i="13"/>
  <c r="B48" i="13"/>
  <c r="B49" i="13"/>
  <c r="B50" i="13"/>
  <c r="B51" i="13"/>
  <c r="B52" i="13"/>
  <c r="B53" i="13"/>
  <c r="B54" i="13"/>
  <c r="B55" i="13"/>
  <c r="B56" i="13"/>
  <c r="B57" i="13"/>
  <c r="B58" i="13"/>
  <c r="B59" i="13"/>
  <c r="B60" i="13"/>
  <c r="B61" i="13"/>
  <c r="B62" i="13"/>
  <c r="B63" i="13"/>
  <c r="B64" i="13"/>
  <c r="B65" i="13"/>
  <c r="B66" i="13"/>
  <c r="B67" i="13"/>
  <c r="B68" i="13"/>
  <c r="B69" i="13"/>
  <c r="B70" i="13"/>
  <c r="B71" i="13"/>
  <c r="B72" i="13"/>
  <c r="B73" i="13"/>
  <c r="B74" i="13"/>
  <c r="B75" i="13"/>
  <c r="B76" i="13"/>
  <c r="B77" i="13"/>
  <c r="B78" i="13"/>
  <c r="B79" i="13"/>
  <c r="B80" i="13"/>
  <c r="B81" i="13"/>
  <c r="B82" i="13"/>
  <c r="B83" i="13"/>
  <c r="B84" i="13"/>
  <c r="B85" i="13"/>
  <c r="B86" i="13"/>
  <c r="B87" i="13"/>
  <c r="B88" i="13"/>
  <c r="B89" i="13"/>
  <c r="B90" i="13"/>
  <c r="B91" i="13"/>
  <c r="B92" i="13"/>
  <c r="B93" i="13"/>
  <c r="B94" i="13"/>
  <c r="B95" i="13"/>
  <c r="B96" i="13"/>
  <c r="B97" i="13"/>
  <c r="B98" i="13"/>
  <c r="B99" i="13"/>
  <c r="B100" i="13"/>
  <c r="B101" i="13"/>
  <c r="B102" i="13"/>
  <c r="B103" i="13"/>
  <c r="B104" i="13"/>
  <c r="B105" i="13"/>
  <c r="B106" i="13"/>
  <c r="B107" i="13"/>
  <c r="B108" i="13"/>
  <c r="B109" i="13"/>
  <c r="B110" i="13"/>
  <c r="B111" i="13"/>
  <c r="B112" i="13"/>
  <c r="B113" i="13"/>
  <c r="B114" i="13"/>
  <c r="B115" i="13"/>
  <c r="B116" i="13"/>
  <c r="B117" i="13"/>
  <c r="B118" i="13"/>
  <c r="B119" i="13"/>
  <c r="B120" i="13"/>
  <c r="B121" i="13"/>
  <c r="B122" i="13"/>
  <c r="B123" i="13"/>
  <c r="B124" i="13"/>
  <c r="B125" i="13"/>
  <c r="B126" i="13"/>
  <c r="B127" i="13"/>
  <c r="B128" i="13"/>
  <c r="B129" i="13"/>
  <c r="B130" i="13"/>
  <c r="B131" i="13"/>
  <c r="B132" i="13"/>
  <c r="B133" i="13"/>
  <c r="B134" i="13"/>
  <c r="B135" i="13"/>
  <c r="B136" i="13"/>
  <c r="B137" i="13"/>
  <c r="B138" i="13"/>
  <c r="B139" i="13"/>
  <c r="B140" i="13"/>
  <c r="B141" i="13"/>
  <c r="B142" i="13"/>
  <c r="B143" i="13"/>
  <c r="B144" i="13"/>
  <c r="B145" i="13"/>
  <c r="B146" i="13"/>
  <c r="B147" i="13"/>
  <c r="B148" i="13"/>
  <c r="B149" i="13"/>
  <c r="B150" i="13"/>
  <c r="B151" i="13"/>
  <c r="B152" i="13"/>
  <c r="B153" i="13"/>
  <c r="B154" i="13"/>
  <c r="B155" i="13"/>
  <c r="B156" i="13"/>
  <c r="B157" i="13"/>
  <c r="B158" i="13"/>
  <c r="B3" i="13"/>
  <c r="L5" i="1"/>
  <c r="L4" i="1"/>
  <c r="L3" i="1"/>
  <c r="L2" i="1"/>
  <c r="G3" i="7"/>
  <c r="G4" i="7"/>
  <c r="G2" i="7"/>
</calcChain>
</file>

<file path=xl/sharedStrings.xml><?xml version="1.0" encoding="utf-8"?>
<sst xmlns="http://schemas.openxmlformats.org/spreadsheetml/2006/main" count="174" uniqueCount="117">
  <si>
    <t>NOMBRE</t>
  </si>
  <si>
    <t>EDIFICIO</t>
  </si>
  <si>
    <t>PLANTA</t>
  </si>
  <si>
    <t>CAPACIDAD</t>
  </si>
  <si>
    <t>NUM_ORDENADORES</t>
  </si>
  <si>
    <t>ALTAVOCES</t>
  </si>
  <si>
    <t>PROYECTOR</t>
  </si>
  <si>
    <t>CAMARA</t>
  </si>
  <si>
    <t>ENCHUFES</t>
  </si>
  <si>
    <t>M2</t>
  </si>
  <si>
    <t>OTROS</t>
  </si>
  <si>
    <t>GRADO_ID</t>
  </si>
  <si>
    <t>SEMESTRE_ACADEMICO</t>
  </si>
  <si>
    <t>CORREO</t>
  </si>
  <si>
    <t>APELLIDOS</t>
  </si>
  <si>
    <t>TELEFONO</t>
  </si>
  <si>
    <t>CODIGO_DOCENTE</t>
  </si>
  <si>
    <t>IDRESERVA</t>
  </si>
  <si>
    <t>NOMBRE_AULA</t>
  </si>
  <si>
    <t>ID_DIA</t>
  </si>
  <si>
    <t>MOMENTO_RESERVA</t>
  </si>
  <si>
    <t>ESTADO</t>
  </si>
  <si>
    <t>TIPO</t>
  </si>
  <si>
    <t>CAPACIDAD_SOLICITADA</t>
  </si>
  <si>
    <t>HORA_INICIO</t>
  </si>
  <si>
    <t>HORA_FIN</t>
  </si>
  <si>
    <t>CONVOCATORIA</t>
  </si>
  <si>
    <t>ALCANCE</t>
  </si>
  <si>
    <t>ID_RESPONSABLE</t>
  </si>
  <si>
    <t>MOTIVO</t>
  </si>
  <si>
    <t>INICIO</t>
  </si>
  <si>
    <t>FIN</t>
  </si>
  <si>
    <t>ID_RESERVA</t>
  </si>
  <si>
    <t>ID_ASIGNATURA</t>
  </si>
  <si>
    <t>DIA_SEMANA</t>
  </si>
  <si>
    <t>FECHA_INICIO</t>
  </si>
  <si>
    <t>FECHA_FIN</t>
  </si>
  <si>
    <t>INTERVALO_SEMANAS</t>
  </si>
  <si>
    <t>CODIGO</t>
  </si>
  <si>
    <t>IDASIGNATURA</t>
  </si>
  <si>
    <t>ABREVIATURA</t>
  </si>
  <si>
    <t>CURSO_GRADO</t>
  </si>
  <si>
    <t>ECTS</t>
  </si>
  <si>
    <t>HORAS_PRACTICAS</t>
  </si>
  <si>
    <t>IDGRADO</t>
  </si>
  <si>
    <t>COORDINADOR</t>
  </si>
  <si>
    <t>GRUPOID</t>
  </si>
  <si>
    <t>CAPACIDAD_MAX</t>
  </si>
  <si>
    <t>IDCURSO</t>
  </si>
  <si>
    <t>IDSEMESTRE</t>
  </si>
  <si>
    <t>CURSO_ID</t>
  </si>
  <si>
    <t>NUMERO</t>
  </si>
  <si>
    <t>DIA</t>
  </si>
  <si>
    <t>ID_SEMESTRE</t>
  </si>
  <si>
    <t>SUSTITUYE_DIA</t>
  </si>
  <si>
    <t>53-A1</t>
  </si>
  <si>
    <t>A1</t>
  </si>
  <si>
    <t>TRUE</t>
  </si>
  <si>
    <t>FALSE</t>
  </si>
  <si>
    <t>GII</t>
  </si>
  <si>
    <t>44-A2</t>
  </si>
  <si>
    <t>A2</t>
  </si>
  <si>
    <t>Lab. Automática 1</t>
  </si>
  <si>
    <t>A1-A2</t>
  </si>
  <si>
    <t>Laboratorio de automatización</t>
  </si>
  <si>
    <t>GIE</t>
  </si>
  <si>
    <t>23-A1</t>
  </si>
  <si>
    <t>GIM</t>
  </si>
  <si>
    <t>GIO</t>
  </si>
  <si>
    <t>juan@perez.com</t>
  </si>
  <si>
    <t>Juan</t>
  </si>
  <si>
    <t>Perez Gomez</t>
  </si>
  <si>
    <t>maria@gomez.com</t>
  </si>
  <si>
    <t>Maria</t>
  </si>
  <si>
    <t>Gomez Lopez</t>
  </si>
  <si>
    <t>julia@muñoz.com</t>
  </si>
  <si>
    <t>Julia</t>
  </si>
  <si>
    <t>Muñoz Martinez</t>
  </si>
  <si>
    <t>Álgebra lineal</t>
  </si>
  <si>
    <t>ÁLGEBRA</t>
  </si>
  <si>
    <t>O</t>
  </si>
  <si>
    <t>Informática Básica</t>
  </si>
  <si>
    <t>INFORMÁTICA</t>
  </si>
  <si>
    <t>Fundamentos Físicos de la Informática</t>
  </si>
  <si>
    <t>FÍSICA</t>
  </si>
  <si>
    <t>Grado en Ingeniería Informática</t>
  </si>
  <si>
    <t>Álvar Arnaiz González</t>
  </si>
  <si>
    <t>Grado en Ingeniería Electrónica Industrial y Automática</t>
  </si>
  <si>
    <t>Ignacio Moreno Velasco</t>
  </si>
  <si>
    <t>Grado en Ingeniería Mecánica</t>
  </si>
  <si>
    <t>Raúl Zamorano Samperio</t>
  </si>
  <si>
    <t>Grado en Ingeniería de Organización Industrial</t>
  </si>
  <si>
    <t>Francisco Javier Gómez Gil</t>
  </si>
  <si>
    <t>Doble Grado en Ingeniería Mecánica e Ingeniería Electrónica Industrial y Automática</t>
  </si>
  <si>
    <t>DOB</t>
  </si>
  <si>
    <t>Ana Serrano Mamolar</t>
  </si>
  <si>
    <t>Máster en Ingeniería Industrial</t>
  </si>
  <si>
    <t>MIND</t>
  </si>
  <si>
    <t>Pedro Miguel Bravo Diez</t>
  </si>
  <si>
    <t>2025-2026</t>
  </si>
  <si>
    <t>2025-2026-1</t>
  </si>
  <si>
    <t>2025-2026-2</t>
  </si>
  <si>
    <t>Solemne Inauguración del curso académico</t>
  </si>
  <si>
    <t>UNIVERSIDAD</t>
  </si>
  <si>
    <t>Fiesta Nacional de España (traslado 12-oct)</t>
  </si>
  <si>
    <t>NACIONAL</t>
  </si>
  <si>
    <t>Inmaculada Concepción</t>
  </si>
  <si>
    <t>Fiesta de Santo Tomás de Aquino</t>
  </si>
  <si>
    <t>Fiesta de la Universidad de Burgos</t>
  </si>
  <si>
    <t>CENTRO</t>
  </si>
  <si>
    <t>Fiesta de la EPS</t>
  </si>
  <si>
    <t>Fiesta de Castilla y León</t>
  </si>
  <si>
    <t>REGIONAL</t>
  </si>
  <si>
    <t>Fiesta del Trabajo</t>
  </si>
  <si>
    <t>Fiesta del Curpillos</t>
  </si>
  <si>
    <t>LOCAL</t>
  </si>
  <si>
    <t>San Pedro y San Pablo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</si>
</sst>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1"/>
    <xf numFmtId="14" fontId="0" fillId="0" borderId="0" xfId="0" applyNumberFormat="1"/>
    <xf numFmtId="0" fontId="0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julia@mu&#241;oz.com" TargetMode="External"/><Relationship Id="rId2" Type="http://schemas.openxmlformats.org/officeDocument/2006/relationships/hyperlink" Target="mailto:maria@gomez.com" TargetMode="External"/><Relationship Id="rId1" Type="http://schemas.openxmlformats.org/officeDocument/2006/relationships/hyperlink" Target="mailto:juan@perez.com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mailto:julia@mu&#241;oz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444A8-C7E6-4BAB-8839-22D830771744}">
  <dimension ref="A1:M18"/>
  <sheetViews>
    <sheetView workbookViewId="0">
      <selection activeCell="L6" sqref="L6"/>
    </sheetView>
  </sheetViews>
  <sheetFormatPr baseColWidth="10" defaultRowHeight="14.4" x14ac:dyDescent="0.3"/>
  <cols>
    <col min="1" max="1" width="16.33203125" bestFit="1" customWidth="1"/>
    <col min="5" max="5" width="19" bestFit="1" customWidth="1"/>
    <col min="11" max="11" width="27.77734375" bestFit="1" customWidth="1"/>
    <col min="13" max="13" width="20.664062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55</v>
      </c>
      <c r="B2" t="s">
        <v>56</v>
      </c>
      <c r="C2">
        <v>5</v>
      </c>
      <c r="D2">
        <v>100</v>
      </c>
      <c r="E2">
        <v>1</v>
      </c>
      <c r="F2" t="s">
        <v>57</v>
      </c>
      <c r="G2" t="s">
        <v>57</v>
      </c>
      <c r="H2" t="s">
        <v>58</v>
      </c>
      <c r="I2" t="s">
        <v>57</v>
      </c>
      <c r="J2">
        <v>60</v>
      </c>
      <c r="L2">
        <f>GRADO!$A$2</f>
        <v>281</v>
      </c>
      <c r="M2">
        <v>2</v>
      </c>
    </row>
    <row r="3" spans="1:13" x14ac:dyDescent="0.3">
      <c r="A3" t="s">
        <v>60</v>
      </c>
      <c r="B3" t="s">
        <v>61</v>
      </c>
      <c r="C3">
        <v>4</v>
      </c>
      <c r="D3">
        <v>40</v>
      </c>
      <c r="E3">
        <v>15</v>
      </c>
      <c r="F3" t="s">
        <v>58</v>
      </c>
      <c r="G3" t="s">
        <v>57</v>
      </c>
      <c r="H3" t="s">
        <v>57</v>
      </c>
      <c r="I3" t="s">
        <v>57</v>
      </c>
      <c r="J3">
        <v>40</v>
      </c>
      <c r="L3">
        <f>GRADO!$A$2</f>
        <v>281</v>
      </c>
      <c r="M3">
        <v>4</v>
      </c>
    </row>
    <row r="4" spans="1:13" x14ac:dyDescent="0.3">
      <c r="A4" t="s">
        <v>62</v>
      </c>
      <c r="B4" t="s">
        <v>63</v>
      </c>
      <c r="C4">
        <v>0</v>
      </c>
      <c r="D4">
        <v>30</v>
      </c>
      <c r="E4">
        <v>12</v>
      </c>
      <c r="F4" t="s">
        <v>57</v>
      </c>
      <c r="G4" t="s">
        <v>57</v>
      </c>
      <c r="H4" t="s">
        <v>57</v>
      </c>
      <c r="I4" t="s">
        <v>57</v>
      </c>
      <c r="J4">
        <v>30</v>
      </c>
      <c r="K4" t="s">
        <v>64</v>
      </c>
      <c r="L4">
        <f>GRADO!A3</f>
        <v>147</v>
      </c>
      <c r="M4">
        <v>1</v>
      </c>
    </row>
    <row r="5" spans="1:13" x14ac:dyDescent="0.3">
      <c r="A5" t="s">
        <v>66</v>
      </c>
      <c r="B5" t="s">
        <v>56</v>
      </c>
      <c r="C5">
        <v>2</v>
      </c>
      <c r="D5">
        <v>25</v>
      </c>
      <c r="E5">
        <v>13</v>
      </c>
      <c r="F5" t="s">
        <v>57</v>
      </c>
      <c r="G5" t="s">
        <v>57</v>
      </c>
      <c r="H5" t="s">
        <v>57</v>
      </c>
      <c r="I5" t="s">
        <v>57</v>
      </c>
      <c r="J5">
        <v>20</v>
      </c>
      <c r="L5">
        <f>GRADO!A5</f>
        <v>291</v>
      </c>
      <c r="M5">
        <v>3</v>
      </c>
    </row>
    <row r="18" spans="2:2" x14ac:dyDescent="0.3">
      <c r="B1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03648-F5F1-4772-AC19-7D51CE8083F9}">
  <dimension ref="A1:E4"/>
  <sheetViews>
    <sheetView workbookViewId="0">
      <selection activeCell="A4" sqref="A4"/>
    </sheetView>
  </sheetViews>
  <sheetFormatPr baseColWidth="10" defaultRowHeight="14.4" x14ac:dyDescent="0.3"/>
  <cols>
    <col min="1" max="1" width="17.77734375" bestFit="1" customWidth="1"/>
    <col min="3" max="3" width="14.44140625" bestFit="1" customWidth="1"/>
    <col min="5" max="5" width="16.88671875" bestFit="1" customWidth="1"/>
  </cols>
  <sheetData>
    <row r="1" spans="1:5" x14ac:dyDescent="0.3">
      <c r="A1" t="s">
        <v>13</v>
      </c>
      <c r="B1" t="s">
        <v>0</v>
      </c>
      <c r="C1" t="s">
        <v>14</v>
      </c>
      <c r="D1" t="s">
        <v>15</v>
      </c>
      <c r="E1" t="s">
        <v>16</v>
      </c>
    </row>
    <row r="2" spans="1:5" x14ac:dyDescent="0.3">
      <c r="A2" s="2" t="s">
        <v>69</v>
      </c>
      <c r="B2" t="s">
        <v>70</v>
      </c>
      <c r="C2" t="s">
        <v>71</v>
      </c>
      <c r="D2">
        <v>600123456</v>
      </c>
    </row>
    <row r="3" spans="1:5" x14ac:dyDescent="0.3">
      <c r="A3" s="2" t="s">
        <v>72</v>
      </c>
      <c r="B3" t="s">
        <v>73</v>
      </c>
      <c r="C3" t="s">
        <v>74</v>
      </c>
      <c r="D3">
        <v>600654321</v>
      </c>
    </row>
    <row r="4" spans="1:5" x14ac:dyDescent="0.3">
      <c r="A4" s="2" t="s">
        <v>75</v>
      </c>
      <c r="B4" t="s">
        <v>76</v>
      </c>
      <c r="C4" t="s">
        <v>77</v>
      </c>
      <c r="D4">
        <v>639865741</v>
      </c>
      <c r="E4">
        <v>123</v>
      </c>
    </row>
  </sheetData>
  <hyperlinks>
    <hyperlink ref="A2" r:id="rId1" xr:uid="{91AACC70-482D-45C5-97CE-6B0A908F068A}"/>
    <hyperlink ref="A3" r:id="rId2" xr:uid="{58012B11-7990-4B11-B46F-E0992EF9BC98}"/>
    <hyperlink ref="A4" r:id="rId3" xr:uid="{08D2D88E-E309-411E-83D4-C61A406D33EC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78E57-8342-4B12-A2BC-28272F94D4A6}">
  <dimension ref="A1:I1"/>
  <sheetViews>
    <sheetView workbookViewId="0">
      <selection activeCell="L13" sqref="L13"/>
    </sheetView>
  </sheetViews>
  <sheetFormatPr baseColWidth="10" defaultRowHeight="14.4" x14ac:dyDescent="0.3"/>
  <cols>
    <col min="2" max="2" width="13.5546875" bestFit="1" customWidth="1"/>
    <col min="4" max="4" width="18.44140625" bestFit="1" customWidth="1"/>
    <col min="7" max="7" width="21.6640625" bestFit="1" customWidth="1"/>
    <col min="8" max="8" width="12.21875" bestFit="1" customWidth="1"/>
  </cols>
  <sheetData>
    <row r="1" spans="1:9" x14ac:dyDescent="0.3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FE1E2-1F6B-4D5B-934A-380C58E17123}">
  <dimension ref="A1:E1"/>
  <sheetViews>
    <sheetView workbookViewId="0">
      <selection activeCell="E1" sqref="E1"/>
    </sheetView>
  </sheetViews>
  <sheetFormatPr baseColWidth="10" defaultRowHeight="14.4" x14ac:dyDescent="0.3"/>
  <cols>
    <col min="2" max="2" width="15.6640625" bestFit="1" customWidth="1"/>
  </cols>
  <sheetData>
    <row r="1" spans="1:5" x14ac:dyDescent="0.3">
      <c r="A1" t="s">
        <v>17</v>
      </c>
      <c r="B1" t="s">
        <v>28</v>
      </c>
      <c r="C1" t="s">
        <v>29</v>
      </c>
      <c r="D1" t="s">
        <v>30</v>
      </c>
      <c r="E1" t="s">
        <v>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54C37-C01A-42C3-9DE3-4A3103BA6151}">
  <dimension ref="A1:G1"/>
  <sheetViews>
    <sheetView workbookViewId="0">
      <selection activeCell="G1" sqref="G1:G1048576"/>
    </sheetView>
  </sheetViews>
  <sheetFormatPr baseColWidth="10" defaultRowHeight="14.4" x14ac:dyDescent="0.3"/>
  <cols>
    <col min="2" max="2" width="14.44140625" bestFit="1" customWidth="1"/>
    <col min="4" max="4" width="12.77734375" bestFit="1" customWidth="1"/>
    <col min="6" max="6" width="19.44140625" bestFit="1" customWidth="1"/>
    <col min="7" max="7" width="11.5546875" style="1"/>
  </cols>
  <sheetData>
    <row r="1" spans="1:6" x14ac:dyDescent="0.3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CFACA-FCB7-4F9C-BF2C-590363B0F3D2}">
  <dimension ref="A1:E2"/>
  <sheetViews>
    <sheetView workbookViewId="0"/>
  </sheetViews>
  <sheetFormatPr baseColWidth="10" defaultRowHeight="14.4" x14ac:dyDescent="0.3"/>
  <cols>
    <col min="3" max="3" width="14.44140625" bestFit="1" customWidth="1"/>
    <col min="4" max="4" width="16.77734375" bestFit="1" customWidth="1"/>
  </cols>
  <sheetData>
    <row r="1" spans="1:5" x14ac:dyDescent="0.3">
      <c r="A1" s="1" t="s">
        <v>38</v>
      </c>
      <c r="B1" t="s">
        <v>0</v>
      </c>
      <c r="C1" t="s">
        <v>14</v>
      </c>
      <c r="D1" t="s">
        <v>13</v>
      </c>
      <c r="E1" t="s">
        <v>15</v>
      </c>
    </row>
    <row r="2" spans="1:5" x14ac:dyDescent="0.3">
      <c r="A2">
        <v>123</v>
      </c>
      <c r="B2" t="s">
        <v>76</v>
      </c>
      <c r="C2" t="s">
        <v>77</v>
      </c>
      <c r="D2" s="2" t="s">
        <v>75</v>
      </c>
      <c r="E2">
        <v>639865741</v>
      </c>
    </row>
  </sheetData>
  <hyperlinks>
    <hyperlink ref="D2" r:id="rId1" xr:uid="{2327B4CB-EB61-4996-B3E3-91B9BB9F848C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2E0DA-477D-4369-A2EA-624654DB46ED}">
  <dimension ref="A1:I4"/>
  <sheetViews>
    <sheetView workbookViewId="0">
      <selection activeCell="I10" sqref="I10"/>
    </sheetView>
  </sheetViews>
  <sheetFormatPr baseColWidth="10" defaultRowHeight="14.4" x14ac:dyDescent="0.3"/>
  <cols>
    <col min="1" max="1" width="13.5546875" bestFit="1" customWidth="1"/>
    <col min="2" max="2" width="34.88671875" bestFit="1" customWidth="1"/>
    <col min="3" max="3" width="12.44140625" bestFit="1" customWidth="1"/>
    <col min="4" max="4" width="13.77734375" bestFit="1" customWidth="1"/>
    <col min="5" max="5" width="20.6640625" bestFit="1" customWidth="1"/>
    <col min="9" max="9" width="17" bestFit="1" customWidth="1"/>
  </cols>
  <sheetData>
    <row r="1" spans="1:9" x14ac:dyDescent="0.3">
      <c r="A1" t="s">
        <v>39</v>
      </c>
      <c r="B1" t="s">
        <v>0</v>
      </c>
      <c r="C1" t="s">
        <v>40</v>
      </c>
      <c r="D1" t="s">
        <v>41</v>
      </c>
      <c r="E1" t="s">
        <v>12</v>
      </c>
      <c r="F1" t="s">
        <v>42</v>
      </c>
      <c r="G1" t="s">
        <v>11</v>
      </c>
      <c r="H1" t="s">
        <v>22</v>
      </c>
      <c r="I1" t="s">
        <v>43</v>
      </c>
    </row>
    <row r="2" spans="1:9" x14ac:dyDescent="0.3">
      <c r="A2">
        <v>8797</v>
      </c>
      <c r="B2" t="s">
        <v>78</v>
      </c>
      <c r="C2" t="s">
        <v>79</v>
      </c>
      <c r="D2">
        <v>1</v>
      </c>
      <c r="E2">
        <v>1</v>
      </c>
      <c r="F2">
        <v>6</v>
      </c>
      <c r="G2">
        <f>GRADO!$A$2</f>
        <v>281</v>
      </c>
      <c r="H2" t="s">
        <v>80</v>
      </c>
      <c r="I2">
        <v>2</v>
      </c>
    </row>
    <row r="3" spans="1:9" x14ac:dyDescent="0.3">
      <c r="A3">
        <v>8798</v>
      </c>
      <c r="B3" t="s">
        <v>81</v>
      </c>
      <c r="C3" t="s">
        <v>82</v>
      </c>
      <c r="D3">
        <v>1</v>
      </c>
      <c r="E3">
        <v>1</v>
      </c>
      <c r="F3">
        <v>6</v>
      </c>
      <c r="G3">
        <f>GRADO!$A$2</f>
        <v>281</v>
      </c>
      <c r="H3" t="s">
        <v>80</v>
      </c>
      <c r="I3">
        <v>2</v>
      </c>
    </row>
    <row r="4" spans="1:9" x14ac:dyDescent="0.3">
      <c r="A4">
        <v>8799</v>
      </c>
      <c r="B4" t="s">
        <v>83</v>
      </c>
      <c r="C4" t="s">
        <v>84</v>
      </c>
      <c r="D4">
        <v>1</v>
      </c>
      <c r="E4">
        <v>1</v>
      </c>
      <c r="F4">
        <v>6</v>
      </c>
      <c r="G4">
        <f>GRADO!$A$2</f>
        <v>281</v>
      </c>
      <c r="H4" t="s">
        <v>80</v>
      </c>
      <c r="I4">
        <v>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3A106-3422-4747-9D7B-F26C2B736B65}">
  <dimension ref="A1:B1"/>
  <sheetViews>
    <sheetView workbookViewId="0">
      <selection activeCell="C1" sqref="C1:C1048576"/>
    </sheetView>
  </sheetViews>
  <sheetFormatPr baseColWidth="10" defaultRowHeight="14.4" x14ac:dyDescent="0.3"/>
  <cols>
    <col min="1" max="1" width="16.88671875" bestFit="1" customWidth="1"/>
    <col min="2" max="2" width="14.44140625" bestFit="1" customWidth="1"/>
  </cols>
  <sheetData>
    <row r="1" spans="1:2" x14ac:dyDescent="0.3">
      <c r="A1" t="s">
        <v>16</v>
      </c>
      <c r="B1" t="s">
        <v>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F4FBF-F334-4E5C-A484-389B44392931}">
  <dimension ref="A1:D7"/>
  <sheetViews>
    <sheetView workbookViewId="0">
      <selection activeCell="G19" sqref="G19"/>
    </sheetView>
  </sheetViews>
  <sheetFormatPr baseColWidth="10" defaultRowHeight="14.4" x14ac:dyDescent="0.3"/>
  <cols>
    <col min="2" max="2" width="74.33203125" bestFit="1" customWidth="1"/>
    <col min="3" max="3" width="12.44140625" customWidth="1"/>
    <col min="4" max="4" width="24" bestFit="1" customWidth="1"/>
  </cols>
  <sheetData>
    <row r="1" spans="1:4" x14ac:dyDescent="0.3">
      <c r="A1" t="s">
        <v>44</v>
      </c>
      <c r="B1" t="s">
        <v>0</v>
      </c>
      <c r="C1" t="s">
        <v>40</v>
      </c>
      <c r="D1" t="s">
        <v>45</v>
      </c>
    </row>
    <row r="2" spans="1:4" x14ac:dyDescent="0.3">
      <c r="A2">
        <v>281</v>
      </c>
      <c r="B2" t="s">
        <v>85</v>
      </c>
      <c r="C2" t="s">
        <v>59</v>
      </c>
      <c r="D2" t="s">
        <v>86</v>
      </c>
    </row>
    <row r="3" spans="1:4" x14ac:dyDescent="0.3">
      <c r="A3">
        <v>147</v>
      </c>
      <c r="B3" t="s">
        <v>87</v>
      </c>
      <c r="C3" t="s">
        <v>65</v>
      </c>
      <c r="D3" t="s">
        <v>88</v>
      </c>
    </row>
    <row r="4" spans="1:4" x14ac:dyDescent="0.3">
      <c r="A4">
        <v>166</v>
      </c>
      <c r="B4" t="s">
        <v>89</v>
      </c>
      <c r="C4" t="s">
        <v>67</v>
      </c>
      <c r="D4" t="s">
        <v>90</v>
      </c>
    </row>
    <row r="5" spans="1:4" x14ac:dyDescent="0.3">
      <c r="A5">
        <v>291</v>
      </c>
      <c r="B5" t="s">
        <v>91</v>
      </c>
      <c r="C5" t="s">
        <v>68</v>
      </c>
      <c r="D5" t="s">
        <v>92</v>
      </c>
    </row>
    <row r="6" spans="1:4" x14ac:dyDescent="0.3">
      <c r="A6">
        <v>254</v>
      </c>
      <c r="B6" t="s">
        <v>93</v>
      </c>
      <c r="C6" t="s">
        <v>94</v>
      </c>
      <c r="D6" t="s">
        <v>95</v>
      </c>
    </row>
    <row r="7" spans="1:4" x14ac:dyDescent="0.3">
      <c r="A7">
        <v>220</v>
      </c>
      <c r="B7" t="s">
        <v>96</v>
      </c>
      <c r="C7" t="s">
        <v>97</v>
      </c>
      <c r="D7" t="s">
        <v>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8036C-A1BF-4104-B800-C6B4859A71DF}">
  <dimension ref="A1:D1"/>
  <sheetViews>
    <sheetView workbookViewId="0">
      <selection activeCell="D1" sqref="D1:D1048576"/>
    </sheetView>
  </sheetViews>
  <sheetFormatPr baseColWidth="10" defaultRowHeight="14.4" x14ac:dyDescent="0.3"/>
  <cols>
    <col min="3" max="3" width="14.44140625" bestFit="1" customWidth="1"/>
    <col min="4" max="4" width="15.21875" style="1" bestFit="1" customWidth="1"/>
  </cols>
  <sheetData>
    <row r="1" spans="1:4" x14ac:dyDescent="0.3">
      <c r="A1" t="s">
        <v>46</v>
      </c>
      <c r="B1" t="s">
        <v>0</v>
      </c>
      <c r="C1" t="s">
        <v>33</v>
      </c>
      <c r="D1" s="1" t="s">
        <v>47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63331-DC2A-4CD8-BE7B-16369AE4C8C0}">
  <dimension ref="A1:C2"/>
  <sheetViews>
    <sheetView workbookViewId="0">
      <selection activeCell="A3" sqref="A3"/>
    </sheetView>
  </sheetViews>
  <sheetFormatPr baseColWidth="10" defaultRowHeight="14.4" x14ac:dyDescent="0.3"/>
  <cols>
    <col min="2" max="2" width="12.77734375" bestFit="1" customWidth="1"/>
  </cols>
  <sheetData>
    <row r="1" spans="1:3" x14ac:dyDescent="0.3">
      <c r="A1" t="s">
        <v>48</v>
      </c>
      <c r="B1" t="s">
        <v>35</v>
      </c>
      <c r="C1" t="s">
        <v>36</v>
      </c>
    </row>
    <row r="2" spans="1:3" x14ac:dyDescent="0.3">
      <c r="A2" t="s">
        <v>99</v>
      </c>
      <c r="B2" s="3">
        <v>45901</v>
      </c>
      <c r="C2" s="3">
        <v>46234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39C64-635E-4C3E-B19F-C5CF3B48462E}">
  <dimension ref="A1:F3"/>
  <sheetViews>
    <sheetView workbookViewId="0">
      <selection activeCell="F3" sqref="F3"/>
    </sheetView>
  </sheetViews>
  <sheetFormatPr baseColWidth="10" defaultRowHeight="14.4" x14ac:dyDescent="0.3"/>
  <cols>
    <col min="4" max="4" width="12.77734375" bestFit="1" customWidth="1"/>
  </cols>
  <sheetData>
    <row r="1" spans="1:6" x14ac:dyDescent="0.3">
      <c r="A1" t="s">
        <v>49</v>
      </c>
      <c r="B1" t="s">
        <v>50</v>
      </c>
      <c r="C1" t="s">
        <v>51</v>
      </c>
      <c r="D1" t="s">
        <v>35</v>
      </c>
      <c r="E1" t="s">
        <v>36</v>
      </c>
    </row>
    <row r="2" spans="1:6" x14ac:dyDescent="0.3">
      <c r="A2" t="s">
        <v>100</v>
      </c>
      <c r="B2" t="s">
        <v>99</v>
      </c>
      <c r="C2">
        <v>1</v>
      </c>
      <c r="D2" s="3">
        <v>45908</v>
      </c>
      <c r="E2" s="3">
        <v>46057</v>
      </c>
    </row>
    <row r="3" spans="1:6" x14ac:dyDescent="0.3">
      <c r="A3" t="s">
        <v>101</v>
      </c>
      <c r="B3" t="s">
        <v>99</v>
      </c>
      <c r="C3">
        <v>2</v>
      </c>
      <c r="D3" s="3">
        <v>46058</v>
      </c>
      <c r="E3" s="3">
        <v>46229</v>
      </c>
      <c r="F3" s="1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A978D-940A-4DAF-97BC-A5259CBDA99B}">
  <dimension ref="A1:C335"/>
  <sheetViews>
    <sheetView zoomScaleNormal="100" workbookViewId="0">
      <selection activeCell="L320" sqref="L320"/>
    </sheetView>
  </sheetViews>
  <sheetFormatPr baseColWidth="10" defaultRowHeight="14.4" x14ac:dyDescent="0.3"/>
  <cols>
    <col min="2" max="2" width="12.109375" bestFit="1" customWidth="1"/>
    <col min="3" max="3" width="11.77734375" bestFit="1" customWidth="1"/>
  </cols>
  <sheetData>
    <row r="1" spans="1:3" x14ac:dyDescent="0.3">
      <c r="A1" t="s">
        <v>52</v>
      </c>
      <c r="B1" t="s">
        <v>53</v>
      </c>
      <c r="C1" t="s">
        <v>34</v>
      </c>
    </row>
    <row r="2" spans="1:3" x14ac:dyDescent="0.3">
      <c r="A2" s="3">
        <v>45901</v>
      </c>
      <c r="B2" t="s">
        <v>100</v>
      </c>
      <c r="C2">
        <v>1</v>
      </c>
    </row>
    <row r="3" spans="1:3" x14ac:dyDescent="0.3">
      <c r="A3" s="3">
        <v>45902</v>
      </c>
      <c r="B3" t="str">
        <f>$B$2</f>
        <v>2025-2026-1</v>
      </c>
      <c r="C3">
        <v>2</v>
      </c>
    </row>
    <row r="4" spans="1:3" x14ac:dyDescent="0.3">
      <c r="A4" s="3">
        <v>45903</v>
      </c>
      <c r="B4" t="str">
        <f t="shared" ref="B4:B67" si="0">$B$2</f>
        <v>2025-2026-1</v>
      </c>
      <c r="C4">
        <v>3</v>
      </c>
    </row>
    <row r="5" spans="1:3" x14ac:dyDescent="0.3">
      <c r="A5" s="3">
        <v>45904</v>
      </c>
      <c r="B5" t="str">
        <f t="shared" si="0"/>
        <v>2025-2026-1</v>
      </c>
      <c r="C5">
        <v>4</v>
      </c>
    </row>
    <row r="6" spans="1:3" x14ac:dyDescent="0.3">
      <c r="A6" s="3">
        <v>45905</v>
      </c>
      <c r="B6" t="str">
        <f t="shared" si="0"/>
        <v>2025-2026-1</v>
      </c>
      <c r="C6">
        <v>5</v>
      </c>
    </row>
    <row r="7" spans="1:3" x14ac:dyDescent="0.3">
      <c r="A7" s="3">
        <v>45906</v>
      </c>
      <c r="B7" t="str">
        <f t="shared" si="0"/>
        <v>2025-2026-1</v>
      </c>
      <c r="C7">
        <v>6</v>
      </c>
    </row>
    <row r="8" spans="1:3" x14ac:dyDescent="0.3">
      <c r="A8" s="3">
        <v>45907</v>
      </c>
      <c r="B8" t="str">
        <f t="shared" si="0"/>
        <v>2025-2026-1</v>
      </c>
      <c r="C8">
        <v>7</v>
      </c>
    </row>
    <row r="9" spans="1:3" x14ac:dyDescent="0.3">
      <c r="A9" s="3">
        <v>45908</v>
      </c>
      <c r="B9" t="str">
        <f t="shared" si="0"/>
        <v>2025-2026-1</v>
      </c>
      <c r="C9">
        <v>1</v>
      </c>
    </row>
    <row r="10" spans="1:3" x14ac:dyDescent="0.3">
      <c r="A10" s="3">
        <v>45909</v>
      </c>
      <c r="B10" t="str">
        <f t="shared" si="0"/>
        <v>2025-2026-1</v>
      </c>
      <c r="C10">
        <v>2</v>
      </c>
    </row>
    <row r="11" spans="1:3" x14ac:dyDescent="0.3">
      <c r="A11" s="3">
        <v>45910</v>
      </c>
      <c r="B11" t="str">
        <f t="shared" si="0"/>
        <v>2025-2026-1</v>
      </c>
      <c r="C11">
        <v>3</v>
      </c>
    </row>
    <row r="12" spans="1:3" x14ac:dyDescent="0.3">
      <c r="A12" s="3">
        <v>45911</v>
      </c>
      <c r="B12" t="str">
        <f t="shared" si="0"/>
        <v>2025-2026-1</v>
      </c>
      <c r="C12">
        <v>4</v>
      </c>
    </row>
    <row r="13" spans="1:3" x14ac:dyDescent="0.3">
      <c r="A13" s="3">
        <v>45912</v>
      </c>
      <c r="B13" t="str">
        <f t="shared" si="0"/>
        <v>2025-2026-1</v>
      </c>
      <c r="C13">
        <v>5</v>
      </c>
    </row>
    <row r="14" spans="1:3" x14ac:dyDescent="0.3">
      <c r="A14" s="3">
        <v>45913</v>
      </c>
      <c r="B14" t="str">
        <f t="shared" si="0"/>
        <v>2025-2026-1</v>
      </c>
      <c r="C14">
        <v>6</v>
      </c>
    </row>
    <row r="15" spans="1:3" x14ac:dyDescent="0.3">
      <c r="A15" s="3">
        <v>45914</v>
      </c>
      <c r="B15" t="str">
        <f t="shared" si="0"/>
        <v>2025-2026-1</v>
      </c>
      <c r="C15">
        <v>7</v>
      </c>
    </row>
    <row r="16" spans="1:3" x14ac:dyDescent="0.3">
      <c r="A16" s="3">
        <v>45915</v>
      </c>
      <c r="B16" t="str">
        <f t="shared" si="0"/>
        <v>2025-2026-1</v>
      </c>
      <c r="C16">
        <v>1</v>
      </c>
    </row>
    <row r="17" spans="1:3" x14ac:dyDescent="0.3">
      <c r="A17" s="3">
        <v>45916</v>
      </c>
      <c r="B17" t="str">
        <f t="shared" si="0"/>
        <v>2025-2026-1</v>
      </c>
      <c r="C17">
        <v>2</v>
      </c>
    </row>
    <row r="18" spans="1:3" x14ac:dyDescent="0.3">
      <c r="A18" s="3">
        <v>45917</v>
      </c>
      <c r="B18" t="str">
        <f t="shared" si="0"/>
        <v>2025-2026-1</v>
      </c>
      <c r="C18">
        <v>3</v>
      </c>
    </row>
    <row r="19" spans="1:3" x14ac:dyDescent="0.3">
      <c r="A19" s="3">
        <v>45918</v>
      </c>
      <c r="B19" t="str">
        <f t="shared" si="0"/>
        <v>2025-2026-1</v>
      </c>
      <c r="C19">
        <v>4</v>
      </c>
    </row>
    <row r="20" spans="1:3" x14ac:dyDescent="0.3">
      <c r="A20" s="3">
        <v>45919</v>
      </c>
      <c r="B20" t="str">
        <f t="shared" si="0"/>
        <v>2025-2026-1</v>
      </c>
      <c r="C20">
        <v>5</v>
      </c>
    </row>
    <row r="21" spans="1:3" x14ac:dyDescent="0.3">
      <c r="A21" s="3">
        <v>45920</v>
      </c>
      <c r="B21" t="str">
        <f t="shared" si="0"/>
        <v>2025-2026-1</v>
      </c>
      <c r="C21">
        <v>6</v>
      </c>
    </row>
    <row r="22" spans="1:3" x14ac:dyDescent="0.3">
      <c r="A22" s="3">
        <v>45921</v>
      </c>
      <c r="B22" t="str">
        <f t="shared" si="0"/>
        <v>2025-2026-1</v>
      </c>
      <c r="C22">
        <v>7</v>
      </c>
    </row>
    <row r="23" spans="1:3" x14ac:dyDescent="0.3">
      <c r="A23" s="3">
        <v>45922</v>
      </c>
      <c r="B23" t="str">
        <f t="shared" si="0"/>
        <v>2025-2026-1</v>
      </c>
      <c r="C23">
        <v>1</v>
      </c>
    </row>
    <row r="24" spans="1:3" x14ac:dyDescent="0.3">
      <c r="A24" s="3">
        <v>45923</v>
      </c>
      <c r="B24" t="str">
        <f t="shared" si="0"/>
        <v>2025-2026-1</v>
      </c>
      <c r="C24">
        <v>2</v>
      </c>
    </row>
    <row r="25" spans="1:3" x14ac:dyDescent="0.3">
      <c r="A25" s="3">
        <v>45924</v>
      </c>
      <c r="B25" t="str">
        <f t="shared" si="0"/>
        <v>2025-2026-1</v>
      </c>
      <c r="C25">
        <v>3</v>
      </c>
    </row>
    <row r="26" spans="1:3" x14ac:dyDescent="0.3">
      <c r="A26" s="3">
        <v>45925</v>
      </c>
      <c r="B26" t="str">
        <f t="shared" si="0"/>
        <v>2025-2026-1</v>
      </c>
      <c r="C26">
        <v>4</v>
      </c>
    </row>
    <row r="27" spans="1:3" x14ac:dyDescent="0.3">
      <c r="A27" s="3">
        <v>45926</v>
      </c>
      <c r="B27" t="str">
        <f t="shared" si="0"/>
        <v>2025-2026-1</v>
      </c>
      <c r="C27">
        <v>5</v>
      </c>
    </row>
    <row r="28" spans="1:3" x14ac:dyDescent="0.3">
      <c r="A28" s="3">
        <v>45927</v>
      </c>
      <c r="B28" t="str">
        <f t="shared" si="0"/>
        <v>2025-2026-1</v>
      </c>
      <c r="C28">
        <v>6</v>
      </c>
    </row>
    <row r="29" spans="1:3" x14ac:dyDescent="0.3">
      <c r="A29" s="3">
        <v>45928</v>
      </c>
      <c r="B29" t="str">
        <f t="shared" si="0"/>
        <v>2025-2026-1</v>
      </c>
      <c r="C29">
        <v>7</v>
      </c>
    </row>
    <row r="30" spans="1:3" x14ac:dyDescent="0.3">
      <c r="A30" s="3">
        <v>45929</v>
      </c>
      <c r="B30" t="str">
        <f t="shared" si="0"/>
        <v>2025-2026-1</v>
      </c>
      <c r="C30">
        <v>1</v>
      </c>
    </row>
    <row r="31" spans="1:3" x14ac:dyDescent="0.3">
      <c r="A31" s="3">
        <v>45930</v>
      </c>
      <c r="B31" t="str">
        <f t="shared" si="0"/>
        <v>2025-2026-1</v>
      </c>
      <c r="C31">
        <v>2</v>
      </c>
    </row>
    <row r="32" spans="1:3" x14ac:dyDescent="0.3">
      <c r="A32" s="3">
        <v>45931</v>
      </c>
      <c r="B32" t="str">
        <f t="shared" si="0"/>
        <v>2025-2026-1</v>
      </c>
      <c r="C32">
        <v>3</v>
      </c>
    </row>
    <row r="33" spans="1:3" x14ac:dyDescent="0.3">
      <c r="A33" s="3">
        <v>45932</v>
      </c>
      <c r="B33" t="str">
        <f t="shared" si="0"/>
        <v>2025-2026-1</v>
      </c>
      <c r="C33">
        <v>4</v>
      </c>
    </row>
    <row r="34" spans="1:3" x14ac:dyDescent="0.3">
      <c r="A34" s="3">
        <v>45933</v>
      </c>
      <c r="B34" t="str">
        <f t="shared" si="0"/>
        <v>2025-2026-1</v>
      </c>
      <c r="C34">
        <v>5</v>
      </c>
    </row>
    <row r="35" spans="1:3" x14ac:dyDescent="0.3">
      <c r="A35" s="3">
        <v>45934</v>
      </c>
      <c r="B35" t="str">
        <f t="shared" si="0"/>
        <v>2025-2026-1</v>
      </c>
      <c r="C35">
        <v>6</v>
      </c>
    </row>
    <row r="36" spans="1:3" x14ac:dyDescent="0.3">
      <c r="A36" s="3">
        <v>45935</v>
      </c>
      <c r="B36" t="str">
        <f t="shared" si="0"/>
        <v>2025-2026-1</v>
      </c>
      <c r="C36">
        <v>7</v>
      </c>
    </row>
    <row r="37" spans="1:3" x14ac:dyDescent="0.3">
      <c r="A37" s="3">
        <v>45936</v>
      </c>
      <c r="B37" t="str">
        <f t="shared" si="0"/>
        <v>2025-2026-1</v>
      </c>
      <c r="C37">
        <v>1</v>
      </c>
    </row>
    <row r="38" spans="1:3" x14ac:dyDescent="0.3">
      <c r="A38" s="3">
        <v>45937</v>
      </c>
      <c r="B38" t="str">
        <f t="shared" si="0"/>
        <v>2025-2026-1</v>
      </c>
      <c r="C38">
        <v>2</v>
      </c>
    </row>
    <row r="39" spans="1:3" x14ac:dyDescent="0.3">
      <c r="A39" s="3">
        <v>45938</v>
      </c>
      <c r="B39" t="str">
        <f t="shared" si="0"/>
        <v>2025-2026-1</v>
      </c>
      <c r="C39">
        <v>3</v>
      </c>
    </row>
    <row r="40" spans="1:3" x14ac:dyDescent="0.3">
      <c r="A40" s="3">
        <v>45939</v>
      </c>
      <c r="B40" t="str">
        <f t="shared" si="0"/>
        <v>2025-2026-1</v>
      </c>
      <c r="C40">
        <v>4</v>
      </c>
    </row>
    <row r="41" spans="1:3" x14ac:dyDescent="0.3">
      <c r="A41" s="3">
        <v>45940</v>
      </c>
      <c r="B41" t="str">
        <f t="shared" si="0"/>
        <v>2025-2026-1</v>
      </c>
      <c r="C41">
        <v>5</v>
      </c>
    </row>
    <row r="42" spans="1:3" x14ac:dyDescent="0.3">
      <c r="A42" s="3">
        <v>45941</v>
      </c>
      <c r="B42" t="str">
        <f t="shared" si="0"/>
        <v>2025-2026-1</v>
      </c>
      <c r="C42">
        <v>6</v>
      </c>
    </row>
    <row r="43" spans="1:3" x14ac:dyDescent="0.3">
      <c r="A43" s="3">
        <v>45942</v>
      </c>
      <c r="B43" t="str">
        <f t="shared" si="0"/>
        <v>2025-2026-1</v>
      </c>
      <c r="C43">
        <v>7</v>
      </c>
    </row>
    <row r="44" spans="1:3" x14ac:dyDescent="0.3">
      <c r="A44" s="3">
        <v>45943</v>
      </c>
      <c r="B44" t="str">
        <f t="shared" si="0"/>
        <v>2025-2026-1</v>
      </c>
      <c r="C44">
        <v>1</v>
      </c>
    </row>
    <row r="45" spans="1:3" x14ac:dyDescent="0.3">
      <c r="A45" s="3">
        <v>45944</v>
      </c>
      <c r="B45" t="str">
        <f t="shared" si="0"/>
        <v>2025-2026-1</v>
      </c>
      <c r="C45">
        <v>2</v>
      </c>
    </row>
    <row r="46" spans="1:3" x14ac:dyDescent="0.3">
      <c r="A46" s="3">
        <v>45945</v>
      </c>
      <c r="B46" t="str">
        <f t="shared" si="0"/>
        <v>2025-2026-1</v>
      </c>
      <c r="C46">
        <v>3</v>
      </c>
    </row>
    <row r="47" spans="1:3" x14ac:dyDescent="0.3">
      <c r="A47" s="3">
        <v>45946</v>
      </c>
      <c r="B47" t="str">
        <f t="shared" si="0"/>
        <v>2025-2026-1</v>
      </c>
      <c r="C47">
        <v>4</v>
      </c>
    </row>
    <row r="48" spans="1:3" x14ac:dyDescent="0.3">
      <c r="A48" s="3">
        <v>45947</v>
      </c>
      <c r="B48" t="str">
        <f t="shared" si="0"/>
        <v>2025-2026-1</v>
      </c>
      <c r="C48">
        <v>5</v>
      </c>
    </row>
    <row r="49" spans="1:3" x14ac:dyDescent="0.3">
      <c r="A49" s="3">
        <v>45948</v>
      </c>
      <c r="B49" t="str">
        <f t="shared" si="0"/>
        <v>2025-2026-1</v>
      </c>
      <c r="C49">
        <v>6</v>
      </c>
    </row>
    <row r="50" spans="1:3" x14ac:dyDescent="0.3">
      <c r="A50" s="3">
        <v>45949</v>
      </c>
      <c r="B50" t="str">
        <f t="shared" si="0"/>
        <v>2025-2026-1</v>
      </c>
      <c r="C50">
        <v>7</v>
      </c>
    </row>
    <row r="51" spans="1:3" x14ac:dyDescent="0.3">
      <c r="A51" s="3">
        <v>45950</v>
      </c>
      <c r="B51" t="str">
        <f t="shared" si="0"/>
        <v>2025-2026-1</v>
      </c>
      <c r="C51">
        <v>1</v>
      </c>
    </row>
    <row r="52" spans="1:3" x14ac:dyDescent="0.3">
      <c r="A52" s="3">
        <v>45951</v>
      </c>
      <c r="B52" t="str">
        <f t="shared" si="0"/>
        <v>2025-2026-1</v>
      </c>
      <c r="C52">
        <v>2</v>
      </c>
    </row>
    <row r="53" spans="1:3" x14ac:dyDescent="0.3">
      <c r="A53" s="3">
        <v>45952</v>
      </c>
      <c r="B53" t="str">
        <f t="shared" si="0"/>
        <v>2025-2026-1</v>
      </c>
      <c r="C53">
        <v>3</v>
      </c>
    </row>
    <row r="54" spans="1:3" x14ac:dyDescent="0.3">
      <c r="A54" s="3">
        <v>45953</v>
      </c>
      <c r="B54" t="str">
        <f t="shared" si="0"/>
        <v>2025-2026-1</v>
      </c>
      <c r="C54">
        <v>4</v>
      </c>
    </row>
    <row r="55" spans="1:3" x14ac:dyDescent="0.3">
      <c r="A55" s="3">
        <v>45954</v>
      </c>
      <c r="B55" t="str">
        <f t="shared" si="0"/>
        <v>2025-2026-1</v>
      </c>
      <c r="C55">
        <v>5</v>
      </c>
    </row>
    <row r="56" spans="1:3" x14ac:dyDescent="0.3">
      <c r="A56" s="3">
        <v>45955</v>
      </c>
      <c r="B56" t="str">
        <f t="shared" si="0"/>
        <v>2025-2026-1</v>
      </c>
      <c r="C56">
        <v>6</v>
      </c>
    </row>
    <row r="57" spans="1:3" x14ac:dyDescent="0.3">
      <c r="A57" s="3">
        <v>45956</v>
      </c>
      <c r="B57" t="str">
        <f t="shared" si="0"/>
        <v>2025-2026-1</v>
      </c>
      <c r="C57">
        <v>7</v>
      </c>
    </row>
    <row r="58" spans="1:3" x14ac:dyDescent="0.3">
      <c r="A58" s="3">
        <v>45957</v>
      </c>
      <c r="B58" t="str">
        <f t="shared" si="0"/>
        <v>2025-2026-1</v>
      </c>
      <c r="C58">
        <v>1</v>
      </c>
    </row>
    <row r="59" spans="1:3" x14ac:dyDescent="0.3">
      <c r="A59" s="3">
        <v>45958</v>
      </c>
      <c r="B59" t="str">
        <f t="shared" si="0"/>
        <v>2025-2026-1</v>
      </c>
      <c r="C59">
        <v>2</v>
      </c>
    </row>
    <row r="60" spans="1:3" x14ac:dyDescent="0.3">
      <c r="A60" s="3">
        <v>45959</v>
      </c>
      <c r="B60" t="str">
        <f t="shared" si="0"/>
        <v>2025-2026-1</v>
      </c>
      <c r="C60">
        <v>3</v>
      </c>
    </row>
    <row r="61" spans="1:3" x14ac:dyDescent="0.3">
      <c r="A61" s="3">
        <v>45960</v>
      </c>
      <c r="B61" t="str">
        <f t="shared" si="0"/>
        <v>2025-2026-1</v>
      </c>
      <c r="C61">
        <v>4</v>
      </c>
    </row>
    <row r="62" spans="1:3" x14ac:dyDescent="0.3">
      <c r="A62" s="3">
        <v>45961</v>
      </c>
      <c r="B62" t="str">
        <f t="shared" si="0"/>
        <v>2025-2026-1</v>
      </c>
      <c r="C62">
        <v>5</v>
      </c>
    </row>
    <row r="63" spans="1:3" x14ac:dyDescent="0.3">
      <c r="A63" s="3">
        <v>45962</v>
      </c>
      <c r="B63" t="str">
        <f t="shared" si="0"/>
        <v>2025-2026-1</v>
      </c>
      <c r="C63">
        <v>6</v>
      </c>
    </row>
    <row r="64" spans="1:3" x14ac:dyDescent="0.3">
      <c r="A64" s="3">
        <v>45963</v>
      </c>
      <c r="B64" t="str">
        <f t="shared" si="0"/>
        <v>2025-2026-1</v>
      </c>
      <c r="C64">
        <v>7</v>
      </c>
    </row>
    <row r="65" spans="1:3" x14ac:dyDescent="0.3">
      <c r="A65" s="3">
        <v>45964</v>
      </c>
      <c r="B65" t="str">
        <f t="shared" si="0"/>
        <v>2025-2026-1</v>
      </c>
      <c r="C65">
        <v>1</v>
      </c>
    </row>
    <row r="66" spans="1:3" x14ac:dyDescent="0.3">
      <c r="A66" s="3">
        <v>45965</v>
      </c>
      <c r="B66" t="str">
        <f t="shared" si="0"/>
        <v>2025-2026-1</v>
      </c>
      <c r="C66">
        <v>2</v>
      </c>
    </row>
    <row r="67" spans="1:3" x14ac:dyDescent="0.3">
      <c r="A67" s="3">
        <v>45966</v>
      </c>
      <c r="B67" t="str">
        <f t="shared" si="0"/>
        <v>2025-2026-1</v>
      </c>
      <c r="C67">
        <v>3</v>
      </c>
    </row>
    <row r="68" spans="1:3" x14ac:dyDescent="0.3">
      <c r="A68" s="3">
        <v>45967</v>
      </c>
      <c r="B68" t="str">
        <f t="shared" ref="B68:B131" si="1">$B$2</f>
        <v>2025-2026-1</v>
      </c>
      <c r="C68">
        <v>4</v>
      </c>
    </row>
    <row r="69" spans="1:3" x14ac:dyDescent="0.3">
      <c r="A69" s="3">
        <v>45968</v>
      </c>
      <c r="B69" t="str">
        <f t="shared" si="1"/>
        <v>2025-2026-1</v>
      </c>
      <c r="C69">
        <v>5</v>
      </c>
    </row>
    <row r="70" spans="1:3" x14ac:dyDescent="0.3">
      <c r="A70" s="3">
        <v>45969</v>
      </c>
      <c r="B70" t="str">
        <f t="shared" si="1"/>
        <v>2025-2026-1</v>
      </c>
      <c r="C70">
        <v>6</v>
      </c>
    </row>
    <row r="71" spans="1:3" x14ac:dyDescent="0.3">
      <c r="A71" s="3">
        <v>45970</v>
      </c>
      <c r="B71" t="str">
        <f t="shared" si="1"/>
        <v>2025-2026-1</v>
      </c>
      <c r="C71">
        <v>7</v>
      </c>
    </row>
    <row r="72" spans="1:3" x14ac:dyDescent="0.3">
      <c r="A72" s="3">
        <v>45971</v>
      </c>
      <c r="B72" t="str">
        <f t="shared" si="1"/>
        <v>2025-2026-1</v>
      </c>
      <c r="C72">
        <v>1</v>
      </c>
    </row>
    <row r="73" spans="1:3" x14ac:dyDescent="0.3">
      <c r="A73" s="3">
        <v>45972</v>
      </c>
      <c r="B73" t="str">
        <f t="shared" si="1"/>
        <v>2025-2026-1</v>
      </c>
      <c r="C73">
        <v>2</v>
      </c>
    </row>
    <row r="74" spans="1:3" x14ac:dyDescent="0.3">
      <c r="A74" s="3">
        <v>45973</v>
      </c>
      <c r="B74" t="str">
        <f t="shared" si="1"/>
        <v>2025-2026-1</v>
      </c>
      <c r="C74">
        <v>3</v>
      </c>
    </row>
    <row r="75" spans="1:3" x14ac:dyDescent="0.3">
      <c r="A75" s="3">
        <v>45974</v>
      </c>
      <c r="B75" t="str">
        <f t="shared" si="1"/>
        <v>2025-2026-1</v>
      </c>
      <c r="C75">
        <v>4</v>
      </c>
    </row>
    <row r="76" spans="1:3" x14ac:dyDescent="0.3">
      <c r="A76" s="3">
        <v>45975</v>
      </c>
      <c r="B76" t="str">
        <f t="shared" si="1"/>
        <v>2025-2026-1</v>
      </c>
      <c r="C76">
        <v>5</v>
      </c>
    </row>
    <row r="77" spans="1:3" x14ac:dyDescent="0.3">
      <c r="A77" s="3">
        <v>45976</v>
      </c>
      <c r="B77" t="str">
        <f t="shared" si="1"/>
        <v>2025-2026-1</v>
      </c>
      <c r="C77">
        <v>6</v>
      </c>
    </row>
    <row r="78" spans="1:3" x14ac:dyDescent="0.3">
      <c r="A78" s="3">
        <v>45977</v>
      </c>
      <c r="B78" t="str">
        <f t="shared" si="1"/>
        <v>2025-2026-1</v>
      </c>
      <c r="C78">
        <v>7</v>
      </c>
    </row>
    <row r="79" spans="1:3" x14ac:dyDescent="0.3">
      <c r="A79" s="3">
        <v>45978</v>
      </c>
      <c r="B79" t="str">
        <f t="shared" si="1"/>
        <v>2025-2026-1</v>
      </c>
      <c r="C79">
        <v>1</v>
      </c>
    </row>
    <row r="80" spans="1:3" x14ac:dyDescent="0.3">
      <c r="A80" s="3">
        <v>45979</v>
      </c>
      <c r="B80" t="str">
        <f t="shared" si="1"/>
        <v>2025-2026-1</v>
      </c>
      <c r="C80">
        <v>2</v>
      </c>
    </row>
    <row r="81" spans="1:3" x14ac:dyDescent="0.3">
      <c r="A81" s="3">
        <v>45980</v>
      </c>
      <c r="B81" t="str">
        <f t="shared" si="1"/>
        <v>2025-2026-1</v>
      </c>
      <c r="C81">
        <v>3</v>
      </c>
    </row>
    <row r="82" spans="1:3" x14ac:dyDescent="0.3">
      <c r="A82" s="3">
        <v>45981</v>
      </c>
      <c r="B82" t="str">
        <f t="shared" si="1"/>
        <v>2025-2026-1</v>
      </c>
      <c r="C82">
        <v>4</v>
      </c>
    </row>
    <row r="83" spans="1:3" x14ac:dyDescent="0.3">
      <c r="A83" s="3">
        <v>45982</v>
      </c>
      <c r="B83" t="str">
        <f t="shared" si="1"/>
        <v>2025-2026-1</v>
      </c>
      <c r="C83">
        <v>5</v>
      </c>
    </row>
    <row r="84" spans="1:3" x14ac:dyDescent="0.3">
      <c r="A84" s="3">
        <v>45983</v>
      </c>
      <c r="B84" t="str">
        <f t="shared" si="1"/>
        <v>2025-2026-1</v>
      </c>
      <c r="C84">
        <v>6</v>
      </c>
    </row>
    <row r="85" spans="1:3" x14ac:dyDescent="0.3">
      <c r="A85" s="3">
        <v>45984</v>
      </c>
      <c r="B85" t="str">
        <f t="shared" si="1"/>
        <v>2025-2026-1</v>
      </c>
      <c r="C85">
        <v>7</v>
      </c>
    </row>
    <row r="86" spans="1:3" x14ac:dyDescent="0.3">
      <c r="A86" s="3">
        <v>45985</v>
      </c>
      <c r="B86" t="str">
        <f t="shared" si="1"/>
        <v>2025-2026-1</v>
      </c>
      <c r="C86">
        <v>1</v>
      </c>
    </row>
    <row r="87" spans="1:3" x14ac:dyDescent="0.3">
      <c r="A87" s="3">
        <v>45986</v>
      </c>
      <c r="B87" t="str">
        <f t="shared" si="1"/>
        <v>2025-2026-1</v>
      </c>
      <c r="C87">
        <v>2</v>
      </c>
    </row>
    <row r="88" spans="1:3" x14ac:dyDescent="0.3">
      <c r="A88" s="3">
        <v>45987</v>
      </c>
      <c r="B88" t="str">
        <f t="shared" si="1"/>
        <v>2025-2026-1</v>
      </c>
      <c r="C88">
        <v>3</v>
      </c>
    </row>
    <row r="89" spans="1:3" x14ac:dyDescent="0.3">
      <c r="A89" s="3">
        <v>45988</v>
      </c>
      <c r="B89" t="str">
        <f t="shared" si="1"/>
        <v>2025-2026-1</v>
      </c>
      <c r="C89">
        <v>4</v>
      </c>
    </row>
    <row r="90" spans="1:3" x14ac:dyDescent="0.3">
      <c r="A90" s="3">
        <v>45989</v>
      </c>
      <c r="B90" t="str">
        <f t="shared" si="1"/>
        <v>2025-2026-1</v>
      </c>
      <c r="C90">
        <v>5</v>
      </c>
    </row>
    <row r="91" spans="1:3" x14ac:dyDescent="0.3">
      <c r="A91" s="3">
        <v>45990</v>
      </c>
      <c r="B91" t="str">
        <f t="shared" si="1"/>
        <v>2025-2026-1</v>
      </c>
      <c r="C91">
        <v>6</v>
      </c>
    </row>
    <row r="92" spans="1:3" x14ac:dyDescent="0.3">
      <c r="A92" s="3">
        <v>45991</v>
      </c>
      <c r="B92" t="str">
        <f t="shared" si="1"/>
        <v>2025-2026-1</v>
      </c>
      <c r="C92">
        <v>7</v>
      </c>
    </row>
    <row r="93" spans="1:3" x14ac:dyDescent="0.3">
      <c r="A93" s="3">
        <v>45992</v>
      </c>
      <c r="B93" t="str">
        <f t="shared" si="1"/>
        <v>2025-2026-1</v>
      </c>
      <c r="C93">
        <v>1</v>
      </c>
    </row>
    <row r="94" spans="1:3" x14ac:dyDescent="0.3">
      <c r="A94" s="3">
        <v>45993</v>
      </c>
      <c r="B94" t="str">
        <f t="shared" si="1"/>
        <v>2025-2026-1</v>
      </c>
      <c r="C94">
        <v>2</v>
      </c>
    </row>
    <row r="95" spans="1:3" x14ac:dyDescent="0.3">
      <c r="A95" s="3">
        <v>45994</v>
      </c>
      <c r="B95" t="str">
        <f t="shared" si="1"/>
        <v>2025-2026-1</v>
      </c>
      <c r="C95">
        <v>3</v>
      </c>
    </row>
    <row r="96" spans="1:3" x14ac:dyDescent="0.3">
      <c r="A96" s="3">
        <v>45995</v>
      </c>
      <c r="B96" t="str">
        <f t="shared" si="1"/>
        <v>2025-2026-1</v>
      </c>
      <c r="C96">
        <v>4</v>
      </c>
    </row>
    <row r="97" spans="1:3" x14ac:dyDescent="0.3">
      <c r="A97" s="3">
        <v>45996</v>
      </c>
      <c r="B97" t="str">
        <f t="shared" si="1"/>
        <v>2025-2026-1</v>
      </c>
      <c r="C97">
        <v>5</v>
      </c>
    </row>
    <row r="98" spans="1:3" x14ac:dyDescent="0.3">
      <c r="A98" s="3">
        <v>45997</v>
      </c>
      <c r="B98" t="str">
        <f t="shared" si="1"/>
        <v>2025-2026-1</v>
      </c>
      <c r="C98">
        <v>6</v>
      </c>
    </row>
    <row r="99" spans="1:3" x14ac:dyDescent="0.3">
      <c r="A99" s="3">
        <v>45998</v>
      </c>
      <c r="B99" t="str">
        <f t="shared" si="1"/>
        <v>2025-2026-1</v>
      </c>
      <c r="C99">
        <v>7</v>
      </c>
    </row>
    <row r="100" spans="1:3" x14ac:dyDescent="0.3">
      <c r="A100" s="3">
        <v>45999</v>
      </c>
      <c r="B100" t="str">
        <f t="shared" si="1"/>
        <v>2025-2026-1</v>
      </c>
      <c r="C100">
        <v>1</v>
      </c>
    </row>
    <row r="101" spans="1:3" x14ac:dyDescent="0.3">
      <c r="A101" s="3">
        <v>46000</v>
      </c>
      <c r="B101" t="str">
        <f t="shared" si="1"/>
        <v>2025-2026-1</v>
      </c>
      <c r="C101">
        <v>2</v>
      </c>
    </row>
    <row r="102" spans="1:3" x14ac:dyDescent="0.3">
      <c r="A102" s="3">
        <v>46001</v>
      </c>
      <c r="B102" t="str">
        <f t="shared" si="1"/>
        <v>2025-2026-1</v>
      </c>
      <c r="C102">
        <v>3</v>
      </c>
    </row>
    <row r="103" spans="1:3" x14ac:dyDescent="0.3">
      <c r="A103" s="3">
        <v>46002</v>
      </c>
      <c r="B103" t="str">
        <f t="shared" si="1"/>
        <v>2025-2026-1</v>
      </c>
      <c r="C103">
        <v>4</v>
      </c>
    </row>
    <row r="104" spans="1:3" x14ac:dyDescent="0.3">
      <c r="A104" s="3">
        <v>46003</v>
      </c>
      <c r="B104" t="str">
        <f t="shared" si="1"/>
        <v>2025-2026-1</v>
      </c>
      <c r="C104">
        <v>5</v>
      </c>
    </row>
    <row r="105" spans="1:3" x14ac:dyDescent="0.3">
      <c r="A105" s="3">
        <v>46004</v>
      </c>
      <c r="B105" t="str">
        <f t="shared" si="1"/>
        <v>2025-2026-1</v>
      </c>
      <c r="C105">
        <v>6</v>
      </c>
    </row>
    <row r="106" spans="1:3" x14ac:dyDescent="0.3">
      <c r="A106" s="3">
        <v>46005</v>
      </c>
      <c r="B106" t="str">
        <f t="shared" si="1"/>
        <v>2025-2026-1</v>
      </c>
      <c r="C106">
        <v>7</v>
      </c>
    </row>
    <row r="107" spans="1:3" x14ac:dyDescent="0.3">
      <c r="A107" s="3">
        <v>46006</v>
      </c>
      <c r="B107" t="str">
        <f t="shared" si="1"/>
        <v>2025-2026-1</v>
      </c>
      <c r="C107">
        <v>1</v>
      </c>
    </row>
    <row r="108" spans="1:3" x14ac:dyDescent="0.3">
      <c r="A108" s="3">
        <v>46007</v>
      </c>
      <c r="B108" t="str">
        <f t="shared" si="1"/>
        <v>2025-2026-1</v>
      </c>
      <c r="C108">
        <v>2</v>
      </c>
    </row>
    <row r="109" spans="1:3" x14ac:dyDescent="0.3">
      <c r="A109" s="3">
        <v>46008</v>
      </c>
      <c r="B109" t="str">
        <f t="shared" si="1"/>
        <v>2025-2026-1</v>
      </c>
      <c r="C109">
        <v>3</v>
      </c>
    </row>
    <row r="110" spans="1:3" x14ac:dyDescent="0.3">
      <c r="A110" s="3">
        <v>46009</v>
      </c>
      <c r="B110" t="str">
        <f t="shared" si="1"/>
        <v>2025-2026-1</v>
      </c>
      <c r="C110">
        <v>4</v>
      </c>
    </row>
    <row r="111" spans="1:3" x14ac:dyDescent="0.3">
      <c r="A111" s="3">
        <v>46010</v>
      </c>
      <c r="B111" t="str">
        <f t="shared" si="1"/>
        <v>2025-2026-1</v>
      </c>
      <c r="C111">
        <v>5</v>
      </c>
    </row>
    <row r="112" spans="1:3" x14ac:dyDescent="0.3">
      <c r="A112" s="3">
        <v>46011</v>
      </c>
      <c r="B112" t="str">
        <f t="shared" si="1"/>
        <v>2025-2026-1</v>
      </c>
      <c r="C112">
        <v>6</v>
      </c>
    </row>
    <row r="113" spans="1:3" x14ac:dyDescent="0.3">
      <c r="A113" s="3">
        <v>46012</v>
      </c>
      <c r="B113" t="str">
        <f t="shared" si="1"/>
        <v>2025-2026-1</v>
      </c>
      <c r="C113">
        <v>7</v>
      </c>
    </row>
    <row r="114" spans="1:3" x14ac:dyDescent="0.3">
      <c r="A114" s="3">
        <v>46013</v>
      </c>
      <c r="B114" t="str">
        <f t="shared" si="1"/>
        <v>2025-2026-1</v>
      </c>
      <c r="C114">
        <v>1</v>
      </c>
    </row>
    <row r="115" spans="1:3" x14ac:dyDescent="0.3">
      <c r="A115" s="3">
        <v>46014</v>
      </c>
      <c r="B115" t="str">
        <f t="shared" si="1"/>
        <v>2025-2026-1</v>
      </c>
      <c r="C115">
        <v>2</v>
      </c>
    </row>
    <row r="116" spans="1:3" x14ac:dyDescent="0.3">
      <c r="A116" s="3">
        <v>46015</v>
      </c>
      <c r="B116" t="str">
        <f t="shared" si="1"/>
        <v>2025-2026-1</v>
      </c>
      <c r="C116">
        <v>3</v>
      </c>
    </row>
    <row r="117" spans="1:3" x14ac:dyDescent="0.3">
      <c r="A117" s="3">
        <v>46016</v>
      </c>
      <c r="B117" t="str">
        <f t="shared" si="1"/>
        <v>2025-2026-1</v>
      </c>
      <c r="C117">
        <v>4</v>
      </c>
    </row>
    <row r="118" spans="1:3" x14ac:dyDescent="0.3">
      <c r="A118" s="3">
        <v>46017</v>
      </c>
      <c r="B118" t="str">
        <f t="shared" si="1"/>
        <v>2025-2026-1</v>
      </c>
      <c r="C118">
        <v>5</v>
      </c>
    </row>
    <row r="119" spans="1:3" x14ac:dyDescent="0.3">
      <c r="A119" s="3">
        <v>46018</v>
      </c>
      <c r="B119" t="str">
        <f t="shared" si="1"/>
        <v>2025-2026-1</v>
      </c>
      <c r="C119">
        <v>6</v>
      </c>
    </row>
    <row r="120" spans="1:3" x14ac:dyDescent="0.3">
      <c r="A120" s="3">
        <v>46019</v>
      </c>
      <c r="B120" t="str">
        <f t="shared" si="1"/>
        <v>2025-2026-1</v>
      </c>
      <c r="C120">
        <v>7</v>
      </c>
    </row>
    <row r="121" spans="1:3" x14ac:dyDescent="0.3">
      <c r="A121" s="3">
        <v>46020</v>
      </c>
      <c r="B121" t="str">
        <f t="shared" si="1"/>
        <v>2025-2026-1</v>
      </c>
      <c r="C121">
        <v>1</v>
      </c>
    </row>
    <row r="122" spans="1:3" x14ac:dyDescent="0.3">
      <c r="A122" s="3">
        <v>46021</v>
      </c>
      <c r="B122" t="str">
        <f t="shared" si="1"/>
        <v>2025-2026-1</v>
      </c>
      <c r="C122">
        <v>2</v>
      </c>
    </row>
    <row r="123" spans="1:3" x14ac:dyDescent="0.3">
      <c r="A123" s="3">
        <v>46022</v>
      </c>
      <c r="B123" t="str">
        <f t="shared" si="1"/>
        <v>2025-2026-1</v>
      </c>
      <c r="C123">
        <v>3</v>
      </c>
    </row>
    <row r="124" spans="1:3" x14ac:dyDescent="0.3">
      <c r="A124" s="3">
        <v>46023</v>
      </c>
      <c r="B124" t="str">
        <f t="shared" si="1"/>
        <v>2025-2026-1</v>
      </c>
      <c r="C124">
        <v>4</v>
      </c>
    </row>
    <row r="125" spans="1:3" x14ac:dyDescent="0.3">
      <c r="A125" s="3">
        <v>46024</v>
      </c>
      <c r="B125" t="str">
        <f t="shared" si="1"/>
        <v>2025-2026-1</v>
      </c>
      <c r="C125">
        <v>5</v>
      </c>
    </row>
    <row r="126" spans="1:3" x14ac:dyDescent="0.3">
      <c r="A126" s="3">
        <v>46025</v>
      </c>
      <c r="B126" t="str">
        <f t="shared" si="1"/>
        <v>2025-2026-1</v>
      </c>
      <c r="C126">
        <v>6</v>
      </c>
    </row>
    <row r="127" spans="1:3" x14ac:dyDescent="0.3">
      <c r="A127" s="3">
        <v>46026</v>
      </c>
      <c r="B127" t="str">
        <f t="shared" si="1"/>
        <v>2025-2026-1</v>
      </c>
      <c r="C127">
        <v>7</v>
      </c>
    </row>
    <row r="128" spans="1:3" x14ac:dyDescent="0.3">
      <c r="A128" s="3">
        <v>46027</v>
      </c>
      <c r="B128" t="str">
        <f t="shared" si="1"/>
        <v>2025-2026-1</v>
      </c>
      <c r="C128">
        <v>1</v>
      </c>
    </row>
    <row r="129" spans="1:3" x14ac:dyDescent="0.3">
      <c r="A129" s="3">
        <v>46028</v>
      </c>
      <c r="B129" t="str">
        <f t="shared" si="1"/>
        <v>2025-2026-1</v>
      </c>
      <c r="C129">
        <v>2</v>
      </c>
    </row>
    <row r="130" spans="1:3" x14ac:dyDescent="0.3">
      <c r="A130" s="3">
        <v>46029</v>
      </c>
      <c r="B130" t="str">
        <f t="shared" si="1"/>
        <v>2025-2026-1</v>
      </c>
      <c r="C130">
        <v>3</v>
      </c>
    </row>
    <row r="131" spans="1:3" x14ac:dyDescent="0.3">
      <c r="A131" s="3">
        <v>46030</v>
      </c>
      <c r="B131" t="str">
        <f t="shared" si="1"/>
        <v>2025-2026-1</v>
      </c>
      <c r="C131">
        <v>4</v>
      </c>
    </row>
    <row r="132" spans="1:3" x14ac:dyDescent="0.3">
      <c r="A132" s="3">
        <v>46031</v>
      </c>
      <c r="B132" t="str">
        <f t="shared" ref="B132:B158" si="2">$B$2</f>
        <v>2025-2026-1</v>
      </c>
      <c r="C132">
        <v>5</v>
      </c>
    </row>
    <row r="133" spans="1:3" x14ac:dyDescent="0.3">
      <c r="A133" s="3">
        <v>46032</v>
      </c>
      <c r="B133" t="str">
        <f t="shared" si="2"/>
        <v>2025-2026-1</v>
      </c>
      <c r="C133">
        <v>6</v>
      </c>
    </row>
    <row r="134" spans="1:3" x14ac:dyDescent="0.3">
      <c r="A134" s="3">
        <v>46033</v>
      </c>
      <c r="B134" t="str">
        <f t="shared" si="2"/>
        <v>2025-2026-1</v>
      </c>
      <c r="C134">
        <v>7</v>
      </c>
    </row>
    <row r="135" spans="1:3" x14ac:dyDescent="0.3">
      <c r="A135" s="3">
        <v>46034</v>
      </c>
      <c r="B135" t="str">
        <f t="shared" si="2"/>
        <v>2025-2026-1</v>
      </c>
      <c r="C135">
        <v>1</v>
      </c>
    </row>
    <row r="136" spans="1:3" x14ac:dyDescent="0.3">
      <c r="A136" s="3">
        <v>46035</v>
      </c>
      <c r="B136" t="str">
        <f t="shared" si="2"/>
        <v>2025-2026-1</v>
      </c>
      <c r="C136">
        <v>2</v>
      </c>
    </row>
    <row r="137" spans="1:3" x14ac:dyDescent="0.3">
      <c r="A137" s="3">
        <v>46036</v>
      </c>
      <c r="B137" t="str">
        <f t="shared" si="2"/>
        <v>2025-2026-1</v>
      </c>
      <c r="C137">
        <v>3</v>
      </c>
    </row>
    <row r="138" spans="1:3" x14ac:dyDescent="0.3">
      <c r="A138" s="3">
        <v>46037</v>
      </c>
      <c r="B138" t="str">
        <f t="shared" si="2"/>
        <v>2025-2026-1</v>
      </c>
      <c r="C138">
        <v>4</v>
      </c>
    </row>
    <row r="139" spans="1:3" x14ac:dyDescent="0.3">
      <c r="A139" s="3">
        <v>46038</v>
      </c>
      <c r="B139" t="str">
        <f t="shared" si="2"/>
        <v>2025-2026-1</v>
      </c>
      <c r="C139">
        <v>5</v>
      </c>
    </row>
    <row r="140" spans="1:3" x14ac:dyDescent="0.3">
      <c r="A140" s="3">
        <v>46039</v>
      </c>
      <c r="B140" t="str">
        <f t="shared" si="2"/>
        <v>2025-2026-1</v>
      </c>
      <c r="C140">
        <v>6</v>
      </c>
    </row>
    <row r="141" spans="1:3" x14ac:dyDescent="0.3">
      <c r="A141" s="3">
        <v>46040</v>
      </c>
      <c r="B141" t="str">
        <f t="shared" si="2"/>
        <v>2025-2026-1</v>
      </c>
      <c r="C141">
        <v>7</v>
      </c>
    </row>
    <row r="142" spans="1:3" x14ac:dyDescent="0.3">
      <c r="A142" s="3">
        <v>46041</v>
      </c>
      <c r="B142" t="str">
        <f t="shared" si="2"/>
        <v>2025-2026-1</v>
      </c>
      <c r="C142">
        <v>1</v>
      </c>
    </row>
    <row r="143" spans="1:3" x14ac:dyDescent="0.3">
      <c r="A143" s="3">
        <v>46042</v>
      </c>
      <c r="B143" t="str">
        <f t="shared" si="2"/>
        <v>2025-2026-1</v>
      </c>
      <c r="C143">
        <v>2</v>
      </c>
    </row>
    <row r="144" spans="1:3" x14ac:dyDescent="0.3">
      <c r="A144" s="3">
        <v>46043</v>
      </c>
      <c r="B144" t="str">
        <f t="shared" si="2"/>
        <v>2025-2026-1</v>
      </c>
      <c r="C144">
        <v>3</v>
      </c>
    </row>
    <row r="145" spans="1:3" x14ac:dyDescent="0.3">
      <c r="A145" s="3">
        <v>46044</v>
      </c>
      <c r="B145" t="str">
        <f t="shared" si="2"/>
        <v>2025-2026-1</v>
      </c>
      <c r="C145">
        <v>4</v>
      </c>
    </row>
    <row r="146" spans="1:3" x14ac:dyDescent="0.3">
      <c r="A146" s="3">
        <v>46045</v>
      </c>
      <c r="B146" t="str">
        <f t="shared" si="2"/>
        <v>2025-2026-1</v>
      </c>
      <c r="C146">
        <v>5</v>
      </c>
    </row>
    <row r="147" spans="1:3" x14ac:dyDescent="0.3">
      <c r="A147" s="3">
        <v>46046</v>
      </c>
      <c r="B147" t="str">
        <f t="shared" si="2"/>
        <v>2025-2026-1</v>
      </c>
      <c r="C147">
        <v>6</v>
      </c>
    </row>
    <row r="148" spans="1:3" x14ac:dyDescent="0.3">
      <c r="A148" s="3">
        <v>46047</v>
      </c>
      <c r="B148" t="str">
        <f t="shared" si="2"/>
        <v>2025-2026-1</v>
      </c>
      <c r="C148">
        <v>7</v>
      </c>
    </row>
    <row r="149" spans="1:3" x14ac:dyDescent="0.3">
      <c r="A149" s="3">
        <v>46048</v>
      </c>
      <c r="B149" t="str">
        <f t="shared" si="2"/>
        <v>2025-2026-1</v>
      </c>
      <c r="C149">
        <v>1</v>
      </c>
    </row>
    <row r="150" spans="1:3" x14ac:dyDescent="0.3">
      <c r="A150" s="3">
        <v>46049</v>
      </c>
      <c r="B150" t="str">
        <f t="shared" si="2"/>
        <v>2025-2026-1</v>
      </c>
      <c r="C150">
        <v>2</v>
      </c>
    </row>
    <row r="151" spans="1:3" x14ac:dyDescent="0.3">
      <c r="A151" s="3">
        <v>46050</v>
      </c>
      <c r="B151" t="str">
        <f t="shared" si="2"/>
        <v>2025-2026-1</v>
      </c>
      <c r="C151">
        <v>3</v>
      </c>
    </row>
    <row r="152" spans="1:3" x14ac:dyDescent="0.3">
      <c r="A152" s="3">
        <v>46051</v>
      </c>
      <c r="B152" t="str">
        <f t="shared" si="2"/>
        <v>2025-2026-1</v>
      </c>
      <c r="C152">
        <v>4</v>
      </c>
    </row>
    <row r="153" spans="1:3" x14ac:dyDescent="0.3">
      <c r="A153" s="3">
        <v>46052</v>
      </c>
      <c r="B153" t="str">
        <f t="shared" si="2"/>
        <v>2025-2026-1</v>
      </c>
      <c r="C153">
        <v>5</v>
      </c>
    </row>
    <row r="154" spans="1:3" x14ac:dyDescent="0.3">
      <c r="A154" s="3">
        <v>46053</v>
      </c>
      <c r="B154" t="str">
        <f t="shared" si="2"/>
        <v>2025-2026-1</v>
      </c>
      <c r="C154">
        <v>6</v>
      </c>
    </row>
    <row r="155" spans="1:3" x14ac:dyDescent="0.3">
      <c r="A155" s="3">
        <v>46054</v>
      </c>
      <c r="B155" t="str">
        <f t="shared" si="2"/>
        <v>2025-2026-1</v>
      </c>
      <c r="C155">
        <v>7</v>
      </c>
    </row>
    <row r="156" spans="1:3" x14ac:dyDescent="0.3">
      <c r="A156" s="3">
        <v>46055</v>
      </c>
      <c r="B156" t="str">
        <f t="shared" si="2"/>
        <v>2025-2026-1</v>
      </c>
      <c r="C156">
        <v>1</v>
      </c>
    </row>
    <row r="157" spans="1:3" x14ac:dyDescent="0.3">
      <c r="A157" s="3">
        <v>46056</v>
      </c>
      <c r="B157" t="str">
        <f t="shared" si="2"/>
        <v>2025-2026-1</v>
      </c>
      <c r="C157">
        <v>2</v>
      </c>
    </row>
    <row r="158" spans="1:3" x14ac:dyDescent="0.3">
      <c r="A158" s="3">
        <v>46057</v>
      </c>
      <c r="B158" t="str">
        <f t="shared" si="2"/>
        <v>2025-2026-1</v>
      </c>
      <c r="C158">
        <v>3</v>
      </c>
    </row>
    <row r="159" spans="1:3" x14ac:dyDescent="0.3">
      <c r="A159" s="3">
        <v>46058</v>
      </c>
      <c r="B159" t="s">
        <v>101</v>
      </c>
      <c r="C159">
        <v>4</v>
      </c>
    </row>
    <row r="160" spans="1:3" x14ac:dyDescent="0.3">
      <c r="A160" s="3">
        <v>46059</v>
      </c>
      <c r="B160" t="str">
        <f>$B$159</f>
        <v>2025-2026-2</v>
      </c>
      <c r="C160">
        <v>5</v>
      </c>
    </row>
    <row r="161" spans="1:3" x14ac:dyDescent="0.3">
      <c r="A161" s="3">
        <v>46060</v>
      </c>
      <c r="B161" t="str">
        <f t="shared" ref="B161:B224" si="3">$B$159</f>
        <v>2025-2026-2</v>
      </c>
      <c r="C161">
        <v>6</v>
      </c>
    </row>
    <row r="162" spans="1:3" x14ac:dyDescent="0.3">
      <c r="A162" s="3">
        <v>46061</v>
      </c>
      <c r="B162" t="str">
        <f t="shared" si="3"/>
        <v>2025-2026-2</v>
      </c>
      <c r="C162">
        <v>7</v>
      </c>
    </row>
    <row r="163" spans="1:3" x14ac:dyDescent="0.3">
      <c r="A163" s="3">
        <v>46062</v>
      </c>
      <c r="B163" t="str">
        <f t="shared" si="3"/>
        <v>2025-2026-2</v>
      </c>
      <c r="C163">
        <v>1</v>
      </c>
    </row>
    <row r="164" spans="1:3" x14ac:dyDescent="0.3">
      <c r="A164" s="3">
        <v>46063</v>
      </c>
      <c r="B164" t="str">
        <f t="shared" si="3"/>
        <v>2025-2026-2</v>
      </c>
      <c r="C164">
        <v>2</v>
      </c>
    </row>
    <row r="165" spans="1:3" x14ac:dyDescent="0.3">
      <c r="A165" s="3">
        <v>46064</v>
      </c>
      <c r="B165" t="str">
        <f t="shared" si="3"/>
        <v>2025-2026-2</v>
      </c>
      <c r="C165">
        <v>3</v>
      </c>
    </row>
    <row r="166" spans="1:3" x14ac:dyDescent="0.3">
      <c r="A166" s="3">
        <v>46065</v>
      </c>
      <c r="B166" t="str">
        <f t="shared" si="3"/>
        <v>2025-2026-2</v>
      </c>
      <c r="C166">
        <v>4</v>
      </c>
    </row>
    <row r="167" spans="1:3" x14ac:dyDescent="0.3">
      <c r="A167" s="3">
        <v>46066</v>
      </c>
      <c r="B167" t="str">
        <f t="shared" si="3"/>
        <v>2025-2026-2</v>
      </c>
      <c r="C167">
        <v>5</v>
      </c>
    </row>
    <row r="168" spans="1:3" x14ac:dyDescent="0.3">
      <c r="A168" s="3">
        <v>46067</v>
      </c>
      <c r="B168" t="str">
        <f t="shared" si="3"/>
        <v>2025-2026-2</v>
      </c>
      <c r="C168">
        <v>6</v>
      </c>
    </row>
    <row r="169" spans="1:3" x14ac:dyDescent="0.3">
      <c r="A169" s="3">
        <v>46068</v>
      </c>
      <c r="B169" t="str">
        <f t="shared" si="3"/>
        <v>2025-2026-2</v>
      </c>
      <c r="C169">
        <v>7</v>
      </c>
    </row>
    <row r="170" spans="1:3" x14ac:dyDescent="0.3">
      <c r="A170" s="3">
        <v>46069</v>
      </c>
      <c r="B170" t="str">
        <f t="shared" si="3"/>
        <v>2025-2026-2</v>
      </c>
      <c r="C170">
        <v>1</v>
      </c>
    </row>
    <row r="171" spans="1:3" x14ac:dyDescent="0.3">
      <c r="A171" s="3">
        <v>46070</v>
      </c>
      <c r="B171" t="str">
        <f t="shared" si="3"/>
        <v>2025-2026-2</v>
      </c>
      <c r="C171">
        <v>2</v>
      </c>
    </row>
    <row r="172" spans="1:3" x14ac:dyDescent="0.3">
      <c r="A172" s="3">
        <v>46071</v>
      </c>
      <c r="B172" t="str">
        <f t="shared" si="3"/>
        <v>2025-2026-2</v>
      </c>
      <c r="C172">
        <v>3</v>
      </c>
    </row>
    <row r="173" spans="1:3" x14ac:dyDescent="0.3">
      <c r="A173" s="3">
        <v>46072</v>
      </c>
      <c r="B173" t="str">
        <f t="shared" si="3"/>
        <v>2025-2026-2</v>
      </c>
      <c r="C173">
        <v>4</v>
      </c>
    </row>
    <row r="174" spans="1:3" x14ac:dyDescent="0.3">
      <c r="A174" s="3">
        <v>46073</v>
      </c>
      <c r="B174" t="str">
        <f t="shared" si="3"/>
        <v>2025-2026-2</v>
      </c>
      <c r="C174">
        <v>5</v>
      </c>
    </row>
    <row r="175" spans="1:3" x14ac:dyDescent="0.3">
      <c r="A175" s="3">
        <v>46074</v>
      </c>
      <c r="B175" t="str">
        <f t="shared" si="3"/>
        <v>2025-2026-2</v>
      </c>
      <c r="C175">
        <v>6</v>
      </c>
    </row>
    <row r="176" spans="1:3" x14ac:dyDescent="0.3">
      <c r="A176" s="3">
        <v>46075</v>
      </c>
      <c r="B176" t="str">
        <f t="shared" si="3"/>
        <v>2025-2026-2</v>
      </c>
      <c r="C176">
        <v>7</v>
      </c>
    </row>
    <row r="177" spans="1:3" x14ac:dyDescent="0.3">
      <c r="A177" s="3">
        <v>46076</v>
      </c>
      <c r="B177" t="str">
        <f t="shared" si="3"/>
        <v>2025-2026-2</v>
      </c>
      <c r="C177">
        <v>1</v>
      </c>
    </row>
    <row r="178" spans="1:3" x14ac:dyDescent="0.3">
      <c r="A178" s="3">
        <v>46077</v>
      </c>
      <c r="B178" t="str">
        <f t="shared" si="3"/>
        <v>2025-2026-2</v>
      </c>
      <c r="C178">
        <v>2</v>
      </c>
    </row>
    <row r="179" spans="1:3" x14ac:dyDescent="0.3">
      <c r="A179" s="3">
        <v>46078</v>
      </c>
      <c r="B179" t="str">
        <f t="shared" si="3"/>
        <v>2025-2026-2</v>
      </c>
      <c r="C179">
        <v>3</v>
      </c>
    </row>
    <row r="180" spans="1:3" x14ac:dyDescent="0.3">
      <c r="A180" s="3">
        <v>46079</v>
      </c>
      <c r="B180" t="str">
        <f t="shared" si="3"/>
        <v>2025-2026-2</v>
      </c>
      <c r="C180">
        <v>4</v>
      </c>
    </row>
    <row r="181" spans="1:3" x14ac:dyDescent="0.3">
      <c r="A181" s="3">
        <v>46080</v>
      </c>
      <c r="B181" t="str">
        <f t="shared" si="3"/>
        <v>2025-2026-2</v>
      </c>
      <c r="C181">
        <v>5</v>
      </c>
    </row>
    <row r="182" spans="1:3" x14ac:dyDescent="0.3">
      <c r="A182" s="3">
        <v>46081</v>
      </c>
      <c r="B182" t="str">
        <f t="shared" si="3"/>
        <v>2025-2026-2</v>
      </c>
      <c r="C182">
        <v>6</v>
      </c>
    </row>
    <row r="183" spans="1:3" x14ac:dyDescent="0.3">
      <c r="A183" s="3">
        <v>46082</v>
      </c>
      <c r="B183" t="str">
        <f t="shared" si="3"/>
        <v>2025-2026-2</v>
      </c>
      <c r="C183">
        <v>7</v>
      </c>
    </row>
    <row r="184" spans="1:3" x14ac:dyDescent="0.3">
      <c r="A184" s="3">
        <v>46083</v>
      </c>
      <c r="B184" t="str">
        <f t="shared" si="3"/>
        <v>2025-2026-2</v>
      </c>
      <c r="C184">
        <v>1</v>
      </c>
    </row>
    <row r="185" spans="1:3" x14ac:dyDescent="0.3">
      <c r="A185" s="3">
        <v>46084</v>
      </c>
      <c r="B185" t="str">
        <f t="shared" si="3"/>
        <v>2025-2026-2</v>
      </c>
      <c r="C185">
        <v>2</v>
      </c>
    </row>
    <row r="186" spans="1:3" x14ac:dyDescent="0.3">
      <c r="A186" s="3">
        <v>46085</v>
      </c>
      <c r="B186" t="str">
        <f t="shared" si="3"/>
        <v>2025-2026-2</v>
      </c>
      <c r="C186">
        <v>3</v>
      </c>
    </row>
    <row r="187" spans="1:3" x14ac:dyDescent="0.3">
      <c r="A187" s="3">
        <v>46086</v>
      </c>
      <c r="B187" t="str">
        <f t="shared" si="3"/>
        <v>2025-2026-2</v>
      </c>
      <c r="C187">
        <v>4</v>
      </c>
    </row>
    <row r="188" spans="1:3" x14ac:dyDescent="0.3">
      <c r="A188" s="3">
        <v>46087</v>
      </c>
      <c r="B188" t="str">
        <f t="shared" si="3"/>
        <v>2025-2026-2</v>
      </c>
      <c r="C188">
        <v>5</v>
      </c>
    </row>
    <row r="189" spans="1:3" x14ac:dyDescent="0.3">
      <c r="A189" s="3">
        <v>46088</v>
      </c>
      <c r="B189" t="str">
        <f t="shared" si="3"/>
        <v>2025-2026-2</v>
      </c>
      <c r="C189">
        <v>6</v>
      </c>
    </row>
    <row r="190" spans="1:3" x14ac:dyDescent="0.3">
      <c r="A190" s="3">
        <v>46089</v>
      </c>
      <c r="B190" t="str">
        <f t="shared" si="3"/>
        <v>2025-2026-2</v>
      </c>
      <c r="C190">
        <v>7</v>
      </c>
    </row>
    <row r="191" spans="1:3" x14ac:dyDescent="0.3">
      <c r="A191" s="3">
        <v>46090</v>
      </c>
      <c r="B191" t="str">
        <f t="shared" si="3"/>
        <v>2025-2026-2</v>
      </c>
      <c r="C191">
        <v>1</v>
      </c>
    </row>
    <row r="192" spans="1:3" x14ac:dyDescent="0.3">
      <c r="A192" s="3">
        <v>46091</v>
      </c>
      <c r="B192" t="str">
        <f t="shared" si="3"/>
        <v>2025-2026-2</v>
      </c>
      <c r="C192">
        <v>2</v>
      </c>
    </row>
    <row r="193" spans="1:3" x14ac:dyDescent="0.3">
      <c r="A193" s="3">
        <v>46092</v>
      </c>
      <c r="B193" t="str">
        <f t="shared" si="3"/>
        <v>2025-2026-2</v>
      </c>
      <c r="C193">
        <v>3</v>
      </c>
    </row>
    <row r="194" spans="1:3" x14ac:dyDescent="0.3">
      <c r="A194" s="3">
        <v>46093</v>
      </c>
      <c r="B194" t="str">
        <f t="shared" si="3"/>
        <v>2025-2026-2</v>
      </c>
      <c r="C194">
        <v>4</v>
      </c>
    </row>
    <row r="195" spans="1:3" x14ac:dyDescent="0.3">
      <c r="A195" s="3">
        <v>46094</v>
      </c>
      <c r="B195" t="str">
        <f t="shared" si="3"/>
        <v>2025-2026-2</v>
      </c>
      <c r="C195">
        <v>5</v>
      </c>
    </row>
    <row r="196" spans="1:3" x14ac:dyDescent="0.3">
      <c r="A196" s="3">
        <v>46095</v>
      </c>
      <c r="B196" t="str">
        <f t="shared" si="3"/>
        <v>2025-2026-2</v>
      </c>
      <c r="C196">
        <v>6</v>
      </c>
    </row>
    <row r="197" spans="1:3" x14ac:dyDescent="0.3">
      <c r="A197" s="3">
        <v>46096</v>
      </c>
      <c r="B197" t="str">
        <f t="shared" si="3"/>
        <v>2025-2026-2</v>
      </c>
      <c r="C197">
        <v>7</v>
      </c>
    </row>
    <row r="198" spans="1:3" x14ac:dyDescent="0.3">
      <c r="A198" s="3">
        <v>46097</v>
      </c>
      <c r="B198" t="str">
        <f t="shared" si="3"/>
        <v>2025-2026-2</v>
      </c>
      <c r="C198">
        <v>1</v>
      </c>
    </row>
    <row r="199" spans="1:3" x14ac:dyDescent="0.3">
      <c r="A199" s="3">
        <v>46098</v>
      </c>
      <c r="B199" t="str">
        <f t="shared" si="3"/>
        <v>2025-2026-2</v>
      </c>
      <c r="C199">
        <v>2</v>
      </c>
    </row>
    <row r="200" spans="1:3" x14ac:dyDescent="0.3">
      <c r="A200" s="3">
        <v>46099</v>
      </c>
      <c r="B200" t="str">
        <f t="shared" si="3"/>
        <v>2025-2026-2</v>
      </c>
      <c r="C200">
        <v>3</v>
      </c>
    </row>
    <row r="201" spans="1:3" x14ac:dyDescent="0.3">
      <c r="A201" s="3">
        <v>46100</v>
      </c>
      <c r="B201" t="str">
        <f t="shared" si="3"/>
        <v>2025-2026-2</v>
      </c>
      <c r="C201">
        <v>4</v>
      </c>
    </row>
    <row r="202" spans="1:3" x14ac:dyDescent="0.3">
      <c r="A202" s="3">
        <v>46101</v>
      </c>
      <c r="B202" t="str">
        <f t="shared" si="3"/>
        <v>2025-2026-2</v>
      </c>
      <c r="C202">
        <v>5</v>
      </c>
    </row>
    <row r="203" spans="1:3" x14ac:dyDescent="0.3">
      <c r="A203" s="3">
        <v>46102</v>
      </c>
      <c r="B203" t="str">
        <f t="shared" si="3"/>
        <v>2025-2026-2</v>
      </c>
      <c r="C203">
        <v>6</v>
      </c>
    </row>
    <row r="204" spans="1:3" x14ac:dyDescent="0.3">
      <c r="A204" s="3">
        <v>46103</v>
      </c>
      <c r="B204" t="str">
        <f t="shared" si="3"/>
        <v>2025-2026-2</v>
      </c>
      <c r="C204">
        <v>7</v>
      </c>
    </row>
    <row r="205" spans="1:3" x14ac:dyDescent="0.3">
      <c r="A205" s="3">
        <v>46104</v>
      </c>
      <c r="B205" t="str">
        <f t="shared" si="3"/>
        <v>2025-2026-2</v>
      </c>
      <c r="C205">
        <v>1</v>
      </c>
    </row>
    <row r="206" spans="1:3" x14ac:dyDescent="0.3">
      <c r="A206" s="3">
        <v>46105</v>
      </c>
      <c r="B206" t="str">
        <f t="shared" si="3"/>
        <v>2025-2026-2</v>
      </c>
      <c r="C206">
        <v>2</v>
      </c>
    </row>
    <row r="207" spans="1:3" x14ac:dyDescent="0.3">
      <c r="A207" s="3">
        <v>46106</v>
      </c>
      <c r="B207" t="str">
        <f t="shared" si="3"/>
        <v>2025-2026-2</v>
      </c>
      <c r="C207">
        <v>3</v>
      </c>
    </row>
    <row r="208" spans="1:3" x14ac:dyDescent="0.3">
      <c r="A208" s="3">
        <v>46107</v>
      </c>
      <c r="B208" t="str">
        <f t="shared" si="3"/>
        <v>2025-2026-2</v>
      </c>
      <c r="C208">
        <v>4</v>
      </c>
    </row>
    <row r="209" spans="1:3" x14ac:dyDescent="0.3">
      <c r="A209" s="3">
        <v>46108</v>
      </c>
      <c r="B209" t="str">
        <f t="shared" si="3"/>
        <v>2025-2026-2</v>
      </c>
      <c r="C209">
        <v>5</v>
      </c>
    </row>
    <row r="210" spans="1:3" x14ac:dyDescent="0.3">
      <c r="A210" s="3">
        <v>46109</v>
      </c>
      <c r="B210" t="str">
        <f t="shared" si="3"/>
        <v>2025-2026-2</v>
      </c>
      <c r="C210">
        <v>6</v>
      </c>
    </row>
    <row r="211" spans="1:3" x14ac:dyDescent="0.3">
      <c r="A211" s="3">
        <v>46110</v>
      </c>
      <c r="B211" t="str">
        <f t="shared" si="3"/>
        <v>2025-2026-2</v>
      </c>
      <c r="C211">
        <v>7</v>
      </c>
    </row>
    <row r="212" spans="1:3" x14ac:dyDescent="0.3">
      <c r="A212" s="3">
        <v>46111</v>
      </c>
      <c r="B212" t="str">
        <f t="shared" si="3"/>
        <v>2025-2026-2</v>
      </c>
      <c r="C212">
        <v>1</v>
      </c>
    </row>
    <row r="213" spans="1:3" x14ac:dyDescent="0.3">
      <c r="A213" s="3">
        <v>46112</v>
      </c>
      <c r="B213" t="str">
        <f t="shared" si="3"/>
        <v>2025-2026-2</v>
      </c>
      <c r="C213">
        <v>2</v>
      </c>
    </row>
    <row r="214" spans="1:3" x14ac:dyDescent="0.3">
      <c r="A214" s="3">
        <v>46113</v>
      </c>
      <c r="B214" t="str">
        <f t="shared" si="3"/>
        <v>2025-2026-2</v>
      </c>
      <c r="C214">
        <v>3</v>
      </c>
    </row>
    <row r="215" spans="1:3" x14ac:dyDescent="0.3">
      <c r="A215" s="3">
        <v>46114</v>
      </c>
      <c r="B215" t="str">
        <f t="shared" si="3"/>
        <v>2025-2026-2</v>
      </c>
      <c r="C215">
        <v>4</v>
      </c>
    </row>
    <row r="216" spans="1:3" x14ac:dyDescent="0.3">
      <c r="A216" s="3">
        <v>46115</v>
      </c>
      <c r="B216" t="str">
        <f t="shared" si="3"/>
        <v>2025-2026-2</v>
      </c>
      <c r="C216">
        <v>5</v>
      </c>
    </row>
    <row r="217" spans="1:3" x14ac:dyDescent="0.3">
      <c r="A217" s="3">
        <v>46116</v>
      </c>
      <c r="B217" t="str">
        <f t="shared" si="3"/>
        <v>2025-2026-2</v>
      </c>
      <c r="C217">
        <v>6</v>
      </c>
    </row>
    <row r="218" spans="1:3" x14ac:dyDescent="0.3">
      <c r="A218" s="3">
        <v>46117</v>
      </c>
      <c r="B218" t="str">
        <f t="shared" si="3"/>
        <v>2025-2026-2</v>
      </c>
      <c r="C218">
        <v>7</v>
      </c>
    </row>
    <row r="219" spans="1:3" x14ac:dyDescent="0.3">
      <c r="A219" s="3">
        <v>46118</v>
      </c>
      <c r="B219" t="str">
        <f t="shared" si="3"/>
        <v>2025-2026-2</v>
      </c>
      <c r="C219">
        <v>1</v>
      </c>
    </row>
    <row r="220" spans="1:3" x14ac:dyDescent="0.3">
      <c r="A220" s="3">
        <v>46119</v>
      </c>
      <c r="B220" t="str">
        <f t="shared" si="3"/>
        <v>2025-2026-2</v>
      </c>
      <c r="C220">
        <v>2</v>
      </c>
    </row>
    <row r="221" spans="1:3" x14ac:dyDescent="0.3">
      <c r="A221" s="3">
        <v>46120</v>
      </c>
      <c r="B221" t="str">
        <f t="shared" si="3"/>
        <v>2025-2026-2</v>
      </c>
      <c r="C221">
        <v>3</v>
      </c>
    </row>
    <row r="222" spans="1:3" x14ac:dyDescent="0.3">
      <c r="A222" s="3">
        <v>46121</v>
      </c>
      <c r="B222" t="str">
        <f t="shared" si="3"/>
        <v>2025-2026-2</v>
      </c>
      <c r="C222">
        <v>4</v>
      </c>
    </row>
    <row r="223" spans="1:3" x14ac:dyDescent="0.3">
      <c r="A223" s="3">
        <v>46122</v>
      </c>
      <c r="B223" t="str">
        <f t="shared" si="3"/>
        <v>2025-2026-2</v>
      </c>
      <c r="C223">
        <v>5</v>
      </c>
    </row>
    <row r="224" spans="1:3" x14ac:dyDescent="0.3">
      <c r="A224" s="3">
        <v>46123</v>
      </c>
      <c r="B224" t="str">
        <f t="shared" si="3"/>
        <v>2025-2026-2</v>
      </c>
      <c r="C224">
        <v>6</v>
      </c>
    </row>
    <row r="225" spans="1:3" x14ac:dyDescent="0.3">
      <c r="A225" s="3">
        <v>46124</v>
      </c>
      <c r="B225" t="str">
        <f t="shared" ref="B225:B288" si="4">$B$159</f>
        <v>2025-2026-2</v>
      </c>
      <c r="C225">
        <v>7</v>
      </c>
    </row>
    <row r="226" spans="1:3" x14ac:dyDescent="0.3">
      <c r="A226" s="3">
        <v>46125</v>
      </c>
      <c r="B226" t="str">
        <f t="shared" si="4"/>
        <v>2025-2026-2</v>
      </c>
      <c r="C226">
        <v>1</v>
      </c>
    </row>
    <row r="227" spans="1:3" x14ac:dyDescent="0.3">
      <c r="A227" s="3">
        <v>46126</v>
      </c>
      <c r="B227" t="str">
        <f t="shared" si="4"/>
        <v>2025-2026-2</v>
      </c>
      <c r="C227">
        <v>2</v>
      </c>
    </row>
    <row r="228" spans="1:3" x14ac:dyDescent="0.3">
      <c r="A228" s="3">
        <v>46127</v>
      </c>
      <c r="B228" t="str">
        <f t="shared" si="4"/>
        <v>2025-2026-2</v>
      </c>
      <c r="C228">
        <v>3</v>
      </c>
    </row>
    <row r="229" spans="1:3" x14ac:dyDescent="0.3">
      <c r="A229" s="3">
        <v>46128</v>
      </c>
      <c r="B229" t="str">
        <f t="shared" si="4"/>
        <v>2025-2026-2</v>
      </c>
      <c r="C229">
        <v>4</v>
      </c>
    </row>
    <row r="230" spans="1:3" x14ac:dyDescent="0.3">
      <c r="A230" s="3">
        <v>46129</v>
      </c>
      <c r="B230" t="str">
        <f t="shared" si="4"/>
        <v>2025-2026-2</v>
      </c>
      <c r="C230">
        <v>5</v>
      </c>
    </row>
    <row r="231" spans="1:3" x14ac:dyDescent="0.3">
      <c r="A231" s="3">
        <v>46130</v>
      </c>
      <c r="B231" t="str">
        <f t="shared" si="4"/>
        <v>2025-2026-2</v>
      </c>
      <c r="C231">
        <v>6</v>
      </c>
    </row>
    <row r="232" spans="1:3" x14ac:dyDescent="0.3">
      <c r="A232" s="3">
        <v>46131</v>
      </c>
      <c r="B232" t="str">
        <f t="shared" si="4"/>
        <v>2025-2026-2</v>
      </c>
      <c r="C232">
        <v>7</v>
      </c>
    </row>
    <row r="233" spans="1:3" x14ac:dyDescent="0.3">
      <c r="A233" s="3">
        <v>46132</v>
      </c>
      <c r="B233" t="str">
        <f t="shared" si="4"/>
        <v>2025-2026-2</v>
      </c>
      <c r="C233">
        <v>1</v>
      </c>
    </row>
    <row r="234" spans="1:3" x14ac:dyDescent="0.3">
      <c r="A234" s="3">
        <v>46133</v>
      </c>
      <c r="B234" t="str">
        <f t="shared" si="4"/>
        <v>2025-2026-2</v>
      </c>
      <c r="C234">
        <v>2</v>
      </c>
    </row>
    <row r="235" spans="1:3" x14ac:dyDescent="0.3">
      <c r="A235" s="3">
        <v>46134</v>
      </c>
      <c r="B235" t="str">
        <f t="shared" si="4"/>
        <v>2025-2026-2</v>
      </c>
      <c r="C235">
        <v>3</v>
      </c>
    </row>
    <row r="236" spans="1:3" x14ac:dyDescent="0.3">
      <c r="A236" s="3">
        <v>46135</v>
      </c>
      <c r="B236" t="str">
        <f t="shared" si="4"/>
        <v>2025-2026-2</v>
      </c>
      <c r="C236">
        <v>4</v>
      </c>
    </row>
    <row r="237" spans="1:3" x14ac:dyDescent="0.3">
      <c r="A237" s="3">
        <v>46136</v>
      </c>
      <c r="B237" t="str">
        <f t="shared" si="4"/>
        <v>2025-2026-2</v>
      </c>
      <c r="C237">
        <v>5</v>
      </c>
    </row>
    <row r="238" spans="1:3" x14ac:dyDescent="0.3">
      <c r="A238" s="3">
        <v>46137</v>
      </c>
      <c r="B238" t="str">
        <f t="shared" si="4"/>
        <v>2025-2026-2</v>
      </c>
      <c r="C238">
        <v>6</v>
      </c>
    </row>
    <row r="239" spans="1:3" x14ac:dyDescent="0.3">
      <c r="A239" s="3">
        <v>46138</v>
      </c>
      <c r="B239" t="str">
        <f t="shared" si="4"/>
        <v>2025-2026-2</v>
      </c>
      <c r="C239">
        <v>7</v>
      </c>
    </row>
    <row r="240" spans="1:3" x14ac:dyDescent="0.3">
      <c r="A240" s="3">
        <v>46139</v>
      </c>
      <c r="B240" t="str">
        <f t="shared" si="4"/>
        <v>2025-2026-2</v>
      </c>
      <c r="C240">
        <v>1</v>
      </c>
    </row>
    <row r="241" spans="1:3" x14ac:dyDescent="0.3">
      <c r="A241" s="3">
        <v>46140</v>
      </c>
      <c r="B241" t="str">
        <f t="shared" si="4"/>
        <v>2025-2026-2</v>
      </c>
      <c r="C241">
        <v>2</v>
      </c>
    </row>
    <row r="242" spans="1:3" x14ac:dyDescent="0.3">
      <c r="A242" s="3">
        <v>46141</v>
      </c>
      <c r="B242" t="str">
        <f t="shared" si="4"/>
        <v>2025-2026-2</v>
      </c>
      <c r="C242">
        <v>3</v>
      </c>
    </row>
    <row r="243" spans="1:3" x14ac:dyDescent="0.3">
      <c r="A243" s="3">
        <v>46142</v>
      </c>
      <c r="B243" t="str">
        <f t="shared" si="4"/>
        <v>2025-2026-2</v>
      </c>
      <c r="C243">
        <v>4</v>
      </c>
    </row>
    <row r="244" spans="1:3" x14ac:dyDescent="0.3">
      <c r="A244" s="3">
        <v>46143</v>
      </c>
      <c r="B244" t="str">
        <f t="shared" si="4"/>
        <v>2025-2026-2</v>
      </c>
      <c r="C244">
        <v>5</v>
      </c>
    </row>
    <row r="245" spans="1:3" x14ac:dyDescent="0.3">
      <c r="A245" s="3">
        <v>46144</v>
      </c>
      <c r="B245" t="str">
        <f t="shared" si="4"/>
        <v>2025-2026-2</v>
      </c>
      <c r="C245">
        <v>6</v>
      </c>
    </row>
    <row r="246" spans="1:3" x14ac:dyDescent="0.3">
      <c r="A246" s="3">
        <v>46145</v>
      </c>
      <c r="B246" t="str">
        <f t="shared" si="4"/>
        <v>2025-2026-2</v>
      </c>
      <c r="C246">
        <v>7</v>
      </c>
    </row>
    <row r="247" spans="1:3" x14ac:dyDescent="0.3">
      <c r="A247" s="3">
        <v>46146</v>
      </c>
      <c r="B247" t="str">
        <f t="shared" si="4"/>
        <v>2025-2026-2</v>
      </c>
      <c r="C247">
        <v>1</v>
      </c>
    </row>
    <row r="248" spans="1:3" x14ac:dyDescent="0.3">
      <c r="A248" s="3">
        <v>46147</v>
      </c>
      <c r="B248" t="str">
        <f t="shared" si="4"/>
        <v>2025-2026-2</v>
      </c>
      <c r="C248">
        <v>2</v>
      </c>
    </row>
    <row r="249" spans="1:3" x14ac:dyDescent="0.3">
      <c r="A249" s="3">
        <v>46148</v>
      </c>
      <c r="B249" t="str">
        <f t="shared" si="4"/>
        <v>2025-2026-2</v>
      </c>
      <c r="C249">
        <v>3</v>
      </c>
    </row>
    <row r="250" spans="1:3" x14ac:dyDescent="0.3">
      <c r="A250" s="3">
        <v>46149</v>
      </c>
      <c r="B250" t="str">
        <f t="shared" si="4"/>
        <v>2025-2026-2</v>
      </c>
      <c r="C250">
        <v>4</v>
      </c>
    </row>
    <row r="251" spans="1:3" x14ac:dyDescent="0.3">
      <c r="A251" s="3">
        <v>46150</v>
      </c>
      <c r="B251" t="str">
        <f t="shared" si="4"/>
        <v>2025-2026-2</v>
      </c>
      <c r="C251">
        <v>5</v>
      </c>
    </row>
    <row r="252" spans="1:3" x14ac:dyDescent="0.3">
      <c r="A252" s="3">
        <v>46151</v>
      </c>
      <c r="B252" t="str">
        <f t="shared" si="4"/>
        <v>2025-2026-2</v>
      </c>
      <c r="C252">
        <v>6</v>
      </c>
    </row>
    <row r="253" spans="1:3" x14ac:dyDescent="0.3">
      <c r="A253" s="3">
        <v>46152</v>
      </c>
      <c r="B253" t="str">
        <f t="shared" si="4"/>
        <v>2025-2026-2</v>
      </c>
      <c r="C253">
        <v>7</v>
      </c>
    </row>
    <row r="254" spans="1:3" x14ac:dyDescent="0.3">
      <c r="A254" s="3">
        <v>46153</v>
      </c>
      <c r="B254" t="str">
        <f t="shared" si="4"/>
        <v>2025-2026-2</v>
      </c>
      <c r="C254">
        <v>1</v>
      </c>
    </row>
    <row r="255" spans="1:3" x14ac:dyDescent="0.3">
      <c r="A255" s="3">
        <v>46154</v>
      </c>
      <c r="B255" t="str">
        <f t="shared" si="4"/>
        <v>2025-2026-2</v>
      </c>
      <c r="C255">
        <v>2</v>
      </c>
    </row>
    <row r="256" spans="1:3" x14ac:dyDescent="0.3">
      <c r="A256" s="3">
        <v>46155</v>
      </c>
      <c r="B256" t="str">
        <f t="shared" si="4"/>
        <v>2025-2026-2</v>
      </c>
      <c r="C256">
        <v>3</v>
      </c>
    </row>
    <row r="257" spans="1:3" x14ac:dyDescent="0.3">
      <c r="A257" s="3">
        <v>46156</v>
      </c>
      <c r="B257" t="str">
        <f t="shared" si="4"/>
        <v>2025-2026-2</v>
      </c>
      <c r="C257">
        <v>4</v>
      </c>
    </row>
    <row r="258" spans="1:3" x14ac:dyDescent="0.3">
      <c r="A258" s="3">
        <v>46157</v>
      </c>
      <c r="B258" t="str">
        <f t="shared" si="4"/>
        <v>2025-2026-2</v>
      </c>
      <c r="C258">
        <v>5</v>
      </c>
    </row>
    <row r="259" spans="1:3" x14ac:dyDescent="0.3">
      <c r="A259" s="3">
        <v>46158</v>
      </c>
      <c r="B259" t="str">
        <f t="shared" si="4"/>
        <v>2025-2026-2</v>
      </c>
      <c r="C259">
        <v>6</v>
      </c>
    </row>
    <row r="260" spans="1:3" x14ac:dyDescent="0.3">
      <c r="A260" s="3">
        <v>46159</v>
      </c>
      <c r="B260" t="str">
        <f t="shared" si="4"/>
        <v>2025-2026-2</v>
      </c>
      <c r="C260">
        <v>7</v>
      </c>
    </row>
    <row r="261" spans="1:3" x14ac:dyDescent="0.3">
      <c r="A261" s="3">
        <v>46160</v>
      </c>
      <c r="B261" t="str">
        <f t="shared" si="4"/>
        <v>2025-2026-2</v>
      </c>
      <c r="C261">
        <v>1</v>
      </c>
    </row>
    <row r="262" spans="1:3" x14ac:dyDescent="0.3">
      <c r="A262" s="3">
        <v>46161</v>
      </c>
      <c r="B262" t="str">
        <f t="shared" si="4"/>
        <v>2025-2026-2</v>
      </c>
      <c r="C262">
        <v>2</v>
      </c>
    </row>
    <row r="263" spans="1:3" x14ac:dyDescent="0.3">
      <c r="A263" s="3">
        <v>46162</v>
      </c>
      <c r="B263" t="str">
        <f t="shared" si="4"/>
        <v>2025-2026-2</v>
      </c>
      <c r="C263">
        <v>3</v>
      </c>
    </row>
    <row r="264" spans="1:3" x14ac:dyDescent="0.3">
      <c r="A264" s="3">
        <v>46163</v>
      </c>
      <c r="B264" t="str">
        <f t="shared" si="4"/>
        <v>2025-2026-2</v>
      </c>
      <c r="C264">
        <v>4</v>
      </c>
    </row>
    <row r="265" spans="1:3" x14ac:dyDescent="0.3">
      <c r="A265" s="3">
        <v>46164</v>
      </c>
      <c r="B265" t="str">
        <f t="shared" si="4"/>
        <v>2025-2026-2</v>
      </c>
      <c r="C265">
        <v>5</v>
      </c>
    </row>
    <row r="266" spans="1:3" x14ac:dyDescent="0.3">
      <c r="A266" s="3">
        <v>46165</v>
      </c>
      <c r="B266" t="str">
        <f t="shared" si="4"/>
        <v>2025-2026-2</v>
      </c>
      <c r="C266">
        <v>6</v>
      </c>
    </row>
    <row r="267" spans="1:3" x14ac:dyDescent="0.3">
      <c r="A267" s="3">
        <v>46166</v>
      </c>
      <c r="B267" t="str">
        <f t="shared" si="4"/>
        <v>2025-2026-2</v>
      </c>
      <c r="C267">
        <v>7</v>
      </c>
    </row>
    <row r="268" spans="1:3" x14ac:dyDescent="0.3">
      <c r="A268" s="3">
        <v>46167</v>
      </c>
      <c r="B268" t="str">
        <f t="shared" si="4"/>
        <v>2025-2026-2</v>
      </c>
      <c r="C268">
        <v>1</v>
      </c>
    </row>
    <row r="269" spans="1:3" x14ac:dyDescent="0.3">
      <c r="A269" s="3">
        <v>46168</v>
      </c>
      <c r="B269" t="str">
        <f t="shared" si="4"/>
        <v>2025-2026-2</v>
      </c>
      <c r="C269">
        <v>2</v>
      </c>
    </row>
    <row r="270" spans="1:3" x14ac:dyDescent="0.3">
      <c r="A270" s="3">
        <v>46169</v>
      </c>
      <c r="B270" t="str">
        <f t="shared" si="4"/>
        <v>2025-2026-2</v>
      </c>
      <c r="C270">
        <v>3</v>
      </c>
    </row>
    <row r="271" spans="1:3" x14ac:dyDescent="0.3">
      <c r="A271" s="3">
        <v>46170</v>
      </c>
      <c r="B271" t="str">
        <f t="shared" si="4"/>
        <v>2025-2026-2</v>
      </c>
      <c r="C271">
        <v>4</v>
      </c>
    </row>
    <row r="272" spans="1:3" x14ac:dyDescent="0.3">
      <c r="A272" s="3">
        <v>46171</v>
      </c>
      <c r="B272" t="str">
        <f t="shared" si="4"/>
        <v>2025-2026-2</v>
      </c>
      <c r="C272">
        <v>5</v>
      </c>
    </row>
    <row r="273" spans="1:3" x14ac:dyDescent="0.3">
      <c r="A273" s="3">
        <v>46172</v>
      </c>
      <c r="B273" t="str">
        <f t="shared" si="4"/>
        <v>2025-2026-2</v>
      </c>
      <c r="C273">
        <v>6</v>
      </c>
    </row>
    <row r="274" spans="1:3" x14ac:dyDescent="0.3">
      <c r="A274" s="3">
        <v>46173</v>
      </c>
      <c r="B274" t="str">
        <f t="shared" si="4"/>
        <v>2025-2026-2</v>
      </c>
      <c r="C274">
        <v>7</v>
      </c>
    </row>
    <row r="275" spans="1:3" x14ac:dyDescent="0.3">
      <c r="A275" s="3">
        <v>46174</v>
      </c>
      <c r="B275" t="str">
        <f t="shared" si="4"/>
        <v>2025-2026-2</v>
      </c>
      <c r="C275">
        <v>1</v>
      </c>
    </row>
    <row r="276" spans="1:3" x14ac:dyDescent="0.3">
      <c r="A276" s="3">
        <v>46175</v>
      </c>
      <c r="B276" t="str">
        <f t="shared" si="4"/>
        <v>2025-2026-2</v>
      </c>
      <c r="C276">
        <v>2</v>
      </c>
    </row>
    <row r="277" spans="1:3" x14ac:dyDescent="0.3">
      <c r="A277" s="3">
        <v>46176</v>
      </c>
      <c r="B277" t="str">
        <f t="shared" si="4"/>
        <v>2025-2026-2</v>
      </c>
      <c r="C277">
        <v>3</v>
      </c>
    </row>
    <row r="278" spans="1:3" x14ac:dyDescent="0.3">
      <c r="A278" s="3">
        <v>46177</v>
      </c>
      <c r="B278" t="str">
        <f t="shared" si="4"/>
        <v>2025-2026-2</v>
      </c>
      <c r="C278">
        <v>4</v>
      </c>
    </row>
    <row r="279" spans="1:3" x14ac:dyDescent="0.3">
      <c r="A279" s="3">
        <v>46178</v>
      </c>
      <c r="B279" t="str">
        <f t="shared" si="4"/>
        <v>2025-2026-2</v>
      </c>
      <c r="C279">
        <v>5</v>
      </c>
    </row>
    <row r="280" spans="1:3" x14ac:dyDescent="0.3">
      <c r="A280" s="3">
        <v>46179</v>
      </c>
      <c r="B280" t="str">
        <f t="shared" si="4"/>
        <v>2025-2026-2</v>
      </c>
      <c r="C280">
        <v>6</v>
      </c>
    </row>
    <row r="281" spans="1:3" x14ac:dyDescent="0.3">
      <c r="A281" s="3">
        <v>46180</v>
      </c>
      <c r="B281" t="str">
        <f t="shared" si="4"/>
        <v>2025-2026-2</v>
      </c>
      <c r="C281">
        <v>7</v>
      </c>
    </row>
    <row r="282" spans="1:3" x14ac:dyDescent="0.3">
      <c r="A282" s="3">
        <v>46181</v>
      </c>
      <c r="B282" t="str">
        <f t="shared" si="4"/>
        <v>2025-2026-2</v>
      </c>
      <c r="C282">
        <v>1</v>
      </c>
    </row>
    <row r="283" spans="1:3" x14ac:dyDescent="0.3">
      <c r="A283" s="3">
        <v>46182</v>
      </c>
      <c r="B283" t="str">
        <f t="shared" si="4"/>
        <v>2025-2026-2</v>
      </c>
      <c r="C283">
        <v>2</v>
      </c>
    </row>
    <row r="284" spans="1:3" x14ac:dyDescent="0.3">
      <c r="A284" s="3">
        <v>46183</v>
      </c>
      <c r="B284" t="str">
        <f t="shared" si="4"/>
        <v>2025-2026-2</v>
      </c>
      <c r="C284">
        <v>3</v>
      </c>
    </row>
    <row r="285" spans="1:3" x14ac:dyDescent="0.3">
      <c r="A285" s="3">
        <v>46184</v>
      </c>
      <c r="B285" t="str">
        <f t="shared" si="4"/>
        <v>2025-2026-2</v>
      </c>
      <c r="C285">
        <v>4</v>
      </c>
    </row>
    <row r="286" spans="1:3" x14ac:dyDescent="0.3">
      <c r="A286" s="3">
        <v>46185</v>
      </c>
      <c r="B286" t="str">
        <f t="shared" si="4"/>
        <v>2025-2026-2</v>
      </c>
      <c r="C286">
        <v>5</v>
      </c>
    </row>
    <row r="287" spans="1:3" x14ac:dyDescent="0.3">
      <c r="A287" s="3">
        <v>46186</v>
      </c>
      <c r="B287" t="str">
        <f t="shared" si="4"/>
        <v>2025-2026-2</v>
      </c>
      <c r="C287">
        <v>6</v>
      </c>
    </row>
    <row r="288" spans="1:3" x14ac:dyDescent="0.3">
      <c r="A288" s="3">
        <v>46187</v>
      </c>
      <c r="B288" t="str">
        <f t="shared" si="4"/>
        <v>2025-2026-2</v>
      </c>
      <c r="C288">
        <v>7</v>
      </c>
    </row>
    <row r="289" spans="1:3" x14ac:dyDescent="0.3">
      <c r="A289" s="3">
        <v>46188</v>
      </c>
      <c r="B289" t="str">
        <f t="shared" ref="B289:B335" si="5">$B$159</f>
        <v>2025-2026-2</v>
      </c>
      <c r="C289">
        <v>1</v>
      </c>
    </row>
    <row r="290" spans="1:3" x14ac:dyDescent="0.3">
      <c r="A290" s="3">
        <v>46189</v>
      </c>
      <c r="B290" t="str">
        <f t="shared" si="5"/>
        <v>2025-2026-2</v>
      </c>
      <c r="C290">
        <v>2</v>
      </c>
    </row>
    <row r="291" spans="1:3" x14ac:dyDescent="0.3">
      <c r="A291" s="3">
        <v>46190</v>
      </c>
      <c r="B291" t="str">
        <f t="shared" si="5"/>
        <v>2025-2026-2</v>
      </c>
      <c r="C291">
        <v>3</v>
      </c>
    </row>
    <row r="292" spans="1:3" x14ac:dyDescent="0.3">
      <c r="A292" s="3">
        <v>46191</v>
      </c>
      <c r="B292" t="str">
        <f t="shared" si="5"/>
        <v>2025-2026-2</v>
      </c>
      <c r="C292">
        <v>4</v>
      </c>
    </row>
    <row r="293" spans="1:3" x14ac:dyDescent="0.3">
      <c r="A293" s="3">
        <v>46192</v>
      </c>
      <c r="B293" t="str">
        <f t="shared" si="5"/>
        <v>2025-2026-2</v>
      </c>
      <c r="C293">
        <v>5</v>
      </c>
    </row>
    <row r="294" spans="1:3" x14ac:dyDescent="0.3">
      <c r="A294" s="3">
        <v>46193</v>
      </c>
      <c r="B294" t="str">
        <f t="shared" si="5"/>
        <v>2025-2026-2</v>
      </c>
      <c r="C294">
        <v>6</v>
      </c>
    </row>
    <row r="295" spans="1:3" x14ac:dyDescent="0.3">
      <c r="A295" s="3">
        <v>46194</v>
      </c>
      <c r="B295" t="str">
        <f t="shared" si="5"/>
        <v>2025-2026-2</v>
      </c>
      <c r="C295">
        <v>7</v>
      </c>
    </row>
    <row r="296" spans="1:3" x14ac:dyDescent="0.3">
      <c r="A296" s="3">
        <v>46195</v>
      </c>
      <c r="B296" t="str">
        <f t="shared" si="5"/>
        <v>2025-2026-2</v>
      </c>
      <c r="C296">
        <v>1</v>
      </c>
    </row>
    <row r="297" spans="1:3" x14ac:dyDescent="0.3">
      <c r="A297" s="3">
        <v>46196</v>
      </c>
      <c r="B297" t="str">
        <f t="shared" si="5"/>
        <v>2025-2026-2</v>
      </c>
      <c r="C297">
        <v>2</v>
      </c>
    </row>
    <row r="298" spans="1:3" x14ac:dyDescent="0.3">
      <c r="A298" s="3">
        <v>46197</v>
      </c>
      <c r="B298" t="str">
        <f t="shared" si="5"/>
        <v>2025-2026-2</v>
      </c>
      <c r="C298">
        <v>3</v>
      </c>
    </row>
    <row r="299" spans="1:3" x14ac:dyDescent="0.3">
      <c r="A299" s="3">
        <v>46198</v>
      </c>
      <c r="B299" t="str">
        <f t="shared" si="5"/>
        <v>2025-2026-2</v>
      </c>
      <c r="C299">
        <v>4</v>
      </c>
    </row>
    <row r="300" spans="1:3" x14ac:dyDescent="0.3">
      <c r="A300" s="3">
        <v>46199</v>
      </c>
      <c r="B300" t="str">
        <f t="shared" si="5"/>
        <v>2025-2026-2</v>
      </c>
      <c r="C300">
        <v>5</v>
      </c>
    </row>
    <row r="301" spans="1:3" x14ac:dyDescent="0.3">
      <c r="A301" s="3">
        <v>46200</v>
      </c>
      <c r="B301" t="str">
        <f t="shared" si="5"/>
        <v>2025-2026-2</v>
      </c>
      <c r="C301">
        <v>6</v>
      </c>
    </row>
    <row r="302" spans="1:3" x14ac:dyDescent="0.3">
      <c r="A302" s="3">
        <v>46201</v>
      </c>
      <c r="B302" t="str">
        <f t="shared" si="5"/>
        <v>2025-2026-2</v>
      </c>
      <c r="C302">
        <v>7</v>
      </c>
    </row>
    <row r="303" spans="1:3" x14ac:dyDescent="0.3">
      <c r="A303" s="3">
        <v>46202</v>
      </c>
      <c r="B303" t="str">
        <f t="shared" si="5"/>
        <v>2025-2026-2</v>
      </c>
      <c r="C303">
        <v>1</v>
      </c>
    </row>
    <row r="304" spans="1:3" x14ac:dyDescent="0.3">
      <c r="A304" s="3">
        <v>46203</v>
      </c>
      <c r="B304" t="str">
        <f t="shared" si="5"/>
        <v>2025-2026-2</v>
      </c>
      <c r="C304">
        <v>2</v>
      </c>
    </row>
    <row r="305" spans="1:3" x14ac:dyDescent="0.3">
      <c r="A305" s="3">
        <v>46204</v>
      </c>
      <c r="B305" t="str">
        <f t="shared" si="5"/>
        <v>2025-2026-2</v>
      </c>
      <c r="C305">
        <v>3</v>
      </c>
    </row>
    <row r="306" spans="1:3" x14ac:dyDescent="0.3">
      <c r="A306" s="3">
        <v>46205</v>
      </c>
      <c r="B306" t="str">
        <f t="shared" si="5"/>
        <v>2025-2026-2</v>
      </c>
      <c r="C306">
        <v>4</v>
      </c>
    </row>
    <row r="307" spans="1:3" x14ac:dyDescent="0.3">
      <c r="A307" s="3">
        <v>46206</v>
      </c>
      <c r="B307" t="str">
        <f t="shared" si="5"/>
        <v>2025-2026-2</v>
      </c>
      <c r="C307">
        <v>5</v>
      </c>
    </row>
    <row r="308" spans="1:3" x14ac:dyDescent="0.3">
      <c r="A308" s="3">
        <v>46207</v>
      </c>
      <c r="B308" t="str">
        <f t="shared" si="5"/>
        <v>2025-2026-2</v>
      </c>
      <c r="C308">
        <v>6</v>
      </c>
    </row>
    <row r="309" spans="1:3" x14ac:dyDescent="0.3">
      <c r="A309" s="3">
        <v>46208</v>
      </c>
      <c r="B309" t="str">
        <f t="shared" si="5"/>
        <v>2025-2026-2</v>
      </c>
      <c r="C309">
        <v>7</v>
      </c>
    </row>
    <row r="310" spans="1:3" x14ac:dyDescent="0.3">
      <c r="A310" s="3">
        <v>46209</v>
      </c>
      <c r="B310" t="str">
        <f t="shared" si="5"/>
        <v>2025-2026-2</v>
      </c>
      <c r="C310">
        <v>1</v>
      </c>
    </row>
    <row r="311" spans="1:3" x14ac:dyDescent="0.3">
      <c r="A311" s="3">
        <v>46210</v>
      </c>
      <c r="B311" t="str">
        <f t="shared" si="5"/>
        <v>2025-2026-2</v>
      </c>
      <c r="C311">
        <v>2</v>
      </c>
    </row>
    <row r="312" spans="1:3" x14ac:dyDescent="0.3">
      <c r="A312" s="3">
        <v>46211</v>
      </c>
      <c r="B312" t="str">
        <f t="shared" si="5"/>
        <v>2025-2026-2</v>
      </c>
      <c r="C312">
        <v>3</v>
      </c>
    </row>
    <row r="313" spans="1:3" x14ac:dyDescent="0.3">
      <c r="A313" s="3">
        <v>46212</v>
      </c>
      <c r="B313" t="str">
        <f t="shared" si="5"/>
        <v>2025-2026-2</v>
      </c>
      <c r="C313">
        <v>4</v>
      </c>
    </row>
    <row r="314" spans="1:3" x14ac:dyDescent="0.3">
      <c r="A314" s="3">
        <v>46213</v>
      </c>
      <c r="B314" t="str">
        <f t="shared" si="5"/>
        <v>2025-2026-2</v>
      </c>
      <c r="C314">
        <v>5</v>
      </c>
    </row>
    <row r="315" spans="1:3" x14ac:dyDescent="0.3">
      <c r="A315" s="3">
        <v>46214</v>
      </c>
      <c r="B315" t="str">
        <f t="shared" si="5"/>
        <v>2025-2026-2</v>
      </c>
      <c r="C315">
        <v>6</v>
      </c>
    </row>
    <row r="316" spans="1:3" x14ac:dyDescent="0.3">
      <c r="A316" s="3">
        <v>46215</v>
      </c>
      <c r="B316" t="str">
        <f t="shared" si="5"/>
        <v>2025-2026-2</v>
      </c>
      <c r="C316">
        <v>7</v>
      </c>
    </row>
    <row r="317" spans="1:3" x14ac:dyDescent="0.3">
      <c r="A317" s="3">
        <v>46216</v>
      </c>
      <c r="B317" t="str">
        <f t="shared" si="5"/>
        <v>2025-2026-2</v>
      </c>
      <c r="C317">
        <v>1</v>
      </c>
    </row>
    <row r="318" spans="1:3" x14ac:dyDescent="0.3">
      <c r="A318" s="3">
        <v>46217</v>
      </c>
      <c r="B318" t="str">
        <f t="shared" si="5"/>
        <v>2025-2026-2</v>
      </c>
      <c r="C318">
        <v>2</v>
      </c>
    </row>
    <row r="319" spans="1:3" x14ac:dyDescent="0.3">
      <c r="A319" s="3">
        <v>46218</v>
      </c>
      <c r="B319" t="str">
        <f t="shared" si="5"/>
        <v>2025-2026-2</v>
      </c>
      <c r="C319">
        <v>3</v>
      </c>
    </row>
    <row r="320" spans="1:3" x14ac:dyDescent="0.3">
      <c r="A320" s="3">
        <v>46219</v>
      </c>
      <c r="B320" t="str">
        <f t="shared" si="5"/>
        <v>2025-2026-2</v>
      </c>
      <c r="C320">
        <v>4</v>
      </c>
    </row>
    <row r="321" spans="1:3" x14ac:dyDescent="0.3">
      <c r="A321" s="3">
        <v>46220</v>
      </c>
      <c r="B321" t="str">
        <f t="shared" si="5"/>
        <v>2025-2026-2</v>
      </c>
      <c r="C321">
        <v>5</v>
      </c>
    </row>
    <row r="322" spans="1:3" x14ac:dyDescent="0.3">
      <c r="A322" s="3">
        <v>46221</v>
      </c>
      <c r="B322" t="str">
        <f t="shared" si="5"/>
        <v>2025-2026-2</v>
      </c>
      <c r="C322">
        <v>6</v>
      </c>
    </row>
    <row r="323" spans="1:3" x14ac:dyDescent="0.3">
      <c r="A323" s="3">
        <v>46222</v>
      </c>
      <c r="B323" t="str">
        <f t="shared" si="5"/>
        <v>2025-2026-2</v>
      </c>
      <c r="C323">
        <v>7</v>
      </c>
    </row>
    <row r="324" spans="1:3" x14ac:dyDescent="0.3">
      <c r="A324" s="3">
        <v>46223</v>
      </c>
      <c r="B324" t="str">
        <f t="shared" si="5"/>
        <v>2025-2026-2</v>
      </c>
      <c r="C324">
        <v>1</v>
      </c>
    </row>
    <row r="325" spans="1:3" x14ac:dyDescent="0.3">
      <c r="A325" s="3">
        <v>46224</v>
      </c>
      <c r="B325" t="str">
        <f t="shared" si="5"/>
        <v>2025-2026-2</v>
      </c>
      <c r="C325">
        <v>2</v>
      </c>
    </row>
    <row r="326" spans="1:3" x14ac:dyDescent="0.3">
      <c r="A326" s="3">
        <v>46225</v>
      </c>
      <c r="B326" t="str">
        <f t="shared" si="5"/>
        <v>2025-2026-2</v>
      </c>
      <c r="C326">
        <v>3</v>
      </c>
    </row>
    <row r="327" spans="1:3" x14ac:dyDescent="0.3">
      <c r="A327" s="3">
        <v>46226</v>
      </c>
      <c r="B327" t="str">
        <f t="shared" si="5"/>
        <v>2025-2026-2</v>
      </c>
      <c r="C327">
        <v>4</v>
      </c>
    </row>
    <row r="328" spans="1:3" x14ac:dyDescent="0.3">
      <c r="A328" s="3">
        <v>46227</v>
      </c>
      <c r="B328" t="str">
        <f t="shared" si="5"/>
        <v>2025-2026-2</v>
      </c>
      <c r="C328">
        <v>5</v>
      </c>
    </row>
    <row r="329" spans="1:3" x14ac:dyDescent="0.3">
      <c r="A329" s="3">
        <v>46228</v>
      </c>
      <c r="B329" t="str">
        <f t="shared" si="5"/>
        <v>2025-2026-2</v>
      </c>
      <c r="C329">
        <v>6</v>
      </c>
    </row>
    <row r="330" spans="1:3" x14ac:dyDescent="0.3">
      <c r="A330" s="3">
        <v>46229</v>
      </c>
      <c r="B330" t="str">
        <f t="shared" si="5"/>
        <v>2025-2026-2</v>
      </c>
      <c r="C330">
        <v>7</v>
      </c>
    </row>
    <row r="331" spans="1:3" x14ac:dyDescent="0.3">
      <c r="A331" s="3">
        <v>46230</v>
      </c>
      <c r="B331" t="str">
        <f t="shared" si="5"/>
        <v>2025-2026-2</v>
      </c>
      <c r="C331">
        <v>1</v>
      </c>
    </row>
    <row r="332" spans="1:3" x14ac:dyDescent="0.3">
      <c r="A332" s="3">
        <v>46231</v>
      </c>
      <c r="B332" t="str">
        <f t="shared" si="5"/>
        <v>2025-2026-2</v>
      </c>
      <c r="C332">
        <v>2</v>
      </c>
    </row>
    <row r="333" spans="1:3" x14ac:dyDescent="0.3">
      <c r="A333" s="3">
        <v>46232</v>
      </c>
      <c r="B333" t="str">
        <f t="shared" si="5"/>
        <v>2025-2026-2</v>
      </c>
      <c r="C333">
        <v>3</v>
      </c>
    </row>
    <row r="334" spans="1:3" x14ac:dyDescent="0.3">
      <c r="A334" s="3">
        <v>46233</v>
      </c>
      <c r="B334" t="str">
        <f t="shared" si="5"/>
        <v>2025-2026-2</v>
      </c>
      <c r="C334">
        <v>4</v>
      </c>
    </row>
    <row r="335" spans="1:3" x14ac:dyDescent="0.3">
      <c r="A335" s="3">
        <v>46234</v>
      </c>
      <c r="B335" t="str">
        <f t="shared" si="5"/>
        <v>2025-2026-2</v>
      </c>
      <c r="C335">
        <v>5</v>
      </c>
    </row>
  </sheetData>
  <phoneticPr fontId="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D2A5D-3F00-488D-A199-E849BB619FAB}">
  <dimension ref="A1"/>
  <sheetViews>
    <sheetView tabSelected="1" workbookViewId="0">
      <selection activeCell="A2" sqref="A2"/>
    </sheetView>
  </sheetViews>
  <sheetFormatPr baseColWidth="10" defaultRowHeight="14.4" x14ac:dyDescent="0.3"/>
  <sheetData>
    <row r="1" spans="1:1" x14ac:dyDescent="0.3">
      <c r="A1" t="s">
        <v>19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DE6B7-BB1C-434D-9FB4-E868AF8F6C80}">
  <dimension ref="A1:B5"/>
  <sheetViews>
    <sheetView workbookViewId="0">
      <selection activeCell="B5" sqref="B5"/>
    </sheetView>
  </sheetViews>
  <sheetFormatPr baseColWidth="10" defaultRowHeight="14.4" x14ac:dyDescent="0.3"/>
  <cols>
    <col min="2" max="2" width="13.5546875" bestFit="1" customWidth="1"/>
  </cols>
  <sheetData>
    <row r="1" spans="1:2" x14ac:dyDescent="0.3">
      <c r="A1" t="s">
        <v>19</v>
      </c>
      <c r="B1" t="s">
        <v>54</v>
      </c>
    </row>
    <row r="2" spans="1:2" x14ac:dyDescent="0.3">
      <c r="A2" s="3">
        <v>45993</v>
      </c>
      <c r="B2">
        <v>5</v>
      </c>
    </row>
    <row r="3" spans="1:2" x14ac:dyDescent="0.3">
      <c r="A3" s="3">
        <v>46086</v>
      </c>
      <c r="B3">
        <v>5</v>
      </c>
    </row>
    <row r="4" spans="1:2" x14ac:dyDescent="0.3">
      <c r="A4" s="3">
        <v>46099</v>
      </c>
      <c r="B4">
        <v>5</v>
      </c>
    </row>
    <row r="5" spans="1:2" x14ac:dyDescent="0.3">
      <c r="A5" s="3">
        <v>46163</v>
      </c>
      <c r="B5">
        <v>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19D1B-7F3D-41FC-B62F-5931060A70F9}">
  <dimension ref="A1:B1"/>
  <sheetViews>
    <sheetView workbookViewId="0">
      <selection activeCell="K36" sqref="K36"/>
    </sheetView>
  </sheetViews>
  <sheetFormatPr baseColWidth="10" defaultRowHeight="14.4" x14ac:dyDescent="0.3"/>
  <cols>
    <col min="2" max="2" width="14.6640625" bestFit="1" customWidth="1"/>
  </cols>
  <sheetData>
    <row r="1" spans="1:2" x14ac:dyDescent="0.3">
      <c r="A1" t="s">
        <v>19</v>
      </c>
      <c r="B1" t="s">
        <v>26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EB371-E2C7-46BB-80A9-762235570707}">
  <dimension ref="A1:C11"/>
  <sheetViews>
    <sheetView workbookViewId="0">
      <selection activeCell="C11" sqref="C11"/>
    </sheetView>
  </sheetViews>
  <sheetFormatPr baseColWidth="10" defaultRowHeight="14.4" x14ac:dyDescent="0.3"/>
  <cols>
    <col min="2" max="2" width="39.33203125" bestFit="1" customWidth="1"/>
    <col min="3" max="3" width="12.44140625" bestFit="1" customWidth="1"/>
  </cols>
  <sheetData>
    <row r="1" spans="1:3" x14ac:dyDescent="0.3">
      <c r="A1" t="s">
        <v>19</v>
      </c>
      <c r="B1" t="s">
        <v>0</v>
      </c>
      <c r="C1" s="4" t="s">
        <v>27</v>
      </c>
    </row>
    <row r="2" spans="1:3" x14ac:dyDescent="0.3">
      <c r="A2" s="3">
        <v>45926</v>
      </c>
      <c r="B2" t="s">
        <v>102</v>
      </c>
      <c r="C2" t="s">
        <v>103</v>
      </c>
    </row>
    <row r="3" spans="1:3" x14ac:dyDescent="0.3">
      <c r="A3" s="3">
        <v>45943</v>
      </c>
      <c r="B3" t="s">
        <v>104</v>
      </c>
      <c r="C3" t="s">
        <v>105</v>
      </c>
    </row>
    <row r="4" spans="1:3" x14ac:dyDescent="0.3">
      <c r="A4" s="3">
        <v>45999</v>
      </c>
      <c r="B4" t="s">
        <v>106</v>
      </c>
      <c r="C4" t="s">
        <v>105</v>
      </c>
    </row>
    <row r="5" spans="1:3" x14ac:dyDescent="0.3">
      <c r="A5" s="3">
        <v>46050</v>
      </c>
      <c r="B5" t="s">
        <v>107</v>
      </c>
      <c r="C5" t="s">
        <v>105</v>
      </c>
    </row>
    <row r="6" spans="1:3" x14ac:dyDescent="0.3">
      <c r="A6" s="3">
        <v>46087</v>
      </c>
      <c r="B6" t="s">
        <v>108</v>
      </c>
      <c r="C6" t="s">
        <v>103</v>
      </c>
    </row>
    <row r="7" spans="1:3" x14ac:dyDescent="0.3">
      <c r="A7" s="3">
        <v>45005</v>
      </c>
      <c r="B7" t="s">
        <v>110</v>
      </c>
      <c r="C7" t="s">
        <v>109</v>
      </c>
    </row>
    <row r="8" spans="1:3" x14ac:dyDescent="0.3">
      <c r="A8" s="3">
        <v>46135</v>
      </c>
      <c r="B8" t="s">
        <v>111</v>
      </c>
      <c r="C8" t="s">
        <v>112</v>
      </c>
    </row>
    <row r="9" spans="1:3" x14ac:dyDescent="0.3">
      <c r="A9" s="3">
        <v>46143</v>
      </c>
      <c r="B9" t="s">
        <v>113</v>
      </c>
      <c r="C9" t="s">
        <v>105</v>
      </c>
    </row>
    <row r="10" spans="1:3" x14ac:dyDescent="0.3">
      <c r="A10" s="3">
        <v>46185</v>
      </c>
      <c r="B10" t="s">
        <v>114</v>
      </c>
      <c r="C10" t="s">
        <v>115</v>
      </c>
    </row>
    <row r="11" spans="1:3" x14ac:dyDescent="0.3">
      <c r="A11" s="3">
        <v>46202</v>
      </c>
      <c r="B11" t="s">
        <v>116</v>
      </c>
      <c r="C11" t="s">
        <v>115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66A6C-0656-4F22-B4CC-787486A3690D}">
  <dimension ref="A1:B19"/>
  <sheetViews>
    <sheetView workbookViewId="0">
      <selection activeCell="D6" sqref="D6"/>
    </sheetView>
  </sheetViews>
  <sheetFormatPr baseColWidth="10" defaultRowHeight="14.4" x14ac:dyDescent="0.3"/>
  <cols>
    <col min="2" max="2" width="14.6640625" bestFit="1" customWidth="1"/>
  </cols>
  <sheetData>
    <row r="1" spans="1:2" x14ac:dyDescent="0.3">
      <c r="A1" t="s">
        <v>19</v>
      </c>
      <c r="B1" t="s">
        <v>26</v>
      </c>
    </row>
    <row r="2" spans="1:2" x14ac:dyDescent="0.3">
      <c r="A2" s="3">
        <v>46203</v>
      </c>
      <c r="B2">
        <v>1</v>
      </c>
    </row>
    <row r="3" spans="1:2" x14ac:dyDescent="0.3">
      <c r="A3" s="3">
        <v>46204</v>
      </c>
      <c r="B3">
        <v>1</v>
      </c>
    </row>
    <row r="4" spans="1:2" x14ac:dyDescent="0.3">
      <c r="A4" s="3">
        <v>46205</v>
      </c>
      <c r="B4">
        <v>1</v>
      </c>
    </row>
    <row r="5" spans="1:2" x14ac:dyDescent="0.3">
      <c r="A5" s="3">
        <v>46206</v>
      </c>
      <c r="B5">
        <v>1</v>
      </c>
    </row>
    <row r="6" spans="1:2" x14ac:dyDescent="0.3">
      <c r="A6" s="3">
        <v>46207</v>
      </c>
      <c r="B6">
        <v>1</v>
      </c>
    </row>
    <row r="7" spans="1:2" x14ac:dyDescent="0.3">
      <c r="A7" s="3">
        <v>46208</v>
      </c>
      <c r="B7">
        <v>1</v>
      </c>
    </row>
    <row r="8" spans="1:2" x14ac:dyDescent="0.3">
      <c r="A8" s="3">
        <v>46209</v>
      </c>
      <c r="B8">
        <v>1</v>
      </c>
    </row>
    <row r="9" spans="1:2" x14ac:dyDescent="0.3">
      <c r="A9" s="3">
        <v>46210</v>
      </c>
      <c r="B9">
        <v>1</v>
      </c>
    </row>
    <row r="10" spans="1:2" x14ac:dyDescent="0.3">
      <c r="A10" s="3">
        <v>46211</v>
      </c>
      <c r="B10">
        <v>1</v>
      </c>
    </row>
    <row r="11" spans="1:2" x14ac:dyDescent="0.3">
      <c r="A11" s="3">
        <v>46212</v>
      </c>
      <c r="B11">
        <v>1</v>
      </c>
    </row>
    <row r="12" spans="1:2" x14ac:dyDescent="0.3">
      <c r="A12" s="3">
        <v>46213</v>
      </c>
      <c r="B12">
        <v>1</v>
      </c>
    </row>
    <row r="13" spans="1:2" x14ac:dyDescent="0.3">
      <c r="A13" s="3">
        <v>46214</v>
      </c>
      <c r="B13">
        <v>1</v>
      </c>
    </row>
    <row r="14" spans="1:2" x14ac:dyDescent="0.3">
      <c r="A14" s="3">
        <v>46215</v>
      </c>
      <c r="B14">
        <v>1</v>
      </c>
    </row>
    <row r="15" spans="1:2" x14ac:dyDescent="0.3">
      <c r="A15" s="3">
        <v>46216</v>
      </c>
      <c r="B15">
        <v>1</v>
      </c>
    </row>
    <row r="16" spans="1:2" x14ac:dyDescent="0.3">
      <c r="A16" s="3">
        <v>46217</v>
      </c>
      <c r="B16">
        <v>1</v>
      </c>
    </row>
    <row r="17" spans="1:2" x14ac:dyDescent="0.3">
      <c r="A17" s="3">
        <v>46218</v>
      </c>
      <c r="B17">
        <v>1</v>
      </c>
    </row>
    <row r="18" spans="1:2" x14ac:dyDescent="0.3">
      <c r="A18" s="3">
        <v>46219</v>
      </c>
      <c r="B18">
        <v>1</v>
      </c>
    </row>
    <row r="19" spans="1:2" x14ac:dyDescent="0.3">
      <c r="A19" s="3">
        <v>46220</v>
      </c>
      <c r="B1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18</vt:i4>
      </vt:variant>
    </vt:vector>
  </HeadingPairs>
  <TitlesOfParts>
    <vt:vector size="18" baseType="lpstr">
      <vt:lpstr>AULA</vt:lpstr>
      <vt:lpstr>RESPONSABLE</vt:lpstr>
      <vt:lpstr>RESERVA</vt:lpstr>
      <vt:lpstr>RESERVA_PUNTUAL</vt:lpstr>
      <vt:lpstr>RESERVA_PERIODICA</vt:lpstr>
      <vt:lpstr>DOCENTE</vt:lpstr>
      <vt:lpstr>ASIGNATURAS</vt:lpstr>
      <vt:lpstr>IMPARTE</vt:lpstr>
      <vt:lpstr>GRADO</vt:lpstr>
      <vt:lpstr>GRUPO</vt:lpstr>
      <vt:lpstr>CURSO</vt:lpstr>
      <vt:lpstr>SEMESTRE</vt:lpstr>
      <vt:lpstr>DIA</vt:lpstr>
      <vt:lpstr>LECTIVO</vt:lpstr>
      <vt:lpstr>CAMBIO_DOCENCIA</vt:lpstr>
      <vt:lpstr>EXAMEN</vt:lpstr>
      <vt:lpstr>FESTIVO</vt:lpstr>
      <vt:lpstr>TFG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Rebeca Cuesta Estépar</dc:creator>
  <cp:lastModifiedBy>Rebeca Cuesta Estépar</cp:lastModifiedBy>
  <dcterms:created xsi:type="dcterms:W3CDTF">2026-01-08T10:10:21Z</dcterms:created>
  <dcterms:modified xsi:type="dcterms:W3CDTF">2026-01-08T12:18:20Z</dcterms:modified>
</cp:coreProperties>
</file>